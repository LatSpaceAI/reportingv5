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ishan\Downloads\Birla Estates Files\output\"/>
    </mc:Choice>
  </mc:AlternateContent>
  <xr:revisionPtr revIDLastSave="0" documentId="13_ncr:1_{B91C5697-9E3E-4DCE-8809-6E3672FB1278}" xr6:coauthVersionLast="47" xr6:coauthVersionMax="47" xr10:uidLastSave="{00000000-0000-0000-0000-000000000000}"/>
  <bookViews>
    <workbookView xWindow="-110" yWindow="-110" windowWidth="19420" windowHeight="11500" firstSheet="3" activeTab="5" xr2:uid="{00000000-000D-0000-FFFF-FFFF00000000}"/>
  </bookViews>
  <sheets>
    <sheet name="General Instructions" sheetId="15" r:id="rId1"/>
    <sheet name="Environment (Real Estate)" sheetId="13" r:id="rId2"/>
    <sheet name="Environment (Century Bhavan)" sheetId="17" r:id="rId3"/>
    <sheet name="HR" sheetId="4" r:id="rId4"/>
    <sheet name="Safety" sheetId="7" r:id="rId5"/>
    <sheet name="Proc,Supply Chain, MKt" sheetId="8" r:id="rId6"/>
    <sheet name="Legal" sheetId="18" r:id="rId7"/>
    <sheet name="Revenue and Production" sheetId="16" r:id="rId8"/>
    <sheet name="Calc" sheetId="19" r:id="rId9"/>
  </sheets>
  <externalReferences>
    <externalReference r:id="rId10"/>
    <externalReference r:id="rId11"/>
    <externalReference r:id="rId12"/>
  </externalReferenc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16" l="1"/>
  <c r="J9" i="19" l="1"/>
  <c r="J10" i="19" s="1"/>
  <c r="F9" i="19"/>
  <c r="E9" i="19"/>
  <c r="D160" i="13" l="1"/>
  <c r="D147" i="13"/>
  <c r="L143" i="13"/>
  <c r="H143" i="13"/>
  <c r="J159" i="13"/>
  <c r="F143" i="13"/>
  <c r="J143" i="13"/>
  <c r="D143" i="13" l="1"/>
  <c r="D187" i="13"/>
  <c r="C9" i="16" l="1"/>
  <c r="D9" i="16" s="1"/>
  <c r="D17" i="16" s="1"/>
  <c r="D19" i="16" s="1"/>
  <c r="C18" i="7" l="1"/>
  <c r="L153" i="13" l="1"/>
  <c r="J153" i="13"/>
  <c r="H153" i="13"/>
  <c r="F153" i="13"/>
  <c r="E181" i="13" l="1"/>
  <c r="D181" i="13"/>
  <c r="E180" i="13"/>
  <c r="D180" i="13"/>
  <c r="E179" i="13"/>
  <c r="D179" i="13"/>
  <c r="E178" i="13"/>
  <c r="D178" i="13"/>
  <c r="E177" i="13"/>
  <c r="D177" i="13"/>
  <c r="E176" i="13"/>
  <c r="D176" i="13"/>
  <c r="F183" i="13" l="1"/>
  <c r="H167" i="13"/>
  <c r="F167" i="13"/>
  <c r="I96" i="13"/>
  <c r="I95" i="13"/>
  <c r="I94" i="13"/>
  <c r="P67" i="13"/>
  <c r="P65" i="13"/>
  <c r="P64" i="13"/>
  <c r="O31" i="13"/>
  <c r="O29" i="13"/>
  <c r="O28" i="13"/>
  <c r="R23" i="13"/>
  <c r="R20" i="13"/>
  <c r="P19" i="13"/>
  <c r="R18" i="13"/>
  <c r="R17" i="13"/>
  <c r="L96" i="13" l="1"/>
  <c r="L95" i="13"/>
  <c r="L94" i="13"/>
  <c r="K96" i="13" l="1"/>
  <c r="K95" i="13"/>
  <c r="K94" i="13"/>
  <c r="G96" i="13"/>
  <c r="G95" i="13"/>
  <c r="G94" i="13"/>
  <c r="E96" i="13"/>
  <c r="E95" i="13"/>
  <c r="E94" i="13"/>
  <c r="H96" i="13" l="1"/>
  <c r="H95" i="13"/>
  <c r="H94" i="13"/>
  <c r="F96" i="13"/>
  <c r="F95" i="13"/>
  <c r="F94" i="13"/>
  <c r="D96" i="13"/>
  <c r="D29" i="13" l="1"/>
  <c r="P18" i="13"/>
  <c r="O17" i="13"/>
  <c r="M17" i="13"/>
  <c r="L17" i="13"/>
  <c r="K17" i="13"/>
  <c r="J17" i="13"/>
  <c r="Q17" i="13" l="1"/>
  <c r="Q18" i="13"/>
  <c r="P17" i="13" l="1"/>
  <c r="N17" i="13" l="1"/>
  <c r="Q23" i="13" l="1"/>
  <c r="P23" i="13"/>
  <c r="Q20" i="13"/>
  <c r="P20" i="13"/>
  <c r="O20" i="13"/>
  <c r="N20" i="13"/>
  <c r="M20" i="13"/>
  <c r="L20" i="13"/>
  <c r="K20" i="13"/>
  <c r="C12" i="13" l="1"/>
  <c r="D124" i="8"/>
  <c r="D122" i="8"/>
  <c r="D100" i="8"/>
  <c r="D98" i="8"/>
  <c r="C49" i="8"/>
  <c r="D28" i="8"/>
  <c r="D22" i="8"/>
  <c r="C48" i="7"/>
  <c r="F12" i="7"/>
  <c r="E12" i="7"/>
  <c r="D12" i="7"/>
  <c r="C12" i="7"/>
  <c r="D8" i="7"/>
  <c r="C8" i="7"/>
  <c r="C217" i="4"/>
  <c r="C161" i="4"/>
  <c r="E140" i="4"/>
  <c r="D140" i="4"/>
  <c r="E139" i="4"/>
  <c r="D139" i="4"/>
  <c r="F138" i="4"/>
  <c r="F137" i="4"/>
  <c r="F136" i="4"/>
  <c r="F135" i="4"/>
  <c r="F134" i="4"/>
  <c r="F133" i="4"/>
  <c r="E128" i="4"/>
  <c r="D128" i="4"/>
  <c r="E127" i="4"/>
  <c r="D127" i="4"/>
  <c r="F126" i="4"/>
  <c r="F125" i="4"/>
  <c r="F128" i="4" s="1"/>
  <c r="F124" i="4"/>
  <c r="F123" i="4"/>
  <c r="F122" i="4"/>
  <c r="F121" i="4"/>
  <c r="C91" i="4"/>
  <c r="C87" i="4"/>
  <c r="D73" i="4"/>
  <c r="C73" i="4"/>
  <c r="D65" i="4"/>
  <c r="C65" i="4"/>
  <c r="H59" i="4"/>
  <c r="G59" i="4"/>
  <c r="F59" i="4"/>
  <c r="E59" i="4"/>
  <c r="D59" i="4"/>
  <c r="C59" i="4"/>
  <c r="H52" i="4"/>
  <c r="G52" i="4"/>
  <c r="F52" i="4"/>
  <c r="E52" i="4"/>
  <c r="D52" i="4"/>
  <c r="C52" i="4"/>
  <c r="D46" i="4"/>
  <c r="C46" i="4"/>
  <c r="G41" i="4"/>
  <c r="E41" i="4"/>
  <c r="C41" i="4"/>
  <c r="G36" i="4"/>
  <c r="E36" i="4"/>
  <c r="C36" i="4"/>
  <c r="H30" i="4"/>
  <c r="G30" i="4"/>
  <c r="F30" i="4"/>
  <c r="E30" i="4"/>
  <c r="E31" i="4" s="1"/>
  <c r="D30" i="4"/>
  <c r="C30" i="4"/>
  <c r="H21" i="4"/>
  <c r="G21" i="4"/>
  <c r="F21" i="4"/>
  <c r="E21" i="4"/>
  <c r="D21" i="4"/>
  <c r="C21" i="4"/>
  <c r="E154" i="17"/>
  <c r="D154" i="17"/>
  <c r="E153" i="17"/>
  <c r="D153" i="17"/>
  <c r="E152" i="17"/>
  <c r="D152" i="17"/>
  <c r="E151" i="17"/>
  <c r="D151" i="17"/>
  <c r="E150" i="17"/>
  <c r="D150" i="17"/>
  <c r="E149" i="17"/>
  <c r="D149" i="17"/>
  <c r="D148" i="17"/>
  <c r="E146" i="17"/>
  <c r="D146" i="17"/>
  <c r="E145" i="17"/>
  <c r="D145" i="17"/>
  <c r="E144" i="17"/>
  <c r="D144" i="17"/>
  <c r="E143" i="17"/>
  <c r="D143" i="17"/>
  <c r="E142" i="17"/>
  <c r="D142" i="17"/>
  <c r="E141" i="17"/>
  <c r="D141" i="17"/>
  <c r="D140" i="17"/>
  <c r="E138" i="17"/>
  <c r="D138" i="17"/>
  <c r="E137" i="17"/>
  <c r="D137" i="17"/>
  <c r="E136" i="17"/>
  <c r="D136" i="17"/>
  <c r="E135" i="17"/>
  <c r="D135" i="17"/>
  <c r="E134" i="17"/>
  <c r="D134" i="17"/>
  <c r="E133" i="17"/>
  <c r="D133" i="17"/>
  <c r="D132" i="17"/>
  <c r="E128" i="17"/>
  <c r="D128" i="17"/>
  <c r="E127" i="17"/>
  <c r="D127" i="17"/>
  <c r="E126" i="17"/>
  <c r="D126" i="17"/>
  <c r="E125" i="17"/>
  <c r="D125" i="17"/>
  <c r="E124" i="17"/>
  <c r="D124" i="17"/>
  <c r="E123" i="17"/>
  <c r="D123" i="17"/>
  <c r="D122" i="17"/>
  <c r="E120" i="17"/>
  <c r="D120" i="17"/>
  <c r="E119" i="17"/>
  <c r="D119" i="17"/>
  <c r="E118" i="17"/>
  <c r="D118" i="17"/>
  <c r="E117" i="17"/>
  <c r="D117" i="17"/>
  <c r="E116" i="17"/>
  <c r="D116" i="17"/>
  <c r="E115" i="17"/>
  <c r="D115" i="17"/>
  <c r="D114" i="17"/>
  <c r="E112" i="17"/>
  <c r="D112" i="17"/>
  <c r="E111" i="17"/>
  <c r="D111" i="17"/>
  <c r="E110" i="17"/>
  <c r="D110" i="17"/>
  <c r="E109" i="17"/>
  <c r="D109" i="17"/>
  <c r="E108" i="17"/>
  <c r="D108" i="17"/>
  <c r="E107" i="17"/>
  <c r="D107" i="17"/>
  <c r="D106" i="17"/>
  <c r="E104" i="17"/>
  <c r="D104" i="17"/>
  <c r="E103" i="17"/>
  <c r="D103" i="17"/>
  <c r="E102" i="17"/>
  <c r="D102" i="17"/>
  <c r="E101" i="17"/>
  <c r="D101" i="17"/>
  <c r="E100" i="17"/>
  <c r="D100" i="17"/>
  <c r="E99" i="17"/>
  <c r="D99" i="17"/>
  <c r="D98" i="17"/>
  <c r="E96" i="17"/>
  <c r="D96" i="17"/>
  <c r="E95" i="17"/>
  <c r="D95" i="17"/>
  <c r="E94" i="17"/>
  <c r="D94" i="17"/>
  <c r="E93" i="17"/>
  <c r="D93" i="17"/>
  <c r="E92" i="17"/>
  <c r="D92" i="17"/>
  <c r="E91" i="17"/>
  <c r="D91" i="17"/>
  <c r="D90" i="17"/>
  <c r="E88" i="17"/>
  <c r="D88" i="17"/>
  <c r="E87" i="17"/>
  <c r="D87" i="17"/>
  <c r="E86" i="17"/>
  <c r="D86" i="17"/>
  <c r="E85" i="17"/>
  <c r="D85" i="17"/>
  <c r="E84" i="17"/>
  <c r="D84" i="17"/>
  <c r="E83" i="17"/>
  <c r="D83" i="17"/>
  <c r="D82" i="17"/>
  <c r="E80" i="17"/>
  <c r="D80" i="17"/>
  <c r="E79" i="17"/>
  <c r="D79" i="17"/>
  <c r="E78" i="17"/>
  <c r="D78" i="17"/>
  <c r="E77" i="17"/>
  <c r="D77" i="17"/>
  <c r="E76" i="17"/>
  <c r="D76" i="17"/>
  <c r="E75" i="17"/>
  <c r="D75" i="17"/>
  <c r="D74" i="17"/>
  <c r="O48" i="17"/>
  <c r="N48" i="17"/>
  <c r="M48" i="17"/>
  <c r="L48" i="17"/>
  <c r="K48" i="17"/>
  <c r="J48" i="17"/>
  <c r="I48" i="17"/>
  <c r="H48" i="17"/>
  <c r="G48" i="17"/>
  <c r="F48" i="17"/>
  <c r="E48" i="17"/>
  <c r="D48" i="17"/>
  <c r="C47" i="17"/>
  <c r="C46" i="17"/>
  <c r="C44" i="17"/>
  <c r="C43" i="17"/>
  <c r="C41" i="17"/>
  <c r="C40" i="17"/>
  <c r="C38" i="17"/>
  <c r="C37" i="17"/>
  <c r="C35" i="17"/>
  <c r="C34" i="17"/>
  <c r="C28" i="17"/>
  <c r="O26" i="17"/>
  <c r="N26" i="17"/>
  <c r="M26" i="17"/>
  <c r="L26" i="17"/>
  <c r="K26" i="17"/>
  <c r="J26" i="17"/>
  <c r="I26" i="17"/>
  <c r="H26" i="17"/>
  <c r="G26" i="17"/>
  <c r="F26" i="17"/>
  <c r="E26" i="17"/>
  <c r="D26" i="17"/>
  <c r="C25" i="17"/>
  <c r="C24" i="17"/>
  <c r="C23" i="17"/>
  <c r="C22" i="17"/>
  <c r="C21" i="17"/>
  <c r="F17" i="17"/>
  <c r="F16" i="17"/>
  <c r="F14" i="17"/>
  <c r="F13" i="17"/>
  <c r="C7" i="17"/>
  <c r="E215" i="13"/>
  <c r="D215" i="13"/>
  <c r="E214" i="13"/>
  <c r="D214" i="13"/>
  <c r="E213" i="13"/>
  <c r="D213" i="13"/>
  <c r="E212" i="13"/>
  <c r="D212" i="13"/>
  <c r="E211" i="13"/>
  <c r="D211" i="13"/>
  <c r="E210" i="13"/>
  <c r="D210" i="13"/>
  <c r="D209" i="13"/>
  <c r="E207" i="13"/>
  <c r="D207" i="13"/>
  <c r="E206" i="13"/>
  <c r="D206" i="13"/>
  <c r="E205" i="13"/>
  <c r="D205" i="13"/>
  <c r="E204" i="13"/>
  <c r="D204" i="13"/>
  <c r="E203" i="13"/>
  <c r="D203" i="13"/>
  <c r="E202" i="13"/>
  <c r="E199" i="13"/>
  <c r="D199" i="13"/>
  <c r="E198" i="13"/>
  <c r="D198" i="13"/>
  <c r="E197" i="13"/>
  <c r="D197" i="13"/>
  <c r="E196" i="13"/>
  <c r="D196" i="13"/>
  <c r="E195" i="13"/>
  <c r="D195" i="13"/>
  <c r="E189" i="13"/>
  <c r="D189" i="13"/>
  <c r="E188" i="13"/>
  <c r="D188" i="13"/>
  <c r="E186" i="13"/>
  <c r="D186" i="13"/>
  <c r="E185" i="13"/>
  <c r="D185" i="13"/>
  <c r="E184" i="13"/>
  <c r="D184" i="13"/>
  <c r="E173" i="13"/>
  <c r="D173" i="13"/>
  <c r="E172" i="13"/>
  <c r="D172" i="13"/>
  <c r="E171" i="13"/>
  <c r="D171" i="13"/>
  <c r="E170" i="13"/>
  <c r="D170" i="13"/>
  <c r="E169" i="13"/>
  <c r="D169" i="13"/>
  <c r="E168" i="13"/>
  <c r="D168" i="13"/>
  <c r="E165" i="13"/>
  <c r="D165" i="13"/>
  <c r="E164" i="13"/>
  <c r="D164" i="13"/>
  <c r="E163" i="13"/>
  <c r="D163" i="13"/>
  <c r="E162" i="13"/>
  <c r="D162" i="13"/>
  <c r="E161" i="13"/>
  <c r="E157" i="13"/>
  <c r="D157" i="13"/>
  <c r="E156" i="13"/>
  <c r="E155" i="13"/>
  <c r="D155" i="13"/>
  <c r="E154" i="13"/>
  <c r="D154" i="13"/>
  <c r="E153" i="13"/>
  <c r="D153" i="13"/>
  <c r="E152" i="13"/>
  <c r="D152" i="13"/>
  <c r="E149" i="13"/>
  <c r="D149" i="13"/>
  <c r="E148" i="13"/>
  <c r="D148" i="13"/>
  <c r="E146" i="13"/>
  <c r="D146" i="13"/>
  <c r="E145" i="13"/>
  <c r="D145" i="13"/>
  <c r="E144" i="13"/>
  <c r="D144" i="13"/>
  <c r="E141" i="13"/>
  <c r="D141" i="13"/>
  <c r="E140" i="13"/>
  <c r="D140" i="13"/>
  <c r="E139" i="13"/>
  <c r="D139" i="13"/>
  <c r="E138" i="13"/>
  <c r="D138" i="13"/>
  <c r="E137" i="13"/>
  <c r="D137" i="13"/>
  <c r="E136" i="13"/>
  <c r="E133" i="13"/>
  <c r="D133" i="13"/>
  <c r="E132" i="13"/>
  <c r="D132" i="13"/>
  <c r="E131" i="13"/>
  <c r="E130" i="13"/>
  <c r="D130" i="13"/>
  <c r="E129" i="13"/>
  <c r="D129" i="13"/>
  <c r="E128" i="13"/>
  <c r="D128" i="13"/>
  <c r="P89" i="13"/>
  <c r="O89" i="13"/>
  <c r="N89" i="13"/>
  <c r="M89" i="13"/>
  <c r="L89" i="13"/>
  <c r="K89" i="13"/>
  <c r="J89" i="13"/>
  <c r="I89" i="13"/>
  <c r="H89" i="13"/>
  <c r="G89" i="13"/>
  <c r="F89" i="13"/>
  <c r="E89" i="13"/>
  <c r="C89" i="13"/>
  <c r="D88" i="13"/>
  <c r="D87" i="13"/>
  <c r="D85" i="13"/>
  <c r="D84" i="13"/>
  <c r="D82" i="13"/>
  <c r="D81" i="13"/>
  <c r="D79" i="13"/>
  <c r="D78" i="13"/>
  <c r="D76" i="13"/>
  <c r="D75" i="13"/>
  <c r="P68" i="13"/>
  <c r="P70" i="13" s="1"/>
  <c r="O68" i="13"/>
  <c r="O70" i="13" s="1"/>
  <c r="N68" i="13"/>
  <c r="N70" i="13" s="1"/>
  <c r="M68" i="13"/>
  <c r="M70" i="13" s="1"/>
  <c r="L68" i="13"/>
  <c r="L70" i="13" s="1"/>
  <c r="K68" i="13"/>
  <c r="K70" i="13" s="1"/>
  <c r="J68" i="13"/>
  <c r="J70" i="13" s="1"/>
  <c r="I68" i="13"/>
  <c r="I70" i="13" s="1"/>
  <c r="H68" i="13"/>
  <c r="H70" i="13" s="1"/>
  <c r="G68" i="13"/>
  <c r="G70" i="13" s="1"/>
  <c r="F68" i="13"/>
  <c r="F70" i="13" s="1"/>
  <c r="E68" i="13"/>
  <c r="E70" i="13" s="1"/>
  <c r="C68" i="13"/>
  <c r="D67" i="13"/>
  <c r="D66" i="13"/>
  <c r="D65" i="13"/>
  <c r="D64" i="13"/>
  <c r="D63" i="13"/>
  <c r="O54" i="13"/>
  <c r="N54" i="13"/>
  <c r="M54" i="13"/>
  <c r="L54" i="13"/>
  <c r="K54" i="13"/>
  <c r="J54" i="13"/>
  <c r="I54" i="13"/>
  <c r="H54" i="13"/>
  <c r="G54" i="13"/>
  <c r="F54" i="13"/>
  <c r="E54" i="13"/>
  <c r="D54" i="13"/>
  <c r="C53" i="13"/>
  <c r="C52" i="13"/>
  <c r="C50" i="13"/>
  <c r="C49" i="13"/>
  <c r="C47" i="13"/>
  <c r="C46" i="13"/>
  <c r="C44" i="13"/>
  <c r="C43" i="13"/>
  <c r="C41" i="13"/>
  <c r="C40" i="13"/>
  <c r="C34" i="13"/>
  <c r="O32" i="13"/>
  <c r="N32" i="13"/>
  <c r="M32" i="13"/>
  <c r="L32" i="13"/>
  <c r="K32" i="13"/>
  <c r="J32" i="13"/>
  <c r="I32" i="13"/>
  <c r="H32" i="13"/>
  <c r="G32" i="13"/>
  <c r="F32" i="13"/>
  <c r="E32" i="13"/>
  <c r="D32" i="13"/>
  <c r="C31" i="13"/>
  <c r="C30" i="13"/>
  <c r="C29" i="13"/>
  <c r="C28" i="13"/>
  <c r="C27" i="13"/>
  <c r="F23" i="13"/>
  <c r="F22" i="13"/>
  <c r="F20" i="13"/>
  <c r="F19" i="13"/>
  <c r="F17" i="13"/>
  <c r="G60" i="4" l="1"/>
  <c r="C53" i="4"/>
  <c r="D89" i="13"/>
  <c r="E53" i="4"/>
  <c r="E60" i="4"/>
  <c r="C48" i="17"/>
  <c r="F127" i="4"/>
  <c r="E22" i="4"/>
  <c r="C54" i="13"/>
  <c r="C31" i="4"/>
  <c r="G31" i="4"/>
  <c r="C60" i="4"/>
  <c r="F139" i="4"/>
  <c r="H12" i="13"/>
  <c r="I12" i="13" s="1"/>
  <c r="F140" i="4"/>
  <c r="C26" i="17"/>
  <c r="G53" i="4"/>
  <c r="G22" i="4"/>
  <c r="C22" i="4"/>
  <c r="C32" i="13"/>
  <c r="D70" i="13"/>
  <c r="D68" i="13"/>
  <c r="M96" i="13" l="1"/>
  <c r="M94" i="13" l="1"/>
  <c r="M95" i="13"/>
  <c r="L183" i="13" l="1"/>
  <c r="H159" i="13"/>
  <c r="F159" i="13"/>
  <c r="L167" i="13" l="1"/>
  <c r="L175" i="13" l="1"/>
  <c r="L127" i="13" l="1"/>
  <c r="J167" i="13" l="1"/>
  <c r="D167" i="13" s="1"/>
  <c r="L159" i="13" l="1"/>
  <c r="D159" i="13" s="1"/>
  <c r="H127" i="13" l="1"/>
  <c r="F175" i="13" l="1"/>
  <c r="J131" i="13"/>
  <c r="D131" i="13" s="1"/>
  <c r="J127" i="13"/>
  <c r="D127" i="13" s="1"/>
  <c r="L151" i="13" l="1"/>
  <c r="L156" i="13"/>
  <c r="L135" i="13" l="1"/>
  <c r="L193" i="13"/>
  <c r="L201" i="13"/>
  <c r="L202" i="13"/>
  <c r="J151" i="13" l="1"/>
  <c r="J156" i="13"/>
  <c r="J175" i="13" l="1"/>
  <c r="J183" i="13"/>
  <c r="J135" i="13" l="1"/>
  <c r="J202" i="13"/>
  <c r="J201" i="13"/>
  <c r="J193" i="13"/>
  <c r="H175" i="13" l="1"/>
  <c r="D175" i="13" s="1"/>
  <c r="H183" i="13"/>
  <c r="D183" i="13" s="1"/>
  <c r="F202" i="13" l="1"/>
  <c r="F201" i="13"/>
  <c r="H202" i="13"/>
  <c r="H201" i="13"/>
  <c r="F151" i="13" l="1"/>
  <c r="F156" i="13"/>
  <c r="F135" i="13"/>
  <c r="H135" i="13"/>
  <c r="D201" i="13"/>
  <c r="D202" i="13"/>
  <c r="F193" i="13"/>
  <c r="H156" i="13"/>
  <c r="H193" i="13"/>
  <c r="H151" i="13"/>
  <c r="D193" i="13" l="1"/>
  <c r="D135" i="13"/>
  <c r="D136" i="13"/>
  <c r="D156" i="13"/>
  <c r="D15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Anirudh Krishnan</author>
  </authors>
  <commentList>
    <comment ref="F3" authorId="0" shapeId="0" xr:uid="{00000000-0006-0000-0300-000001000000}">
      <text>
        <r>
          <rPr>
            <b/>
            <sz val="15"/>
            <rFont val="Tahoma"/>
            <family val="2"/>
          </rPr>
          <t>Anirudh Krishnan:</t>
        </r>
        <r>
          <rPr>
            <sz val="15"/>
            <rFont val="Tahoma"/>
            <family val="2"/>
          </rPr>
          <t xml:space="preserve">
The term “Employee” is defined under Sec 2(l) of the Industrial Relations Code, 2020 and means, any person (other than an apprentice engaged under the Apprentices Act, 1961), employed on wages by an establishment to do any skilled, semi-skilled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Ref http://egazette.nic.in/WriteReadData/2020/222118.pdf</t>
        </r>
      </text>
    </comment>
    <comment ref="F4" authorId="0" shapeId="0" xr:uid="{00000000-0006-0000-0300-000002000000}">
      <text>
        <r>
          <rPr>
            <b/>
            <sz val="15"/>
            <rFont val="Tahoma"/>
            <family val="2"/>
          </rPr>
          <t>Anirudh Krishnan:</t>
        </r>
        <r>
          <rPr>
            <sz val="15"/>
            <rFont val="Tahoma"/>
            <family val="2"/>
          </rPr>
          <t xml:space="preserve">
The term “Worker” is defined under Sec 2(zr) of the Industrial Relations Code, 2020 and means any person (except an apprentice as defined under clause (aa) of section 2 of the Apprentices Act, 1961) employed in any industry to do any manual, unskilled, skilled, technical, operational, clerical or supervisory work for hire or reward, whether the terms of employment be express or implied, and includes working journalists as defined in clause (f) of section 2 of the Working Journalists and other Newspaper Employees (Conditions of Service) and Miscellaneous Provisions Act, 1955 and sales promotion employees as defined in clause (d) of section 2 of the Sales Promotion Employees (Conditions of Service) Act,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Page 4 of 33 retrenchment has led to that dispute, but does not include any such person -— (i) who is subject to the Air Force Act, 1950 (45 of 1950), or the Army Act, 1950 (46 of 1950), or the Navy Act, 1957 (62 of 1957); or (ii) who is employed in the police service or as an officer or other employee of a prison; or (iii) who is employed mainly in a managerial or administrative capacity; or (iv) who is employed in a supervisory capacity drawing wages exceeding eighteen thousand rupees per month or an amount as may be notified by the Central Government from time to time. Ref.- http://egazette.nic.in/WriteReadData/2020/222118.pdf</t>
        </r>
      </text>
    </comment>
    <comment ref="C43" authorId="0" shapeId="0" xr:uid="{00000000-0006-0000-0300-000003000000}">
      <text>
        <r>
          <rPr>
            <b/>
            <sz val="9"/>
            <rFont val="Tahoma"/>
            <family val="2"/>
          </rPr>
          <t>Anirudh Krishnan:</t>
        </r>
        <r>
          <rPr>
            <sz val="9"/>
            <rFont val="Tahoma"/>
            <family val="2"/>
          </rPr>
          <t xml:space="preserve">
L</t>
        </r>
        <r>
          <rPr>
            <sz val="12"/>
            <rFont val="Tahoma"/>
            <family val="2"/>
          </rPr>
          <t>ocal: The local community refers to the people native to the operational region of the entity.</t>
        </r>
      </text>
    </comment>
  </commentList>
</comments>
</file>

<file path=xl/sharedStrings.xml><?xml version="1.0" encoding="utf-8"?>
<sst xmlns="http://schemas.openxmlformats.org/spreadsheetml/2006/main" count="1915" uniqueCount="578">
  <si>
    <t>General Instructions for filling up the data template:</t>
  </si>
  <si>
    <t>1. Please ensure that accurate data is being filled</t>
  </si>
  <si>
    <t>2. Please ensure that the templates are being filled up completely</t>
  </si>
  <si>
    <t xml:space="preserve">3. Some questions (new questions) will be highlighted in </t>
  </si>
  <si>
    <t>(blue). For these questions, you might also be required to provide previous year data.</t>
  </si>
  <si>
    <t>4. In case any data set is not available with your department, you are requested to forward that particular question to the relevant department</t>
  </si>
  <si>
    <t>5. For HR department: for questions that mention only 'Employees/Workers' without specifying category (permanent/other than permanent), you are required to provide data only for permanent employees/workers.</t>
  </si>
  <si>
    <t>6. In case of any queries, please reach out to PWC team.</t>
  </si>
  <si>
    <t>Links to GRI and BRSR Guidance:</t>
  </si>
  <si>
    <t>BRSR Guidance</t>
  </si>
  <si>
    <t>GRI Guidance</t>
  </si>
  <si>
    <t>Definitions:</t>
  </si>
  <si>
    <t>Environment</t>
  </si>
  <si>
    <t>Surface water</t>
  </si>
  <si>
    <t>Refers to water that occurs naturally on the Earth’s surface in ice sheets, ice caps, glaciers, icebergs, bogs, ponds, lakes, rivers, and streams</t>
  </si>
  <si>
    <t>Ground water</t>
  </si>
  <si>
    <t>Refers to water that is being held in, and that can be recovered from, an underground formation</t>
  </si>
  <si>
    <t>Third party water –</t>
  </si>
  <si>
    <t>Refers to municipal water and other private suppliers of water</t>
  </si>
  <si>
    <t>Sea-water / desalinated water</t>
  </si>
  <si>
    <t>Refers to water in a sea or ocean</t>
  </si>
  <si>
    <t>Produced Water</t>
  </si>
  <si>
    <t>Water that enters an organization’s boundary as a result of extraction (e.g., crude oil), processing (e.g., sugar cane crushing), or use of any raw material, and has to consequently be managed by the organization</t>
  </si>
  <si>
    <t>Total water consumption</t>
  </si>
  <si>
    <t>It is a measure of water used by an organization, that it is no longer available for use by the ecosystem or local community, such as water that has been withdrawn and incorporated into products or has evaporated or is polluted to the point of being unusable by other users, and is therefore not released back to surface water, groundwater, seawater, or a third party. If the entity cannot directly measure its water consumption, it may calculate this using the following formula:
Total water consumption = Total water withdrawal – total water discharge.</t>
  </si>
  <si>
    <t>Stationary Combustion</t>
  </si>
  <si>
    <t>Refers to the burning of fuels in stationary sources, such as DG Sets, power plants, industrial facilities, or residential heating systems.</t>
  </si>
  <si>
    <t>Mobile Combustion</t>
  </si>
  <si>
    <t>Involves the combustion of fuels in mobile sources like vehicles, aircraft, ships, or locomotive</t>
  </si>
  <si>
    <t>Renewable Material</t>
  </si>
  <si>
    <t>Material that is derived from plentiful resources that are quickly replenished by ecological cycles or agricultural processes, so that the services provided by these and other linked resources are not endangered and remain available for the next generation</t>
  </si>
  <si>
    <t>Non-renewable materia</t>
  </si>
  <si>
    <t>Resource that does not renew in short time periods
Examples: coal, gas, metals, minerals, oil</t>
  </si>
  <si>
    <t>Recycled input material</t>
  </si>
  <si>
    <t>Material that replaces virgin materials, which are purchased or obtained from internal or external sources, and that are not by-products and non-product outputs (NPO) produced by the organization</t>
  </si>
  <si>
    <t>Social and HR</t>
  </si>
  <si>
    <t>Employees 
(BRSR)</t>
  </si>
  <si>
    <r>
      <rPr>
        <sz val="10"/>
        <color rgb="FF000000"/>
        <rFont val="Verdana"/>
        <family val="2"/>
      </rPr>
      <t xml:space="preserve">The term “Employee” is defined under Sec 2(l) of the Industrial Relations Code, 2020 and means, any person (other than an apprentice engaged under the Apprentices Act, 1961), employed on wages by an establishment to do </t>
    </r>
    <r>
      <rPr>
        <b/>
        <sz val="10"/>
        <color rgb="FF000000"/>
        <rFont val="Verdana"/>
        <family val="2"/>
      </rPr>
      <t>any skilled, semi-skilled or unskilled, manual, operational, supervisory, managerial, administrative, technical or clerical work for hire or reward,</t>
    </r>
    <r>
      <rPr>
        <sz val="10"/>
        <color rgb="FF000000"/>
        <rFont val="Verdana"/>
        <family val="2"/>
      </rPr>
      <t xml:space="preserve"> whether the terms of employment be express or implied, and also includes a person declared to be an employee by the appropriate Government, but does not include any member of the Armed Forces of the Union.</t>
    </r>
  </si>
  <si>
    <t>Employee (Permanent)
(BRSR)</t>
  </si>
  <si>
    <t>The term “permanent employee refers to an employee, employed for full-time or part time work, for an indeterminate period.</t>
  </si>
  <si>
    <t>Worker
(BRSR)</t>
  </si>
  <si>
    <r>
      <rPr>
        <sz val="10"/>
        <color rgb="FF000000"/>
        <rFont val="Verdana"/>
        <family val="2"/>
      </rPr>
      <t>The term “</t>
    </r>
    <r>
      <rPr>
        <b/>
        <sz val="10"/>
        <color rgb="FF000000"/>
        <rFont val="Verdana"/>
        <family val="2"/>
      </rPr>
      <t>Worker</t>
    </r>
    <r>
      <rPr>
        <sz val="10"/>
        <color rgb="FF000000"/>
        <rFont val="Verdana"/>
        <family val="2"/>
      </rPr>
      <t xml:space="preserve">” is defined under Sec 2(zr) of the Industrial Relations Code, 2020 and means any person (except an apprentice as defined under clause (aa) of section 2 of the Apprentices Act, 1961) employed in any industry to do any manual, unskilled, skilled, technical, operational, clerical or supervisory work for hire or reward, whether the terms of employment be express or implied, and includes working journalists as defined in clause (f) of section 2 of the Working Journalists and other Newspaper Employees (Conditions of Service) and Miscellaneous Provisions Act, 1955 and sales promotion employees as defined in clause (d) of section 2 of the Sales Promotion Employees (Conditions of Service) Act,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A worker is employeed in a supervisory capacity drawing </t>
    </r>
    <r>
      <rPr>
        <b/>
        <sz val="10"/>
        <color rgb="FF000000"/>
        <rFont val="Verdana"/>
        <family val="2"/>
      </rPr>
      <t>wages not exceeding Eighteen Thousand Rupees per month</t>
    </r>
    <r>
      <rPr>
        <sz val="10"/>
        <color rgb="FF000000"/>
        <rFont val="Verdana"/>
        <family val="2"/>
      </rPr>
      <t xml:space="preserve"> or an amount as may be notified by the Central Government from time to time.</t>
    </r>
  </si>
  <si>
    <t>Other than Permanent Worker
(BRSR)</t>
  </si>
  <si>
    <t>The term  “other than permanent worker” refers to  workers who are employed for a fixed term that ends when a specific time period expires, or on completion of a specific task or an event such as the end of a project or return of a replaced employee.</t>
  </si>
  <si>
    <t>Other than Permanent Employee
(BRSR)</t>
  </si>
  <si>
    <t>The term “other than permanent employee” or “other than permanent worker” refers to employees or workers who are employed for a fixed term that ends when a specific time period expires, or on completion of a specific task or an event such as the end of a project or return of a replaced employee. “Other than permanent” employees or workers could be employed directly by the entity or through third party contractors.</t>
  </si>
  <si>
    <t>Key Management Personnel</t>
  </si>
  <si>
    <t>Key Management Personnel as defined under Sec 2(51) of the Companies Act 2013, in relation to a company, means— (i) the Chief Executive Officer or the managing director or the manager; (ii) the company secretary; (iii) the whole-time director; (iv) the Chief Financial Officer; and (v) such other officer as may be prescribed</t>
  </si>
  <si>
    <t>Employee Performance Review</t>
  </si>
  <si>
    <r>
      <rPr>
        <b/>
        <sz val="10"/>
        <color rgb="FF000000"/>
        <rFont val="Verdana"/>
        <family val="2"/>
      </rPr>
      <t>Review based on criteria known to the employee and his or her superior</t>
    </r>
    <r>
      <rPr>
        <sz val="10"/>
        <color rgb="FF000000"/>
        <rFont val="Verdana"/>
        <family val="2"/>
      </rPr>
      <t xml:space="preserve">
1. The review is undertaken with the knowledge of the employee at least once per year.
2. The review can include an evaluation by the employee’s direct superior, peers, or a wider range of employees. The review can also involve the human resources department.</t>
    </r>
  </si>
  <si>
    <t>Remuneration</t>
  </si>
  <si>
    <t>Remuneration means any money or its equivalent given or passed to any person for services rendered by him and includes perquisites as defined under the Income-Tax Act, 1961 (43 of 1961)</t>
  </si>
  <si>
    <t>Salary</t>
  </si>
  <si>
    <t>As per the Income Tax Act, 1961, salary includes: 
i. wages 
ii. any annuity or pension 
iii. any gratuity 
iv. any fees, commissions, perquisites or profits in lieu of or in addition to any salary or wages 
v. any advance of salary 
vi. the annual accretion to the balance at the credit of an employee participating in a recognised provident fund, to the extent to which it is chargeable to tax under Rule 6 of Part 'A' of the Fourth Schedule; and 
vii. the aggregate of all sums that are comprised in the transferred balance as referred to in sub-rule (2) of Rule 11 of Part A of the Fourth Schedule of an employee participating in a recognised provident fund, to the extent to which it is chargeable to tax under sub-rule (4) thereof</t>
  </si>
  <si>
    <t>Wages</t>
  </si>
  <si>
    <r>
      <rPr>
        <sz val="10"/>
        <color rgb="FF000000"/>
        <rFont val="Verdana"/>
        <family val="2"/>
      </rPr>
      <t xml:space="preserve">As per Sec 2(y) of the Code on Wages, 2019, Wages means all remuneration Page 19 of 33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t>
    </r>
    <r>
      <rPr>
        <b/>
        <u/>
        <sz val="10"/>
        <color rgb="FF000000"/>
        <rFont val="Verdana"/>
        <family val="2"/>
      </rPr>
      <t xml:space="preserve">includes:
</t>
    </r>
    <r>
      <rPr>
        <sz val="10"/>
        <color rgb="FF000000"/>
        <rFont val="Verdana"/>
        <family val="2"/>
      </rPr>
      <t xml:space="preserve">i. basic pay 
ii. dearness allowance 
iii. retaining allowance, if any, 
</t>
    </r>
    <r>
      <rPr>
        <b/>
        <u/>
        <sz val="10"/>
        <color rgb="FF000000"/>
        <rFont val="Verdana"/>
        <family val="2"/>
      </rPr>
      <t xml:space="preserve">but does not include:
</t>
    </r>
    <r>
      <rPr>
        <sz val="10"/>
        <color rgb="FF000000"/>
        <rFont val="Verdana"/>
        <family val="2"/>
      </rPr>
      <t>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allowances i. any commission payable to the employee 
j. any gratuity payable on the termination of employment 
k. any retrenchment compensation or other retirement benefit payable to the employee or any ex gratia payment made to him on the termination of employment</t>
    </r>
  </si>
  <si>
    <t>LTIFR</t>
  </si>
  <si>
    <r>
      <rPr>
        <b/>
        <sz val="10"/>
        <color theme="1"/>
        <rFont val="Verdana"/>
        <family val="2"/>
      </rPr>
      <t>(No. of lost time injuries in FY x 1,000,000) / (Total hours worked by all staff in same FY)</t>
    </r>
    <r>
      <rPr>
        <sz val="10"/>
        <color theme="1"/>
        <rFont val="Verdana"/>
        <family val="2"/>
      </rPr>
      <t xml:space="preserve">
Lost time is an indicator of the loss of productivity for an organization as a result of a work-related injury or ill-health. Work related injury and ill-health arise from exposure to hazards at work and are directly related to performance of work-related tasks</t>
    </r>
  </si>
  <si>
    <t>Recordable work-related injury</t>
  </si>
  <si>
    <t>Recordable work-related injury or ill-health results in any of the following: death, days away from work, restricted work or transfer to another job, medical treatment beyond first aid, or loss of consciousness. Under this disclosure, the listed entity shall disclose the total number of employees / workers affected by work-related injuries or ill-health, across all incidents during the reporting period and the prior year
The entity shall report the number of fatalities of employees / workers during the reporting period and the prior year, as a result of work-related injury.</t>
  </si>
  <si>
    <t>High consequence work-related injury</t>
  </si>
  <si>
    <t>High consequence work-related injury or illhealth results in an injury from which the employee / worker cannot or is not expected to recover fully to the previous health status. This disclosure excludes fatalities.</t>
  </si>
  <si>
    <t>9 Principles of NGRBC</t>
  </si>
  <si>
    <t>Principle 1: Businesses should conduct and govern themselves with integrity and in a manner that is ethical, transparent and accountable.</t>
  </si>
  <si>
    <t>Principle 2: Businesses should provide goods and service in a manner that is sustainable and safe.</t>
  </si>
  <si>
    <t>Principle 3: Businesses should respect and promote the well-being of all employees, including those in their value chains.</t>
  </si>
  <si>
    <t>Principle 4: Businesses should respect the interests of and be responsive to all its stakeholders.</t>
  </si>
  <si>
    <t>Principle 5: Businesses should respect and promote human rights.</t>
  </si>
  <si>
    <t>Principle 6: Businesses should respect and make efforts to protect and restore the environment.</t>
  </si>
  <si>
    <t>Principle 7: Businesses, when engaging in influencing public and regulatory policy, should do so in a manner that is responsible and transparent.</t>
  </si>
  <si>
    <t>Principle 8: Businesses should promote inclusive growth and equitable development</t>
  </si>
  <si>
    <t>Principle 9: Businesses should engage with and provide value to their consumers in a responsible manner.</t>
  </si>
  <si>
    <t>Local</t>
  </si>
  <si>
    <t>The local community refers to the people native to the operational region (City/Town/Village) of the entity.</t>
  </si>
  <si>
    <t>Clause</t>
  </si>
  <si>
    <t>Question</t>
  </si>
  <si>
    <t>Response</t>
  </si>
  <si>
    <t>Legend</t>
  </si>
  <si>
    <t>New/Updated Indicators- Please share both years data</t>
  </si>
  <si>
    <t>Has the entity conducted Life Cycle Perspective / Assessments (LCA) for any of its products (for manufacturing industry) or for its services (for service industry)? If yes, provide details in the following format?</t>
  </si>
  <si>
    <t>PWC Team has entered previous year data. Please fill in current year data.</t>
  </si>
  <si>
    <t>NIC</t>
  </si>
  <si>
    <t>Name of product/service</t>
  </si>
  <si>
    <t>Amount of total turnover contributed (in Cr. INR)</t>
  </si>
  <si>
    <t>Boundary for which the Life cycle perspective/ assessment was conducted
(Specify the boundary-
Cradle to grave/Cradle to Cradle/Cradle to Gate)</t>
  </si>
  <si>
    <t>Whether conducted by independent external agency (Yes/No)</t>
  </si>
  <si>
    <t>Results communicated in public domain (Yes/No). If yes, provide web-link</t>
  </si>
  <si>
    <t xml:space="preserve">Building </t>
  </si>
  <si>
    <t>-</t>
  </si>
  <si>
    <t>Yes</t>
  </si>
  <si>
    <t>No</t>
  </si>
  <si>
    <t>Last year response</t>
  </si>
  <si>
    <t>Specify Others if any</t>
  </si>
  <si>
    <t xml:space="preserve">Details of total energy consumption (in Joules or multiples) </t>
  </si>
  <si>
    <t xml:space="preserve">Reference </t>
  </si>
  <si>
    <t>Energy Unit Conversion (kWh to Joule)</t>
  </si>
  <si>
    <t>kWh</t>
  </si>
  <si>
    <t>Joule</t>
  </si>
  <si>
    <t>Fuel &amp; Electricity Consumption</t>
  </si>
  <si>
    <t>Fuel &amp; Electricity consumption from non-renewable sources</t>
  </si>
  <si>
    <t>Units</t>
  </si>
  <si>
    <t>Cross Calorific Value with units
(As per Lab Reports)</t>
  </si>
  <si>
    <t>Desnity (If Applicable)</t>
  </si>
  <si>
    <t>Diesel (Stationary Combustion)</t>
  </si>
  <si>
    <t>Kl</t>
  </si>
  <si>
    <t>Diesel (Mobile Combustion)</t>
  </si>
  <si>
    <t>Fuel 3 (Add more if needed and mention whether it is stationary or mobile)</t>
  </si>
  <si>
    <t>Electricity</t>
  </si>
  <si>
    <t>kwh</t>
  </si>
  <si>
    <t>Fuel consumption from renewable sources</t>
  </si>
  <si>
    <t>Fuel 1 (Add more if needed and mention whether it is stationary or mobile)</t>
  </si>
  <si>
    <t>Kwh</t>
  </si>
  <si>
    <t xml:space="preserve">Parameter </t>
  </si>
  <si>
    <t>Water withdrawal by source (in kilolitres)</t>
  </si>
  <si>
    <t>Quantity</t>
  </si>
  <si>
    <t>(i) Surface Water</t>
  </si>
  <si>
    <t>(ii) Ground Water</t>
  </si>
  <si>
    <t>(iii) Third party water</t>
  </si>
  <si>
    <t>(iv) Seawater/
Desalinated water</t>
  </si>
  <si>
    <t>(v) Others</t>
  </si>
  <si>
    <t>Total volume of water withdrawal(in KL) (i+ii+iii+iv+v)</t>
  </si>
  <si>
    <t>Total Volume of water consumption (in kilolitres)</t>
  </si>
  <si>
    <t>Provide the following details related to water discharged:</t>
  </si>
  <si>
    <t>Water discharge by destination and level of treatment (in kilolitres)</t>
  </si>
  <si>
    <t>i) To Surface water</t>
  </si>
  <si>
    <t xml:space="preserve"> No treatment</t>
  </si>
  <si>
    <t>With treatment – please specify level of treatment (Primary/Seconfdary/Tertiary)</t>
  </si>
  <si>
    <t>(ii) To Groundwater</t>
  </si>
  <si>
    <t>No treatment</t>
  </si>
  <si>
    <t>With treatment – please specify level of treatment</t>
  </si>
  <si>
    <t>(iii) To Seawater</t>
  </si>
  <si>
    <t>(iv) Sent to third-parties</t>
  </si>
  <si>
    <t>Total water discharged (in kilolitres)</t>
  </si>
  <si>
    <t>Water withdrawal, consumption and discharge in areas of water stress – For each facility/plant located in areas of water stress, provide the following information</t>
  </si>
  <si>
    <t>(i) Name of the Area</t>
  </si>
  <si>
    <t>Bangalore &amp; NCR</t>
  </si>
  <si>
    <t>(ii) Nature of operations</t>
  </si>
  <si>
    <t>Building Constructions</t>
  </si>
  <si>
    <t>(iii) Water withdrawal, consumption and discharge  in the following format:</t>
  </si>
  <si>
    <t>Parameter</t>
  </si>
  <si>
    <t>Water withdrawal by source in water stressed areas  (in kilolitres)</t>
  </si>
  <si>
    <t>(ii) Groundwater</t>
  </si>
  <si>
    <t>(iv) Seawater/Desalinated water</t>
  </si>
  <si>
    <t>Total volume of water withdrawal (in kilolitres)</t>
  </si>
  <si>
    <t>Total volume of water consumption (in kilolitres) in water stressed areas</t>
  </si>
  <si>
    <t>Water discharge by destination and level of treatment in water stressed areas (in kilolitres)</t>
  </si>
  <si>
    <t>With treatment- please specify level of treatment (primary/secondary/tertiary)</t>
  </si>
  <si>
    <t>Total Water discharged (in kilolitres)</t>
  </si>
  <si>
    <t>Please provide details of air emissions (other than GHG emissions) by the entity, in the following format</t>
  </si>
  <si>
    <t>Please specify unit</t>
  </si>
  <si>
    <t>Add more sites if needed</t>
  </si>
  <si>
    <t>H1</t>
  </si>
  <si>
    <t>H2</t>
  </si>
  <si>
    <t>NOx</t>
  </si>
  <si>
    <t>Kg</t>
  </si>
  <si>
    <t>SOx</t>
  </si>
  <si>
    <t>Particulate Matter (PM)</t>
  </si>
  <si>
    <t>Refrigerant &amp; Fire Extinguisher Related Emission</t>
  </si>
  <si>
    <t>Name</t>
  </si>
  <si>
    <t>Refrigerant</t>
  </si>
  <si>
    <t>R404A</t>
  </si>
  <si>
    <t>R410A</t>
  </si>
  <si>
    <t>R407C</t>
  </si>
  <si>
    <t>R22</t>
  </si>
  <si>
    <t>Specify Another Other Refrigerant Name</t>
  </si>
  <si>
    <t xml:space="preserve">Refilled CO2 Based Fire Extinguisher </t>
  </si>
  <si>
    <t>Details of environmental impact assessments of projects undertaken by the entity based on applicable laws, in the current financial year:</t>
  </si>
  <si>
    <t>Name and brief details of the project</t>
  </si>
  <si>
    <t>EIA Notification No.</t>
  </si>
  <si>
    <t>Date</t>
  </si>
  <si>
    <t>Results communicated in public domain (yes/no)</t>
  </si>
  <si>
    <t>Disclose any significant adverse impact to the environment, arising from the value chain of the entity. What mitigation or adaptation measures have been taken by the entity in this regard.</t>
  </si>
  <si>
    <t>The Company has not observed any adverse impacts to the environment by the suppliers’ that were assessed</t>
  </si>
  <si>
    <t>Percentage of value chain partners (by value of business done with such partners) that were assessed for environmental impacts.</t>
  </si>
  <si>
    <t>Not Disclosed last year</t>
  </si>
  <si>
    <t>Hazardous Waste</t>
  </si>
  <si>
    <t>Offsite</t>
  </si>
  <si>
    <t>Onsite</t>
  </si>
  <si>
    <t>Bio-medical Waste</t>
  </si>
  <si>
    <t>Generated</t>
  </si>
  <si>
    <t>MT</t>
  </si>
  <si>
    <t>Recycled</t>
  </si>
  <si>
    <t>Reused</t>
  </si>
  <si>
    <t>Other recovery options</t>
  </si>
  <si>
    <t>Incinerated</t>
  </si>
  <si>
    <t>Landfilled</t>
  </si>
  <si>
    <t>Other disposal mechanisms</t>
  </si>
  <si>
    <t>Plastic Waste (including packaging)</t>
  </si>
  <si>
    <t>E-waste</t>
  </si>
  <si>
    <t>Construction and Demolition Waste</t>
  </si>
  <si>
    <t>Oil Waste</t>
  </si>
  <si>
    <t>Battery Waste</t>
  </si>
  <si>
    <r>
      <t xml:space="preserve">Other Hazardous Waste </t>
    </r>
    <r>
      <rPr>
        <sz val="16"/>
        <rFont val="Calibri Light"/>
        <family val="2"/>
        <scheme val="major"/>
      </rPr>
      <t>(Please specify the name)</t>
    </r>
  </si>
  <si>
    <t>Non-hazardous Waste</t>
  </si>
  <si>
    <t xml:space="preserve">Paper Waste </t>
  </si>
  <si>
    <t xml:space="preserve">Wood Waste </t>
  </si>
  <si>
    <r>
      <t xml:space="preserve">Other Non Hazardous Waste </t>
    </r>
    <r>
      <rPr>
        <sz val="16"/>
        <rFont val="Calibri Light"/>
        <family val="2"/>
        <scheme val="major"/>
      </rPr>
      <t>(Please specify the name)</t>
    </r>
  </si>
  <si>
    <t>Amount of R&amp;D and capital expenditure (capex) investments in specific technologies to improve the environmental and social impacts of product and processes to total R&amp;D and capex investments made by the entity, respectively.</t>
  </si>
  <si>
    <t>Details of improvements in environmental and social impacts</t>
  </si>
  <si>
    <t>Total R&amp;D and Capex Amount in Cr.</t>
  </si>
  <si>
    <t>R&amp;D</t>
  </si>
  <si>
    <t>Capex</t>
  </si>
  <si>
    <r>
      <t xml:space="preserve">4. </t>
    </r>
    <r>
      <rPr>
        <b/>
        <sz val="16"/>
        <color theme="1"/>
        <rFont val="Calibri"/>
        <family val="2"/>
        <scheme val="minor"/>
      </rPr>
      <t xml:space="preserve">Name of the national and international codes/certifications/labels/ standards
</t>
    </r>
    <r>
      <rPr>
        <sz val="16"/>
        <color theme="1"/>
        <rFont val="Calibri"/>
        <family val="2"/>
        <scheme val="minor"/>
      </rPr>
      <t>(e.g. Forest Stewardship Council, Fairtrade, Rainforest Alliance, Trustea) standards (e.g. SA 8000, OHSAS, ISO, BIS or any others) adopted by your entity:</t>
    </r>
  </si>
  <si>
    <t>Fuel and electricity consumption from renewable sources</t>
  </si>
  <si>
    <t>Fuel 1 (Add more if needed)</t>
  </si>
  <si>
    <t>Quarter 1 (April to June)</t>
  </si>
  <si>
    <t>Quarter 2 (July to Sept)</t>
  </si>
  <si>
    <t>Quarter 3 (Oct - Dec)</t>
  </si>
  <si>
    <t>Quarter 4 (Jan- Mar)</t>
  </si>
  <si>
    <t>Add Quarter or Half YearlyLab reports as applicable/
Stack Monitoring Data</t>
  </si>
  <si>
    <t>New/Updated Indicators</t>
  </si>
  <si>
    <t>Number of Employees and Workers</t>
  </si>
  <si>
    <t>Number of Males</t>
  </si>
  <si>
    <t>Number of Females</t>
  </si>
  <si>
    <t>Definition for employee (see attached note)</t>
  </si>
  <si>
    <t>Permanent Employees</t>
  </si>
  <si>
    <t>Definition for workers (see attached note)</t>
  </si>
  <si>
    <t>Other than Permanent Employees</t>
  </si>
  <si>
    <t>Permanent Workers</t>
  </si>
  <si>
    <t>Other Than Permanent Workers</t>
  </si>
  <si>
    <t>Differently Abled Employees and Workers</t>
  </si>
  <si>
    <t>Below 30 years of age</t>
  </si>
  <si>
    <t>30-50 years of age</t>
  </si>
  <si>
    <t>Above 50 years of age</t>
  </si>
  <si>
    <t>Category</t>
  </si>
  <si>
    <t>Males</t>
  </si>
  <si>
    <t>Females</t>
  </si>
  <si>
    <t>Other Than Permanent Employees</t>
  </si>
  <si>
    <t>Total</t>
  </si>
  <si>
    <t>Age group total</t>
  </si>
  <si>
    <t>Separations By Region</t>
  </si>
  <si>
    <t>Non-Local</t>
  </si>
  <si>
    <t>Local Defination</t>
  </si>
  <si>
    <t>Local: The local community refers to the people native to the operational region (City/Town/Village) of the entity.</t>
  </si>
  <si>
    <t>New Employee Hires</t>
  </si>
  <si>
    <t>New Workers Hires</t>
  </si>
  <si>
    <t>New Hires By Region</t>
  </si>
  <si>
    <t>Local Hires</t>
  </si>
  <si>
    <t>Non Local Hires</t>
  </si>
  <si>
    <t>Disclosure 202-2 Proportion of senior management hired from the local community</t>
  </si>
  <si>
    <t>Male</t>
  </si>
  <si>
    <t>Female</t>
  </si>
  <si>
    <t>Total number of senior management employees</t>
  </si>
  <si>
    <t>Number of Senior management at significant locations of operation that are hired from the local community.</t>
  </si>
  <si>
    <t>Local Definition</t>
  </si>
  <si>
    <t>Percentage of senior management at significant locations of operation that are hired from the local community.</t>
  </si>
  <si>
    <t>E.1</t>
  </si>
  <si>
    <t>Coverage off training and awareness programmes on any of the 9 Principles of NGRBC during the financial year:</t>
  </si>
  <si>
    <r>
      <t>*</t>
    </r>
    <r>
      <rPr>
        <b/>
        <sz val="12"/>
        <color rgb="FFFF0000"/>
        <rFont val="Calibri"/>
        <family val="2"/>
        <scheme val="minor"/>
      </rPr>
      <t>9 Principles of NGRBC</t>
    </r>
    <r>
      <rPr>
        <sz val="12"/>
        <color theme="1"/>
        <rFont val="Calibri"/>
        <family val="2"/>
        <scheme val="minor"/>
      </rPr>
      <t>- Refer the General Instructions Tab</t>
    </r>
  </si>
  <si>
    <t>Segment</t>
  </si>
  <si>
    <t>Total number of training and awareness programmes held</t>
  </si>
  <si>
    <t>Topics/principles covered under the training and its impact</t>
  </si>
  <si>
    <t>Number of persons in respective category covered by the awareness programmes</t>
  </si>
  <si>
    <t>E.1.c</t>
  </si>
  <si>
    <t>For Employees</t>
  </si>
  <si>
    <t>For Workers</t>
  </si>
  <si>
    <t>Details of training given to employees and workers (on skill upgradation)</t>
  </si>
  <si>
    <t>On skill upgradation</t>
  </si>
  <si>
    <t>Number of employees/workers</t>
  </si>
  <si>
    <t xml:space="preserve">Male </t>
  </si>
  <si>
    <t>Employees and workers who have been provided training on human rights issues and policy(ies) of the entity, in the following format</t>
  </si>
  <si>
    <t xml:space="preserve">No. of employees/workers covered </t>
  </si>
  <si>
    <t>Employees</t>
  </si>
  <si>
    <t>Permanent</t>
  </si>
  <si>
    <t>Other than Permanent</t>
  </si>
  <si>
    <t>Total Employees</t>
  </si>
  <si>
    <t>Workers</t>
  </si>
  <si>
    <t>Total Workers</t>
  </si>
  <si>
    <t>a. Details of measures for the well-being of employees and workers</t>
  </si>
  <si>
    <t>Number of employees/workers covered by health insurance</t>
  </si>
  <si>
    <t>Number of employees/workers covered by accident insurance</t>
  </si>
  <si>
    <t>Number of employees/workers covered by maternity/paternity benefits</t>
  </si>
  <si>
    <t>Number of employees/workers covered by daycare facilities</t>
  </si>
  <si>
    <t xml:space="preserve">Permanent Employees - Males </t>
  </si>
  <si>
    <t>Permanent Employees - Females</t>
  </si>
  <si>
    <t xml:space="preserve">Other than Permanent Employees - Males </t>
  </si>
  <si>
    <t>Other than Permanent Employees - Females</t>
  </si>
  <si>
    <t>Permanent Workers - Males</t>
  </si>
  <si>
    <t>Permanent Workers - Females</t>
  </si>
  <si>
    <t>Other than Permanent Workers - Males</t>
  </si>
  <si>
    <t>Other than Permanent Workers - Females</t>
  </si>
  <si>
    <t>Details regarding Maternity/Paternity Leaves - Permanent Employees</t>
  </si>
  <si>
    <t>Employees that were Entitled to maternity/paternity leave</t>
  </si>
  <si>
    <t>number</t>
  </si>
  <si>
    <t>Employees that availed maternity/paternity leave</t>
  </si>
  <si>
    <t>Employees that Returned to work after maternity/paternity leave ended</t>
  </si>
  <si>
    <t>Number of employees due to return to work after maternity/paternity leave</t>
  </si>
  <si>
    <t>Employed with organisation for 12 months after maternity/paternity leave</t>
  </si>
  <si>
    <t>Total number of employees returning from maternity/paternity leave in the prior reporting period</t>
  </si>
  <si>
    <t>Returned to work rate</t>
  </si>
  <si>
    <t>percentage</t>
  </si>
  <si>
    <t>Retention rate</t>
  </si>
  <si>
    <t>Details regarding Maternity/Paternity Leaves - Permanent Workers</t>
  </si>
  <si>
    <t>Workers that were Entitled to Maternity/paternity leave</t>
  </si>
  <si>
    <t>Workers that availed Maternity/paternity leave</t>
  </si>
  <si>
    <t>Workers that Returned to work after Maternity/paternity leave ended</t>
  </si>
  <si>
    <t>Number of Workers due to return to work after Maternity/paternity leave</t>
  </si>
  <si>
    <t>Employed with organisation for 12 months after Maternity/paternity leave</t>
  </si>
  <si>
    <t>Total number of workers returning from Maternity/paternity leave in the prior reporting period</t>
  </si>
  <si>
    <t>c. Spending on measures towards well-being of employees and workers (including permanent and other than permanent) in the following format –</t>
  </si>
  <si>
    <t>Cost incurred on well-being measures in Cr. INR
(Cost includes the measures such– health insurance, accident insurance, maternity benefits, paternity benefits, day care facilities, health &amp; safety measures including access to mental health)</t>
  </si>
  <si>
    <t>Details of retirement benefits, for Current FY and Previous Financial Year.</t>
  </si>
  <si>
    <t>Benefits</t>
  </si>
  <si>
    <t xml:space="preserve">No. of employees covered </t>
  </si>
  <si>
    <t xml:space="preserve">No. of workers covered </t>
  </si>
  <si>
    <t>Deducted and deposited with the authority (Y/N/NA)</t>
  </si>
  <si>
    <t>PF</t>
  </si>
  <si>
    <t>Gratuity</t>
  </si>
  <si>
    <t>ESI</t>
  </si>
  <si>
    <t>Others</t>
  </si>
  <si>
    <t xml:space="preserve">Details of performance and career development reviews of employees and workers </t>
  </si>
  <si>
    <t>Number of employees and workers</t>
  </si>
  <si>
    <t>Number of Complaints on the following made by employees and workers:</t>
  </si>
  <si>
    <t>Filed during the year</t>
  </si>
  <si>
    <t>Pending Resolution at the end of year</t>
  </si>
  <si>
    <t>Remarks</t>
  </si>
  <si>
    <t>Sexual Harassment (Prevention, Prohibition and Redressal) Act, 2013 (POSH)</t>
  </si>
  <si>
    <t>Discrimination at workplace</t>
  </si>
  <si>
    <t>Child Labour</t>
  </si>
  <si>
    <t>Forced Labour/Involuntary Labour</t>
  </si>
  <si>
    <t>Other Human Rights related issues</t>
  </si>
  <si>
    <t xml:space="preserve"> Incidents of discrimination and corrective actions taken</t>
  </si>
  <si>
    <t>Particulars</t>
  </si>
  <si>
    <t>Status of the incidents</t>
  </si>
  <si>
    <t>Actions taken</t>
  </si>
  <si>
    <t>i.Incident reviewed by the organization;</t>
  </si>
  <si>
    <t>ii. Remediation plans being implemented;</t>
  </si>
  <si>
    <t>iii.Remediation plans that have been implemented, with results reviewed through routine internal management review processes;</t>
  </si>
  <si>
    <t>iv. Incident no longer subject to action.</t>
  </si>
  <si>
    <t>Details of minimum wages paid to employees and workers, in the following format</t>
  </si>
  <si>
    <t>Equal to Minimum wage</t>
  </si>
  <si>
    <t>Above minimum wage</t>
  </si>
  <si>
    <t>Number of Employees</t>
  </si>
  <si>
    <t>Number of Workers</t>
  </si>
  <si>
    <t>Disclose wages paid to persons employed (including employees or workers employed on a permanent or non-permanent / on contract basis) and the Total Wage Cost</t>
  </si>
  <si>
    <r>
      <rPr>
        <b/>
        <sz val="14"/>
        <color rgb="FFFF0000"/>
        <rFont val="Calibri"/>
        <family val="2"/>
        <scheme val="minor"/>
      </rPr>
      <t>NOTE</t>
    </r>
    <r>
      <rPr>
        <sz val="14"/>
        <color theme="1"/>
        <rFont val="Calibri"/>
        <family val="2"/>
        <scheme val="minor"/>
      </rPr>
      <t>: Provide only</t>
    </r>
    <r>
      <rPr>
        <b/>
        <sz val="14"/>
        <color theme="1"/>
        <rFont val="Calibri"/>
        <family val="2"/>
        <scheme val="minor"/>
      </rPr>
      <t xml:space="preserve"> corporate function</t>
    </r>
    <r>
      <rPr>
        <sz val="14"/>
        <color theme="1"/>
        <rFont val="Calibri"/>
        <family val="2"/>
        <scheme val="minor"/>
      </rPr>
      <t xml:space="preserve"> data as the business segments have been asked the information separately</t>
    </r>
  </si>
  <si>
    <t>Location</t>
  </si>
  <si>
    <t>Wages Paid</t>
  </si>
  <si>
    <t>Total Wage Cost</t>
  </si>
  <si>
    <t>Rural areas: Having population less that 10,000 people</t>
  </si>
  <si>
    <t>Rural</t>
  </si>
  <si>
    <t> </t>
  </si>
  <si>
    <t>Semi urban: having population between 10,000 and 1 lakh people</t>
  </si>
  <si>
    <t>Semi-urban</t>
  </si>
  <si>
    <t>Urban: having poulation betweeen 1 lakh and 10 lakh</t>
  </si>
  <si>
    <t>urban</t>
  </si>
  <si>
    <t>Metropolitan: 10 lakh and above</t>
  </si>
  <si>
    <t>Metropolitan</t>
  </si>
  <si>
    <t xml:space="preserve">Disclosure 410-1 </t>
  </si>
  <si>
    <t>Security personnel trained in human rights policies or procedures</t>
  </si>
  <si>
    <t>Total number of security personnel within the organisation</t>
  </si>
  <si>
    <t>Security personnel who have received formal training in the organization’s human rights policies or specific procedures and their application to security.</t>
  </si>
  <si>
    <t>a. Percentage of security personnel who have received formal training in the organization’s human rights policies or specific procedures and their application to security.</t>
  </si>
  <si>
    <t>b. Whether training requirements also apply to third-party organizations providing security personnel.</t>
  </si>
  <si>
    <t>Details of training given to employees and workers (on  health and safety measures)</t>
  </si>
  <si>
    <t>On Health and safety measures</t>
  </si>
  <si>
    <t>Man Hours:</t>
  </si>
  <si>
    <t>Details of safety related incidents (LTIFR, injuries, fatalities, High consequence work-related injury or ill-health)</t>
  </si>
  <si>
    <t>Safety Incident/Number</t>
  </si>
  <si>
    <t>Total recordable work-related injuries (LTI) as per the rule</t>
  </si>
  <si>
    <t>Number</t>
  </si>
  <si>
    <t>No. of Fatalities</t>
  </si>
  <si>
    <t>High consequence work related injury or ill-health(excluding fatalities)</t>
  </si>
  <si>
    <t>Working Conditions</t>
  </si>
  <si>
    <t>Health &amp; Safety</t>
  </si>
  <si>
    <t>Number of sites and offices that are assesed for safety practices</t>
  </si>
  <si>
    <t>Total Number of Sites/Office</t>
  </si>
  <si>
    <t>Number of Sites/Office that are assesed for safety practices</t>
  </si>
  <si>
    <t>Health and Safety practices</t>
  </si>
  <si>
    <t>Number of employees / workers having suffered high consequence work-related injury / ill-health / fatalities, who have been rehabilitated and placed in suitable employment or whose family members have been placed in suitable employment:</t>
  </si>
  <si>
    <t>Total no. of affected employees/workers</t>
  </si>
  <si>
    <t>No. of employees/workers that are rehabilitated and placed in suitable employment or whose family members have been placed in suitable employment</t>
  </si>
  <si>
    <t xml:space="preserve">416-1 </t>
  </si>
  <si>
    <t>Assessment of the health and safety impacts of product and service categories</t>
  </si>
  <si>
    <t>Total number of significant product and service categories</t>
  </si>
  <si>
    <t>Number of significant product and service categories for which health and safety impacts are assessed for improvement.</t>
  </si>
  <si>
    <t>Percentage of significant product and service categories for which health and safety impacts are assessed for improvement.</t>
  </si>
  <si>
    <t>Percentage of recycled or reused input material to total material (by value) used in production (for manufacturing industry) or providing services (for service industry).</t>
  </si>
  <si>
    <t>Indicate input Material Name</t>
  </si>
  <si>
    <t>Recycled or re-used input material to total material (%)</t>
  </si>
  <si>
    <t>Example- Process solid waste like slag, scrap etc.</t>
  </si>
  <si>
    <t>Currently we do not have systems in place to record information regarding the percentage of recycled or reused input material to the total material.</t>
  </si>
  <si>
    <t>Disclosure 301-1: Total weight or volume of materials that are used to produce and package the organization’s primary products and services</t>
  </si>
  <si>
    <t>Materials used</t>
  </si>
  <si>
    <t>Unit</t>
  </si>
  <si>
    <t>Non-renewable Used</t>
  </si>
  <si>
    <t>Material 1</t>
  </si>
  <si>
    <t>Metric Tonnes</t>
  </si>
  <si>
    <t>Material 2</t>
  </si>
  <si>
    <t>Renewable materials used</t>
  </si>
  <si>
    <t>Disclosure 301-2 Recycled input materials used</t>
  </si>
  <si>
    <t>Percentage of recycled input materials used to manufacture the organization's primary products and services.</t>
  </si>
  <si>
    <t>Recycled Input material used</t>
  </si>
  <si>
    <t>Total Input Material</t>
  </si>
  <si>
    <t>% of Recycled input material used</t>
  </si>
  <si>
    <t>Reclaimed products and their packaging materials</t>
  </si>
  <si>
    <t>Products and their packaging materials reclaimed</t>
  </si>
  <si>
    <t>Told Products and their packaging materials Sold</t>
  </si>
  <si>
    <t>Percentage of reclaimed products and their packaging materials</t>
  </si>
  <si>
    <t>Of the products and packaging reclaimed at end of life of products, amount (in metric tonnes) reused, recycled, and safely disposed, as per the following format:</t>
  </si>
  <si>
    <t>Re-used</t>
  </si>
  <si>
    <t>Safely Disposed</t>
  </si>
  <si>
    <t>Plastics(including packaging)</t>
  </si>
  <si>
    <t>Other Waste</t>
  </si>
  <si>
    <t>Percentage of input material (inputs to total inputs by value) sourced from suppliers
-Directly sourced from MSMEs/ small producers
-Directly from within India</t>
  </si>
  <si>
    <t>Small producers:  Investment in Plant and Machinery
or Equipment not more than Rs.10 crore and Annual
Turnover not more than Rs. 50 crore</t>
  </si>
  <si>
    <t>Directly sourced from MSMEs/ small producers</t>
  </si>
  <si>
    <t>Directly from within India</t>
  </si>
  <si>
    <t>Disclosure 204-1 Proportion of spending on local suppliers</t>
  </si>
  <si>
    <t>Total Procurement Budget</t>
  </si>
  <si>
    <t>Procurement includes both material and consultancy</t>
  </si>
  <si>
    <t>Procurement budget spent on local suppliers</t>
  </si>
  <si>
    <t>Percentage of the procurement budget used for significant locations of operation that is spent on suppliers local to that operation (such as percentage of products and services purchased locally).</t>
  </si>
  <si>
    <t xml:space="preserve">a. Does the entity have preferential procurement policy where it gives preference to purchase from suppliers comprising marginalized /vulnerable groups
</t>
  </si>
  <si>
    <t xml:space="preserve">b. From which marginalized /vulnerable groups do you procure?
</t>
  </si>
  <si>
    <t>c. What percentage of total procurement (by value) does it constitute?</t>
  </si>
  <si>
    <t>No such process is in place now</t>
  </si>
  <si>
    <t>Describe the Mechanisms in place to receive and respond to consumer complaints and feedback</t>
  </si>
  <si>
    <t>At BEPL dedictaed WhatsApp Bots, Email,  and specific Relationship Managers are appointed to resolve any complaints. There is also CRM system for raising ticket and  Customer portal app.to further support the customers.</t>
  </si>
  <si>
    <t xml:space="preserve">Turnover of products and/ services as a percentage of turnover from all products/service that carry information about:
</t>
  </si>
  <si>
    <t>As a %age to total turnover</t>
  </si>
  <si>
    <t>Environmental and social parameters relevant to the product</t>
  </si>
  <si>
    <t xml:space="preserve"> </t>
  </si>
  <si>
    <t>Safe and responsible usage</t>
  </si>
  <si>
    <t>Recycling and/or safe disposal</t>
  </si>
  <si>
    <t>Steps taken to inform and educate consumers about safe and responsible usage of products and/or services</t>
  </si>
  <si>
    <t>No residential projects are delivered, the same shall be reviewed in next financial year.
For Commerical Projects- Regularly Fire Drills, Energy Saving training, Waste Disposals information is provided to tenants</t>
  </si>
  <si>
    <t>Awareness programmes conducted for value chain partners on any of the Principles during the financial year</t>
  </si>
  <si>
    <t>Total number of awareness programmes held</t>
  </si>
  <si>
    <t>Topics/ Principles covered under the training</t>
  </si>
  <si>
    <t>%age of value chain partners covered(by value of business done with such partners) under the awareness programmes</t>
  </si>
  <si>
    <t>Details on assessment of value chain partners:</t>
  </si>
  <si>
    <t>% of value chain partners( by value of business done with such partners) that were assessed</t>
  </si>
  <si>
    <t>Health and Safety Practices</t>
  </si>
  <si>
    <t>Provide details of corrective actions taken to address significant risks / concerns arising from assessments of health and safety practices and working conditions of value chain partners.</t>
  </si>
  <si>
    <t>Details on assessment of value chain partners</t>
  </si>
  <si>
    <t>% of value chain partners (by value of business done with such partners) that were assessed</t>
  </si>
  <si>
    <t>Sexual Harassment</t>
  </si>
  <si>
    <t>Others- please specify</t>
  </si>
  <si>
    <t>Provide details of any corrective actions taken or underway to address significant risks / concerns arising from the assessments at Question above</t>
  </si>
  <si>
    <t>308-2 Negative environmental impacts in the supply chain and actions taken</t>
  </si>
  <si>
    <t>Number of suppliers assesed for environmental impacts</t>
  </si>
  <si>
    <t>Nos</t>
  </si>
  <si>
    <t>Number of suppliers identified as having significant actual and potential negative environmental impacts.</t>
  </si>
  <si>
    <t xml:space="preserve">Number of suppliers  having   negative
environmental impacts with which improvements were agreed upon </t>
  </si>
  <si>
    <t>Percentage of suppliers  having  potential negative
environmental impacts with which improvements were agreed upon</t>
  </si>
  <si>
    <t>Percentage</t>
  </si>
  <si>
    <t>Number of suppliers terminated for having negative environmental impacts</t>
  </si>
  <si>
    <t>Percentage of suppliers terminated for having negative environmental impacts</t>
  </si>
  <si>
    <t>408-1</t>
  </si>
  <si>
    <t xml:space="preserve"> Operations and suppliers at significant risk for incidents of child labor</t>
  </si>
  <si>
    <t>Operations and suppliers considered to have significant risk for incidents of:</t>
  </si>
  <si>
    <t>i. child labor;</t>
  </si>
  <si>
    <t>ii. young workers exposed to hazardous work</t>
  </si>
  <si>
    <t>Operations and suppliers considered to have significant risk for incidents of child labor either in terms of:</t>
  </si>
  <si>
    <t>i. type of operation (such as manufacturing plant) and supplier;</t>
  </si>
  <si>
    <t>ii. countries or geographic areas with operations and suppliers considered at risk.</t>
  </si>
  <si>
    <t>Measures taken by the organization in the reporting period intended to contribute to the effective abolition of child labor.</t>
  </si>
  <si>
    <t xml:space="preserve">Disclosure 414-2 </t>
  </si>
  <si>
    <t>Negative social impacts in the supply chain and actions taken</t>
  </si>
  <si>
    <t>Questions</t>
  </si>
  <si>
    <t>a. Number of suppliers assesed for social impacts</t>
  </si>
  <si>
    <t>b. Number of suppliers identified as having significant actual and potential negative social impacts.</t>
  </si>
  <si>
    <t>c. Significant actual and potential negative social impacts identified in the supply chain.</t>
  </si>
  <si>
    <t>Suppliers identified as having significant actual and potential negative social impacts with which relationships were terminated as a result of assessment, and why.</t>
  </si>
  <si>
    <t>e. Percentage of suppliers identified as having significant actual and potential negative
social impacts with which relationships were terminated as a result of assessment,
and why.</t>
  </si>
  <si>
    <t>Inputs sourced sustainably</t>
  </si>
  <si>
    <t>Total Inputs (in weight)</t>
  </si>
  <si>
    <t>Inputs Sourced Sustainably (in weight)</t>
  </si>
  <si>
    <t>Number of consumer complaints received and pending resolution at end of year in respect of the following:</t>
  </si>
  <si>
    <t>Received during the year</t>
  </si>
  <si>
    <t>Pending resolution at the end of year</t>
  </si>
  <si>
    <t>Data privacy</t>
  </si>
  <si>
    <t>Advertising</t>
  </si>
  <si>
    <t>Cyber-security</t>
  </si>
  <si>
    <t>Delivery of essential services</t>
  </si>
  <si>
    <t>Restrictive trade practices</t>
  </si>
  <si>
    <t>Unfair trade practices</t>
  </si>
  <si>
    <t>Other</t>
  </si>
  <si>
    <t>b. Listing of membership in top 10 trade and industry chambers/ associations (determined based on the total members of such body)</t>
  </si>
  <si>
    <t>S. No.</t>
  </si>
  <si>
    <t>Name of the trade and industry chambers/ associations</t>
  </si>
  <si>
    <t>Reach of trade and industry chambers/ associations (State/National)</t>
  </si>
  <si>
    <t>For intensity calculation</t>
  </si>
  <si>
    <t>Turnover In Rupees</t>
  </si>
  <si>
    <t>Total area of real estate constructed</t>
  </si>
  <si>
    <t>Any other relevant metric to quantity production</t>
  </si>
  <si>
    <t>FY24 (previous FY)</t>
  </si>
  <si>
    <t>FY25 (Current FY)</t>
  </si>
  <si>
    <t>FY25 (Current FY)
Quantity</t>
  </si>
  <si>
    <t>FY25 (Current FY) - Site 3</t>
  </si>
  <si>
    <t>FY25 (Current FY) - Site 4</t>
  </si>
  <si>
    <t>FY25 (Current FY) - Site 5</t>
  </si>
  <si>
    <t>Waste (Generation, Recovery and Disposal) for FY 25 (current year)</t>
  </si>
  <si>
    <t>Quarter 1 (April 24 - June 24)</t>
  </si>
  <si>
    <t>Quarter 2 (July 24 - Sept 24)</t>
  </si>
  <si>
    <t>Quarter 3 (Oct 24 - Dec 24)</t>
  </si>
  <si>
    <t>Quarter 4 (Jan 25 - Mar 25)</t>
  </si>
  <si>
    <t>FY 25 (current FY)</t>
  </si>
  <si>
    <t>FY 25 (current financial year) Amount in Cr.</t>
  </si>
  <si>
    <t>FY 24 (previous FY)</t>
  </si>
  <si>
    <t>FY 25 (Current FY)</t>
  </si>
  <si>
    <t>FY25 (current FY)</t>
  </si>
  <si>
    <t>Total Man Hours FY 25 - Males</t>
  </si>
  <si>
    <t>Total Man Hours FY 25 - Females</t>
  </si>
  <si>
    <t>FY25 (Employees)</t>
  </si>
  <si>
    <t>FY 25 (Workers)</t>
  </si>
  <si>
    <t>FY24 (Previous FY)</t>
  </si>
  <si>
    <t>FY 2024-25</t>
  </si>
  <si>
    <t>Total in FY 24-25</t>
  </si>
  <si>
    <t>Employee Count (as on end of FY - 31st March 2025)</t>
  </si>
  <si>
    <t xml:space="preserve">Employee Count (as on beginning of FY - 1st April 2024) </t>
  </si>
  <si>
    <t>Employees Separated in FY25</t>
  </si>
  <si>
    <t>Workers Separated in FY25</t>
  </si>
  <si>
    <t>Response for FY 25</t>
  </si>
  <si>
    <t>Will be communicated</t>
  </si>
  <si>
    <t>(v) Others - Treated Water</t>
  </si>
  <si>
    <t>Fuel 3 - Petrol Mobile (Add more if needed and mention whether it is stationary or mobile)</t>
  </si>
  <si>
    <t>FY25 (Current FY) - Aurora</t>
  </si>
  <si>
    <t>FY25 (Current FY) - Centurion</t>
  </si>
  <si>
    <t>FY25 (Current FY) - Tisya</t>
  </si>
  <si>
    <t>FY25 (Current FY) - Trimaya</t>
  </si>
  <si>
    <t>FY25 (Current FY) - Navya</t>
  </si>
  <si>
    <t>Specify Another Other Refrigerant Name - R134a</t>
  </si>
  <si>
    <t xml:space="preserve">Food Waste </t>
  </si>
  <si>
    <t>Municipal Waste</t>
  </si>
  <si>
    <t>No significant adverse imapct to the environemnt</t>
  </si>
  <si>
    <t>Oil Filters</t>
  </si>
  <si>
    <t>Used Oil Waste</t>
  </si>
  <si>
    <t xml:space="preserve">Non-hazardous Waste </t>
  </si>
  <si>
    <r>
      <t xml:space="preserve">Other Hazardous Waste </t>
    </r>
    <r>
      <rPr>
        <sz val="16"/>
        <rFont val="Calibri Light"/>
        <family val="2"/>
        <scheme val="major"/>
      </rPr>
      <t xml:space="preserve"> Diesel barrels</t>
    </r>
  </si>
  <si>
    <t>Bio - medical waste</t>
  </si>
  <si>
    <t>Cotton Rags</t>
  </si>
  <si>
    <t>M/S BARMALT INDIA PRIVATE LIMITED (Birla Arika) Sector-31-32A, Gurugram, Haryana</t>
  </si>
  <si>
    <t xml:space="preserve">EC Identification No. EC24B3813HR5667097N
File No. SEAC/HR/2024/145
</t>
  </si>
  <si>
    <t>13.11.2024</t>
  </si>
  <si>
    <t>Birla Evara</t>
  </si>
  <si>
    <t>EC24B3813KA5382593N
File No:SEIAA 215 CON 2023</t>
  </si>
  <si>
    <t>14.11.24</t>
  </si>
  <si>
    <t>YEs</t>
  </si>
  <si>
    <t>Other than Permanent Workers</t>
  </si>
  <si>
    <t xml:space="preserve">last week  March-2025  Observataion compliances are awaited form Project Team. </t>
  </si>
  <si>
    <t>Birla Ojasvi</t>
  </si>
  <si>
    <t>T024B3813KA5929032A
File No: SEIAA 215 CON 2023</t>
  </si>
  <si>
    <t>16.08.2024</t>
  </si>
  <si>
    <t>Unit (Sq. Ft)</t>
  </si>
  <si>
    <t>Sq.m</t>
  </si>
  <si>
    <t>Boundary: Birla Niyaara Tower B Project
(Only carbon quantification is done)</t>
  </si>
  <si>
    <t xml:space="preserve">BEPL is a member of CII, IGBC, CREDAI, NSC, CIDC.
ESG Rating from GRESB (Global Real Estate Sustainability Benchmarking). Our current ratings are as 
Standing Investments (Commercial projects) – Five star rating with 90 Score
Development portfolio (Residential developments)  – Four star rating with 96 score
We are also ISO 14001, ISO 45001, and ISO 9001 certified. 
</t>
  </si>
  <si>
    <t>Principle 1, 3 &amp;6</t>
  </si>
  <si>
    <r>
      <t xml:space="preserve">Number of </t>
    </r>
    <r>
      <rPr>
        <b/>
        <sz val="16"/>
        <color rgb="FFFF0000"/>
        <rFont val="Calibri"/>
        <family val="2"/>
        <scheme val="minor"/>
      </rPr>
      <t>Observations</t>
    </r>
    <r>
      <rPr>
        <sz val="16"/>
        <color theme="1"/>
        <rFont val="Calibri"/>
        <family val="2"/>
        <scheme val="minor"/>
      </rPr>
      <t>/Complaints on Working conditions and safety by employees and workers</t>
    </r>
  </si>
  <si>
    <t>NA</t>
  </si>
  <si>
    <t>CREDAi - MCHi (Maharastra Chamber of Housing industry</t>
  </si>
  <si>
    <t>National</t>
  </si>
  <si>
    <t>CII - Confederation of Indian Industry</t>
  </si>
  <si>
    <t>NSC - National Safety council</t>
  </si>
  <si>
    <t>CIDC - Construction Industry Development council</t>
  </si>
  <si>
    <t xml:space="preserve">Major cases are regarding cancellation of unit booking and forfeiture of earnest money by the developer due to non-payment by the customer. Matter pending before the District Consumer Redressal Commission..
</t>
  </si>
  <si>
    <t>IGBC - Indian Green Building Council</t>
  </si>
  <si>
    <t>Residential</t>
  </si>
  <si>
    <t>Commercial</t>
  </si>
  <si>
    <t>Total area in sq.m</t>
  </si>
  <si>
    <t></t>
  </si>
  <si>
    <t>Total . Sq.ft</t>
  </si>
  <si>
    <t>Common </t>
  </si>
  <si>
    <t>Tenant</t>
  </si>
  <si>
    <t>Birla Aurora</t>
  </si>
  <si>
    <t> 317100.37</t>
  </si>
  <si>
    <t> 254378</t>
  </si>
  <si>
    <t>Birla Centurion</t>
  </si>
  <si>
    <r>
      <t> </t>
    </r>
    <r>
      <rPr>
        <sz val="11"/>
        <color rgb="FF1F497D"/>
        <rFont val="Calibri"/>
        <family val="2"/>
      </rPr>
      <t>345109.0</t>
    </r>
  </si>
  <si>
    <r>
      <t> </t>
    </r>
    <r>
      <rPr>
        <sz val="11"/>
        <color rgb="FF1F497D"/>
        <rFont val="Calibri"/>
        <family val="2"/>
      </rPr>
      <t>353865.0</t>
    </r>
  </si>
  <si>
    <t>sq.ft</t>
  </si>
  <si>
    <t>sq.m</t>
  </si>
  <si>
    <t>Commerial</t>
  </si>
  <si>
    <t>Total sq. m</t>
  </si>
  <si>
    <t>sq. ft</t>
  </si>
  <si>
    <t>sq.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</si>
</sst>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54">
    <font>
      <sz val="11"/>
      <color theme="1"/>
      <name val="Calibri"/>
      <family val="2"/>
      <scheme val="minor"/>
    </font>
    <font>
      <b/>
      <sz val="11"/>
      <color theme="1"/>
      <name val="Calibri"/>
      <family val="2"/>
      <scheme val="minor"/>
    </font>
    <font>
      <sz val="16"/>
      <color theme="1"/>
      <name val="Calibri"/>
      <family val="2"/>
      <scheme val="minor"/>
    </font>
    <font>
      <sz val="16"/>
      <color rgb="FF000000"/>
      <name val="Calibri"/>
      <family val="2"/>
      <scheme val="minor"/>
    </font>
    <font>
      <b/>
      <sz val="16"/>
      <color theme="1"/>
      <name val="Calibri"/>
      <family val="2"/>
      <scheme val="minor"/>
    </font>
    <font>
      <sz val="16"/>
      <name val="Calibri"/>
      <family val="2"/>
    </font>
    <font>
      <u/>
      <sz val="11"/>
      <color theme="10"/>
      <name val="Calibri"/>
      <family val="2"/>
      <scheme val="minor"/>
    </font>
    <font>
      <sz val="16"/>
      <color rgb="FF000000"/>
      <name val="Georgia"/>
      <family val="1"/>
    </font>
    <font>
      <b/>
      <sz val="16"/>
      <color rgb="FF000000"/>
      <name val="Calibri"/>
      <family val="2"/>
      <scheme val="minor"/>
    </font>
    <font>
      <sz val="16"/>
      <color theme="1"/>
      <name val="Georgia"/>
      <family val="1"/>
    </font>
    <font>
      <b/>
      <sz val="9"/>
      <name val="Tahoma"/>
      <family val="2"/>
    </font>
    <font>
      <sz val="9"/>
      <name val="Tahoma"/>
      <family val="2"/>
    </font>
    <font>
      <b/>
      <sz val="16"/>
      <color theme="1"/>
      <name val="Arial"/>
      <family val="2"/>
    </font>
    <font>
      <b/>
      <sz val="16"/>
      <name val="Arial"/>
      <family val="2"/>
    </font>
    <font>
      <sz val="16"/>
      <color theme="1"/>
      <name val="Arial"/>
      <family val="2"/>
    </font>
    <font>
      <b/>
      <sz val="16"/>
      <name val="Calibri"/>
      <family val="2"/>
    </font>
    <font>
      <sz val="16"/>
      <color rgb="FFFF0000"/>
      <name val="Arial"/>
      <family val="2"/>
    </font>
    <font>
      <sz val="16"/>
      <color theme="7" tint="0.79995117038483843"/>
      <name val="Calibri"/>
      <family val="2"/>
      <scheme val="minor"/>
    </font>
    <font>
      <sz val="12"/>
      <name val="Tahoma"/>
      <family val="2"/>
    </font>
    <font>
      <b/>
      <sz val="16"/>
      <color theme="1"/>
      <name val="Calibri Light"/>
      <family val="2"/>
      <scheme val="major"/>
    </font>
    <font>
      <b/>
      <sz val="18"/>
      <color theme="1"/>
      <name val="Calibri Light"/>
      <family val="2"/>
      <scheme val="major"/>
    </font>
    <font>
      <sz val="16"/>
      <color theme="1"/>
      <name val="Calibri Light"/>
      <family val="2"/>
      <scheme val="major"/>
    </font>
    <font>
      <sz val="16"/>
      <name val="Calibri Light"/>
      <family val="2"/>
      <scheme val="major"/>
    </font>
    <font>
      <sz val="16"/>
      <color rgb="FF000000"/>
      <name val="Calibri Light"/>
      <family val="2"/>
      <scheme val="major"/>
    </font>
    <font>
      <b/>
      <sz val="16"/>
      <name val="Calibri Light"/>
      <family val="2"/>
      <scheme val="major"/>
    </font>
    <font>
      <sz val="16"/>
      <color rgb="FFFF0000"/>
      <name val="Calibri Light"/>
      <family val="2"/>
      <scheme val="major"/>
    </font>
    <font>
      <i/>
      <sz val="16"/>
      <color theme="1"/>
      <name val="Calibri"/>
      <family val="2"/>
      <scheme val="minor"/>
    </font>
    <font>
      <sz val="10"/>
      <name val="Arial"/>
      <family val="2"/>
    </font>
    <font>
      <b/>
      <sz val="10"/>
      <name val="Arial"/>
      <family val="2"/>
    </font>
    <font>
      <sz val="15"/>
      <name val="Tahoma"/>
      <family val="2"/>
    </font>
    <font>
      <b/>
      <sz val="15"/>
      <name val="Tahoma"/>
      <family val="2"/>
    </font>
    <font>
      <b/>
      <sz val="10"/>
      <color rgb="FF000000"/>
      <name val="Verdana"/>
      <family val="2"/>
    </font>
    <font>
      <sz val="10"/>
      <color rgb="FF000000"/>
      <name val="Verdana"/>
      <family val="2"/>
    </font>
    <font>
      <b/>
      <sz val="10"/>
      <color theme="1"/>
      <name val="Verdana"/>
      <family val="2"/>
    </font>
    <font>
      <sz val="10"/>
      <color theme="1"/>
      <name val="Verdana"/>
      <family val="2"/>
    </font>
    <font>
      <b/>
      <u/>
      <sz val="10"/>
      <color rgb="FF000000"/>
      <name val="Verdana"/>
      <family val="2"/>
    </font>
    <font>
      <sz val="12"/>
      <color theme="1"/>
      <name val="Calibri"/>
      <family val="2"/>
      <scheme val="minor"/>
    </font>
    <font>
      <b/>
      <sz val="12"/>
      <color rgb="FFFF0000"/>
      <name val="Calibri"/>
      <family val="2"/>
      <scheme val="minor"/>
    </font>
    <font>
      <b/>
      <sz val="16"/>
      <color rgb="FF000000"/>
      <name val="Calibri"/>
      <family val="2"/>
    </font>
    <font>
      <sz val="14"/>
      <color theme="1"/>
      <name val="Calibri"/>
      <family val="2"/>
      <scheme val="minor"/>
    </font>
    <font>
      <b/>
      <sz val="14"/>
      <color rgb="FFFF0000"/>
      <name val="Calibri"/>
      <family val="2"/>
      <scheme val="minor"/>
    </font>
    <font>
      <b/>
      <sz val="14"/>
      <color theme="1"/>
      <name val="Calibri"/>
      <family val="2"/>
      <scheme val="minor"/>
    </font>
    <font>
      <sz val="16"/>
      <color rgb="FF000000"/>
      <name val="Calibri"/>
      <family val="2"/>
    </font>
    <font>
      <strike/>
      <sz val="16"/>
      <color theme="1"/>
      <name val="Calibri Light"/>
      <family val="2"/>
      <scheme val="major"/>
    </font>
    <font>
      <b/>
      <sz val="16"/>
      <color rgb="FF000000"/>
      <name val="Calibri Light"/>
      <family val="2"/>
    </font>
    <font>
      <sz val="16"/>
      <color rgb="FF000000"/>
      <name val="Calibri Light"/>
      <family val="2"/>
    </font>
    <font>
      <sz val="11"/>
      <color theme="1"/>
      <name val="Calibri"/>
      <family val="2"/>
      <scheme val="minor"/>
    </font>
    <font>
      <b/>
      <sz val="11"/>
      <name val="Arial"/>
      <family val="2"/>
    </font>
    <font>
      <b/>
      <sz val="16"/>
      <color rgb="FFFF0000"/>
      <name val="Calibri"/>
      <family val="2"/>
      <scheme val="minor"/>
    </font>
    <font>
      <sz val="10"/>
      <color rgb="FF000000"/>
      <name val="FluentSystemIcons"/>
    </font>
    <font>
      <sz val="11"/>
      <color rgb="FF000000"/>
      <name val="Calibri"/>
      <family val="2"/>
    </font>
    <font>
      <b/>
      <sz val="11"/>
      <color rgb="FF000000"/>
      <name val="Calibri"/>
      <family val="2"/>
    </font>
    <font>
      <sz val="11"/>
      <color rgb="FF1F497D"/>
      <name val="Calibri"/>
      <family val="2"/>
    </font>
    <font>
      <sz val="8"/>
      <color rgb="FF000000"/>
      <name val="Arial"/>
      <family val="2"/>
      <charset val="1"/>
    </font>
  </fonts>
  <fills count="35">
    <fill>
      <patternFill patternType="none"/>
    </fill>
    <fill>
      <patternFill patternType="gray125"/>
    </fill>
    <fill>
      <patternFill patternType="solid">
        <fgColor rgb="FFFFC000"/>
        <bgColor indexed="64"/>
      </patternFill>
    </fill>
    <fill>
      <patternFill patternType="solid">
        <fgColor theme="7" tint="0.79995117038483843"/>
        <bgColor indexed="64"/>
      </patternFill>
    </fill>
    <fill>
      <patternFill patternType="solid">
        <fgColor theme="0"/>
        <bgColor indexed="64"/>
      </patternFill>
    </fill>
    <fill>
      <patternFill patternType="solid">
        <fgColor rgb="FF00B0F0"/>
        <bgColor indexed="64"/>
      </patternFill>
    </fill>
    <fill>
      <patternFill patternType="solid">
        <fgColor theme="0" tint="-0.34995574816125979"/>
        <bgColor indexed="64"/>
      </patternFill>
    </fill>
    <fill>
      <patternFill patternType="solid">
        <fgColor theme="4" tint="-0.24994659260841701"/>
        <bgColor indexed="64"/>
      </patternFill>
    </fill>
    <fill>
      <patternFill patternType="solid">
        <fgColor rgb="FFFFF2CC"/>
        <bgColor indexed="64"/>
      </patternFill>
    </fill>
    <fill>
      <patternFill patternType="solid">
        <fgColor rgb="FFFFC000"/>
        <bgColor indexed="64"/>
      </patternFill>
    </fill>
    <fill>
      <patternFill patternType="solid">
        <fgColor rgb="FFA6A6A6"/>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theme="4" tint="0.39997558519241921"/>
        <bgColor indexed="64"/>
      </patternFill>
    </fill>
    <fill>
      <patternFill patternType="solid">
        <fgColor theme="2" tint="-0.34995574816125979"/>
        <bgColor indexed="64"/>
      </patternFill>
    </fill>
    <fill>
      <patternFill patternType="solid">
        <fgColor rgb="FF0070C0"/>
        <bgColor indexed="64"/>
      </patternFill>
    </fill>
    <fill>
      <patternFill patternType="solid">
        <fgColor theme="7"/>
        <bgColor indexed="64"/>
      </patternFill>
    </fill>
    <fill>
      <patternFill patternType="solid">
        <fgColor theme="5" tint="0.79995117038483843"/>
        <bgColor indexed="64"/>
      </patternFill>
    </fill>
    <fill>
      <patternFill patternType="solid">
        <fgColor theme="4"/>
        <bgColor indexed="64"/>
      </patternFill>
    </fill>
    <fill>
      <patternFill patternType="solid">
        <fgColor theme="0" tint="-4.9958800012207406E-2"/>
        <bgColor indexed="64"/>
      </patternFill>
    </fill>
    <fill>
      <patternFill patternType="solid">
        <fgColor theme="2" tint="-0.24994659260841701"/>
        <bgColor indexed="64"/>
      </patternFill>
    </fill>
    <fill>
      <patternFill patternType="solid">
        <fgColor theme="6"/>
        <bgColor indexed="64"/>
      </patternFill>
    </fill>
    <fill>
      <patternFill patternType="solid">
        <fgColor theme="0" tint="-0.14996795556505021"/>
        <bgColor indexed="64"/>
      </patternFill>
    </fill>
    <fill>
      <patternFill patternType="solid">
        <fgColor theme="7" tint="0.79995117038483843"/>
        <bgColor indexed="64"/>
      </patternFill>
    </fill>
    <fill>
      <patternFill patternType="solid">
        <fgColor theme="2" tint="-0.34995574816125979"/>
        <bgColor indexed="64"/>
      </patternFill>
    </fill>
    <fill>
      <patternFill patternType="solid">
        <fgColor theme="2" tint="-0.34995574816125979"/>
        <bgColor indexed="64"/>
      </patternFill>
    </fill>
    <fill>
      <patternFill patternType="solid">
        <fgColor theme="1" tint="0.49995422223578601"/>
        <bgColor indexed="64"/>
      </patternFill>
    </fill>
    <fill>
      <patternFill patternType="solid">
        <fgColor rgb="FF5B9BD5"/>
        <bgColor indexed="64"/>
      </patternFill>
    </fill>
    <fill>
      <patternFill patternType="solid">
        <fgColor rgb="FFFFFFFF"/>
        <bgColor indexed="64"/>
      </patternFill>
    </fill>
    <fill>
      <patternFill patternType="solid">
        <fgColor theme="7" tint="0.79995117038483843"/>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34998626667073579"/>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bottom/>
      <diagonal/>
    </border>
    <border>
      <left style="medium">
        <color auto="1"/>
      </left>
      <right/>
      <top/>
      <bottom/>
      <diagonal/>
    </border>
    <border>
      <left style="medium">
        <color auto="1"/>
      </left>
      <right/>
      <top style="thin">
        <color auto="1"/>
      </top>
      <bottom style="thin">
        <color auto="1"/>
      </bottom>
      <diagonal/>
    </border>
    <border>
      <left style="medium">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auto="1"/>
      </bottom>
      <diagonal/>
    </border>
    <border>
      <left/>
      <right style="thin">
        <color rgb="FF000000"/>
      </right>
      <top/>
      <bottom style="thin">
        <color rgb="FF000000"/>
      </bottom>
      <diagonal/>
    </border>
    <border>
      <left style="medium">
        <color auto="1"/>
      </left>
      <right/>
      <top/>
      <bottom style="thin">
        <color auto="1"/>
      </bottom>
      <diagonal/>
    </border>
    <border>
      <left style="thin">
        <color auto="1"/>
      </left>
      <right style="medium">
        <color auto="1"/>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thin">
        <color auto="1"/>
      </top>
      <bottom/>
      <diagonal/>
    </border>
    <border>
      <left style="thin">
        <color rgb="FF000000"/>
      </left>
      <right style="thin">
        <color rgb="FF000000"/>
      </right>
      <top style="thin">
        <color rgb="FF000000"/>
      </top>
      <bottom/>
      <diagonal/>
    </border>
    <border>
      <left style="medium">
        <color auto="1"/>
      </left>
      <right style="thin">
        <color auto="1"/>
      </right>
      <top/>
      <bottom style="medium">
        <color auto="1"/>
      </bottom>
      <diagonal/>
    </border>
    <border>
      <left/>
      <right/>
      <top style="thin">
        <color auto="1"/>
      </top>
      <bottom style="thin">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style="thin">
        <color rgb="FFBFBFBF"/>
      </bottom>
      <diagonal/>
    </border>
  </borders>
  <cellStyleXfs count="8">
    <xf numFmtId="0" fontId="0" fillId="0" borderId="0"/>
    <xf numFmtId="9" fontId="46" fillId="0" borderId="0" applyFont="0" applyFill="0" applyBorder="0" applyAlignment="0" applyProtection="0"/>
    <xf numFmtId="43" fontId="46" fillId="0" borderId="0" applyFont="0" applyFill="0" applyBorder="0" applyAlignment="0" applyProtection="0"/>
    <xf numFmtId="0" fontId="6" fillId="0" borderId="0" applyNumberFormat="0" applyFill="0" applyBorder="0" applyAlignment="0" applyProtection="0"/>
    <xf numFmtId="0" fontId="46" fillId="0" borderId="0"/>
    <xf numFmtId="0" fontId="46" fillId="0" borderId="0"/>
    <xf numFmtId="0" fontId="27" fillId="0" borderId="0"/>
    <xf numFmtId="0" fontId="27" fillId="0" borderId="0"/>
  </cellStyleXfs>
  <cellXfs count="514">
    <xf numFmtId="0" fontId="0" fillId="0" borderId="0" xfId="0"/>
    <xf numFmtId="0" fontId="2" fillId="2" borderId="1" xfId="0" applyFont="1" applyFill="1" applyBorder="1"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horizontal="center" vertical="center" wrapText="1"/>
    </xf>
    <xf numFmtId="0" fontId="2" fillId="3" borderId="5" xfId="0" applyFont="1" applyFill="1" applyBorder="1" applyAlignment="1">
      <alignment vertical="center" wrapText="1"/>
    </xf>
    <xf numFmtId="0" fontId="2" fillId="0" borderId="0" xfId="0" applyFont="1"/>
    <xf numFmtId="0" fontId="4" fillId="2" borderId="2" xfId="0" applyFont="1" applyFill="1" applyBorder="1" applyAlignment="1">
      <alignment vertical="center" wrapText="1"/>
    </xf>
    <xf numFmtId="0" fontId="2" fillId="4" borderId="1"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 fillId="2" borderId="7" xfId="0" applyFont="1" applyFill="1" applyBorder="1" applyAlignment="1">
      <alignment vertical="center" wrapText="1"/>
    </xf>
    <xf numFmtId="0" fontId="2" fillId="2" borderId="4" xfId="0" applyFont="1" applyFill="1" applyBorder="1" applyAlignment="1">
      <alignment vertical="center" wrapText="1"/>
    </xf>
    <xf numFmtId="0" fontId="2" fillId="4" borderId="2" xfId="0" applyFont="1" applyFill="1" applyBorder="1" applyAlignment="1">
      <alignment horizontal="center" vertical="center" wrapText="1"/>
    </xf>
    <xf numFmtId="0" fontId="4" fillId="2" borderId="6" xfId="0" applyFont="1" applyFill="1" applyBorder="1" applyAlignment="1">
      <alignment vertical="center" wrapText="1"/>
    </xf>
    <xf numFmtId="0" fontId="2" fillId="2" borderId="1" xfId="0" applyFont="1" applyFill="1" applyBorder="1" applyAlignment="1">
      <alignment horizontal="center" vertical="center" wrapText="1"/>
    </xf>
    <xf numFmtId="0" fontId="2" fillId="0" borderId="0" xfId="0" applyFont="1" applyAlignment="1">
      <alignment vertical="center" wrapText="1"/>
    </xf>
    <xf numFmtId="0" fontId="2" fillId="5" borderId="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2" fillId="2" borderId="9" xfId="0" applyFont="1" applyFill="1" applyBorder="1" applyAlignment="1">
      <alignment vertical="center" wrapText="1"/>
    </xf>
    <xf numFmtId="0" fontId="2" fillId="0" borderId="0" xfId="0" applyFont="1" applyAlignment="1">
      <alignment horizontal="center" vertical="center" wrapText="1"/>
    </xf>
    <xf numFmtId="0" fontId="2" fillId="4" borderId="0" xfId="0" applyFont="1" applyFill="1" applyAlignment="1">
      <alignment horizontal="center" vertical="center" wrapText="1"/>
    </xf>
    <xf numFmtId="0" fontId="2" fillId="4" borderId="10"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0" borderId="8" xfId="0" applyFont="1" applyBorder="1" applyAlignment="1">
      <alignment horizontal="center" vertical="center" wrapText="1"/>
    </xf>
    <xf numFmtId="9" fontId="2" fillId="3" borderId="1" xfId="0" applyNumberFormat="1" applyFont="1" applyFill="1" applyBorder="1" applyAlignment="1">
      <alignment horizontal="center" vertical="center" wrapText="1"/>
    </xf>
    <xf numFmtId="9" fontId="2" fillId="4" borderId="0" xfId="1" applyFont="1" applyFill="1" applyAlignment="1">
      <alignment horizontal="center" vertical="center" wrapText="1"/>
    </xf>
    <xf numFmtId="0" fontId="4" fillId="4" borderId="0" xfId="0" applyFont="1" applyFill="1" applyAlignment="1">
      <alignment horizontal="center" vertical="center" wrapText="1"/>
    </xf>
    <xf numFmtId="9" fontId="2" fillId="0" borderId="0" xfId="1" applyFont="1" applyAlignment="1">
      <alignment horizontal="center" vertical="center" wrapText="1"/>
    </xf>
    <xf numFmtId="0" fontId="2" fillId="2" borderId="2" xfId="0" applyFont="1" applyFill="1" applyBorder="1" applyAlignment="1">
      <alignment horizontal="center" vertical="center" wrapText="1"/>
    </xf>
    <xf numFmtId="9" fontId="2" fillId="4" borderId="0" xfId="0" applyNumberFormat="1" applyFont="1" applyFill="1" applyAlignment="1">
      <alignment horizontal="center" vertical="center" wrapText="1"/>
    </xf>
    <xf numFmtId="0" fontId="7" fillId="4" borderId="8" xfId="0" applyFont="1" applyFill="1" applyBorder="1" applyAlignment="1">
      <alignment horizontal="center" vertical="center" wrapText="1"/>
    </xf>
    <xf numFmtId="0" fontId="4" fillId="0" borderId="0" xfId="0" applyFont="1" applyAlignment="1">
      <alignment horizontal="center" vertical="center" wrapText="1"/>
    </xf>
    <xf numFmtId="0" fontId="2" fillId="4" borderId="15"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9" fillId="0" borderId="0" xfId="0" applyFont="1" applyAlignment="1">
      <alignment horizontal="center" vertical="center" wrapText="1"/>
    </xf>
    <xf numFmtId="0" fontId="2" fillId="3" borderId="16" xfId="0" applyFont="1" applyFill="1" applyBorder="1" applyAlignment="1">
      <alignment vertical="center" wrapText="1"/>
    </xf>
    <xf numFmtId="0" fontId="2" fillId="2" borderId="14" xfId="0" applyFont="1" applyFill="1" applyBorder="1" applyAlignment="1">
      <alignment vertical="center" wrapText="1"/>
    </xf>
    <xf numFmtId="0" fontId="2" fillId="2" borderId="17" xfId="0" applyFont="1" applyFill="1" applyBorder="1" applyAlignment="1">
      <alignment vertical="center" wrapText="1"/>
    </xf>
    <xf numFmtId="0" fontId="4" fillId="4" borderId="11" xfId="0" applyFont="1" applyFill="1" applyBorder="1" applyAlignment="1">
      <alignment vertical="center" wrapText="1"/>
    </xf>
    <xf numFmtId="0" fontId="2" fillId="4" borderId="14" xfId="0" applyFont="1" applyFill="1" applyBorder="1" applyAlignment="1">
      <alignment horizontal="center" vertical="center" wrapText="1"/>
    </xf>
    <xf numFmtId="0" fontId="4" fillId="7" borderId="1" xfId="0" applyFont="1" applyFill="1" applyBorder="1" applyAlignment="1">
      <alignment vertical="center" wrapText="1"/>
    </xf>
    <xf numFmtId="0" fontId="2" fillId="4" borderId="0" xfId="0" applyFont="1" applyFill="1" applyAlignment="1">
      <alignment vertical="center" wrapText="1"/>
    </xf>
    <xf numFmtId="0" fontId="3" fillId="8"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9" xfId="0" applyFont="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2" fillId="4" borderId="19" xfId="0" applyFont="1" applyFill="1" applyBorder="1" applyAlignment="1">
      <alignment horizontal="center" vertical="center" wrapText="1"/>
    </xf>
    <xf numFmtId="9" fontId="2" fillId="4" borderId="0" xfId="1" applyFont="1" applyFill="1" applyBorder="1" applyAlignment="1">
      <alignment horizontal="center" vertical="center" wrapText="1"/>
    </xf>
    <xf numFmtId="0" fontId="3" fillId="8"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9" borderId="1" xfId="0" applyFont="1" applyFill="1" applyBorder="1" applyAlignment="1">
      <alignment vertical="center" wrapText="1"/>
    </xf>
    <xf numFmtId="0" fontId="2" fillId="3" borderId="1" xfId="0" applyFont="1" applyFill="1" applyBorder="1" applyAlignment="1">
      <alignment horizontal="center" vertical="center" wrapText="1"/>
    </xf>
    <xf numFmtId="0" fontId="4" fillId="11" borderId="1" xfId="0" applyFont="1" applyFill="1" applyBorder="1"/>
    <xf numFmtId="0" fontId="2" fillId="0" borderId="1" xfId="0" applyFont="1" applyBorder="1"/>
    <xf numFmtId="0" fontId="4" fillId="11" borderId="14" xfId="0" applyFont="1" applyFill="1" applyBorder="1"/>
    <xf numFmtId="0" fontId="2" fillId="0" borderId="14" xfId="0" applyFont="1" applyBorder="1"/>
    <xf numFmtId="0" fontId="4" fillId="2" borderId="1" xfId="0" applyFont="1" applyFill="1" applyBorder="1"/>
    <xf numFmtId="0" fontId="4" fillId="2" borderId="1" xfId="0" applyFont="1" applyFill="1" applyBorder="1" applyAlignment="1">
      <alignment horizontal="center"/>
    </xf>
    <xf numFmtId="0" fontId="4" fillId="4" borderId="20"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4" fillId="11" borderId="14" xfId="0" applyFont="1" applyFill="1" applyBorder="1" applyAlignment="1">
      <alignment horizontal="center" vertical="center" wrapText="1"/>
    </xf>
    <xf numFmtId="9" fontId="4" fillId="2" borderId="1" xfId="1" applyFont="1" applyFill="1" applyBorder="1" applyAlignment="1">
      <alignment horizontal="center" vertical="center" wrapText="1"/>
    </xf>
    <xf numFmtId="0" fontId="2" fillId="2" borderId="11" xfId="0" applyFont="1" applyFill="1" applyBorder="1" applyAlignment="1">
      <alignment horizontal="center" vertical="center" wrapText="1"/>
    </xf>
    <xf numFmtId="0" fontId="8" fillId="9" borderId="18" xfId="0" applyFont="1" applyFill="1" applyBorder="1" applyAlignment="1">
      <alignment horizontal="center" vertical="center" wrapText="1"/>
    </xf>
    <xf numFmtId="0" fontId="2" fillId="4" borderId="9" xfId="0" applyFont="1" applyFill="1" applyBorder="1" applyAlignment="1">
      <alignment vertical="center" wrapText="1"/>
    </xf>
    <xf numFmtId="0" fontId="4" fillId="0" borderId="1" xfId="0" applyFont="1" applyBorder="1"/>
    <xf numFmtId="0" fontId="4" fillId="11" borderId="0" xfId="0" applyFont="1" applyFill="1"/>
    <xf numFmtId="0" fontId="4" fillId="11" borderId="1" xfId="0" applyFont="1" applyFill="1" applyBorder="1" applyAlignment="1">
      <alignment horizontal="center" vertical="center"/>
    </xf>
    <xf numFmtId="0" fontId="4" fillId="11" borderId="9" xfId="0" applyFont="1" applyFill="1" applyBorder="1" applyAlignment="1">
      <alignment horizontal="center" vertical="center"/>
    </xf>
    <xf numFmtId="0" fontId="4" fillId="12" borderId="1" xfId="0" applyFont="1" applyFill="1" applyBorder="1"/>
    <xf numFmtId="0" fontId="4" fillId="13" borderId="1" xfId="0" applyFont="1" applyFill="1" applyBorder="1" applyAlignment="1">
      <alignment horizontal="center"/>
    </xf>
    <xf numFmtId="0" fontId="4" fillId="11" borderId="18" xfId="0" applyFont="1" applyFill="1" applyBorder="1" applyAlignment="1">
      <alignment horizontal="center" vertical="center"/>
    </xf>
    <xf numFmtId="0" fontId="2" fillId="0" borderId="9" xfId="0" applyFont="1" applyBorder="1"/>
    <xf numFmtId="0" fontId="2" fillId="0" borderId="1" xfId="0" applyFont="1" applyBorder="1" applyAlignment="1">
      <alignment horizontal="center" vertical="center"/>
    </xf>
    <xf numFmtId="0" fontId="2" fillId="0" borderId="1" xfId="0" applyFont="1" applyBorder="1" applyAlignment="1">
      <alignment horizontal="center"/>
    </xf>
    <xf numFmtId="0" fontId="4" fillId="12" borderId="1" xfId="0" applyFont="1" applyFill="1" applyBorder="1" applyAlignment="1">
      <alignment horizontal="center"/>
    </xf>
    <xf numFmtId="0" fontId="4" fillId="11" borderId="2" xfId="0" applyFont="1" applyFill="1" applyBorder="1"/>
    <xf numFmtId="0" fontId="2" fillId="4" borderId="0" xfId="0" applyFont="1" applyFill="1"/>
    <xf numFmtId="0" fontId="14" fillId="3" borderId="21" xfId="0" applyFont="1" applyFill="1" applyBorder="1" applyAlignment="1">
      <alignment vertical="top" wrapText="1"/>
    </xf>
    <xf numFmtId="0" fontId="14" fillId="14" borderId="14" xfId="0" applyFont="1" applyFill="1" applyBorder="1" applyAlignment="1">
      <alignment vertical="top" wrapText="1"/>
    </xf>
    <xf numFmtId="0" fontId="14" fillId="3" borderId="22" xfId="0" applyFont="1" applyFill="1" applyBorder="1" applyAlignment="1">
      <alignment vertical="top" wrapText="1"/>
    </xf>
    <xf numFmtId="0" fontId="14" fillId="3" borderId="23" xfId="0" applyFont="1" applyFill="1" applyBorder="1" applyAlignment="1">
      <alignment vertical="top" wrapText="1"/>
    </xf>
    <xf numFmtId="0" fontId="14" fillId="14" borderId="1" xfId="0" applyFont="1" applyFill="1" applyBorder="1" applyAlignment="1">
      <alignment vertical="top" wrapText="1"/>
    </xf>
    <xf numFmtId="0" fontId="14" fillId="3" borderId="24" xfId="0" applyFont="1" applyFill="1" applyBorder="1" applyAlignment="1">
      <alignment vertical="top" wrapText="1"/>
    </xf>
    <xf numFmtId="9" fontId="14" fillId="14" borderId="22" xfId="0" applyNumberFormat="1" applyFont="1" applyFill="1" applyBorder="1" applyAlignment="1">
      <alignment vertical="top" wrapText="1"/>
    </xf>
    <xf numFmtId="9" fontId="14" fillId="14" borderId="25" xfId="0" applyNumberFormat="1" applyFont="1" applyFill="1" applyBorder="1" applyAlignment="1">
      <alignment horizontal="center" vertical="top" wrapText="1"/>
    </xf>
    <xf numFmtId="9" fontId="14" fillId="14" borderId="26" xfId="0" applyNumberFormat="1" applyFont="1" applyFill="1" applyBorder="1" applyAlignment="1">
      <alignment vertical="top" wrapText="1"/>
    </xf>
    <xf numFmtId="9" fontId="14" fillId="14" borderId="26" xfId="0" applyNumberFormat="1" applyFont="1" applyFill="1" applyBorder="1" applyAlignment="1">
      <alignment horizontal="center" vertical="top" wrapText="1"/>
    </xf>
    <xf numFmtId="0" fontId="14" fillId="3" borderId="1" xfId="0" applyFont="1" applyFill="1" applyBorder="1"/>
    <xf numFmtId="0" fontId="13" fillId="2" borderId="0" xfId="0" applyFont="1" applyFill="1" applyAlignment="1">
      <alignment vertical="center"/>
    </xf>
    <xf numFmtId="0" fontId="14" fillId="3" borderId="27" xfId="0" applyFont="1" applyFill="1" applyBorder="1" applyAlignment="1">
      <alignment vertical="top" wrapText="1"/>
    </xf>
    <xf numFmtId="0" fontId="2" fillId="3" borderId="28"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15" borderId="1" xfId="0" applyFont="1" applyFill="1" applyBorder="1" applyAlignment="1">
      <alignment vertical="center" wrapText="1"/>
    </xf>
    <xf numFmtId="9" fontId="2" fillId="15" borderId="1" xfId="0" applyNumberFormat="1" applyFont="1" applyFill="1" applyBorder="1" applyAlignment="1">
      <alignment horizontal="center" vertical="center" wrapText="1"/>
    </xf>
    <xf numFmtId="0" fontId="12" fillId="16" borderId="3" xfId="0" applyFont="1" applyFill="1" applyBorder="1" applyAlignment="1">
      <alignment horizontal="center"/>
    </xf>
    <xf numFmtId="0" fontId="12" fillId="16" borderId="29" xfId="0" applyFont="1" applyFill="1" applyBorder="1" applyAlignment="1">
      <alignment horizontal="center"/>
    </xf>
    <xf numFmtId="0" fontId="12" fillId="0" borderId="1" xfId="4" applyFont="1" applyBorder="1" applyAlignment="1">
      <alignment vertical="center" wrapText="1"/>
    </xf>
    <xf numFmtId="0" fontId="12" fillId="3" borderId="1" xfId="4" applyFont="1" applyFill="1" applyBorder="1" applyAlignment="1">
      <alignment horizontal="center" vertical="center" wrapText="1"/>
    </xf>
    <xf numFmtId="0" fontId="12" fillId="3" borderId="1" xfId="4" applyFont="1" applyFill="1" applyBorder="1" applyAlignment="1">
      <alignment vertical="center" wrapText="1"/>
    </xf>
    <xf numFmtId="0" fontId="5" fillId="2" borderId="1" xfId="0" applyFont="1" applyFill="1" applyBorder="1"/>
    <xf numFmtId="0" fontId="15" fillId="2"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2" fillId="4" borderId="30" xfId="0" applyFont="1" applyFill="1" applyBorder="1" applyAlignment="1">
      <alignment vertical="center" wrapText="1"/>
    </xf>
    <xf numFmtId="0" fontId="2" fillId="0" borderId="1" xfId="0" applyFont="1" applyBorder="1" applyAlignment="1">
      <alignment horizontal="left" vertical="top" wrapText="1"/>
    </xf>
    <xf numFmtId="0" fontId="12" fillId="2" borderId="0" xfId="0" applyFont="1" applyFill="1" applyAlignment="1">
      <alignment horizontal="center" vertical="top" wrapText="1"/>
    </xf>
    <xf numFmtId="0" fontId="12" fillId="2" borderId="0" xfId="0" applyFont="1" applyFill="1" applyAlignment="1">
      <alignment vertical="top" wrapText="1"/>
    </xf>
    <xf numFmtId="0" fontId="12" fillId="2" borderId="1" xfId="0" applyFont="1" applyFill="1" applyBorder="1" applyAlignment="1">
      <alignment horizontal="center"/>
    </xf>
    <xf numFmtId="9" fontId="2" fillId="3" borderId="1" xfId="0" applyNumberFormat="1" applyFont="1" applyFill="1" applyBorder="1" applyAlignment="1">
      <alignment horizontal="left" vertical="top" wrapText="1"/>
    </xf>
    <xf numFmtId="9" fontId="3" fillId="3" borderId="9" xfId="0" applyNumberFormat="1" applyFont="1" applyFill="1" applyBorder="1" applyAlignment="1">
      <alignment horizontal="center" wrapText="1"/>
    </xf>
    <xf numFmtId="0" fontId="4" fillId="0" borderId="0" xfId="0" applyFont="1" applyAlignment="1">
      <alignment vertical="center" wrapText="1"/>
    </xf>
    <xf numFmtId="0" fontId="3" fillId="0" borderId="9" xfId="0" applyFont="1" applyBorder="1" applyAlignment="1">
      <alignment horizontal="center" vertical="center" wrapText="1"/>
    </xf>
    <xf numFmtId="0" fontId="2" fillId="2" borderId="9" xfId="0" applyFont="1" applyFill="1" applyBorder="1"/>
    <xf numFmtId="0" fontId="17" fillId="3" borderId="1" xfId="0" applyFont="1" applyFill="1" applyBorder="1"/>
    <xf numFmtId="0" fontId="2" fillId="3" borderId="1" xfId="0" applyFont="1" applyFill="1" applyBorder="1"/>
    <xf numFmtId="0" fontId="2" fillId="2" borderId="22"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2" borderId="22" xfId="0" applyFont="1" applyFill="1" applyBorder="1" applyAlignment="1">
      <alignment horizontal="center"/>
    </xf>
    <xf numFmtId="0" fontId="2" fillId="11" borderId="18" xfId="0" applyFont="1" applyFill="1" applyBorder="1" applyAlignment="1">
      <alignment horizontal="center" vertical="center" wrapText="1"/>
    </xf>
    <xf numFmtId="9" fontId="2" fillId="11" borderId="1" xfId="1" applyFont="1" applyFill="1" applyBorder="1" applyAlignment="1">
      <alignment horizontal="center" vertical="center" wrapText="1"/>
    </xf>
    <xf numFmtId="0" fontId="2" fillId="11" borderId="31" xfId="0" applyFont="1" applyFill="1" applyBorder="1" applyAlignment="1">
      <alignment horizontal="center" vertical="center" wrapText="1"/>
    </xf>
    <xf numFmtId="0" fontId="2" fillId="11" borderId="14" xfId="0" applyFont="1" applyFill="1" applyBorder="1" applyAlignment="1">
      <alignment horizontal="center" vertical="center" wrapText="1"/>
    </xf>
    <xf numFmtId="9" fontId="2" fillId="11" borderId="14" xfId="1" applyFont="1" applyFill="1" applyBorder="1" applyAlignment="1">
      <alignment horizontal="center" vertical="center" wrapText="1"/>
    </xf>
    <xf numFmtId="0" fontId="4" fillId="2"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4" fillId="18" borderId="18" xfId="0" applyFont="1" applyFill="1" applyBorder="1" applyAlignment="1">
      <alignment horizontal="left" vertical="top" wrapText="1"/>
    </xf>
    <xf numFmtId="0" fontId="4" fillId="18" borderId="1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4" fillId="13" borderId="9" xfId="0" applyFont="1" applyFill="1" applyBorder="1" applyAlignment="1">
      <alignment horizontal="center"/>
    </xf>
    <xf numFmtId="0" fontId="8" fillId="9" borderId="1" xfId="0" applyFont="1" applyFill="1" applyBorder="1" applyAlignment="1">
      <alignment horizontal="center" vertical="center" wrapText="1"/>
    </xf>
    <xf numFmtId="0" fontId="12" fillId="0" borderId="1" xfId="4" applyFont="1" applyBorder="1" applyAlignment="1">
      <alignment horizontal="center" vertical="center" wrapText="1"/>
    </xf>
    <xf numFmtId="0" fontId="2" fillId="4" borderId="2" xfId="0" applyFont="1" applyFill="1" applyBorder="1" applyAlignment="1">
      <alignment vertical="center" wrapText="1"/>
    </xf>
    <xf numFmtId="0" fontId="2" fillId="0" borderId="18" xfId="0" applyFont="1" applyBorder="1" applyAlignment="1">
      <alignment vertical="center" wrapText="1"/>
    </xf>
    <xf numFmtId="0" fontId="12" fillId="0" borderId="1" xfId="0" applyFont="1" applyBorder="1" applyAlignment="1">
      <alignment wrapText="1"/>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10" fontId="12" fillId="6" borderId="1" xfId="0" applyNumberFormat="1" applyFont="1" applyFill="1" applyBorder="1" applyAlignment="1">
      <alignment horizontal="center" wrapText="1"/>
    </xf>
    <xf numFmtId="0" fontId="16" fillId="3" borderId="1" xfId="0" applyFont="1" applyFill="1" applyBorder="1" applyAlignment="1">
      <alignment horizontal="center" wrapText="1"/>
    </xf>
    <xf numFmtId="0" fontId="4" fillId="2" borderId="1" xfId="0" applyFont="1" applyFill="1" applyBorder="1" applyAlignment="1">
      <alignment horizontal="center" vertical="top"/>
    </xf>
    <xf numFmtId="0" fontId="19" fillId="2" borderId="1" xfId="0" applyFont="1" applyFill="1" applyBorder="1" applyAlignment="1">
      <alignment horizontal="center" vertical="center" wrapText="1"/>
    </xf>
    <xf numFmtId="0" fontId="21" fillId="0" borderId="0" xfId="0" applyFont="1"/>
    <xf numFmtId="0" fontId="21" fillId="0" borderId="1" xfId="0" applyFont="1" applyBorder="1"/>
    <xf numFmtId="0" fontId="19" fillId="7" borderId="1" xfId="0" applyFont="1" applyFill="1" applyBorder="1" applyAlignment="1">
      <alignment vertical="center" wrapText="1"/>
    </xf>
    <xf numFmtId="0" fontId="21" fillId="0" borderId="1" xfId="0" applyFont="1" applyBorder="1" applyAlignment="1">
      <alignment horizontal="center" vertical="center" wrapText="1"/>
    </xf>
    <xf numFmtId="0" fontId="21" fillId="0" borderId="0" xfId="0" applyFont="1" applyAlignment="1">
      <alignment vertical="center" wrapText="1"/>
    </xf>
    <xf numFmtId="0" fontId="21" fillId="0" borderId="9" xfId="0" applyFont="1" applyBorder="1" applyAlignment="1">
      <alignment horizontal="center" vertical="center" wrapText="1"/>
    </xf>
    <xf numFmtId="0" fontId="21"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1" fillId="3" borderId="1" xfId="0" applyFont="1" applyFill="1" applyBorder="1" applyAlignment="1">
      <alignment horizontal="left" vertical="top" wrapText="1"/>
    </xf>
    <xf numFmtId="0" fontId="23" fillId="3" borderId="1"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2" borderId="1" xfId="0" applyFont="1" applyFill="1" applyBorder="1" applyAlignment="1">
      <alignment vertical="center" wrapText="1"/>
    </xf>
    <xf numFmtId="3" fontId="21" fillId="0" borderId="18" xfId="0" applyNumberFormat="1" applyFont="1" applyBorder="1" applyAlignment="1">
      <alignment horizontal="right" wrapText="1"/>
    </xf>
    <xf numFmtId="3" fontId="21" fillId="0" borderId="1" xfId="0" applyNumberFormat="1" applyFont="1" applyBorder="1" applyAlignment="1">
      <alignment horizontal="right" wrapText="1"/>
    </xf>
    <xf numFmtId="0" fontId="21" fillId="0" borderId="1" xfId="0" applyFont="1" applyBorder="1" applyAlignment="1">
      <alignment horizontal="right" wrapText="1"/>
    </xf>
    <xf numFmtId="0" fontId="19" fillId="2" borderId="1" xfId="0" applyFont="1" applyFill="1" applyBorder="1" applyAlignment="1">
      <alignment vertical="center" wrapText="1"/>
    </xf>
    <xf numFmtId="0" fontId="21" fillId="4" borderId="0" xfId="0" applyFont="1" applyFill="1" applyAlignment="1">
      <alignment vertical="center" wrapText="1"/>
    </xf>
    <xf numFmtId="0" fontId="21" fillId="4" borderId="1" xfId="0" applyFont="1" applyFill="1" applyBorder="1" applyAlignment="1">
      <alignment horizontal="center" vertical="center" wrapText="1"/>
    </xf>
    <xf numFmtId="0" fontId="19" fillId="0" borderId="1" xfId="5" applyFont="1" applyBorder="1"/>
    <xf numFmtId="0" fontId="21" fillId="3" borderId="1" xfId="5" applyFont="1" applyFill="1" applyBorder="1"/>
    <xf numFmtId="0" fontId="21" fillId="3" borderId="1" xfId="0" applyFont="1" applyFill="1" applyBorder="1" applyAlignment="1">
      <alignment vertical="center" wrapText="1"/>
    </xf>
    <xf numFmtId="0" fontId="19" fillId="3" borderId="1" xfId="0" applyFont="1" applyFill="1" applyBorder="1" applyAlignment="1">
      <alignment vertical="center" wrapText="1"/>
    </xf>
    <xf numFmtId="0" fontId="19" fillId="4" borderId="1" xfId="0" applyFont="1" applyFill="1" applyBorder="1" applyAlignment="1">
      <alignment vertical="center" wrapText="1"/>
    </xf>
    <xf numFmtId="164" fontId="21" fillId="4" borderId="1" xfId="2" applyNumberFormat="1" applyFont="1" applyFill="1" applyBorder="1" applyAlignment="1">
      <alignment horizontal="center" vertical="center" wrapText="1"/>
    </xf>
    <xf numFmtId="0" fontId="21" fillId="4" borderId="9" xfId="0" applyFont="1" applyFill="1" applyBorder="1" applyAlignment="1">
      <alignment vertical="center" wrapText="1"/>
    </xf>
    <xf numFmtId="0" fontId="21" fillId="6" borderId="1" xfId="0" applyFont="1" applyFill="1" applyBorder="1" applyAlignment="1">
      <alignment horizontal="center" vertical="center" wrapText="1"/>
    </xf>
    <xf numFmtId="0" fontId="21" fillId="0" borderId="14" xfId="0" applyFont="1" applyBorder="1" applyAlignment="1">
      <alignment horizontal="center" vertical="center" wrapText="1"/>
    </xf>
    <xf numFmtId="0" fontId="19" fillId="4" borderId="1" xfId="0" applyFont="1" applyFill="1" applyBorder="1" applyAlignment="1">
      <alignment horizontal="center" vertical="center" wrapText="1"/>
    </xf>
    <xf numFmtId="0" fontId="21" fillId="0" borderId="1" xfId="0" applyFont="1" applyBorder="1" applyAlignment="1">
      <alignment vertical="center" wrapText="1"/>
    </xf>
    <xf numFmtId="0" fontId="21" fillId="2" borderId="17" xfId="0" applyFont="1" applyFill="1" applyBorder="1" applyAlignment="1">
      <alignment vertical="center" wrapText="1"/>
    </xf>
    <xf numFmtId="0" fontId="21" fillId="0" borderId="17" xfId="0" applyFont="1" applyBorder="1" applyAlignment="1">
      <alignment vertical="center" wrapText="1"/>
    </xf>
    <xf numFmtId="0" fontId="21" fillId="0" borderId="8" xfId="0" applyFont="1" applyBorder="1" applyAlignment="1">
      <alignment vertical="center" wrapText="1"/>
    </xf>
    <xf numFmtId="0" fontId="19" fillId="4" borderId="0" xfId="0" applyFont="1" applyFill="1" applyAlignment="1">
      <alignment horizontal="center" vertical="center" wrapText="1"/>
    </xf>
    <xf numFmtId="0" fontId="21" fillId="4" borderId="1" xfId="0" applyFont="1" applyFill="1" applyBorder="1" applyAlignment="1">
      <alignment vertical="center" wrapText="1"/>
    </xf>
    <xf numFmtId="0" fontId="19" fillId="2" borderId="3"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21" fillId="2" borderId="4" xfId="0" applyFont="1" applyFill="1" applyBorder="1" applyAlignment="1">
      <alignment vertical="center" wrapText="1"/>
    </xf>
    <xf numFmtId="0" fontId="21" fillId="4" borderId="32" xfId="0" applyFont="1" applyFill="1" applyBorder="1" applyAlignment="1">
      <alignment horizontal="center" vertical="center" wrapText="1"/>
    </xf>
    <xf numFmtId="0" fontId="24" fillId="2" borderId="1" xfId="0" applyFont="1" applyFill="1" applyBorder="1"/>
    <xf numFmtId="0" fontId="22" fillId="0" borderId="1" xfId="0" applyFont="1" applyBorder="1" applyAlignment="1">
      <alignment horizontal="left" vertical="top" wrapText="1"/>
    </xf>
    <xf numFmtId="43" fontId="25" fillId="4" borderId="0" xfId="2" applyFont="1" applyFill="1" applyBorder="1" applyAlignment="1">
      <alignment horizontal="center" vertical="center" wrapText="1"/>
    </xf>
    <xf numFmtId="0" fontId="21" fillId="0" borderId="1" xfId="0" applyFont="1" applyBorder="1" applyAlignment="1">
      <alignment horizontal="left" vertical="top" wrapText="1"/>
    </xf>
    <xf numFmtId="0" fontId="22" fillId="19" borderId="1" xfId="0" applyFont="1" applyFill="1" applyBorder="1" applyAlignment="1">
      <alignment vertical="center" wrapText="1"/>
    </xf>
    <xf numFmtId="0" fontId="22" fillId="19" borderId="1" xfId="0" applyFont="1" applyFill="1" applyBorder="1" applyAlignment="1">
      <alignment horizontal="center" wrapText="1"/>
    </xf>
    <xf numFmtId="0" fontId="22" fillId="0" borderId="1" xfId="0" applyFont="1" applyBorder="1" applyAlignment="1">
      <alignment horizontal="left" vertical="center" wrapText="1"/>
    </xf>
    <xf numFmtId="16" fontId="22" fillId="0" borderId="1" xfId="0" applyNumberFormat="1" applyFont="1" applyBorder="1" applyAlignment="1">
      <alignment horizontal="center" vertical="center" wrapText="1"/>
    </xf>
    <xf numFmtId="0" fontId="24" fillId="3" borderId="1" xfId="0" applyFont="1" applyFill="1" applyBorder="1" applyAlignment="1">
      <alignment horizontal="center" vertical="center" wrapText="1"/>
    </xf>
    <xf numFmtId="0" fontId="22" fillId="4" borderId="1" xfId="0" applyFont="1" applyFill="1" applyBorder="1" applyAlignment="1">
      <alignment horizontal="left" vertical="center" wrapText="1"/>
    </xf>
    <xf numFmtId="0" fontId="21" fillId="11" borderId="1" xfId="0" applyFont="1" applyFill="1" applyBorder="1"/>
    <xf numFmtId="0" fontId="21" fillId="20" borderId="1" xfId="0" applyFont="1" applyFill="1" applyBorder="1"/>
    <xf numFmtId="0" fontId="21" fillId="4" borderId="0" xfId="0" applyFont="1" applyFill="1"/>
    <xf numFmtId="0" fontId="24" fillId="16" borderId="1" xfId="0" applyFont="1" applyFill="1" applyBorder="1" applyAlignment="1">
      <alignment horizontal="center" vertical="center" wrapText="1"/>
    </xf>
    <xf numFmtId="0" fontId="14" fillId="0" borderId="4" xfId="0" applyFont="1" applyBorder="1" applyAlignment="1">
      <alignment wrapText="1"/>
    </xf>
    <xf numFmtId="0" fontId="14" fillId="3" borderId="5" xfId="0" applyFont="1" applyFill="1" applyBorder="1" applyAlignment="1">
      <alignment wrapText="1"/>
    </xf>
    <xf numFmtId="0" fontId="14" fillId="0" borderId="33" xfId="0" applyFont="1" applyBorder="1" applyAlignment="1">
      <alignment wrapText="1"/>
    </xf>
    <xf numFmtId="0" fontId="14" fillId="21" borderId="34" xfId="0" applyFont="1" applyFill="1" applyBorder="1" applyAlignment="1">
      <alignment wrapText="1"/>
    </xf>
    <xf numFmtId="0" fontId="14" fillId="3" borderId="1" xfId="4" applyFont="1" applyFill="1" applyBorder="1" applyAlignment="1">
      <alignment vertical="center" wrapText="1"/>
    </xf>
    <xf numFmtId="0" fontId="14" fillId="3" borderId="1" xfId="4" applyFont="1" applyFill="1" applyBorder="1" applyAlignment="1">
      <alignment horizontal="center" vertical="center" wrapText="1"/>
    </xf>
    <xf numFmtId="0" fontId="26" fillId="0" borderId="0" xfId="0" applyFont="1"/>
    <xf numFmtId="0" fontId="14" fillId="3" borderId="5" xfId="0" applyFont="1" applyFill="1" applyBorder="1"/>
    <xf numFmtId="0" fontId="14" fillId="0" borderId="33" xfId="0" applyFont="1" applyBorder="1" applyAlignment="1">
      <alignment vertical="top" wrapText="1"/>
    </xf>
    <xf numFmtId="0" fontId="14" fillId="22" borderId="34" xfId="0" applyFont="1" applyFill="1" applyBorder="1"/>
    <xf numFmtId="0" fontId="14" fillId="0" borderId="0" xfId="0" applyFont="1" applyAlignment="1">
      <alignment vertical="top" wrapText="1"/>
    </xf>
    <xf numFmtId="0" fontId="14" fillId="4" borderId="32" xfId="0" applyFont="1" applyFill="1" applyBorder="1"/>
    <xf numFmtId="0" fontId="2" fillId="0" borderId="1" xfId="0" applyFont="1" applyBorder="1" applyAlignment="1">
      <alignment horizontal="left" vertical="top"/>
    </xf>
    <xf numFmtId="0" fontId="13" fillId="2" borderId="1" xfId="0" applyFont="1" applyFill="1" applyBorder="1" applyAlignment="1">
      <alignmen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23" borderId="1" xfId="0" applyFont="1" applyFill="1" applyBorder="1" applyAlignment="1">
      <alignment vertical="center"/>
    </xf>
    <xf numFmtId="0" fontId="14" fillId="0" borderId="1" xfId="0" applyFont="1" applyBorder="1" applyAlignment="1">
      <alignment horizontal="center" vertical="center" wrapText="1"/>
    </xf>
    <xf numFmtId="9" fontId="14" fillId="24" borderId="1" xfId="0" applyNumberFormat="1" applyFont="1" applyFill="1" applyBorder="1" applyAlignment="1">
      <alignment vertical="center"/>
    </xf>
    <xf numFmtId="9" fontId="14" fillId="25" borderId="1" xfId="0" applyNumberFormat="1" applyFont="1" applyFill="1" applyBorder="1" applyAlignment="1">
      <alignment vertical="center"/>
    </xf>
    <xf numFmtId="0" fontId="14" fillId="2" borderId="1" xfId="0" applyFont="1" applyFill="1" applyBorder="1" applyAlignment="1">
      <alignment horizontal="center" vertical="center" wrapText="1"/>
    </xf>
    <xf numFmtId="0" fontId="14" fillId="0" borderId="1" xfId="0" applyFont="1" applyBorder="1" applyAlignment="1">
      <alignment wrapText="1"/>
    </xf>
    <xf numFmtId="0" fontId="14" fillId="3" borderId="1" xfId="0" applyFont="1" applyFill="1" applyBorder="1" applyAlignment="1">
      <alignment wrapText="1"/>
    </xf>
    <xf numFmtId="0" fontId="14" fillId="0" borderId="1" xfId="0" applyFont="1" applyBorder="1" applyAlignment="1">
      <alignment vertical="center" wrapText="1"/>
    </xf>
    <xf numFmtId="0" fontId="14" fillId="0" borderId="1" xfId="0" applyFont="1" applyBorder="1" applyAlignment="1">
      <alignment horizontal="center" wrapText="1"/>
    </xf>
    <xf numFmtId="0" fontId="14" fillId="3" borderId="1" xfId="0" applyFont="1" applyFill="1" applyBorder="1" applyAlignment="1">
      <alignment horizontal="center" wrapText="1"/>
    </xf>
    <xf numFmtId="0" fontId="0" fillId="18" borderId="1" xfId="0" applyFill="1" applyBorder="1"/>
    <xf numFmtId="0" fontId="1" fillId="0" borderId="0" xfId="0" applyFont="1"/>
    <xf numFmtId="0" fontId="6" fillId="0" borderId="0" xfId="3" applyAlignment="1"/>
    <xf numFmtId="0" fontId="27" fillId="0" borderId="0" xfId="6"/>
    <xf numFmtId="0" fontId="21" fillId="11" borderId="1" xfId="5" applyFont="1" applyFill="1" applyBorder="1"/>
    <xf numFmtId="0" fontId="27" fillId="2" borderId="1" xfId="6" applyFill="1" applyBorder="1"/>
    <xf numFmtId="0" fontId="13" fillId="2" borderId="1" xfId="6" applyFont="1" applyFill="1" applyBorder="1"/>
    <xf numFmtId="0" fontId="28" fillId="2" borderId="1" xfId="6" applyFont="1" applyFill="1" applyBorder="1" applyAlignment="1">
      <alignment horizontal="center" vertical="center"/>
    </xf>
    <xf numFmtId="0" fontId="27" fillId="11" borderId="1" xfId="6" applyFill="1" applyBorder="1"/>
    <xf numFmtId="0" fontId="24" fillId="16" borderId="9" xfId="0" applyFont="1" applyFill="1" applyBorder="1" applyAlignment="1">
      <alignment horizontal="center" vertical="center" wrapText="1"/>
    </xf>
    <xf numFmtId="17" fontId="19" fillId="2" borderId="1" xfId="0" applyNumberFormat="1" applyFont="1" applyFill="1" applyBorder="1" applyAlignment="1">
      <alignment horizontal="center"/>
    </xf>
    <xf numFmtId="0" fontId="19" fillId="2" borderId="1" xfId="5" applyFont="1" applyFill="1" applyBorder="1" applyAlignment="1">
      <alignment horizontal="center" vertical="center" wrapText="1"/>
    </xf>
    <xf numFmtId="0" fontId="21" fillId="20" borderId="1" xfId="5" applyFont="1" applyFill="1" applyBorder="1"/>
    <xf numFmtId="164" fontId="21" fillId="20" borderId="1" xfId="2" applyNumberFormat="1" applyFont="1" applyFill="1" applyBorder="1" applyAlignment="1">
      <alignment horizontal="center" vertical="center" wrapText="1"/>
    </xf>
    <xf numFmtId="0" fontId="21" fillId="20" borderId="1" xfId="0" applyFont="1" applyFill="1" applyBorder="1" applyAlignment="1">
      <alignment horizontal="center" vertical="center" wrapText="1"/>
    </xf>
    <xf numFmtId="164" fontId="21" fillId="11" borderId="1" xfId="2" applyNumberFormat="1" applyFont="1" applyFill="1" applyBorder="1" applyAlignment="1">
      <alignment horizontal="center" vertical="center" wrapText="1"/>
    </xf>
    <xf numFmtId="0" fontId="21" fillId="11" borderId="0" xfId="0" applyFont="1" applyFill="1"/>
    <xf numFmtId="0" fontId="21" fillId="11" borderId="0" xfId="0" applyFont="1" applyFill="1" applyAlignment="1">
      <alignment vertical="center" wrapText="1"/>
    </xf>
    <xf numFmtId="0" fontId="21" fillId="11" borderId="1" xfId="0" applyFont="1" applyFill="1" applyBorder="1" applyAlignment="1">
      <alignment horizontal="center" vertical="center" wrapText="1"/>
    </xf>
    <xf numFmtId="0" fontId="21" fillId="20" borderId="1" xfId="0" applyFont="1" applyFill="1" applyBorder="1" applyAlignment="1">
      <alignment vertical="center" wrapText="1"/>
    </xf>
    <xf numFmtId="0" fontId="24" fillId="16" borderId="9" xfId="0" applyFont="1" applyFill="1" applyBorder="1" applyAlignment="1">
      <alignment vertical="center" wrapText="1"/>
    </xf>
    <xf numFmtId="0" fontId="24" fillId="16" borderId="35" xfId="0" applyFont="1" applyFill="1" applyBorder="1" applyAlignment="1">
      <alignment vertical="center" wrapText="1"/>
    </xf>
    <xf numFmtId="0" fontId="24" fillId="20" borderId="1" xfId="0" applyFont="1" applyFill="1" applyBorder="1" applyAlignment="1">
      <alignment horizontal="center" vertical="center" wrapText="1"/>
    </xf>
    <xf numFmtId="0" fontId="4" fillId="0" borderId="0" xfId="0" applyFont="1"/>
    <xf numFmtId="0" fontId="2" fillId="0" borderId="8" xfId="0" applyFont="1" applyBorder="1" applyAlignment="1">
      <alignment vertical="top"/>
    </xf>
    <xf numFmtId="0" fontId="2" fillId="0" borderId="0" xfId="0" applyFont="1" applyAlignment="1">
      <alignment vertical="top"/>
    </xf>
    <xf numFmtId="0" fontId="19"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1" fillId="0" borderId="1" xfId="0" applyFont="1" applyBorder="1" applyAlignment="1">
      <alignment horizontal="center" vertical="center"/>
    </xf>
    <xf numFmtId="0" fontId="19" fillId="2" borderId="1" xfId="0" applyFont="1" applyFill="1" applyBorder="1" applyAlignment="1">
      <alignment horizontal="center" vertical="center"/>
    </xf>
    <xf numFmtId="0" fontId="19" fillId="2" borderId="1" xfId="5" applyFont="1" applyFill="1" applyBorder="1" applyAlignment="1">
      <alignment horizontal="center" vertical="center"/>
    </xf>
    <xf numFmtId="0" fontId="21" fillId="4" borderId="9"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2" fillId="16" borderId="1" xfId="0" applyFont="1" applyFill="1" applyBorder="1" applyAlignment="1">
      <alignment wrapText="1"/>
    </xf>
    <xf numFmtId="0" fontId="28" fillId="2" borderId="1" xfId="6" applyFont="1" applyFill="1" applyBorder="1" applyAlignment="1">
      <alignment horizontal="center" vertical="center" wrapText="1"/>
    </xf>
    <xf numFmtId="0" fontId="0" fillId="0" borderId="0" xfId="0" applyAlignment="1">
      <alignment horizontal="left" vertical="center"/>
    </xf>
    <xf numFmtId="0" fontId="31" fillId="0" borderId="23" xfId="0" applyFont="1" applyBorder="1" applyAlignment="1">
      <alignment vertical="top" wrapText="1"/>
    </xf>
    <xf numFmtId="0" fontId="33" fillId="0" borderId="23" xfId="0" applyFont="1" applyBorder="1" applyAlignment="1">
      <alignment vertical="top" wrapText="1"/>
    </xf>
    <xf numFmtId="0" fontId="33" fillId="0" borderId="24" xfId="0" applyFont="1" applyBorder="1" applyAlignment="1">
      <alignment vertical="top" wrapText="1"/>
    </xf>
    <xf numFmtId="0" fontId="2" fillId="16" borderId="36" xfId="0" applyFont="1" applyFill="1" applyBorder="1" applyAlignment="1">
      <alignment horizontal="center" vertical="center" wrapText="1"/>
    </xf>
    <xf numFmtId="0" fontId="2" fillId="16" borderId="9" xfId="0" applyFont="1" applyFill="1" applyBorder="1" applyAlignment="1">
      <alignment horizontal="center" vertical="center" wrapText="1"/>
    </xf>
    <xf numFmtId="0" fontId="2" fillId="16" borderId="28" xfId="0" applyFont="1" applyFill="1" applyBorder="1" applyAlignment="1">
      <alignment horizontal="center" vertical="center" wrapText="1"/>
    </xf>
    <xf numFmtId="0" fontId="2" fillId="16" borderId="1" xfId="0" applyFont="1" applyFill="1" applyBorder="1"/>
    <xf numFmtId="0" fontId="19" fillId="4" borderId="0" xfId="0" applyFont="1" applyFill="1"/>
    <xf numFmtId="0" fontId="3" fillId="3" borderId="1" xfId="0" applyFont="1" applyFill="1" applyBorder="1" applyAlignment="1">
      <alignment horizontal="center" vertical="center"/>
    </xf>
    <xf numFmtId="3" fontId="2" fillId="3" borderId="1" xfId="0" applyNumberFormat="1" applyFont="1" applyFill="1" applyBorder="1" applyAlignment="1">
      <alignment horizontal="center" vertical="center" wrapText="1"/>
    </xf>
    <xf numFmtId="0" fontId="21" fillId="3" borderId="1" xfId="0" applyFont="1" applyFill="1" applyBorder="1"/>
    <xf numFmtId="0" fontId="4" fillId="2" borderId="2" xfId="0" applyFont="1" applyFill="1" applyBorder="1" applyAlignment="1">
      <alignment horizontal="left" vertical="top" wrapText="1"/>
    </xf>
    <xf numFmtId="0" fontId="2" fillId="3" borderId="1" xfId="0" applyFont="1" applyFill="1" applyBorder="1" applyAlignment="1">
      <alignment horizontal="left" vertical="top" wrapText="1"/>
    </xf>
    <xf numFmtId="0" fontId="4" fillId="2" borderId="9" xfId="0" applyFont="1" applyFill="1" applyBorder="1" applyAlignment="1">
      <alignment vertical="center" wrapText="1"/>
    </xf>
    <xf numFmtId="0" fontId="4" fillId="2" borderId="32" xfId="0" applyFont="1" applyFill="1" applyBorder="1" applyAlignment="1">
      <alignment vertical="center" wrapText="1"/>
    </xf>
    <xf numFmtId="0" fontId="2" fillId="3" borderId="9" xfId="0" applyFont="1" applyFill="1" applyBorder="1" applyAlignment="1">
      <alignment horizontal="center" vertical="center" wrapText="1"/>
    </xf>
    <xf numFmtId="0" fontId="2" fillId="26" borderId="9" xfId="0" applyFont="1" applyFill="1" applyBorder="1" applyAlignment="1">
      <alignment horizontal="center" vertical="center" wrapText="1"/>
    </xf>
    <xf numFmtId="0" fontId="2" fillId="2" borderId="1" xfId="0" applyFont="1" applyFill="1" applyBorder="1"/>
    <xf numFmtId="0" fontId="2" fillId="3" borderId="1" xfId="0" applyFont="1" applyFill="1" applyBorder="1" applyAlignment="1">
      <alignment vertical="top"/>
    </xf>
    <xf numFmtId="0" fontId="2" fillId="14" borderId="1" xfId="0" applyFont="1" applyFill="1" applyBorder="1" applyAlignment="1">
      <alignment vertical="top"/>
    </xf>
    <xf numFmtId="0" fontId="19" fillId="0" borderId="1" xfId="5" applyFont="1" applyBorder="1" applyAlignment="1">
      <alignment wrapText="1"/>
    </xf>
    <xf numFmtId="0" fontId="33" fillId="0" borderId="1" xfId="0" applyFont="1" applyBorder="1" applyAlignment="1">
      <alignment vertical="top" wrapText="1"/>
    </xf>
    <xf numFmtId="0" fontId="0" fillId="0" borderId="0" xfId="0" applyAlignment="1">
      <alignment vertical="center" wrapText="1"/>
    </xf>
    <xf numFmtId="0" fontId="12" fillId="16" borderId="1" xfId="0" applyFont="1" applyFill="1" applyBorder="1" applyAlignment="1">
      <alignment horizontal="center" vertical="center"/>
    </xf>
    <xf numFmtId="0" fontId="4" fillId="2" borderId="14" xfId="0" applyFont="1" applyFill="1" applyBorder="1" applyAlignment="1">
      <alignment horizontal="center" vertical="center" wrapText="1"/>
    </xf>
    <xf numFmtId="0" fontId="14" fillId="16" borderId="1" xfId="0" applyFont="1" applyFill="1" applyBorder="1" applyAlignment="1">
      <alignment horizontal="left" vertical="top" wrapText="1"/>
    </xf>
    <xf numFmtId="0" fontId="14" fillId="16" borderId="25" xfId="0" applyFont="1" applyFill="1" applyBorder="1" applyAlignment="1">
      <alignment horizontal="left" vertical="top" wrapText="1"/>
    </xf>
    <xf numFmtId="0" fontId="14" fillId="16" borderId="22" xfId="0" applyFont="1" applyFill="1" applyBorder="1" applyAlignment="1">
      <alignment horizontal="left" vertical="top" wrapText="1"/>
    </xf>
    <xf numFmtId="0" fontId="14" fillId="16" borderId="37" xfId="0" applyFont="1" applyFill="1" applyBorder="1" applyAlignment="1">
      <alignment horizontal="left" vertical="top" wrapText="1"/>
    </xf>
    <xf numFmtId="0" fontId="14" fillId="16" borderId="26" xfId="0" applyFont="1" applyFill="1" applyBorder="1" applyAlignment="1">
      <alignment horizontal="left" vertical="top" wrapText="1"/>
    </xf>
    <xf numFmtId="0" fontId="14" fillId="3" borderId="1" xfId="0" applyFont="1" applyFill="1" applyBorder="1" applyAlignment="1">
      <alignment horizontal="center" vertical="top" wrapText="1"/>
    </xf>
    <xf numFmtId="0" fontId="14" fillId="3" borderId="21" xfId="0" applyFont="1" applyFill="1" applyBorder="1" applyAlignment="1">
      <alignment horizontal="center" vertical="top" wrapText="1"/>
    </xf>
    <xf numFmtId="0" fontId="14" fillId="3" borderId="23" xfId="0" applyFont="1" applyFill="1" applyBorder="1" applyAlignment="1">
      <alignment horizontal="center" vertical="top" wrapText="1"/>
    </xf>
    <xf numFmtId="0" fontId="14" fillId="3" borderId="24" xfId="0" applyFont="1" applyFill="1" applyBorder="1" applyAlignment="1">
      <alignment horizontal="center" vertical="top" wrapText="1"/>
    </xf>
    <xf numFmtId="0" fontId="14" fillId="3" borderId="22" xfId="0" applyFont="1" applyFill="1" applyBorder="1" applyAlignment="1">
      <alignment horizontal="center" vertical="top" wrapText="1"/>
    </xf>
    <xf numFmtId="0" fontId="14" fillId="3" borderId="26" xfId="0" applyFont="1" applyFill="1" applyBorder="1" applyAlignment="1">
      <alignment horizontal="center" vertical="top" wrapText="1"/>
    </xf>
    <xf numFmtId="0" fontId="21" fillId="0" borderId="0" xfId="0" applyFont="1" applyAlignment="1">
      <alignment horizontal="center" vertical="center" wrapText="1"/>
    </xf>
    <xf numFmtId="0" fontId="21" fillId="0" borderId="0" xfId="0" applyFont="1" applyAlignment="1">
      <alignment horizontal="left" vertical="top" wrapText="1"/>
    </xf>
    <xf numFmtId="0" fontId="21" fillId="4" borderId="14" xfId="0" applyFont="1" applyFill="1" applyBorder="1" applyAlignment="1">
      <alignment horizontal="center" vertical="center" wrapText="1"/>
    </xf>
    <xf numFmtId="0" fontId="21" fillId="4" borderId="14" xfId="0" applyFont="1" applyFill="1" applyBorder="1" applyAlignment="1">
      <alignment vertical="center" wrapText="1"/>
    </xf>
    <xf numFmtId="0" fontId="19" fillId="0" borderId="0" xfId="0" applyFont="1" applyAlignment="1">
      <alignment vertical="center" wrapText="1"/>
    </xf>
    <xf numFmtId="0" fontId="4" fillId="18" borderId="1" xfId="0" applyFont="1" applyFill="1" applyBorder="1" applyAlignment="1">
      <alignment horizontal="center" vertical="center" wrapText="1"/>
    </xf>
    <xf numFmtId="0" fontId="27" fillId="0" borderId="0" xfId="7"/>
    <xf numFmtId="0" fontId="2" fillId="2" borderId="11" xfId="0" applyFont="1" applyFill="1" applyBorder="1" applyAlignment="1">
      <alignment vertical="center" wrapText="1"/>
    </xf>
    <xf numFmtId="0" fontId="2" fillId="2" borderId="28" xfId="0" applyFont="1" applyFill="1" applyBorder="1" applyAlignment="1">
      <alignment vertical="center" wrapText="1"/>
    </xf>
    <xf numFmtId="0" fontId="2" fillId="3" borderId="14" xfId="0" applyFont="1" applyFill="1" applyBorder="1" applyAlignment="1">
      <alignment vertical="center" wrapText="1"/>
    </xf>
    <xf numFmtId="0" fontId="2" fillId="2" borderId="38" xfId="0" applyFont="1" applyFill="1" applyBorder="1" applyAlignment="1">
      <alignment vertical="center" wrapText="1"/>
    </xf>
    <xf numFmtId="0" fontId="36" fillId="0" borderId="0" xfId="0" applyFont="1" applyAlignment="1">
      <alignment horizontal="left" vertical="top"/>
    </xf>
    <xf numFmtId="0" fontId="14" fillId="16" borderId="1" xfId="0" applyFont="1" applyFill="1" applyBorder="1" applyAlignment="1">
      <alignment horizontal="center" vertical="center"/>
    </xf>
    <xf numFmtId="0" fontId="14" fillId="16" borderId="1" xfId="0" applyFont="1" applyFill="1" applyBorder="1" applyAlignment="1">
      <alignment wrapText="1"/>
    </xf>
    <xf numFmtId="0" fontId="14" fillId="22" borderId="1" xfId="0" applyFont="1" applyFill="1" applyBorder="1"/>
    <xf numFmtId="0" fontId="4" fillId="12" borderId="2" xfId="0" applyFont="1" applyFill="1" applyBorder="1" applyAlignment="1">
      <alignment horizontal="center"/>
    </xf>
    <xf numFmtId="0" fontId="4" fillId="12" borderId="2" xfId="0" applyFont="1" applyFill="1" applyBorder="1"/>
    <xf numFmtId="0" fontId="4" fillId="0" borderId="0" xfId="0" applyFont="1" applyAlignment="1">
      <alignment horizontal="center"/>
    </xf>
    <xf numFmtId="0" fontId="39" fillId="12" borderId="0" xfId="0" applyFont="1" applyFill="1" applyAlignment="1">
      <alignment horizontal="left" vertical="top" wrapText="1"/>
    </xf>
    <xf numFmtId="0" fontId="38" fillId="27" borderId="1" xfId="0" applyFont="1" applyFill="1" applyBorder="1" applyAlignment="1">
      <alignment horizontal="left" vertical="top" wrapText="1"/>
    </xf>
    <xf numFmtId="0" fontId="38" fillId="27" borderId="1" xfId="0" applyFont="1" applyFill="1" applyBorder="1" applyAlignment="1">
      <alignment horizontal="center" wrapText="1"/>
    </xf>
    <xf numFmtId="0" fontId="42" fillId="0" borderId="0" xfId="0" applyFont="1"/>
    <xf numFmtId="0" fontId="42" fillId="27" borderId="1" xfId="0" applyFont="1" applyFill="1" applyBorder="1" applyAlignment="1">
      <alignment wrapText="1"/>
    </xf>
    <xf numFmtId="0" fontId="42" fillId="28" borderId="0" xfId="0" applyFont="1" applyFill="1"/>
    <xf numFmtId="0" fontId="4" fillId="2" borderId="14" xfId="0" applyFont="1" applyFill="1" applyBorder="1" applyAlignment="1">
      <alignment vertical="center" wrapText="1"/>
    </xf>
    <xf numFmtId="0" fontId="3" fillId="29" borderId="1" xfId="0" applyFont="1" applyFill="1" applyBorder="1" applyAlignment="1">
      <alignment horizontal="left" vertical="center" wrapText="1"/>
    </xf>
    <xf numFmtId="0" fontId="2" fillId="0" borderId="32" xfId="0" applyFont="1" applyBorder="1" applyAlignment="1">
      <alignment horizontal="center" vertical="center" wrapText="1"/>
    </xf>
    <xf numFmtId="0" fontId="2" fillId="3" borderId="2" xfId="0" applyFont="1" applyFill="1" applyBorder="1" applyAlignment="1">
      <alignment vertical="center" wrapText="1"/>
    </xf>
    <xf numFmtId="0" fontId="43" fillId="0" borderId="0" xfId="0" applyFont="1" applyAlignment="1">
      <alignment vertical="center" wrapText="1"/>
    </xf>
    <xf numFmtId="0" fontId="14" fillId="16" borderId="1" xfId="4" applyFont="1" applyFill="1" applyBorder="1" applyAlignment="1">
      <alignment vertical="center" wrapText="1"/>
    </xf>
    <xf numFmtId="0" fontId="14" fillId="16" borderId="9" xfId="4" applyFont="1" applyFill="1" applyBorder="1" applyAlignment="1">
      <alignment horizontal="center" vertical="center" wrapText="1"/>
    </xf>
    <xf numFmtId="0" fontId="14" fillId="16" borderId="1" xfId="4" applyFont="1" applyFill="1" applyBorder="1" applyAlignment="1">
      <alignment horizontal="left" vertical="center"/>
    </xf>
    <xf numFmtId="0" fontId="12" fillId="16" borderId="1" xfId="4" applyFont="1" applyFill="1" applyBorder="1" applyAlignment="1">
      <alignment horizontal="center" vertical="center" wrapText="1"/>
    </xf>
    <xf numFmtId="0" fontId="12" fillId="16" borderId="9" xfId="4" applyFont="1" applyFill="1" applyBorder="1" applyAlignment="1">
      <alignment horizontal="center" vertical="center" wrapText="1"/>
    </xf>
    <xf numFmtId="0" fontId="14" fillId="0" borderId="0" xfId="4" applyFont="1" applyAlignment="1">
      <alignment vertical="center" wrapText="1"/>
    </xf>
    <xf numFmtId="0" fontId="14" fillId="0" borderId="0" xfId="4" applyFont="1" applyAlignment="1">
      <alignment horizontal="center" vertical="center" wrapText="1"/>
    </xf>
    <xf numFmtId="0" fontId="12" fillId="16" borderId="1" xfId="4" applyFont="1" applyFill="1" applyBorder="1" applyAlignment="1">
      <alignment vertical="center" wrapText="1"/>
    </xf>
    <xf numFmtId="0" fontId="14" fillId="16" borderId="4" xfId="0" applyFont="1" applyFill="1" applyBorder="1" applyAlignment="1">
      <alignment wrapText="1"/>
    </xf>
    <xf numFmtId="0" fontId="4" fillId="2" borderId="33" xfId="0" applyFont="1" applyFill="1" applyBorder="1" applyAlignment="1">
      <alignment vertical="center" wrapText="1"/>
    </xf>
    <xf numFmtId="0" fontId="44" fillId="9" borderId="1" xfId="0" applyFont="1" applyFill="1" applyBorder="1" applyAlignment="1">
      <alignment horizontal="center" wrapText="1"/>
    </xf>
    <xf numFmtId="0" fontId="44" fillId="9" borderId="18" xfId="0" applyFont="1" applyFill="1" applyBorder="1" applyAlignment="1">
      <alignment horizontal="center" wrapText="1"/>
    </xf>
    <xf numFmtId="0" fontId="19" fillId="0" borderId="0" xfId="0" applyFont="1" applyAlignment="1">
      <alignment horizontal="center" vertical="center" wrapText="1"/>
    </xf>
    <xf numFmtId="0" fontId="24" fillId="2" borderId="2" xfId="0" applyFont="1" applyFill="1" applyBorder="1"/>
    <xf numFmtId="0" fontId="21" fillId="3" borderId="18" xfId="0" applyFont="1" applyFill="1" applyBorder="1" applyAlignment="1">
      <alignment horizontal="center" vertical="center" wrapText="1"/>
    </xf>
    <xf numFmtId="0" fontId="21" fillId="3" borderId="30"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2" xfId="0" applyFont="1" applyFill="1" applyBorder="1" applyAlignment="1">
      <alignment horizontal="center" vertical="center" wrapText="1"/>
    </xf>
    <xf numFmtId="0" fontId="21" fillId="3" borderId="22" xfId="0" applyFont="1" applyFill="1" applyBorder="1" applyAlignment="1">
      <alignment horizontal="center" vertical="center" wrapText="1"/>
    </xf>
    <xf numFmtId="0" fontId="38" fillId="27" borderId="9" xfId="0" applyFont="1" applyFill="1" applyBorder="1" applyAlignment="1">
      <alignment horizontal="center" wrapText="1"/>
    </xf>
    <xf numFmtId="0" fontId="42" fillId="27" borderId="9" xfId="0" applyFont="1" applyFill="1" applyBorder="1" applyAlignment="1">
      <alignment wrapText="1"/>
    </xf>
    <xf numFmtId="0" fontId="38" fillId="0" borderId="0" xfId="0" applyFont="1" applyAlignment="1">
      <alignment vertical="top" wrapText="1"/>
    </xf>
    <xf numFmtId="0" fontId="39" fillId="0" borderId="0" xfId="0" applyFont="1" applyAlignment="1">
      <alignment horizontal="left" vertical="top" wrapText="1"/>
    </xf>
    <xf numFmtId="1" fontId="21" fillId="11" borderId="1" xfId="5" applyNumberFormat="1" applyFont="1" applyFill="1" applyBorder="1"/>
    <xf numFmtId="2" fontId="21" fillId="3" borderId="1" xfId="0" applyNumberFormat="1" applyFont="1" applyFill="1" applyBorder="1" applyAlignment="1">
      <alignment horizontal="center" vertical="center" wrapText="1"/>
    </xf>
    <xf numFmtId="2" fontId="21" fillId="3" borderId="22" xfId="0" applyNumberFormat="1" applyFont="1" applyFill="1" applyBorder="1" applyAlignment="1">
      <alignment horizontal="center" vertical="center" wrapText="1"/>
    </xf>
    <xf numFmtId="2" fontId="21" fillId="11" borderId="1" xfId="5" applyNumberFormat="1" applyFont="1" applyFill="1" applyBorder="1"/>
    <xf numFmtId="2" fontId="21" fillId="3" borderId="1" xfId="5" applyNumberFormat="1" applyFont="1" applyFill="1" applyBorder="1"/>
    <xf numFmtId="2" fontId="21" fillId="3" borderId="9" xfId="0" applyNumberFormat="1" applyFont="1" applyFill="1" applyBorder="1" applyAlignment="1">
      <alignment horizontal="center" vertical="center" wrapText="1"/>
    </xf>
    <xf numFmtId="1" fontId="21" fillId="11" borderId="1" xfId="0" applyNumberFormat="1" applyFont="1" applyFill="1" applyBorder="1"/>
    <xf numFmtId="0" fontId="21" fillId="31" borderId="1" xfId="0" applyFont="1" applyFill="1" applyBorder="1" applyAlignment="1">
      <alignment vertical="center" wrapText="1"/>
    </xf>
    <xf numFmtId="0" fontId="2" fillId="3" borderId="1" xfId="0" applyFont="1" applyFill="1" applyBorder="1" applyAlignment="1">
      <alignment horizontal="center"/>
    </xf>
    <xf numFmtId="0" fontId="7" fillId="29" borderId="1" xfId="0" applyFont="1" applyFill="1" applyBorder="1" applyAlignment="1">
      <alignment horizontal="center" vertical="center" wrapText="1"/>
    </xf>
    <xf numFmtId="14" fontId="21" fillId="31" borderId="1" xfId="0" applyNumberFormat="1" applyFont="1" applyFill="1" applyBorder="1" applyAlignment="1">
      <alignment vertical="center" wrapText="1"/>
    </xf>
    <xf numFmtId="3" fontId="27" fillId="11" borderId="1" xfId="6" applyNumberFormat="1" applyFill="1" applyBorder="1"/>
    <xf numFmtId="0" fontId="47" fillId="9" borderId="1" xfId="6" applyFont="1" applyFill="1" applyBorder="1" applyAlignment="1">
      <alignment horizontal="center"/>
    </xf>
    <xf numFmtId="2" fontId="27" fillId="32" borderId="1" xfId="6" applyNumberFormat="1" applyFill="1" applyBorder="1"/>
    <xf numFmtId="0" fontId="21" fillId="33" borderId="1" xfId="0" applyFont="1" applyFill="1" applyBorder="1" applyAlignment="1">
      <alignment horizontal="left" vertical="top" wrapText="1"/>
    </xf>
    <xf numFmtId="165" fontId="21" fillId="20" borderId="1" xfId="5" applyNumberFormat="1" applyFont="1" applyFill="1" applyBorder="1"/>
    <xf numFmtId="2" fontId="21" fillId="20" borderId="1" xfId="5" applyNumberFormat="1" applyFont="1" applyFill="1" applyBorder="1"/>
    <xf numFmtId="0" fontId="2" fillId="33" borderId="1" xfId="0" applyFont="1" applyFill="1" applyBorder="1" applyAlignment="1">
      <alignment horizontal="center" vertical="center" wrapText="1"/>
    </xf>
    <xf numFmtId="0" fontId="7" fillId="33" borderId="1" xfId="0" applyFont="1" applyFill="1" applyBorder="1" applyAlignment="1">
      <alignment horizontal="center" vertical="center" wrapText="1"/>
    </xf>
    <xf numFmtId="0" fontId="2" fillId="29" borderId="1" xfId="0" applyFont="1" applyFill="1" applyBorder="1" applyAlignment="1">
      <alignment horizontal="center" vertical="center" wrapText="1"/>
    </xf>
    <xf numFmtId="0" fontId="2" fillId="29" borderId="1" xfId="0" applyFont="1" applyFill="1" applyBorder="1" applyAlignment="1">
      <alignment horizontal="left" vertical="top" wrapText="1"/>
    </xf>
    <xf numFmtId="0" fontId="14" fillId="29" borderId="1" xfId="0" applyFont="1" applyFill="1" applyBorder="1"/>
    <xf numFmtId="10" fontId="2" fillId="29" borderId="1" xfId="0" applyNumberFormat="1" applyFont="1" applyFill="1" applyBorder="1" applyAlignment="1">
      <alignment vertical="center" wrapText="1"/>
    </xf>
    <xf numFmtId="10" fontId="2" fillId="29" borderId="1" xfId="0" applyNumberFormat="1" applyFont="1" applyFill="1" applyBorder="1" applyAlignment="1">
      <alignment horizontal="center" vertical="center" wrapText="1"/>
    </xf>
    <xf numFmtId="0" fontId="2" fillId="29" borderId="1" xfId="0" applyFont="1" applyFill="1" applyBorder="1"/>
    <xf numFmtId="0" fontId="21" fillId="34" borderId="1" xfId="0" applyFont="1" applyFill="1" applyBorder="1"/>
    <xf numFmtId="165" fontId="24" fillId="20" borderId="1" xfId="0" applyNumberFormat="1" applyFont="1" applyFill="1" applyBorder="1" applyAlignment="1">
      <alignment horizontal="center" vertical="center" wrapText="1"/>
    </xf>
    <xf numFmtId="0" fontId="27" fillId="0" borderId="7" xfId="6" applyBorder="1"/>
    <xf numFmtId="2" fontId="27" fillId="0" borderId="16" xfId="6" applyNumberFormat="1" applyBorder="1"/>
    <xf numFmtId="0" fontId="27" fillId="0" borderId="4" xfId="6" applyBorder="1"/>
    <xf numFmtId="0" fontId="27" fillId="0" borderId="5" xfId="6" applyBorder="1"/>
    <xf numFmtId="0" fontId="27" fillId="0" borderId="33" xfId="6" applyBorder="1"/>
    <xf numFmtId="2" fontId="27" fillId="0" borderId="34" xfId="6" applyNumberFormat="1" applyBorder="1"/>
    <xf numFmtId="0" fontId="49" fillId="0" borderId="0" xfId="0" applyFont="1" applyAlignment="1">
      <alignment vertical="center" wrapText="1"/>
    </xf>
    <xf numFmtId="0" fontId="50" fillId="28" borderId="45" xfId="0" applyFont="1" applyFill="1" applyBorder="1" applyAlignment="1">
      <alignment vertical="center" wrapText="1"/>
    </xf>
    <xf numFmtId="0" fontId="50" fillId="28" borderId="44" xfId="0" applyFont="1" applyFill="1" applyBorder="1" applyAlignment="1">
      <alignment vertical="center" wrapText="1"/>
    </xf>
    <xf numFmtId="0" fontId="51" fillId="28" borderId="47" xfId="0" applyFont="1" applyFill="1" applyBorder="1" applyAlignment="1">
      <alignment vertical="center" wrapText="1"/>
    </xf>
    <xf numFmtId="0" fontId="50" fillId="28" borderId="46" xfId="0" applyFont="1" applyFill="1" applyBorder="1" applyAlignment="1">
      <alignment horizontal="right" vertical="center" wrapText="1"/>
    </xf>
    <xf numFmtId="0" fontId="50" fillId="28" borderId="46" xfId="0" applyFont="1" applyFill="1" applyBorder="1" applyAlignment="1">
      <alignment vertical="center" wrapText="1"/>
    </xf>
    <xf numFmtId="2" fontId="27" fillId="0" borderId="5" xfId="6" applyNumberFormat="1" applyBorder="1"/>
    <xf numFmtId="49" fontId="53" fillId="0" borderId="48" xfId="0" applyNumberFormat="1" applyFont="1" applyBorder="1" applyAlignment="1">
      <alignment horizontal="center" vertical="center"/>
    </xf>
    <xf numFmtId="49" fontId="53" fillId="0" borderId="49" xfId="0" applyNumberFormat="1" applyFont="1" applyBorder="1" applyAlignment="1">
      <alignment horizontal="center" vertical="center"/>
    </xf>
    <xf numFmtId="0" fontId="32" fillId="0" borderId="9" xfId="0" applyFont="1" applyBorder="1" applyAlignment="1">
      <alignment horizontal="left" vertical="top" wrapText="1"/>
    </xf>
    <xf numFmtId="0" fontId="32" fillId="0" borderId="39" xfId="0" applyFont="1" applyBorder="1" applyAlignment="1">
      <alignment horizontal="left" vertical="top" wrapText="1"/>
    </xf>
    <xf numFmtId="0" fontId="32" fillId="0" borderId="18" xfId="0" applyFont="1" applyBorder="1" applyAlignment="1">
      <alignment horizontal="left" vertical="top" wrapText="1"/>
    </xf>
    <xf numFmtId="0" fontId="32" fillId="0" borderId="1" xfId="0" applyFont="1" applyBorder="1" applyAlignment="1">
      <alignment vertical="top" wrapText="1"/>
    </xf>
    <xf numFmtId="0" fontId="34" fillId="0" borderId="1" xfId="0" applyFont="1" applyBorder="1" applyAlignment="1">
      <alignment vertical="top" wrapText="1"/>
    </xf>
    <xf numFmtId="0" fontId="0" fillId="0" borderId="9" xfId="0" applyBorder="1" applyAlignment="1">
      <alignment horizontal="left" vertical="top" wrapText="1"/>
    </xf>
    <xf numFmtId="0" fontId="0" fillId="0" borderId="39" xfId="0" applyBorder="1" applyAlignment="1">
      <alignment horizontal="left" vertical="top" wrapText="1"/>
    </xf>
    <xf numFmtId="0" fontId="0" fillId="0" borderId="18" xfId="0" applyBorder="1" applyAlignment="1">
      <alignment horizontal="left" vertical="top" wrapText="1"/>
    </xf>
    <xf numFmtId="0" fontId="1" fillId="30" borderId="1" xfId="0" applyFont="1" applyFill="1" applyBorder="1" applyAlignment="1">
      <alignment horizontal="center"/>
    </xf>
    <xf numFmtId="0" fontId="0" fillId="0" borderId="9" xfId="0" applyBorder="1"/>
    <xf numFmtId="0" fontId="0" fillId="0" borderId="39" xfId="0" applyBorder="1"/>
    <xf numFmtId="0" fontId="0" fillId="0" borderId="18" xfId="0" applyBorder="1"/>
    <xf numFmtId="0" fontId="0" fillId="0" borderId="1" xfId="0" applyBorder="1" applyAlignment="1">
      <alignment horizontal="left"/>
    </xf>
    <xf numFmtId="0" fontId="1" fillId="18" borderId="9" xfId="0" applyFont="1" applyFill="1" applyBorder="1" applyAlignment="1">
      <alignment horizontal="center" wrapText="1"/>
    </xf>
    <xf numFmtId="0" fontId="1" fillId="18" borderId="39" xfId="0" applyFont="1" applyFill="1" applyBorder="1" applyAlignment="1">
      <alignment horizontal="center" wrapText="1"/>
    </xf>
    <xf numFmtId="0" fontId="1" fillId="18" borderId="18" xfId="0" applyFont="1" applyFill="1" applyBorder="1" applyAlignment="1">
      <alignment horizontal="center" wrapText="1"/>
    </xf>
    <xf numFmtId="0" fontId="0" fillId="0" borderId="9" xfId="0" applyBorder="1" applyAlignment="1">
      <alignment horizontal="left"/>
    </xf>
    <xf numFmtId="0" fontId="0" fillId="0" borderId="39" xfId="0" applyBorder="1" applyAlignment="1">
      <alignment horizontal="left"/>
    </xf>
    <xf numFmtId="0" fontId="0" fillId="0" borderId="18" xfId="0" applyBorder="1" applyAlignment="1">
      <alignment horizontal="left"/>
    </xf>
    <xf numFmtId="0" fontId="34" fillId="0" borderId="2" xfId="0" applyFont="1" applyBorder="1" applyAlignment="1">
      <alignment vertical="top" wrapText="1"/>
    </xf>
    <xf numFmtId="0" fontId="33" fillId="0" borderId="1" xfId="0" applyFont="1" applyBorder="1" applyAlignment="1">
      <alignment horizontal="center" vertical="top" wrapText="1"/>
    </xf>
    <xf numFmtId="0" fontId="22" fillId="20" borderId="9" xfId="0" applyFont="1" applyFill="1" applyBorder="1" applyAlignment="1">
      <alignment horizontal="center" wrapText="1"/>
    </xf>
    <xf numFmtId="0" fontId="22" fillId="20" borderId="18" xfId="0" applyFont="1" applyFill="1" applyBorder="1" applyAlignment="1">
      <alignment horizontal="center" wrapText="1"/>
    </xf>
    <xf numFmtId="0" fontId="24" fillId="3" borderId="9" xfId="0" applyFont="1" applyFill="1" applyBorder="1" applyAlignment="1">
      <alignment horizontal="center" vertical="center" wrapText="1"/>
    </xf>
    <xf numFmtId="0" fontId="24" fillId="3" borderId="18" xfId="0" applyFont="1" applyFill="1" applyBorder="1" applyAlignment="1">
      <alignment horizontal="center" vertical="center" wrapText="1"/>
    </xf>
    <xf numFmtId="0" fontId="22" fillId="31" borderId="9" xfId="0" applyFont="1" applyFill="1" applyBorder="1" applyAlignment="1">
      <alignment horizontal="center" wrapText="1"/>
    </xf>
    <xf numFmtId="0" fontId="22" fillId="31" borderId="18" xfId="0" applyFont="1" applyFill="1" applyBorder="1" applyAlignment="1">
      <alignment horizontal="center" wrapText="1"/>
    </xf>
    <xf numFmtId="0" fontId="21" fillId="31" borderId="9" xfId="0" applyFont="1" applyFill="1" applyBorder="1" applyAlignment="1">
      <alignment horizontal="center"/>
    </xf>
    <xf numFmtId="0" fontId="21" fillId="31" borderId="18" xfId="0" applyFont="1" applyFill="1" applyBorder="1" applyAlignment="1">
      <alignment horizontal="center"/>
    </xf>
    <xf numFmtId="0" fontId="22" fillId="19" borderId="9" xfId="0" applyFont="1" applyFill="1" applyBorder="1" applyAlignment="1">
      <alignment horizontal="center" wrapText="1"/>
    </xf>
    <xf numFmtId="0" fontId="22" fillId="19" borderId="18" xfId="0" applyFont="1" applyFill="1" applyBorder="1" applyAlignment="1">
      <alignment horizontal="center" wrapText="1"/>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4" fillId="2" borderId="2" xfId="0" applyFont="1" applyFill="1" applyBorder="1" applyAlignment="1">
      <alignment horizontal="left" vertical="center" wrapText="1"/>
    </xf>
    <xf numFmtId="0" fontId="19" fillId="2" borderId="1" xfId="0" applyFont="1" applyFill="1" applyBorder="1" applyAlignment="1">
      <alignment horizontal="center" vertical="center"/>
    </xf>
    <xf numFmtId="0" fontId="20" fillId="16" borderId="1" xfId="0" applyFont="1" applyFill="1" applyBorder="1" applyAlignment="1">
      <alignment horizontal="center" vertical="center"/>
    </xf>
    <xf numFmtId="2" fontId="22" fillId="20" borderId="9" xfId="0" applyNumberFormat="1" applyFont="1" applyFill="1" applyBorder="1" applyAlignment="1">
      <alignment horizontal="center" wrapText="1"/>
    </xf>
    <xf numFmtId="2" fontId="22" fillId="20" borderId="18" xfId="0" applyNumberFormat="1" applyFont="1" applyFill="1" applyBorder="1" applyAlignment="1">
      <alignment horizontal="center" wrapText="1"/>
    </xf>
    <xf numFmtId="0" fontId="22" fillId="34" borderId="9" xfId="0" applyFont="1" applyFill="1" applyBorder="1" applyAlignment="1">
      <alignment horizontal="center" wrapText="1"/>
    </xf>
    <xf numFmtId="0" fontId="22" fillId="34" borderId="18" xfId="0" applyFont="1" applyFill="1" applyBorder="1" applyAlignment="1">
      <alignment horizontal="center" wrapText="1"/>
    </xf>
    <xf numFmtId="165" fontId="22" fillId="34" borderId="9" xfId="0" applyNumberFormat="1" applyFont="1" applyFill="1" applyBorder="1" applyAlignment="1">
      <alignment horizontal="center" wrapText="1"/>
    </xf>
    <xf numFmtId="165" fontId="22" fillId="34" borderId="18" xfId="0"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39" xfId="0" applyFont="1" applyFill="1" applyBorder="1" applyAlignment="1">
      <alignment horizontal="center" vertical="center" wrapText="1"/>
    </xf>
    <xf numFmtId="0" fontId="19" fillId="2" borderId="1" xfId="0" applyFont="1" applyFill="1" applyBorder="1" applyAlignment="1">
      <alignment horizontal="left" vertical="top" wrapText="1"/>
    </xf>
    <xf numFmtId="0" fontId="21" fillId="4" borderId="9" xfId="0" applyFont="1" applyFill="1" applyBorder="1" applyAlignment="1">
      <alignment horizontal="center" vertical="center" wrapText="1"/>
    </xf>
    <xf numFmtId="0" fontId="21" fillId="4" borderId="8" xfId="0" applyFont="1" applyFill="1" applyBorder="1" applyAlignment="1">
      <alignment horizontal="center" vertical="center" wrapText="1"/>
    </xf>
    <xf numFmtId="0" fontId="21" fillId="3" borderId="1" xfId="0" applyFont="1" applyFill="1" applyBorder="1" applyAlignment="1">
      <alignment vertical="center" wrapText="1"/>
    </xf>
    <xf numFmtId="0" fontId="19" fillId="2" borderId="1" xfId="0" applyFont="1" applyFill="1" applyBorder="1" applyAlignment="1">
      <alignment horizontal="center" vertical="center" wrapText="1"/>
    </xf>
    <xf numFmtId="0" fontId="21" fillId="4" borderId="32" xfId="0" applyFont="1" applyFill="1" applyBorder="1" applyAlignment="1">
      <alignment horizontal="center" vertical="center" wrapText="1"/>
    </xf>
    <xf numFmtId="0" fontId="21" fillId="21" borderId="19" xfId="0" applyFont="1" applyFill="1" applyBorder="1" applyAlignment="1">
      <alignment horizontal="center" vertical="center" wrapText="1"/>
    </xf>
    <xf numFmtId="0" fontId="21" fillId="21" borderId="31" xfId="0" applyFont="1" applyFill="1" applyBorder="1" applyAlignment="1">
      <alignment horizontal="center" vertical="center" wrapText="1"/>
    </xf>
    <xf numFmtId="0" fontId="21" fillId="0" borderId="39" xfId="0" applyFont="1" applyBorder="1" applyAlignment="1">
      <alignment horizontal="center" wrapText="1"/>
    </xf>
    <xf numFmtId="0" fontId="21" fillId="0" borderId="18" xfId="0" applyFont="1" applyBorder="1" applyAlignment="1">
      <alignment horizontal="center" wrapText="1"/>
    </xf>
    <xf numFmtId="0" fontId="21" fillId="2" borderId="1" xfId="0" applyFont="1" applyFill="1" applyBorder="1" applyAlignment="1">
      <alignment horizontal="center" vertical="center" wrapText="1"/>
    </xf>
    <xf numFmtId="0" fontId="19" fillId="2" borderId="1" xfId="5" applyFont="1" applyFill="1" applyBorder="1" applyAlignment="1">
      <alignment horizontal="center" vertical="center"/>
    </xf>
    <xf numFmtId="0" fontId="19" fillId="2" borderId="22" xfId="0" applyFont="1" applyFill="1" applyBorder="1" applyAlignment="1">
      <alignment horizontal="center" vertical="center" wrapText="1"/>
    </xf>
    <xf numFmtId="0" fontId="24" fillId="20" borderId="9" xfId="0" applyFont="1" applyFill="1" applyBorder="1" applyAlignment="1">
      <alignment horizontal="center" vertical="center" wrapText="1"/>
    </xf>
    <xf numFmtId="0" fontId="24" fillId="20" borderId="18" xfId="0" applyFont="1" applyFill="1" applyBorder="1" applyAlignment="1">
      <alignment horizontal="center" vertical="center" wrapText="1"/>
    </xf>
    <xf numFmtId="0" fontId="19" fillId="2" borderId="18" xfId="0" applyFont="1" applyFill="1" applyBorder="1" applyAlignment="1">
      <alignment horizontal="center" vertical="center" wrapText="1"/>
    </xf>
    <xf numFmtId="0" fontId="24" fillId="2" borderId="32" xfId="0" applyFont="1" applyFill="1" applyBorder="1" applyAlignment="1">
      <alignment horizontal="center" vertical="center" wrapText="1"/>
    </xf>
    <xf numFmtId="0" fontId="24" fillId="2" borderId="30" xfId="0" applyFont="1" applyFill="1" applyBorder="1" applyAlignment="1">
      <alignment horizontal="center" vertical="center" wrapText="1"/>
    </xf>
    <xf numFmtId="0" fontId="24" fillId="2" borderId="15" xfId="0" applyFont="1" applyFill="1" applyBorder="1" applyAlignment="1">
      <alignment horizontal="center" vertical="center" wrapText="1"/>
    </xf>
    <xf numFmtId="0" fontId="24" fillId="2" borderId="20" xfId="0" applyFont="1" applyFill="1" applyBorder="1" applyAlignment="1">
      <alignment horizontal="center" vertical="center" wrapText="1"/>
    </xf>
    <xf numFmtId="0" fontId="24" fillId="2" borderId="19" xfId="0" applyFont="1" applyFill="1" applyBorder="1" applyAlignment="1">
      <alignment horizontal="center" vertical="center" wrapText="1"/>
    </xf>
    <xf numFmtId="0" fontId="24" fillId="2" borderId="31" xfId="0" applyFont="1" applyFill="1" applyBorder="1" applyAlignment="1">
      <alignment horizontal="center" vertical="center" wrapText="1"/>
    </xf>
    <xf numFmtId="165" fontId="24" fillId="34" borderId="9" xfId="0" applyNumberFormat="1" applyFont="1" applyFill="1" applyBorder="1" applyAlignment="1">
      <alignment horizontal="center" vertical="center" wrapText="1"/>
    </xf>
    <xf numFmtId="165" fontId="24" fillId="34" borderId="18" xfId="0" applyNumberFormat="1" applyFont="1" applyFill="1" applyBorder="1" applyAlignment="1">
      <alignment horizontal="center" vertical="center" wrapText="1"/>
    </xf>
    <xf numFmtId="165" fontId="22" fillId="20" borderId="9" xfId="0" applyNumberFormat="1" applyFont="1" applyFill="1" applyBorder="1" applyAlignment="1">
      <alignment horizontal="center" wrapText="1"/>
    </xf>
    <xf numFmtId="165" fontId="22" fillId="20" borderId="18" xfId="0" applyNumberFormat="1" applyFont="1" applyFill="1" applyBorder="1" applyAlignment="1">
      <alignment horizontal="center" wrapText="1"/>
    </xf>
    <xf numFmtId="2" fontId="22" fillId="34" borderId="9" xfId="0" applyNumberFormat="1" applyFont="1" applyFill="1" applyBorder="1" applyAlignment="1">
      <alignment horizontal="center" wrapText="1"/>
    </xf>
    <xf numFmtId="2" fontId="22" fillId="34" borderId="18" xfId="0" applyNumberFormat="1" applyFont="1" applyFill="1" applyBorder="1" applyAlignment="1">
      <alignment horizontal="center" wrapText="1"/>
    </xf>
    <xf numFmtId="0" fontId="24" fillId="2" borderId="8" xfId="0" applyFont="1" applyFill="1" applyBorder="1" applyAlignment="1">
      <alignment horizontal="center" vertical="center" wrapText="1"/>
    </xf>
    <xf numFmtId="0" fontId="24" fillId="2" borderId="0" xfId="0" applyFont="1" applyFill="1" applyAlignment="1">
      <alignment horizontal="center" vertical="center" wrapText="1"/>
    </xf>
    <xf numFmtId="0" fontId="21" fillId="4" borderId="0" xfId="0" applyFont="1" applyFill="1" applyAlignment="1">
      <alignment horizontal="center" vertical="center" wrapText="1"/>
    </xf>
    <xf numFmtId="0" fontId="21" fillId="4" borderId="8" xfId="0" applyFont="1" applyFill="1" applyBorder="1" applyAlignment="1">
      <alignment vertical="center" wrapText="1"/>
    </xf>
    <xf numFmtId="0" fontId="45" fillId="0" borderId="2" xfId="0" applyFont="1" applyBorder="1" applyAlignment="1">
      <alignment wrapText="1"/>
    </xf>
    <xf numFmtId="0" fontId="45" fillId="0" borderId="17" xfId="0" applyFont="1" applyBorder="1" applyAlignment="1">
      <alignment wrapText="1"/>
    </xf>
    <xf numFmtId="0" fontId="45" fillId="0" borderId="14" xfId="0" applyFont="1" applyBorder="1" applyAlignment="1">
      <alignment wrapText="1"/>
    </xf>
    <xf numFmtId="0" fontId="38" fillId="27" borderId="20" xfId="0" applyFont="1" applyFill="1" applyBorder="1" applyAlignment="1">
      <alignment horizontal="left" vertical="top" wrapText="1"/>
    </xf>
    <xf numFmtId="0" fontId="38" fillId="27" borderId="19" xfId="0" applyFont="1" applyFill="1" applyBorder="1" applyAlignment="1">
      <alignment horizontal="left" vertical="top" wrapText="1"/>
    </xf>
    <xf numFmtId="0" fontId="12" fillId="16" borderId="1" xfId="0" applyFont="1" applyFill="1" applyBorder="1" applyAlignment="1">
      <alignment horizontal="center" vertical="center"/>
    </xf>
    <xf numFmtId="0" fontId="38" fillId="27" borderId="1" xfId="0" applyFont="1" applyFill="1" applyBorder="1" applyAlignment="1">
      <alignment horizontal="center" wrapText="1"/>
    </xf>
    <xf numFmtId="0" fontId="38" fillId="27" borderId="9" xfId="0" applyFont="1" applyFill="1" applyBorder="1" applyAlignment="1">
      <alignment horizontal="center" wrapText="1"/>
    </xf>
    <xf numFmtId="0" fontId="13" fillId="2" borderId="1" xfId="0" applyFont="1" applyFill="1" applyBorder="1" applyAlignment="1">
      <alignment horizontal="center" vertical="center"/>
    </xf>
    <xf numFmtId="0" fontId="12" fillId="2" borderId="4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12" fillId="2" borderId="9" xfId="0" applyFont="1" applyFill="1" applyBorder="1" applyAlignment="1">
      <alignment horizontal="center"/>
    </xf>
    <xf numFmtId="0" fontId="12" fillId="2" borderId="39" xfId="0" applyFont="1" applyFill="1" applyBorder="1" applyAlignment="1">
      <alignment horizontal="center"/>
    </xf>
    <xf numFmtId="0" fontId="12" fillId="2" borderId="18" xfId="0" applyFont="1" applyFill="1" applyBorder="1" applyAlignment="1">
      <alignment horizontal="center"/>
    </xf>
    <xf numFmtId="0" fontId="4" fillId="2" borderId="20" xfId="0" applyFont="1" applyFill="1" applyBorder="1" applyAlignment="1">
      <alignment horizontal="center" vertical="center" wrapText="1"/>
    </xf>
    <xf numFmtId="0" fontId="4" fillId="2" borderId="18" xfId="0" applyFont="1" applyFill="1" applyBorder="1" applyAlignment="1">
      <alignment horizontal="center" vertical="center"/>
    </xf>
    <xf numFmtId="0" fontId="4" fillId="16" borderId="1" xfId="0" applyFont="1" applyFill="1" applyBorder="1" applyAlignment="1">
      <alignment horizontal="center" vertical="center"/>
    </xf>
    <xf numFmtId="0" fontId="4" fillId="12" borderId="9" xfId="0" applyFont="1" applyFill="1" applyBorder="1" applyAlignment="1">
      <alignment horizontal="center"/>
    </xf>
    <xf numFmtId="0" fontId="4" fillId="13" borderId="9" xfId="0" applyFont="1" applyFill="1" applyBorder="1" applyAlignment="1">
      <alignment horizontal="center"/>
    </xf>
    <xf numFmtId="0" fontId="4" fillId="2" borderId="2"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2" fillId="4" borderId="39" xfId="0" applyFont="1" applyFill="1" applyBorder="1" applyAlignment="1">
      <alignment horizontal="center" vertical="center" wrapText="1"/>
    </xf>
    <xf numFmtId="0" fontId="12" fillId="2" borderId="41" xfId="0" applyFont="1" applyFill="1" applyBorder="1" applyAlignment="1">
      <alignment horizontal="left" vertical="center" wrapText="1"/>
    </xf>
    <xf numFmtId="0" fontId="12" fillId="2" borderId="29" xfId="0" applyFont="1" applyFill="1" applyBorder="1" applyAlignment="1">
      <alignment horizontal="left" vertical="center" wrapText="1"/>
    </xf>
    <xf numFmtId="0" fontId="12" fillId="2" borderId="4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4" applyFont="1" applyFill="1" applyBorder="1" applyAlignment="1">
      <alignment horizontal="center" vertical="center" wrapText="1"/>
    </xf>
    <xf numFmtId="0" fontId="12" fillId="2" borderId="1" xfId="4" applyFont="1" applyFill="1" applyBorder="1" applyAlignment="1">
      <alignment horizontal="center" vertical="center"/>
    </xf>
    <xf numFmtId="0" fontId="12" fillId="16" borderId="1" xfId="4" applyFont="1" applyFill="1" applyBorder="1" applyAlignment="1">
      <alignment horizontal="center" vertical="center" wrapText="1"/>
    </xf>
    <xf numFmtId="0" fontId="12" fillId="16" borderId="2" xfId="4" applyFont="1" applyFill="1" applyBorder="1" applyAlignment="1">
      <alignment horizontal="center" vertical="center" wrapText="1"/>
    </xf>
    <xf numFmtId="0" fontId="2" fillId="4" borderId="0" xfId="0" applyFont="1" applyFill="1" applyAlignment="1">
      <alignment horizontal="center" vertical="center" wrapText="1"/>
    </xf>
    <xf numFmtId="0" fontId="2" fillId="3" borderId="1" xfId="0" applyFont="1" applyFill="1" applyBorder="1" applyAlignment="1">
      <alignment vertical="center" wrapText="1"/>
    </xf>
    <xf numFmtId="0" fontId="4" fillId="2" borderId="43" xfId="0" applyFont="1" applyFill="1" applyBorder="1" applyAlignment="1">
      <alignment horizontal="center"/>
    </xf>
    <xf numFmtId="0" fontId="4" fillId="2" borderId="44" xfId="0" applyFont="1" applyFill="1" applyBorder="1" applyAlignment="1">
      <alignment horizontal="center"/>
    </xf>
  </cellXfs>
  <cellStyles count="8">
    <cellStyle name="Comma" xfId="2" builtinId="3"/>
    <cellStyle name="Hyperlink" xfId="3" builtinId="8"/>
    <cellStyle name="Normal" xfId="0" builtinId="0"/>
    <cellStyle name="Normal 2" xfId="4" xr:uid="{00000000-0005-0000-0000-000003000000}"/>
    <cellStyle name="Normal 3" xfId="5" xr:uid="{00000000-0005-0000-0000-000004000000}"/>
    <cellStyle name="Normal 4" xfId="6" xr:uid="{00000000-0005-0000-0000-000005000000}"/>
    <cellStyle name="Normal 5" xfId="7" xr:uid="{00000000-0005-0000-0000-000006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5</xdr:col>
      <xdr:colOff>1057275</xdr:colOff>
      <xdr:row>113</xdr:row>
      <xdr:rowOff>0</xdr:rowOff>
    </xdr:from>
    <xdr:ext cx="304800" cy="304800"/>
    <xdr:sp macro="" textlink="">
      <xdr:nvSpPr>
        <xdr:cNvPr id="2" name="avatar">
          <a:extLst>
            <a:ext uri="{FF2B5EF4-FFF2-40B4-BE49-F238E27FC236}">
              <a16:creationId xmlns:a16="http://schemas.microsoft.com/office/drawing/2014/main" id="{B462408D-F134-4210-96C4-E4AB45D88C84}"/>
            </a:ext>
          </a:extLst>
        </xdr:cNvPr>
        <xdr:cNvSpPr>
          <a:spLocks noChangeAspect="1" noChangeArrowheads="1"/>
        </xdr:cNvSpPr>
      </xdr:nvSpPr>
      <xdr:spPr bwMode="auto">
        <a:xfrm>
          <a:off x="15659100" y="438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1057275</xdr:colOff>
      <xdr:row>118</xdr:row>
      <xdr:rowOff>0</xdr:rowOff>
    </xdr:from>
    <xdr:ext cx="304800" cy="304800"/>
    <xdr:sp macro="" textlink="">
      <xdr:nvSpPr>
        <xdr:cNvPr id="3" name="avatar">
          <a:extLst>
            <a:ext uri="{FF2B5EF4-FFF2-40B4-BE49-F238E27FC236}">
              <a16:creationId xmlns:a16="http://schemas.microsoft.com/office/drawing/2014/main" id="{01685EB4-B0E5-47E0-B17F-F0CCEE91DF1A}"/>
            </a:ext>
          </a:extLst>
        </xdr:cNvPr>
        <xdr:cNvSpPr>
          <a:spLocks noChangeAspect="1" noChangeArrowheads="1"/>
        </xdr:cNvSpPr>
      </xdr:nvSpPr>
      <xdr:spPr bwMode="auto">
        <a:xfrm>
          <a:off x="15659100" y="462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65</xdr:row>
      <xdr:rowOff>0</xdr:rowOff>
    </xdr:from>
    <xdr:ext cx="304800" cy="304800"/>
    <xdr:sp macro="" textlink="">
      <xdr:nvSpPr>
        <xdr:cNvPr id="2" name="avatar">
          <a:extLst>
            <a:ext uri="{FF2B5EF4-FFF2-40B4-BE49-F238E27FC236}">
              <a16:creationId xmlns:a16="http://schemas.microsoft.com/office/drawing/2014/main" id="{F9AE2088-5C05-4CB0-A142-2C732DBB0862}"/>
            </a:ext>
          </a:extLst>
        </xdr:cNvPr>
        <xdr:cNvSpPr>
          <a:spLocks noChangeAspect="1" noChangeArrowheads="1"/>
        </xdr:cNvSpPr>
      </xdr:nvSpPr>
      <xdr:spPr bwMode="auto">
        <a:xfrm>
          <a:off x="11391900" y="2446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rahul.ravi/OneDrive%20-%20Aditya%20Birla%20Group/ESG%20Department/ESG%20data/FY%2024-25/ESG%20Data%20FY%2024-25.xlsx" TargetMode="External"/><Relationship Id="rId1" Type="http://schemas.openxmlformats.org/officeDocument/2006/relationships/externalLinkPath" Target="/Users/rahul.ravi/OneDrive%20-%20Aditya%20Birla%20Group/ESG%20Department/ESG%20data/FY%2024-25/ESG%20Data%20FY%2024-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ahul.ravi/OneDrive%20-%20Aditya%20Birla%20Group/ESG%20Department/ESG%20data/FY%2024-25/ESG%20Data%20FY%2024-25.%20V1.xlsx" TargetMode="External"/><Relationship Id="rId1" Type="http://schemas.openxmlformats.org/officeDocument/2006/relationships/externalLinkPath" Target="/Users/rahul.ravi/OneDrive%20-%20Aditya%20Birla%20Group/ESG%20Department/ESG%20data/FY%2024-25/ESG%20Data%20FY%2024-25.%20V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rahul.ravi/OneDrive%20-%20Aditya%20Birla%20Group/ESG%20Department/BRSR%20FY%2024%20-%2025/BRSR%20FY%2025%20Data/From%20Departments/BRSR%20-%20Safety.xlsx" TargetMode="External"/><Relationship Id="rId1" Type="http://schemas.openxmlformats.org/officeDocument/2006/relationships/externalLinkPath" Target="/Users/rahul.ravi/OneDrive%20-%20Aditya%20Birla%20Group/ESG%20Department/BRSR%20FY%2024%20-%2025/BRSR%20FY%2025%20Data/From%20Departments/BRSR%20-%20Safe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ID"/>
      <sheetName val="GRID 1"/>
      <sheetName val="FUEL"/>
      <sheetName val="GHG"/>
      <sheetName val="Area"/>
      <sheetName val="Water"/>
      <sheetName val="Running hours"/>
      <sheetName val="Hazard Waste"/>
      <sheetName val="Non -Hazard Waste"/>
      <sheetName val="Air Emissions"/>
      <sheetName val="Sheet1"/>
    </sheetNames>
    <sheetDataSet>
      <sheetData sheetId="0">
        <row r="5">
          <cell r="G5">
            <v>151320</v>
          </cell>
          <cell r="H5">
            <v>159676</v>
          </cell>
          <cell r="I5">
            <v>205118</v>
          </cell>
          <cell r="J5">
            <v>195962</v>
          </cell>
          <cell r="K5">
            <v>190457</v>
          </cell>
          <cell r="L5">
            <v>205340</v>
          </cell>
          <cell r="M5">
            <v>220885</v>
          </cell>
        </row>
        <row r="6">
          <cell r="G6">
            <v>17792</v>
          </cell>
          <cell r="H6">
            <v>17821</v>
          </cell>
          <cell r="I6">
            <v>17821</v>
          </cell>
          <cell r="J6">
            <v>15368</v>
          </cell>
          <cell r="K6">
            <v>16456</v>
          </cell>
          <cell r="L6">
            <v>20340</v>
          </cell>
          <cell r="M6">
            <v>21647</v>
          </cell>
        </row>
        <row r="7">
          <cell r="G7">
            <v>0</v>
          </cell>
          <cell r="H7">
            <v>0</v>
          </cell>
          <cell r="I7">
            <v>0</v>
          </cell>
          <cell r="J7">
            <v>0</v>
          </cell>
          <cell r="K7">
            <v>0</v>
          </cell>
          <cell r="L7">
            <v>0</v>
          </cell>
          <cell r="M7">
            <v>0</v>
          </cell>
        </row>
        <row r="8">
          <cell r="G8">
            <v>26904</v>
          </cell>
          <cell r="H8">
            <v>24358</v>
          </cell>
          <cell r="I8">
            <v>25141</v>
          </cell>
          <cell r="J8">
            <v>32605</v>
          </cell>
          <cell r="K8">
            <v>31946</v>
          </cell>
          <cell r="L8">
            <v>28926</v>
          </cell>
          <cell r="M8">
            <v>20054</v>
          </cell>
        </row>
        <row r="9">
          <cell r="G9">
            <v>99401.1</v>
          </cell>
          <cell r="H9">
            <v>90135.93</v>
          </cell>
          <cell r="I9">
            <v>104623</v>
          </cell>
          <cell r="J9">
            <v>92535.05</v>
          </cell>
          <cell r="K9">
            <v>82705</v>
          </cell>
          <cell r="L9">
            <v>77507</v>
          </cell>
          <cell r="M9">
            <v>79442</v>
          </cell>
        </row>
        <row r="10">
          <cell r="L10">
            <v>65887</v>
          </cell>
          <cell r="M10">
            <v>53104</v>
          </cell>
        </row>
        <row r="11">
          <cell r="L11">
            <v>148611</v>
          </cell>
          <cell r="M11">
            <v>131346</v>
          </cell>
        </row>
        <row r="12">
          <cell r="L12">
            <v>11.62</v>
          </cell>
          <cell r="M12">
            <v>14523</v>
          </cell>
        </row>
        <row r="14">
          <cell r="M14">
            <v>374</v>
          </cell>
        </row>
      </sheetData>
      <sheetData sheetId="1"/>
      <sheetData sheetId="2">
        <row r="6">
          <cell r="F6">
            <v>1.5880000000000001</v>
          </cell>
          <cell r="G6">
            <v>2.0350000000000001</v>
          </cell>
          <cell r="H6">
            <v>1.2210000000000001</v>
          </cell>
          <cell r="I6">
            <v>3.42082</v>
          </cell>
          <cell r="J6">
            <v>0.51916300000000004</v>
          </cell>
          <cell r="K6">
            <v>1.1739999999999999</v>
          </cell>
          <cell r="L6">
            <v>2.1945999999999999</v>
          </cell>
          <cell r="M6">
            <v>2.1945999999999999</v>
          </cell>
        </row>
        <row r="7">
          <cell r="F7">
            <v>2.3450000000000002</v>
          </cell>
          <cell r="G7">
            <v>1.8069999999999999</v>
          </cell>
          <cell r="H7">
            <v>1.7929999999999999</v>
          </cell>
          <cell r="I7">
            <v>1.796</v>
          </cell>
          <cell r="J7">
            <v>0.35</v>
          </cell>
          <cell r="K7">
            <v>0.34899999999999998</v>
          </cell>
          <cell r="L7">
            <v>0.71</v>
          </cell>
          <cell r="M7">
            <v>0.60499999999999998</v>
          </cell>
        </row>
        <row r="8">
          <cell r="F8" t="str">
            <v>NA</v>
          </cell>
          <cell r="G8" t="str">
            <v>NA</v>
          </cell>
          <cell r="H8" t="str">
            <v>NA</v>
          </cell>
          <cell r="I8" t="str">
            <v>NA</v>
          </cell>
          <cell r="J8" t="str">
            <v>NA</v>
          </cell>
          <cell r="K8" t="str">
            <v>NA</v>
          </cell>
          <cell r="L8" t="str">
            <v>NA</v>
          </cell>
          <cell r="M8" t="str">
            <v>NA</v>
          </cell>
        </row>
        <row r="9">
          <cell r="F9">
            <v>0.45</v>
          </cell>
          <cell r="G9">
            <v>0.6</v>
          </cell>
          <cell r="H9">
            <v>0.33</v>
          </cell>
          <cell r="I9">
            <v>0.03</v>
          </cell>
          <cell r="J9">
            <v>0.04</v>
          </cell>
          <cell r="K9">
            <v>0.21</v>
          </cell>
          <cell r="L9">
            <v>0.02</v>
          </cell>
          <cell r="M9">
            <v>0</v>
          </cell>
        </row>
        <row r="10">
          <cell r="F10">
            <v>0</v>
          </cell>
          <cell r="G10">
            <v>0</v>
          </cell>
          <cell r="H10">
            <v>0</v>
          </cell>
          <cell r="I10">
            <v>0</v>
          </cell>
          <cell r="J10">
            <v>0</v>
          </cell>
          <cell r="K10">
            <v>0</v>
          </cell>
          <cell r="L10">
            <v>0</v>
          </cell>
          <cell r="M10">
            <v>0</v>
          </cell>
        </row>
        <row r="11">
          <cell r="F11">
            <v>0.03</v>
          </cell>
          <cell r="G11">
            <v>0.11</v>
          </cell>
          <cell r="H11">
            <v>5.5E-2</v>
          </cell>
          <cell r="I11">
            <v>9.5000000000000001E-2</v>
          </cell>
          <cell r="J11">
            <v>0.04</v>
          </cell>
          <cell r="K11">
            <v>0.28999999999999998</v>
          </cell>
          <cell r="L11">
            <v>0.04</v>
          </cell>
          <cell r="M11">
            <v>0.56000000000000005</v>
          </cell>
        </row>
        <row r="12">
          <cell r="F12">
            <v>0.02</v>
          </cell>
          <cell r="G12">
            <v>1.7999999999999999E-2</v>
          </cell>
          <cell r="H12">
            <v>4.3999999999999997E-2</v>
          </cell>
          <cell r="I12">
            <v>0.35499999999999998</v>
          </cell>
          <cell r="J12">
            <v>0.51</v>
          </cell>
          <cell r="K12">
            <v>0.02</v>
          </cell>
          <cell r="L12">
            <v>0.05</v>
          </cell>
          <cell r="M12">
            <v>0.13500000000000001</v>
          </cell>
        </row>
        <row r="13">
          <cell r="F13">
            <v>0</v>
          </cell>
          <cell r="G13">
            <v>0</v>
          </cell>
          <cell r="H13">
            <v>0</v>
          </cell>
          <cell r="I13">
            <v>0</v>
          </cell>
          <cell r="J13">
            <v>0</v>
          </cell>
          <cell r="K13">
            <v>0</v>
          </cell>
          <cell r="L13">
            <v>0.9</v>
          </cell>
          <cell r="M13">
            <v>0.9</v>
          </cell>
        </row>
        <row r="22">
          <cell r="L22">
            <v>0.26903999999999995</v>
          </cell>
          <cell r="M22">
            <v>0.26903999999999995</v>
          </cell>
        </row>
        <row r="23">
          <cell r="L23">
            <v>0.21</v>
          </cell>
          <cell r="M23">
            <v>0.2</v>
          </cell>
        </row>
        <row r="24">
          <cell r="L24">
            <v>0</v>
          </cell>
          <cell r="M24">
            <v>0</v>
          </cell>
        </row>
        <row r="25">
          <cell r="L25">
            <v>1.145</v>
          </cell>
          <cell r="M25">
            <v>1.2549999999999999</v>
          </cell>
        </row>
        <row r="26">
          <cell r="L26">
            <v>8.7335999999999991</v>
          </cell>
          <cell r="M26">
            <v>6.0810000000000004</v>
          </cell>
        </row>
        <row r="27">
          <cell r="L27">
            <v>0</v>
          </cell>
          <cell r="M27">
            <v>0</v>
          </cell>
        </row>
        <row r="28">
          <cell r="L28">
            <v>0</v>
          </cell>
          <cell r="M28">
            <v>0</v>
          </cell>
        </row>
        <row r="29">
          <cell r="L29">
            <v>4.6500000000000004</v>
          </cell>
          <cell r="M29">
            <v>3.9420000000000002</v>
          </cell>
        </row>
        <row r="30">
          <cell r="M30">
            <v>0</v>
          </cell>
        </row>
        <row r="31">
          <cell r="M31">
            <v>2.6</v>
          </cell>
        </row>
      </sheetData>
      <sheetData sheetId="3"/>
      <sheetData sheetId="4"/>
      <sheetData sheetId="5">
        <row r="48">
          <cell r="S48">
            <v>14819.130000000001</v>
          </cell>
        </row>
      </sheetData>
      <sheetData sheetId="6"/>
      <sheetData sheetId="7"/>
      <sheetData sheetId="8"/>
      <sheetData sheetId="9">
        <row r="5">
          <cell r="P5">
            <v>0.15597774919999999</v>
          </cell>
        </row>
        <row r="6">
          <cell r="P6">
            <v>0.1367828022</v>
          </cell>
        </row>
        <row r="7">
          <cell r="N7">
            <v>1.7018819999999999</v>
          </cell>
          <cell r="O7">
            <v>2.7750131499999999</v>
          </cell>
          <cell r="P7">
            <v>2.416199695</v>
          </cell>
        </row>
        <row r="8">
          <cell r="N8">
            <v>1.1415500000000001</v>
          </cell>
          <cell r="O8">
            <v>2.0342420999999997</v>
          </cell>
          <cell r="P8">
            <v>1.7617921666666665</v>
          </cell>
        </row>
        <row r="9">
          <cell r="N9">
            <v>0.15204448000000001</v>
          </cell>
          <cell r="O9">
            <v>0.24902034989999999</v>
          </cell>
          <cell r="P9">
            <v>0.19666003210000002</v>
          </cell>
        </row>
        <row r="10">
          <cell r="N10">
            <v>0.11676267360000002</v>
          </cell>
          <cell r="O10">
            <v>0.17724557040000005</v>
          </cell>
          <cell r="P10">
            <v>0.15433856640000002</v>
          </cell>
        </row>
        <row r="11">
          <cell r="N11">
            <v>0.10442250000000002</v>
          </cell>
          <cell r="O11">
            <v>0.16857272250000002</v>
          </cell>
          <cell r="P11">
            <v>0.15221319750000001</v>
          </cell>
        </row>
        <row r="12">
          <cell r="N12">
            <v>0.17505180000000001</v>
          </cell>
          <cell r="O12">
            <v>0.26739162450000004</v>
          </cell>
          <cell r="P12">
            <v>0.22970686200000001</v>
          </cell>
        </row>
        <row r="13">
          <cell r="N13">
            <v>0.25881055200000003</v>
          </cell>
          <cell r="O13">
            <v>0.33107583600000001</v>
          </cell>
          <cell r="P13">
            <v>0.56467756800000013</v>
          </cell>
        </row>
        <row r="14">
          <cell r="N14">
            <v>0.25636841999999999</v>
          </cell>
          <cell r="O14">
            <v>0.36278549999999998</v>
          </cell>
          <cell r="P14">
            <v>0.73524528</v>
          </cell>
        </row>
        <row r="15">
          <cell r="N15">
            <v>0.24768432000000004</v>
          </cell>
          <cell r="O15">
            <v>0.30960540000000003</v>
          </cell>
          <cell r="P15">
            <v>0.64302660000000011</v>
          </cell>
        </row>
        <row r="16">
          <cell r="N16">
            <v>8.0048520000000012E-2</v>
          </cell>
          <cell r="O16">
            <v>0.15158124000000001</v>
          </cell>
          <cell r="P16">
            <v>0.24099714000000005</v>
          </cell>
        </row>
        <row r="17">
          <cell r="N17">
            <v>2.1343500000000001E-2</v>
          </cell>
          <cell r="O17">
            <v>4.6035E-2</v>
          </cell>
          <cell r="P17">
            <v>0.1033695</v>
          </cell>
        </row>
        <row r="27">
          <cell r="N27">
            <v>5.9052276000000001E-2</v>
          </cell>
          <cell r="O27">
            <v>0.14499964800000001</v>
          </cell>
          <cell r="P27">
            <v>0.141491592</v>
          </cell>
        </row>
        <row r="28">
          <cell r="N28">
            <v>0.22935213000000002</v>
          </cell>
          <cell r="O28">
            <v>0.50020607400000006</v>
          </cell>
          <cell r="P28">
            <v>0.519864828</v>
          </cell>
        </row>
        <row r="29">
          <cell r="N29">
            <v>0.12473330099999999</v>
          </cell>
          <cell r="O29">
            <v>0.36371811300000001</v>
          </cell>
          <cell r="P29">
            <v>0.21906941099999996</v>
          </cell>
        </row>
        <row r="30">
          <cell r="N30">
            <v>7.7927387999999986E-2</v>
          </cell>
          <cell r="O30">
            <v>0.18532311599999998</v>
          </cell>
          <cell r="P30">
            <v>0.14668684799999998</v>
          </cell>
        </row>
      </sheetData>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ID"/>
      <sheetName val="GRID 1"/>
      <sheetName val="FUEL"/>
      <sheetName val="GHG"/>
      <sheetName val="Area"/>
      <sheetName val="Water"/>
      <sheetName val="Running hours"/>
      <sheetName val="Hazard Waste"/>
      <sheetName val="Non -Hazard Waste"/>
      <sheetName val="Air Emissions"/>
      <sheetName val="Sheet1"/>
    </sheetNames>
    <sheetDataSet>
      <sheetData sheetId="0">
        <row r="5">
          <cell r="N5">
            <v>264556</v>
          </cell>
        </row>
        <row r="6">
          <cell r="N6">
            <v>18971</v>
          </cell>
        </row>
        <row r="8">
          <cell r="N8">
            <v>20606</v>
          </cell>
        </row>
        <row r="9">
          <cell r="N9">
            <v>96209.8</v>
          </cell>
        </row>
        <row r="10">
          <cell r="N10">
            <v>71850</v>
          </cell>
        </row>
        <row r="11">
          <cell r="N11">
            <v>151517</v>
          </cell>
        </row>
        <row r="12">
          <cell r="N12">
            <v>15444</v>
          </cell>
        </row>
        <row r="14">
          <cell r="N14">
            <v>427</v>
          </cell>
        </row>
      </sheetData>
      <sheetData sheetId="1"/>
      <sheetData sheetId="2">
        <row r="6">
          <cell r="N6">
            <v>0</v>
          </cell>
        </row>
        <row r="7">
          <cell r="N7">
            <v>0.64900000000000002</v>
          </cell>
        </row>
        <row r="8">
          <cell r="N8" t="str">
            <v>NA</v>
          </cell>
        </row>
        <row r="9">
          <cell r="N9">
            <v>2.281E-2</v>
          </cell>
        </row>
        <row r="10">
          <cell r="N10">
            <v>0</v>
          </cell>
        </row>
        <row r="11">
          <cell r="N11">
            <v>0.14000000000000001</v>
          </cell>
        </row>
        <row r="12">
          <cell r="N12">
            <v>0.03</v>
          </cell>
        </row>
        <row r="13">
          <cell r="N13">
            <v>1.36</v>
          </cell>
        </row>
        <row r="17">
          <cell r="L17">
            <v>2.7190000000000002E-2</v>
          </cell>
        </row>
        <row r="22">
          <cell r="N22">
            <v>0.95518000000000003</v>
          </cell>
        </row>
        <row r="23">
          <cell r="N23">
            <v>0.15</v>
          </cell>
        </row>
        <row r="25">
          <cell r="N25">
            <v>1.202</v>
          </cell>
        </row>
        <row r="26">
          <cell r="N26">
            <v>6.8209999999999997</v>
          </cell>
        </row>
        <row r="27">
          <cell r="N27">
            <v>0</v>
          </cell>
        </row>
        <row r="28">
          <cell r="N28">
            <v>0</v>
          </cell>
        </row>
        <row r="29">
          <cell r="N29">
            <v>5.83</v>
          </cell>
        </row>
      </sheetData>
      <sheetData sheetId="3"/>
      <sheetData sheetId="4">
        <row r="17">
          <cell r="K17">
            <v>1750</v>
          </cell>
          <cell r="L17">
            <v>26108</v>
          </cell>
          <cell r="N17">
            <v>3500</v>
          </cell>
          <cell r="P17">
            <v>2901</v>
          </cell>
          <cell r="Q17">
            <v>0</v>
          </cell>
          <cell r="R17">
            <v>8703</v>
          </cell>
          <cell r="S17">
            <v>2901</v>
          </cell>
          <cell r="T17">
            <v>2901</v>
          </cell>
          <cell r="U17">
            <v>0</v>
          </cell>
        </row>
        <row r="18">
          <cell r="K18">
            <v>96584</v>
          </cell>
          <cell r="L18">
            <v>65320</v>
          </cell>
          <cell r="N18">
            <v>105766</v>
          </cell>
          <cell r="P18">
            <v>104431</v>
          </cell>
          <cell r="Q18">
            <v>54280</v>
          </cell>
          <cell r="R18">
            <v>50549</v>
          </cell>
          <cell r="S18">
            <v>37912</v>
          </cell>
          <cell r="T18">
            <v>53743</v>
          </cell>
          <cell r="U18">
            <v>91092</v>
          </cell>
        </row>
        <row r="19">
          <cell r="K19">
            <v>93329</v>
          </cell>
          <cell r="L19">
            <v>38688</v>
          </cell>
          <cell r="N19">
            <v>69000</v>
          </cell>
          <cell r="P19">
            <v>39884</v>
          </cell>
          <cell r="Q19">
            <v>0</v>
          </cell>
          <cell r="R19">
            <v>4786</v>
          </cell>
          <cell r="S19">
            <v>2991</v>
          </cell>
          <cell r="T19">
            <v>6382</v>
          </cell>
          <cell r="U19">
            <v>1994</v>
          </cell>
        </row>
        <row r="20">
          <cell r="K20">
            <v>0</v>
          </cell>
          <cell r="L20">
            <v>0</v>
          </cell>
          <cell r="N20">
            <v>0</v>
          </cell>
          <cell r="P20">
            <v>0</v>
          </cell>
          <cell r="Q20">
            <v>0</v>
          </cell>
          <cell r="R20">
            <v>0</v>
          </cell>
          <cell r="S20">
            <v>0</v>
          </cell>
          <cell r="T20">
            <v>0</v>
          </cell>
          <cell r="U20">
            <v>0</v>
          </cell>
        </row>
        <row r="21">
          <cell r="K21">
            <v>68710</v>
          </cell>
          <cell r="L21">
            <v>64784</v>
          </cell>
          <cell r="N21">
            <v>103655</v>
          </cell>
          <cell r="P21">
            <v>44053</v>
          </cell>
          <cell r="Q21">
            <v>7774</v>
          </cell>
          <cell r="R21">
            <v>0</v>
          </cell>
          <cell r="S21">
            <v>0</v>
          </cell>
          <cell r="T21">
            <v>0</v>
          </cell>
          <cell r="U21">
            <v>0</v>
          </cell>
        </row>
        <row r="22">
          <cell r="P22">
            <v>0</v>
          </cell>
          <cell r="Q22">
            <v>0</v>
          </cell>
          <cell r="R22">
            <v>0</v>
          </cell>
          <cell r="S22">
            <v>153579</v>
          </cell>
          <cell r="T22">
            <v>37764</v>
          </cell>
          <cell r="U22">
            <v>39602</v>
          </cell>
        </row>
        <row r="23">
          <cell r="U23">
            <v>163166</v>
          </cell>
        </row>
        <row r="24">
          <cell r="U24">
            <v>28800</v>
          </cell>
        </row>
      </sheetData>
      <sheetData sheetId="5">
        <row r="47">
          <cell r="AD47">
            <v>869</v>
          </cell>
        </row>
        <row r="48">
          <cell r="AD48">
            <v>13438</v>
          </cell>
        </row>
        <row r="49">
          <cell r="AD49">
            <v>116</v>
          </cell>
        </row>
        <row r="54">
          <cell r="AD54">
            <v>58</v>
          </cell>
        </row>
        <row r="55">
          <cell r="AD55">
            <v>5130</v>
          </cell>
        </row>
        <row r="56">
          <cell r="AD56">
            <v>116</v>
          </cell>
        </row>
      </sheetData>
      <sheetData sheetId="6"/>
      <sheetData sheetId="7">
        <row r="77">
          <cell r="AT77">
            <v>1.4999999999999999E-4</v>
          </cell>
          <cell r="AU77">
            <v>2.0000000000000001E-4</v>
          </cell>
          <cell r="AV77">
            <v>0</v>
          </cell>
          <cell r="AW77">
            <v>0</v>
          </cell>
          <cell r="AX77">
            <v>0</v>
          </cell>
          <cell r="AY77">
            <v>2.9999999999999997E-5</v>
          </cell>
          <cell r="BB77">
            <v>3.0000000000000001E-6</v>
          </cell>
        </row>
        <row r="78">
          <cell r="AQ78">
            <v>0.255</v>
          </cell>
          <cell r="AR78">
            <v>57.12</v>
          </cell>
          <cell r="AS78">
            <v>0</v>
          </cell>
          <cell r="AT78">
            <v>0</v>
          </cell>
          <cell r="AU78">
            <v>17</v>
          </cell>
          <cell r="AV78">
            <v>0</v>
          </cell>
          <cell r="AW78">
            <v>0</v>
          </cell>
          <cell r="AX78">
            <v>0</v>
          </cell>
          <cell r="AY78">
            <v>0</v>
          </cell>
          <cell r="AZ78">
            <v>22.099999999999998</v>
          </cell>
          <cell r="BA78">
            <v>0</v>
          </cell>
          <cell r="BB78">
            <v>0</v>
          </cell>
        </row>
        <row r="79">
          <cell r="AQ79">
            <v>0</v>
          </cell>
          <cell r="AR79">
            <v>0</v>
          </cell>
          <cell r="AS79">
            <v>0</v>
          </cell>
          <cell r="AT79">
            <v>0</v>
          </cell>
          <cell r="AU79">
            <v>0</v>
          </cell>
          <cell r="AV79">
            <v>0</v>
          </cell>
          <cell r="AW79">
            <v>0</v>
          </cell>
          <cell r="AX79">
            <v>7.1999999999999995E-2</v>
          </cell>
          <cell r="AY79">
            <v>0</v>
          </cell>
          <cell r="AZ79">
            <v>0.58499999999999996</v>
          </cell>
          <cell r="BA79">
            <v>0</v>
          </cell>
          <cell r="BB79">
            <v>0</v>
          </cell>
        </row>
        <row r="80">
          <cell r="AQ80">
            <v>0</v>
          </cell>
          <cell r="AR80">
            <v>0</v>
          </cell>
          <cell r="AS80">
            <v>0</v>
          </cell>
          <cell r="AZ80">
            <v>0</v>
          </cell>
          <cell r="BA80">
            <v>0.3</v>
          </cell>
          <cell r="BB80">
            <v>0</v>
          </cell>
        </row>
        <row r="81">
          <cell r="AQ81">
            <v>7.0000000000000007E-5</v>
          </cell>
          <cell r="AR81">
            <v>1.0059999999999999E-2</v>
          </cell>
          <cell r="AS81">
            <v>5.0000000000000001E-4</v>
          </cell>
          <cell r="AT81">
            <v>3.7999999999999999E-2</v>
          </cell>
          <cell r="AU81">
            <v>5.0000000000000001E-4</v>
          </cell>
          <cell r="AV81">
            <v>0.01</v>
          </cell>
          <cell r="AW81">
            <v>1.2E-2</v>
          </cell>
          <cell r="AX81">
            <v>4.0000000000000001E-3</v>
          </cell>
          <cell r="AY81">
            <v>0.01</v>
          </cell>
          <cell r="AZ81">
            <v>4.0000000000000001E-3</v>
          </cell>
          <cell r="BA81">
            <v>4.0000000000000001E-3</v>
          </cell>
          <cell r="BB81">
            <v>0</v>
          </cell>
        </row>
        <row r="82">
          <cell r="AR82">
            <v>8.2500000000000004E-2</v>
          </cell>
          <cell r="AT82">
            <v>1.0999999999999999E-2</v>
          </cell>
          <cell r="AU82">
            <v>0</v>
          </cell>
          <cell r="AV82">
            <v>0</v>
          </cell>
          <cell r="AW82">
            <v>0.03</v>
          </cell>
          <cell r="AX82">
            <v>0</v>
          </cell>
          <cell r="AY82">
            <v>0</v>
          </cell>
          <cell r="AZ82">
            <v>1.0999999999999999E-2</v>
          </cell>
          <cell r="BA82">
            <v>0</v>
          </cell>
          <cell r="BB82">
            <v>0</v>
          </cell>
        </row>
      </sheetData>
      <sheetData sheetId="8">
        <row r="75">
          <cell r="AQ75">
            <v>12.254</v>
          </cell>
          <cell r="AR75">
            <v>12.962999999999999</v>
          </cell>
          <cell r="AS75">
            <v>13.702999999999999</v>
          </cell>
          <cell r="AT75">
            <v>21.585000000000001</v>
          </cell>
          <cell r="AU75">
            <v>22.042999999999999</v>
          </cell>
          <cell r="AV75">
            <v>15.164</v>
          </cell>
          <cell r="AW75">
            <v>17.79</v>
          </cell>
          <cell r="AX75">
            <v>19.747</v>
          </cell>
          <cell r="AY75">
            <v>16.654</v>
          </cell>
          <cell r="AZ75">
            <v>18.324999999999999</v>
          </cell>
          <cell r="BA75">
            <v>19.561</v>
          </cell>
          <cell r="BB75">
            <v>18.440999999999999</v>
          </cell>
        </row>
        <row r="76">
          <cell r="AQ76">
            <v>6.1269999999999998</v>
          </cell>
          <cell r="AR76">
            <v>6.0729999999999995</v>
          </cell>
          <cell r="AS76">
            <v>5.7370000000000001</v>
          </cell>
          <cell r="AT76">
            <v>6.117</v>
          </cell>
          <cell r="AU76">
            <v>5.6269999999999998</v>
          </cell>
          <cell r="AV76">
            <v>5.2880000000000003</v>
          </cell>
          <cell r="AW76">
            <v>5.2750000000000004</v>
          </cell>
          <cell r="AX76">
            <v>5.3120000000000003</v>
          </cell>
          <cell r="AY76">
            <v>5.2469999999999999</v>
          </cell>
          <cell r="AZ76">
            <v>5.7360000000000007</v>
          </cell>
          <cell r="BA76">
            <v>5.2480000000000002</v>
          </cell>
          <cell r="BB76">
            <v>5.6230000000000002</v>
          </cell>
        </row>
        <row r="77">
          <cell r="AQ77">
            <v>759.27999999999986</v>
          </cell>
          <cell r="AR77">
            <v>1085.52</v>
          </cell>
          <cell r="AS77">
            <v>1209.8499999999999</v>
          </cell>
          <cell r="AT77">
            <v>680.29</v>
          </cell>
          <cell r="AU77">
            <v>971.81</v>
          </cell>
          <cell r="AV77">
            <v>1137.3499999999999</v>
          </cell>
          <cell r="AW77">
            <v>1040.02</v>
          </cell>
          <cell r="AX77">
            <v>1594.8600000000001</v>
          </cell>
          <cell r="AY77">
            <v>1280.27</v>
          </cell>
          <cell r="AZ77">
            <v>1742.49</v>
          </cell>
          <cell r="BA77">
            <v>1437.8600000000001</v>
          </cell>
          <cell r="BB77">
            <v>1460.4</v>
          </cell>
        </row>
        <row r="78">
          <cell r="AQ78">
            <v>1.0190000000000001</v>
          </cell>
          <cell r="AR78">
            <v>1.1100000000000001</v>
          </cell>
          <cell r="AS78">
            <v>2.1930000000000001</v>
          </cell>
          <cell r="AT78">
            <v>1.1160000000000001</v>
          </cell>
          <cell r="AU78">
            <v>1.0840000000000001</v>
          </cell>
          <cell r="AV78">
            <v>0.95799999999999996</v>
          </cell>
          <cell r="AW78">
            <v>0.96199999999999997</v>
          </cell>
          <cell r="AX78">
            <v>0.88900000000000001</v>
          </cell>
          <cell r="AY78">
            <v>0.91799999999999993</v>
          </cell>
          <cell r="AZ78">
            <v>1.0390000000000001</v>
          </cell>
          <cell r="BA78">
            <v>1.0720000000000001</v>
          </cell>
          <cell r="BB78">
            <v>1.129</v>
          </cell>
        </row>
        <row r="90">
          <cell r="AQ90">
            <v>750.77999999999986</v>
          </cell>
          <cell r="AR90">
            <v>1085.52</v>
          </cell>
          <cell r="AS90">
            <v>1209.8499999999999</v>
          </cell>
          <cell r="AT90">
            <v>680.29</v>
          </cell>
          <cell r="AU90">
            <v>970.81</v>
          </cell>
          <cell r="AV90">
            <v>1134.3499999999999</v>
          </cell>
          <cell r="AW90">
            <v>1040.02</v>
          </cell>
          <cell r="AX90">
            <v>1594.8600000000001</v>
          </cell>
          <cell r="AY90">
            <v>1280.27</v>
          </cell>
          <cell r="AZ90">
            <v>1741.49</v>
          </cell>
          <cell r="BA90">
            <v>1436.8600000000001</v>
          </cell>
          <cell r="BB90">
            <v>1459.4</v>
          </cell>
        </row>
        <row r="91">
          <cell r="AQ91">
            <v>8.5</v>
          </cell>
          <cell r="AR91">
            <v>0</v>
          </cell>
          <cell r="AS91">
            <v>0</v>
          </cell>
          <cell r="AT91">
            <v>0</v>
          </cell>
          <cell r="AU91">
            <v>1</v>
          </cell>
          <cell r="AV91">
            <v>3</v>
          </cell>
          <cell r="AW91">
            <v>0</v>
          </cell>
          <cell r="AX91">
            <v>0</v>
          </cell>
          <cell r="AY91">
            <v>0</v>
          </cell>
          <cell r="AZ91">
            <v>1</v>
          </cell>
          <cell r="BA91">
            <v>1</v>
          </cell>
          <cell r="BB91">
            <v>1</v>
          </cell>
        </row>
      </sheetData>
      <sheetData sheetId="9">
        <row r="18">
          <cell r="N18">
            <v>6.5729664000000007E-2</v>
          </cell>
          <cell r="O18">
            <v>8.4082751999999997E-2</v>
          </cell>
          <cell r="P18">
            <v>0.143410176</v>
          </cell>
        </row>
        <row r="19">
          <cell r="N19">
            <v>3.8843699999999995E-2</v>
          </cell>
          <cell r="O19">
            <v>5.4967500000000002E-2</v>
          </cell>
          <cell r="P19">
            <v>0.11140079999999999</v>
          </cell>
        </row>
        <row r="20">
          <cell r="N20">
            <v>2.9427840000000004E-2</v>
          </cell>
          <cell r="O20">
            <v>3.6784800000000006E-2</v>
          </cell>
          <cell r="P20">
            <v>7.6399200000000014E-2</v>
          </cell>
        </row>
        <row r="21">
          <cell r="N21">
            <v>1.6852320000000004E-2</v>
          </cell>
          <cell r="O21">
            <v>3.1911840000000004E-2</v>
          </cell>
          <cell r="P21">
            <v>5.0736240000000002E-2</v>
          </cell>
        </row>
        <row r="22">
          <cell r="N22">
            <v>4.1310000000000001E-3</v>
          </cell>
          <cell r="O22">
            <v>8.9099999999999995E-3</v>
          </cell>
          <cell r="P22">
            <v>2.0007E-2</v>
          </cell>
        </row>
        <row r="35">
          <cell r="N35">
            <v>0.19704047999999999</v>
          </cell>
          <cell r="O35">
            <v>1.8296615999999999</v>
          </cell>
          <cell r="P35">
            <v>0.33215395199999997</v>
          </cell>
        </row>
        <row r="36">
          <cell r="N36">
            <v>0.23242170000000001</v>
          </cell>
          <cell r="O36">
            <v>2.9345022000000003</v>
          </cell>
          <cell r="P36">
            <v>0.44060309999999997</v>
          </cell>
        </row>
        <row r="37">
          <cell r="N37">
            <v>1.0908136799999999</v>
          </cell>
          <cell r="O37">
            <v>13.625254512</v>
          </cell>
          <cell r="P37">
            <v>2.0758514880000001</v>
          </cell>
        </row>
        <row r="38">
          <cell r="N38">
            <v>0.94558232999999992</v>
          </cell>
          <cell r="O38">
            <v>12.452214060000001</v>
          </cell>
          <cell r="P38">
            <v>1.8543237899999998</v>
          </cell>
        </row>
        <row r="39">
          <cell r="N39">
            <v>0.27296159999999997</v>
          </cell>
          <cell r="O39">
            <v>4.593744</v>
          </cell>
          <cell r="P39">
            <v>0.5359368000000001</v>
          </cell>
        </row>
        <row r="40">
          <cell r="N40">
            <v>1.5625595592000001</v>
          </cell>
          <cell r="O40">
            <v>13.035036322800002</v>
          </cell>
          <cell r="P40">
            <v>2.7139192344</v>
          </cell>
        </row>
        <row r="41">
          <cell r="N41">
            <v>8.5991038800000013</v>
          </cell>
          <cell r="O41">
            <v>108.93864741000002</v>
          </cell>
          <cell r="P41">
            <v>13.048640190000002</v>
          </cell>
        </row>
        <row r="42">
          <cell r="N42">
            <v>5.3732370149999991</v>
          </cell>
          <cell r="O42">
            <v>118.02593029499998</v>
          </cell>
          <cell r="P42">
            <v>13.463973209999999</v>
          </cell>
        </row>
        <row r="43">
          <cell r="N43">
            <v>0.55825351599999984</v>
          </cell>
          <cell r="O43">
            <v>5.376224077999999</v>
          </cell>
          <cell r="P43">
            <v>0.96116692319999986</v>
          </cell>
        </row>
        <row r="44">
          <cell r="N44">
            <v>0</v>
          </cell>
          <cell r="O44">
            <v>0</v>
          </cell>
          <cell r="P44">
            <v>0</v>
          </cell>
        </row>
        <row r="45">
          <cell r="N45">
            <v>0.18858150000000001</v>
          </cell>
          <cell r="O45">
            <v>4.5435569399999993</v>
          </cell>
          <cell r="P45">
            <v>0.40733603999999995</v>
          </cell>
        </row>
        <row r="46">
          <cell r="N46">
            <v>0</v>
          </cell>
          <cell r="O46">
            <v>0</v>
          </cell>
          <cell r="P46">
            <v>0</v>
          </cell>
        </row>
        <row r="47">
          <cell r="N47">
            <v>0</v>
          </cell>
          <cell r="O47">
            <v>0</v>
          </cell>
          <cell r="P47">
            <v>0</v>
          </cell>
        </row>
        <row r="48">
          <cell r="N48">
            <v>0</v>
          </cell>
          <cell r="O48">
            <v>0</v>
          </cell>
          <cell r="P48">
            <v>0</v>
          </cell>
        </row>
        <row r="49">
          <cell r="N49">
            <v>0</v>
          </cell>
          <cell r="O49">
            <v>0</v>
          </cell>
          <cell r="P49">
            <v>0</v>
          </cell>
        </row>
        <row r="50">
          <cell r="N50">
            <v>1.3832068</v>
          </cell>
          <cell r="O50">
            <v>17.5233001</v>
          </cell>
          <cell r="P50">
            <v>2.0989358999999999</v>
          </cell>
        </row>
        <row r="51">
          <cell r="N51">
            <v>0.98447633999999984</v>
          </cell>
          <cell r="O51">
            <v>21.62453202</v>
          </cell>
          <cell r="P51">
            <v>2.4668487600000004</v>
          </cell>
        </row>
        <row r="52">
          <cell r="N52">
            <v>0</v>
          </cell>
          <cell r="O52">
            <v>0</v>
          </cell>
          <cell r="P52">
            <v>0</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afety"/>
      <sheetName val="Sheet1"/>
    </sheetNames>
    <sheetDataSet>
      <sheetData sheetId="0">
        <row r="21">
          <cell r="C21">
            <v>15594242.5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rotect.checkpoint.com/v2/r05/___https:/www.globalreporting.org/how-to-use-the-gri-standards/gri-standards-english-language/___.YXBzMTphZGl0eWFiaXJsYW1hbmFnZW1lbnQ6YzpvOjcyM2EzZGI3MGNhOTViMmU4NmZkYWY5ZGViMGJiNzNkOjc6ZGM4MzpkOGY2MjYyNTEyZjc1ODQxNmRkMGFmNTMwMWRhZGFhMjNlZmFmZmE0MmNlMzJjYTEwZGE4MGNjNGU0YWZhNzJkOnA6RjpO" TargetMode="External"/><Relationship Id="rId1" Type="http://schemas.openxmlformats.org/officeDocument/2006/relationships/hyperlink" Target="https://protect.checkpoint.com/v2/r05/___https:/www.sebi.gov.in/sebi_data/commondocs/may-2021/Business%20responsibility%20and%20sustainability%20reporting%20by%20listed%20entitiesAnnexure2_p.PDF___.YXBzMTphZGl0eWFiaXJsYW1hbmFnZW1lbnQ6YzpvOjcyM2EzZGI3MGNhOTViMmU4NmZkYWY5ZGViMGJiNzNkOjc6MWI3Mzo2Njk5OGM0MzQ5NzdlMDZjZDExNmRjY2NjNTIwM2NlNmZmMzc0NjVlOTcxOWJjMzMwMDM1ZDE5NDcxNDRkZjI3OnA6RjpO"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V52"/>
  <sheetViews>
    <sheetView zoomScale="99" zoomScaleNormal="99" workbookViewId="0">
      <selection activeCell="C21" sqref="C21:Q21"/>
    </sheetView>
  </sheetViews>
  <sheetFormatPr defaultRowHeight="14.5"/>
  <cols>
    <col min="2" max="2" width="15.453125" customWidth="1"/>
    <col min="3" max="6" width="8.7265625" customWidth="1"/>
  </cols>
  <sheetData>
    <row r="4" spans="2:17">
      <c r="B4" s="414" t="s">
        <v>0</v>
      </c>
      <c r="C4" s="415"/>
      <c r="D4" s="415"/>
      <c r="E4" s="415"/>
      <c r="F4" s="415"/>
      <c r="G4" s="415"/>
      <c r="H4" s="415"/>
      <c r="I4" s="415"/>
      <c r="J4" s="415"/>
      <c r="K4" s="415"/>
      <c r="L4" s="415"/>
      <c r="M4" s="415"/>
      <c r="N4" s="415"/>
      <c r="O4" s="415"/>
      <c r="P4" s="415"/>
      <c r="Q4" s="416"/>
    </row>
    <row r="5" spans="2:17">
      <c r="B5" s="417" t="s">
        <v>1</v>
      </c>
      <c r="C5" s="418"/>
      <c r="D5" s="418"/>
      <c r="E5" s="418"/>
      <c r="F5" s="418"/>
      <c r="G5" s="418"/>
      <c r="H5" s="418"/>
      <c r="I5" s="418"/>
      <c r="J5" s="418"/>
      <c r="K5" s="418"/>
      <c r="L5" s="418"/>
      <c r="M5" s="418"/>
      <c r="N5" s="418"/>
      <c r="O5" s="418"/>
      <c r="P5" s="418"/>
      <c r="Q5" s="419"/>
    </row>
    <row r="6" spans="2:17">
      <c r="B6" s="417" t="s">
        <v>2</v>
      </c>
      <c r="C6" s="418"/>
      <c r="D6" s="418"/>
      <c r="E6" s="418"/>
      <c r="F6" s="418"/>
      <c r="G6" s="418"/>
      <c r="H6" s="418"/>
      <c r="I6" s="418"/>
      <c r="J6" s="418"/>
      <c r="K6" s="418"/>
      <c r="L6" s="418"/>
      <c r="M6" s="418"/>
      <c r="N6" s="418"/>
      <c r="O6" s="418"/>
      <c r="P6" s="418"/>
      <c r="Q6" s="419"/>
    </row>
    <row r="7" spans="2:17">
      <c r="B7" s="413" t="s">
        <v>3</v>
      </c>
      <c r="C7" s="413"/>
      <c r="D7" s="413"/>
      <c r="E7" s="413"/>
      <c r="F7" s="413"/>
      <c r="G7" s="413"/>
      <c r="H7" s="235"/>
      <c r="I7" s="413" t="s">
        <v>4</v>
      </c>
      <c r="J7" s="413"/>
      <c r="K7" s="413"/>
      <c r="L7" s="413"/>
      <c r="M7" s="413"/>
      <c r="N7" s="413"/>
      <c r="O7" s="413"/>
      <c r="P7" s="413"/>
      <c r="Q7" s="413"/>
    </row>
    <row r="8" spans="2:17">
      <c r="B8" s="417" t="s">
        <v>5</v>
      </c>
      <c r="C8" s="418"/>
      <c r="D8" s="418"/>
      <c r="E8" s="418"/>
      <c r="F8" s="418"/>
      <c r="G8" s="418"/>
      <c r="H8" s="418"/>
      <c r="I8" s="418"/>
      <c r="J8" s="418"/>
      <c r="K8" s="418"/>
      <c r="L8" s="418"/>
      <c r="M8" s="418"/>
      <c r="N8" s="418"/>
      <c r="O8" s="418"/>
      <c r="P8" s="418"/>
      <c r="Q8" s="419"/>
    </row>
    <row r="9" spans="2:17">
      <c r="B9" s="406" t="s">
        <v>6</v>
      </c>
      <c r="C9" s="407"/>
      <c r="D9" s="407"/>
      <c r="E9" s="407"/>
      <c r="F9" s="407"/>
      <c r="G9" s="407"/>
      <c r="H9" s="407"/>
      <c r="I9" s="407"/>
      <c r="J9" s="407"/>
      <c r="K9" s="407"/>
      <c r="L9" s="407"/>
      <c r="M9" s="407"/>
      <c r="N9" s="407"/>
      <c r="O9" s="407"/>
      <c r="P9" s="407"/>
      <c r="Q9" s="408"/>
    </row>
    <row r="10" spans="2:17">
      <c r="B10" s="410" t="s">
        <v>7</v>
      </c>
      <c r="C10" s="411"/>
      <c r="D10" s="411"/>
      <c r="E10" s="411"/>
      <c r="F10" s="411"/>
      <c r="G10" s="411"/>
      <c r="H10" s="411"/>
      <c r="I10" s="411"/>
      <c r="J10" s="411"/>
      <c r="K10" s="411"/>
      <c r="L10" s="411"/>
      <c r="M10" s="411"/>
      <c r="N10" s="411"/>
      <c r="O10" s="411"/>
      <c r="P10" s="411"/>
      <c r="Q10" s="412"/>
    </row>
    <row r="12" spans="2:17">
      <c r="B12" s="236" t="s">
        <v>8</v>
      </c>
    </row>
    <row r="13" spans="2:17">
      <c r="B13" s="237" t="s">
        <v>9</v>
      </c>
    </row>
    <row r="14" spans="2:17">
      <c r="B14" s="237" t="s">
        <v>10</v>
      </c>
    </row>
    <row r="16" spans="2:17">
      <c r="B16" s="236" t="s">
        <v>11</v>
      </c>
    </row>
    <row r="17" spans="2:22">
      <c r="B17" s="409" t="s">
        <v>12</v>
      </c>
      <c r="C17" s="409"/>
      <c r="D17" s="409"/>
      <c r="E17" s="409"/>
      <c r="F17" s="409"/>
      <c r="G17" s="409"/>
      <c r="H17" s="409"/>
      <c r="I17" s="409"/>
      <c r="J17" s="409"/>
      <c r="K17" s="409"/>
      <c r="L17" s="409"/>
      <c r="M17" s="409"/>
      <c r="N17" s="409"/>
      <c r="O17" s="409"/>
      <c r="P17" s="409"/>
      <c r="Q17" s="409"/>
    </row>
    <row r="18" spans="2:22" ht="14.5" customHeight="1">
      <c r="B18" s="292" t="s">
        <v>13</v>
      </c>
      <c r="C18" s="404" t="s">
        <v>14</v>
      </c>
      <c r="D18" s="404"/>
      <c r="E18" s="404"/>
      <c r="F18" s="404"/>
      <c r="G18" s="404"/>
      <c r="H18" s="404"/>
      <c r="I18" s="404"/>
      <c r="J18" s="404"/>
      <c r="K18" s="404"/>
      <c r="L18" s="404"/>
      <c r="M18" s="404"/>
      <c r="N18" s="404"/>
      <c r="O18" s="404"/>
      <c r="P18" s="404"/>
      <c r="Q18" s="404"/>
    </row>
    <row r="19" spans="2:22" ht="14.5" customHeight="1">
      <c r="B19" s="292" t="s">
        <v>15</v>
      </c>
      <c r="C19" s="404" t="s">
        <v>16</v>
      </c>
      <c r="D19" s="404"/>
      <c r="E19" s="404"/>
      <c r="F19" s="404"/>
      <c r="G19" s="404"/>
      <c r="H19" s="404"/>
      <c r="I19" s="404"/>
      <c r="J19" s="404"/>
      <c r="K19" s="404"/>
      <c r="L19" s="404"/>
      <c r="M19" s="404"/>
      <c r="N19" s="404"/>
      <c r="O19" s="404"/>
      <c r="P19" s="404"/>
      <c r="Q19" s="404"/>
    </row>
    <row r="20" spans="2:22" ht="14.5" customHeight="1">
      <c r="B20" s="292" t="s">
        <v>17</v>
      </c>
      <c r="C20" s="404" t="s">
        <v>18</v>
      </c>
      <c r="D20" s="404"/>
      <c r="E20" s="404"/>
      <c r="F20" s="404"/>
      <c r="G20" s="404"/>
      <c r="H20" s="404"/>
      <c r="I20" s="404"/>
      <c r="J20" s="404"/>
      <c r="K20" s="404"/>
      <c r="L20" s="404"/>
      <c r="M20" s="404"/>
      <c r="N20" s="404"/>
      <c r="O20" s="404"/>
      <c r="P20" s="404"/>
      <c r="Q20" s="404"/>
    </row>
    <row r="21" spans="2:22" ht="43" customHeight="1">
      <c r="B21" s="292" t="s">
        <v>19</v>
      </c>
      <c r="C21" s="404" t="s">
        <v>20</v>
      </c>
      <c r="D21" s="404"/>
      <c r="E21" s="404"/>
      <c r="F21" s="404"/>
      <c r="G21" s="404"/>
      <c r="H21" s="404"/>
      <c r="I21" s="404"/>
      <c r="J21" s="404"/>
      <c r="K21" s="404"/>
      <c r="L21" s="404"/>
      <c r="M21" s="404"/>
      <c r="N21" s="404"/>
      <c r="O21" s="404"/>
      <c r="P21" s="404"/>
      <c r="Q21" s="404"/>
    </row>
    <row r="22" spans="2:22" ht="32.5" customHeight="1">
      <c r="B22" s="292" t="s">
        <v>21</v>
      </c>
      <c r="C22" s="404" t="s">
        <v>22</v>
      </c>
      <c r="D22" s="404"/>
      <c r="E22" s="404"/>
      <c r="F22" s="404"/>
      <c r="G22" s="404"/>
      <c r="H22" s="404"/>
      <c r="I22" s="404"/>
      <c r="J22" s="404"/>
      <c r="K22" s="404"/>
      <c r="L22" s="404"/>
      <c r="M22" s="404"/>
      <c r="N22" s="404"/>
      <c r="O22" s="404"/>
      <c r="P22" s="404"/>
      <c r="Q22" s="404"/>
      <c r="R22" s="270"/>
      <c r="S22" s="270"/>
      <c r="T22" s="270"/>
      <c r="U22" s="270"/>
      <c r="V22" s="270"/>
    </row>
    <row r="23" spans="2:22" ht="73.5" customHeight="1">
      <c r="B23" s="292" t="s">
        <v>23</v>
      </c>
      <c r="C23" s="404" t="s">
        <v>24</v>
      </c>
      <c r="D23" s="404"/>
      <c r="E23" s="404"/>
      <c r="F23" s="404"/>
      <c r="G23" s="404"/>
      <c r="H23" s="404"/>
      <c r="I23" s="404"/>
      <c r="J23" s="404"/>
      <c r="K23" s="404"/>
      <c r="L23" s="404"/>
      <c r="M23" s="404"/>
      <c r="N23" s="404"/>
      <c r="O23" s="404"/>
      <c r="P23" s="404"/>
      <c r="Q23" s="404"/>
      <c r="R23" s="293"/>
      <c r="S23" s="293"/>
      <c r="T23" s="293"/>
      <c r="U23" s="293"/>
      <c r="V23" s="293"/>
    </row>
    <row r="24" spans="2:22" ht="42" customHeight="1">
      <c r="B24" s="292" t="s">
        <v>25</v>
      </c>
      <c r="C24" s="404" t="s">
        <v>26</v>
      </c>
      <c r="D24" s="404"/>
      <c r="E24" s="404"/>
      <c r="F24" s="404"/>
      <c r="G24" s="404"/>
      <c r="H24" s="404"/>
      <c r="I24" s="404"/>
      <c r="J24" s="404"/>
      <c r="K24" s="404"/>
      <c r="L24" s="404"/>
      <c r="M24" s="404"/>
      <c r="N24" s="404"/>
      <c r="O24" s="404"/>
      <c r="P24" s="404"/>
      <c r="Q24" s="404"/>
      <c r="R24" s="293"/>
      <c r="S24" s="293"/>
      <c r="T24" s="293"/>
      <c r="U24" s="293"/>
      <c r="V24" s="293"/>
    </row>
    <row r="25" spans="2:22" ht="45.65" customHeight="1">
      <c r="B25" s="292" t="s">
        <v>27</v>
      </c>
      <c r="C25" s="404" t="s">
        <v>28</v>
      </c>
      <c r="D25" s="404"/>
      <c r="E25" s="404"/>
      <c r="F25" s="404"/>
      <c r="G25" s="404"/>
      <c r="H25" s="404"/>
      <c r="I25" s="404"/>
      <c r="J25" s="404"/>
      <c r="K25" s="404"/>
      <c r="L25" s="404"/>
      <c r="M25" s="404"/>
      <c r="N25" s="404"/>
      <c r="O25" s="404"/>
      <c r="P25" s="404"/>
      <c r="Q25" s="404"/>
      <c r="R25" s="293"/>
      <c r="S25" s="293"/>
      <c r="T25" s="293"/>
      <c r="U25" s="293"/>
      <c r="V25" s="293"/>
    </row>
    <row r="26" spans="2:22" ht="45.65" customHeight="1">
      <c r="B26" s="292" t="s">
        <v>29</v>
      </c>
      <c r="C26" s="401" t="s">
        <v>30</v>
      </c>
      <c r="D26" s="402"/>
      <c r="E26" s="402"/>
      <c r="F26" s="402"/>
      <c r="G26" s="402"/>
      <c r="H26" s="402"/>
      <c r="I26" s="402"/>
      <c r="J26" s="402"/>
      <c r="K26" s="402"/>
      <c r="L26" s="402"/>
      <c r="M26" s="402"/>
      <c r="N26" s="402"/>
      <c r="O26" s="402"/>
      <c r="P26" s="402"/>
      <c r="Q26" s="403"/>
      <c r="R26" s="293"/>
      <c r="S26" s="293"/>
      <c r="T26" s="293"/>
      <c r="U26" s="293"/>
      <c r="V26" s="293"/>
    </row>
    <row r="27" spans="2:22" ht="45.65" customHeight="1">
      <c r="B27" s="292" t="s">
        <v>31</v>
      </c>
      <c r="C27" s="401" t="s">
        <v>32</v>
      </c>
      <c r="D27" s="402"/>
      <c r="E27" s="402"/>
      <c r="F27" s="402"/>
      <c r="G27" s="402"/>
      <c r="H27" s="402"/>
      <c r="I27" s="402"/>
      <c r="J27" s="402"/>
      <c r="K27" s="402"/>
      <c r="L27" s="402"/>
      <c r="M27" s="402"/>
      <c r="N27" s="402"/>
      <c r="O27" s="402"/>
      <c r="P27" s="402"/>
      <c r="Q27" s="403"/>
      <c r="R27" s="293"/>
      <c r="S27" s="293"/>
      <c r="T27" s="293"/>
      <c r="U27" s="293"/>
      <c r="V27" s="293"/>
    </row>
    <row r="28" spans="2:22" ht="45.65" customHeight="1">
      <c r="B28" s="292" t="s">
        <v>33</v>
      </c>
      <c r="C28" s="401" t="s">
        <v>34</v>
      </c>
      <c r="D28" s="402"/>
      <c r="E28" s="402"/>
      <c r="F28" s="402"/>
      <c r="G28" s="402"/>
      <c r="H28" s="402"/>
      <c r="I28" s="402"/>
      <c r="J28" s="402"/>
      <c r="K28" s="402"/>
      <c r="L28" s="402"/>
      <c r="M28" s="402"/>
      <c r="N28" s="402"/>
      <c r="O28" s="402"/>
      <c r="P28" s="402"/>
      <c r="Q28" s="403"/>
      <c r="R28" s="293"/>
      <c r="S28" s="293"/>
      <c r="T28" s="293"/>
      <c r="U28" s="293"/>
      <c r="V28" s="293"/>
    </row>
    <row r="29" spans="2:22">
      <c r="B29" s="409" t="s">
        <v>35</v>
      </c>
      <c r="C29" s="409"/>
      <c r="D29" s="409"/>
      <c r="E29" s="409"/>
      <c r="F29" s="409"/>
      <c r="G29" s="409"/>
      <c r="H29" s="409"/>
      <c r="I29" s="409"/>
      <c r="J29" s="409"/>
      <c r="K29" s="409"/>
      <c r="L29" s="409"/>
      <c r="M29" s="409"/>
      <c r="N29" s="409"/>
      <c r="O29" s="409"/>
      <c r="P29" s="409"/>
      <c r="Q29" s="409"/>
    </row>
    <row r="30" spans="2:22" ht="85" customHeight="1">
      <c r="B30" s="271" t="s">
        <v>36</v>
      </c>
      <c r="C30" s="404" t="s">
        <v>37</v>
      </c>
      <c r="D30" s="404"/>
      <c r="E30" s="404"/>
      <c r="F30" s="404"/>
      <c r="G30" s="404"/>
      <c r="H30" s="404"/>
      <c r="I30" s="404"/>
      <c r="J30" s="404"/>
      <c r="K30" s="404"/>
      <c r="L30" s="404"/>
      <c r="M30" s="404"/>
      <c r="N30" s="404"/>
      <c r="O30" s="404"/>
      <c r="P30" s="404"/>
      <c r="Q30" s="404"/>
    </row>
    <row r="31" spans="2:22" ht="73.5" customHeight="1">
      <c r="B31" s="271" t="s">
        <v>38</v>
      </c>
      <c r="C31" s="404" t="s">
        <v>39</v>
      </c>
      <c r="D31" s="404"/>
      <c r="E31" s="404"/>
      <c r="F31" s="404"/>
      <c r="G31" s="404"/>
      <c r="H31" s="404"/>
      <c r="I31" s="404"/>
      <c r="J31" s="404"/>
      <c r="K31" s="404"/>
      <c r="L31" s="404"/>
      <c r="M31" s="404"/>
      <c r="N31" s="404"/>
      <c r="O31" s="404"/>
      <c r="P31" s="404"/>
      <c r="Q31" s="404"/>
    </row>
    <row r="32" spans="2:22" ht="180" customHeight="1">
      <c r="B32" s="271" t="s">
        <v>40</v>
      </c>
      <c r="C32" s="404" t="s">
        <v>41</v>
      </c>
      <c r="D32" s="404"/>
      <c r="E32" s="404"/>
      <c r="F32" s="404"/>
      <c r="G32" s="404"/>
      <c r="H32" s="404"/>
      <c r="I32" s="404"/>
      <c r="J32" s="404"/>
      <c r="K32" s="404"/>
      <c r="L32" s="404"/>
      <c r="M32" s="404"/>
      <c r="N32" s="404"/>
      <c r="O32" s="404"/>
      <c r="P32" s="404"/>
      <c r="Q32" s="404"/>
    </row>
    <row r="33" spans="2:17" ht="91" customHeight="1">
      <c r="B33" s="271" t="s">
        <v>42</v>
      </c>
      <c r="C33" s="404" t="s">
        <v>43</v>
      </c>
      <c r="D33" s="404"/>
      <c r="E33" s="404"/>
      <c r="F33" s="404"/>
      <c r="G33" s="404"/>
      <c r="H33" s="404"/>
      <c r="I33" s="404"/>
      <c r="J33" s="404"/>
      <c r="K33" s="404"/>
      <c r="L33" s="404"/>
      <c r="M33" s="404"/>
      <c r="N33" s="404"/>
      <c r="O33" s="404"/>
      <c r="P33" s="404"/>
      <c r="Q33" s="404"/>
    </row>
    <row r="34" spans="2:17" ht="82" customHeight="1">
      <c r="B34" s="271" t="s">
        <v>44</v>
      </c>
      <c r="C34" s="404" t="s">
        <v>45</v>
      </c>
      <c r="D34" s="404"/>
      <c r="E34" s="404"/>
      <c r="F34" s="404"/>
      <c r="G34" s="404"/>
      <c r="H34" s="404"/>
      <c r="I34" s="404"/>
      <c r="J34" s="404"/>
      <c r="K34" s="404"/>
      <c r="L34" s="404"/>
      <c r="M34" s="404"/>
      <c r="N34" s="404"/>
      <c r="O34" s="404"/>
      <c r="P34" s="404"/>
      <c r="Q34" s="404"/>
    </row>
    <row r="35" spans="2:17" ht="76" customHeight="1">
      <c r="B35" s="271" t="s">
        <v>46</v>
      </c>
      <c r="C35" s="404" t="s">
        <v>47</v>
      </c>
      <c r="D35" s="404"/>
      <c r="E35" s="404"/>
      <c r="F35" s="404"/>
      <c r="G35" s="404"/>
      <c r="H35" s="404"/>
      <c r="I35" s="404"/>
      <c r="J35" s="404"/>
      <c r="K35" s="404"/>
      <c r="L35" s="404"/>
      <c r="M35" s="404"/>
      <c r="N35" s="404"/>
      <c r="O35" s="404"/>
      <c r="P35" s="404"/>
      <c r="Q35" s="404"/>
    </row>
    <row r="36" spans="2:17" ht="71.150000000000006" customHeight="1">
      <c r="B36" s="271" t="s">
        <v>48</v>
      </c>
      <c r="C36" s="404" t="s">
        <v>49</v>
      </c>
      <c r="D36" s="404"/>
      <c r="E36" s="404"/>
      <c r="F36" s="404"/>
      <c r="G36" s="404"/>
      <c r="H36" s="404"/>
      <c r="I36" s="404"/>
      <c r="J36" s="404"/>
      <c r="K36" s="404"/>
      <c r="L36" s="404"/>
      <c r="M36" s="404"/>
      <c r="N36" s="404"/>
      <c r="O36" s="404"/>
      <c r="P36" s="404"/>
      <c r="Q36" s="404"/>
    </row>
    <row r="37" spans="2:17" ht="48.65" customHeight="1">
      <c r="B37" s="271" t="s">
        <v>50</v>
      </c>
      <c r="C37" s="404" t="s">
        <v>51</v>
      </c>
      <c r="D37" s="404"/>
      <c r="E37" s="404"/>
      <c r="F37" s="404"/>
      <c r="G37" s="404"/>
      <c r="H37" s="404"/>
      <c r="I37" s="404"/>
      <c r="J37" s="404"/>
      <c r="K37" s="404"/>
      <c r="L37" s="404"/>
      <c r="M37" s="404"/>
      <c r="N37" s="404"/>
      <c r="O37" s="404"/>
      <c r="P37" s="404"/>
      <c r="Q37" s="404"/>
    </row>
    <row r="38" spans="2:17" ht="186" customHeight="1">
      <c r="B38" s="271" t="s">
        <v>52</v>
      </c>
      <c r="C38" s="404" t="s">
        <v>53</v>
      </c>
      <c r="D38" s="404"/>
      <c r="E38" s="404"/>
      <c r="F38" s="404"/>
      <c r="G38" s="404"/>
      <c r="H38" s="404"/>
      <c r="I38" s="404"/>
      <c r="J38" s="404"/>
      <c r="K38" s="404"/>
      <c r="L38" s="404"/>
      <c r="M38" s="404"/>
      <c r="N38" s="404"/>
      <c r="O38" s="404"/>
      <c r="P38" s="404"/>
      <c r="Q38" s="404"/>
    </row>
    <row r="39" spans="2:17" ht="328" customHeight="1">
      <c r="B39" s="271" t="s">
        <v>54</v>
      </c>
      <c r="C39" s="404" t="s">
        <v>55</v>
      </c>
      <c r="D39" s="404"/>
      <c r="E39" s="404"/>
      <c r="F39" s="404"/>
      <c r="G39" s="404"/>
      <c r="H39" s="404"/>
      <c r="I39" s="404"/>
      <c r="J39" s="404"/>
      <c r="K39" s="404"/>
      <c r="L39" s="404"/>
      <c r="M39" s="404"/>
      <c r="N39" s="404"/>
      <c r="O39" s="404"/>
      <c r="P39" s="404"/>
      <c r="Q39" s="404"/>
    </row>
    <row r="40" spans="2:17" ht="60.65" customHeight="1">
      <c r="B40" s="272" t="s">
        <v>56</v>
      </c>
      <c r="C40" s="405" t="s">
        <v>57</v>
      </c>
      <c r="D40" s="405"/>
      <c r="E40" s="405"/>
      <c r="F40" s="405"/>
      <c r="G40" s="405"/>
      <c r="H40" s="405"/>
      <c r="I40" s="405"/>
      <c r="J40" s="405"/>
      <c r="K40" s="405"/>
      <c r="L40" s="405"/>
      <c r="M40" s="405"/>
      <c r="N40" s="405"/>
      <c r="O40" s="405"/>
      <c r="P40" s="405"/>
      <c r="Q40" s="405"/>
    </row>
    <row r="41" spans="2:17" ht="40.5">
      <c r="B41" s="272" t="s">
        <v>58</v>
      </c>
      <c r="C41" s="405" t="s">
        <v>59</v>
      </c>
      <c r="D41" s="405"/>
      <c r="E41" s="405"/>
      <c r="F41" s="405"/>
      <c r="G41" s="405"/>
      <c r="H41" s="405"/>
      <c r="I41" s="405"/>
      <c r="J41" s="405"/>
      <c r="K41" s="405"/>
      <c r="L41" s="405"/>
      <c r="M41" s="405"/>
      <c r="N41" s="405"/>
      <c r="O41" s="405"/>
      <c r="P41" s="405"/>
      <c r="Q41" s="405"/>
    </row>
    <row r="42" spans="2:17" ht="54">
      <c r="B42" s="273" t="s">
        <v>60</v>
      </c>
      <c r="C42" s="420" t="s">
        <v>61</v>
      </c>
      <c r="D42" s="420"/>
      <c r="E42" s="420"/>
      <c r="F42" s="420"/>
      <c r="G42" s="420"/>
      <c r="H42" s="420"/>
      <c r="I42" s="420"/>
      <c r="J42" s="420"/>
      <c r="K42" s="420"/>
      <c r="L42" s="420"/>
      <c r="M42" s="420"/>
      <c r="N42" s="420"/>
      <c r="O42" s="420"/>
      <c r="P42" s="420"/>
      <c r="Q42" s="420"/>
    </row>
    <row r="43" spans="2:17" ht="27" customHeight="1">
      <c r="B43" s="421" t="s">
        <v>62</v>
      </c>
      <c r="C43" s="420" t="s">
        <v>63</v>
      </c>
      <c r="D43" s="420"/>
      <c r="E43" s="420"/>
      <c r="F43" s="420"/>
      <c r="G43" s="420"/>
      <c r="H43" s="420"/>
      <c r="I43" s="420"/>
      <c r="J43" s="420"/>
      <c r="K43" s="420"/>
      <c r="L43" s="420"/>
      <c r="M43" s="420"/>
      <c r="N43" s="420"/>
      <c r="O43" s="420"/>
      <c r="P43" s="420"/>
      <c r="Q43" s="420"/>
    </row>
    <row r="44" spans="2:17">
      <c r="B44" s="421"/>
      <c r="C44" s="420" t="s">
        <v>64</v>
      </c>
      <c r="D44" s="420"/>
      <c r="E44" s="420"/>
      <c r="F44" s="420"/>
      <c r="G44" s="420"/>
      <c r="H44" s="420"/>
      <c r="I44" s="420"/>
      <c r="J44" s="420"/>
      <c r="K44" s="420"/>
      <c r="L44" s="420"/>
      <c r="M44" s="420"/>
      <c r="N44" s="420"/>
      <c r="O44" s="420"/>
      <c r="P44" s="420"/>
      <c r="Q44" s="420"/>
    </row>
    <row r="45" spans="2:17">
      <c r="B45" s="421"/>
      <c r="C45" s="420" t="s">
        <v>65</v>
      </c>
      <c r="D45" s="420"/>
      <c r="E45" s="420"/>
      <c r="F45" s="420"/>
      <c r="G45" s="420"/>
      <c r="H45" s="420"/>
      <c r="I45" s="420"/>
      <c r="J45" s="420"/>
      <c r="K45" s="420"/>
      <c r="L45" s="420"/>
      <c r="M45" s="420"/>
      <c r="N45" s="420"/>
      <c r="O45" s="420"/>
      <c r="P45" s="420"/>
      <c r="Q45" s="420"/>
    </row>
    <row r="46" spans="2:17">
      <c r="B46" s="421"/>
      <c r="C46" s="420" t="s">
        <v>66</v>
      </c>
      <c r="D46" s="420"/>
      <c r="E46" s="420"/>
      <c r="F46" s="420"/>
      <c r="G46" s="420"/>
      <c r="H46" s="420"/>
      <c r="I46" s="420"/>
      <c r="J46" s="420"/>
      <c r="K46" s="420"/>
      <c r="L46" s="420"/>
      <c r="M46" s="420"/>
      <c r="N46" s="420"/>
      <c r="O46" s="420"/>
      <c r="P46" s="420"/>
      <c r="Q46" s="420"/>
    </row>
    <row r="47" spans="2:17">
      <c r="B47" s="421"/>
      <c r="C47" s="420" t="s">
        <v>67</v>
      </c>
      <c r="D47" s="420"/>
      <c r="E47" s="420"/>
      <c r="F47" s="420"/>
      <c r="G47" s="420"/>
      <c r="H47" s="420"/>
      <c r="I47" s="420"/>
      <c r="J47" s="420"/>
      <c r="K47" s="420"/>
      <c r="L47" s="420"/>
      <c r="M47" s="420"/>
      <c r="N47" s="420"/>
      <c r="O47" s="420"/>
      <c r="P47" s="420"/>
      <c r="Q47" s="420"/>
    </row>
    <row r="48" spans="2:17">
      <c r="B48" s="421"/>
      <c r="C48" s="420" t="s">
        <v>68</v>
      </c>
      <c r="D48" s="420"/>
      <c r="E48" s="420"/>
      <c r="F48" s="420"/>
      <c r="G48" s="420"/>
      <c r="H48" s="420"/>
      <c r="I48" s="420"/>
      <c r="J48" s="420"/>
      <c r="K48" s="420"/>
      <c r="L48" s="420"/>
      <c r="M48" s="420"/>
      <c r="N48" s="420"/>
      <c r="O48" s="420"/>
      <c r="P48" s="420"/>
      <c r="Q48" s="420"/>
    </row>
    <row r="49" spans="2:17">
      <c r="B49" s="421"/>
      <c r="C49" s="420" t="s">
        <v>69</v>
      </c>
      <c r="D49" s="420"/>
      <c r="E49" s="420"/>
      <c r="F49" s="420"/>
      <c r="G49" s="420"/>
      <c r="H49" s="420"/>
      <c r="I49" s="420"/>
      <c r="J49" s="420"/>
      <c r="K49" s="420"/>
      <c r="L49" s="420"/>
      <c r="M49" s="420"/>
      <c r="N49" s="420"/>
      <c r="O49" s="420"/>
      <c r="P49" s="420"/>
      <c r="Q49" s="420"/>
    </row>
    <row r="50" spans="2:17">
      <c r="B50" s="421"/>
      <c r="C50" s="420" t="s">
        <v>70</v>
      </c>
      <c r="D50" s="420"/>
      <c r="E50" s="420"/>
      <c r="F50" s="420"/>
      <c r="G50" s="420"/>
      <c r="H50" s="420"/>
      <c r="I50" s="420"/>
      <c r="J50" s="420"/>
      <c r="K50" s="420"/>
      <c r="L50" s="420"/>
      <c r="M50" s="420"/>
      <c r="N50" s="420"/>
      <c r="O50" s="420"/>
      <c r="P50" s="420"/>
      <c r="Q50" s="420"/>
    </row>
    <row r="51" spans="2:17">
      <c r="B51" s="421"/>
      <c r="C51" s="420" t="s">
        <v>71</v>
      </c>
      <c r="D51" s="420"/>
      <c r="E51" s="420"/>
      <c r="F51" s="420"/>
      <c r="G51" s="420"/>
      <c r="H51" s="420"/>
      <c r="I51" s="420"/>
      <c r="J51" s="420"/>
      <c r="K51" s="420"/>
      <c r="L51" s="420"/>
      <c r="M51" s="420"/>
      <c r="N51" s="420"/>
      <c r="O51" s="420"/>
      <c r="P51" s="420"/>
      <c r="Q51" s="420"/>
    </row>
    <row r="52" spans="2:17">
      <c r="B52" s="292" t="s">
        <v>72</v>
      </c>
      <c r="C52" s="405" t="s">
        <v>73</v>
      </c>
      <c r="D52" s="405"/>
      <c r="E52" s="405"/>
      <c r="F52" s="405"/>
      <c r="G52" s="405"/>
      <c r="H52" s="405"/>
      <c r="I52" s="405"/>
      <c r="J52" s="405"/>
      <c r="K52" s="405"/>
      <c r="L52" s="405"/>
      <c r="M52" s="405"/>
      <c r="N52" s="405"/>
      <c r="O52" s="405"/>
      <c r="P52" s="405"/>
      <c r="Q52" s="405"/>
    </row>
  </sheetData>
  <mergeCells count="45">
    <mergeCell ref="C45:Q45"/>
    <mergeCell ref="C51:Q51"/>
    <mergeCell ref="B43:B51"/>
    <mergeCell ref="C46:Q46"/>
    <mergeCell ref="C47:Q47"/>
    <mergeCell ref="C48:Q48"/>
    <mergeCell ref="C49:Q49"/>
    <mergeCell ref="C50:Q50"/>
    <mergeCell ref="C40:Q40"/>
    <mergeCell ref="C41:Q41"/>
    <mergeCell ref="C42:Q42"/>
    <mergeCell ref="C43:Q43"/>
    <mergeCell ref="C44:Q44"/>
    <mergeCell ref="C35:Q35"/>
    <mergeCell ref="C36:Q36"/>
    <mergeCell ref="C37:Q37"/>
    <mergeCell ref="C38:Q38"/>
    <mergeCell ref="C39:Q39"/>
    <mergeCell ref="B7:G7"/>
    <mergeCell ref="I7:Q7"/>
    <mergeCell ref="B4:Q4"/>
    <mergeCell ref="B8:Q8"/>
    <mergeCell ref="B5:Q5"/>
    <mergeCell ref="B6:Q6"/>
    <mergeCell ref="C18:Q18"/>
    <mergeCell ref="C52:Q52"/>
    <mergeCell ref="B9:Q9"/>
    <mergeCell ref="B17:Q17"/>
    <mergeCell ref="B29:Q29"/>
    <mergeCell ref="C30:Q30"/>
    <mergeCell ref="B10:Q10"/>
    <mergeCell ref="C24:Q24"/>
    <mergeCell ref="C25:Q25"/>
    <mergeCell ref="C23:Q23"/>
    <mergeCell ref="C22:Q22"/>
    <mergeCell ref="C21:Q21"/>
    <mergeCell ref="C31:Q31"/>
    <mergeCell ref="C32:Q32"/>
    <mergeCell ref="C33:Q33"/>
    <mergeCell ref="C34:Q34"/>
    <mergeCell ref="C26:Q26"/>
    <mergeCell ref="C27:Q27"/>
    <mergeCell ref="C28:Q28"/>
    <mergeCell ref="C20:Q20"/>
    <mergeCell ref="C19:Q19"/>
  </mergeCells>
  <hyperlinks>
    <hyperlink ref="B13" r:id="rId1" xr:uid="{00000000-0004-0000-0000-000000000000}"/>
    <hyperlink ref="B14" r:id="rId2"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R226"/>
  <sheetViews>
    <sheetView showGridLines="0" topLeftCell="B1" zoomScale="52" zoomScaleNormal="55" workbookViewId="0">
      <selection activeCell="D3" sqref="D3"/>
    </sheetView>
  </sheetViews>
  <sheetFormatPr defaultColWidth="8.7265625" defaultRowHeight="21"/>
  <cols>
    <col min="1" max="1" width="13.1796875" style="157" hidden="1" customWidth="1"/>
    <col min="2" max="2" width="59.81640625" style="157" bestFit="1" customWidth="1"/>
    <col min="3" max="3" width="58.453125" style="157" customWidth="1"/>
    <col min="4" max="4" width="52.54296875" style="157" customWidth="1"/>
    <col min="5" max="5" width="48.1796875" style="157" bestFit="1" customWidth="1"/>
    <col min="6" max="6" width="66.453125" style="157" bestFit="1" customWidth="1"/>
    <col min="7" max="7" width="72.26953125" style="157" customWidth="1"/>
    <col min="8" max="8" width="49.54296875" style="157" customWidth="1"/>
    <col min="9" max="9" width="38.81640625" style="157" bestFit="1" customWidth="1"/>
    <col min="10" max="10" width="39.54296875" style="157" customWidth="1"/>
    <col min="11" max="11" width="57" style="157" customWidth="1"/>
    <col min="12" max="12" width="33.1796875" style="157" customWidth="1"/>
    <col min="13" max="13" width="42" style="157" customWidth="1"/>
    <col min="14" max="14" width="38.54296875" style="157" customWidth="1"/>
    <col min="15" max="15" width="48.7265625" style="157" customWidth="1"/>
    <col min="16" max="16" width="38.26953125" style="157" customWidth="1"/>
    <col min="17" max="18" width="22.81640625" style="157" customWidth="1"/>
    <col min="19" max="16384" width="8.7265625" style="157"/>
  </cols>
  <sheetData>
    <row r="1" spans="1:18" ht="42">
      <c r="A1" s="156" t="s">
        <v>74</v>
      </c>
      <c r="B1" s="156" t="s">
        <v>75</v>
      </c>
      <c r="C1" s="156" t="s">
        <v>76</v>
      </c>
      <c r="E1" s="158" t="s">
        <v>77</v>
      </c>
      <c r="F1" s="159" t="s">
        <v>78</v>
      </c>
    </row>
    <row r="3" spans="1:18" ht="82.5" customHeight="1">
      <c r="A3" s="160">
        <v>1</v>
      </c>
      <c r="B3" s="445" t="s">
        <v>79</v>
      </c>
      <c r="C3" s="445"/>
      <c r="D3" s="185" t="s">
        <v>80</v>
      </c>
      <c r="E3" s="161"/>
      <c r="F3" s="161"/>
      <c r="G3" s="161"/>
    </row>
    <row r="4" spans="1:18" ht="147">
      <c r="A4" s="162">
        <v>1</v>
      </c>
      <c r="B4" s="156" t="s">
        <v>81</v>
      </c>
      <c r="C4" s="156" t="s">
        <v>82</v>
      </c>
      <c r="D4" s="156" t="s">
        <v>83</v>
      </c>
      <c r="E4" s="156" t="s">
        <v>84</v>
      </c>
      <c r="F4" s="156" t="s">
        <v>85</v>
      </c>
      <c r="G4" s="156" t="s">
        <v>86</v>
      </c>
      <c r="H4" s="156" t="s">
        <v>487</v>
      </c>
    </row>
    <row r="5" spans="1:18" ht="63">
      <c r="A5" s="162">
        <v>1</v>
      </c>
      <c r="B5" s="160">
        <v>68100</v>
      </c>
      <c r="C5" s="160" t="s">
        <v>87</v>
      </c>
      <c r="D5" s="261" t="s">
        <v>88</v>
      </c>
      <c r="E5" s="373" t="s">
        <v>547</v>
      </c>
      <c r="F5" s="160" t="s">
        <v>89</v>
      </c>
      <c r="G5" s="262" t="s">
        <v>515</v>
      </c>
      <c r="H5" s="263" t="s">
        <v>91</v>
      </c>
    </row>
    <row r="6" spans="1:18">
      <c r="A6" s="162"/>
      <c r="B6" s="163" t="s">
        <v>92</v>
      </c>
      <c r="C6" s="163"/>
      <c r="D6" s="164"/>
      <c r="E6" s="165"/>
      <c r="F6" s="163"/>
      <c r="G6" s="166"/>
    </row>
    <row r="8" spans="1:18" ht="54" customHeight="1">
      <c r="A8" s="167">
        <v>1</v>
      </c>
      <c r="B8" s="449" t="s">
        <v>93</v>
      </c>
      <c r="C8" s="449"/>
      <c r="D8" s="335"/>
    </row>
    <row r="9" spans="1:18" ht="54" customHeight="1">
      <c r="A9" s="167"/>
      <c r="B9" s="451" t="s">
        <v>94</v>
      </c>
      <c r="C9" s="452"/>
      <c r="D9" s="161"/>
    </row>
    <row r="10" spans="1:18" ht="54" customHeight="1">
      <c r="A10" s="167"/>
      <c r="B10" s="453" t="s">
        <v>95</v>
      </c>
      <c r="C10" s="454"/>
      <c r="D10" s="161"/>
    </row>
    <row r="11" spans="1:18" ht="54" customHeight="1">
      <c r="A11" s="167"/>
      <c r="B11" s="169" t="s">
        <v>96</v>
      </c>
      <c r="C11" s="170">
        <v>1</v>
      </c>
      <c r="D11" s="161"/>
    </row>
    <row r="12" spans="1:18" ht="54" customHeight="1">
      <c r="A12" s="167"/>
      <c r="B12" s="169" t="s">
        <v>97</v>
      </c>
      <c r="C12" s="171">
        <f>C11*3.6*1000000</f>
        <v>3600000</v>
      </c>
      <c r="D12" s="161"/>
      <c r="H12" s="157">
        <f>F23/(F20+F23)</f>
        <v>0.42636411046314115</v>
      </c>
      <c r="I12" s="157">
        <f>H12*100</f>
        <v>42.636411046314116</v>
      </c>
    </row>
    <row r="13" spans="1:18" s="207" customFormat="1">
      <c r="A13" s="446"/>
      <c r="B13" s="446"/>
      <c r="C13" s="446"/>
      <c r="D13" s="447"/>
      <c r="E13" s="173"/>
      <c r="F13" s="173"/>
    </row>
    <row r="14" spans="1:18" s="207" customFormat="1">
      <c r="A14" s="174"/>
      <c r="B14" s="456" t="s">
        <v>98</v>
      </c>
      <c r="C14" s="456"/>
      <c r="D14" s="456"/>
      <c r="E14" s="173"/>
      <c r="F14" s="173"/>
    </row>
    <row r="15" spans="1:18" s="207" customFormat="1">
      <c r="A15" s="174"/>
      <c r="B15" s="456"/>
      <c r="C15" s="456"/>
      <c r="D15" s="456"/>
      <c r="E15" s="173"/>
      <c r="F15" s="173"/>
    </row>
    <row r="16" spans="1:18" s="207" customFormat="1" ht="42">
      <c r="A16" s="174"/>
      <c r="B16" s="246" t="s">
        <v>99</v>
      </c>
      <c r="C16" s="265" t="s">
        <v>100</v>
      </c>
      <c r="D16" s="346" t="s">
        <v>101</v>
      </c>
      <c r="E16" s="347" t="s">
        <v>102</v>
      </c>
      <c r="F16" s="156" t="s">
        <v>489</v>
      </c>
      <c r="G16" s="245">
        <v>45383</v>
      </c>
      <c r="H16" s="245">
        <v>45413</v>
      </c>
      <c r="I16" s="245">
        <v>45444</v>
      </c>
      <c r="J16" s="245">
        <v>45474</v>
      </c>
      <c r="K16" s="245">
        <v>45505</v>
      </c>
      <c r="L16" s="245">
        <v>45536</v>
      </c>
      <c r="M16" s="245">
        <v>45566</v>
      </c>
      <c r="N16" s="245">
        <v>45597</v>
      </c>
      <c r="O16" s="245">
        <v>45627</v>
      </c>
      <c r="P16" s="245">
        <v>45658</v>
      </c>
      <c r="Q16" s="245">
        <v>45689</v>
      </c>
      <c r="R16" s="245">
        <v>45717</v>
      </c>
    </row>
    <row r="17" spans="1:18" s="207" customFormat="1">
      <c r="A17" s="174"/>
      <c r="B17" s="175" t="s">
        <v>103</v>
      </c>
      <c r="C17" s="176" t="s">
        <v>104</v>
      </c>
      <c r="D17" s="176"/>
      <c r="E17" s="176"/>
      <c r="F17" s="375">
        <f>SUM(G17:R17)</f>
        <v>55.266993000000006</v>
      </c>
      <c r="G17" s="362">
        <v>8.4009999999999998</v>
      </c>
      <c r="H17" s="362">
        <v>10.834</v>
      </c>
      <c r="I17" s="362">
        <v>3.8760000000000003</v>
      </c>
      <c r="J17" s="362">
        <f>SUM([1]FUEL!$F$6:$F$13)</f>
        <v>4.4329999999999998</v>
      </c>
      <c r="K17" s="362">
        <f>SUM([1]FUEL!$G$6:$G$13)</f>
        <v>4.57</v>
      </c>
      <c r="L17" s="362">
        <f>SUM([1]FUEL!$H$6:$H$13)</f>
        <v>3.4430000000000005</v>
      </c>
      <c r="M17" s="362">
        <f>SUM([1]FUEL!$I$6:$I$13)</f>
        <v>5.6968200000000007</v>
      </c>
      <c r="N17" s="362">
        <f>SUM([1]FUEL!$J$6:$J$13)</f>
        <v>1.4591630000000002</v>
      </c>
      <c r="O17" s="362">
        <f>SUM([1]FUEL!$K$6:$K$13)</f>
        <v>2.0429999999999997</v>
      </c>
      <c r="P17" s="362">
        <f>SUM([1]FUEL!$L$6:$L$13)</f>
        <v>3.9145999999999996</v>
      </c>
      <c r="Q17" s="362">
        <f>SUM([1]FUEL!$M$6:$M$13)</f>
        <v>4.3946000000000005</v>
      </c>
      <c r="R17" s="362">
        <f>SUM([2]FUEL!$N$6:$N$13)</f>
        <v>2.20181</v>
      </c>
    </row>
    <row r="18" spans="1:18" s="207" customFormat="1">
      <c r="A18" s="174"/>
      <c r="B18" s="175" t="s">
        <v>105</v>
      </c>
      <c r="C18" s="176" t="s">
        <v>104</v>
      </c>
      <c r="D18" s="176"/>
      <c r="E18" s="176"/>
      <c r="F18" s="247"/>
      <c r="G18" s="362">
        <v>8.7368900000000007</v>
      </c>
      <c r="H18" s="362">
        <v>11.20858</v>
      </c>
      <c r="I18" s="362">
        <v>10.384</v>
      </c>
      <c r="J18" s="362">
        <v>9.9819999999999993</v>
      </c>
      <c r="K18" s="362">
        <v>9.7568999999999999</v>
      </c>
      <c r="L18" s="362">
        <v>9.7113999999999994</v>
      </c>
      <c r="M18" s="362">
        <v>13.236549999999999</v>
      </c>
      <c r="N18" s="362">
        <v>12.297980000000001</v>
      </c>
      <c r="O18" s="362">
        <v>15.59835</v>
      </c>
      <c r="P18" s="362">
        <f>SUM([1]FUEL!$L$22:$L$29)</f>
        <v>15.00764</v>
      </c>
      <c r="Q18" s="362">
        <f>SUM([1]FUEL!$M$22:$M$31)</f>
        <v>14.34704</v>
      </c>
      <c r="R18" s="362">
        <f>SUM([2]FUEL!$N$22:$N$29)</f>
        <v>14.95818</v>
      </c>
    </row>
    <row r="19" spans="1:18" s="207" customFormat="1" ht="63">
      <c r="A19" s="174"/>
      <c r="B19" s="291" t="s">
        <v>517</v>
      </c>
      <c r="C19" s="176" t="s">
        <v>104</v>
      </c>
      <c r="D19" s="176"/>
      <c r="E19" s="176"/>
      <c r="F19" s="374">
        <f>SUM(G19:R19)</f>
        <v>2.7190000000000002E-2</v>
      </c>
      <c r="G19" s="362">
        <v>0</v>
      </c>
      <c r="H19" s="362">
        <v>0</v>
      </c>
      <c r="I19" s="362">
        <v>0</v>
      </c>
      <c r="J19" s="362">
        <v>0</v>
      </c>
      <c r="K19" s="362">
        <v>0</v>
      </c>
      <c r="L19" s="362">
        <v>0</v>
      </c>
      <c r="M19" s="362">
        <v>0</v>
      </c>
      <c r="N19" s="362">
        <v>0</v>
      </c>
      <c r="O19" s="362">
        <v>0</v>
      </c>
      <c r="P19" s="362">
        <f>[2]FUEL!$L$17</f>
        <v>2.7190000000000002E-2</v>
      </c>
      <c r="Q19" s="362">
        <v>0</v>
      </c>
      <c r="R19" s="362">
        <v>0</v>
      </c>
    </row>
    <row r="20" spans="1:18" s="207" customFormat="1">
      <c r="A20" s="174"/>
      <c r="B20" s="175" t="s">
        <v>107</v>
      </c>
      <c r="C20" s="176" t="s">
        <v>108</v>
      </c>
      <c r="D20" s="176"/>
      <c r="E20" s="176"/>
      <c r="F20" s="374">
        <f>SUM(G20:R20)</f>
        <v>3683858.31</v>
      </c>
      <c r="G20" s="363">
        <v>216026.06</v>
      </c>
      <c r="H20" s="363">
        <v>230867.25</v>
      </c>
      <c r="I20" s="363">
        <v>264955.5</v>
      </c>
      <c r="J20" s="363">
        <v>268601</v>
      </c>
      <c r="K20" s="363">
        <f>SUM([1]GRID!$G$5:$G$9)</f>
        <v>295417.09999999998</v>
      </c>
      <c r="L20" s="363">
        <f>SUM([1]GRID!$H$5:$H$9)</f>
        <v>291990.93</v>
      </c>
      <c r="M20" s="363">
        <f>SUM([1]GRID!$I$5:$I$9)</f>
        <v>352703</v>
      </c>
      <c r="N20" s="363">
        <f>SUM([1]GRID!$J$5:$J$9)</f>
        <v>336470.05</v>
      </c>
      <c r="O20" s="363">
        <f>SUM([1]GRID!$K$5:$K$9)</f>
        <v>321564</v>
      </c>
      <c r="P20" s="363">
        <f>SUM([1]GRID!$L$5:$L$9,[1]GRID!$L$12)</f>
        <v>332124.62</v>
      </c>
      <c r="Q20" s="363">
        <f>SUM([1]GRID!$M$5:$M$9,[1]GRID!$M$12,[1]GRID!$M$14)</f>
        <v>356925</v>
      </c>
      <c r="R20" s="363">
        <f>SUM([2]GRID!$N$5:$N$9,[2]GRID!$N$12,[2]GRID!$N$14)</f>
        <v>416213.8</v>
      </c>
    </row>
    <row r="21" spans="1:18" s="207" customFormat="1" ht="42">
      <c r="A21" s="174"/>
      <c r="B21" s="246" t="s">
        <v>109</v>
      </c>
      <c r="C21" s="265" t="s">
        <v>100</v>
      </c>
      <c r="D21" s="346" t="s">
        <v>101</v>
      </c>
      <c r="E21" s="347" t="s">
        <v>102</v>
      </c>
      <c r="F21" s="156" t="s">
        <v>489</v>
      </c>
      <c r="G21" s="245">
        <v>45383</v>
      </c>
      <c r="H21" s="245">
        <v>45413</v>
      </c>
      <c r="I21" s="245">
        <v>45444</v>
      </c>
      <c r="J21" s="245">
        <v>45474</v>
      </c>
      <c r="K21" s="245">
        <v>45505</v>
      </c>
      <c r="L21" s="245">
        <v>45536</v>
      </c>
      <c r="M21" s="245">
        <v>45566</v>
      </c>
      <c r="N21" s="245">
        <v>45597</v>
      </c>
      <c r="O21" s="245">
        <v>45627</v>
      </c>
      <c r="P21" s="245">
        <v>45658</v>
      </c>
      <c r="Q21" s="245">
        <v>45689</v>
      </c>
      <c r="R21" s="245">
        <v>45717</v>
      </c>
    </row>
    <row r="22" spans="1:18" s="207" customFormat="1" ht="42">
      <c r="A22" s="174"/>
      <c r="B22" s="291" t="s">
        <v>110</v>
      </c>
      <c r="C22" s="176"/>
      <c r="D22" s="176"/>
      <c r="E22" s="176"/>
      <c r="F22" s="247">
        <f>SUM(G22:R22)</f>
        <v>0</v>
      </c>
      <c r="G22" s="239"/>
      <c r="H22" s="239"/>
      <c r="I22" s="239"/>
      <c r="J22" s="239"/>
      <c r="K22" s="239"/>
      <c r="L22" s="239"/>
      <c r="M22" s="239"/>
      <c r="N22" s="239"/>
      <c r="O22" s="239"/>
      <c r="P22" s="239"/>
      <c r="Q22" s="239"/>
      <c r="R22" s="239"/>
    </row>
    <row r="23" spans="1:18" s="207" customFormat="1">
      <c r="A23" s="174"/>
      <c r="B23" s="278" t="s">
        <v>107</v>
      </c>
      <c r="C23" s="176" t="s">
        <v>111</v>
      </c>
      <c r="D23" s="176"/>
      <c r="E23" s="176"/>
      <c r="F23" s="247">
        <f>SUM(G23:R23)</f>
        <v>2738086.9992</v>
      </c>
      <c r="G23" s="239">
        <v>235918</v>
      </c>
      <c r="H23" s="239">
        <v>259099</v>
      </c>
      <c r="I23" s="239">
        <v>228227</v>
      </c>
      <c r="J23" s="239">
        <v>250397.99920000008</v>
      </c>
      <c r="K23" s="239">
        <v>249588</v>
      </c>
      <c r="L23" s="239">
        <v>232592</v>
      </c>
      <c r="M23" s="239">
        <v>241614</v>
      </c>
      <c r="N23" s="239">
        <v>210917</v>
      </c>
      <c r="O23" s="239">
        <v>207419</v>
      </c>
      <c r="P23" s="359">
        <f>SUM([1]GRID!$L$10:$L$11)</f>
        <v>214498</v>
      </c>
      <c r="Q23" s="359">
        <f>SUM([1]GRID!$M$10:$M$11)</f>
        <v>184450</v>
      </c>
      <c r="R23" s="359">
        <f>SUM([2]GRID!$N$10:$N$11)</f>
        <v>223367</v>
      </c>
    </row>
    <row r="24" spans="1:18" s="207" customFormat="1">
      <c r="A24" s="266"/>
      <c r="B24" s="266"/>
      <c r="C24" s="266"/>
      <c r="D24" s="194"/>
      <c r="E24" s="173"/>
      <c r="F24" s="173"/>
    </row>
    <row r="25" spans="1:18">
      <c r="A25" s="160">
        <v>3</v>
      </c>
      <c r="B25" s="156" t="s">
        <v>112</v>
      </c>
      <c r="C25" s="156" t="s">
        <v>488</v>
      </c>
      <c r="D25" s="245">
        <v>45383</v>
      </c>
      <c r="E25" s="245">
        <v>45413</v>
      </c>
      <c r="F25" s="245">
        <v>45444</v>
      </c>
      <c r="G25" s="245">
        <v>45474</v>
      </c>
      <c r="H25" s="245">
        <v>45505</v>
      </c>
      <c r="I25" s="245">
        <v>45536</v>
      </c>
      <c r="J25" s="245">
        <v>45566</v>
      </c>
      <c r="K25" s="245">
        <v>45597</v>
      </c>
      <c r="L25" s="245">
        <v>45627</v>
      </c>
      <c r="M25" s="245">
        <v>45658</v>
      </c>
      <c r="N25" s="245">
        <v>45689</v>
      </c>
      <c r="O25" s="245">
        <v>45717</v>
      </c>
    </row>
    <row r="26" spans="1:18" ht="53.25" customHeight="1">
      <c r="A26" s="160">
        <v>3</v>
      </c>
      <c r="B26" s="172" t="s">
        <v>113</v>
      </c>
      <c r="C26" s="156" t="s">
        <v>114</v>
      </c>
      <c r="D26" s="156" t="s">
        <v>114</v>
      </c>
      <c r="E26" s="156" t="s">
        <v>114</v>
      </c>
      <c r="F26" s="156" t="s">
        <v>114</v>
      </c>
      <c r="G26" s="156" t="s">
        <v>114</v>
      </c>
      <c r="H26" s="156" t="s">
        <v>114</v>
      </c>
      <c r="I26" s="156" t="s">
        <v>114</v>
      </c>
      <c r="J26" s="156" t="s">
        <v>114</v>
      </c>
      <c r="K26" s="156" t="s">
        <v>114</v>
      </c>
      <c r="L26" s="156" t="s">
        <v>114</v>
      </c>
      <c r="M26" s="156" t="s">
        <v>114</v>
      </c>
      <c r="N26" s="156" t="s">
        <v>114</v>
      </c>
      <c r="O26" s="156" t="s">
        <v>114</v>
      </c>
    </row>
    <row r="27" spans="1:18">
      <c r="A27" s="163">
        <v>3</v>
      </c>
      <c r="B27" s="177" t="s">
        <v>115</v>
      </c>
      <c r="C27" s="248">
        <f t="shared" ref="C27:C32" si="0">SUM(D27:O27)</f>
        <v>0</v>
      </c>
      <c r="D27" s="250"/>
      <c r="E27" s="250"/>
      <c r="F27" s="250"/>
      <c r="G27" s="250"/>
      <c r="H27" s="250"/>
      <c r="I27" s="250"/>
      <c r="J27" s="250"/>
      <c r="K27" s="250"/>
      <c r="L27" s="250"/>
      <c r="M27" s="250"/>
      <c r="N27" s="250"/>
      <c r="O27" s="250"/>
    </row>
    <row r="28" spans="1:18">
      <c r="A28" s="163">
        <v>3</v>
      </c>
      <c r="B28" s="177" t="s">
        <v>116</v>
      </c>
      <c r="C28" s="248">
        <f t="shared" si="0"/>
        <v>10686</v>
      </c>
      <c r="D28" s="250">
        <v>857</v>
      </c>
      <c r="E28" s="250">
        <v>863</v>
      </c>
      <c r="F28" s="250">
        <v>786</v>
      </c>
      <c r="G28" s="250">
        <v>783</v>
      </c>
      <c r="H28" s="250">
        <v>719</v>
      </c>
      <c r="I28" s="250">
        <v>829</v>
      </c>
      <c r="J28" s="250">
        <v>877</v>
      </c>
      <c r="K28" s="250">
        <v>795</v>
      </c>
      <c r="L28" s="250">
        <v>807</v>
      </c>
      <c r="M28" s="250">
        <v>1391</v>
      </c>
      <c r="N28" s="250">
        <v>1110</v>
      </c>
      <c r="O28" s="250">
        <f>[2]Water!$AD$47</f>
        <v>869</v>
      </c>
    </row>
    <row r="29" spans="1:18">
      <c r="A29" s="163">
        <v>3</v>
      </c>
      <c r="B29" s="177" t="s">
        <v>117</v>
      </c>
      <c r="C29" s="248">
        <f t="shared" si="0"/>
        <v>152938.90000000002</v>
      </c>
      <c r="D29" s="250">
        <f>[1]Water!$S$48</f>
        <v>14819.130000000001</v>
      </c>
      <c r="E29" s="250">
        <v>16124.27</v>
      </c>
      <c r="F29" s="250">
        <v>13905.71</v>
      </c>
      <c r="G29" s="250">
        <v>14498.95</v>
      </c>
      <c r="H29" s="250">
        <v>14221.54</v>
      </c>
      <c r="I29" s="250">
        <v>15099.75</v>
      </c>
      <c r="J29" s="250">
        <v>8493.89</v>
      </c>
      <c r="K29" s="250">
        <v>9643.18</v>
      </c>
      <c r="L29" s="250">
        <v>9471.99</v>
      </c>
      <c r="M29" s="250">
        <v>11816.49</v>
      </c>
      <c r="N29" s="250">
        <v>11406</v>
      </c>
      <c r="O29" s="250">
        <f>[2]Water!$AD$48</f>
        <v>13438</v>
      </c>
    </row>
    <row r="30" spans="1:18" ht="42">
      <c r="A30" s="163">
        <v>3</v>
      </c>
      <c r="B30" s="177" t="s">
        <v>118</v>
      </c>
      <c r="C30" s="248">
        <f t="shared" si="0"/>
        <v>0</v>
      </c>
      <c r="D30" s="250"/>
      <c r="E30" s="250"/>
      <c r="F30" s="250"/>
      <c r="G30" s="250"/>
      <c r="H30" s="250"/>
      <c r="I30" s="250"/>
      <c r="J30" s="250"/>
      <c r="K30" s="250"/>
      <c r="L30" s="250"/>
      <c r="M30" s="250"/>
      <c r="N30" s="250"/>
      <c r="O30" s="250"/>
    </row>
    <row r="31" spans="1:18">
      <c r="A31" s="163">
        <v>3</v>
      </c>
      <c r="B31" s="177" t="s">
        <v>516</v>
      </c>
      <c r="C31" s="248">
        <f t="shared" si="0"/>
        <v>3883.6809999999996</v>
      </c>
      <c r="D31" s="250">
        <v>612.88</v>
      </c>
      <c r="E31" s="250">
        <v>391.4</v>
      </c>
      <c r="F31" s="250">
        <v>410.3</v>
      </c>
      <c r="G31" s="250">
        <v>417.84</v>
      </c>
      <c r="H31" s="250">
        <v>224.8</v>
      </c>
      <c r="I31" s="250">
        <v>547.46100000000001</v>
      </c>
      <c r="J31" s="250">
        <v>0</v>
      </c>
      <c r="K31" s="250">
        <v>115</v>
      </c>
      <c r="L31" s="250">
        <v>708</v>
      </c>
      <c r="M31" s="250">
        <v>146</v>
      </c>
      <c r="N31" s="250">
        <v>194</v>
      </c>
      <c r="O31" s="250">
        <f>[2]Water!$AD$49</f>
        <v>116</v>
      </c>
    </row>
    <row r="32" spans="1:18" ht="42">
      <c r="A32" s="163">
        <v>3</v>
      </c>
      <c r="B32" s="178" t="s">
        <v>120</v>
      </c>
      <c r="C32" s="248">
        <f t="shared" si="0"/>
        <v>167508.58100000001</v>
      </c>
      <c r="D32" s="250">
        <f t="shared" ref="D32:O32" si="1">SUM(D27:D31)</f>
        <v>16289.01</v>
      </c>
      <c r="E32" s="250">
        <f t="shared" si="1"/>
        <v>17378.670000000002</v>
      </c>
      <c r="F32" s="250">
        <f t="shared" si="1"/>
        <v>15102.009999999998</v>
      </c>
      <c r="G32" s="250">
        <f t="shared" si="1"/>
        <v>15699.79</v>
      </c>
      <c r="H32" s="250">
        <f t="shared" si="1"/>
        <v>15165.34</v>
      </c>
      <c r="I32" s="250">
        <f t="shared" si="1"/>
        <v>16476.210999999999</v>
      </c>
      <c r="J32" s="250">
        <f t="shared" si="1"/>
        <v>9370.89</v>
      </c>
      <c r="K32" s="250">
        <f t="shared" si="1"/>
        <v>10553.18</v>
      </c>
      <c r="L32" s="250">
        <f t="shared" si="1"/>
        <v>10986.99</v>
      </c>
      <c r="M32" s="250">
        <f t="shared" si="1"/>
        <v>13353.49</v>
      </c>
      <c r="N32" s="250">
        <f t="shared" si="1"/>
        <v>12710</v>
      </c>
      <c r="O32" s="250">
        <f t="shared" si="1"/>
        <v>14423</v>
      </c>
    </row>
    <row r="33" spans="1:15" s="207" customFormat="1">
      <c r="A33" s="174"/>
      <c r="B33" s="179"/>
      <c r="C33" s="180"/>
      <c r="D33" s="251"/>
      <c r="E33" s="251"/>
      <c r="F33" s="252"/>
      <c r="G33" s="251"/>
      <c r="H33" s="251"/>
      <c r="I33" s="251"/>
      <c r="J33" s="251"/>
      <c r="K33" s="251"/>
      <c r="L33" s="251"/>
      <c r="M33" s="251"/>
      <c r="N33" s="251"/>
      <c r="O33" s="251"/>
    </row>
    <row r="34" spans="1:15" ht="42">
      <c r="A34" s="163">
        <v>3</v>
      </c>
      <c r="B34" s="178" t="s">
        <v>121</v>
      </c>
      <c r="C34" s="249">
        <f>SUM(D34:O34)</f>
        <v>0</v>
      </c>
      <c r="D34" s="253"/>
      <c r="E34" s="253"/>
      <c r="F34" s="253"/>
      <c r="G34" s="253"/>
      <c r="H34" s="253"/>
      <c r="I34" s="253"/>
      <c r="J34" s="253"/>
      <c r="K34" s="253"/>
      <c r="L34" s="253"/>
      <c r="M34" s="253"/>
      <c r="N34" s="253"/>
      <c r="O34" s="253"/>
    </row>
    <row r="35" spans="1:15" s="207" customFormat="1">
      <c r="A35" s="181"/>
      <c r="B35" s="181"/>
      <c r="C35" s="181"/>
      <c r="D35" s="161"/>
      <c r="E35" s="173"/>
      <c r="F35" s="173"/>
    </row>
    <row r="36" spans="1:15" ht="42">
      <c r="A36" s="163">
        <v>4</v>
      </c>
      <c r="B36" s="178" t="s">
        <v>122</v>
      </c>
      <c r="C36" s="163"/>
      <c r="D36" s="161"/>
      <c r="E36" s="161"/>
    </row>
    <row r="37" spans="1:15">
      <c r="A37" s="160">
        <v>4</v>
      </c>
      <c r="B37" s="172" t="s">
        <v>112</v>
      </c>
      <c r="C37" s="156" t="s">
        <v>488</v>
      </c>
      <c r="D37" s="245">
        <v>45383</v>
      </c>
      <c r="E37" s="245">
        <v>45413</v>
      </c>
      <c r="F37" s="245">
        <v>45444</v>
      </c>
      <c r="G37" s="245">
        <v>45474</v>
      </c>
      <c r="H37" s="245">
        <v>45505</v>
      </c>
      <c r="I37" s="245">
        <v>45536</v>
      </c>
      <c r="J37" s="245">
        <v>45566</v>
      </c>
      <c r="K37" s="245">
        <v>45597</v>
      </c>
      <c r="L37" s="245">
        <v>45627</v>
      </c>
      <c r="M37" s="245">
        <v>45658</v>
      </c>
      <c r="N37" s="245">
        <v>45689</v>
      </c>
      <c r="O37" s="245">
        <v>45717</v>
      </c>
    </row>
    <row r="38" spans="1:15" ht="42">
      <c r="A38" s="160">
        <v>4</v>
      </c>
      <c r="B38" s="168" t="s">
        <v>123</v>
      </c>
      <c r="C38" s="156" t="s">
        <v>114</v>
      </c>
      <c r="D38" s="156" t="s">
        <v>114</v>
      </c>
      <c r="E38" s="156" t="s">
        <v>114</v>
      </c>
      <c r="F38" s="156" t="s">
        <v>114</v>
      </c>
      <c r="G38" s="156" t="s">
        <v>114</v>
      </c>
      <c r="H38" s="156" t="s">
        <v>114</v>
      </c>
      <c r="I38" s="156" t="s">
        <v>114</v>
      </c>
      <c r="J38" s="156" t="s">
        <v>114</v>
      </c>
      <c r="K38" s="156" t="s">
        <v>114</v>
      </c>
      <c r="L38" s="156" t="s">
        <v>114</v>
      </c>
      <c r="M38" s="156" t="s">
        <v>114</v>
      </c>
      <c r="N38" s="156" t="s">
        <v>114</v>
      </c>
      <c r="O38" s="156" t="s">
        <v>114</v>
      </c>
    </row>
    <row r="39" spans="1:15">
      <c r="A39" s="163">
        <v>4</v>
      </c>
      <c r="B39" s="172" t="s">
        <v>124</v>
      </c>
      <c r="C39" s="172" t="s">
        <v>124</v>
      </c>
      <c r="D39" s="172" t="s">
        <v>124</v>
      </c>
      <c r="E39" s="172" t="s">
        <v>124</v>
      </c>
      <c r="F39" s="172" t="s">
        <v>124</v>
      </c>
      <c r="G39" s="172" t="s">
        <v>124</v>
      </c>
      <c r="H39" s="172" t="s">
        <v>124</v>
      </c>
      <c r="I39" s="172" t="s">
        <v>124</v>
      </c>
      <c r="J39" s="172" t="s">
        <v>124</v>
      </c>
      <c r="K39" s="172" t="s">
        <v>124</v>
      </c>
      <c r="L39" s="172" t="s">
        <v>124</v>
      </c>
      <c r="M39" s="172" t="s">
        <v>124</v>
      </c>
      <c r="N39" s="172" t="s">
        <v>124</v>
      </c>
      <c r="O39" s="172" t="s">
        <v>124</v>
      </c>
    </row>
    <row r="40" spans="1:15">
      <c r="A40" s="163">
        <v>4</v>
      </c>
      <c r="B40" s="177" t="s">
        <v>125</v>
      </c>
      <c r="C40" s="249">
        <f>SUM(D40:O40)</f>
        <v>0</v>
      </c>
      <c r="D40" s="163"/>
      <c r="E40" s="163"/>
      <c r="F40" s="163"/>
      <c r="G40" s="163"/>
      <c r="H40" s="163"/>
      <c r="I40" s="163"/>
      <c r="J40" s="163"/>
      <c r="K40" s="163"/>
      <c r="L40" s="163"/>
      <c r="M40" s="163"/>
      <c r="N40" s="163"/>
      <c r="O40" s="163"/>
    </row>
    <row r="41" spans="1:15" ht="42">
      <c r="A41" s="163">
        <v>4</v>
      </c>
      <c r="B41" s="177" t="s">
        <v>126</v>
      </c>
      <c r="C41" s="249">
        <f>SUM(D41:O41)</f>
        <v>0</v>
      </c>
      <c r="D41" s="163"/>
      <c r="E41" s="163"/>
      <c r="F41" s="163"/>
      <c r="G41" s="163"/>
      <c r="H41" s="163"/>
      <c r="I41" s="163"/>
      <c r="J41" s="163"/>
      <c r="K41" s="163"/>
      <c r="L41" s="163"/>
      <c r="M41" s="163"/>
      <c r="N41" s="163"/>
      <c r="O41" s="163"/>
    </row>
    <row r="42" spans="1:15">
      <c r="A42" s="160">
        <v>4</v>
      </c>
      <c r="B42" s="172" t="s">
        <v>127</v>
      </c>
      <c r="C42" s="172" t="s">
        <v>127</v>
      </c>
      <c r="D42" s="172" t="s">
        <v>127</v>
      </c>
      <c r="E42" s="172" t="s">
        <v>127</v>
      </c>
      <c r="F42" s="172" t="s">
        <v>127</v>
      </c>
      <c r="G42" s="172" t="s">
        <v>127</v>
      </c>
      <c r="H42" s="172" t="s">
        <v>127</v>
      </c>
      <c r="I42" s="172" t="s">
        <v>127</v>
      </c>
      <c r="J42" s="172" t="s">
        <v>127</v>
      </c>
      <c r="K42" s="172" t="s">
        <v>127</v>
      </c>
      <c r="L42" s="172" t="s">
        <v>127</v>
      </c>
      <c r="M42" s="172" t="s">
        <v>127</v>
      </c>
      <c r="N42" s="172" t="s">
        <v>127</v>
      </c>
      <c r="O42" s="172" t="s">
        <v>127</v>
      </c>
    </row>
    <row r="43" spans="1:15">
      <c r="A43" s="163">
        <v>4</v>
      </c>
      <c r="B43" s="177" t="s">
        <v>128</v>
      </c>
      <c r="C43" s="249">
        <f>SUM(D43:O43)</f>
        <v>0</v>
      </c>
      <c r="D43" s="163"/>
      <c r="E43" s="163"/>
      <c r="F43" s="163"/>
      <c r="G43" s="163"/>
      <c r="H43" s="163"/>
      <c r="I43" s="163"/>
      <c r="J43" s="163"/>
      <c r="K43" s="163"/>
      <c r="L43" s="163"/>
      <c r="M43" s="163"/>
      <c r="N43" s="163"/>
      <c r="O43" s="163"/>
    </row>
    <row r="44" spans="1:15" ht="42">
      <c r="A44" s="163">
        <v>4</v>
      </c>
      <c r="B44" s="177" t="s">
        <v>129</v>
      </c>
      <c r="C44" s="249">
        <f>SUM(D44:O44)</f>
        <v>0</v>
      </c>
      <c r="D44" s="163"/>
      <c r="E44" s="163"/>
      <c r="F44" s="163"/>
      <c r="G44" s="163"/>
      <c r="H44" s="163"/>
      <c r="I44" s="163"/>
      <c r="J44" s="163"/>
      <c r="K44" s="163"/>
      <c r="L44" s="163"/>
      <c r="M44" s="163"/>
      <c r="N44" s="163"/>
      <c r="O44" s="163"/>
    </row>
    <row r="45" spans="1:15">
      <c r="A45" s="163">
        <v>4</v>
      </c>
      <c r="B45" s="172" t="s">
        <v>130</v>
      </c>
      <c r="C45" s="172" t="s">
        <v>130</v>
      </c>
      <c r="D45" s="172" t="s">
        <v>130</v>
      </c>
      <c r="E45" s="172" t="s">
        <v>130</v>
      </c>
      <c r="F45" s="172" t="s">
        <v>130</v>
      </c>
      <c r="G45" s="172" t="s">
        <v>130</v>
      </c>
      <c r="H45" s="172" t="s">
        <v>130</v>
      </c>
      <c r="I45" s="172" t="s">
        <v>130</v>
      </c>
      <c r="J45" s="172" t="s">
        <v>130</v>
      </c>
      <c r="K45" s="172" t="s">
        <v>130</v>
      </c>
      <c r="L45" s="172" t="s">
        <v>130</v>
      </c>
      <c r="M45" s="172" t="s">
        <v>130</v>
      </c>
      <c r="N45" s="172" t="s">
        <v>130</v>
      </c>
      <c r="O45" s="172" t="s">
        <v>130</v>
      </c>
    </row>
    <row r="46" spans="1:15">
      <c r="A46" s="163">
        <v>4</v>
      </c>
      <c r="B46" s="177" t="s">
        <v>128</v>
      </c>
      <c r="C46" s="249">
        <f>SUM(D46:O46)</f>
        <v>0</v>
      </c>
      <c r="D46" s="163"/>
      <c r="E46" s="163"/>
      <c r="F46" s="163"/>
      <c r="G46" s="163"/>
      <c r="H46" s="163"/>
      <c r="I46" s="163"/>
      <c r="J46" s="163"/>
      <c r="K46" s="163"/>
      <c r="L46" s="163"/>
      <c r="M46" s="163"/>
      <c r="N46" s="163"/>
      <c r="O46" s="163"/>
    </row>
    <row r="47" spans="1:15" ht="42">
      <c r="A47" s="160">
        <v>4</v>
      </c>
      <c r="B47" s="177" t="s">
        <v>126</v>
      </c>
      <c r="C47" s="249">
        <f>SUM(D47:O47)</f>
        <v>0</v>
      </c>
      <c r="D47" s="163"/>
      <c r="E47" s="163"/>
      <c r="F47" s="163"/>
      <c r="G47" s="163"/>
      <c r="H47" s="163"/>
      <c r="I47" s="163"/>
      <c r="J47" s="163"/>
      <c r="K47" s="163"/>
      <c r="L47" s="163"/>
      <c r="M47" s="163"/>
      <c r="N47" s="163"/>
      <c r="O47" s="163"/>
    </row>
    <row r="48" spans="1:15">
      <c r="A48" s="160">
        <v>4</v>
      </c>
      <c r="B48" s="172" t="s">
        <v>131</v>
      </c>
      <c r="C48" s="172" t="s">
        <v>131</v>
      </c>
      <c r="D48" s="172" t="s">
        <v>131</v>
      </c>
      <c r="E48" s="172" t="s">
        <v>131</v>
      </c>
      <c r="F48" s="172" t="s">
        <v>131</v>
      </c>
      <c r="G48" s="172" t="s">
        <v>131</v>
      </c>
      <c r="H48" s="172" t="s">
        <v>131</v>
      </c>
      <c r="I48" s="172" t="s">
        <v>131</v>
      </c>
      <c r="J48" s="172" t="s">
        <v>131</v>
      </c>
      <c r="K48" s="172" t="s">
        <v>131</v>
      </c>
      <c r="L48" s="172" t="s">
        <v>131</v>
      </c>
      <c r="M48" s="172" t="s">
        <v>131</v>
      </c>
      <c r="N48" s="172" t="s">
        <v>131</v>
      </c>
      <c r="O48" s="172" t="s">
        <v>131</v>
      </c>
    </row>
    <row r="49" spans="1:16">
      <c r="A49" s="160">
        <v>4</v>
      </c>
      <c r="B49" s="177" t="s">
        <v>128</v>
      </c>
      <c r="C49" s="249">
        <f>SUM(D49:O49)</f>
        <v>0</v>
      </c>
      <c r="D49" s="163"/>
      <c r="E49" s="163"/>
      <c r="F49" s="163"/>
      <c r="G49" s="163"/>
      <c r="H49" s="163"/>
      <c r="I49" s="163"/>
      <c r="J49" s="163"/>
      <c r="K49" s="163"/>
      <c r="L49" s="163"/>
      <c r="M49" s="163"/>
      <c r="N49" s="163"/>
      <c r="O49" s="163"/>
    </row>
    <row r="50" spans="1:16" ht="42">
      <c r="A50" s="160">
        <v>4</v>
      </c>
      <c r="B50" s="177" t="s">
        <v>126</v>
      </c>
      <c r="C50" s="249">
        <f>SUM(D50:O50)</f>
        <v>0</v>
      </c>
      <c r="D50" s="163"/>
      <c r="E50" s="163"/>
      <c r="F50" s="163"/>
      <c r="G50" s="163"/>
      <c r="H50" s="163"/>
      <c r="I50" s="163"/>
      <c r="J50" s="163"/>
      <c r="K50" s="163"/>
      <c r="L50" s="163"/>
      <c r="M50" s="163"/>
      <c r="N50" s="163"/>
      <c r="O50" s="163"/>
    </row>
    <row r="51" spans="1:16">
      <c r="A51" s="160">
        <v>4</v>
      </c>
      <c r="B51" s="172" t="s">
        <v>119</v>
      </c>
      <c r="C51" s="172" t="s">
        <v>119</v>
      </c>
      <c r="D51" s="172" t="s">
        <v>119</v>
      </c>
      <c r="E51" s="172" t="s">
        <v>119</v>
      </c>
      <c r="F51" s="172" t="s">
        <v>119</v>
      </c>
      <c r="G51" s="172" t="s">
        <v>119</v>
      </c>
      <c r="H51" s="172" t="s">
        <v>119</v>
      </c>
      <c r="I51" s="172" t="s">
        <v>119</v>
      </c>
      <c r="J51" s="172" t="s">
        <v>119</v>
      </c>
      <c r="K51" s="172" t="s">
        <v>119</v>
      </c>
      <c r="L51" s="172" t="s">
        <v>119</v>
      </c>
      <c r="M51" s="172" t="s">
        <v>119</v>
      </c>
      <c r="N51" s="172" t="s">
        <v>119</v>
      </c>
      <c r="O51" s="172" t="s">
        <v>119</v>
      </c>
    </row>
    <row r="52" spans="1:16">
      <c r="A52" s="160">
        <v>4</v>
      </c>
      <c r="B52" s="177" t="s">
        <v>128</v>
      </c>
      <c r="C52" s="249">
        <f>SUM(D52:O52)</f>
        <v>0</v>
      </c>
      <c r="D52" s="163"/>
      <c r="E52" s="163"/>
      <c r="F52" s="163"/>
      <c r="G52" s="163"/>
      <c r="H52" s="163"/>
      <c r="I52" s="163"/>
      <c r="J52" s="163"/>
      <c r="K52" s="163"/>
      <c r="L52" s="163"/>
      <c r="M52" s="163"/>
      <c r="N52" s="163"/>
      <c r="O52" s="163"/>
    </row>
    <row r="53" spans="1:16" ht="42">
      <c r="A53" s="160">
        <v>4</v>
      </c>
      <c r="B53" s="177" t="s">
        <v>126</v>
      </c>
      <c r="C53" s="249">
        <f>SUM(D53:O53)</f>
        <v>0</v>
      </c>
      <c r="D53" s="163"/>
      <c r="E53" s="163"/>
      <c r="F53" s="163"/>
      <c r="G53" s="163"/>
      <c r="H53" s="163"/>
      <c r="I53" s="163"/>
      <c r="J53" s="163"/>
      <c r="K53" s="163"/>
      <c r="L53" s="163"/>
      <c r="M53" s="163"/>
      <c r="N53" s="163"/>
      <c r="O53" s="163"/>
    </row>
    <row r="54" spans="1:16" ht="42.75" customHeight="1">
      <c r="A54" s="160">
        <v>4</v>
      </c>
      <c r="B54" s="172" t="s">
        <v>132</v>
      </c>
      <c r="C54" s="249">
        <f>SUM(D54:O54)</f>
        <v>0</v>
      </c>
      <c r="D54" s="182">
        <f>D40+D41+D43+D44+D46+D47+D49+D50+D52+D53</f>
        <v>0</v>
      </c>
      <c r="E54" s="182">
        <f t="shared" ref="E54:O54" si="2">E40+E41+E43+E44+E46+E47+E49+E50+E52+E53</f>
        <v>0</v>
      </c>
      <c r="F54" s="182">
        <f t="shared" si="2"/>
        <v>0</v>
      </c>
      <c r="G54" s="182">
        <f t="shared" si="2"/>
        <v>0</v>
      </c>
      <c r="H54" s="182">
        <f t="shared" si="2"/>
        <v>0</v>
      </c>
      <c r="I54" s="182">
        <f t="shared" si="2"/>
        <v>0</v>
      </c>
      <c r="J54" s="182">
        <f t="shared" si="2"/>
        <v>0</v>
      </c>
      <c r="K54" s="182">
        <f t="shared" si="2"/>
        <v>0</v>
      </c>
      <c r="L54" s="182">
        <f t="shared" si="2"/>
        <v>0</v>
      </c>
      <c r="M54" s="182">
        <f t="shared" si="2"/>
        <v>0</v>
      </c>
      <c r="N54" s="182">
        <f t="shared" si="2"/>
        <v>0</v>
      </c>
      <c r="O54" s="182">
        <f t="shared" si="2"/>
        <v>0</v>
      </c>
    </row>
    <row r="55" spans="1:16" s="207" customFormat="1">
      <c r="A55" s="173"/>
      <c r="B55" s="173"/>
      <c r="D55" s="173"/>
      <c r="E55" s="173"/>
      <c r="F55" s="173"/>
    </row>
    <row r="56" spans="1:16" s="207" customFormat="1" ht="46.5" customHeight="1">
      <c r="A56" s="183">
        <v>1</v>
      </c>
      <c r="B56" s="449" t="s">
        <v>133</v>
      </c>
      <c r="C56" s="449"/>
      <c r="D56" s="449"/>
      <c r="E56" s="173"/>
      <c r="F56" s="173"/>
    </row>
    <row r="57" spans="1:16" s="207" customFormat="1">
      <c r="A57" s="183"/>
      <c r="B57" s="184"/>
      <c r="C57" s="156" t="s">
        <v>487</v>
      </c>
      <c r="D57" s="156" t="s">
        <v>488</v>
      </c>
      <c r="E57" s="173"/>
      <c r="F57" s="173"/>
    </row>
    <row r="58" spans="1:16" s="207" customFormat="1">
      <c r="A58" s="160">
        <v>1</v>
      </c>
      <c r="B58" s="168" t="s">
        <v>134</v>
      </c>
      <c r="C58" s="185" t="s">
        <v>135</v>
      </c>
      <c r="D58" s="254" t="s">
        <v>135</v>
      </c>
      <c r="E58" s="173"/>
      <c r="F58" s="173"/>
    </row>
    <row r="59" spans="1:16" s="207" customFormat="1">
      <c r="A59" s="160">
        <v>1</v>
      </c>
      <c r="B59" s="168" t="s">
        <v>136</v>
      </c>
      <c r="C59" s="185" t="s">
        <v>137</v>
      </c>
      <c r="D59" s="254" t="s">
        <v>137</v>
      </c>
      <c r="E59" s="173"/>
      <c r="F59" s="173"/>
    </row>
    <row r="60" spans="1:16" s="207" customFormat="1" ht="42">
      <c r="A60" s="160">
        <v>1</v>
      </c>
      <c r="B60" s="186" t="s">
        <v>138</v>
      </c>
      <c r="C60" s="187"/>
      <c r="D60" s="188"/>
      <c r="E60" s="173"/>
      <c r="F60" s="173"/>
    </row>
    <row r="61" spans="1:16" s="207" customFormat="1">
      <c r="A61" s="160">
        <v>1</v>
      </c>
      <c r="B61" s="172" t="s">
        <v>139</v>
      </c>
      <c r="C61" s="156" t="s">
        <v>487</v>
      </c>
      <c r="D61" s="156" t="s">
        <v>488</v>
      </c>
      <c r="E61" s="245">
        <v>45383</v>
      </c>
      <c r="F61" s="245">
        <v>45413</v>
      </c>
      <c r="G61" s="245">
        <v>45444</v>
      </c>
      <c r="H61" s="245">
        <v>45474</v>
      </c>
      <c r="I61" s="245">
        <v>45505</v>
      </c>
      <c r="J61" s="245">
        <v>45536</v>
      </c>
      <c r="K61" s="245">
        <v>45566</v>
      </c>
      <c r="L61" s="245">
        <v>45597</v>
      </c>
      <c r="M61" s="245">
        <v>45627</v>
      </c>
      <c r="N61" s="245">
        <v>45658</v>
      </c>
      <c r="O61" s="245">
        <v>45689</v>
      </c>
      <c r="P61" s="245">
        <v>45717</v>
      </c>
    </row>
    <row r="62" spans="1:16" s="207" customFormat="1">
      <c r="A62" s="160">
        <v>1</v>
      </c>
      <c r="B62" s="449" t="s">
        <v>140</v>
      </c>
      <c r="C62" s="449"/>
      <c r="D62" s="449"/>
      <c r="E62" s="156" t="s">
        <v>114</v>
      </c>
      <c r="F62" s="156" t="s">
        <v>114</v>
      </c>
      <c r="G62" s="156" t="s">
        <v>114</v>
      </c>
      <c r="H62" s="156" t="s">
        <v>114</v>
      </c>
      <c r="I62" s="156" t="s">
        <v>114</v>
      </c>
      <c r="J62" s="156" t="s">
        <v>114</v>
      </c>
      <c r="K62" s="156" t="s">
        <v>114</v>
      </c>
      <c r="L62" s="156" t="s">
        <v>114</v>
      </c>
      <c r="M62" s="156" t="s">
        <v>114</v>
      </c>
      <c r="N62" s="156" t="s">
        <v>114</v>
      </c>
      <c r="O62" s="156" t="s">
        <v>114</v>
      </c>
      <c r="P62" s="156" t="s">
        <v>114</v>
      </c>
    </row>
    <row r="63" spans="1:16" s="207" customFormat="1">
      <c r="A63" s="160">
        <v>1</v>
      </c>
      <c r="B63" s="168" t="s">
        <v>115</v>
      </c>
      <c r="C63" s="174">
        <v>0</v>
      </c>
      <c r="D63" s="206">
        <f t="shared" ref="D63:D68" si="3">SUM(E63:P63)</f>
        <v>0</v>
      </c>
      <c r="E63" s="205"/>
      <c r="F63" s="205"/>
      <c r="G63" s="205"/>
      <c r="H63" s="205"/>
      <c r="I63" s="205"/>
      <c r="J63" s="205"/>
      <c r="K63" s="205"/>
      <c r="L63" s="205"/>
      <c r="M63" s="205"/>
      <c r="N63" s="205"/>
      <c r="O63" s="205"/>
      <c r="P63" s="205"/>
    </row>
    <row r="64" spans="1:16" s="207" customFormat="1">
      <c r="A64" s="160">
        <v>1</v>
      </c>
      <c r="B64" s="168" t="s">
        <v>141</v>
      </c>
      <c r="C64" s="174"/>
      <c r="D64" s="384">
        <f t="shared" si="3"/>
        <v>672</v>
      </c>
      <c r="E64" s="205">
        <v>0</v>
      </c>
      <c r="F64" s="205">
        <v>0</v>
      </c>
      <c r="G64" s="205">
        <v>0</v>
      </c>
      <c r="H64" s="205">
        <v>0</v>
      </c>
      <c r="I64" s="205">
        <v>0</v>
      </c>
      <c r="J64" s="205">
        <v>0</v>
      </c>
      <c r="K64" s="205">
        <v>0</v>
      </c>
      <c r="L64" s="205">
        <v>0</v>
      </c>
      <c r="M64" s="205">
        <v>0</v>
      </c>
      <c r="N64" s="205">
        <v>562</v>
      </c>
      <c r="O64" s="205">
        <v>52</v>
      </c>
      <c r="P64" s="205">
        <f>[2]Water!$AD$54</f>
        <v>58</v>
      </c>
    </row>
    <row r="65" spans="1:16" s="207" customFormat="1">
      <c r="A65" s="160">
        <v>1</v>
      </c>
      <c r="B65" s="168" t="s">
        <v>117</v>
      </c>
      <c r="C65" s="174"/>
      <c r="D65" s="206">
        <f t="shared" si="3"/>
        <v>37608.409999999996</v>
      </c>
      <c r="E65" s="205">
        <v>3205.63</v>
      </c>
      <c r="F65" s="205">
        <v>3601.84</v>
      </c>
      <c r="G65" s="205">
        <v>3591.81</v>
      </c>
      <c r="H65" s="205">
        <v>4259.13</v>
      </c>
      <c r="I65" s="205">
        <v>2279.5500000000002</v>
      </c>
      <c r="J65" s="205">
        <v>2259.98</v>
      </c>
      <c r="K65" s="205">
        <v>2454.89</v>
      </c>
      <c r="L65" s="205">
        <v>1644.18</v>
      </c>
      <c r="M65" s="205">
        <v>1573.99</v>
      </c>
      <c r="N65" s="205">
        <v>3458.49</v>
      </c>
      <c r="O65" s="205">
        <v>4148.92</v>
      </c>
      <c r="P65" s="365">
        <f>[2]Water!$AD$55</f>
        <v>5130</v>
      </c>
    </row>
    <row r="66" spans="1:16" s="207" customFormat="1">
      <c r="A66" s="160">
        <v>1</v>
      </c>
      <c r="B66" s="168" t="s">
        <v>142</v>
      </c>
      <c r="C66" s="174">
        <v>0</v>
      </c>
      <c r="D66" s="206">
        <f t="shared" si="3"/>
        <v>0</v>
      </c>
      <c r="E66" s="205"/>
      <c r="F66" s="205"/>
      <c r="G66" s="205"/>
      <c r="H66" s="205"/>
      <c r="I66" s="205"/>
      <c r="J66" s="205"/>
      <c r="K66" s="205"/>
      <c r="L66" s="205"/>
      <c r="M66" s="205"/>
      <c r="N66" s="205"/>
      <c r="O66" s="205"/>
      <c r="P66" s="205"/>
    </row>
    <row r="67" spans="1:16" s="207" customFormat="1">
      <c r="A67" s="160">
        <v>1</v>
      </c>
      <c r="B67" s="168" t="s">
        <v>516</v>
      </c>
      <c r="C67" s="174">
        <v>0</v>
      </c>
      <c r="D67" s="206">
        <f t="shared" si="3"/>
        <v>3294.6809999999996</v>
      </c>
      <c r="E67" s="205">
        <v>612.88</v>
      </c>
      <c r="F67" s="205">
        <v>391.4</v>
      </c>
      <c r="G67" s="205">
        <v>410.3</v>
      </c>
      <c r="H67" s="205">
        <v>417.84</v>
      </c>
      <c r="I67" s="205">
        <v>224.8</v>
      </c>
      <c r="J67" s="205">
        <v>547.46100000000001</v>
      </c>
      <c r="K67" s="205">
        <v>0</v>
      </c>
      <c r="L67" s="205">
        <v>115</v>
      </c>
      <c r="M67" s="205">
        <v>116</v>
      </c>
      <c r="N67" s="205">
        <v>149</v>
      </c>
      <c r="O67" s="205">
        <v>194</v>
      </c>
      <c r="P67" s="205">
        <f>[2]Water!$AD$56</f>
        <v>116</v>
      </c>
    </row>
    <row r="68" spans="1:16" s="207" customFormat="1" ht="42">
      <c r="A68" s="160">
        <v>1</v>
      </c>
      <c r="B68" s="172" t="s">
        <v>143</v>
      </c>
      <c r="C68" s="184">
        <f>SUM(C63:C67)</f>
        <v>0</v>
      </c>
      <c r="D68" s="206">
        <f t="shared" si="3"/>
        <v>41575.091</v>
      </c>
      <c r="E68" s="206">
        <f>SUM(E63:E67)</f>
        <v>3818.51</v>
      </c>
      <c r="F68" s="206">
        <f t="shared" ref="F68:P68" si="4">SUM(F63:F67)</f>
        <v>3993.2400000000002</v>
      </c>
      <c r="G68" s="206">
        <f t="shared" si="4"/>
        <v>4002.11</v>
      </c>
      <c r="H68" s="206">
        <f t="shared" si="4"/>
        <v>4676.97</v>
      </c>
      <c r="I68" s="206">
        <f t="shared" si="4"/>
        <v>2504.3500000000004</v>
      </c>
      <c r="J68" s="206">
        <f t="shared" si="4"/>
        <v>2807.4409999999998</v>
      </c>
      <c r="K68" s="206">
        <f t="shared" si="4"/>
        <v>2454.89</v>
      </c>
      <c r="L68" s="206">
        <f t="shared" si="4"/>
        <v>1759.18</v>
      </c>
      <c r="M68" s="206">
        <f t="shared" si="4"/>
        <v>1689.99</v>
      </c>
      <c r="N68" s="206">
        <f t="shared" si="4"/>
        <v>4169.49</v>
      </c>
      <c r="O68" s="206">
        <f t="shared" si="4"/>
        <v>4394.92</v>
      </c>
      <c r="P68" s="206">
        <f t="shared" si="4"/>
        <v>5304</v>
      </c>
    </row>
    <row r="69" spans="1:16" s="207" customFormat="1">
      <c r="A69" s="174"/>
      <c r="B69" s="179"/>
      <c r="C69" s="184"/>
      <c r="D69" s="189"/>
      <c r="E69" s="173"/>
      <c r="F69" s="173"/>
    </row>
    <row r="70" spans="1:16" s="207" customFormat="1" ht="69" customHeight="1">
      <c r="A70" s="160">
        <v>1</v>
      </c>
      <c r="B70" s="172" t="s">
        <v>144</v>
      </c>
      <c r="C70" s="174" t="s">
        <v>88</v>
      </c>
      <c r="D70" s="206">
        <f>SUM(E70:P70)</f>
        <v>82478.182000000001</v>
      </c>
      <c r="E70" s="206">
        <f t="shared" ref="E70:P70" si="5">SUM(E65:E69)</f>
        <v>7637.02</v>
      </c>
      <c r="F70" s="206">
        <f t="shared" si="5"/>
        <v>7986.4800000000005</v>
      </c>
      <c r="G70" s="206">
        <f t="shared" si="5"/>
        <v>8004.22</v>
      </c>
      <c r="H70" s="206">
        <f t="shared" si="5"/>
        <v>9353.94</v>
      </c>
      <c r="I70" s="206">
        <f t="shared" si="5"/>
        <v>5008.7000000000007</v>
      </c>
      <c r="J70" s="206">
        <f t="shared" si="5"/>
        <v>5614.8819999999996</v>
      </c>
      <c r="K70" s="206">
        <f t="shared" si="5"/>
        <v>4909.78</v>
      </c>
      <c r="L70" s="206">
        <f t="shared" si="5"/>
        <v>3518.36</v>
      </c>
      <c r="M70" s="206">
        <f t="shared" si="5"/>
        <v>3379.98</v>
      </c>
      <c r="N70" s="206">
        <f t="shared" si="5"/>
        <v>7776.98</v>
      </c>
      <c r="O70" s="206">
        <f t="shared" si="5"/>
        <v>8737.84</v>
      </c>
      <c r="P70" s="206">
        <f t="shared" si="5"/>
        <v>10550</v>
      </c>
    </row>
    <row r="71" spans="1:16" s="207" customFormat="1">
      <c r="A71" s="160"/>
      <c r="B71" s="172"/>
      <c r="C71" s="174"/>
      <c r="D71" s="161"/>
      <c r="E71" s="173"/>
      <c r="F71" s="173"/>
    </row>
    <row r="72" spans="1:16" s="207" customFormat="1">
      <c r="A72" s="174"/>
      <c r="B72" s="179"/>
      <c r="C72" s="156" t="s">
        <v>487</v>
      </c>
      <c r="D72" s="156" t="s">
        <v>488</v>
      </c>
      <c r="E72" s="245">
        <v>45383</v>
      </c>
      <c r="F72" s="245">
        <v>45413</v>
      </c>
      <c r="G72" s="245">
        <v>45444</v>
      </c>
      <c r="H72" s="245">
        <v>45474</v>
      </c>
      <c r="I72" s="245">
        <v>45505</v>
      </c>
      <c r="J72" s="245">
        <v>45536</v>
      </c>
      <c r="K72" s="245">
        <v>45566</v>
      </c>
      <c r="L72" s="245">
        <v>45597</v>
      </c>
      <c r="M72" s="245">
        <v>45627</v>
      </c>
      <c r="N72" s="245">
        <v>45658</v>
      </c>
      <c r="O72" s="245">
        <v>45689</v>
      </c>
      <c r="P72" s="245">
        <v>45717</v>
      </c>
    </row>
    <row r="73" spans="1:16" s="207" customFormat="1">
      <c r="A73" s="160">
        <v>1</v>
      </c>
      <c r="B73" s="449" t="s">
        <v>145</v>
      </c>
      <c r="C73" s="449"/>
      <c r="D73" s="449"/>
      <c r="E73" s="156" t="s">
        <v>114</v>
      </c>
      <c r="F73" s="156" t="s">
        <v>114</v>
      </c>
      <c r="G73" s="156" t="s">
        <v>114</v>
      </c>
      <c r="H73" s="156" t="s">
        <v>114</v>
      </c>
      <c r="I73" s="156" t="s">
        <v>114</v>
      </c>
      <c r="J73" s="156" t="s">
        <v>114</v>
      </c>
      <c r="K73" s="156" t="s">
        <v>114</v>
      </c>
      <c r="L73" s="156" t="s">
        <v>114</v>
      </c>
      <c r="M73" s="156" t="s">
        <v>114</v>
      </c>
      <c r="N73" s="156" t="s">
        <v>114</v>
      </c>
      <c r="O73" s="156" t="s">
        <v>114</v>
      </c>
      <c r="P73" s="156" t="s">
        <v>114</v>
      </c>
    </row>
    <row r="74" spans="1:16" s="207" customFormat="1">
      <c r="A74" s="160">
        <v>1</v>
      </c>
      <c r="B74" s="172" t="s">
        <v>124</v>
      </c>
      <c r="C74" s="172" t="s">
        <v>124</v>
      </c>
      <c r="D74" s="172" t="s">
        <v>124</v>
      </c>
      <c r="E74" s="172" t="s">
        <v>124</v>
      </c>
      <c r="F74" s="172" t="s">
        <v>124</v>
      </c>
      <c r="G74" s="172" t="s">
        <v>124</v>
      </c>
      <c r="H74" s="172" t="s">
        <v>124</v>
      </c>
      <c r="I74" s="172" t="s">
        <v>124</v>
      </c>
      <c r="J74" s="172" t="s">
        <v>124</v>
      </c>
      <c r="K74" s="172" t="s">
        <v>124</v>
      </c>
      <c r="L74" s="172" t="s">
        <v>124</v>
      </c>
      <c r="M74" s="172" t="s">
        <v>124</v>
      </c>
      <c r="N74" s="172" t="s">
        <v>124</v>
      </c>
      <c r="O74" s="172" t="s">
        <v>124</v>
      </c>
      <c r="P74" s="172" t="s">
        <v>124</v>
      </c>
    </row>
    <row r="75" spans="1:16" s="207" customFormat="1">
      <c r="A75" s="160">
        <v>1</v>
      </c>
      <c r="B75" s="190" t="s">
        <v>128</v>
      </c>
      <c r="C75" s="163">
        <v>0</v>
      </c>
      <c r="D75" s="249">
        <f>SUM(E75:P75)</f>
        <v>0</v>
      </c>
      <c r="E75" s="163"/>
      <c r="F75" s="163"/>
      <c r="G75" s="163"/>
      <c r="H75" s="163"/>
      <c r="I75" s="163"/>
      <c r="J75" s="163"/>
      <c r="K75" s="163"/>
      <c r="L75" s="163"/>
      <c r="M75" s="163"/>
      <c r="N75" s="163"/>
      <c r="O75" s="163"/>
      <c r="P75" s="163"/>
    </row>
    <row r="76" spans="1:16" s="207" customFormat="1" ht="42">
      <c r="A76" s="160">
        <v>1</v>
      </c>
      <c r="B76" s="190" t="s">
        <v>146</v>
      </c>
      <c r="C76" s="163">
        <v>0</v>
      </c>
      <c r="D76" s="249">
        <f>SUM(E76:P76)</f>
        <v>0</v>
      </c>
      <c r="E76" s="163"/>
      <c r="F76" s="163"/>
      <c r="G76" s="163"/>
      <c r="H76" s="163"/>
      <c r="I76" s="163"/>
      <c r="J76" s="163"/>
      <c r="K76" s="163"/>
      <c r="L76" s="163"/>
      <c r="M76" s="163"/>
      <c r="N76" s="163"/>
      <c r="O76" s="163"/>
      <c r="P76" s="163"/>
    </row>
    <row r="77" spans="1:16" s="207" customFormat="1">
      <c r="A77" s="160">
        <v>1</v>
      </c>
      <c r="B77" s="172" t="s">
        <v>127</v>
      </c>
      <c r="C77" s="172" t="s">
        <v>127</v>
      </c>
      <c r="D77" s="172" t="s">
        <v>127</v>
      </c>
      <c r="E77" s="172" t="s">
        <v>127</v>
      </c>
      <c r="F77" s="172" t="s">
        <v>127</v>
      </c>
      <c r="G77" s="172" t="s">
        <v>127</v>
      </c>
      <c r="H77" s="172" t="s">
        <v>127</v>
      </c>
      <c r="I77" s="172" t="s">
        <v>127</v>
      </c>
      <c r="J77" s="172" t="s">
        <v>127</v>
      </c>
      <c r="K77" s="172" t="s">
        <v>127</v>
      </c>
      <c r="L77" s="172" t="s">
        <v>127</v>
      </c>
      <c r="M77" s="172" t="s">
        <v>127</v>
      </c>
      <c r="N77" s="172" t="s">
        <v>127</v>
      </c>
      <c r="O77" s="172" t="s">
        <v>127</v>
      </c>
      <c r="P77" s="172" t="s">
        <v>127</v>
      </c>
    </row>
    <row r="78" spans="1:16" s="207" customFormat="1">
      <c r="A78" s="160">
        <v>1</v>
      </c>
      <c r="B78" s="190" t="s">
        <v>128</v>
      </c>
      <c r="C78" s="163">
        <v>0</v>
      </c>
      <c r="D78" s="249">
        <f>SUM(E78:P78)</f>
        <v>0</v>
      </c>
      <c r="E78" s="163"/>
      <c r="F78" s="163"/>
      <c r="G78" s="163"/>
      <c r="H78" s="163"/>
      <c r="I78" s="163"/>
      <c r="J78" s="163"/>
      <c r="K78" s="163"/>
      <c r="L78" s="163"/>
      <c r="M78" s="163"/>
      <c r="N78" s="163"/>
      <c r="O78" s="163"/>
      <c r="P78" s="163"/>
    </row>
    <row r="79" spans="1:16" s="207" customFormat="1" ht="42">
      <c r="A79" s="160">
        <v>1</v>
      </c>
      <c r="B79" s="190" t="s">
        <v>146</v>
      </c>
      <c r="C79" s="163">
        <v>0</v>
      </c>
      <c r="D79" s="249">
        <f>SUM(E79:P79)</f>
        <v>0</v>
      </c>
      <c r="E79" s="163"/>
      <c r="F79" s="163"/>
      <c r="G79" s="163"/>
      <c r="H79" s="163"/>
      <c r="I79" s="163"/>
      <c r="J79" s="163"/>
      <c r="K79" s="163"/>
      <c r="L79" s="163"/>
      <c r="M79" s="163"/>
      <c r="N79" s="163"/>
      <c r="O79" s="163"/>
      <c r="P79" s="163"/>
    </row>
    <row r="80" spans="1:16" s="207" customFormat="1">
      <c r="A80" s="160">
        <v>1</v>
      </c>
      <c r="B80" s="172" t="s">
        <v>130</v>
      </c>
      <c r="C80" s="172" t="s">
        <v>130</v>
      </c>
      <c r="D80" s="172" t="s">
        <v>130</v>
      </c>
      <c r="E80" s="172" t="s">
        <v>130</v>
      </c>
      <c r="F80" s="172" t="s">
        <v>130</v>
      </c>
      <c r="G80" s="172" t="s">
        <v>130</v>
      </c>
      <c r="H80" s="172" t="s">
        <v>130</v>
      </c>
      <c r="I80" s="172" t="s">
        <v>130</v>
      </c>
      <c r="J80" s="172" t="s">
        <v>130</v>
      </c>
      <c r="K80" s="172" t="s">
        <v>130</v>
      </c>
      <c r="L80" s="172" t="s">
        <v>130</v>
      </c>
      <c r="M80" s="172" t="s">
        <v>130</v>
      </c>
      <c r="N80" s="172" t="s">
        <v>130</v>
      </c>
      <c r="O80" s="172" t="s">
        <v>130</v>
      </c>
      <c r="P80" s="172" t="s">
        <v>130</v>
      </c>
    </row>
    <row r="81" spans="1:16" s="207" customFormat="1">
      <c r="A81" s="160">
        <v>1</v>
      </c>
      <c r="B81" s="190" t="s">
        <v>128</v>
      </c>
      <c r="C81" s="163">
        <v>0</v>
      </c>
      <c r="D81" s="249">
        <f>SUM(E81:P81)</f>
        <v>0</v>
      </c>
      <c r="E81" s="163"/>
      <c r="F81" s="163"/>
      <c r="G81" s="163"/>
      <c r="H81" s="163"/>
      <c r="I81" s="163"/>
      <c r="J81" s="163"/>
      <c r="K81" s="163"/>
      <c r="L81" s="163"/>
      <c r="M81" s="163"/>
      <c r="N81" s="163"/>
      <c r="O81" s="163"/>
      <c r="P81" s="163"/>
    </row>
    <row r="82" spans="1:16" s="207" customFormat="1" ht="42">
      <c r="A82" s="160">
        <v>1</v>
      </c>
      <c r="B82" s="190" t="s">
        <v>146</v>
      </c>
      <c r="C82" s="163">
        <v>0</v>
      </c>
      <c r="D82" s="249">
        <f>SUM(E82:P82)</f>
        <v>0</v>
      </c>
      <c r="E82" s="163"/>
      <c r="F82" s="163"/>
      <c r="G82" s="163"/>
      <c r="H82" s="163"/>
      <c r="I82" s="163"/>
      <c r="J82" s="163"/>
      <c r="K82" s="163"/>
      <c r="L82" s="163"/>
      <c r="M82" s="163"/>
      <c r="N82" s="163"/>
      <c r="O82" s="163"/>
      <c r="P82" s="163"/>
    </row>
    <row r="83" spans="1:16" s="207" customFormat="1">
      <c r="A83" s="160">
        <v>1</v>
      </c>
      <c r="B83" s="172" t="s">
        <v>131</v>
      </c>
      <c r="C83" s="172" t="s">
        <v>131</v>
      </c>
      <c r="D83" s="172" t="s">
        <v>131</v>
      </c>
      <c r="E83" s="172" t="s">
        <v>131</v>
      </c>
      <c r="F83" s="172" t="s">
        <v>131</v>
      </c>
      <c r="G83" s="172" t="s">
        <v>131</v>
      </c>
      <c r="H83" s="172" t="s">
        <v>131</v>
      </c>
      <c r="I83" s="172" t="s">
        <v>131</v>
      </c>
      <c r="J83" s="172" t="s">
        <v>131</v>
      </c>
      <c r="K83" s="172" t="s">
        <v>131</v>
      </c>
      <c r="L83" s="172" t="s">
        <v>131</v>
      </c>
      <c r="M83" s="172" t="s">
        <v>131</v>
      </c>
      <c r="N83" s="172" t="s">
        <v>131</v>
      </c>
      <c r="O83" s="172" t="s">
        <v>131</v>
      </c>
      <c r="P83" s="172" t="s">
        <v>131</v>
      </c>
    </row>
    <row r="84" spans="1:16" s="207" customFormat="1">
      <c r="A84" s="160">
        <v>1</v>
      </c>
      <c r="B84" s="190" t="s">
        <v>128</v>
      </c>
      <c r="C84" s="163">
        <v>0</v>
      </c>
      <c r="D84" s="249">
        <f>SUM(E84:P84)</f>
        <v>0</v>
      </c>
      <c r="E84" s="163"/>
      <c r="F84" s="163"/>
      <c r="G84" s="163"/>
      <c r="H84" s="163"/>
      <c r="I84" s="163"/>
      <c r="J84" s="163"/>
      <c r="K84" s="163"/>
      <c r="L84" s="163"/>
      <c r="M84" s="163"/>
      <c r="N84" s="163"/>
      <c r="O84" s="163"/>
      <c r="P84" s="163"/>
    </row>
    <row r="85" spans="1:16" s="207" customFormat="1" ht="42">
      <c r="A85" s="160">
        <v>1</v>
      </c>
      <c r="B85" s="190" t="s">
        <v>146</v>
      </c>
      <c r="C85" s="163">
        <v>0</v>
      </c>
      <c r="D85" s="249">
        <f>SUM(E85:P85)</f>
        <v>0</v>
      </c>
      <c r="E85" s="163"/>
      <c r="F85" s="163"/>
      <c r="G85" s="163"/>
      <c r="H85" s="163"/>
      <c r="I85" s="163"/>
      <c r="J85" s="163"/>
      <c r="K85" s="163"/>
      <c r="L85" s="163"/>
      <c r="M85" s="163"/>
      <c r="N85" s="163"/>
      <c r="O85" s="163"/>
      <c r="P85" s="163"/>
    </row>
    <row r="86" spans="1:16" s="207" customFormat="1">
      <c r="A86" s="160">
        <v>1</v>
      </c>
      <c r="B86" s="172" t="s">
        <v>119</v>
      </c>
      <c r="C86" s="172" t="s">
        <v>119</v>
      </c>
      <c r="D86" s="172" t="s">
        <v>119</v>
      </c>
      <c r="E86" s="172" t="s">
        <v>119</v>
      </c>
      <c r="F86" s="172" t="s">
        <v>119</v>
      </c>
      <c r="G86" s="172" t="s">
        <v>119</v>
      </c>
      <c r="H86" s="172" t="s">
        <v>119</v>
      </c>
      <c r="I86" s="172" t="s">
        <v>119</v>
      </c>
      <c r="J86" s="172" t="s">
        <v>119</v>
      </c>
      <c r="K86" s="172" t="s">
        <v>119</v>
      </c>
      <c r="L86" s="172" t="s">
        <v>119</v>
      </c>
      <c r="M86" s="172" t="s">
        <v>119</v>
      </c>
      <c r="N86" s="172" t="s">
        <v>119</v>
      </c>
      <c r="O86" s="172" t="s">
        <v>119</v>
      </c>
      <c r="P86" s="172" t="s">
        <v>119</v>
      </c>
    </row>
    <row r="87" spans="1:16" s="207" customFormat="1">
      <c r="A87" s="160">
        <v>1</v>
      </c>
      <c r="B87" s="190" t="s">
        <v>128</v>
      </c>
      <c r="C87" s="163">
        <v>0</v>
      </c>
      <c r="D87" s="249">
        <f>SUM(E87:P87)</f>
        <v>0</v>
      </c>
      <c r="E87" s="163"/>
      <c r="F87" s="163"/>
      <c r="G87" s="163"/>
      <c r="H87" s="163"/>
      <c r="I87" s="163"/>
      <c r="J87" s="163"/>
      <c r="K87" s="163"/>
      <c r="L87" s="163"/>
      <c r="M87" s="163"/>
      <c r="N87" s="163"/>
      <c r="O87" s="163"/>
      <c r="P87" s="163"/>
    </row>
    <row r="88" spans="1:16" s="207" customFormat="1" ht="42">
      <c r="A88" s="160"/>
      <c r="B88" s="190" t="s">
        <v>146</v>
      </c>
      <c r="C88" s="163">
        <v>0</v>
      </c>
      <c r="D88" s="249">
        <f>SUM(E88:P88)</f>
        <v>0</v>
      </c>
      <c r="E88" s="163"/>
      <c r="F88" s="163"/>
      <c r="G88" s="163"/>
      <c r="H88" s="163"/>
      <c r="I88" s="163"/>
      <c r="J88" s="163"/>
      <c r="K88" s="163"/>
      <c r="L88" s="163"/>
      <c r="M88" s="163"/>
      <c r="N88" s="163"/>
      <c r="O88" s="163"/>
      <c r="P88" s="163"/>
    </row>
    <row r="89" spans="1:16" s="207" customFormat="1">
      <c r="A89" s="160">
        <v>1</v>
      </c>
      <c r="B89" s="172" t="s">
        <v>147</v>
      </c>
      <c r="C89" s="182">
        <f>C87+C85+C84+C82+C81+C79+C78+C76+C75</f>
        <v>0</v>
      </c>
      <c r="D89" s="182">
        <f>SUM(E89:P89)</f>
        <v>0</v>
      </c>
      <c r="E89" s="182">
        <f t="shared" ref="E89:P89" si="6">E75+E76+E78+E79+E81+E82+E84+E85+E87+E88</f>
        <v>0</v>
      </c>
      <c r="F89" s="182">
        <f t="shared" si="6"/>
        <v>0</v>
      </c>
      <c r="G89" s="182">
        <f t="shared" si="6"/>
        <v>0</v>
      </c>
      <c r="H89" s="182">
        <f t="shared" si="6"/>
        <v>0</v>
      </c>
      <c r="I89" s="182">
        <f t="shared" si="6"/>
        <v>0</v>
      </c>
      <c r="J89" s="182">
        <f t="shared" si="6"/>
        <v>0</v>
      </c>
      <c r="K89" s="182">
        <f t="shared" si="6"/>
        <v>0</v>
      </c>
      <c r="L89" s="182">
        <f t="shared" si="6"/>
        <v>0</v>
      </c>
      <c r="M89" s="182">
        <f t="shared" si="6"/>
        <v>0</v>
      </c>
      <c r="N89" s="182">
        <f t="shared" si="6"/>
        <v>0</v>
      </c>
      <c r="O89" s="182">
        <f t="shared" si="6"/>
        <v>0</v>
      </c>
      <c r="P89" s="182">
        <f t="shared" si="6"/>
        <v>0</v>
      </c>
    </row>
    <row r="90" spans="1:16" s="207" customFormat="1">
      <c r="A90" s="173"/>
      <c r="B90" s="173"/>
      <c r="D90" s="157"/>
      <c r="E90" s="173"/>
      <c r="F90" s="173"/>
    </row>
    <row r="91" spans="1:16" ht="52.5" customHeight="1">
      <c r="A91" s="160">
        <v>6</v>
      </c>
      <c r="B91" s="445" t="s">
        <v>148</v>
      </c>
      <c r="C91" s="445"/>
      <c r="D91" s="161"/>
      <c r="E91" s="161"/>
      <c r="F91" s="161"/>
    </row>
    <row r="92" spans="1:16">
      <c r="A92" s="160">
        <v>6</v>
      </c>
      <c r="B92" s="191" t="s">
        <v>139</v>
      </c>
      <c r="C92" s="192" t="s">
        <v>149</v>
      </c>
      <c r="D92" s="443" t="s">
        <v>518</v>
      </c>
      <c r="E92" s="460"/>
      <c r="F92" s="443" t="s">
        <v>519</v>
      </c>
      <c r="G92" s="444"/>
      <c r="H92" s="457" t="s">
        <v>520</v>
      </c>
      <c r="I92" s="457"/>
      <c r="J92" s="457" t="s">
        <v>521</v>
      </c>
      <c r="K92" s="457"/>
      <c r="L92" s="457" t="s">
        <v>522</v>
      </c>
      <c r="M92" s="457"/>
      <c r="N92" s="157" t="s">
        <v>150</v>
      </c>
    </row>
    <row r="93" spans="1:16">
      <c r="A93" s="160"/>
      <c r="B93" s="191"/>
      <c r="C93" s="192"/>
      <c r="D93" s="192" t="s">
        <v>151</v>
      </c>
      <c r="E93" s="192" t="s">
        <v>152</v>
      </c>
      <c r="F93" s="192" t="s">
        <v>151</v>
      </c>
      <c r="G93" s="352" t="s">
        <v>152</v>
      </c>
      <c r="H93" s="353" t="s">
        <v>151</v>
      </c>
      <c r="I93" s="353" t="s">
        <v>152</v>
      </c>
      <c r="J93" s="353" t="s">
        <v>151</v>
      </c>
      <c r="K93" s="353" t="s">
        <v>152</v>
      </c>
      <c r="L93" s="353" t="s">
        <v>151</v>
      </c>
      <c r="M93" s="353" t="s">
        <v>152</v>
      </c>
    </row>
    <row r="94" spans="1:16">
      <c r="A94" s="160">
        <v>6</v>
      </c>
      <c r="B94" s="193" t="s">
        <v>153</v>
      </c>
      <c r="C94" s="163" t="s">
        <v>154</v>
      </c>
      <c r="D94" s="163">
        <v>0.36</v>
      </c>
      <c r="E94" s="360">
        <f>SUM('[1]Air Emissions'!$O$7:$O$8)</f>
        <v>4.8092552499999996</v>
      </c>
      <c r="F94" s="360">
        <f>SUM('[1]Air Emissions'!$O$9:$O$10)</f>
        <v>0.42626592030000005</v>
      </c>
      <c r="G94" s="364">
        <f>SUM('[1]Air Emissions'!$O$11:$O$12)</f>
        <v>0.43596434700000009</v>
      </c>
      <c r="H94" s="361">
        <f>SUM('[1]Air Emissions'!$O$13:$O$17)</f>
        <v>1.2010829760000001</v>
      </c>
      <c r="I94" s="361">
        <f>SUM('[2]Air Emissions'!$O$18:$O$22)</f>
        <v>0.21665689199999999</v>
      </c>
      <c r="J94" s="354">
        <v>0</v>
      </c>
      <c r="K94" s="361">
        <f>SUM('[1]Air Emissions'!$O$27:$O$30)</f>
        <v>1.194246951</v>
      </c>
      <c r="L94" s="354">
        <f>SUM('[2]Air Emissions'!$O$35:$O$43)</f>
        <v>280.81121447779998</v>
      </c>
      <c r="M94" s="354">
        <f>SUM('[2]Air Emissions'!$O$44:$O$52)</f>
        <v>43.691389059999999</v>
      </c>
    </row>
    <row r="95" spans="1:16">
      <c r="A95" s="160">
        <v>6</v>
      </c>
      <c r="B95" s="193" t="s">
        <v>155</v>
      </c>
      <c r="C95" s="163" t="s">
        <v>154</v>
      </c>
      <c r="D95" s="163">
        <v>0.23</v>
      </c>
      <c r="E95" s="360">
        <f>SUM('[1]Air Emissions'!$N$7:$N$8)</f>
        <v>2.843432</v>
      </c>
      <c r="F95" s="360">
        <f>SUM('[1]Air Emissions'!$N$9:$N$10)</f>
        <v>0.26880715360000002</v>
      </c>
      <c r="G95" s="364">
        <f>SUM('[1]Air Emissions'!$N$11:$N$12)</f>
        <v>0.27947430000000001</v>
      </c>
      <c r="H95" s="361">
        <f>SUM('[1]Air Emissions'!$N$13:$N$17)</f>
        <v>0.86425531200000005</v>
      </c>
      <c r="I95" s="361">
        <f>SUM('[2]Air Emissions'!$N$18:$N$22)</f>
        <v>0.15498452400000001</v>
      </c>
      <c r="J95" s="354">
        <v>0</v>
      </c>
      <c r="K95" s="361">
        <f>SUM('[1]Air Emissions'!$N$27:$N$30)</f>
        <v>0.49106509499999995</v>
      </c>
      <c r="L95" s="354">
        <f>SUM('[2]Air Emissions'!$N$35:$N$43)</f>
        <v>18.8319737602</v>
      </c>
      <c r="M95" s="354">
        <f>SUM('[2]Air Emissions'!$N$44:$N$52)</f>
        <v>2.5562646399999998</v>
      </c>
    </row>
    <row r="96" spans="1:16">
      <c r="A96" s="160">
        <v>6</v>
      </c>
      <c r="B96" s="193" t="s">
        <v>156</v>
      </c>
      <c r="C96" s="163" t="s">
        <v>154</v>
      </c>
      <c r="D96" s="360">
        <f>SUM('[1]Air Emissions'!$P$5:$P$6)</f>
        <v>0.29276055140000001</v>
      </c>
      <c r="E96" s="360">
        <f>SUM('[1]Air Emissions'!$P$7:$P$8)</f>
        <v>4.1779918616666665</v>
      </c>
      <c r="F96" s="360">
        <f>SUM('[1]Air Emissions'!$P$9:$P$10)</f>
        <v>0.35099859850000004</v>
      </c>
      <c r="G96" s="364">
        <f>SUM('[1]Air Emissions'!$P$11:$P$12)</f>
        <v>0.38192005950000002</v>
      </c>
      <c r="H96" s="361">
        <f>SUM('[1]Air Emissions'!$P$13:$P$17)</f>
        <v>2.2873160880000003</v>
      </c>
      <c r="I96" s="361">
        <f>SUM('[2]Air Emissions'!$P$18:$P$22)</f>
        <v>0.40195341600000001</v>
      </c>
      <c r="J96" s="354">
        <v>0</v>
      </c>
      <c r="K96" s="361">
        <f>SUM('[1]Air Emissions'!$P$27:$P$30)</f>
        <v>1.027112679</v>
      </c>
      <c r="L96" s="354">
        <f>SUM('[2]Air Emissions'!$P$35:$P$43)</f>
        <v>35.426568687599996</v>
      </c>
      <c r="M96" s="354">
        <f>SUM('[2]Air Emissions'!$P$44:$P$52)</f>
        <v>4.9731207000000008</v>
      </c>
    </row>
    <row r="97" spans="1:10" s="207" customFormat="1">
      <c r="A97" s="450"/>
      <c r="B97" s="450"/>
      <c r="C97" s="450"/>
      <c r="D97" s="450"/>
      <c r="F97" s="173"/>
    </row>
    <row r="98" spans="1:10" s="207" customFormat="1" ht="21" customHeight="1">
      <c r="A98" s="194"/>
      <c r="B98" s="461" t="s">
        <v>157</v>
      </c>
      <c r="C98" s="462"/>
      <c r="D98" s="463"/>
      <c r="F98" s="173"/>
    </row>
    <row r="99" spans="1:10" s="207" customFormat="1">
      <c r="A99" s="194"/>
      <c r="B99" s="464"/>
      <c r="C99" s="465"/>
      <c r="D99" s="466"/>
      <c r="F99" s="173"/>
    </row>
    <row r="100" spans="1:10" s="207" customFormat="1">
      <c r="A100" s="194"/>
      <c r="B100" s="195" t="s">
        <v>75</v>
      </c>
      <c r="C100" s="192" t="s">
        <v>158</v>
      </c>
      <c r="D100" s="192" t="s">
        <v>149</v>
      </c>
      <c r="E100" s="156" t="s">
        <v>518</v>
      </c>
      <c r="F100" s="156" t="s">
        <v>519</v>
      </c>
      <c r="G100" s="156" t="s">
        <v>490</v>
      </c>
      <c r="H100" s="156" t="s">
        <v>491</v>
      </c>
      <c r="I100" s="156" t="s">
        <v>492</v>
      </c>
      <c r="J100" s="157" t="s">
        <v>150</v>
      </c>
    </row>
    <row r="101" spans="1:10" s="207" customFormat="1">
      <c r="A101" s="194"/>
      <c r="B101" s="455" t="s">
        <v>159</v>
      </c>
      <c r="C101" s="163" t="s">
        <v>160</v>
      </c>
      <c r="D101" s="163" t="s">
        <v>154</v>
      </c>
      <c r="E101" s="163">
        <v>0</v>
      </c>
      <c r="F101" s="163">
        <v>0</v>
      </c>
      <c r="G101" s="163"/>
      <c r="H101" s="163"/>
      <c r="I101" s="163"/>
    </row>
    <row r="102" spans="1:10" s="207" customFormat="1">
      <c r="A102" s="194"/>
      <c r="B102" s="455"/>
      <c r="C102" s="163" t="s">
        <v>161</v>
      </c>
      <c r="D102" s="163" t="s">
        <v>154</v>
      </c>
      <c r="E102" s="163">
        <v>0</v>
      </c>
      <c r="F102" s="163">
        <v>0</v>
      </c>
      <c r="G102" s="163"/>
      <c r="H102" s="163"/>
      <c r="I102" s="163"/>
    </row>
    <row r="103" spans="1:10" s="207" customFormat="1">
      <c r="A103" s="194"/>
      <c r="B103" s="455"/>
      <c r="C103" s="163" t="s">
        <v>162</v>
      </c>
      <c r="D103" s="163" t="s">
        <v>154</v>
      </c>
      <c r="E103" s="163">
        <v>0</v>
      </c>
      <c r="F103" s="163">
        <v>40</v>
      </c>
      <c r="G103" s="163"/>
      <c r="H103" s="163"/>
      <c r="I103" s="163"/>
    </row>
    <row r="104" spans="1:10" s="207" customFormat="1">
      <c r="A104" s="194"/>
      <c r="B104" s="455"/>
      <c r="C104" s="163" t="s">
        <v>163</v>
      </c>
      <c r="D104" s="163" t="s">
        <v>154</v>
      </c>
      <c r="E104" s="163">
        <v>10</v>
      </c>
      <c r="F104" s="163">
        <v>0</v>
      </c>
      <c r="G104" s="163"/>
      <c r="H104" s="163"/>
      <c r="I104" s="163"/>
    </row>
    <row r="105" spans="1:10" s="207" customFormat="1" ht="42">
      <c r="A105" s="194"/>
      <c r="B105" s="455"/>
      <c r="C105" s="267" t="s">
        <v>523</v>
      </c>
      <c r="D105" s="163" t="s">
        <v>154</v>
      </c>
      <c r="E105" s="163">
        <v>0</v>
      </c>
      <c r="F105" s="163">
        <v>0.75</v>
      </c>
      <c r="G105" s="163"/>
      <c r="H105" s="163"/>
      <c r="I105" s="163"/>
    </row>
    <row r="106" spans="1:10" s="207" customFormat="1">
      <c r="A106" s="194"/>
      <c r="B106" s="268" t="s">
        <v>165</v>
      </c>
      <c r="C106" s="267" t="s">
        <v>165</v>
      </c>
      <c r="D106" s="163" t="s">
        <v>154</v>
      </c>
      <c r="E106" s="163">
        <v>22.5</v>
      </c>
      <c r="F106" s="163">
        <v>400</v>
      </c>
      <c r="G106" s="163"/>
      <c r="H106" s="163"/>
      <c r="I106" s="163"/>
    </row>
    <row r="107" spans="1:10" s="207" customFormat="1">
      <c r="A107" s="450"/>
      <c r="B107" s="450"/>
      <c r="C107" s="450"/>
      <c r="D107" s="450"/>
      <c r="E107" s="197"/>
      <c r="F107" s="173"/>
    </row>
    <row r="108" spans="1:10" ht="84">
      <c r="A108" s="183">
        <v>12</v>
      </c>
      <c r="B108" s="172" t="s">
        <v>166</v>
      </c>
      <c r="C108" s="161"/>
    </row>
    <row r="109" spans="1:10" ht="42">
      <c r="A109" s="160">
        <v>12</v>
      </c>
      <c r="B109" s="156" t="s">
        <v>167</v>
      </c>
      <c r="C109" s="156" t="s">
        <v>168</v>
      </c>
      <c r="D109" s="156" t="s">
        <v>169</v>
      </c>
      <c r="E109" s="156" t="s">
        <v>85</v>
      </c>
      <c r="F109" s="156" t="s">
        <v>170</v>
      </c>
      <c r="G109" s="192" t="s">
        <v>487</v>
      </c>
    </row>
    <row r="110" spans="1:10" ht="63">
      <c r="A110" s="167">
        <v>12</v>
      </c>
      <c r="B110" s="177" t="s">
        <v>533</v>
      </c>
      <c r="C110" s="177" t="s">
        <v>534</v>
      </c>
      <c r="D110" s="177" t="s">
        <v>535</v>
      </c>
      <c r="E110" s="177" t="s">
        <v>89</v>
      </c>
      <c r="F110" s="177" t="s">
        <v>89</v>
      </c>
      <c r="G110" s="158"/>
    </row>
    <row r="111" spans="1:10" ht="42">
      <c r="A111" s="307"/>
      <c r="B111" s="366" t="s">
        <v>536</v>
      </c>
      <c r="C111" s="366" t="s">
        <v>537</v>
      </c>
      <c r="D111" s="366" t="s">
        <v>538</v>
      </c>
      <c r="E111" s="366" t="s">
        <v>89</v>
      </c>
      <c r="F111" s="366" t="s">
        <v>539</v>
      </c>
    </row>
    <row r="112" spans="1:10" ht="42">
      <c r="A112" s="307"/>
      <c r="B112" s="366" t="s">
        <v>542</v>
      </c>
      <c r="C112" s="366" t="s">
        <v>543</v>
      </c>
      <c r="D112" s="369" t="s">
        <v>544</v>
      </c>
      <c r="E112" s="366" t="s">
        <v>89</v>
      </c>
      <c r="F112" s="366" t="s">
        <v>89</v>
      </c>
    </row>
    <row r="113" spans="1:13">
      <c r="A113" s="307"/>
      <c r="B113" s="161"/>
      <c r="C113" s="161"/>
      <c r="D113" s="161"/>
      <c r="E113" s="161"/>
      <c r="F113" s="161"/>
    </row>
    <row r="114" spans="1:13" s="207" customFormat="1">
      <c r="A114" s="173"/>
      <c r="B114" s="173"/>
      <c r="C114" s="449" t="s">
        <v>488</v>
      </c>
      <c r="D114" s="449"/>
      <c r="E114" s="449"/>
      <c r="F114" s="156" t="s">
        <v>487</v>
      </c>
      <c r="G114" s="157"/>
      <c r="H114" s="157"/>
    </row>
    <row r="115" spans="1:13" ht="105">
      <c r="A115" s="167">
        <v>6</v>
      </c>
      <c r="B115" s="172" t="s">
        <v>171</v>
      </c>
      <c r="C115" s="448" t="s">
        <v>526</v>
      </c>
      <c r="D115" s="448"/>
      <c r="E115" s="448"/>
      <c r="F115" s="198"/>
    </row>
    <row r="116" spans="1:13">
      <c r="A116" s="307"/>
      <c r="B116" s="311"/>
      <c r="C116" s="161"/>
      <c r="D116" s="161"/>
      <c r="E116" s="161"/>
      <c r="F116" s="308"/>
    </row>
    <row r="117" spans="1:13">
      <c r="A117" s="307"/>
      <c r="B117" s="311"/>
      <c r="C117" s="161"/>
      <c r="D117" s="161"/>
      <c r="E117" s="161"/>
      <c r="F117" s="308"/>
    </row>
    <row r="118" spans="1:13">
      <c r="A118" s="307"/>
      <c r="B118" s="311"/>
      <c r="C118" s="161"/>
      <c r="D118" s="161"/>
      <c r="E118" s="161"/>
      <c r="F118" s="308"/>
    </row>
    <row r="119" spans="1:13" s="207" customFormat="1">
      <c r="A119" s="309"/>
      <c r="B119" s="310"/>
      <c r="C119" s="449" t="s">
        <v>488</v>
      </c>
      <c r="D119" s="449"/>
      <c r="E119" s="449"/>
      <c r="F119" s="156" t="s">
        <v>487</v>
      </c>
    </row>
    <row r="120" spans="1:13" ht="89.25" customHeight="1">
      <c r="A120" s="160">
        <v>7</v>
      </c>
      <c r="B120" s="172" t="s">
        <v>173</v>
      </c>
      <c r="C120" s="448"/>
      <c r="D120" s="448"/>
      <c r="E120" s="448"/>
      <c r="F120" s="185" t="s">
        <v>174</v>
      </c>
    </row>
    <row r="122" spans="1:13">
      <c r="B122" s="436" t="s">
        <v>493</v>
      </c>
      <c r="C122" s="436"/>
      <c r="D122" s="436"/>
      <c r="E122" s="436"/>
      <c r="F122" s="435" t="s">
        <v>494</v>
      </c>
      <c r="G122" s="435"/>
      <c r="H122" s="435" t="s">
        <v>495</v>
      </c>
      <c r="I122" s="435"/>
      <c r="J122" s="435" t="s">
        <v>496</v>
      </c>
      <c r="K122" s="435"/>
      <c r="L122" s="435" t="s">
        <v>497</v>
      </c>
      <c r="M122" s="435"/>
    </row>
    <row r="123" spans="1:13">
      <c r="B123" s="436"/>
      <c r="C123" s="436"/>
      <c r="D123" s="436"/>
      <c r="E123" s="436"/>
      <c r="F123" s="435"/>
      <c r="G123" s="435"/>
      <c r="H123" s="435"/>
      <c r="I123" s="435"/>
      <c r="J123" s="435"/>
      <c r="K123" s="435"/>
      <c r="L123" s="435"/>
      <c r="M123" s="435"/>
    </row>
    <row r="124" spans="1:13">
      <c r="B124" s="208" t="s">
        <v>175</v>
      </c>
      <c r="C124" s="208" t="s">
        <v>175</v>
      </c>
      <c r="D124" s="208" t="s">
        <v>175</v>
      </c>
      <c r="E124" s="208" t="s">
        <v>175</v>
      </c>
      <c r="F124" s="208" t="s">
        <v>175</v>
      </c>
      <c r="G124" s="208" t="s">
        <v>175</v>
      </c>
      <c r="H124" s="208" t="s">
        <v>175</v>
      </c>
      <c r="I124" s="208" t="s">
        <v>175</v>
      </c>
      <c r="J124" s="208" t="s">
        <v>175</v>
      </c>
      <c r="K124" s="208" t="s">
        <v>175</v>
      </c>
      <c r="L124" s="208" t="s">
        <v>175</v>
      </c>
      <c r="M124" s="208" t="s">
        <v>175</v>
      </c>
    </row>
    <row r="125" spans="1:13">
      <c r="B125" s="208"/>
      <c r="C125" s="208" t="s">
        <v>100</v>
      </c>
      <c r="D125" s="208" t="s">
        <v>176</v>
      </c>
      <c r="E125" s="208" t="s">
        <v>177</v>
      </c>
      <c r="F125" s="208" t="s">
        <v>176</v>
      </c>
      <c r="G125" s="208" t="s">
        <v>177</v>
      </c>
      <c r="H125" s="208" t="s">
        <v>176</v>
      </c>
      <c r="I125" s="208" t="s">
        <v>177</v>
      </c>
      <c r="J125" s="208" t="s">
        <v>176</v>
      </c>
      <c r="K125" s="208" t="s">
        <v>177</v>
      </c>
      <c r="L125" s="208" t="s">
        <v>176</v>
      </c>
      <c r="M125" s="208" t="s">
        <v>177</v>
      </c>
    </row>
    <row r="126" spans="1:13">
      <c r="B126" s="208" t="s">
        <v>531</v>
      </c>
      <c r="C126" s="208" t="s">
        <v>178</v>
      </c>
      <c r="D126" s="208" t="s">
        <v>178</v>
      </c>
      <c r="E126" s="208" t="s">
        <v>178</v>
      </c>
      <c r="F126" s="208" t="s">
        <v>178</v>
      </c>
      <c r="G126" s="208" t="s">
        <v>178</v>
      </c>
      <c r="H126" s="208" t="s">
        <v>178</v>
      </c>
      <c r="I126" s="208" t="s">
        <v>178</v>
      </c>
      <c r="J126" s="208" t="s">
        <v>178</v>
      </c>
      <c r="K126" s="208" t="s">
        <v>178</v>
      </c>
      <c r="L126" s="208" t="s">
        <v>178</v>
      </c>
      <c r="M126" s="208" t="s">
        <v>178</v>
      </c>
    </row>
    <row r="127" spans="1:13">
      <c r="B127" s="199" t="s">
        <v>179</v>
      </c>
      <c r="C127" s="200" t="s">
        <v>180</v>
      </c>
      <c r="D127" s="422">
        <f>SUM(F127:M127)</f>
        <v>3.8300000000000004E-4</v>
      </c>
      <c r="E127" s="423"/>
      <c r="F127" s="430">
        <v>0</v>
      </c>
      <c r="G127" s="431"/>
      <c r="H127" s="430">
        <f>SUM('[2]Hazard Waste'!$AT$77:$AV$77)</f>
        <v>3.5E-4</v>
      </c>
      <c r="I127" s="431"/>
      <c r="J127" s="430">
        <f>SUM('[2]Hazard Waste'!$AW$77:$AY$77)</f>
        <v>2.9999999999999997E-5</v>
      </c>
      <c r="K127" s="431"/>
      <c r="L127" s="430">
        <f>SUM('[2]Hazard Waste'!$AZ$77:$BB$77)</f>
        <v>3.0000000000000001E-6</v>
      </c>
      <c r="M127" s="431"/>
    </row>
    <row r="128" spans="1:13">
      <c r="B128" s="201" t="s">
        <v>181</v>
      </c>
      <c r="C128" s="202" t="s">
        <v>180</v>
      </c>
      <c r="D128" s="257">
        <f t="shared" ref="D128:E133" si="7">SUM(F128+H128+J128+L128)</f>
        <v>0</v>
      </c>
      <c r="E128" s="257">
        <f t="shared" si="7"/>
        <v>0</v>
      </c>
      <c r="F128" s="203"/>
      <c r="G128" s="203"/>
      <c r="H128" s="203"/>
      <c r="I128" s="203"/>
      <c r="J128" s="203"/>
      <c r="K128" s="203"/>
      <c r="L128" s="203"/>
      <c r="M128" s="203"/>
    </row>
    <row r="129" spans="2:13">
      <c r="B129" s="201" t="s">
        <v>182</v>
      </c>
      <c r="C129" s="202" t="s">
        <v>180</v>
      </c>
      <c r="D129" s="257">
        <f t="shared" si="7"/>
        <v>0</v>
      </c>
      <c r="E129" s="257">
        <f t="shared" si="7"/>
        <v>0</v>
      </c>
      <c r="F129" s="203"/>
      <c r="G129" s="203"/>
      <c r="H129" s="203"/>
      <c r="I129" s="203"/>
      <c r="J129" s="203"/>
      <c r="K129" s="203"/>
      <c r="L129" s="203"/>
      <c r="M129" s="203"/>
    </row>
    <row r="130" spans="2:13">
      <c r="B130" s="201" t="s">
        <v>183</v>
      </c>
      <c r="C130" s="202" t="s">
        <v>180</v>
      </c>
      <c r="D130" s="257">
        <f t="shared" si="7"/>
        <v>0</v>
      </c>
      <c r="E130" s="257">
        <f t="shared" si="7"/>
        <v>0</v>
      </c>
      <c r="F130" s="203"/>
      <c r="G130" s="203"/>
      <c r="H130" s="203"/>
      <c r="I130" s="203"/>
      <c r="J130" s="203"/>
      <c r="K130" s="203"/>
      <c r="L130" s="203"/>
      <c r="M130" s="203"/>
    </row>
    <row r="131" spans="2:13">
      <c r="B131" s="204" t="s">
        <v>184</v>
      </c>
      <c r="C131" s="202" t="s">
        <v>180</v>
      </c>
      <c r="D131" s="257">
        <f t="shared" si="7"/>
        <v>3.8300000000000004E-4</v>
      </c>
      <c r="E131" s="257">
        <f t="shared" si="7"/>
        <v>0</v>
      </c>
      <c r="F131" s="424"/>
      <c r="G131" s="425"/>
      <c r="H131" s="426">
        <v>3.5E-4</v>
      </c>
      <c r="I131" s="427"/>
      <c r="J131" s="426">
        <f>SUM('[2]Hazard Waste'!$AW$77:$AY$77)</f>
        <v>2.9999999999999997E-5</v>
      </c>
      <c r="K131" s="427"/>
      <c r="L131" s="426">
        <v>3.0000000000000001E-6</v>
      </c>
      <c r="M131" s="427"/>
    </row>
    <row r="132" spans="2:13">
      <c r="B132" s="196" t="s">
        <v>185</v>
      </c>
      <c r="C132" s="202" t="s">
        <v>180</v>
      </c>
      <c r="D132" s="257">
        <f t="shared" si="7"/>
        <v>0</v>
      </c>
      <c r="E132" s="257">
        <f t="shared" si="7"/>
        <v>0</v>
      </c>
      <c r="F132" s="203"/>
      <c r="G132" s="203"/>
      <c r="H132" s="203"/>
      <c r="I132" s="203"/>
      <c r="J132" s="203"/>
      <c r="K132" s="203"/>
      <c r="L132" s="203"/>
      <c r="M132" s="203"/>
    </row>
    <row r="133" spans="2:13">
      <c r="B133" s="196" t="s">
        <v>186</v>
      </c>
      <c r="C133" s="202" t="s">
        <v>180</v>
      </c>
      <c r="D133" s="257">
        <f t="shared" si="7"/>
        <v>0</v>
      </c>
      <c r="E133" s="257">
        <f t="shared" si="7"/>
        <v>0</v>
      </c>
      <c r="F133" s="203"/>
      <c r="G133" s="203"/>
      <c r="H133" s="203"/>
      <c r="I133" s="203"/>
      <c r="J133" s="203"/>
      <c r="K133" s="203"/>
      <c r="L133" s="203"/>
      <c r="M133" s="203"/>
    </row>
    <row r="134" spans="2:13" ht="42">
      <c r="B134" s="255" t="s">
        <v>187</v>
      </c>
      <c r="C134" s="255" t="s">
        <v>187</v>
      </c>
      <c r="D134" s="255" t="s">
        <v>187</v>
      </c>
      <c r="E134" s="255" t="s">
        <v>187</v>
      </c>
      <c r="F134" s="255" t="s">
        <v>187</v>
      </c>
      <c r="G134" s="255" t="s">
        <v>187</v>
      </c>
      <c r="H134" s="255" t="s">
        <v>187</v>
      </c>
      <c r="I134" s="255" t="s">
        <v>187</v>
      </c>
      <c r="J134" s="255" t="s">
        <v>187</v>
      </c>
      <c r="K134" s="255" t="s">
        <v>187</v>
      </c>
      <c r="L134" s="255" t="s">
        <v>187</v>
      </c>
      <c r="M134" s="255" t="s">
        <v>187</v>
      </c>
    </row>
    <row r="135" spans="2:13">
      <c r="B135" s="199" t="s">
        <v>179</v>
      </c>
      <c r="C135" s="200" t="s">
        <v>180</v>
      </c>
      <c r="D135" s="422">
        <f>SUM(F135:M135)</f>
        <v>13.489000000000003</v>
      </c>
      <c r="E135" s="423"/>
      <c r="F135" s="424">
        <f>SUM('[2]Non -Hazard Waste'!$AQ$78:$AS$78)</f>
        <v>4.322000000000001</v>
      </c>
      <c r="G135" s="425"/>
      <c r="H135" s="430">
        <f>SUM('[2]Non -Hazard Waste'!$AT$78:$AV$78)</f>
        <v>3.1580000000000004</v>
      </c>
      <c r="I135" s="431"/>
      <c r="J135" s="430">
        <f>SUM('[2]Non -Hazard Waste'!$AW$78:$AY$78)</f>
        <v>2.7690000000000001</v>
      </c>
      <c r="K135" s="431"/>
      <c r="L135" s="430">
        <f>SUM('[2]Non -Hazard Waste'!$AZ$78:$BB$78)</f>
        <v>3.24</v>
      </c>
      <c r="M135" s="431"/>
    </row>
    <row r="136" spans="2:13">
      <c r="B136" s="201" t="s">
        <v>181</v>
      </c>
      <c r="C136" s="202" t="s">
        <v>180</v>
      </c>
      <c r="D136" s="257">
        <f>SUM(F135+H136+J136+L136)</f>
        <v>13.489000000000001</v>
      </c>
      <c r="E136" s="257">
        <f>SUM(G135+I136+K136+M136)</f>
        <v>0</v>
      </c>
      <c r="F136" s="428">
        <v>4.3220000000000001</v>
      </c>
      <c r="G136" s="429"/>
      <c r="H136" s="424">
        <v>3.1579999999999999</v>
      </c>
      <c r="I136" s="425"/>
      <c r="J136" s="424">
        <v>2.7690000000000001</v>
      </c>
      <c r="K136" s="425"/>
      <c r="L136" s="424">
        <v>3.24</v>
      </c>
      <c r="M136" s="425"/>
    </row>
    <row r="137" spans="2:13">
      <c r="B137" s="201" t="s">
        <v>182</v>
      </c>
      <c r="C137" s="202" t="s">
        <v>180</v>
      </c>
      <c r="D137" s="257">
        <f t="shared" ref="D137:E141" si="8">SUM(F137+H137+J137+L137)</f>
        <v>0</v>
      </c>
      <c r="E137" s="257">
        <f t="shared" si="8"/>
        <v>0</v>
      </c>
      <c r="F137" s="424"/>
      <c r="G137" s="425"/>
      <c r="H137" s="203"/>
      <c r="I137" s="203"/>
      <c r="J137" s="203"/>
      <c r="K137" s="203"/>
      <c r="L137" s="203"/>
      <c r="M137" s="203"/>
    </row>
    <row r="138" spans="2:13">
      <c r="B138" s="201" t="s">
        <v>183</v>
      </c>
      <c r="C138" s="202" t="s">
        <v>180</v>
      </c>
      <c r="D138" s="257">
        <f t="shared" si="8"/>
        <v>0</v>
      </c>
      <c r="E138" s="257">
        <f t="shared" si="8"/>
        <v>0</v>
      </c>
      <c r="F138" s="424"/>
      <c r="G138" s="425"/>
      <c r="H138" s="203"/>
      <c r="I138" s="203"/>
      <c r="J138" s="203"/>
      <c r="K138" s="203"/>
      <c r="L138" s="203"/>
      <c r="M138" s="203"/>
    </row>
    <row r="139" spans="2:13">
      <c r="B139" s="204" t="s">
        <v>184</v>
      </c>
      <c r="C139" s="202" t="s">
        <v>180</v>
      </c>
      <c r="D139" s="257">
        <f t="shared" si="8"/>
        <v>0</v>
      </c>
      <c r="E139" s="257">
        <f t="shared" si="8"/>
        <v>0</v>
      </c>
      <c r="F139" s="424"/>
      <c r="G139" s="425"/>
      <c r="H139" s="203"/>
      <c r="I139" s="203"/>
      <c r="J139" s="203"/>
      <c r="K139" s="203"/>
      <c r="L139" s="203"/>
      <c r="M139" s="203"/>
    </row>
    <row r="140" spans="2:13">
      <c r="B140" s="201" t="s">
        <v>185</v>
      </c>
      <c r="C140" s="202" t="s">
        <v>180</v>
      </c>
      <c r="D140" s="257">
        <f t="shared" si="8"/>
        <v>0</v>
      </c>
      <c r="E140" s="257">
        <f t="shared" si="8"/>
        <v>0</v>
      </c>
      <c r="F140" s="424"/>
      <c r="G140" s="425"/>
      <c r="H140" s="203"/>
      <c r="I140" s="203"/>
      <c r="J140" s="203"/>
      <c r="K140" s="203"/>
      <c r="L140" s="203"/>
      <c r="M140" s="203"/>
    </row>
    <row r="141" spans="2:13">
      <c r="B141" s="201" t="s">
        <v>186</v>
      </c>
      <c r="C141" s="202" t="s">
        <v>180</v>
      </c>
      <c r="D141" s="257">
        <f t="shared" si="8"/>
        <v>0</v>
      </c>
      <c r="E141" s="257">
        <f t="shared" si="8"/>
        <v>0</v>
      </c>
      <c r="F141" s="424"/>
      <c r="G141" s="425"/>
      <c r="H141" s="203"/>
      <c r="I141" s="203"/>
      <c r="J141" s="203"/>
      <c r="K141" s="203"/>
      <c r="L141" s="203"/>
      <c r="M141" s="203"/>
    </row>
    <row r="142" spans="2:13">
      <c r="B142" s="255" t="s">
        <v>527</v>
      </c>
      <c r="C142" s="255" t="s">
        <v>527</v>
      </c>
      <c r="D142" s="255" t="s">
        <v>527</v>
      </c>
      <c r="E142" s="255" t="s">
        <v>527</v>
      </c>
      <c r="F142" s="255" t="s">
        <v>527</v>
      </c>
      <c r="G142" s="255" t="s">
        <v>527</v>
      </c>
      <c r="H142" s="255" t="s">
        <v>527</v>
      </c>
      <c r="I142" s="255" t="s">
        <v>527</v>
      </c>
      <c r="J142" s="255" t="s">
        <v>527</v>
      </c>
      <c r="K142" s="255" t="s">
        <v>527</v>
      </c>
      <c r="L142" s="255" t="s">
        <v>527</v>
      </c>
      <c r="M142" s="255" t="s">
        <v>527</v>
      </c>
    </row>
    <row r="143" spans="2:13">
      <c r="B143" s="201" t="s">
        <v>179</v>
      </c>
      <c r="C143" s="200" t="s">
        <v>180</v>
      </c>
      <c r="D143" s="439">
        <f>SUM(F143:M143)</f>
        <v>0.13450000000000001</v>
      </c>
      <c r="E143" s="440"/>
      <c r="F143" s="430">
        <f>SUM('[2]Hazard Waste'!$AR$82:$AS$82)</f>
        <v>8.2500000000000004E-2</v>
      </c>
      <c r="G143" s="431"/>
      <c r="H143" s="430">
        <f>SUM('[2]Hazard Waste'!$AT$82:$AV$82)</f>
        <v>1.0999999999999999E-2</v>
      </c>
      <c r="I143" s="431"/>
      <c r="J143" s="430">
        <f>SUM('[2]Hazard Waste'!$AW$82:$AY$82)</f>
        <v>0.03</v>
      </c>
      <c r="K143" s="431"/>
      <c r="L143" s="430">
        <f>SUM('[2]Hazard Waste'!$AZ$82:$BB$82)</f>
        <v>1.0999999999999999E-2</v>
      </c>
      <c r="M143" s="431"/>
    </row>
    <row r="144" spans="2:13">
      <c r="B144" s="201" t="s">
        <v>181</v>
      </c>
      <c r="C144" s="202" t="s">
        <v>180</v>
      </c>
      <c r="D144" s="257">
        <f t="shared" ref="D144:E149" si="9">SUM(F144+H144+J144+L144)</f>
        <v>0</v>
      </c>
      <c r="E144" s="257">
        <f t="shared" si="9"/>
        <v>0</v>
      </c>
      <c r="F144" s="203"/>
      <c r="G144" s="203"/>
      <c r="H144" s="203"/>
      <c r="I144" s="203"/>
      <c r="J144" s="203"/>
      <c r="K144" s="203"/>
      <c r="L144" s="203"/>
      <c r="M144" s="203"/>
    </row>
    <row r="145" spans="2:13">
      <c r="B145" s="201" t="s">
        <v>182</v>
      </c>
      <c r="C145" s="202" t="s">
        <v>180</v>
      </c>
      <c r="D145" s="257">
        <f t="shared" si="9"/>
        <v>0</v>
      </c>
      <c r="E145" s="257">
        <f t="shared" si="9"/>
        <v>0</v>
      </c>
      <c r="F145" s="203"/>
      <c r="G145" s="203"/>
      <c r="H145" s="203"/>
      <c r="I145" s="203"/>
      <c r="J145" s="203"/>
      <c r="K145" s="203"/>
      <c r="L145" s="203"/>
      <c r="M145" s="203"/>
    </row>
    <row r="146" spans="2:13">
      <c r="B146" s="201" t="s">
        <v>183</v>
      </c>
      <c r="C146" s="202" t="s">
        <v>180</v>
      </c>
      <c r="D146" s="257">
        <f t="shared" si="9"/>
        <v>0</v>
      </c>
      <c r="E146" s="257">
        <f t="shared" si="9"/>
        <v>0</v>
      </c>
      <c r="F146" s="203"/>
      <c r="G146" s="203"/>
      <c r="H146" s="203"/>
      <c r="I146" s="203"/>
      <c r="J146" s="203"/>
      <c r="K146" s="203"/>
      <c r="L146" s="203"/>
      <c r="M146" s="203"/>
    </row>
    <row r="147" spans="2:13">
      <c r="B147" s="201" t="s">
        <v>184</v>
      </c>
      <c r="C147" s="202" t="s">
        <v>180</v>
      </c>
      <c r="D147" s="458">
        <f>SUM(F147+H147+J147+L147)</f>
        <v>0.13450000000000001</v>
      </c>
      <c r="E147" s="459"/>
      <c r="F147" s="424">
        <v>8.2500000000000004E-2</v>
      </c>
      <c r="G147" s="425"/>
      <c r="H147" s="424">
        <v>1.0999999999999999E-2</v>
      </c>
      <c r="I147" s="425"/>
      <c r="J147" s="424">
        <v>0.03</v>
      </c>
      <c r="K147" s="425"/>
      <c r="L147" s="424">
        <v>1.0999999999999999E-2</v>
      </c>
      <c r="M147" s="425"/>
    </row>
    <row r="148" spans="2:13">
      <c r="B148" s="201" t="s">
        <v>185</v>
      </c>
      <c r="C148" s="202" t="s">
        <v>180</v>
      </c>
      <c r="D148" s="257">
        <f t="shared" si="9"/>
        <v>0</v>
      </c>
      <c r="E148" s="257">
        <f t="shared" si="9"/>
        <v>0</v>
      </c>
      <c r="F148" s="203"/>
      <c r="G148" s="203"/>
      <c r="H148" s="203"/>
      <c r="I148" s="203"/>
      <c r="J148" s="203"/>
      <c r="K148" s="203"/>
      <c r="L148" s="203"/>
      <c r="M148" s="203"/>
    </row>
    <row r="149" spans="2:13">
      <c r="B149" s="201" t="s">
        <v>186</v>
      </c>
      <c r="C149" s="202" t="s">
        <v>180</v>
      </c>
      <c r="D149" s="257">
        <f t="shared" si="9"/>
        <v>0</v>
      </c>
      <c r="E149" s="257">
        <f t="shared" si="9"/>
        <v>0</v>
      </c>
      <c r="F149" s="203"/>
      <c r="G149" s="203"/>
      <c r="H149" s="203"/>
      <c r="I149" s="203"/>
      <c r="J149" s="203"/>
      <c r="K149" s="203"/>
      <c r="L149" s="203"/>
      <c r="M149" s="203"/>
    </row>
    <row r="150" spans="2:13" ht="42">
      <c r="B150" s="255" t="s">
        <v>189</v>
      </c>
      <c r="C150" s="255" t="s">
        <v>189</v>
      </c>
      <c r="D150" s="255" t="s">
        <v>189</v>
      </c>
      <c r="E150" s="255" t="s">
        <v>189</v>
      </c>
      <c r="F150" s="255" t="s">
        <v>189</v>
      </c>
      <c r="G150" s="255" t="s">
        <v>189</v>
      </c>
      <c r="H150" s="255" t="s">
        <v>189</v>
      </c>
      <c r="I150" s="255" t="s">
        <v>189</v>
      </c>
      <c r="J150" s="255" t="s">
        <v>189</v>
      </c>
      <c r="K150" s="255" t="s">
        <v>189</v>
      </c>
      <c r="L150" s="255" t="s">
        <v>189</v>
      </c>
      <c r="M150" s="255" t="s">
        <v>189</v>
      </c>
    </row>
    <row r="151" spans="2:13">
      <c r="B151" s="201" t="s">
        <v>179</v>
      </c>
      <c r="C151" s="200" t="s">
        <v>180</v>
      </c>
      <c r="D151" s="422">
        <f>SUM(F151:M151)</f>
        <v>14400</v>
      </c>
      <c r="E151" s="423"/>
      <c r="F151" s="430">
        <f>SUM('[2]Non -Hazard Waste'!$AQ$77:$AS$77)</f>
        <v>3054.6499999999996</v>
      </c>
      <c r="G151" s="431"/>
      <c r="H151" s="430">
        <f>SUM('[2]Non -Hazard Waste'!$AT$77:$AV$77)</f>
        <v>2789.45</v>
      </c>
      <c r="I151" s="431"/>
      <c r="J151" s="430">
        <f>SUM('[2]Non -Hazard Waste'!$AW$77:$AY$77)</f>
        <v>3915.15</v>
      </c>
      <c r="K151" s="431"/>
      <c r="L151" s="430">
        <f>SUM('[2]Non -Hazard Waste'!$AZ$77:$BB$77)</f>
        <v>4640.75</v>
      </c>
      <c r="M151" s="431"/>
    </row>
    <row r="152" spans="2:13">
      <c r="B152" s="201" t="s">
        <v>181</v>
      </c>
      <c r="C152" s="202" t="s">
        <v>180</v>
      </c>
      <c r="D152" s="257">
        <f t="shared" ref="D152:E157" si="10">SUM(F152+H152+J152+L152)</f>
        <v>0</v>
      </c>
      <c r="E152" s="257">
        <f t="shared" si="10"/>
        <v>0</v>
      </c>
      <c r="F152" s="203"/>
      <c r="G152" s="203"/>
      <c r="H152" s="203"/>
      <c r="I152" s="203"/>
      <c r="J152" s="203"/>
      <c r="K152" s="203"/>
      <c r="L152" s="203"/>
      <c r="M152" s="203"/>
    </row>
    <row r="153" spans="2:13">
      <c r="B153" s="201" t="s">
        <v>182</v>
      </c>
      <c r="C153" s="202" t="s">
        <v>180</v>
      </c>
      <c r="D153" s="257">
        <f t="shared" si="10"/>
        <v>15.5</v>
      </c>
      <c r="E153" s="257">
        <f t="shared" si="10"/>
        <v>0</v>
      </c>
      <c r="F153" s="424">
        <f>SUM('[2]Non -Hazard Waste'!$AQ$91:$AS$91)</f>
        <v>8.5</v>
      </c>
      <c r="G153" s="425"/>
      <c r="H153" s="424">
        <f>SUM('[2]Non -Hazard Waste'!$AT$91:$AV$91)</f>
        <v>4</v>
      </c>
      <c r="I153" s="425"/>
      <c r="J153" s="424">
        <f>SUM('[2]Non -Hazard Waste'!$AW$91:$AY$91)</f>
        <v>0</v>
      </c>
      <c r="K153" s="425"/>
      <c r="L153" s="424">
        <f>SUM('[2]Non -Hazard Waste'!$AZ$91:$BB$91)</f>
        <v>3</v>
      </c>
      <c r="M153" s="425"/>
    </row>
    <row r="154" spans="2:13">
      <c r="B154" s="201" t="s">
        <v>183</v>
      </c>
      <c r="C154" s="202" t="s">
        <v>180</v>
      </c>
      <c r="D154" s="257">
        <f t="shared" si="10"/>
        <v>0</v>
      </c>
      <c r="E154" s="257">
        <f t="shared" si="10"/>
        <v>0</v>
      </c>
      <c r="F154" s="203"/>
      <c r="G154" s="203"/>
      <c r="H154" s="203"/>
      <c r="I154" s="203"/>
      <c r="J154" s="203"/>
      <c r="K154" s="203"/>
      <c r="L154" s="203"/>
      <c r="M154" s="203"/>
    </row>
    <row r="155" spans="2:13">
      <c r="B155" s="201" t="s">
        <v>184</v>
      </c>
      <c r="C155" s="202" t="s">
        <v>180</v>
      </c>
      <c r="D155" s="257">
        <f t="shared" si="10"/>
        <v>0</v>
      </c>
      <c r="E155" s="257">
        <f t="shared" si="10"/>
        <v>0</v>
      </c>
      <c r="F155" s="203"/>
      <c r="G155" s="203"/>
      <c r="H155" s="203"/>
      <c r="I155" s="203"/>
      <c r="J155" s="203"/>
      <c r="K155" s="203"/>
      <c r="L155" s="203"/>
      <c r="M155" s="203"/>
    </row>
    <row r="156" spans="2:13">
      <c r="B156" s="201" t="s">
        <v>185</v>
      </c>
      <c r="C156" s="202" t="s">
        <v>180</v>
      </c>
      <c r="D156" s="257">
        <f t="shared" si="10"/>
        <v>14384.5</v>
      </c>
      <c r="E156" s="257">
        <f t="shared" si="10"/>
        <v>0</v>
      </c>
      <c r="F156" s="424">
        <f>SUM('[2]Non -Hazard Waste'!$AQ$90:$AS$90)</f>
        <v>3046.1499999999996</v>
      </c>
      <c r="G156" s="425"/>
      <c r="H156" s="424">
        <f>SUM('[2]Non -Hazard Waste'!$AT$90:$AV$90)</f>
        <v>2785.45</v>
      </c>
      <c r="I156" s="425"/>
      <c r="J156" s="424">
        <f>SUM('[2]Non -Hazard Waste'!$AW$90:$AY$90)</f>
        <v>3915.15</v>
      </c>
      <c r="K156" s="425"/>
      <c r="L156" s="424">
        <f>SUM('[2]Non -Hazard Waste'!$AZ$90:$BB$90)</f>
        <v>4637.75</v>
      </c>
      <c r="M156" s="425"/>
    </row>
    <row r="157" spans="2:13">
      <c r="B157" s="201" t="s">
        <v>186</v>
      </c>
      <c r="C157" s="202" t="s">
        <v>180</v>
      </c>
      <c r="D157" s="257">
        <f t="shared" si="10"/>
        <v>0</v>
      </c>
      <c r="E157" s="257">
        <f t="shared" si="10"/>
        <v>0</v>
      </c>
      <c r="F157" s="203"/>
      <c r="G157" s="203"/>
      <c r="H157" s="203"/>
      <c r="I157" s="203"/>
      <c r="J157" s="203"/>
      <c r="K157" s="203"/>
      <c r="L157" s="203"/>
      <c r="M157" s="203"/>
    </row>
    <row r="158" spans="2:13">
      <c r="B158" s="255" t="s">
        <v>528</v>
      </c>
      <c r="C158" s="255" t="s">
        <v>190</v>
      </c>
      <c r="D158" s="255" t="s">
        <v>190</v>
      </c>
      <c r="E158" s="255" t="s">
        <v>190</v>
      </c>
      <c r="F158" s="255" t="s">
        <v>190</v>
      </c>
      <c r="G158" s="255" t="s">
        <v>190</v>
      </c>
      <c r="H158" s="255" t="s">
        <v>190</v>
      </c>
      <c r="I158" s="255" t="s">
        <v>190</v>
      </c>
      <c r="J158" s="255" t="s">
        <v>190</v>
      </c>
      <c r="K158" s="255" t="s">
        <v>190</v>
      </c>
      <c r="L158" s="255" t="s">
        <v>190</v>
      </c>
      <c r="M158" s="255" t="s">
        <v>190</v>
      </c>
    </row>
    <row r="159" spans="2:13">
      <c r="B159" s="201" t="s">
        <v>179</v>
      </c>
      <c r="C159" s="200" t="s">
        <v>180</v>
      </c>
      <c r="D159" s="441">
        <f>SUM(F159:M159)</f>
        <v>9.6474999999999991E-2</v>
      </c>
      <c r="E159" s="442"/>
      <c r="F159" s="430">
        <f>SUM('[2]Hazard Waste'!$AQ$78:$AS$78)/1000</f>
        <v>5.7375000000000002E-2</v>
      </c>
      <c r="G159" s="431"/>
      <c r="H159" s="430">
        <f>SUM('[2]Hazard Waste'!$AT$78:$AV$78)/1000</f>
        <v>1.7000000000000001E-2</v>
      </c>
      <c r="I159" s="431"/>
      <c r="J159" s="430">
        <f>SUM('[2]Hazard Waste'!$AW$78:$AY$78)/1000</f>
        <v>0</v>
      </c>
      <c r="K159" s="431"/>
      <c r="L159" s="430">
        <f>SUM('[2]Hazard Waste'!$AZ$78:$BB$78)/1000</f>
        <v>2.2099999999999998E-2</v>
      </c>
      <c r="M159" s="431"/>
    </row>
    <row r="160" spans="2:13">
      <c r="B160" s="201" t="s">
        <v>181</v>
      </c>
      <c r="C160" s="202" t="s">
        <v>180</v>
      </c>
      <c r="D160" s="467">
        <f>SUM(F160:M160)</f>
        <v>9.6475000000000005E-2</v>
      </c>
      <c r="E160" s="468"/>
      <c r="F160" s="424">
        <v>5.7375000000000002E-2</v>
      </c>
      <c r="G160" s="425"/>
      <c r="H160" s="424">
        <v>1.7000000000000001E-2</v>
      </c>
      <c r="I160" s="425"/>
      <c r="J160" s="424">
        <v>0</v>
      </c>
      <c r="K160" s="425"/>
      <c r="L160" s="424">
        <v>2.2100000000000002E-2</v>
      </c>
      <c r="M160" s="425"/>
    </row>
    <row r="161" spans="2:13">
      <c r="B161" s="201" t="s">
        <v>182</v>
      </c>
      <c r="C161" s="202" t="s">
        <v>180</v>
      </c>
      <c r="D161" s="257">
        <v>0</v>
      </c>
      <c r="E161" s="257">
        <f t="shared" ref="D161:E165" si="11">SUM(G161+I161+K161+M161)</f>
        <v>0</v>
      </c>
      <c r="F161" s="424"/>
      <c r="G161" s="425"/>
      <c r="H161" s="424"/>
      <c r="I161" s="425"/>
      <c r="J161" s="424"/>
      <c r="K161" s="425"/>
      <c r="L161" s="424"/>
      <c r="M161" s="425"/>
    </row>
    <row r="162" spans="2:13">
      <c r="B162" s="201" t="s">
        <v>183</v>
      </c>
      <c r="C162" s="202" t="s">
        <v>180</v>
      </c>
      <c r="D162" s="257">
        <f t="shared" si="11"/>
        <v>0</v>
      </c>
      <c r="E162" s="257">
        <f t="shared" si="11"/>
        <v>0</v>
      </c>
      <c r="F162" s="203"/>
      <c r="G162" s="203"/>
      <c r="H162" s="203"/>
      <c r="I162" s="203"/>
      <c r="J162" s="203"/>
      <c r="K162" s="203"/>
      <c r="L162" s="203"/>
      <c r="M162" s="203"/>
    </row>
    <row r="163" spans="2:13">
      <c r="B163" s="201" t="s">
        <v>184</v>
      </c>
      <c r="C163" s="202" t="s">
        <v>180</v>
      </c>
      <c r="D163" s="257">
        <f t="shared" si="11"/>
        <v>0</v>
      </c>
      <c r="E163" s="257">
        <f t="shared" si="11"/>
        <v>0</v>
      </c>
      <c r="F163" s="203"/>
      <c r="G163" s="203"/>
      <c r="H163" s="203"/>
      <c r="I163" s="203"/>
      <c r="J163" s="203"/>
      <c r="K163" s="203"/>
      <c r="L163" s="203"/>
      <c r="M163" s="203"/>
    </row>
    <row r="164" spans="2:13">
      <c r="B164" s="201" t="s">
        <v>185</v>
      </c>
      <c r="C164" s="202" t="s">
        <v>180</v>
      </c>
      <c r="D164" s="257">
        <f t="shared" si="11"/>
        <v>0</v>
      </c>
      <c r="E164" s="257">
        <f t="shared" si="11"/>
        <v>0</v>
      </c>
      <c r="F164" s="203"/>
      <c r="G164" s="203"/>
      <c r="H164" s="203"/>
      <c r="I164" s="203"/>
      <c r="J164" s="203"/>
      <c r="K164" s="203"/>
      <c r="L164" s="203"/>
      <c r="M164" s="203"/>
    </row>
    <row r="165" spans="2:13">
      <c r="B165" s="201" t="s">
        <v>186</v>
      </c>
      <c r="C165" s="202" t="s">
        <v>180</v>
      </c>
      <c r="D165" s="257">
        <f t="shared" si="11"/>
        <v>0</v>
      </c>
      <c r="E165" s="257">
        <f t="shared" si="11"/>
        <v>0</v>
      </c>
      <c r="F165" s="203"/>
      <c r="G165" s="203"/>
      <c r="H165" s="203"/>
      <c r="I165" s="203"/>
      <c r="J165" s="203"/>
      <c r="K165" s="203"/>
      <c r="L165" s="203"/>
      <c r="M165" s="203"/>
    </row>
    <row r="166" spans="2:13">
      <c r="B166" s="255" t="s">
        <v>191</v>
      </c>
      <c r="C166" s="255" t="s">
        <v>191</v>
      </c>
      <c r="D166" s="255" t="s">
        <v>191</v>
      </c>
      <c r="E166" s="255" t="s">
        <v>191</v>
      </c>
      <c r="F166" s="255" t="s">
        <v>191</v>
      </c>
      <c r="G166" s="255" t="s">
        <v>191</v>
      </c>
      <c r="H166" s="255" t="s">
        <v>191</v>
      </c>
      <c r="I166" s="255" t="s">
        <v>191</v>
      </c>
      <c r="J166" s="255" t="s">
        <v>191</v>
      </c>
      <c r="K166" s="255" t="s">
        <v>191</v>
      </c>
      <c r="L166" s="255" t="s">
        <v>191</v>
      </c>
      <c r="M166" s="255" t="s">
        <v>191</v>
      </c>
    </row>
    <row r="167" spans="2:13">
      <c r="B167" s="201" t="s">
        <v>179</v>
      </c>
      <c r="C167" s="200" t="s">
        <v>180</v>
      </c>
      <c r="D167" s="422">
        <f>SUM(F167:M167)</f>
        <v>0.65699999999999992</v>
      </c>
      <c r="E167" s="423"/>
      <c r="F167" s="430">
        <f>SUM('[2]Hazard Waste'!$AQ$79:$AS$79)</f>
        <v>0</v>
      </c>
      <c r="G167" s="431"/>
      <c r="H167" s="430">
        <f>SUM('[2]Hazard Waste'!$AT$79:$AV$79)</f>
        <v>0</v>
      </c>
      <c r="I167" s="431"/>
      <c r="J167" s="430">
        <f>SUM('[2]Hazard Waste'!$AW$79:$AY$79)</f>
        <v>7.1999999999999995E-2</v>
      </c>
      <c r="K167" s="431"/>
      <c r="L167" s="430">
        <f>SUM('[2]Hazard Waste'!$AZ$79:$BB$79)</f>
        <v>0.58499999999999996</v>
      </c>
      <c r="M167" s="431"/>
    </row>
    <row r="168" spans="2:13">
      <c r="B168" s="201" t="s">
        <v>181</v>
      </c>
      <c r="C168" s="202" t="s">
        <v>180</v>
      </c>
      <c r="D168" s="257">
        <f t="shared" ref="D168:E173" si="12">SUM(F168+H168+J168+L168)</f>
        <v>0.65699999999999992</v>
      </c>
      <c r="E168" s="257">
        <f t="shared" si="12"/>
        <v>0</v>
      </c>
      <c r="F168" s="203"/>
      <c r="G168" s="203"/>
      <c r="H168" s="203"/>
      <c r="I168" s="203"/>
      <c r="J168" s="424">
        <v>7.1999999999999995E-2</v>
      </c>
      <c r="K168" s="425"/>
      <c r="L168" s="424">
        <v>0.58499999999999996</v>
      </c>
      <c r="M168" s="425"/>
    </row>
    <row r="169" spans="2:13">
      <c r="B169" s="201" t="s">
        <v>182</v>
      </c>
      <c r="C169" s="202" t="s">
        <v>180</v>
      </c>
      <c r="D169" s="257">
        <f t="shared" si="12"/>
        <v>0</v>
      </c>
      <c r="E169" s="257">
        <f t="shared" si="12"/>
        <v>0</v>
      </c>
      <c r="F169" s="203"/>
      <c r="G169" s="203"/>
      <c r="H169" s="203"/>
      <c r="I169" s="203"/>
      <c r="J169" s="203"/>
      <c r="K169" s="203"/>
      <c r="L169" s="203"/>
      <c r="M169" s="203"/>
    </row>
    <row r="170" spans="2:13">
      <c r="B170" s="201" t="s">
        <v>183</v>
      </c>
      <c r="C170" s="202" t="s">
        <v>180</v>
      </c>
      <c r="D170" s="257">
        <f t="shared" si="12"/>
        <v>0</v>
      </c>
      <c r="E170" s="257">
        <f t="shared" si="12"/>
        <v>0</v>
      </c>
      <c r="F170" s="203"/>
      <c r="G170" s="203"/>
      <c r="H170" s="203"/>
      <c r="I170" s="203"/>
      <c r="J170" s="203"/>
      <c r="K170" s="203"/>
      <c r="L170" s="203"/>
      <c r="M170" s="203"/>
    </row>
    <row r="171" spans="2:13">
      <c r="B171" s="201" t="s">
        <v>184</v>
      </c>
      <c r="C171" s="202" t="s">
        <v>180</v>
      </c>
      <c r="D171" s="257">
        <f t="shared" si="12"/>
        <v>0</v>
      </c>
      <c r="E171" s="257">
        <f t="shared" si="12"/>
        <v>0</v>
      </c>
      <c r="F171" s="203"/>
      <c r="G171" s="203"/>
      <c r="H171" s="203"/>
      <c r="I171" s="203"/>
      <c r="J171" s="203"/>
      <c r="K171" s="203"/>
      <c r="L171" s="203"/>
      <c r="M171" s="203"/>
    </row>
    <row r="172" spans="2:13">
      <c r="B172" s="201" t="s">
        <v>185</v>
      </c>
      <c r="C172" s="202" t="s">
        <v>180</v>
      </c>
      <c r="D172" s="257">
        <f t="shared" si="12"/>
        <v>0</v>
      </c>
      <c r="E172" s="257">
        <f t="shared" si="12"/>
        <v>0</v>
      </c>
      <c r="F172" s="203"/>
      <c r="G172" s="203"/>
      <c r="H172" s="203"/>
      <c r="I172" s="203"/>
      <c r="J172" s="203"/>
      <c r="K172" s="203"/>
      <c r="L172" s="203"/>
      <c r="M172" s="203"/>
    </row>
    <row r="173" spans="2:13">
      <c r="B173" s="201" t="s">
        <v>186</v>
      </c>
      <c r="C173" s="202" t="s">
        <v>180</v>
      </c>
      <c r="D173" s="257">
        <f t="shared" si="12"/>
        <v>0</v>
      </c>
      <c r="E173" s="257">
        <f t="shared" si="12"/>
        <v>0</v>
      </c>
      <c r="F173" s="203"/>
      <c r="G173" s="203"/>
      <c r="H173" s="203"/>
      <c r="I173" s="203"/>
      <c r="J173" s="203"/>
      <c r="K173" s="203"/>
      <c r="L173" s="203"/>
      <c r="M173" s="203"/>
    </row>
    <row r="174" spans="2:13" ht="30" customHeight="1">
      <c r="B174" s="255" t="s">
        <v>532</v>
      </c>
      <c r="C174" s="255" t="s">
        <v>532</v>
      </c>
      <c r="D174" s="255" t="s">
        <v>532</v>
      </c>
      <c r="E174" s="255" t="s">
        <v>532</v>
      </c>
      <c r="F174" s="255" t="s">
        <v>532</v>
      </c>
      <c r="G174" s="255" t="s">
        <v>532</v>
      </c>
      <c r="H174" s="255" t="s">
        <v>532</v>
      </c>
      <c r="I174" s="255" t="s">
        <v>532</v>
      </c>
      <c r="J174" s="255" t="s">
        <v>532</v>
      </c>
      <c r="K174" s="255" t="s">
        <v>532</v>
      </c>
      <c r="L174" s="255" t="s">
        <v>532</v>
      </c>
      <c r="M174" s="255" t="s">
        <v>532</v>
      </c>
    </row>
    <row r="175" spans="2:13">
      <c r="B175" s="201" t="s">
        <v>179</v>
      </c>
      <c r="C175" s="200" t="s">
        <v>180</v>
      </c>
      <c r="D175" s="469">
        <f>SUM(F175:M175)</f>
        <v>9.3130000000000018E-2</v>
      </c>
      <c r="E175" s="470"/>
      <c r="F175" s="430">
        <f>SUM('[2]Hazard Waste'!$AQ$81:$AS$81)</f>
        <v>1.0630000000000001E-2</v>
      </c>
      <c r="G175" s="431"/>
      <c r="H175" s="430">
        <f>SUM('[2]Hazard Waste'!$AT$81:$AV$81)</f>
        <v>4.8500000000000001E-2</v>
      </c>
      <c r="I175" s="431"/>
      <c r="J175" s="430">
        <f>SUM('[2]Hazard Waste'!$AW$81:$AY$81)</f>
        <v>2.6000000000000002E-2</v>
      </c>
      <c r="K175" s="431"/>
      <c r="L175" s="430">
        <f>SUM('[2]Hazard Waste'!$AZ$81:$BB$81)</f>
        <v>8.0000000000000002E-3</v>
      </c>
      <c r="M175" s="431"/>
    </row>
    <row r="176" spans="2:13">
      <c r="B176" s="201" t="s">
        <v>181</v>
      </c>
      <c r="C176" s="202" t="s">
        <v>180</v>
      </c>
      <c r="D176" s="257">
        <f t="shared" ref="D176:D181" si="13">SUM(F176+H176+J176+L176)</f>
        <v>0</v>
      </c>
      <c r="E176" s="257">
        <f t="shared" ref="E176:E181" si="14">SUM(G176+I176+K176+M176)</f>
        <v>0</v>
      </c>
      <c r="F176" s="203"/>
      <c r="G176" s="203"/>
      <c r="H176" s="203"/>
      <c r="I176" s="203"/>
      <c r="J176" s="203"/>
      <c r="K176" s="203"/>
      <c r="L176" s="203"/>
      <c r="M176" s="203"/>
    </row>
    <row r="177" spans="2:13">
      <c r="B177" s="201" t="s">
        <v>182</v>
      </c>
      <c r="C177" s="202" t="s">
        <v>180</v>
      </c>
      <c r="D177" s="257">
        <f t="shared" si="13"/>
        <v>0</v>
      </c>
      <c r="E177" s="257">
        <f t="shared" si="14"/>
        <v>0</v>
      </c>
      <c r="F177" s="203"/>
      <c r="G177" s="203"/>
      <c r="H177" s="203"/>
      <c r="I177" s="203"/>
      <c r="J177" s="203"/>
      <c r="K177" s="203"/>
      <c r="L177" s="203"/>
      <c r="M177" s="203"/>
    </row>
    <row r="178" spans="2:13">
      <c r="B178" s="201" t="s">
        <v>183</v>
      </c>
      <c r="C178" s="202" t="s">
        <v>180</v>
      </c>
      <c r="D178" s="257">
        <f t="shared" si="13"/>
        <v>0</v>
      </c>
      <c r="E178" s="257">
        <f t="shared" si="14"/>
        <v>0</v>
      </c>
      <c r="F178" s="203"/>
      <c r="G178" s="203"/>
      <c r="H178" s="203"/>
      <c r="I178" s="203"/>
      <c r="J178" s="203"/>
      <c r="K178" s="203"/>
      <c r="L178" s="203"/>
      <c r="M178" s="203"/>
    </row>
    <row r="179" spans="2:13">
      <c r="B179" s="201" t="s">
        <v>184</v>
      </c>
      <c r="C179" s="202" t="s">
        <v>180</v>
      </c>
      <c r="D179" s="385">
        <f t="shared" si="13"/>
        <v>9.3129999999999991E-2</v>
      </c>
      <c r="E179" s="257">
        <f t="shared" si="14"/>
        <v>0</v>
      </c>
      <c r="F179" s="424">
        <v>1.0630000000000001E-2</v>
      </c>
      <c r="G179" s="425"/>
      <c r="H179" s="424">
        <v>4.8500000000000001E-2</v>
      </c>
      <c r="I179" s="425"/>
      <c r="J179" s="424">
        <v>2.5999999999999999E-2</v>
      </c>
      <c r="K179" s="425"/>
      <c r="L179" s="424">
        <v>8.0000000000000002E-3</v>
      </c>
      <c r="M179" s="425"/>
    </row>
    <row r="180" spans="2:13">
      <c r="B180" s="201" t="s">
        <v>185</v>
      </c>
      <c r="C180" s="202" t="s">
        <v>180</v>
      </c>
      <c r="D180" s="257">
        <f t="shared" si="13"/>
        <v>0</v>
      </c>
      <c r="E180" s="257">
        <f t="shared" si="14"/>
        <v>0</v>
      </c>
      <c r="F180" s="203"/>
      <c r="G180" s="203"/>
      <c r="H180" s="203"/>
      <c r="I180" s="203"/>
      <c r="J180" s="203"/>
      <c r="K180" s="203"/>
      <c r="L180" s="203"/>
      <c r="M180" s="203"/>
    </row>
    <row r="181" spans="2:13">
      <c r="B181" s="201" t="s">
        <v>186</v>
      </c>
      <c r="C181" s="202" t="s">
        <v>180</v>
      </c>
      <c r="D181" s="257">
        <f t="shared" si="13"/>
        <v>0</v>
      </c>
      <c r="E181" s="257">
        <f t="shared" si="14"/>
        <v>0</v>
      </c>
      <c r="F181" s="203"/>
      <c r="G181" s="203"/>
      <c r="H181" s="203"/>
      <c r="I181" s="203"/>
      <c r="J181" s="203"/>
      <c r="K181" s="203"/>
      <c r="L181" s="203"/>
      <c r="M181" s="203"/>
    </row>
    <row r="182" spans="2:13" ht="21" customHeight="1">
      <c r="B182" s="255" t="s">
        <v>530</v>
      </c>
      <c r="C182" s="255" t="s">
        <v>192</v>
      </c>
      <c r="D182" s="255" t="s">
        <v>192</v>
      </c>
      <c r="E182" s="255" t="s">
        <v>192</v>
      </c>
      <c r="F182" s="255" t="s">
        <v>192</v>
      </c>
      <c r="G182" s="255" t="s">
        <v>192</v>
      </c>
      <c r="H182" s="255" t="s">
        <v>192</v>
      </c>
      <c r="I182" s="255" t="s">
        <v>192</v>
      </c>
      <c r="J182" s="255" t="s">
        <v>192</v>
      </c>
      <c r="K182" s="255" t="s">
        <v>192</v>
      </c>
      <c r="L182" s="255" t="s">
        <v>192</v>
      </c>
      <c r="M182" s="255" t="s">
        <v>192</v>
      </c>
    </row>
    <row r="183" spans="2:13">
      <c r="B183" s="201" t="s">
        <v>179</v>
      </c>
      <c r="C183" s="200" t="s">
        <v>180</v>
      </c>
      <c r="D183" s="437">
        <f>SUM(F183:M183)</f>
        <v>0.3745</v>
      </c>
      <c r="E183" s="438"/>
      <c r="F183" s="430">
        <f>SUM('[2]Hazard Waste'!$AQ$80:$AS$80)</f>
        <v>0</v>
      </c>
      <c r="G183" s="431"/>
      <c r="H183" s="430">
        <f>SUM('[2]Hazard Waste'!$AT$81:$AV$81)</f>
        <v>4.8500000000000001E-2</v>
      </c>
      <c r="I183" s="431"/>
      <c r="J183" s="430">
        <f>SUM('[2]Hazard Waste'!$AW$81:$AY$81)</f>
        <v>2.6000000000000002E-2</v>
      </c>
      <c r="K183" s="431"/>
      <c r="L183" s="430">
        <f>SUM('[2]Hazard Waste'!$AZ$80:$BB$80)</f>
        <v>0.3</v>
      </c>
      <c r="M183" s="431"/>
    </row>
    <row r="184" spans="2:13">
      <c r="B184" s="201" t="s">
        <v>181</v>
      </c>
      <c r="C184" s="202" t="s">
        <v>180</v>
      </c>
      <c r="D184" s="257">
        <f t="shared" ref="D184:E189" si="15">SUM(F184+H184+J184+L184)</f>
        <v>0</v>
      </c>
      <c r="E184" s="257">
        <f t="shared" si="15"/>
        <v>0</v>
      </c>
      <c r="F184" s="203"/>
      <c r="G184" s="203"/>
      <c r="H184" s="203"/>
      <c r="I184" s="203"/>
      <c r="J184" s="203"/>
      <c r="K184" s="203"/>
      <c r="L184" s="203"/>
      <c r="M184" s="203"/>
    </row>
    <row r="185" spans="2:13">
      <c r="B185" s="201" t="s">
        <v>182</v>
      </c>
      <c r="C185" s="202" t="s">
        <v>180</v>
      </c>
      <c r="D185" s="257">
        <f t="shared" si="15"/>
        <v>0</v>
      </c>
      <c r="E185" s="257">
        <f t="shared" si="15"/>
        <v>0</v>
      </c>
      <c r="F185" s="203"/>
      <c r="G185" s="203"/>
      <c r="H185" s="203"/>
      <c r="I185" s="203"/>
      <c r="J185" s="203"/>
      <c r="K185" s="203"/>
      <c r="L185" s="203"/>
      <c r="M185" s="203"/>
    </row>
    <row r="186" spans="2:13">
      <c r="B186" s="201" t="s">
        <v>183</v>
      </c>
      <c r="C186" s="202" t="s">
        <v>180</v>
      </c>
      <c r="D186" s="257">
        <f t="shared" si="15"/>
        <v>0</v>
      </c>
      <c r="E186" s="257">
        <f t="shared" si="15"/>
        <v>0</v>
      </c>
      <c r="F186" s="203"/>
      <c r="G186" s="203"/>
      <c r="H186" s="203"/>
      <c r="I186" s="203"/>
      <c r="J186" s="203"/>
      <c r="K186" s="203"/>
      <c r="L186" s="203"/>
      <c r="M186" s="203"/>
    </row>
    <row r="187" spans="2:13">
      <c r="B187" s="201" t="s">
        <v>184</v>
      </c>
      <c r="C187" s="202" t="s">
        <v>180</v>
      </c>
      <c r="D187" s="471">
        <f>SUM(F187:M187)</f>
        <v>0.3745</v>
      </c>
      <c r="E187" s="472"/>
      <c r="F187" s="424">
        <v>0</v>
      </c>
      <c r="G187" s="425"/>
      <c r="H187" s="424">
        <v>4.8500000000000001E-2</v>
      </c>
      <c r="I187" s="425"/>
      <c r="J187" s="424">
        <v>2.5999999999999999E-2</v>
      </c>
      <c r="K187" s="425"/>
      <c r="L187" s="424">
        <v>0.3</v>
      </c>
      <c r="M187" s="425"/>
    </row>
    <row r="188" spans="2:13">
      <c r="B188" s="201" t="s">
        <v>185</v>
      </c>
      <c r="C188" s="202" t="s">
        <v>180</v>
      </c>
      <c r="D188" s="257">
        <f t="shared" si="15"/>
        <v>0</v>
      </c>
      <c r="E188" s="257">
        <f t="shared" si="15"/>
        <v>0</v>
      </c>
      <c r="F188" s="203"/>
      <c r="G188" s="203"/>
      <c r="H188" s="203"/>
      <c r="I188" s="203"/>
      <c r="J188" s="203"/>
      <c r="K188" s="203"/>
      <c r="L188" s="203"/>
      <c r="M188" s="203"/>
    </row>
    <row r="189" spans="2:13" ht="21.5" thickBot="1">
      <c r="B189" s="201" t="s">
        <v>186</v>
      </c>
      <c r="C189" s="202" t="s">
        <v>180</v>
      </c>
      <c r="D189" s="257">
        <f t="shared" si="15"/>
        <v>0</v>
      </c>
      <c r="E189" s="257">
        <f t="shared" si="15"/>
        <v>0</v>
      </c>
      <c r="F189" s="203"/>
      <c r="G189" s="203"/>
      <c r="H189" s="203"/>
      <c r="I189" s="203"/>
      <c r="J189" s="203"/>
      <c r="K189" s="203"/>
      <c r="L189" s="203"/>
      <c r="M189" s="203"/>
    </row>
    <row r="190" spans="2:13" ht="21.5" thickBot="1">
      <c r="B190" s="256" t="s">
        <v>529</v>
      </c>
      <c r="C190" s="256" t="s">
        <v>193</v>
      </c>
      <c r="D190" s="256" t="s">
        <v>193</v>
      </c>
      <c r="E190" s="256" t="s">
        <v>193</v>
      </c>
      <c r="F190" s="256" t="s">
        <v>193</v>
      </c>
      <c r="G190" s="256" t="s">
        <v>193</v>
      </c>
      <c r="H190" s="256" t="s">
        <v>193</v>
      </c>
      <c r="I190" s="256" t="s">
        <v>193</v>
      </c>
      <c r="J190" s="256" t="s">
        <v>193</v>
      </c>
      <c r="K190" s="256" t="s">
        <v>193</v>
      </c>
      <c r="L190" s="256" t="s">
        <v>193</v>
      </c>
      <c r="M190" s="256" t="s">
        <v>193</v>
      </c>
    </row>
    <row r="191" spans="2:13">
      <c r="B191" s="208"/>
      <c r="C191" s="208" t="s">
        <v>100</v>
      </c>
      <c r="D191" s="208" t="s">
        <v>176</v>
      </c>
      <c r="E191" s="208" t="s">
        <v>177</v>
      </c>
      <c r="F191" s="208" t="s">
        <v>176</v>
      </c>
      <c r="G191" s="208" t="s">
        <v>177</v>
      </c>
      <c r="H191" s="208" t="s">
        <v>176</v>
      </c>
      <c r="I191" s="208" t="s">
        <v>177</v>
      </c>
      <c r="J191" s="208" t="s">
        <v>176</v>
      </c>
      <c r="K191" s="208" t="s">
        <v>177</v>
      </c>
      <c r="L191" s="208" t="s">
        <v>176</v>
      </c>
      <c r="M191" s="208" t="s">
        <v>177</v>
      </c>
    </row>
    <row r="192" spans="2:13">
      <c r="B192" s="244" t="s">
        <v>525</v>
      </c>
      <c r="C192" s="244" t="s">
        <v>525</v>
      </c>
      <c r="D192" s="244" t="s">
        <v>525</v>
      </c>
      <c r="E192" s="244" t="s">
        <v>525</v>
      </c>
      <c r="F192" s="244" t="s">
        <v>525</v>
      </c>
      <c r="G192" s="244" t="s">
        <v>525</v>
      </c>
      <c r="H192" s="244" t="s">
        <v>525</v>
      </c>
      <c r="I192" s="244" t="s">
        <v>525</v>
      </c>
      <c r="J192" s="244" t="s">
        <v>525</v>
      </c>
      <c r="K192" s="244" t="s">
        <v>525</v>
      </c>
      <c r="L192" s="244" t="s">
        <v>525</v>
      </c>
      <c r="M192" s="244" t="s">
        <v>525</v>
      </c>
    </row>
    <row r="193" spans="2:13">
      <c r="B193" s="201" t="s">
        <v>179</v>
      </c>
      <c r="C193" s="200" t="s">
        <v>180</v>
      </c>
      <c r="D193" s="439">
        <f>SUM(F193:M193)</f>
        <v>208.23000000000002</v>
      </c>
      <c r="E193" s="440"/>
      <c r="F193" s="430">
        <f>SUM('[2]Non -Hazard Waste'!$AQ$75:$AS$75)</f>
        <v>38.92</v>
      </c>
      <c r="G193" s="431"/>
      <c r="H193" s="430">
        <f>SUM('[2]Non -Hazard Waste'!$AT$75:$AV$75)</f>
        <v>58.792000000000002</v>
      </c>
      <c r="I193" s="431"/>
      <c r="J193" s="430">
        <f>SUM('[2]Non -Hazard Waste'!$AW$75:$AY$75)</f>
        <v>54.191000000000003</v>
      </c>
      <c r="K193" s="431"/>
      <c r="L193" s="430">
        <f>SUM('[2]Non -Hazard Waste'!$AZ$75:$BB$75)</f>
        <v>56.326999999999998</v>
      </c>
      <c r="M193" s="431"/>
    </row>
    <row r="194" spans="2:13">
      <c r="B194" s="201" t="s">
        <v>181</v>
      </c>
      <c r="C194" s="202" t="s">
        <v>180</v>
      </c>
      <c r="D194" s="458">
        <v>208.23</v>
      </c>
      <c r="E194" s="459"/>
      <c r="F194" s="203"/>
      <c r="G194" s="203"/>
      <c r="H194" s="203"/>
      <c r="I194" s="203"/>
      <c r="J194" s="203"/>
      <c r="K194" s="203"/>
      <c r="L194" s="203"/>
      <c r="M194" s="203"/>
    </row>
    <row r="195" spans="2:13">
      <c r="B195" s="201" t="s">
        <v>182</v>
      </c>
      <c r="C195" s="202" t="s">
        <v>180</v>
      </c>
      <c r="D195" s="257">
        <f t="shared" ref="D195:E199" si="16">SUM(F195+H195+J195+L195)</f>
        <v>0</v>
      </c>
      <c r="E195" s="257">
        <f t="shared" si="16"/>
        <v>0</v>
      </c>
      <c r="F195" s="203"/>
      <c r="G195" s="203"/>
      <c r="H195" s="203"/>
      <c r="I195" s="203"/>
      <c r="J195" s="203"/>
      <c r="K195" s="203"/>
      <c r="L195" s="203"/>
      <c r="M195" s="203"/>
    </row>
    <row r="196" spans="2:13">
      <c r="B196" s="201" t="s">
        <v>183</v>
      </c>
      <c r="C196" s="202" t="s">
        <v>180</v>
      </c>
      <c r="D196" s="257">
        <f t="shared" si="16"/>
        <v>0</v>
      </c>
      <c r="E196" s="257">
        <f t="shared" si="16"/>
        <v>0</v>
      </c>
      <c r="F196" s="203"/>
      <c r="G196" s="203"/>
      <c r="H196" s="203"/>
      <c r="I196" s="203"/>
      <c r="J196" s="203"/>
      <c r="K196" s="203"/>
      <c r="L196" s="203"/>
      <c r="M196" s="203"/>
    </row>
    <row r="197" spans="2:13">
      <c r="B197" s="201" t="s">
        <v>184</v>
      </c>
      <c r="C197" s="202" t="s">
        <v>180</v>
      </c>
      <c r="D197" s="257">
        <f t="shared" si="16"/>
        <v>0</v>
      </c>
      <c r="E197" s="257">
        <f t="shared" si="16"/>
        <v>0</v>
      </c>
      <c r="F197" s="203"/>
      <c r="G197" s="203"/>
      <c r="H197" s="203"/>
      <c r="I197" s="203"/>
      <c r="J197" s="203"/>
      <c r="K197" s="203"/>
      <c r="L197" s="203"/>
      <c r="M197" s="203"/>
    </row>
    <row r="198" spans="2:13">
      <c r="B198" s="201" t="s">
        <v>185</v>
      </c>
      <c r="C198" s="202" t="s">
        <v>180</v>
      </c>
      <c r="D198" s="257">
        <f t="shared" si="16"/>
        <v>0</v>
      </c>
      <c r="E198" s="257">
        <f t="shared" si="16"/>
        <v>0</v>
      </c>
      <c r="F198" s="203"/>
      <c r="G198" s="203"/>
      <c r="H198" s="203"/>
      <c r="I198" s="203"/>
      <c r="J198" s="203"/>
      <c r="K198" s="203"/>
      <c r="L198" s="203"/>
      <c r="M198" s="203"/>
    </row>
    <row r="199" spans="2:13">
      <c r="B199" s="201" t="s">
        <v>186</v>
      </c>
      <c r="C199" s="202" t="s">
        <v>180</v>
      </c>
      <c r="D199" s="257">
        <f t="shared" si="16"/>
        <v>0</v>
      </c>
      <c r="E199" s="257">
        <f t="shared" si="16"/>
        <v>0</v>
      </c>
      <c r="F199" s="203"/>
      <c r="G199" s="203"/>
      <c r="H199" s="203"/>
      <c r="I199" s="203"/>
      <c r="J199" s="203"/>
      <c r="K199" s="203"/>
      <c r="L199" s="203"/>
      <c r="M199" s="203"/>
    </row>
    <row r="200" spans="2:13">
      <c r="B200" s="244" t="s">
        <v>524</v>
      </c>
      <c r="C200" s="244" t="s">
        <v>524</v>
      </c>
      <c r="D200" s="244" t="s">
        <v>524</v>
      </c>
      <c r="E200" s="244" t="s">
        <v>524</v>
      </c>
      <c r="F200" s="244" t="s">
        <v>524</v>
      </c>
      <c r="G200" s="244" t="s">
        <v>524</v>
      </c>
      <c r="H200" s="244" t="s">
        <v>524</v>
      </c>
      <c r="I200" s="244" t="s">
        <v>524</v>
      </c>
      <c r="J200" s="244" t="s">
        <v>524</v>
      </c>
      <c r="K200" s="244" t="s">
        <v>524</v>
      </c>
      <c r="L200" s="244" t="s">
        <v>524</v>
      </c>
      <c r="M200" s="244" t="s">
        <v>524</v>
      </c>
    </row>
    <row r="201" spans="2:13">
      <c r="B201" s="201" t="s">
        <v>179</v>
      </c>
      <c r="C201" s="200" t="s">
        <v>180</v>
      </c>
      <c r="D201" s="422">
        <f>SUM(F201:M201)</f>
        <v>67.41</v>
      </c>
      <c r="E201" s="423"/>
      <c r="F201" s="430">
        <f>SUM('[2]Non -Hazard Waste'!$AQ$76:$AS$76)</f>
        <v>17.936999999999998</v>
      </c>
      <c r="G201" s="431"/>
      <c r="H201" s="430">
        <f>SUM('[2]Non -Hazard Waste'!$AT$76:$AV$76)</f>
        <v>17.032</v>
      </c>
      <c r="I201" s="431"/>
      <c r="J201" s="430">
        <f>SUM('[2]Non -Hazard Waste'!$AW$76:$AY$76)</f>
        <v>15.834</v>
      </c>
      <c r="K201" s="431"/>
      <c r="L201" s="430">
        <f>SUM('[2]Non -Hazard Waste'!$AZ$76:$BB$76)</f>
        <v>16.607000000000003</v>
      </c>
      <c r="M201" s="431"/>
    </row>
    <row r="202" spans="2:13">
      <c r="B202" s="201" t="s">
        <v>181</v>
      </c>
      <c r="C202" s="202" t="s">
        <v>180</v>
      </c>
      <c r="D202" s="257">
        <f t="shared" ref="D202:E207" si="17">SUM(F202+H202+J202+L202)</f>
        <v>67.41</v>
      </c>
      <c r="E202" s="257">
        <f t="shared" si="17"/>
        <v>0</v>
      </c>
      <c r="F202" s="426">
        <f>SUM('[2]Non -Hazard Waste'!$AQ$76:$AS$76)</f>
        <v>17.936999999999998</v>
      </c>
      <c r="G202" s="427"/>
      <c r="H202" s="426">
        <f>SUM('[2]Non -Hazard Waste'!$AT$76:$AV$76)</f>
        <v>17.032</v>
      </c>
      <c r="I202" s="427"/>
      <c r="J202" s="426">
        <f>SUM('[2]Non -Hazard Waste'!$AW$76:$AY$76)</f>
        <v>15.834</v>
      </c>
      <c r="K202" s="427"/>
      <c r="L202" s="426">
        <f>SUM('[2]Non -Hazard Waste'!$AZ$76:$BB$76)</f>
        <v>16.607000000000003</v>
      </c>
      <c r="M202" s="427"/>
    </row>
    <row r="203" spans="2:13">
      <c r="B203" s="201" t="s">
        <v>182</v>
      </c>
      <c r="C203" s="202" t="s">
        <v>180</v>
      </c>
      <c r="D203" s="257">
        <f t="shared" si="17"/>
        <v>0</v>
      </c>
      <c r="E203" s="257">
        <f t="shared" si="17"/>
        <v>0</v>
      </c>
      <c r="F203" s="203"/>
      <c r="G203" s="203"/>
      <c r="H203" s="203"/>
      <c r="I203" s="203"/>
      <c r="J203" s="203"/>
      <c r="K203" s="203"/>
      <c r="L203" s="203"/>
      <c r="M203" s="203"/>
    </row>
    <row r="204" spans="2:13">
      <c r="B204" s="201" t="s">
        <v>183</v>
      </c>
      <c r="C204" s="202" t="s">
        <v>180</v>
      </c>
      <c r="D204" s="257">
        <f t="shared" si="17"/>
        <v>0</v>
      </c>
      <c r="E204" s="257">
        <f t="shared" si="17"/>
        <v>0</v>
      </c>
      <c r="F204" s="203"/>
      <c r="G204" s="203"/>
      <c r="H204" s="203"/>
      <c r="I204" s="203"/>
      <c r="J204" s="203"/>
      <c r="K204" s="203"/>
      <c r="L204" s="203"/>
      <c r="M204" s="203"/>
    </row>
    <row r="205" spans="2:13">
      <c r="B205" s="201" t="s">
        <v>184</v>
      </c>
      <c r="C205" s="202" t="s">
        <v>180</v>
      </c>
      <c r="D205" s="257">
        <f t="shared" si="17"/>
        <v>0</v>
      </c>
      <c r="E205" s="257">
        <f t="shared" si="17"/>
        <v>0</v>
      </c>
      <c r="F205" s="203"/>
      <c r="G205" s="203"/>
      <c r="H205" s="203"/>
      <c r="I205" s="203"/>
      <c r="J205" s="203"/>
      <c r="K205" s="203"/>
      <c r="L205" s="203"/>
      <c r="M205" s="203"/>
    </row>
    <row r="206" spans="2:13">
      <c r="B206" s="201" t="s">
        <v>185</v>
      </c>
      <c r="C206" s="202" t="s">
        <v>180</v>
      </c>
      <c r="D206" s="257">
        <f t="shared" si="17"/>
        <v>0</v>
      </c>
      <c r="E206" s="257">
        <f t="shared" si="17"/>
        <v>0</v>
      </c>
      <c r="F206" s="203"/>
      <c r="G206" s="203"/>
      <c r="H206" s="203"/>
      <c r="I206" s="203"/>
      <c r="J206" s="203"/>
      <c r="K206" s="203"/>
      <c r="L206" s="203"/>
      <c r="M206" s="203"/>
    </row>
    <row r="207" spans="2:13">
      <c r="B207" s="201" t="s">
        <v>186</v>
      </c>
      <c r="C207" s="202" t="s">
        <v>180</v>
      </c>
      <c r="D207" s="257">
        <f t="shared" si="17"/>
        <v>0</v>
      </c>
      <c r="E207" s="257">
        <f t="shared" si="17"/>
        <v>0</v>
      </c>
      <c r="F207" s="203"/>
      <c r="G207" s="203"/>
      <c r="H207" s="203"/>
      <c r="I207" s="203"/>
      <c r="J207" s="203"/>
      <c r="K207" s="203"/>
      <c r="L207" s="203"/>
      <c r="M207" s="203"/>
    </row>
    <row r="208" spans="2:13" ht="21" customHeight="1">
      <c r="B208" s="244" t="s">
        <v>196</v>
      </c>
      <c r="C208" s="244" t="s">
        <v>196</v>
      </c>
      <c r="D208" s="244" t="s">
        <v>196</v>
      </c>
      <c r="E208" s="244" t="s">
        <v>196</v>
      </c>
      <c r="F208" s="244" t="s">
        <v>196</v>
      </c>
      <c r="G208" s="244" t="s">
        <v>196</v>
      </c>
      <c r="H208" s="244" t="s">
        <v>196</v>
      </c>
      <c r="I208" s="244" t="s">
        <v>196</v>
      </c>
      <c r="J208" s="244" t="s">
        <v>196</v>
      </c>
      <c r="K208" s="244" t="s">
        <v>196</v>
      </c>
      <c r="L208" s="244" t="s">
        <v>196</v>
      </c>
      <c r="M208" s="244" t="s">
        <v>196</v>
      </c>
    </row>
    <row r="209" spans="1:13">
      <c r="B209" s="201" t="s">
        <v>179</v>
      </c>
      <c r="C209" s="200" t="s">
        <v>180</v>
      </c>
      <c r="D209" s="422">
        <f>SUM(F209:M209)</f>
        <v>0</v>
      </c>
      <c r="E209" s="423"/>
      <c r="F209" s="430"/>
      <c r="G209" s="431"/>
      <c r="H209" s="430"/>
      <c r="I209" s="431"/>
      <c r="J209" s="430"/>
      <c r="K209" s="431"/>
      <c r="L209" s="430"/>
      <c r="M209" s="431"/>
    </row>
    <row r="210" spans="1:13">
      <c r="B210" s="201" t="s">
        <v>181</v>
      </c>
      <c r="C210" s="202" t="s">
        <v>180</v>
      </c>
      <c r="D210" s="257">
        <f t="shared" ref="D210:E215" si="18">SUM(F210+H210+J210+L210)</f>
        <v>0</v>
      </c>
      <c r="E210" s="257">
        <f t="shared" si="18"/>
        <v>0</v>
      </c>
      <c r="F210" s="203"/>
      <c r="G210" s="203"/>
      <c r="H210" s="203"/>
      <c r="I210" s="203"/>
      <c r="J210" s="203"/>
      <c r="K210" s="203"/>
      <c r="L210" s="203"/>
      <c r="M210" s="203"/>
    </row>
    <row r="211" spans="1:13">
      <c r="B211" s="201" t="s">
        <v>182</v>
      </c>
      <c r="C211" s="202" t="s">
        <v>180</v>
      </c>
      <c r="D211" s="257">
        <f t="shared" si="18"/>
        <v>0</v>
      </c>
      <c r="E211" s="257">
        <f t="shared" si="18"/>
        <v>0</v>
      </c>
      <c r="F211" s="203"/>
      <c r="G211" s="203"/>
      <c r="H211" s="203"/>
      <c r="I211" s="203"/>
      <c r="J211" s="203"/>
      <c r="K211" s="203"/>
      <c r="L211" s="203"/>
      <c r="M211" s="203"/>
    </row>
    <row r="212" spans="1:13">
      <c r="B212" s="201" t="s">
        <v>183</v>
      </c>
      <c r="C212" s="202" t="s">
        <v>180</v>
      </c>
      <c r="D212" s="257">
        <f t="shared" si="18"/>
        <v>0</v>
      </c>
      <c r="E212" s="257">
        <f t="shared" si="18"/>
        <v>0</v>
      </c>
      <c r="F212" s="203"/>
      <c r="G212" s="203"/>
      <c r="H212" s="203"/>
      <c r="I212" s="203"/>
      <c r="J212" s="203"/>
      <c r="K212" s="203"/>
      <c r="L212" s="203"/>
      <c r="M212" s="203"/>
    </row>
    <row r="213" spans="1:13">
      <c r="B213" s="201" t="s">
        <v>184</v>
      </c>
      <c r="C213" s="202" t="s">
        <v>180</v>
      </c>
      <c r="D213" s="257">
        <f t="shared" si="18"/>
        <v>0</v>
      </c>
      <c r="E213" s="257">
        <f t="shared" si="18"/>
        <v>0</v>
      </c>
      <c r="F213" s="203"/>
      <c r="G213" s="203"/>
      <c r="H213" s="203"/>
      <c r="I213" s="203"/>
      <c r="J213" s="203"/>
      <c r="K213" s="203"/>
      <c r="L213" s="203"/>
      <c r="M213" s="203"/>
    </row>
    <row r="214" spans="1:13">
      <c r="B214" s="201" t="s">
        <v>185</v>
      </c>
      <c r="C214" s="202" t="s">
        <v>180</v>
      </c>
      <c r="D214" s="257">
        <f t="shared" si="18"/>
        <v>0</v>
      </c>
      <c r="E214" s="257">
        <f t="shared" si="18"/>
        <v>0</v>
      </c>
      <c r="F214" s="203"/>
      <c r="G214" s="203"/>
      <c r="H214" s="203"/>
      <c r="I214" s="203"/>
      <c r="J214" s="203"/>
      <c r="K214" s="203"/>
      <c r="L214" s="203"/>
      <c r="M214" s="203"/>
    </row>
    <row r="215" spans="1:13">
      <c r="B215" s="201" t="s">
        <v>186</v>
      </c>
      <c r="C215" s="202" t="s">
        <v>180</v>
      </c>
      <c r="D215" s="257">
        <f t="shared" si="18"/>
        <v>0</v>
      </c>
      <c r="E215" s="257">
        <f t="shared" si="18"/>
        <v>0</v>
      </c>
      <c r="F215" s="203"/>
      <c r="G215" s="203"/>
      <c r="H215" s="203"/>
      <c r="I215" s="203"/>
      <c r="J215" s="203"/>
      <c r="K215" s="203"/>
      <c r="L215" s="203"/>
      <c r="M215" s="203"/>
    </row>
    <row r="217" spans="1:13">
      <c r="B217" s="434" t="s">
        <v>197</v>
      </c>
      <c r="C217"/>
      <c r="D217"/>
    </row>
    <row r="218" spans="1:13" ht="103.5" customHeight="1">
      <c r="B218" s="434"/>
      <c r="C218" s="143" t="s">
        <v>499</v>
      </c>
      <c r="D218" s="143" t="s">
        <v>198</v>
      </c>
      <c r="E218" s="264" t="s">
        <v>199</v>
      </c>
    </row>
    <row r="219" spans="1:13">
      <c r="B219" s="4" t="s">
        <v>200</v>
      </c>
      <c r="C219" s="279">
        <v>0</v>
      </c>
      <c r="D219" s="279"/>
      <c r="E219" s="281">
        <v>0</v>
      </c>
    </row>
    <row r="220" spans="1:13">
      <c r="B220" s="4" t="s">
        <v>201</v>
      </c>
      <c r="C220" s="280">
        <v>0</v>
      </c>
      <c r="D220" s="279"/>
      <c r="E220" s="281">
        <v>0</v>
      </c>
    </row>
    <row r="223" spans="1:13" customFormat="1">
      <c r="C223" s="4" t="s">
        <v>498</v>
      </c>
    </row>
    <row r="224" spans="1:13" customFormat="1" ht="158.15" customHeight="1">
      <c r="A224" s="52">
        <v>4</v>
      </c>
      <c r="B224" s="432" t="s">
        <v>202</v>
      </c>
      <c r="C224" s="433" t="s">
        <v>548</v>
      </c>
    </row>
    <row r="225" spans="1:3" customFormat="1" ht="89.15" customHeight="1">
      <c r="A225" s="52">
        <v>4</v>
      </c>
      <c r="B225" s="432"/>
      <c r="C225" s="433"/>
    </row>
    <row r="226" spans="1:3" customFormat="1" ht="155.5" customHeight="1">
      <c r="A226" s="22"/>
      <c r="B226" s="432"/>
      <c r="C226" s="433"/>
    </row>
  </sheetData>
  <mergeCells count="137">
    <mergeCell ref="D194:E194"/>
    <mergeCell ref="D175:E175"/>
    <mergeCell ref="F175:G175"/>
    <mergeCell ref="H175:I175"/>
    <mergeCell ref="J175:K175"/>
    <mergeCell ref="D187:E187"/>
    <mergeCell ref="F160:G160"/>
    <mergeCell ref="H160:I160"/>
    <mergeCell ref="J160:K160"/>
    <mergeCell ref="L160:M160"/>
    <mergeCell ref="D160:E160"/>
    <mergeCell ref="H156:I156"/>
    <mergeCell ref="J156:K156"/>
    <mergeCell ref="L156:M156"/>
    <mergeCell ref="F187:G187"/>
    <mergeCell ref="H187:I187"/>
    <mergeCell ref="J187:K187"/>
    <mergeCell ref="L187:M187"/>
    <mergeCell ref="D151:E151"/>
    <mergeCell ref="J159:K159"/>
    <mergeCell ref="H143:I143"/>
    <mergeCell ref="H151:I151"/>
    <mergeCell ref="H159:I159"/>
    <mergeCell ref="H92:I92"/>
    <mergeCell ref="J92:K92"/>
    <mergeCell ref="L92:M92"/>
    <mergeCell ref="D147:E147"/>
    <mergeCell ref="F147:G147"/>
    <mergeCell ref="H147:I147"/>
    <mergeCell ref="J147:K147"/>
    <mergeCell ref="L147:M147"/>
    <mergeCell ref="D135:E135"/>
    <mergeCell ref="C114:E114"/>
    <mergeCell ref="D92:E92"/>
    <mergeCell ref="A97:D97"/>
    <mergeCell ref="B98:D99"/>
    <mergeCell ref="F122:G123"/>
    <mergeCell ref="F127:G127"/>
    <mergeCell ref="L127:M127"/>
    <mergeCell ref="L135:M135"/>
    <mergeCell ref="L122:M123"/>
    <mergeCell ref="J127:K127"/>
    <mergeCell ref="F131:G131"/>
    <mergeCell ref="F92:G92"/>
    <mergeCell ref="J135:K135"/>
    <mergeCell ref="H127:I127"/>
    <mergeCell ref="H135:I135"/>
    <mergeCell ref="H131:I131"/>
    <mergeCell ref="J131:K131"/>
    <mergeCell ref="L131:M131"/>
    <mergeCell ref="B3:C3"/>
    <mergeCell ref="A13:D13"/>
    <mergeCell ref="C120:E120"/>
    <mergeCell ref="C115:E115"/>
    <mergeCell ref="C119:E119"/>
    <mergeCell ref="B62:D62"/>
    <mergeCell ref="B73:D73"/>
    <mergeCell ref="A107:D107"/>
    <mergeCell ref="B56:D56"/>
    <mergeCell ref="B9:C9"/>
    <mergeCell ref="B10:C10"/>
    <mergeCell ref="B8:C8"/>
    <mergeCell ref="B101:B105"/>
    <mergeCell ref="B91:C91"/>
    <mergeCell ref="B14:D15"/>
    <mergeCell ref="F209:G209"/>
    <mergeCell ref="F193:G193"/>
    <mergeCell ref="D159:E159"/>
    <mergeCell ref="D143:E143"/>
    <mergeCell ref="L193:M193"/>
    <mergeCell ref="L201:M201"/>
    <mergeCell ref="L209:M209"/>
    <mergeCell ref="L143:M143"/>
    <mergeCell ref="L151:M151"/>
    <mergeCell ref="L159:M159"/>
    <mergeCell ref="L167:M167"/>
    <mergeCell ref="J167:K167"/>
    <mergeCell ref="H167:I167"/>
    <mergeCell ref="L183:M183"/>
    <mergeCell ref="J183:K183"/>
    <mergeCell ref="F143:G143"/>
    <mergeCell ref="F151:G151"/>
    <mergeCell ref="F159:G159"/>
    <mergeCell ref="J143:K143"/>
    <mergeCell ref="J151:K151"/>
    <mergeCell ref="H179:I179"/>
    <mergeCell ref="J179:K179"/>
    <mergeCell ref="L179:M179"/>
    <mergeCell ref="L175:M175"/>
    <mergeCell ref="B224:B226"/>
    <mergeCell ref="C224:C226"/>
    <mergeCell ref="B217:B218"/>
    <mergeCell ref="H122:I123"/>
    <mergeCell ref="J122:K123"/>
    <mergeCell ref="J193:K193"/>
    <mergeCell ref="J201:K201"/>
    <mergeCell ref="J209:K209"/>
    <mergeCell ref="F201:G201"/>
    <mergeCell ref="H183:I183"/>
    <mergeCell ref="H193:I193"/>
    <mergeCell ref="H201:I201"/>
    <mergeCell ref="H209:I209"/>
    <mergeCell ref="D127:E127"/>
    <mergeCell ref="B122:E123"/>
    <mergeCell ref="D167:E167"/>
    <mergeCell ref="F135:G135"/>
    <mergeCell ref="F137:G137"/>
    <mergeCell ref="F138:G138"/>
    <mergeCell ref="F139:G139"/>
    <mergeCell ref="F140:G140"/>
    <mergeCell ref="D183:E183"/>
    <mergeCell ref="D209:E209"/>
    <mergeCell ref="D193:E193"/>
    <mergeCell ref="D201:E201"/>
    <mergeCell ref="F153:G153"/>
    <mergeCell ref="F156:G156"/>
    <mergeCell ref="H153:I153"/>
    <mergeCell ref="J153:K153"/>
    <mergeCell ref="L153:M153"/>
    <mergeCell ref="L202:M202"/>
    <mergeCell ref="F141:G141"/>
    <mergeCell ref="F136:G136"/>
    <mergeCell ref="H136:I136"/>
    <mergeCell ref="J136:K136"/>
    <mergeCell ref="F202:G202"/>
    <mergeCell ref="H202:I202"/>
    <mergeCell ref="J202:K202"/>
    <mergeCell ref="F167:G167"/>
    <mergeCell ref="F183:G183"/>
    <mergeCell ref="H161:I161"/>
    <mergeCell ref="J161:K161"/>
    <mergeCell ref="L161:M161"/>
    <mergeCell ref="J168:K168"/>
    <mergeCell ref="L168:M168"/>
    <mergeCell ref="F179:G179"/>
    <mergeCell ref="L136:M136"/>
    <mergeCell ref="F161:G16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4"/>
  <sheetViews>
    <sheetView showGridLines="0" topLeftCell="B4" zoomScale="44" zoomScaleNormal="70" workbookViewId="0">
      <selection activeCell="I26" sqref="I26"/>
    </sheetView>
  </sheetViews>
  <sheetFormatPr defaultColWidth="8.7265625" defaultRowHeight="21"/>
  <cols>
    <col min="1" max="1" width="13.1796875" style="157" hidden="1" customWidth="1"/>
    <col min="2" max="2" width="59.81640625" style="157" bestFit="1" customWidth="1"/>
    <col min="3" max="3" width="58.453125" style="157" customWidth="1"/>
    <col min="4" max="4" width="52.54296875" style="157" customWidth="1"/>
    <col min="5" max="5" width="48.1796875" style="157" bestFit="1" customWidth="1"/>
    <col min="6" max="6" width="66.453125" style="157" bestFit="1" customWidth="1"/>
    <col min="7" max="7" width="72.26953125" style="157" customWidth="1"/>
    <col min="8" max="8" width="49.54296875" style="157" customWidth="1"/>
    <col min="9" max="9" width="38.81640625" style="157" bestFit="1" customWidth="1"/>
    <col min="10" max="10" width="39.54296875" style="157" customWidth="1"/>
    <col min="11" max="11" width="57" style="157" customWidth="1"/>
    <col min="12" max="12" width="33.1796875" style="157" customWidth="1"/>
    <col min="13" max="13" width="42" style="157" customWidth="1"/>
    <col min="14" max="14" width="38.54296875" style="157" customWidth="1"/>
    <col min="15" max="15" width="48.7265625" style="157" customWidth="1"/>
    <col min="16" max="16" width="38.26953125" style="157" customWidth="1"/>
    <col min="17" max="17" width="12.6328125" style="157" customWidth="1"/>
    <col min="18" max="18" width="15.453125" style="157" customWidth="1"/>
    <col min="19" max="16384" width="8.7265625" style="157"/>
  </cols>
  <sheetData>
    <row r="1" spans="1:18" ht="42">
      <c r="A1" s="156" t="s">
        <v>74</v>
      </c>
      <c r="B1" s="156" t="s">
        <v>75</v>
      </c>
      <c r="C1" s="156" t="s">
        <v>76</v>
      </c>
      <c r="E1" s="158" t="s">
        <v>77</v>
      </c>
      <c r="F1" s="159" t="s">
        <v>78</v>
      </c>
    </row>
    <row r="3" spans="1:18" ht="54" customHeight="1">
      <c r="A3" s="167">
        <v>1</v>
      </c>
      <c r="B3" s="449" t="s">
        <v>93</v>
      </c>
      <c r="C3" s="449"/>
      <c r="E3" s="161"/>
    </row>
    <row r="4" spans="1:18" ht="54" customHeight="1">
      <c r="A4" s="167"/>
      <c r="B4" s="451" t="s">
        <v>94</v>
      </c>
      <c r="C4" s="452"/>
      <c r="D4" s="161"/>
      <c r="E4" s="161"/>
    </row>
    <row r="5" spans="1:18" ht="54" customHeight="1">
      <c r="A5" s="167"/>
      <c r="B5" s="453" t="s">
        <v>95</v>
      </c>
      <c r="C5" s="454"/>
      <c r="D5" s="161"/>
      <c r="E5" s="161"/>
    </row>
    <row r="6" spans="1:18" ht="54" customHeight="1">
      <c r="A6" s="167"/>
      <c r="B6" s="169" t="s">
        <v>96</v>
      </c>
      <c r="C6" s="170">
        <v>1</v>
      </c>
      <c r="D6" s="161"/>
      <c r="E6" s="161"/>
    </row>
    <row r="7" spans="1:18" ht="54" customHeight="1">
      <c r="A7" s="167"/>
      <c r="B7" s="169" t="s">
        <v>97</v>
      </c>
      <c r="C7" s="171">
        <f>C6*3.6*1000000</f>
        <v>3600000</v>
      </c>
      <c r="D7" s="161"/>
      <c r="E7" s="161"/>
    </row>
    <row r="8" spans="1:18" s="207" customFormat="1">
      <c r="A8" s="446"/>
      <c r="B8" s="446"/>
      <c r="C8" s="446"/>
      <c r="D8" s="447"/>
      <c r="E8" s="173"/>
      <c r="F8" s="173"/>
    </row>
    <row r="9" spans="1:18" s="207" customFormat="1">
      <c r="A9" s="174"/>
      <c r="B9" s="456" t="s">
        <v>98</v>
      </c>
      <c r="C9" s="456"/>
      <c r="D9" s="456"/>
      <c r="E9" s="173"/>
      <c r="F9" s="173"/>
    </row>
    <row r="10" spans="1:18" s="207" customFormat="1">
      <c r="A10" s="174"/>
      <c r="B10" s="456"/>
      <c r="C10" s="456"/>
      <c r="D10" s="456"/>
      <c r="E10" s="173"/>
      <c r="F10" s="173"/>
    </row>
    <row r="11" spans="1:18" s="207" customFormat="1" ht="42">
      <c r="A11" s="174"/>
      <c r="B11" s="246" t="s">
        <v>99</v>
      </c>
      <c r="C11" s="265" t="s">
        <v>100</v>
      </c>
      <c r="D11" s="346" t="s">
        <v>101</v>
      </c>
      <c r="E11" s="347" t="s">
        <v>102</v>
      </c>
      <c r="F11" s="156" t="s">
        <v>489</v>
      </c>
      <c r="G11" s="245">
        <v>45383</v>
      </c>
      <c r="H11" s="245">
        <v>45413</v>
      </c>
      <c r="I11" s="245">
        <v>45444</v>
      </c>
      <c r="J11" s="245">
        <v>45474</v>
      </c>
      <c r="K11" s="245">
        <v>45505</v>
      </c>
      <c r="L11" s="245">
        <v>45536</v>
      </c>
      <c r="M11" s="245">
        <v>45566</v>
      </c>
      <c r="N11" s="245">
        <v>45597</v>
      </c>
      <c r="O11" s="245">
        <v>45627</v>
      </c>
      <c r="P11" s="245">
        <v>45658</v>
      </c>
      <c r="Q11" s="245">
        <v>45689</v>
      </c>
      <c r="R11" s="245">
        <v>45717</v>
      </c>
    </row>
    <row r="12" spans="1:18" s="207" customFormat="1">
      <c r="A12" s="174"/>
      <c r="B12" s="175" t="s">
        <v>105</v>
      </c>
      <c r="C12" s="176" t="s">
        <v>104</v>
      </c>
      <c r="D12" s="176"/>
      <c r="E12" s="176"/>
      <c r="F12" s="247"/>
      <c r="G12" s="239"/>
      <c r="H12" s="239"/>
      <c r="I12" s="239"/>
      <c r="J12" s="239"/>
      <c r="K12" s="239"/>
      <c r="L12" s="239"/>
      <c r="M12" s="239"/>
      <c r="N12" s="239"/>
      <c r="O12" s="239"/>
      <c r="P12" s="239"/>
      <c r="Q12" s="239"/>
      <c r="R12" s="239"/>
    </row>
    <row r="13" spans="1:18" s="207" customFormat="1" ht="42">
      <c r="A13" s="174"/>
      <c r="B13" s="291" t="s">
        <v>106</v>
      </c>
      <c r="C13" s="176"/>
      <c r="D13" s="176"/>
      <c r="E13" s="176"/>
      <c r="F13" s="247">
        <f>SUM(G13:R13)</f>
        <v>0</v>
      </c>
      <c r="G13" s="239"/>
      <c r="H13" s="239"/>
      <c r="I13" s="239"/>
      <c r="J13" s="239"/>
      <c r="K13" s="239"/>
      <c r="L13" s="239"/>
      <c r="M13" s="239"/>
      <c r="N13" s="239"/>
      <c r="O13" s="239"/>
      <c r="P13" s="239"/>
      <c r="Q13" s="239"/>
      <c r="R13" s="239"/>
    </row>
    <row r="14" spans="1:18" s="207" customFormat="1">
      <c r="A14" s="174"/>
      <c r="B14" s="175" t="s">
        <v>107</v>
      </c>
      <c r="C14" s="176" t="s">
        <v>108</v>
      </c>
      <c r="D14" s="176"/>
      <c r="E14" s="176"/>
      <c r="F14" s="247">
        <f>SUM(G14:R14)</f>
        <v>285434</v>
      </c>
      <c r="G14" s="176">
        <v>20213</v>
      </c>
      <c r="H14" s="176">
        <v>27842</v>
      </c>
      <c r="I14" s="176">
        <v>31317</v>
      </c>
      <c r="J14" s="176">
        <v>27446</v>
      </c>
      <c r="K14" s="176">
        <v>25422</v>
      </c>
      <c r="L14" s="176">
        <v>24859</v>
      </c>
      <c r="M14" s="176">
        <v>24149</v>
      </c>
      <c r="N14" s="176">
        <v>27260</v>
      </c>
      <c r="O14" s="176">
        <v>21101</v>
      </c>
      <c r="P14" s="176">
        <v>19234</v>
      </c>
      <c r="Q14" s="176">
        <v>19246</v>
      </c>
      <c r="R14" s="176">
        <v>17345</v>
      </c>
    </row>
    <row r="15" spans="1:18" s="207" customFormat="1" ht="58.5" customHeight="1">
      <c r="A15" s="174"/>
      <c r="B15" s="246" t="s">
        <v>203</v>
      </c>
      <c r="C15" s="265" t="s">
        <v>100</v>
      </c>
      <c r="D15" s="346" t="s">
        <v>101</v>
      </c>
      <c r="E15" s="347" t="s">
        <v>102</v>
      </c>
      <c r="F15" s="156" t="s">
        <v>489</v>
      </c>
      <c r="G15" s="245">
        <v>45383</v>
      </c>
      <c r="H15" s="245">
        <v>45413</v>
      </c>
      <c r="I15" s="245">
        <v>45444</v>
      </c>
      <c r="J15" s="245">
        <v>45474</v>
      </c>
      <c r="K15" s="245">
        <v>45505</v>
      </c>
      <c r="L15" s="245">
        <v>45536</v>
      </c>
      <c r="M15" s="245">
        <v>45566</v>
      </c>
      <c r="N15" s="245">
        <v>45597</v>
      </c>
      <c r="O15" s="245">
        <v>45627</v>
      </c>
      <c r="P15" s="245">
        <v>45658</v>
      </c>
      <c r="Q15" s="245">
        <v>45689</v>
      </c>
      <c r="R15" s="245">
        <v>45717</v>
      </c>
    </row>
    <row r="16" spans="1:18" s="207" customFormat="1">
      <c r="A16" s="174"/>
      <c r="B16" s="175" t="s">
        <v>204</v>
      </c>
      <c r="C16" s="176"/>
      <c r="D16" s="176"/>
      <c r="E16" s="176"/>
      <c r="F16" s="247">
        <f>SUM(G16:R16)</f>
        <v>0</v>
      </c>
      <c r="G16" s="239"/>
      <c r="H16" s="239"/>
      <c r="I16" s="239"/>
      <c r="J16" s="239"/>
      <c r="K16" s="239"/>
      <c r="L16" s="239"/>
      <c r="M16" s="239"/>
      <c r="N16" s="239"/>
      <c r="O16" s="239"/>
      <c r="P16" s="239"/>
      <c r="Q16" s="239"/>
      <c r="R16" s="239"/>
    </row>
    <row r="17" spans="1:18" s="207" customFormat="1">
      <c r="A17" s="174"/>
      <c r="B17" s="278" t="s">
        <v>107</v>
      </c>
      <c r="C17" s="176" t="s">
        <v>111</v>
      </c>
      <c r="D17" s="176"/>
      <c r="E17" s="176"/>
      <c r="F17" s="247">
        <f>SUM(G17:R17)</f>
        <v>138780</v>
      </c>
      <c r="G17" s="239">
        <v>7920</v>
      </c>
      <c r="H17" s="239">
        <v>10260</v>
      </c>
      <c r="I17" s="239">
        <v>12720</v>
      </c>
      <c r="J17" s="239">
        <v>12660</v>
      </c>
      <c r="K17" s="239">
        <v>13500</v>
      </c>
      <c r="L17" s="239">
        <v>12540</v>
      </c>
      <c r="M17" s="239">
        <v>12000</v>
      </c>
      <c r="N17" s="239">
        <v>13140</v>
      </c>
      <c r="O17" s="239">
        <v>11760</v>
      </c>
      <c r="P17" s="239">
        <v>11100</v>
      </c>
      <c r="Q17" s="239">
        <v>10680</v>
      </c>
      <c r="R17" s="239">
        <v>10500</v>
      </c>
    </row>
    <row r="18" spans="1:18" s="207" customFormat="1">
      <c r="A18" s="266"/>
      <c r="B18" s="266"/>
      <c r="C18" s="266"/>
      <c r="D18" s="194"/>
      <c r="E18" s="173"/>
      <c r="F18" s="173"/>
    </row>
    <row r="19" spans="1:18">
      <c r="A19" s="160">
        <v>3</v>
      </c>
      <c r="B19" s="156" t="s">
        <v>112</v>
      </c>
      <c r="C19" s="156" t="s">
        <v>488</v>
      </c>
      <c r="D19" s="245">
        <v>45383</v>
      </c>
      <c r="E19" s="245">
        <v>45413</v>
      </c>
      <c r="F19" s="245">
        <v>45444</v>
      </c>
      <c r="G19" s="245">
        <v>45474</v>
      </c>
      <c r="H19" s="245">
        <v>45505</v>
      </c>
      <c r="I19" s="245">
        <v>45536</v>
      </c>
      <c r="J19" s="245">
        <v>45566</v>
      </c>
      <c r="K19" s="245">
        <v>45597</v>
      </c>
      <c r="L19" s="245">
        <v>45627</v>
      </c>
      <c r="M19" s="245">
        <v>45658</v>
      </c>
      <c r="N19" s="245">
        <v>45689</v>
      </c>
      <c r="O19" s="245">
        <v>45717</v>
      </c>
    </row>
    <row r="20" spans="1:18" ht="53.25" customHeight="1">
      <c r="A20" s="160">
        <v>3</v>
      </c>
      <c r="B20" s="172" t="s">
        <v>113</v>
      </c>
      <c r="C20" s="156" t="s">
        <v>114</v>
      </c>
      <c r="D20" s="156" t="s">
        <v>114</v>
      </c>
      <c r="E20" s="156" t="s">
        <v>114</v>
      </c>
      <c r="F20" s="156" t="s">
        <v>114</v>
      </c>
      <c r="G20" s="156" t="s">
        <v>114</v>
      </c>
      <c r="H20" s="156" t="s">
        <v>114</v>
      </c>
      <c r="I20" s="156" t="s">
        <v>114</v>
      </c>
      <c r="J20" s="156" t="s">
        <v>114</v>
      </c>
      <c r="K20" s="156" t="s">
        <v>114</v>
      </c>
      <c r="L20" s="156" t="s">
        <v>114</v>
      </c>
      <c r="M20" s="156" t="s">
        <v>114</v>
      </c>
      <c r="N20" s="156" t="s">
        <v>114</v>
      </c>
      <c r="O20" s="156" t="s">
        <v>114</v>
      </c>
    </row>
    <row r="21" spans="1:18">
      <c r="A21" s="163">
        <v>3</v>
      </c>
      <c r="B21" s="177" t="s">
        <v>115</v>
      </c>
      <c r="C21" s="248">
        <f t="shared" ref="C21:C26" si="0">SUM(D21:O21)</f>
        <v>0</v>
      </c>
      <c r="D21" s="250"/>
      <c r="E21" s="250"/>
      <c r="F21" s="250"/>
      <c r="G21" s="250"/>
      <c r="H21" s="250"/>
      <c r="I21" s="250"/>
      <c r="J21" s="250"/>
      <c r="K21" s="250"/>
      <c r="L21" s="250"/>
      <c r="M21" s="250"/>
      <c r="N21" s="250"/>
      <c r="O21" s="250"/>
    </row>
    <row r="22" spans="1:18">
      <c r="A22" s="163">
        <v>3</v>
      </c>
      <c r="B22" s="177" t="s">
        <v>116</v>
      </c>
      <c r="C22" s="248">
        <f t="shared" si="0"/>
        <v>0</v>
      </c>
      <c r="D22" s="250"/>
      <c r="E22" s="250"/>
      <c r="F22" s="250"/>
      <c r="G22" s="250"/>
      <c r="H22" s="250"/>
      <c r="I22" s="250"/>
      <c r="J22" s="250"/>
      <c r="K22" s="250"/>
      <c r="L22" s="250"/>
      <c r="M22" s="250"/>
      <c r="N22" s="250"/>
      <c r="O22" s="250"/>
    </row>
    <row r="23" spans="1:18">
      <c r="A23" s="163">
        <v>3</v>
      </c>
      <c r="B23" s="177" t="s">
        <v>117</v>
      </c>
      <c r="C23" s="248">
        <f t="shared" si="0"/>
        <v>4477</v>
      </c>
      <c r="D23" s="250">
        <v>283</v>
      </c>
      <c r="E23" s="250">
        <v>377</v>
      </c>
      <c r="F23" s="250">
        <v>389</v>
      </c>
      <c r="G23" s="250">
        <v>357</v>
      </c>
      <c r="H23" s="250">
        <v>359</v>
      </c>
      <c r="I23" s="250">
        <v>450</v>
      </c>
      <c r="J23" s="250">
        <v>405</v>
      </c>
      <c r="K23" s="250">
        <v>436</v>
      </c>
      <c r="L23" s="250">
        <v>308</v>
      </c>
      <c r="M23" s="250">
        <v>401</v>
      </c>
      <c r="N23" s="250">
        <v>398</v>
      </c>
      <c r="O23" s="250">
        <v>314</v>
      </c>
    </row>
    <row r="24" spans="1:18" ht="42">
      <c r="A24" s="163">
        <v>3</v>
      </c>
      <c r="B24" s="177" t="s">
        <v>118</v>
      </c>
      <c r="C24" s="248">
        <f t="shared" si="0"/>
        <v>0</v>
      </c>
      <c r="D24" s="250"/>
      <c r="E24" s="250"/>
      <c r="F24" s="250"/>
      <c r="G24" s="250"/>
      <c r="H24" s="250"/>
      <c r="I24" s="250"/>
      <c r="J24" s="250"/>
      <c r="K24" s="250"/>
      <c r="L24" s="250"/>
      <c r="M24" s="250"/>
      <c r="N24" s="250"/>
      <c r="O24" s="250"/>
    </row>
    <row r="25" spans="1:18">
      <c r="A25" s="163">
        <v>3</v>
      </c>
      <c r="B25" s="177" t="s">
        <v>119</v>
      </c>
      <c r="C25" s="248">
        <f t="shared" si="0"/>
        <v>0</v>
      </c>
      <c r="D25" s="250"/>
      <c r="E25" s="250"/>
      <c r="F25" s="250"/>
      <c r="G25" s="250"/>
      <c r="H25" s="250"/>
      <c r="I25" s="250"/>
      <c r="J25" s="250"/>
      <c r="K25" s="250"/>
      <c r="L25" s="250"/>
      <c r="M25" s="250"/>
      <c r="N25" s="250"/>
      <c r="O25" s="250"/>
    </row>
    <row r="26" spans="1:18" ht="42">
      <c r="A26" s="163">
        <v>3</v>
      </c>
      <c r="B26" s="178" t="s">
        <v>120</v>
      </c>
      <c r="C26" s="248">
        <f t="shared" si="0"/>
        <v>4477</v>
      </c>
      <c r="D26" s="250">
        <f t="shared" ref="D26:O26" si="1">SUM(D21:D25)</f>
        <v>283</v>
      </c>
      <c r="E26" s="250">
        <f t="shared" si="1"/>
        <v>377</v>
      </c>
      <c r="F26" s="250">
        <f t="shared" si="1"/>
        <v>389</v>
      </c>
      <c r="G26" s="250">
        <f t="shared" si="1"/>
        <v>357</v>
      </c>
      <c r="H26" s="250">
        <f t="shared" si="1"/>
        <v>359</v>
      </c>
      <c r="I26" s="250">
        <f t="shared" si="1"/>
        <v>450</v>
      </c>
      <c r="J26" s="250">
        <f t="shared" si="1"/>
        <v>405</v>
      </c>
      <c r="K26" s="250">
        <f t="shared" si="1"/>
        <v>436</v>
      </c>
      <c r="L26" s="250">
        <f t="shared" si="1"/>
        <v>308</v>
      </c>
      <c r="M26" s="250">
        <f t="shared" si="1"/>
        <v>401</v>
      </c>
      <c r="N26" s="250">
        <f t="shared" si="1"/>
        <v>398</v>
      </c>
      <c r="O26" s="250">
        <f t="shared" si="1"/>
        <v>314</v>
      </c>
    </row>
    <row r="27" spans="1:18" s="207" customFormat="1">
      <c r="A27" s="174"/>
      <c r="B27" s="179"/>
      <c r="C27" s="180"/>
      <c r="D27" s="251"/>
      <c r="E27" s="251"/>
      <c r="F27" s="252"/>
      <c r="G27" s="251"/>
      <c r="H27" s="251"/>
      <c r="I27" s="251"/>
      <c r="J27" s="251"/>
      <c r="K27" s="251"/>
      <c r="L27" s="251"/>
      <c r="M27" s="251"/>
      <c r="N27" s="251"/>
      <c r="O27" s="251"/>
    </row>
    <row r="28" spans="1:18" ht="42">
      <c r="A28" s="163">
        <v>3</v>
      </c>
      <c r="B28" s="178" t="s">
        <v>121</v>
      </c>
      <c r="C28" s="249">
        <f>SUM(D28:O28)</f>
        <v>0</v>
      </c>
      <c r="D28" s="253"/>
      <c r="E28" s="253"/>
      <c r="F28" s="253"/>
      <c r="G28" s="253"/>
      <c r="H28" s="253"/>
      <c r="I28" s="253"/>
      <c r="J28" s="253"/>
      <c r="K28" s="253"/>
      <c r="L28" s="253"/>
      <c r="M28" s="253"/>
      <c r="N28" s="253"/>
      <c r="O28" s="253"/>
    </row>
    <row r="29" spans="1:18" s="207" customFormat="1">
      <c r="A29" s="181"/>
      <c r="B29" s="181"/>
      <c r="C29" s="181"/>
      <c r="D29" s="161"/>
      <c r="E29" s="173"/>
      <c r="F29" s="173"/>
    </row>
    <row r="30" spans="1:18" ht="42">
      <c r="A30" s="163">
        <v>4</v>
      </c>
      <c r="B30" s="178" t="s">
        <v>122</v>
      </c>
      <c r="C30" s="163"/>
      <c r="D30" s="161"/>
      <c r="E30" s="161"/>
    </row>
    <row r="31" spans="1:18">
      <c r="A31" s="160">
        <v>4</v>
      </c>
      <c r="B31" s="172" t="s">
        <v>112</v>
      </c>
      <c r="C31" s="156" t="s">
        <v>488</v>
      </c>
      <c r="D31" s="245">
        <v>45383</v>
      </c>
      <c r="E31" s="245">
        <v>45413</v>
      </c>
      <c r="F31" s="245">
        <v>45444</v>
      </c>
      <c r="G31" s="245">
        <v>45474</v>
      </c>
      <c r="H31" s="245">
        <v>45505</v>
      </c>
      <c r="I31" s="245">
        <v>45536</v>
      </c>
      <c r="J31" s="245">
        <v>45566</v>
      </c>
      <c r="K31" s="245">
        <v>45597</v>
      </c>
      <c r="L31" s="245">
        <v>45627</v>
      </c>
      <c r="M31" s="245">
        <v>45658</v>
      </c>
      <c r="N31" s="245">
        <v>45689</v>
      </c>
      <c r="O31" s="245">
        <v>45717</v>
      </c>
    </row>
    <row r="32" spans="1:18" ht="42">
      <c r="A32" s="160">
        <v>4</v>
      </c>
      <c r="B32" s="168" t="s">
        <v>123</v>
      </c>
      <c r="C32" s="156" t="s">
        <v>114</v>
      </c>
      <c r="D32" s="156" t="s">
        <v>114</v>
      </c>
      <c r="E32" s="156" t="s">
        <v>114</v>
      </c>
      <c r="F32" s="156" t="s">
        <v>114</v>
      </c>
      <c r="G32" s="156" t="s">
        <v>114</v>
      </c>
      <c r="H32" s="156" t="s">
        <v>114</v>
      </c>
      <c r="I32" s="156" t="s">
        <v>114</v>
      </c>
      <c r="J32" s="156" t="s">
        <v>114</v>
      </c>
      <c r="K32" s="156" t="s">
        <v>114</v>
      </c>
      <c r="L32" s="156" t="s">
        <v>114</v>
      </c>
      <c r="M32" s="156" t="s">
        <v>114</v>
      </c>
      <c r="N32" s="156" t="s">
        <v>114</v>
      </c>
      <c r="O32" s="156" t="s">
        <v>114</v>
      </c>
    </row>
    <row r="33" spans="1:15">
      <c r="A33" s="163">
        <v>4</v>
      </c>
      <c r="B33" s="172" t="s">
        <v>124</v>
      </c>
      <c r="C33" s="172" t="s">
        <v>124</v>
      </c>
      <c r="D33" s="172" t="s">
        <v>124</v>
      </c>
      <c r="E33" s="172" t="s">
        <v>124</v>
      </c>
      <c r="F33" s="172" t="s">
        <v>124</v>
      </c>
      <c r="G33" s="172" t="s">
        <v>124</v>
      </c>
      <c r="H33" s="172" t="s">
        <v>124</v>
      </c>
      <c r="I33" s="172" t="s">
        <v>124</v>
      </c>
      <c r="J33" s="172" t="s">
        <v>124</v>
      </c>
      <c r="K33" s="172" t="s">
        <v>124</v>
      </c>
      <c r="L33" s="172" t="s">
        <v>124</v>
      </c>
      <c r="M33" s="172" t="s">
        <v>124</v>
      </c>
      <c r="N33" s="172" t="s">
        <v>124</v>
      </c>
      <c r="O33" s="172" t="s">
        <v>124</v>
      </c>
    </row>
    <row r="34" spans="1:15">
      <c r="A34" s="163">
        <v>4</v>
      </c>
      <c r="B34" s="177" t="s">
        <v>125</v>
      </c>
      <c r="C34" s="249">
        <f>SUM(D34:O34)</f>
        <v>0</v>
      </c>
      <c r="D34" s="163"/>
      <c r="E34" s="163"/>
      <c r="F34" s="163"/>
      <c r="G34" s="163"/>
      <c r="H34" s="163"/>
      <c r="I34" s="163"/>
      <c r="J34" s="163"/>
      <c r="K34" s="163"/>
      <c r="L34" s="163"/>
      <c r="M34" s="163"/>
      <c r="N34" s="163"/>
      <c r="O34" s="163"/>
    </row>
    <row r="35" spans="1:15" ht="42">
      <c r="A35" s="163">
        <v>4</v>
      </c>
      <c r="B35" s="177" t="s">
        <v>126</v>
      </c>
      <c r="C35" s="249">
        <f>SUM(D35:O35)</f>
        <v>0</v>
      </c>
      <c r="D35" s="163"/>
      <c r="E35" s="163"/>
      <c r="F35" s="163"/>
      <c r="G35" s="163"/>
      <c r="H35" s="163"/>
      <c r="I35" s="163"/>
      <c r="J35" s="163"/>
      <c r="K35" s="163"/>
      <c r="L35" s="163"/>
      <c r="M35" s="163"/>
      <c r="N35" s="163"/>
      <c r="O35" s="163"/>
    </row>
    <row r="36" spans="1:15">
      <c r="A36" s="160">
        <v>4</v>
      </c>
      <c r="B36" s="172" t="s">
        <v>127</v>
      </c>
      <c r="C36" s="172" t="s">
        <v>127</v>
      </c>
      <c r="D36" s="172" t="s">
        <v>127</v>
      </c>
      <c r="E36" s="172" t="s">
        <v>127</v>
      </c>
      <c r="F36" s="172" t="s">
        <v>127</v>
      </c>
      <c r="G36" s="172" t="s">
        <v>127</v>
      </c>
      <c r="H36" s="172" t="s">
        <v>127</v>
      </c>
      <c r="I36" s="172" t="s">
        <v>127</v>
      </c>
      <c r="J36" s="172" t="s">
        <v>127</v>
      </c>
      <c r="K36" s="172" t="s">
        <v>127</v>
      </c>
      <c r="L36" s="172" t="s">
        <v>127</v>
      </c>
      <c r="M36" s="172" t="s">
        <v>127</v>
      </c>
      <c r="N36" s="172" t="s">
        <v>127</v>
      </c>
      <c r="O36" s="172" t="s">
        <v>127</v>
      </c>
    </row>
    <row r="37" spans="1:15">
      <c r="A37" s="163">
        <v>4</v>
      </c>
      <c r="B37" s="177" t="s">
        <v>128</v>
      </c>
      <c r="C37" s="249">
        <f>SUM(D37:O37)</f>
        <v>0</v>
      </c>
      <c r="D37" s="163"/>
      <c r="E37" s="163"/>
      <c r="F37" s="163"/>
      <c r="G37" s="163"/>
      <c r="H37" s="163"/>
      <c r="I37" s="163"/>
      <c r="J37" s="163"/>
      <c r="K37" s="163"/>
      <c r="L37" s="163"/>
      <c r="M37" s="163"/>
      <c r="N37" s="163"/>
      <c r="O37" s="163"/>
    </row>
    <row r="38" spans="1:15" ht="42">
      <c r="A38" s="163">
        <v>4</v>
      </c>
      <c r="B38" s="177" t="s">
        <v>129</v>
      </c>
      <c r="C38" s="249">
        <f>SUM(D38:O38)</f>
        <v>0</v>
      </c>
      <c r="D38" s="163"/>
      <c r="E38" s="163"/>
      <c r="F38" s="163"/>
      <c r="G38" s="163"/>
      <c r="H38" s="163"/>
      <c r="I38" s="163"/>
      <c r="J38" s="163"/>
      <c r="K38" s="163"/>
      <c r="L38" s="163"/>
      <c r="M38" s="163"/>
      <c r="N38" s="163"/>
      <c r="O38" s="163"/>
    </row>
    <row r="39" spans="1:15">
      <c r="A39" s="163">
        <v>4</v>
      </c>
      <c r="B39" s="172" t="s">
        <v>130</v>
      </c>
      <c r="C39" s="172" t="s">
        <v>130</v>
      </c>
      <c r="D39" s="172" t="s">
        <v>130</v>
      </c>
      <c r="E39" s="172" t="s">
        <v>130</v>
      </c>
      <c r="F39" s="172" t="s">
        <v>130</v>
      </c>
      <c r="G39" s="172" t="s">
        <v>130</v>
      </c>
      <c r="H39" s="172" t="s">
        <v>130</v>
      </c>
      <c r="I39" s="172" t="s">
        <v>130</v>
      </c>
      <c r="J39" s="172" t="s">
        <v>130</v>
      </c>
      <c r="K39" s="172" t="s">
        <v>130</v>
      </c>
      <c r="L39" s="172" t="s">
        <v>130</v>
      </c>
      <c r="M39" s="172" t="s">
        <v>130</v>
      </c>
      <c r="N39" s="172" t="s">
        <v>130</v>
      </c>
      <c r="O39" s="172" t="s">
        <v>130</v>
      </c>
    </row>
    <row r="40" spans="1:15">
      <c r="A40" s="163">
        <v>4</v>
      </c>
      <c r="B40" s="177" t="s">
        <v>128</v>
      </c>
      <c r="C40" s="249">
        <f>SUM(D40:O40)</f>
        <v>0</v>
      </c>
      <c r="D40" s="163"/>
      <c r="E40" s="163"/>
      <c r="F40" s="163"/>
      <c r="G40" s="163"/>
      <c r="H40" s="163"/>
      <c r="I40" s="163"/>
      <c r="J40" s="163"/>
      <c r="K40" s="163"/>
      <c r="L40" s="163"/>
      <c r="M40" s="163"/>
      <c r="N40" s="163"/>
      <c r="O40" s="163"/>
    </row>
    <row r="41" spans="1:15" ht="42">
      <c r="A41" s="160">
        <v>4</v>
      </c>
      <c r="B41" s="177" t="s">
        <v>126</v>
      </c>
      <c r="C41" s="249">
        <f>SUM(D41:O41)</f>
        <v>0</v>
      </c>
      <c r="D41" s="163"/>
      <c r="E41" s="163"/>
      <c r="F41" s="163"/>
      <c r="G41" s="163"/>
      <c r="H41" s="163"/>
      <c r="I41" s="163"/>
      <c r="J41" s="163"/>
      <c r="K41" s="163"/>
      <c r="L41" s="163"/>
      <c r="M41" s="163"/>
      <c r="N41" s="163"/>
      <c r="O41" s="163"/>
    </row>
    <row r="42" spans="1:15">
      <c r="A42" s="160">
        <v>4</v>
      </c>
      <c r="B42" s="172" t="s">
        <v>131</v>
      </c>
      <c r="C42" s="172" t="s">
        <v>131</v>
      </c>
      <c r="D42" s="172" t="s">
        <v>131</v>
      </c>
      <c r="E42" s="172" t="s">
        <v>131</v>
      </c>
      <c r="F42" s="172" t="s">
        <v>131</v>
      </c>
      <c r="G42" s="172" t="s">
        <v>131</v>
      </c>
      <c r="H42" s="172" t="s">
        <v>131</v>
      </c>
      <c r="I42" s="172" t="s">
        <v>131</v>
      </c>
      <c r="J42" s="172" t="s">
        <v>131</v>
      </c>
      <c r="K42" s="172" t="s">
        <v>131</v>
      </c>
      <c r="L42" s="172" t="s">
        <v>131</v>
      </c>
      <c r="M42" s="172" t="s">
        <v>131</v>
      </c>
      <c r="N42" s="172" t="s">
        <v>131</v>
      </c>
      <c r="O42" s="172" t="s">
        <v>131</v>
      </c>
    </row>
    <row r="43" spans="1:15">
      <c r="A43" s="160">
        <v>4</v>
      </c>
      <c r="B43" s="177" t="s">
        <v>128</v>
      </c>
      <c r="C43" s="249">
        <f>SUM(D43:O43)</f>
        <v>0</v>
      </c>
      <c r="D43" s="163"/>
      <c r="E43" s="163"/>
      <c r="F43" s="163"/>
      <c r="G43" s="163"/>
      <c r="H43" s="163"/>
      <c r="I43" s="163"/>
      <c r="J43" s="163"/>
      <c r="K43" s="163"/>
      <c r="L43" s="163"/>
      <c r="M43" s="163"/>
      <c r="N43" s="163"/>
      <c r="O43" s="163"/>
    </row>
    <row r="44" spans="1:15" ht="42">
      <c r="A44" s="160">
        <v>4</v>
      </c>
      <c r="B44" s="177" t="s">
        <v>126</v>
      </c>
      <c r="C44" s="249">
        <f>SUM(D44:O44)</f>
        <v>0</v>
      </c>
      <c r="D44" s="163"/>
      <c r="E44" s="163"/>
      <c r="F44" s="163"/>
      <c r="G44" s="163"/>
      <c r="H44" s="163"/>
      <c r="I44" s="163"/>
      <c r="J44" s="163"/>
      <c r="K44" s="163"/>
      <c r="L44" s="163"/>
      <c r="M44" s="163"/>
      <c r="N44" s="163"/>
      <c r="O44" s="163"/>
    </row>
    <row r="45" spans="1:15">
      <c r="A45" s="160">
        <v>4</v>
      </c>
      <c r="B45" s="172" t="s">
        <v>119</v>
      </c>
      <c r="C45" s="172" t="s">
        <v>119</v>
      </c>
      <c r="D45" s="172" t="s">
        <v>119</v>
      </c>
      <c r="E45" s="172" t="s">
        <v>119</v>
      </c>
      <c r="F45" s="172" t="s">
        <v>119</v>
      </c>
      <c r="G45" s="172" t="s">
        <v>119</v>
      </c>
      <c r="H45" s="172" t="s">
        <v>119</v>
      </c>
      <c r="I45" s="172" t="s">
        <v>119</v>
      </c>
      <c r="J45" s="172" t="s">
        <v>119</v>
      </c>
      <c r="K45" s="172" t="s">
        <v>119</v>
      </c>
      <c r="L45" s="172" t="s">
        <v>119</v>
      </c>
      <c r="M45" s="172" t="s">
        <v>119</v>
      </c>
      <c r="N45" s="172" t="s">
        <v>119</v>
      </c>
      <c r="O45" s="172" t="s">
        <v>119</v>
      </c>
    </row>
    <row r="46" spans="1:15">
      <c r="A46" s="160">
        <v>4</v>
      </c>
      <c r="B46" s="177" t="s">
        <v>128</v>
      </c>
      <c r="C46" s="249">
        <f>SUM(D46:O46)</f>
        <v>0</v>
      </c>
      <c r="D46" s="163"/>
      <c r="E46" s="163"/>
      <c r="F46" s="163"/>
      <c r="G46" s="163"/>
      <c r="H46" s="163"/>
      <c r="I46" s="163"/>
      <c r="J46" s="163"/>
      <c r="K46" s="163"/>
      <c r="L46" s="163"/>
      <c r="M46" s="163"/>
      <c r="N46" s="163"/>
      <c r="O46" s="163"/>
    </row>
    <row r="47" spans="1:15" ht="42">
      <c r="A47" s="160">
        <v>4</v>
      </c>
      <c r="B47" s="177" t="s">
        <v>126</v>
      </c>
      <c r="C47" s="249">
        <f>SUM(D47:O47)</f>
        <v>0</v>
      </c>
      <c r="D47" s="163"/>
      <c r="E47" s="163"/>
      <c r="F47" s="163"/>
      <c r="G47" s="163"/>
      <c r="H47" s="163"/>
      <c r="I47" s="163"/>
      <c r="J47" s="163"/>
      <c r="K47" s="163"/>
      <c r="L47" s="163"/>
      <c r="M47" s="163"/>
      <c r="N47" s="163"/>
      <c r="O47" s="163"/>
    </row>
    <row r="48" spans="1:15" ht="42.75" customHeight="1">
      <c r="A48" s="160">
        <v>4</v>
      </c>
      <c r="B48" s="172" t="s">
        <v>132</v>
      </c>
      <c r="C48" s="249">
        <f>SUM(D48:O48)</f>
        <v>0</v>
      </c>
      <c r="D48" s="182">
        <f t="shared" ref="D48:O48" si="2">D34+D35+D37+D38+D40+D41+D43+D44+D46+D47</f>
        <v>0</v>
      </c>
      <c r="E48" s="182">
        <f t="shared" si="2"/>
        <v>0</v>
      </c>
      <c r="F48" s="182">
        <f t="shared" si="2"/>
        <v>0</v>
      </c>
      <c r="G48" s="182">
        <f t="shared" si="2"/>
        <v>0</v>
      </c>
      <c r="H48" s="182">
        <f t="shared" si="2"/>
        <v>0</v>
      </c>
      <c r="I48" s="182">
        <f t="shared" si="2"/>
        <v>0</v>
      </c>
      <c r="J48" s="182">
        <f t="shared" si="2"/>
        <v>0</v>
      </c>
      <c r="K48" s="182">
        <f t="shared" si="2"/>
        <v>0</v>
      </c>
      <c r="L48" s="182">
        <f t="shared" si="2"/>
        <v>0</v>
      </c>
      <c r="M48" s="182">
        <f t="shared" si="2"/>
        <v>0</v>
      </c>
      <c r="N48" s="182">
        <f t="shared" si="2"/>
        <v>0</v>
      </c>
      <c r="O48" s="182">
        <f t="shared" si="2"/>
        <v>0</v>
      </c>
    </row>
    <row r="49" spans="1:12" s="207" customFormat="1">
      <c r="A49" s="173"/>
      <c r="B49" s="173"/>
      <c r="D49" s="173"/>
      <c r="E49" s="173"/>
      <c r="F49" s="173"/>
    </row>
    <row r="50" spans="1:12" ht="52.5" customHeight="1">
      <c r="A50" s="160">
        <v>6</v>
      </c>
      <c r="B50" s="445" t="s">
        <v>148</v>
      </c>
      <c r="C50" s="445"/>
      <c r="D50" s="161"/>
      <c r="E50" s="161"/>
      <c r="F50" s="161"/>
    </row>
    <row r="51" spans="1:12">
      <c r="A51" s="160">
        <v>6</v>
      </c>
      <c r="B51" s="191" t="s">
        <v>139</v>
      </c>
      <c r="C51" s="192" t="s">
        <v>149</v>
      </c>
      <c r="D51" s="156" t="s">
        <v>488</v>
      </c>
      <c r="E51" s="156" t="s">
        <v>205</v>
      </c>
      <c r="F51" s="156" t="s">
        <v>206</v>
      </c>
      <c r="G51" s="156" t="s">
        <v>207</v>
      </c>
      <c r="H51" s="156" t="s">
        <v>208</v>
      </c>
    </row>
    <row r="52" spans="1:12" ht="21" customHeight="1">
      <c r="A52" s="160">
        <v>6</v>
      </c>
      <c r="B52" s="193" t="s">
        <v>153</v>
      </c>
      <c r="C52" s="163" t="s">
        <v>154</v>
      </c>
      <c r="D52" s="163"/>
      <c r="E52" s="163"/>
      <c r="F52" s="163"/>
      <c r="G52" s="163"/>
      <c r="H52" s="163"/>
      <c r="I52" s="477" t="s">
        <v>209</v>
      </c>
    </row>
    <row r="53" spans="1:12" ht="21" customHeight="1">
      <c r="A53" s="160">
        <v>6</v>
      </c>
      <c r="B53" s="193" t="s">
        <v>155</v>
      </c>
      <c r="C53" s="163" t="s">
        <v>154</v>
      </c>
      <c r="D53" s="163"/>
      <c r="E53" s="163"/>
      <c r="F53" s="163"/>
      <c r="G53" s="163"/>
      <c r="H53" s="163"/>
      <c r="I53" s="478"/>
    </row>
    <row r="54" spans="1:12" ht="21" customHeight="1">
      <c r="A54" s="160">
        <v>6</v>
      </c>
      <c r="B54" s="193" t="s">
        <v>156</v>
      </c>
      <c r="C54" s="163" t="s">
        <v>154</v>
      </c>
      <c r="D54" s="163"/>
      <c r="E54" s="163"/>
      <c r="F54" s="163"/>
      <c r="G54" s="163"/>
      <c r="H54" s="163"/>
      <c r="I54" s="479"/>
    </row>
    <row r="55" spans="1:12" s="207" customFormat="1">
      <c r="A55" s="450"/>
      <c r="B55" s="450"/>
      <c r="C55" s="450"/>
      <c r="D55" s="450"/>
      <c r="F55" s="173"/>
    </row>
    <row r="56" spans="1:12" s="207" customFormat="1" ht="21" customHeight="1">
      <c r="A56" s="194"/>
      <c r="B56" s="473" t="s">
        <v>157</v>
      </c>
      <c r="C56" s="474"/>
      <c r="D56" s="474"/>
      <c r="E56" s="474"/>
      <c r="F56" s="173"/>
    </row>
    <row r="57" spans="1:12" s="207" customFormat="1">
      <c r="A57" s="194"/>
      <c r="B57" s="464"/>
      <c r="C57" s="465"/>
      <c r="D57" s="465"/>
      <c r="E57" s="465"/>
      <c r="F57" s="161"/>
      <c r="G57" s="157"/>
      <c r="H57" s="157"/>
      <c r="I57" s="157"/>
      <c r="J57" s="157"/>
      <c r="K57" s="157"/>
      <c r="L57" s="157"/>
    </row>
    <row r="58" spans="1:12" s="207" customFormat="1">
      <c r="A58" s="194"/>
      <c r="B58" s="349" t="s">
        <v>75</v>
      </c>
      <c r="C58" s="192" t="s">
        <v>158</v>
      </c>
      <c r="D58" s="192" t="s">
        <v>149</v>
      </c>
      <c r="E58" s="156" t="s">
        <v>488</v>
      </c>
      <c r="F58" s="348"/>
      <c r="G58" s="348"/>
      <c r="H58" s="348"/>
      <c r="I58" s="157"/>
      <c r="J58" s="157"/>
      <c r="K58" s="157"/>
      <c r="L58" s="157"/>
    </row>
    <row r="59" spans="1:12" s="207" customFormat="1">
      <c r="A59" s="194"/>
      <c r="B59" s="455" t="s">
        <v>159</v>
      </c>
      <c r="C59" s="350" t="s">
        <v>160</v>
      </c>
      <c r="D59" s="163" t="s">
        <v>154</v>
      </c>
      <c r="E59" s="163"/>
      <c r="F59" s="307"/>
      <c r="G59" s="307"/>
      <c r="H59" s="307"/>
      <c r="I59" s="157"/>
      <c r="J59" s="157"/>
      <c r="K59" s="157"/>
      <c r="L59" s="157"/>
    </row>
    <row r="60" spans="1:12" s="207" customFormat="1">
      <c r="A60" s="194"/>
      <c r="B60" s="455"/>
      <c r="C60" s="350" t="s">
        <v>161</v>
      </c>
      <c r="D60" s="163" t="s">
        <v>154</v>
      </c>
      <c r="E60" s="163"/>
      <c r="F60" s="161"/>
      <c r="G60" s="157"/>
      <c r="H60" s="157"/>
      <c r="I60" s="157"/>
      <c r="J60" s="157"/>
      <c r="K60" s="157"/>
      <c r="L60" s="157"/>
    </row>
    <row r="61" spans="1:12" s="207" customFormat="1">
      <c r="A61" s="194"/>
      <c r="B61" s="455"/>
      <c r="C61" s="350" t="s">
        <v>162</v>
      </c>
      <c r="D61" s="163" t="s">
        <v>154</v>
      </c>
      <c r="E61" s="163"/>
      <c r="F61" s="348"/>
      <c r="G61" s="348"/>
      <c r="H61" s="348"/>
      <c r="I61" s="157"/>
      <c r="J61" s="157"/>
      <c r="K61" s="157"/>
      <c r="L61" s="157"/>
    </row>
    <row r="62" spans="1:12" s="207" customFormat="1">
      <c r="A62" s="194"/>
      <c r="B62" s="455"/>
      <c r="C62" s="350" t="s">
        <v>163</v>
      </c>
      <c r="D62" s="163" t="s">
        <v>154</v>
      </c>
      <c r="E62" s="163"/>
      <c r="F62" s="307"/>
      <c r="G62" s="307"/>
      <c r="H62" s="307"/>
      <c r="I62" s="157"/>
      <c r="J62" s="157"/>
      <c r="K62" s="157"/>
      <c r="L62" s="157"/>
    </row>
    <row r="63" spans="1:12" s="207" customFormat="1">
      <c r="A63" s="194"/>
      <c r="B63" s="455"/>
      <c r="C63" s="351" t="s">
        <v>164</v>
      </c>
      <c r="D63" s="163" t="s">
        <v>154</v>
      </c>
      <c r="E63" s="163"/>
      <c r="F63" s="307"/>
      <c r="G63" s="307"/>
      <c r="H63" s="307"/>
      <c r="I63" s="157"/>
      <c r="J63" s="157"/>
      <c r="K63" s="157"/>
      <c r="L63" s="157"/>
    </row>
    <row r="64" spans="1:12" s="207" customFormat="1">
      <c r="A64" s="194"/>
      <c r="B64" s="268" t="s">
        <v>165</v>
      </c>
      <c r="C64" s="351" t="s">
        <v>165</v>
      </c>
      <c r="D64" s="163" t="s">
        <v>154</v>
      </c>
      <c r="E64" s="163"/>
      <c r="F64" s="307"/>
      <c r="G64" s="307"/>
      <c r="H64" s="307"/>
      <c r="I64" s="157"/>
      <c r="J64" s="157"/>
      <c r="K64" s="157"/>
      <c r="L64" s="157"/>
    </row>
    <row r="65" spans="1:13" s="207" customFormat="1">
      <c r="A65" s="450"/>
      <c r="B65" s="447"/>
      <c r="C65" s="450"/>
      <c r="D65" s="450"/>
      <c r="F65" s="173"/>
    </row>
    <row r="66" spans="1:13" s="207" customFormat="1">
      <c r="A66" s="475"/>
      <c r="B66" s="475"/>
      <c r="C66" s="475"/>
      <c r="D66" s="475"/>
      <c r="E66" s="475"/>
      <c r="F66" s="198" t="s">
        <v>91</v>
      </c>
    </row>
    <row r="67" spans="1:13" s="207" customFormat="1">
      <c r="A67" s="174"/>
      <c r="B67" s="190"/>
      <c r="C67" s="476"/>
      <c r="D67" s="476"/>
      <c r="E67" s="476"/>
      <c r="F67" s="173"/>
    </row>
    <row r="69" spans="1:13">
      <c r="B69" s="436" t="s">
        <v>493</v>
      </c>
      <c r="C69" s="436"/>
      <c r="D69" s="436"/>
      <c r="E69" s="436"/>
      <c r="F69" s="435" t="s">
        <v>494</v>
      </c>
      <c r="G69" s="435"/>
      <c r="H69" s="435" t="s">
        <v>495</v>
      </c>
      <c r="I69" s="435"/>
      <c r="J69" s="435" t="s">
        <v>496</v>
      </c>
      <c r="K69" s="435"/>
      <c r="L69" s="435" t="s">
        <v>497</v>
      </c>
      <c r="M69" s="435"/>
    </row>
    <row r="70" spans="1:13">
      <c r="B70" s="436"/>
      <c r="C70" s="436"/>
      <c r="D70" s="436"/>
      <c r="E70" s="436"/>
      <c r="F70" s="435"/>
      <c r="G70" s="435"/>
      <c r="H70" s="435"/>
      <c r="I70" s="435"/>
      <c r="J70" s="435"/>
      <c r="K70" s="435"/>
      <c r="L70" s="435"/>
      <c r="M70" s="435"/>
    </row>
    <row r="71" spans="1:13">
      <c r="B71" s="208" t="s">
        <v>175</v>
      </c>
      <c r="C71" s="208" t="s">
        <v>175</v>
      </c>
      <c r="D71" s="208" t="s">
        <v>175</v>
      </c>
      <c r="E71" s="208" t="s">
        <v>175</v>
      </c>
      <c r="F71" s="208" t="s">
        <v>175</v>
      </c>
      <c r="G71" s="208" t="s">
        <v>175</v>
      </c>
      <c r="H71" s="208" t="s">
        <v>175</v>
      </c>
      <c r="I71" s="208" t="s">
        <v>175</v>
      </c>
      <c r="J71" s="208" t="s">
        <v>175</v>
      </c>
      <c r="K71" s="208" t="s">
        <v>175</v>
      </c>
      <c r="L71" s="208" t="s">
        <v>175</v>
      </c>
      <c r="M71" s="208" t="s">
        <v>175</v>
      </c>
    </row>
    <row r="72" spans="1:13">
      <c r="B72" s="208"/>
      <c r="C72" s="208" t="s">
        <v>100</v>
      </c>
      <c r="D72" s="208" t="s">
        <v>176</v>
      </c>
      <c r="E72" s="208" t="s">
        <v>177</v>
      </c>
      <c r="F72" s="208" t="s">
        <v>176</v>
      </c>
      <c r="G72" s="208" t="s">
        <v>177</v>
      </c>
      <c r="H72" s="208" t="s">
        <v>176</v>
      </c>
      <c r="I72" s="208" t="s">
        <v>177</v>
      </c>
      <c r="J72" s="208" t="s">
        <v>176</v>
      </c>
      <c r="K72" s="208" t="s">
        <v>177</v>
      </c>
      <c r="L72" s="208" t="s">
        <v>176</v>
      </c>
      <c r="M72" s="208" t="s">
        <v>177</v>
      </c>
    </row>
    <row r="73" spans="1:13">
      <c r="B73" s="208" t="s">
        <v>178</v>
      </c>
      <c r="C73" s="208" t="s">
        <v>178</v>
      </c>
      <c r="D73" s="208" t="s">
        <v>178</v>
      </c>
      <c r="E73" s="208" t="s">
        <v>178</v>
      </c>
      <c r="F73" s="208" t="s">
        <v>178</v>
      </c>
      <c r="G73" s="208" t="s">
        <v>178</v>
      </c>
      <c r="H73" s="208" t="s">
        <v>178</v>
      </c>
      <c r="I73" s="208" t="s">
        <v>178</v>
      </c>
      <c r="J73" s="208" t="s">
        <v>178</v>
      </c>
      <c r="K73" s="208" t="s">
        <v>178</v>
      </c>
      <c r="L73" s="208" t="s">
        <v>178</v>
      </c>
      <c r="M73" s="208" t="s">
        <v>178</v>
      </c>
    </row>
    <row r="74" spans="1:13">
      <c r="B74" s="199" t="s">
        <v>179</v>
      </c>
      <c r="C74" s="200" t="s">
        <v>180</v>
      </c>
      <c r="D74" s="422">
        <f>SUM(F74:M74)</f>
        <v>0</v>
      </c>
      <c r="E74" s="423"/>
      <c r="F74" s="430"/>
      <c r="G74" s="431"/>
      <c r="H74" s="430"/>
      <c r="I74" s="431"/>
      <c r="J74" s="430"/>
      <c r="K74" s="431"/>
      <c r="L74" s="430"/>
      <c r="M74" s="431"/>
    </row>
    <row r="75" spans="1:13">
      <c r="B75" s="201" t="s">
        <v>181</v>
      </c>
      <c r="C75" s="202" t="s">
        <v>180</v>
      </c>
      <c r="D75" s="257">
        <f t="shared" ref="D75:E80" si="3">SUM(F75+H75+J75+L75)</f>
        <v>0</v>
      </c>
      <c r="E75" s="257">
        <f t="shared" si="3"/>
        <v>0</v>
      </c>
      <c r="F75" s="203"/>
      <c r="G75" s="203"/>
      <c r="H75" s="203"/>
      <c r="I75" s="203"/>
      <c r="J75" s="203"/>
      <c r="K75" s="203"/>
      <c r="L75" s="203"/>
      <c r="M75" s="203"/>
    </row>
    <row r="76" spans="1:13">
      <c r="B76" s="201" t="s">
        <v>182</v>
      </c>
      <c r="C76" s="202" t="s">
        <v>180</v>
      </c>
      <c r="D76" s="257">
        <f t="shared" si="3"/>
        <v>0</v>
      </c>
      <c r="E76" s="257">
        <f t="shared" si="3"/>
        <v>0</v>
      </c>
      <c r="F76" s="203"/>
      <c r="G76" s="203"/>
      <c r="H76" s="203"/>
      <c r="I76" s="203"/>
      <c r="J76" s="203"/>
      <c r="K76" s="203"/>
      <c r="L76" s="203"/>
      <c r="M76" s="203"/>
    </row>
    <row r="77" spans="1:13">
      <c r="B77" s="201" t="s">
        <v>183</v>
      </c>
      <c r="C77" s="202" t="s">
        <v>180</v>
      </c>
      <c r="D77" s="257">
        <f t="shared" si="3"/>
        <v>0</v>
      </c>
      <c r="E77" s="257">
        <f t="shared" si="3"/>
        <v>0</v>
      </c>
      <c r="F77" s="203"/>
      <c r="G77" s="203"/>
      <c r="H77" s="203"/>
      <c r="I77" s="203"/>
      <c r="J77" s="203"/>
      <c r="K77" s="203"/>
      <c r="L77" s="203"/>
      <c r="M77" s="203"/>
    </row>
    <row r="78" spans="1:13">
      <c r="B78" s="204" t="s">
        <v>184</v>
      </c>
      <c r="C78" s="202" t="s">
        <v>180</v>
      </c>
      <c r="D78" s="257">
        <f t="shared" si="3"/>
        <v>0</v>
      </c>
      <c r="E78" s="257">
        <f t="shared" si="3"/>
        <v>0</v>
      </c>
      <c r="F78" s="203"/>
      <c r="G78" s="203"/>
      <c r="H78" s="203"/>
      <c r="I78" s="203"/>
      <c r="J78" s="203"/>
      <c r="K78" s="203"/>
      <c r="L78" s="203"/>
      <c r="M78" s="203"/>
    </row>
    <row r="79" spans="1:13">
      <c r="B79" s="196" t="s">
        <v>185</v>
      </c>
      <c r="C79" s="202" t="s">
        <v>180</v>
      </c>
      <c r="D79" s="257">
        <f t="shared" si="3"/>
        <v>0</v>
      </c>
      <c r="E79" s="257">
        <f t="shared" si="3"/>
        <v>0</v>
      </c>
      <c r="F79" s="203"/>
      <c r="G79" s="203"/>
      <c r="H79" s="203"/>
      <c r="I79" s="203"/>
      <c r="J79" s="203"/>
      <c r="K79" s="203"/>
      <c r="L79" s="203"/>
      <c r="M79" s="203"/>
    </row>
    <row r="80" spans="1:13">
      <c r="B80" s="196" t="s">
        <v>186</v>
      </c>
      <c r="C80" s="202" t="s">
        <v>180</v>
      </c>
      <c r="D80" s="257">
        <f t="shared" si="3"/>
        <v>0</v>
      </c>
      <c r="E80" s="257">
        <f t="shared" si="3"/>
        <v>0</v>
      </c>
      <c r="F80" s="203"/>
      <c r="G80" s="203"/>
      <c r="H80" s="203"/>
      <c r="I80" s="203"/>
      <c r="J80" s="203"/>
      <c r="K80" s="203"/>
      <c r="L80" s="203"/>
      <c r="M80" s="203"/>
    </row>
    <row r="81" spans="2:13" ht="42">
      <c r="B81" s="255" t="s">
        <v>187</v>
      </c>
      <c r="C81" s="255" t="s">
        <v>187</v>
      </c>
      <c r="D81" s="255" t="s">
        <v>187</v>
      </c>
      <c r="E81" s="255" t="s">
        <v>187</v>
      </c>
      <c r="F81" s="255" t="s">
        <v>187</v>
      </c>
      <c r="G81" s="255" t="s">
        <v>187</v>
      </c>
      <c r="H81" s="255" t="s">
        <v>187</v>
      </c>
      <c r="I81" s="255" t="s">
        <v>187</v>
      </c>
      <c r="J81" s="255" t="s">
        <v>187</v>
      </c>
      <c r="K81" s="255" t="s">
        <v>187</v>
      </c>
      <c r="L81" s="255" t="s">
        <v>187</v>
      </c>
      <c r="M81" s="255" t="s">
        <v>187</v>
      </c>
    </row>
    <row r="82" spans="2:13">
      <c r="B82" s="199" t="s">
        <v>179</v>
      </c>
      <c r="C82" s="200" t="s">
        <v>180</v>
      </c>
      <c r="D82" s="422">
        <f>SUM(F82:M82)</f>
        <v>0</v>
      </c>
      <c r="E82" s="423"/>
      <c r="F82" s="430"/>
      <c r="G82" s="431"/>
      <c r="H82" s="430"/>
      <c r="I82" s="431"/>
      <c r="J82" s="430"/>
      <c r="K82" s="431"/>
      <c r="L82" s="430"/>
      <c r="M82" s="431"/>
    </row>
    <row r="83" spans="2:13">
      <c r="B83" s="201" t="s">
        <v>181</v>
      </c>
      <c r="C83" s="202" t="s">
        <v>180</v>
      </c>
      <c r="D83" s="257">
        <f t="shared" ref="D83:E88" si="4">SUM(F83+H83+J83+L83)</f>
        <v>0</v>
      </c>
      <c r="E83" s="257">
        <f t="shared" si="4"/>
        <v>0</v>
      </c>
      <c r="F83" s="203"/>
      <c r="G83" s="203"/>
      <c r="H83" s="203"/>
      <c r="I83" s="203"/>
      <c r="J83" s="203"/>
      <c r="K83" s="203"/>
      <c r="L83" s="203"/>
      <c r="M83" s="203"/>
    </row>
    <row r="84" spans="2:13">
      <c r="B84" s="201" t="s">
        <v>182</v>
      </c>
      <c r="C84" s="202" t="s">
        <v>180</v>
      </c>
      <c r="D84" s="257">
        <f t="shared" si="4"/>
        <v>0</v>
      </c>
      <c r="E84" s="257">
        <f t="shared" si="4"/>
        <v>0</v>
      </c>
      <c r="F84" s="203"/>
      <c r="G84" s="203"/>
      <c r="H84" s="203"/>
      <c r="I84" s="203"/>
      <c r="J84" s="203"/>
      <c r="K84" s="203"/>
      <c r="L84" s="203"/>
      <c r="M84" s="203"/>
    </row>
    <row r="85" spans="2:13">
      <c r="B85" s="201" t="s">
        <v>183</v>
      </c>
      <c r="C85" s="202" t="s">
        <v>180</v>
      </c>
      <c r="D85" s="257">
        <f t="shared" si="4"/>
        <v>0</v>
      </c>
      <c r="E85" s="257">
        <f t="shared" si="4"/>
        <v>0</v>
      </c>
      <c r="F85" s="203"/>
      <c r="G85" s="203"/>
      <c r="H85" s="203"/>
      <c r="I85" s="203"/>
      <c r="J85" s="203"/>
      <c r="K85" s="203"/>
      <c r="L85" s="203"/>
      <c r="M85" s="203"/>
    </row>
    <row r="86" spans="2:13">
      <c r="B86" s="204" t="s">
        <v>184</v>
      </c>
      <c r="C86" s="202" t="s">
        <v>180</v>
      </c>
      <c r="D86" s="257">
        <f t="shared" si="4"/>
        <v>0</v>
      </c>
      <c r="E86" s="257">
        <f t="shared" si="4"/>
        <v>0</v>
      </c>
      <c r="F86" s="203"/>
      <c r="G86" s="203"/>
      <c r="H86" s="203"/>
      <c r="I86" s="203"/>
      <c r="J86" s="203"/>
      <c r="K86" s="203"/>
      <c r="L86" s="203"/>
      <c r="M86" s="203"/>
    </row>
    <row r="87" spans="2:13">
      <c r="B87" s="201" t="s">
        <v>185</v>
      </c>
      <c r="C87" s="202" t="s">
        <v>180</v>
      </c>
      <c r="D87" s="257">
        <f t="shared" si="4"/>
        <v>0</v>
      </c>
      <c r="E87" s="257">
        <f t="shared" si="4"/>
        <v>0</v>
      </c>
      <c r="F87" s="203"/>
      <c r="G87" s="203"/>
      <c r="H87" s="203"/>
      <c r="I87" s="203"/>
      <c r="J87" s="203"/>
      <c r="K87" s="203"/>
      <c r="L87" s="203"/>
      <c r="M87" s="203"/>
    </row>
    <row r="88" spans="2:13">
      <c r="B88" s="201" t="s">
        <v>186</v>
      </c>
      <c r="C88" s="202" t="s">
        <v>180</v>
      </c>
      <c r="D88" s="257">
        <f t="shared" si="4"/>
        <v>0</v>
      </c>
      <c r="E88" s="257">
        <f t="shared" si="4"/>
        <v>0</v>
      </c>
      <c r="F88" s="203"/>
      <c r="G88" s="203"/>
      <c r="H88" s="203"/>
      <c r="I88" s="203"/>
      <c r="J88" s="203"/>
      <c r="K88" s="203"/>
      <c r="L88" s="203"/>
      <c r="M88" s="203"/>
    </row>
    <row r="89" spans="2:13">
      <c r="B89" s="255" t="s">
        <v>188</v>
      </c>
      <c r="C89" s="255" t="s">
        <v>188</v>
      </c>
      <c r="D89" s="255" t="s">
        <v>188</v>
      </c>
      <c r="E89" s="255" t="s">
        <v>188</v>
      </c>
      <c r="F89" s="255" t="s">
        <v>188</v>
      </c>
      <c r="G89" s="255" t="s">
        <v>188</v>
      </c>
      <c r="H89" s="255" t="s">
        <v>188</v>
      </c>
      <c r="I89" s="255" t="s">
        <v>188</v>
      </c>
      <c r="J89" s="255" t="s">
        <v>188</v>
      </c>
      <c r="K89" s="255" t="s">
        <v>188</v>
      </c>
      <c r="L89" s="255" t="s">
        <v>188</v>
      </c>
      <c r="M89" s="255" t="s">
        <v>188</v>
      </c>
    </row>
    <row r="90" spans="2:13">
      <c r="B90" s="201" t="s">
        <v>179</v>
      </c>
      <c r="C90" s="200" t="s">
        <v>180</v>
      </c>
      <c r="D90" s="422">
        <f>SUM(F90:M90)</f>
        <v>0</v>
      </c>
      <c r="E90" s="423"/>
      <c r="F90" s="430"/>
      <c r="G90" s="431"/>
      <c r="H90" s="430"/>
      <c r="I90" s="431"/>
      <c r="J90" s="430"/>
      <c r="K90" s="431"/>
      <c r="L90" s="430"/>
      <c r="M90" s="431"/>
    </row>
    <row r="91" spans="2:13">
      <c r="B91" s="201" t="s">
        <v>181</v>
      </c>
      <c r="C91" s="202" t="s">
        <v>180</v>
      </c>
      <c r="D91" s="257">
        <f t="shared" ref="D91:E96" si="5">SUM(F91+H91+J91+L91)</f>
        <v>0</v>
      </c>
      <c r="E91" s="257">
        <f t="shared" si="5"/>
        <v>0</v>
      </c>
      <c r="F91" s="203"/>
      <c r="G91" s="203"/>
      <c r="H91" s="203"/>
      <c r="I91" s="203"/>
      <c r="J91" s="203"/>
      <c r="K91" s="203"/>
      <c r="L91" s="203"/>
      <c r="M91" s="203"/>
    </row>
    <row r="92" spans="2:13">
      <c r="B92" s="201" t="s">
        <v>182</v>
      </c>
      <c r="C92" s="202" t="s">
        <v>180</v>
      </c>
      <c r="D92" s="257">
        <f t="shared" si="5"/>
        <v>0</v>
      </c>
      <c r="E92" s="257">
        <f t="shared" si="5"/>
        <v>0</v>
      </c>
      <c r="F92" s="203"/>
      <c r="G92" s="203"/>
      <c r="H92" s="203"/>
      <c r="I92" s="203"/>
      <c r="J92" s="203"/>
      <c r="K92" s="203"/>
      <c r="L92" s="203"/>
      <c r="M92" s="203"/>
    </row>
    <row r="93" spans="2:13">
      <c r="B93" s="201" t="s">
        <v>183</v>
      </c>
      <c r="C93" s="202" t="s">
        <v>180</v>
      </c>
      <c r="D93" s="257">
        <f t="shared" si="5"/>
        <v>0</v>
      </c>
      <c r="E93" s="257">
        <f t="shared" si="5"/>
        <v>0</v>
      </c>
      <c r="F93" s="203"/>
      <c r="G93" s="203"/>
      <c r="H93" s="203"/>
      <c r="I93" s="203"/>
      <c r="J93" s="203"/>
      <c r="K93" s="203"/>
      <c r="L93" s="203"/>
      <c r="M93" s="203"/>
    </row>
    <row r="94" spans="2:13">
      <c r="B94" s="201" t="s">
        <v>184</v>
      </c>
      <c r="C94" s="202" t="s">
        <v>180</v>
      </c>
      <c r="D94" s="257">
        <f t="shared" si="5"/>
        <v>0</v>
      </c>
      <c r="E94" s="257">
        <f t="shared" si="5"/>
        <v>0</v>
      </c>
      <c r="F94" s="203"/>
      <c r="G94" s="203"/>
      <c r="H94" s="203"/>
      <c r="I94" s="203"/>
      <c r="J94" s="203"/>
      <c r="K94" s="203"/>
      <c r="L94" s="203"/>
      <c r="M94" s="203"/>
    </row>
    <row r="95" spans="2:13">
      <c r="B95" s="201" t="s">
        <v>185</v>
      </c>
      <c r="C95" s="202" t="s">
        <v>180</v>
      </c>
      <c r="D95" s="257">
        <f t="shared" si="5"/>
        <v>0</v>
      </c>
      <c r="E95" s="257">
        <f t="shared" si="5"/>
        <v>0</v>
      </c>
      <c r="F95" s="203"/>
      <c r="G95" s="203"/>
      <c r="H95" s="203"/>
      <c r="I95" s="203"/>
      <c r="J95" s="203"/>
      <c r="K95" s="203"/>
      <c r="L95" s="203"/>
      <c r="M95" s="203"/>
    </row>
    <row r="96" spans="2:13">
      <c r="B96" s="201" t="s">
        <v>186</v>
      </c>
      <c r="C96" s="202" t="s">
        <v>180</v>
      </c>
      <c r="D96" s="257">
        <f t="shared" si="5"/>
        <v>0</v>
      </c>
      <c r="E96" s="257">
        <f t="shared" si="5"/>
        <v>0</v>
      </c>
      <c r="F96" s="203"/>
      <c r="G96" s="203"/>
      <c r="H96" s="203"/>
      <c r="I96" s="203"/>
      <c r="J96" s="203"/>
      <c r="K96" s="203"/>
      <c r="L96" s="203"/>
      <c r="M96" s="203"/>
    </row>
    <row r="97" spans="2:13" ht="42">
      <c r="B97" s="255" t="s">
        <v>189</v>
      </c>
      <c r="C97" s="255" t="s">
        <v>189</v>
      </c>
      <c r="D97" s="255" t="s">
        <v>189</v>
      </c>
      <c r="E97" s="255" t="s">
        <v>189</v>
      </c>
      <c r="F97" s="255" t="s">
        <v>189</v>
      </c>
      <c r="G97" s="255" t="s">
        <v>189</v>
      </c>
      <c r="H97" s="255" t="s">
        <v>189</v>
      </c>
      <c r="I97" s="255" t="s">
        <v>189</v>
      </c>
      <c r="J97" s="255" t="s">
        <v>189</v>
      </c>
      <c r="K97" s="255" t="s">
        <v>189</v>
      </c>
      <c r="L97" s="255" t="s">
        <v>189</v>
      </c>
      <c r="M97" s="255" t="s">
        <v>189</v>
      </c>
    </row>
    <row r="98" spans="2:13">
      <c r="B98" s="201" t="s">
        <v>179</v>
      </c>
      <c r="C98" s="200" t="s">
        <v>180</v>
      </c>
      <c r="D98" s="422">
        <f>SUM(F98:M98)</f>
        <v>0</v>
      </c>
      <c r="E98" s="423"/>
      <c r="F98" s="430"/>
      <c r="G98" s="431"/>
      <c r="H98" s="430"/>
      <c r="I98" s="431"/>
      <c r="J98" s="430"/>
      <c r="K98" s="431"/>
      <c r="L98" s="430"/>
      <c r="M98" s="431"/>
    </row>
    <row r="99" spans="2:13">
      <c r="B99" s="201" t="s">
        <v>181</v>
      </c>
      <c r="C99" s="202" t="s">
        <v>180</v>
      </c>
      <c r="D99" s="257">
        <f t="shared" ref="D99:E104" si="6">SUM(F99+H99+J99+L99)</f>
        <v>0</v>
      </c>
      <c r="E99" s="257">
        <f t="shared" si="6"/>
        <v>0</v>
      </c>
      <c r="F99" s="203"/>
      <c r="G99" s="203"/>
      <c r="H99" s="203"/>
      <c r="I99" s="203"/>
      <c r="J99" s="203"/>
      <c r="K99" s="203"/>
      <c r="L99" s="203"/>
      <c r="M99" s="203"/>
    </row>
    <row r="100" spans="2:13">
      <c r="B100" s="201" t="s">
        <v>182</v>
      </c>
      <c r="C100" s="202" t="s">
        <v>180</v>
      </c>
      <c r="D100" s="257">
        <f t="shared" si="6"/>
        <v>0</v>
      </c>
      <c r="E100" s="257">
        <f t="shared" si="6"/>
        <v>0</v>
      </c>
      <c r="F100" s="203"/>
      <c r="G100" s="203"/>
      <c r="H100" s="203"/>
      <c r="I100" s="203"/>
      <c r="J100" s="203"/>
      <c r="K100" s="203"/>
      <c r="L100" s="203"/>
      <c r="M100" s="203"/>
    </row>
    <row r="101" spans="2:13">
      <c r="B101" s="201" t="s">
        <v>183</v>
      </c>
      <c r="C101" s="202" t="s">
        <v>180</v>
      </c>
      <c r="D101" s="257">
        <f t="shared" si="6"/>
        <v>0</v>
      </c>
      <c r="E101" s="257">
        <f t="shared" si="6"/>
        <v>0</v>
      </c>
      <c r="F101" s="203"/>
      <c r="G101" s="203"/>
      <c r="H101" s="203"/>
      <c r="I101" s="203"/>
      <c r="J101" s="203"/>
      <c r="K101" s="203"/>
      <c r="L101" s="203"/>
      <c r="M101" s="203"/>
    </row>
    <row r="102" spans="2:13">
      <c r="B102" s="201" t="s">
        <v>184</v>
      </c>
      <c r="C102" s="202" t="s">
        <v>180</v>
      </c>
      <c r="D102" s="257">
        <f t="shared" si="6"/>
        <v>0</v>
      </c>
      <c r="E102" s="257">
        <f t="shared" si="6"/>
        <v>0</v>
      </c>
      <c r="F102" s="203"/>
      <c r="G102" s="203"/>
      <c r="H102" s="203"/>
      <c r="I102" s="203"/>
      <c r="J102" s="203"/>
      <c r="K102" s="203"/>
      <c r="L102" s="203"/>
      <c r="M102" s="203"/>
    </row>
    <row r="103" spans="2:13">
      <c r="B103" s="201" t="s">
        <v>185</v>
      </c>
      <c r="C103" s="202" t="s">
        <v>180</v>
      </c>
      <c r="D103" s="257">
        <f t="shared" si="6"/>
        <v>0</v>
      </c>
      <c r="E103" s="257">
        <f t="shared" si="6"/>
        <v>0</v>
      </c>
      <c r="F103" s="203"/>
      <c r="G103" s="203"/>
      <c r="H103" s="203"/>
      <c r="I103" s="203"/>
      <c r="J103" s="203"/>
      <c r="K103" s="203"/>
      <c r="L103" s="203"/>
      <c r="M103" s="203"/>
    </row>
    <row r="104" spans="2:13">
      <c r="B104" s="201" t="s">
        <v>186</v>
      </c>
      <c r="C104" s="202" t="s">
        <v>180</v>
      </c>
      <c r="D104" s="257">
        <f t="shared" si="6"/>
        <v>0</v>
      </c>
      <c r="E104" s="257">
        <f t="shared" si="6"/>
        <v>0</v>
      </c>
      <c r="F104" s="203"/>
      <c r="G104" s="203"/>
      <c r="H104" s="203"/>
      <c r="I104" s="203"/>
      <c r="J104" s="203"/>
      <c r="K104" s="203"/>
      <c r="L104" s="203"/>
      <c r="M104" s="203"/>
    </row>
    <row r="105" spans="2:13">
      <c r="B105" s="255" t="s">
        <v>190</v>
      </c>
      <c r="C105" s="255" t="s">
        <v>190</v>
      </c>
      <c r="D105" s="255" t="s">
        <v>190</v>
      </c>
      <c r="E105" s="255" t="s">
        <v>190</v>
      </c>
      <c r="F105" s="255" t="s">
        <v>190</v>
      </c>
      <c r="G105" s="255" t="s">
        <v>190</v>
      </c>
      <c r="H105" s="255" t="s">
        <v>190</v>
      </c>
      <c r="I105" s="255" t="s">
        <v>190</v>
      </c>
      <c r="J105" s="255" t="s">
        <v>190</v>
      </c>
      <c r="K105" s="255" t="s">
        <v>190</v>
      </c>
      <c r="L105" s="255" t="s">
        <v>190</v>
      </c>
      <c r="M105" s="255" t="s">
        <v>190</v>
      </c>
    </row>
    <row r="106" spans="2:13">
      <c r="B106" s="201" t="s">
        <v>179</v>
      </c>
      <c r="C106" s="200" t="s">
        <v>180</v>
      </c>
      <c r="D106" s="422">
        <f>SUM(F106:M106)</f>
        <v>0</v>
      </c>
      <c r="E106" s="423"/>
      <c r="F106" s="430"/>
      <c r="G106" s="431"/>
      <c r="H106" s="430"/>
      <c r="I106" s="431"/>
      <c r="J106" s="430"/>
      <c r="K106" s="431"/>
      <c r="L106" s="430"/>
      <c r="M106" s="431"/>
    </row>
    <row r="107" spans="2:13">
      <c r="B107" s="201" t="s">
        <v>181</v>
      </c>
      <c r="C107" s="202" t="s">
        <v>180</v>
      </c>
      <c r="D107" s="257">
        <f t="shared" ref="D107:E112" si="7">SUM(F107+H107+J107+L107)</f>
        <v>0</v>
      </c>
      <c r="E107" s="257">
        <f t="shared" si="7"/>
        <v>0</v>
      </c>
      <c r="F107" s="203"/>
      <c r="G107" s="203"/>
      <c r="H107" s="203"/>
      <c r="I107" s="203"/>
      <c r="J107" s="203"/>
      <c r="K107" s="203"/>
      <c r="L107" s="203"/>
      <c r="M107" s="203"/>
    </row>
    <row r="108" spans="2:13">
      <c r="B108" s="201" t="s">
        <v>182</v>
      </c>
      <c r="C108" s="202" t="s">
        <v>180</v>
      </c>
      <c r="D108" s="257">
        <f t="shared" si="7"/>
        <v>0</v>
      </c>
      <c r="E108" s="257">
        <f t="shared" si="7"/>
        <v>0</v>
      </c>
      <c r="F108" s="203"/>
      <c r="G108" s="203"/>
      <c r="H108" s="203"/>
      <c r="I108" s="203"/>
      <c r="J108" s="203"/>
      <c r="K108" s="203"/>
      <c r="L108" s="203"/>
      <c r="M108" s="203"/>
    </row>
    <row r="109" spans="2:13">
      <c r="B109" s="201" t="s">
        <v>183</v>
      </c>
      <c r="C109" s="202" t="s">
        <v>180</v>
      </c>
      <c r="D109" s="257">
        <f t="shared" si="7"/>
        <v>0</v>
      </c>
      <c r="E109" s="257">
        <f t="shared" si="7"/>
        <v>0</v>
      </c>
      <c r="F109" s="203"/>
      <c r="G109" s="203"/>
      <c r="H109" s="203"/>
      <c r="I109" s="203"/>
      <c r="J109" s="203"/>
      <c r="K109" s="203"/>
      <c r="L109" s="203"/>
      <c r="M109" s="203"/>
    </row>
    <row r="110" spans="2:13">
      <c r="B110" s="201" t="s">
        <v>184</v>
      </c>
      <c r="C110" s="202" t="s">
        <v>180</v>
      </c>
      <c r="D110" s="257">
        <f t="shared" si="7"/>
        <v>0</v>
      </c>
      <c r="E110" s="257">
        <f t="shared" si="7"/>
        <v>0</v>
      </c>
      <c r="F110" s="203"/>
      <c r="G110" s="203"/>
      <c r="H110" s="203"/>
      <c r="I110" s="203"/>
      <c r="J110" s="203"/>
      <c r="K110" s="203"/>
      <c r="L110" s="203"/>
      <c r="M110" s="203"/>
    </row>
    <row r="111" spans="2:13">
      <c r="B111" s="201" t="s">
        <v>185</v>
      </c>
      <c r="C111" s="202" t="s">
        <v>180</v>
      </c>
      <c r="D111" s="257">
        <f t="shared" si="7"/>
        <v>0</v>
      </c>
      <c r="E111" s="257">
        <f t="shared" si="7"/>
        <v>0</v>
      </c>
      <c r="F111" s="203"/>
      <c r="G111" s="203"/>
      <c r="H111" s="203"/>
      <c r="I111" s="203"/>
      <c r="J111" s="203"/>
      <c r="K111" s="203"/>
      <c r="L111" s="203"/>
      <c r="M111" s="203"/>
    </row>
    <row r="112" spans="2:13">
      <c r="B112" s="201" t="s">
        <v>186</v>
      </c>
      <c r="C112" s="202" t="s">
        <v>180</v>
      </c>
      <c r="D112" s="257">
        <f t="shared" si="7"/>
        <v>0</v>
      </c>
      <c r="E112" s="257">
        <f t="shared" si="7"/>
        <v>0</v>
      </c>
      <c r="F112" s="203"/>
      <c r="G112" s="203"/>
      <c r="H112" s="203"/>
      <c r="I112" s="203"/>
      <c r="J112" s="203"/>
      <c r="K112" s="203"/>
      <c r="L112" s="203"/>
      <c r="M112" s="203"/>
    </row>
    <row r="113" spans="2:13">
      <c r="B113" s="255" t="s">
        <v>191</v>
      </c>
      <c r="C113" s="255" t="s">
        <v>191</v>
      </c>
      <c r="D113" s="255" t="s">
        <v>191</v>
      </c>
      <c r="E113" s="255" t="s">
        <v>191</v>
      </c>
      <c r="F113" s="255" t="s">
        <v>191</v>
      </c>
      <c r="G113" s="255" t="s">
        <v>191</v>
      </c>
      <c r="H113" s="255" t="s">
        <v>191</v>
      </c>
      <c r="I113" s="255" t="s">
        <v>191</v>
      </c>
      <c r="J113" s="255" t="s">
        <v>191</v>
      </c>
      <c r="K113" s="255" t="s">
        <v>191</v>
      </c>
      <c r="L113" s="255" t="s">
        <v>191</v>
      </c>
      <c r="M113" s="255" t="s">
        <v>191</v>
      </c>
    </row>
    <row r="114" spans="2:13">
      <c r="B114" s="201" t="s">
        <v>179</v>
      </c>
      <c r="C114" s="200" t="s">
        <v>180</v>
      </c>
      <c r="D114" s="422">
        <f>SUM(F114:M114)</f>
        <v>0</v>
      </c>
      <c r="E114" s="423"/>
      <c r="F114" s="430"/>
      <c r="G114" s="431"/>
      <c r="H114" s="430"/>
      <c r="I114" s="431"/>
      <c r="J114" s="430"/>
      <c r="K114" s="431"/>
      <c r="L114" s="430"/>
      <c r="M114" s="431"/>
    </row>
    <row r="115" spans="2:13">
      <c r="B115" s="201" t="s">
        <v>181</v>
      </c>
      <c r="C115" s="202" t="s">
        <v>180</v>
      </c>
      <c r="D115" s="257">
        <f t="shared" ref="D115:E120" si="8">SUM(F115+H115+J115+L115)</f>
        <v>0</v>
      </c>
      <c r="E115" s="257">
        <f t="shared" si="8"/>
        <v>0</v>
      </c>
      <c r="F115" s="203"/>
      <c r="G115" s="203"/>
      <c r="H115" s="203"/>
      <c r="I115" s="203"/>
      <c r="J115" s="203"/>
      <c r="K115" s="203"/>
      <c r="L115" s="203"/>
      <c r="M115" s="203"/>
    </row>
    <row r="116" spans="2:13">
      <c r="B116" s="201" t="s">
        <v>182</v>
      </c>
      <c r="C116" s="202" t="s">
        <v>180</v>
      </c>
      <c r="D116" s="257">
        <f t="shared" si="8"/>
        <v>0</v>
      </c>
      <c r="E116" s="257">
        <f t="shared" si="8"/>
        <v>0</v>
      </c>
      <c r="F116" s="203"/>
      <c r="G116" s="203"/>
      <c r="H116" s="203"/>
      <c r="I116" s="203"/>
      <c r="J116" s="203"/>
      <c r="K116" s="203"/>
      <c r="L116" s="203"/>
      <c r="M116" s="203"/>
    </row>
    <row r="117" spans="2:13">
      <c r="B117" s="201" t="s">
        <v>183</v>
      </c>
      <c r="C117" s="202" t="s">
        <v>180</v>
      </c>
      <c r="D117" s="257">
        <f t="shared" si="8"/>
        <v>0</v>
      </c>
      <c r="E117" s="257">
        <f t="shared" si="8"/>
        <v>0</v>
      </c>
      <c r="F117" s="203"/>
      <c r="G117" s="203"/>
      <c r="H117" s="203"/>
      <c r="I117" s="203"/>
      <c r="J117" s="203"/>
      <c r="K117" s="203"/>
      <c r="L117" s="203"/>
      <c r="M117" s="203"/>
    </row>
    <row r="118" spans="2:13">
      <c r="B118" s="201" t="s">
        <v>184</v>
      </c>
      <c r="C118" s="202" t="s">
        <v>180</v>
      </c>
      <c r="D118" s="257">
        <f t="shared" si="8"/>
        <v>0</v>
      </c>
      <c r="E118" s="257">
        <f t="shared" si="8"/>
        <v>0</v>
      </c>
      <c r="F118" s="203"/>
      <c r="G118" s="203"/>
      <c r="H118" s="203"/>
      <c r="I118" s="203"/>
      <c r="J118" s="203"/>
      <c r="K118" s="203"/>
      <c r="L118" s="203"/>
      <c r="M118" s="203"/>
    </row>
    <row r="119" spans="2:13">
      <c r="B119" s="201" t="s">
        <v>185</v>
      </c>
      <c r="C119" s="202" t="s">
        <v>180</v>
      </c>
      <c r="D119" s="257">
        <f t="shared" si="8"/>
        <v>0</v>
      </c>
      <c r="E119" s="257">
        <f t="shared" si="8"/>
        <v>0</v>
      </c>
      <c r="F119" s="203"/>
      <c r="G119" s="203"/>
      <c r="H119" s="203"/>
      <c r="I119" s="203"/>
      <c r="J119" s="203"/>
      <c r="K119" s="203"/>
      <c r="L119" s="203"/>
      <c r="M119" s="203"/>
    </row>
    <row r="120" spans="2:13">
      <c r="B120" s="201" t="s">
        <v>186</v>
      </c>
      <c r="C120" s="202" t="s">
        <v>180</v>
      </c>
      <c r="D120" s="257">
        <f t="shared" si="8"/>
        <v>0</v>
      </c>
      <c r="E120" s="257">
        <f t="shared" si="8"/>
        <v>0</v>
      </c>
      <c r="F120" s="203"/>
      <c r="G120" s="203"/>
      <c r="H120" s="203"/>
      <c r="I120" s="203"/>
      <c r="J120" s="203"/>
      <c r="K120" s="203"/>
      <c r="L120" s="203"/>
      <c r="M120" s="203"/>
    </row>
    <row r="121" spans="2:13" ht="21" customHeight="1">
      <c r="B121" s="255" t="s">
        <v>192</v>
      </c>
      <c r="C121" s="255" t="s">
        <v>192</v>
      </c>
      <c r="D121" s="255" t="s">
        <v>192</v>
      </c>
      <c r="E121" s="255" t="s">
        <v>192</v>
      </c>
      <c r="F121" s="255" t="s">
        <v>192</v>
      </c>
      <c r="G121" s="255" t="s">
        <v>192</v>
      </c>
      <c r="H121" s="255" t="s">
        <v>192</v>
      </c>
      <c r="I121" s="255" t="s">
        <v>192</v>
      </c>
      <c r="J121" s="255" t="s">
        <v>192</v>
      </c>
      <c r="K121" s="255" t="s">
        <v>192</v>
      </c>
      <c r="L121" s="255" t="s">
        <v>192</v>
      </c>
      <c r="M121" s="255" t="s">
        <v>192</v>
      </c>
    </row>
    <row r="122" spans="2:13">
      <c r="B122" s="201" t="s">
        <v>179</v>
      </c>
      <c r="C122" s="200" t="s">
        <v>180</v>
      </c>
      <c r="D122" s="422">
        <f>SUM(F122:M122)</f>
        <v>0</v>
      </c>
      <c r="E122" s="423"/>
      <c r="F122" s="430"/>
      <c r="G122" s="431"/>
      <c r="H122" s="430"/>
      <c r="I122" s="431"/>
      <c r="J122" s="430"/>
      <c r="K122" s="431"/>
      <c r="L122" s="430"/>
      <c r="M122" s="431"/>
    </row>
    <row r="123" spans="2:13">
      <c r="B123" s="201" t="s">
        <v>181</v>
      </c>
      <c r="C123" s="202" t="s">
        <v>180</v>
      </c>
      <c r="D123" s="257">
        <f t="shared" ref="D123:E128" si="9">SUM(F123+H123+J123+L123)</f>
        <v>0</v>
      </c>
      <c r="E123" s="257">
        <f t="shared" si="9"/>
        <v>0</v>
      </c>
      <c r="F123" s="203"/>
      <c r="G123" s="203"/>
      <c r="H123" s="203"/>
      <c r="I123" s="203"/>
      <c r="J123" s="203"/>
      <c r="K123" s="203"/>
      <c r="L123" s="203"/>
      <c r="M123" s="203"/>
    </row>
    <row r="124" spans="2:13">
      <c r="B124" s="201" t="s">
        <v>182</v>
      </c>
      <c r="C124" s="202" t="s">
        <v>180</v>
      </c>
      <c r="D124" s="257">
        <f t="shared" si="9"/>
        <v>0</v>
      </c>
      <c r="E124" s="257">
        <f t="shared" si="9"/>
        <v>0</v>
      </c>
      <c r="F124" s="203"/>
      <c r="G124" s="203"/>
      <c r="H124" s="203"/>
      <c r="I124" s="203"/>
      <c r="J124" s="203"/>
      <c r="K124" s="203"/>
      <c r="L124" s="203"/>
      <c r="M124" s="203"/>
    </row>
    <row r="125" spans="2:13">
      <c r="B125" s="201" t="s">
        <v>183</v>
      </c>
      <c r="C125" s="202" t="s">
        <v>180</v>
      </c>
      <c r="D125" s="257">
        <f t="shared" si="9"/>
        <v>0</v>
      </c>
      <c r="E125" s="257">
        <f t="shared" si="9"/>
        <v>0</v>
      </c>
      <c r="F125" s="203"/>
      <c r="G125" s="203"/>
      <c r="H125" s="203"/>
      <c r="I125" s="203"/>
      <c r="J125" s="203"/>
      <c r="K125" s="203"/>
      <c r="L125" s="203"/>
      <c r="M125" s="203"/>
    </row>
    <row r="126" spans="2:13">
      <c r="B126" s="201" t="s">
        <v>184</v>
      </c>
      <c r="C126" s="202" t="s">
        <v>180</v>
      </c>
      <c r="D126" s="257">
        <f t="shared" si="9"/>
        <v>0</v>
      </c>
      <c r="E126" s="257">
        <f t="shared" si="9"/>
        <v>0</v>
      </c>
      <c r="F126" s="203"/>
      <c r="G126" s="203"/>
      <c r="H126" s="203"/>
      <c r="I126" s="203"/>
      <c r="J126" s="203"/>
      <c r="K126" s="203"/>
      <c r="L126" s="203"/>
      <c r="M126" s="203"/>
    </row>
    <row r="127" spans="2:13">
      <c r="B127" s="201" t="s">
        <v>185</v>
      </c>
      <c r="C127" s="202" t="s">
        <v>180</v>
      </c>
      <c r="D127" s="257">
        <f t="shared" si="9"/>
        <v>0</v>
      </c>
      <c r="E127" s="257">
        <f t="shared" si="9"/>
        <v>0</v>
      </c>
      <c r="F127" s="203"/>
      <c r="G127" s="203"/>
      <c r="H127" s="203"/>
      <c r="I127" s="203"/>
      <c r="J127" s="203"/>
      <c r="K127" s="203"/>
      <c r="L127" s="203"/>
      <c r="M127" s="203"/>
    </row>
    <row r="128" spans="2:13" ht="21.5" thickBot="1">
      <c r="B128" s="201" t="s">
        <v>186</v>
      </c>
      <c r="C128" s="202" t="s">
        <v>180</v>
      </c>
      <c r="D128" s="257">
        <f t="shared" si="9"/>
        <v>0</v>
      </c>
      <c r="E128" s="257">
        <f t="shared" si="9"/>
        <v>0</v>
      </c>
      <c r="F128" s="203"/>
      <c r="G128" s="203"/>
      <c r="H128" s="203"/>
      <c r="I128" s="203"/>
      <c r="J128" s="203"/>
      <c r="K128" s="203"/>
      <c r="L128" s="203"/>
      <c r="M128" s="203"/>
    </row>
    <row r="129" spans="2:13" ht="21.5" thickBot="1">
      <c r="B129" s="256" t="s">
        <v>193</v>
      </c>
      <c r="C129" s="256" t="s">
        <v>193</v>
      </c>
      <c r="D129" s="256" t="s">
        <v>193</v>
      </c>
      <c r="E129" s="256" t="s">
        <v>193</v>
      </c>
      <c r="F129" s="256" t="s">
        <v>193</v>
      </c>
      <c r="G129" s="256" t="s">
        <v>193</v>
      </c>
      <c r="H129" s="256" t="s">
        <v>193</v>
      </c>
      <c r="I129" s="256" t="s">
        <v>193</v>
      </c>
      <c r="J129" s="256" t="s">
        <v>193</v>
      </c>
      <c r="K129" s="256" t="s">
        <v>193</v>
      </c>
      <c r="L129" s="256" t="s">
        <v>193</v>
      </c>
      <c r="M129" s="256" t="s">
        <v>193</v>
      </c>
    </row>
    <row r="130" spans="2:13">
      <c r="B130" s="208"/>
      <c r="C130" s="208" t="s">
        <v>100</v>
      </c>
      <c r="D130" s="208" t="s">
        <v>176</v>
      </c>
      <c r="E130" s="208" t="s">
        <v>177</v>
      </c>
      <c r="F130" s="208" t="s">
        <v>176</v>
      </c>
      <c r="G130" s="208" t="s">
        <v>177</v>
      </c>
      <c r="H130" s="208" t="s">
        <v>176</v>
      </c>
      <c r="I130" s="208" t="s">
        <v>177</v>
      </c>
      <c r="J130" s="208" t="s">
        <v>176</v>
      </c>
      <c r="K130" s="208" t="s">
        <v>177</v>
      </c>
      <c r="L130" s="208" t="s">
        <v>176</v>
      </c>
      <c r="M130" s="208" t="s">
        <v>177</v>
      </c>
    </row>
    <row r="131" spans="2:13">
      <c r="B131" s="244" t="s">
        <v>194</v>
      </c>
      <c r="C131" s="244" t="s">
        <v>194</v>
      </c>
      <c r="D131" s="244" t="s">
        <v>194</v>
      </c>
      <c r="E131" s="244" t="s">
        <v>194</v>
      </c>
      <c r="F131" s="244" t="s">
        <v>194</v>
      </c>
      <c r="G131" s="244" t="s">
        <v>194</v>
      </c>
      <c r="H131" s="244" t="s">
        <v>194</v>
      </c>
      <c r="I131" s="244" t="s">
        <v>194</v>
      </c>
      <c r="J131" s="244" t="s">
        <v>194</v>
      </c>
      <c r="K131" s="244" t="s">
        <v>194</v>
      </c>
      <c r="L131" s="244" t="s">
        <v>194</v>
      </c>
      <c r="M131" s="244" t="s">
        <v>194</v>
      </c>
    </row>
    <row r="132" spans="2:13">
      <c r="B132" s="201" t="s">
        <v>179</v>
      </c>
      <c r="C132" s="200" t="s">
        <v>180</v>
      </c>
      <c r="D132" s="422">
        <f>SUM(F132:M132)</f>
        <v>0</v>
      </c>
      <c r="E132" s="423"/>
      <c r="F132" s="430"/>
      <c r="G132" s="431"/>
      <c r="H132" s="430"/>
      <c r="I132" s="431"/>
      <c r="J132" s="430"/>
      <c r="K132" s="431"/>
      <c r="L132" s="430"/>
      <c r="M132" s="431"/>
    </row>
    <row r="133" spans="2:13">
      <c r="B133" s="201" t="s">
        <v>181</v>
      </c>
      <c r="C133" s="202" t="s">
        <v>180</v>
      </c>
      <c r="D133" s="257">
        <f t="shared" ref="D133:E138" si="10">SUM(F133+H133+J133+L133)</f>
        <v>0</v>
      </c>
      <c r="E133" s="257">
        <f t="shared" si="10"/>
        <v>0</v>
      </c>
      <c r="F133" s="203"/>
      <c r="G133" s="203"/>
      <c r="H133" s="203"/>
      <c r="I133" s="203"/>
      <c r="J133" s="203"/>
      <c r="K133" s="203"/>
      <c r="L133" s="203"/>
      <c r="M133" s="203"/>
    </row>
    <row r="134" spans="2:13">
      <c r="B134" s="201" t="s">
        <v>182</v>
      </c>
      <c r="C134" s="202" t="s">
        <v>180</v>
      </c>
      <c r="D134" s="257">
        <f t="shared" si="10"/>
        <v>0</v>
      </c>
      <c r="E134" s="257">
        <f t="shared" si="10"/>
        <v>0</v>
      </c>
      <c r="F134" s="203"/>
      <c r="G134" s="203"/>
      <c r="H134" s="203"/>
      <c r="I134" s="203"/>
      <c r="J134" s="203"/>
      <c r="K134" s="203"/>
      <c r="L134" s="203"/>
      <c r="M134" s="203"/>
    </row>
    <row r="135" spans="2:13">
      <c r="B135" s="201" t="s">
        <v>183</v>
      </c>
      <c r="C135" s="202" t="s">
        <v>180</v>
      </c>
      <c r="D135" s="257">
        <f t="shared" si="10"/>
        <v>0</v>
      </c>
      <c r="E135" s="257">
        <f t="shared" si="10"/>
        <v>0</v>
      </c>
      <c r="F135" s="203"/>
      <c r="G135" s="203"/>
      <c r="H135" s="203"/>
      <c r="I135" s="203"/>
      <c r="J135" s="203"/>
      <c r="K135" s="203"/>
      <c r="L135" s="203"/>
      <c r="M135" s="203"/>
    </row>
    <row r="136" spans="2:13">
      <c r="B136" s="201" t="s">
        <v>184</v>
      </c>
      <c r="C136" s="202" t="s">
        <v>180</v>
      </c>
      <c r="D136" s="257">
        <f t="shared" si="10"/>
        <v>0</v>
      </c>
      <c r="E136" s="257">
        <f t="shared" si="10"/>
        <v>0</v>
      </c>
      <c r="F136" s="203"/>
      <c r="G136" s="203"/>
      <c r="H136" s="203"/>
      <c r="I136" s="203"/>
      <c r="J136" s="203"/>
      <c r="K136" s="203"/>
      <c r="L136" s="203"/>
      <c r="M136" s="203"/>
    </row>
    <row r="137" spans="2:13">
      <c r="B137" s="201" t="s">
        <v>185</v>
      </c>
      <c r="C137" s="202" t="s">
        <v>180</v>
      </c>
      <c r="D137" s="257">
        <f t="shared" si="10"/>
        <v>0</v>
      </c>
      <c r="E137" s="257">
        <f t="shared" si="10"/>
        <v>0</v>
      </c>
      <c r="F137" s="203"/>
      <c r="G137" s="203"/>
      <c r="H137" s="203"/>
      <c r="I137" s="203"/>
      <c r="J137" s="203"/>
      <c r="K137" s="203"/>
      <c r="L137" s="203"/>
      <c r="M137" s="203"/>
    </row>
    <row r="138" spans="2:13">
      <c r="B138" s="201" t="s">
        <v>186</v>
      </c>
      <c r="C138" s="202" t="s">
        <v>180</v>
      </c>
      <c r="D138" s="257">
        <f t="shared" si="10"/>
        <v>0</v>
      </c>
      <c r="E138" s="257">
        <f t="shared" si="10"/>
        <v>0</v>
      </c>
      <c r="F138" s="203"/>
      <c r="G138" s="203"/>
      <c r="H138" s="203"/>
      <c r="I138" s="203"/>
      <c r="J138" s="203"/>
      <c r="K138" s="203"/>
      <c r="L138" s="203"/>
      <c r="M138" s="203"/>
    </row>
    <row r="139" spans="2:13">
      <c r="B139" s="244" t="s">
        <v>195</v>
      </c>
      <c r="C139" s="244" t="s">
        <v>195</v>
      </c>
      <c r="D139" s="244" t="s">
        <v>195</v>
      </c>
      <c r="E139" s="244" t="s">
        <v>195</v>
      </c>
      <c r="F139" s="244" t="s">
        <v>195</v>
      </c>
      <c r="G139" s="244" t="s">
        <v>195</v>
      </c>
      <c r="H139" s="244" t="s">
        <v>195</v>
      </c>
      <c r="I139" s="244" t="s">
        <v>195</v>
      </c>
      <c r="J139" s="244" t="s">
        <v>195</v>
      </c>
      <c r="K139" s="244" t="s">
        <v>195</v>
      </c>
      <c r="L139" s="244" t="s">
        <v>195</v>
      </c>
      <c r="M139" s="244" t="s">
        <v>195</v>
      </c>
    </row>
    <row r="140" spans="2:13">
      <c r="B140" s="201" t="s">
        <v>179</v>
      </c>
      <c r="C140" s="200" t="s">
        <v>180</v>
      </c>
      <c r="D140" s="422">
        <f>SUM(F140:M140)</f>
        <v>0</v>
      </c>
      <c r="E140" s="423"/>
      <c r="F140" s="430"/>
      <c r="G140" s="431"/>
      <c r="H140" s="430"/>
      <c r="I140" s="431"/>
      <c r="J140" s="430"/>
      <c r="K140" s="431"/>
      <c r="L140" s="430"/>
      <c r="M140" s="431"/>
    </row>
    <row r="141" spans="2:13">
      <c r="B141" s="201" t="s">
        <v>181</v>
      </c>
      <c r="C141" s="202" t="s">
        <v>180</v>
      </c>
      <c r="D141" s="257">
        <f t="shared" ref="D141:E146" si="11">SUM(F141+H141+J141+L141)</f>
        <v>0</v>
      </c>
      <c r="E141" s="257">
        <f t="shared" si="11"/>
        <v>0</v>
      </c>
      <c r="F141" s="203"/>
      <c r="G141" s="203"/>
      <c r="H141" s="203"/>
      <c r="I141" s="203"/>
      <c r="J141" s="203"/>
      <c r="K141" s="203"/>
      <c r="L141" s="203"/>
      <c r="M141" s="203"/>
    </row>
    <row r="142" spans="2:13">
      <c r="B142" s="201" t="s">
        <v>182</v>
      </c>
      <c r="C142" s="202" t="s">
        <v>180</v>
      </c>
      <c r="D142" s="257">
        <f t="shared" si="11"/>
        <v>0</v>
      </c>
      <c r="E142" s="257">
        <f t="shared" si="11"/>
        <v>0</v>
      </c>
      <c r="F142" s="203"/>
      <c r="G142" s="203"/>
      <c r="H142" s="203"/>
      <c r="I142" s="203"/>
      <c r="J142" s="203"/>
      <c r="K142" s="203"/>
      <c r="L142" s="203"/>
      <c r="M142" s="203"/>
    </row>
    <row r="143" spans="2:13">
      <c r="B143" s="201" t="s">
        <v>183</v>
      </c>
      <c r="C143" s="202" t="s">
        <v>180</v>
      </c>
      <c r="D143" s="257">
        <f t="shared" si="11"/>
        <v>0</v>
      </c>
      <c r="E143" s="257">
        <f t="shared" si="11"/>
        <v>0</v>
      </c>
      <c r="F143" s="203"/>
      <c r="G143" s="203"/>
      <c r="H143" s="203"/>
      <c r="I143" s="203"/>
      <c r="J143" s="203"/>
      <c r="K143" s="203"/>
      <c r="L143" s="203"/>
      <c r="M143" s="203"/>
    </row>
    <row r="144" spans="2:13">
      <c r="B144" s="201" t="s">
        <v>184</v>
      </c>
      <c r="C144" s="202" t="s">
        <v>180</v>
      </c>
      <c r="D144" s="257">
        <f t="shared" si="11"/>
        <v>0</v>
      </c>
      <c r="E144" s="257">
        <f t="shared" si="11"/>
        <v>0</v>
      </c>
      <c r="F144" s="203"/>
      <c r="G144" s="203"/>
      <c r="H144" s="203"/>
      <c r="I144" s="203"/>
      <c r="J144" s="203"/>
      <c r="K144" s="203"/>
      <c r="L144" s="203"/>
      <c r="M144" s="203"/>
    </row>
    <row r="145" spans="2:13">
      <c r="B145" s="201" t="s">
        <v>185</v>
      </c>
      <c r="C145" s="202" t="s">
        <v>180</v>
      </c>
      <c r="D145" s="257">
        <f t="shared" si="11"/>
        <v>0</v>
      </c>
      <c r="E145" s="257">
        <f t="shared" si="11"/>
        <v>0</v>
      </c>
      <c r="F145" s="203"/>
      <c r="G145" s="203"/>
      <c r="H145" s="203"/>
      <c r="I145" s="203"/>
      <c r="J145" s="203"/>
      <c r="K145" s="203"/>
      <c r="L145" s="203"/>
      <c r="M145" s="203"/>
    </row>
    <row r="146" spans="2:13">
      <c r="B146" s="201" t="s">
        <v>186</v>
      </c>
      <c r="C146" s="202" t="s">
        <v>180</v>
      </c>
      <c r="D146" s="257">
        <f t="shared" si="11"/>
        <v>0</v>
      </c>
      <c r="E146" s="257">
        <f t="shared" si="11"/>
        <v>0</v>
      </c>
      <c r="F146" s="203"/>
      <c r="G146" s="203"/>
      <c r="H146" s="203"/>
      <c r="I146" s="203"/>
      <c r="J146" s="203"/>
      <c r="K146" s="203"/>
      <c r="L146" s="203"/>
      <c r="M146" s="203"/>
    </row>
    <row r="147" spans="2:13" ht="21" customHeight="1">
      <c r="B147" s="244" t="s">
        <v>196</v>
      </c>
      <c r="C147" s="244" t="s">
        <v>196</v>
      </c>
      <c r="D147" s="244" t="s">
        <v>196</v>
      </c>
      <c r="E147" s="244" t="s">
        <v>196</v>
      </c>
      <c r="F147" s="244" t="s">
        <v>196</v>
      </c>
      <c r="G147" s="244" t="s">
        <v>196</v>
      </c>
      <c r="H147" s="244" t="s">
        <v>196</v>
      </c>
      <c r="I147" s="244" t="s">
        <v>196</v>
      </c>
      <c r="J147" s="244" t="s">
        <v>196</v>
      </c>
      <c r="K147" s="244" t="s">
        <v>196</v>
      </c>
      <c r="L147" s="244" t="s">
        <v>196</v>
      </c>
      <c r="M147" s="244" t="s">
        <v>196</v>
      </c>
    </row>
    <row r="148" spans="2:13">
      <c r="B148" s="201" t="s">
        <v>179</v>
      </c>
      <c r="C148" s="200" t="s">
        <v>180</v>
      </c>
      <c r="D148" s="422">
        <f>SUM(F148:M148)</f>
        <v>0</v>
      </c>
      <c r="E148" s="423"/>
      <c r="F148" s="430"/>
      <c r="G148" s="431"/>
      <c r="H148" s="430"/>
      <c r="I148" s="431"/>
      <c r="J148" s="430"/>
      <c r="K148" s="431"/>
      <c r="L148" s="430"/>
      <c r="M148" s="431"/>
    </row>
    <row r="149" spans="2:13">
      <c r="B149" s="201" t="s">
        <v>181</v>
      </c>
      <c r="C149" s="202" t="s">
        <v>180</v>
      </c>
      <c r="D149" s="257">
        <f t="shared" ref="D149:E154" si="12">SUM(F149+H149+J149+L149)</f>
        <v>0</v>
      </c>
      <c r="E149" s="257">
        <f t="shared" si="12"/>
        <v>0</v>
      </c>
      <c r="F149" s="203"/>
      <c r="G149" s="203"/>
      <c r="H149" s="203"/>
      <c r="I149" s="203"/>
      <c r="J149" s="203"/>
      <c r="K149" s="203"/>
      <c r="L149" s="203"/>
      <c r="M149" s="203"/>
    </row>
    <row r="150" spans="2:13">
      <c r="B150" s="201" t="s">
        <v>182</v>
      </c>
      <c r="C150" s="202" t="s">
        <v>180</v>
      </c>
      <c r="D150" s="257">
        <f t="shared" si="12"/>
        <v>0</v>
      </c>
      <c r="E150" s="257">
        <f t="shared" si="12"/>
        <v>0</v>
      </c>
      <c r="F150" s="203"/>
      <c r="G150" s="203"/>
      <c r="H150" s="203"/>
      <c r="I150" s="203"/>
      <c r="J150" s="203"/>
      <c r="K150" s="203"/>
      <c r="L150" s="203"/>
      <c r="M150" s="203"/>
    </row>
    <row r="151" spans="2:13">
      <c r="B151" s="201" t="s">
        <v>183</v>
      </c>
      <c r="C151" s="202" t="s">
        <v>180</v>
      </c>
      <c r="D151" s="257">
        <f t="shared" si="12"/>
        <v>0</v>
      </c>
      <c r="E151" s="257">
        <f t="shared" si="12"/>
        <v>0</v>
      </c>
      <c r="F151" s="203"/>
      <c r="G151" s="203"/>
      <c r="H151" s="203"/>
      <c r="I151" s="203"/>
      <c r="J151" s="203"/>
      <c r="K151" s="203"/>
      <c r="L151" s="203"/>
      <c r="M151" s="203"/>
    </row>
    <row r="152" spans="2:13">
      <c r="B152" s="201" t="s">
        <v>184</v>
      </c>
      <c r="C152" s="202" t="s">
        <v>180</v>
      </c>
      <c r="D152" s="257">
        <f t="shared" si="12"/>
        <v>0</v>
      </c>
      <c r="E152" s="257">
        <f t="shared" si="12"/>
        <v>0</v>
      </c>
      <c r="F152" s="203"/>
      <c r="G152" s="203"/>
      <c r="H152" s="203"/>
      <c r="I152" s="203"/>
      <c r="J152" s="203"/>
      <c r="K152" s="203"/>
      <c r="L152" s="203"/>
      <c r="M152" s="203"/>
    </row>
    <row r="153" spans="2:13">
      <c r="B153" s="201" t="s">
        <v>185</v>
      </c>
      <c r="C153" s="202" t="s">
        <v>180</v>
      </c>
      <c r="D153" s="257">
        <f t="shared" si="12"/>
        <v>0</v>
      </c>
      <c r="E153" s="257">
        <f t="shared" si="12"/>
        <v>0</v>
      </c>
      <c r="F153" s="203"/>
      <c r="G153" s="203"/>
      <c r="H153" s="203"/>
      <c r="I153" s="203"/>
      <c r="J153" s="203"/>
      <c r="K153" s="203"/>
      <c r="L153" s="203"/>
      <c r="M153" s="203"/>
    </row>
    <row r="154" spans="2:13">
      <c r="B154" s="201" t="s">
        <v>186</v>
      </c>
      <c r="C154" s="202" t="s">
        <v>180</v>
      </c>
      <c r="D154" s="257">
        <f t="shared" si="12"/>
        <v>0</v>
      </c>
      <c r="E154" s="257">
        <f t="shared" si="12"/>
        <v>0</v>
      </c>
      <c r="F154" s="203"/>
      <c r="G154" s="203"/>
      <c r="H154" s="203"/>
      <c r="I154" s="203"/>
      <c r="J154" s="203"/>
      <c r="K154" s="203"/>
      <c r="L154" s="203"/>
      <c r="M154" s="203"/>
    </row>
  </sheetData>
  <mergeCells count="68">
    <mergeCell ref="I52:I54"/>
    <mergeCell ref="D140:E140"/>
    <mergeCell ref="F140:G140"/>
    <mergeCell ref="H140:I140"/>
    <mergeCell ref="J140:K140"/>
    <mergeCell ref="D122:E122"/>
    <mergeCell ref="F122:G122"/>
    <mergeCell ref="H122:I122"/>
    <mergeCell ref="J122:K122"/>
    <mergeCell ref="D106:E106"/>
    <mergeCell ref="F106:G106"/>
    <mergeCell ref="H106:I106"/>
    <mergeCell ref="J106:K106"/>
    <mergeCell ref="D90:E90"/>
    <mergeCell ref="F90:G90"/>
    <mergeCell ref="H90:I90"/>
    <mergeCell ref="L140:M140"/>
    <mergeCell ref="D148:E148"/>
    <mergeCell ref="F148:G148"/>
    <mergeCell ref="H148:I148"/>
    <mergeCell ref="J148:K148"/>
    <mergeCell ref="L148:M148"/>
    <mergeCell ref="L122:M122"/>
    <mergeCell ref="D132:E132"/>
    <mergeCell ref="F132:G132"/>
    <mergeCell ref="H132:I132"/>
    <mergeCell ref="J132:K132"/>
    <mergeCell ref="L132:M132"/>
    <mergeCell ref="L106:M106"/>
    <mergeCell ref="D114:E114"/>
    <mergeCell ref="F114:G114"/>
    <mergeCell ref="H114:I114"/>
    <mergeCell ref="J114:K114"/>
    <mergeCell ref="L114:M114"/>
    <mergeCell ref="J90:K90"/>
    <mergeCell ref="L90:M90"/>
    <mergeCell ref="D98:E98"/>
    <mergeCell ref="F98:G98"/>
    <mergeCell ref="H98:I98"/>
    <mergeCell ref="J98:K98"/>
    <mergeCell ref="L98:M98"/>
    <mergeCell ref="F69:G70"/>
    <mergeCell ref="H69:I70"/>
    <mergeCell ref="J69:K70"/>
    <mergeCell ref="L69:M70"/>
    <mergeCell ref="D82:E82"/>
    <mergeCell ref="F82:G82"/>
    <mergeCell ref="H82:I82"/>
    <mergeCell ref="J82:K82"/>
    <mergeCell ref="L82:M82"/>
    <mergeCell ref="D74:E74"/>
    <mergeCell ref="F74:G74"/>
    <mergeCell ref="H74:I74"/>
    <mergeCell ref="J74:K74"/>
    <mergeCell ref="L74:M74"/>
    <mergeCell ref="B59:B63"/>
    <mergeCell ref="A65:D65"/>
    <mergeCell ref="A66:E66"/>
    <mergeCell ref="C67:E67"/>
    <mergeCell ref="B69:E70"/>
    <mergeCell ref="B56:E57"/>
    <mergeCell ref="A8:D8"/>
    <mergeCell ref="B50:C50"/>
    <mergeCell ref="A55:D55"/>
    <mergeCell ref="B3:C3"/>
    <mergeCell ref="B4:C4"/>
    <mergeCell ref="B5:C5"/>
    <mergeCell ref="B9:D1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218"/>
  <sheetViews>
    <sheetView showGridLines="0" topLeftCell="E14" zoomScale="75" zoomScaleNormal="54" workbookViewId="0">
      <selection activeCell="C44" sqref="C44:D44"/>
    </sheetView>
  </sheetViews>
  <sheetFormatPr defaultColWidth="8.7265625" defaultRowHeight="21"/>
  <cols>
    <col min="1" max="1" width="9.54296875" style="9" hidden="1" customWidth="1"/>
    <col min="2" max="2" width="67.54296875" style="9" customWidth="1"/>
    <col min="3" max="3" width="47.453125" style="9" customWidth="1"/>
    <col min="4" max="4" width="44.54296875" style="9" customWidth="1"/>
    <col min="5" max="5" width="43.81640625" style="9" customWidth="1"/>
    <col min="6" max="6" width="42.54296875" style="9" customWidth="1"/>
    <col min="7" max="7" width="41.1796875" style="9" customWidth="1"/>
    <col min="8" max="8" width="39.81640625" style="9" customWidth="1"/>
    <col min="9" max="9" width="36.1796875" style="9" customWidth="1"/>
    <col min="10" max="10" width="33.81640625" style="9" customWidth="1"/>
    <col min="11" max="11" width="32.1796875" style="9" customWidth="1"/>
    <col min="12" max="12" width="31.453125" style="9" customWidth="1"/>
    <col min="13" max="13" width="37.26953125" style="9" customWidth="1"/>
    <col min="14" max="16384" width="8.7265625" style="9"/>
  </cols>
  <sheetData>
    <row r="1" spans="1:8">
      <c r="A1" s="143" t="s">
        <v>74</v>
      </c>
      <c r="B1" s="143" t="s">
        <v>75</v>
      </c>
      <c r="C1" s="493" t="s">
        <v>76</v>
      </c>
      <c r="D1" s="493"/>
      <c r="E1" s="123"/>
      <c r="F1" s="63" t="s">
        <v>77</v>
      </c>
      <c r="G1" s="47" t="s">
        <v>210</v>
      </c>
      <c r="H1" s="123"/>
    </row>
    <row r="3" spans="1:8" ht="37" customHeight="1">
      <c r="B3" s="155" t="s">
        <v>211</v>
      </c>
      <c r="C3" s="155" t="s">
        <v>212</v>
      </c>
      <c r="D3" s="155" t="s">
        <v>213</v>
      </c>
      <c r="F3" s="63" t="s">
        <v>214</v>
      </c>
    </row>
    <row r="4" spans="1:8">
      <c r="B4" s="64" t="s">
        <v>215</v>
      </c>
      <c r="C4" s="65">
        <v>348</v>
      </c>
      <c r="D4" s="65">
        <v>114</v>
      </c>
      <c r="F4" s="63" t="s">
        <v>216</v>
      </c>
    </row>
    <row r="5" spans="1:8">
      <c r="B5" s="62" t="s">
        <v>217</v>
      </c>
      <c r="C5" s="63">
        <v>35</v>
      </c>
      <c r="D5" s="63">
        <v>17</v>
      </c>
    </row>
    <row r="6" spans="1:8">
      <c r="B6" s="62" t="s">
        <v>218</v>
      </c>
      <c r="C6" s="63">
        <v>0</v>
      </c>
      <c r="D6" s="63">
        <v>0</v>
      </c>
    </row>
    <row r="7" spans="1:8">
      <c r="B7" s="62" t="s">
        <v>219</v>
      </c>
      <c r="C7" s="63">
        <v>0</v>
      </c>
      <c r="D7" s="63">
        <v>0</v>
      </c>
    </row>
    <row r="9" spans="1:8" ht="39.75" customHeight="1">
      <c r="B9" s="143" t="s">
        <v>220</v>
      </c>
      <c r="C9" s="136" t="s">
        <v>212</v>
      </c>
      <c r="D9" s="136" t="s">
        <v>213</v>
      </c>
    </row>
    <row r="10" spans="1:8">
      <c r="B10" s="62" t="s">
        <v>215</v>
      </c>
      <c r="C10" s="63">
        <v>0</v>
      </c>
      <c r="D10" s="63">
        <v>0</v>
      </c>
    </row>
    <row r="11" spans="1:8">
      <c r="B11" s="62" t="s">
        <v>217</v>
      </c>
      <c r="C11" s="63">
        <v>0</v>
      </c>
      <c r="D11" s="63">
        <v>0</v>
      </c>
    </row>
    <row r="12" spans="1:8">
      <c r="B12" s="62" t="s">
        <v>218</v>
      </c>
      <c r="C12" s="63">
        <v>0</v>
      </c>
      <c r="D12" s="63">
        <v>0</v>
      </c>
    </row>
    <row r="13" spans="1:8">
      <c r="B13" s="62" t="s">
        <v>219</v>
      </c>
      <c r="C13" s="63">
        <v>0</v>
      </c>
      <c r="D13" s="63">
        <v>0</v>
      </c>
    </row>
    <row r="14" spans="1:8">
      <c r="B14" s="78"/>
    </row>
    <row r="15" spans="1:8">
      <c r="B15" s="66" t="s">
        <v>510</v>
      </c>
      <c r="C15" s="494" t="s">
        <v>221</v>
      </c>
      <c r="D15" s="494"/>
      <c r="E15" s="495" t="s">
        <v>222</v>
      </c>
      <c r="F15" s="495"/>
      <c r="G15" s="495" t="s">
        <v>223</v>
      </c>
      <c r="H15" s="495"/>
    </row>
    <row r="16" spans="1:8">
      <c r="B16" s="62" t="s">
        <v>224</v>
      </c>
      <c r="C16" s="79" t="s">
        <v>225</v>
      </c>
      <c r="D16" s="79" t="s">
        <v>226</v>
      </c>
      <c r="E16" s="79" t="s">
        <v>225</v>
      </c>
      <c r="F16" s="79" t="s">
        <v>226</v>
      </c>
      <c r="G16" s="79" t="s">
        <v>225</v>
      </c>
      <c r="H16" s="80" t="s">
        <v>226</v>
      </c>
    </row>
    <row r="17" spans="2:8">
      <c r="B17" s="77" t="s">
        <v>215</v>
      </c>
      <c r="C17" s="63">
        <v>64</v>
      </c>
      <c r="D17" s="63">
        <v>35</v>
      </c>
      <c r="E17" s="63">
        <v>258</v>
      </c>
      <c r="F17" s="63">
        <v>77</v>
      </c>
      <c r="G17" s="63">
        <v>26</v>
      </c>
      <c r="H17" s="63">
        <v>2</v>
      </c>
    </row>
    <row r="18" spans="2:8">
      <c r="B18" s="77" t="s">
        <v>227</v>
      </c>
      <c r="C18" s="63">
        <v>9</v>
      </c>
      <c r="D18" s="63">
        <v>9</v>
      </c>
      <c r="E18" s="63">
        <v>19</v>
      </c>
      <c r="F18" s="63">
        <v>8</v>
      </c>
      <c r="G18" s="63">
        <v>7</v>
      </c>
      <c r="H18" s="63">
        <v>0</v>
      </c>
    </row>
    <row r="19" spans="2:8">
      <c r="B19" s="77" t="s">
        <v>218</v>
      </c>
      <c r="C19" s="63">
        <v>0</v>
      </c>
      <c r="D19" s="63">
        <v>0</v>
      </c>
      <c r="E19" s="63">
        <v>0</v>
      </c>
      <c r="F19" s="63">
        <v>0</v>
      </c>
      <c r="G19" s="63">
        <v>0</v>
      </c>
      <c r="H19" s="63">
        <v>0</v>
      </c>
    </row>
    <row r="20" spans="2:8">
      <c r="B20" s="77" t="s">
        <v>219</v>
      </c>
      <c r="C20" s="63">
        <v>0</v>
      </c>
      <c r="D20" s="63">
        <v>0</v>
      </c>
      <c r="E20" s="63">
        <v>0</v>
      </c>
      <c r="F20" s="63">
        <v>0</v>
      </c>
      <c r="G20" s="63">
        <v>0</v>
      </c>
      <c r="H20" s="63">
        <v>0</v>
      </c>
    </row>
    <row r="21" spans="2:8">
      <c r="B21" s="81" t="s">
        <v>228</v>
      </c>
      <c r="C21" s="82">
        <f t="shared" ref="C21:H21" si="0">SUM(C17:C20)</f>
        <v>73</v>
      </c>
      <c r="D21" s="82">
        <f t="shared" si="0"/>
        <v>44</v>
      </c>
      <c r="E21" s="82">
        <f t="shared" si="0"/>
        <v>277</v>
      </c>
      <c r="F21" s="82">
        <f t="shared" si="0"/>
        <v>85</v>
      </c>
      <c r="G21" s="82">
        <f t="shared" si="0"/>
        <v>33</v>
      </c>
      <c r="H21" s="145">
        <f t="shared" si="0"/>
        <v>2</v>
      </c>
    </row>
    <row r="22" spans="2:8">
      <c r="B22" s="81" t="s">
        <v>229</v>
      </c>
      <c r="C22" s="497">
        <f>C21+D21</f>
        <v>117</v>
      </c>
      <c r="D22" s="497"/>
      <c r="E22" s="497">
        <f>E21+F21</f>
        <v>362</v>
      </c>
      <c r="F22" s="497"/>
      <c r="G22" s="497">
        <f>G21+H21</f>
        <v>35</v>
      </c>
      <c r="H22" s="497"/>
    </row>
    <row r="24" spans="2:8">
      <c r="B24" s="66" t="s">
        <v>511</v>
      </c>
      <c r="C24" s="494" t="s">
        <v>221</v>
      </c>
      <c r="D24" s="494"/>
      <c r="E24" s="495" t="s">
        <v>222</v>
      </c>
      <c r="F24" s="495"/>
      <c r="G24" s="495" t="s">
        <v>223</v>
      </c>
      <c r="H24" s="495"/>
    </row>
    <row r="25" spans="2:8">
      <c r="B25" s="62" t="s">
        <v>224</v>
      </c>
      <c r="C25" s="79" t="s">
        <v>225</v>
      </c>
      <c r="D25" s="79" t="s">
        <v>226</v>
      </c>
      <c r="E25" s="79" t="s">
        <v>225</v>
      </c>
      <c r="F25" s="79" t="s">
        <v>226</v>
      </c>
      <c r="G25" s="79" t="s">
        <v>225</v>
      </c>
      <c r="H25" s="80" t="s">
        <v>226</v>
      </c>
    </row>
    <row r="26" spans="2:8">
      <c r="B26" s="77" t="s">
        <v>215</v>
      </c>
      <c r="C26" s="63">
        <v>18</v>
      </c>
      <c r="D26" s="63">
        <v>10</v>
      </c>
      <c r="E26" s="63">
        <v>152</v>
      </c>
      <c r="F26" s="63">
        <v>51</v>
      </c>
      <c r="G26" s="63">
        <v>20</v>
      </c>
      <c r="H26" s="63">
        <v>2</v>
      </c>
    </row>
    <row r="27" spans="2:8">
      <c r="B27" s="77" t="s">
        <v>227</v>
      </c>
      <c r="C27" s="63">
        <v>6</v>
      </c>
      <c r="D27" s="63">
        <v>3</v>
      </c>
      <c r="E27" s="63">
        <v>9</v>
      </c>
      <c r="F27" s="63">
        <v>3</v>
      </c>
      <c r="G27" s="63">
        <v>6</v>
      </c>
      <c r="H27" s="63">
        <v>0</v>
      </c>
    </row>
    <row r="28" spans="2:8">
      <c r="B28" s="77" t="s">
        <v>218</v>
      </c>
      <c r="C28" s="63">
        <v>0</v>
      </c>
      <c r="D28" s="63">
        <v>0</v>
      </c>
      <c r="E28" s="63">
        <v>0</v>
      </c>
      <c r="F28" s="63">
        <v>0</v>
      </c>
      <c r="G28" s="63">
        <v>0</v>
      </c>
      <c r="H28" s="63">
        <v>0</v>
      </c>
    </row>
    <row r="29" spans="2:8">
      <c r="B29" s="77" t="s">
        <v>219</v>
      </c>
      <c r="C29" s="63">
        <v>0</v>
      </c>
      <c r="D29" s="63">
        <v>0</v>
      </c>
      <c r="E29" s="63">
        <v>0</v>
      </c>
      <c r="F29" s="63">
        <v>0</v>
      </c>
      <c r="G29" s="63">
        <v>0</v>
      </c>
      <c r="H29" s="63">
        <v>0</v>
      </c>
    </row>
    <row r="30" spans="2:8">
      <c r="B30" s="81" t="s">
        <v>228</v>
      </c>
      <c r="C30" s="82">
        <f t="shared" ref="C30:H30" si="1">SUM(C26:C29)</f>
        <v>24</v>
      </c>
      <c r="D30" s="82">
        <f t="shared" si="1"/>
        <v>13</v>
      </c>
      <c r="E30" s="82">
        <f t="shared" si="1"/>
        <v>161</v>
      </c>
      <c r="F30" s="82">
        <f t="shared" si="1"/>
        <v>54</v>
      </c>
      <c r="G30" s="82">
        <f t="shared" si="1"/>
        <v>26</v>
      </c>
      <c r="H30" s="145">
        <f t="shared" si="1"/>
        <v>2</v>
      </c>
    </row>
    <row r="31" spans="2:8">
      <c r="B31" s="81" t="s">
        <v>229</v>
      </c>
      <c r="C31" s="497">
        <f>C30+D30</f>
        <v>37</v>
      </c>
      <c r="D31" s="497"/>
      <c r="E31" s="497">
        <f>E30+F30</f>
        <v>215</v>
      </c>
      <c r="F31" s="497"/>
      <c r="G31" s="497">
        <f>G30+H30</f>
        <v>28</v>
      </c>
      <c r="H31" s="497"/>
    </row>
    <row r="33" spans="2:8">
      <c r="B33" s="66" t="s">
        <v>512</v>
      </c>
      <c r="C33" s="494" t="s">
        <v>221</v>
      </c>
      <c r="D33" s="494"/>
      <c r="E33" s="495" t="s">
        <v>222</v>
      </c>
      <c r="F33" s="495"/>
      <c r="G33" s="495" t="s">
        <v>223</v>
      </c>
      <c r="H33" s="495"/>
    </row>
    <row r="34" spans="2:8">
      <c r="B34" s="77"/>
      <c r="C34" s="83" t="s">
        <v>225</v>
      </c>
      <c r="D34" s="79" t="s">
        <v>226</v>
      </c>
      <c r="E34" s="79" t="s">
        <v>225</v>
      </c>
      <c r="F34" s="79" t="s">
        <v>226</v>
      </c>
      <c r="G34" s="79" t="s">
        <v>225</v>
      </c>
      <c r="H34" s="80" t="s">
        <v>226</v>
      </c>
    </row>
    <row r="35" spans="2:8">
      <c r="B35" s="62" t="s">
        <v>215</v>
      </c>
      <c r="C35" s="63">
        <v>5</v>
      </c>
      <c r="D35" s="63">
        <v>3</v>
      </c>
      <c r="E35" s="63">
        <v>49</v>
      </c>
      <c r="F35" s="63">
        <v>3</v>
      </c>
      <c r="G35" s="63">
        <v>3</v>
      </c>
      <c r="H35" s="84">
        <v>1</v>
      </c>
    </row>
    <row r="36" spans="2:8">
      <c r="B36" s="81" t="s">
        <v>229</v>
      </c>
      <c r="C36" s="497">
        <f>C35+D35</f>
        <v>8</v>
      </c>
      <c r="D36" s="497"/>
      <c r="E36" s="497">
        <f>E35+F35</f>
        <v>52</v>
      </c>
      <c r="F36" s="497"/>
      <c r="G36" s="497">
        <f>G35+H35</f>
        <v>4</v>
      </c>
      <c r="H36" s="497"/>
    </row>
    <row r="38" spans="2:8">
      <c r="B38" s="66" t="s">
        <v>513</v>
      </c>
      <c r="C38" s="494" t="s">
        <v>221</v>
      </c>
      <c r="D38" s="494"/>
      <c r="E38" s="495" t="s">
        <v>222</v>
      </c>
      <c r="F38" s="495"/>
      <c r="G38" s="495" t="s">
        <v>223</v>
      </c>
      <c r="H38" s="495"/>
    </row>
    <row r="39" spans="2:8">
      <c r="B39" s="77"/>
      <c r="C39" s="83" t="s">
        <v>225</v>
      </c>
      <c r="D39" s="79" t="s">
        <v>226</v>
      </c>
      <c r="E39" s="79" t="s">
        <v>225</v>
      </c>
      <c r="F39" s="79" t="s">
        <v>226</v>
      </c>
      <c r="G39" s="79" t="s">
        <v>225</v>
      </c>
      <c r="H39" s="80" t="s">
        <v>226</v>
      </c>
    </row>
    <row r="40" spans="2:8">
      <c r="B40" s="62" t="s">
        <v>218</v>
      </c>
      <c r="C40" s="63"/>
      <c r="D40" s="63"/>
      <c r="E40" s="63"/>
      <c r="F40" s="63"/>
      <c r="G40" s="63"/>
      <c r="H40" s="84"/>
    </row>
    <row r="41" spans="2:8">
      <c r="B41" s="81" t="s">
        <v>229</v>
      </c>
      <c r="C41" s="497">
        <f>C40+D40</f>
        <v>0</v>
      </c>
      <c r="D41" s="497"/>
      <c r="E41" s="497">
        <f>E40+F40</f>
        <v>0</v>
      </c>
      <c r="F41" s="497"/>
      <c r="G41" s="497">
        <f>G40+H40</f>
        <v>0</v>
      </c>
      <c r="H41" s="497"/>
    </row>
    <row r="43" spans="2:8">
      <c r="B43" s="136" t="s">
        <v>230</v>
      </c>
      <c r="C43" s="136" t="s">
        <v>72</v>
      </c>
      <c r="D43" s="136" t="s">
        <v>231</v>
      </c>
      <c r="E43" s="258" t="s">
        <v>232</v>
      </c>
    </row>
    <row r="44" spans="2:8" ht="21" customHeight="1">
      <c r="B44" s="85" t="s">
        <v>215</v>
      </c>
      <c r="C44" s="85">
        <v>31</v>
      </c>
      <c r="D44" s="85">
        <v>33</v>
      </c>
      <c r="E44" s="259" t="s">
        <v>233</v>
      </c>
      <c r="F44" s="260"/>
      <c r="G44" s="260"/>
    </row>
    <row r="45" spans="2:8">
      <c r="B45" s="86" t="s">
        <v>218</v>
      </c>
      <c r="C45" s="86"/>
      <c r="D45" s="86"/>
    </row>
    <row r="46" spans="2:8">
      <c r="B46" s="87" t="s">
        <v>228</v>
      </c>
      <c r="C46" s="81">
        <f>C44+C45</f>
        <v>31</v>
      </c>
      <c r="D46" s="81">
        <f>D44+D45</f>
        <v>33</v>
      </c>
    </row>
    <row r="48" spans="2:8">
      <c r="B48" s="66" t="s">
        <v>234</v>
      </c>
      <c r="C48" s="494" t="s">
        <v>221</v>
      </c>
      <c r="D48" s="494"/>
      <c r="E48" s="495" t="s">
        <v>222</v>
      </c>
      <c r="F48" s="495"/>
      <c r="G48" s="495" t="s">
        <v>223</v>
      </c>
      <c r="H48" s="495"/>
    </row>
    <row r="49" spans="2:8">
      <c r="B49" s="77"/>
      <c r="C49" s="83" t="s">
        <v>225</v>
      </c>
      <c r="D49" s="79" t="s">
        <v>226</v>
      </c>
      <c r="E49" s="79" t="s">
        <v>225</v>
      </c>
      <c r="F49" s="79" t="s">
        <v>226</v>
      </c>
      <c r="G49" s="79" t="s">
        <v>225</v>
      </c>
      <c r="H49" s="80" t="s">
        <v>226</v>
      </c>
    </row>
    <row r="50" spans="2:8">
      <c r="B50" s="62" t="s">
        <v>215</v>
      </c>
      <c r="C50" s="63">
        <v>46</v>
      </c>
      <c r="D50" s="63">
        <v>25</v>
      </c>
      <c r="E50" s="63">
        <v>106</v>
      </c>
      <c r="F50" s="63">
        <v>26</v>
      </c>
      <c r="G50" s="63">
        <v>6</v>
      </c>
      <c r="H50" s="63">
        <v>0</v>
      </c>
    </row>
    <row r="51" spans="2:8">
      <c r="B51" s="88" t="s">
        <v>227</v>
      </c>
      <c r="C51" s="63">
        <v>3</v>
      </c>
      <c r="D51" s="63">
        <v>7</v>
      </c>
      <c r="E51" s="63">
        <v>11</v>
      </c>
      <c r="F51" s="63">
        <v>5</v>
      </c>
      <c r="G51" s="63">
        <v>1</v>
      </c>
      <c r="H51" s="63">
        <v>0</v>
      </c>
    </row>
    <row r="52" spans="2:8">
      <c r="B52" s="81" t="s">
        <v>228</v>
      </c>
      <c r="C52" s="87">
        <f t="shared" ref="C52:H52" si="2">C50+C51</f>
        <v>49</v>
      </c>
      <c r="D52" s="87">
        <f t="shared" si="2"/>
        <v>32</v>
      </c>
      <c r="E52" s="87">
        <f t="shared" si="2"/>
        <v>117</v>
      </c>
      <c r="F52" s="87">
        <f t="shared" si="2"/>
        <v>31</v>
      </c>
      <c r="G52" s="87">
        <f t="shared" si="2"/>
        <v>7</v>
      </c>
      <c r="H52" s="87">
        <f t="shared" si="2"/>
        <v>0</v>
      </c>
    </row>
    <row r="53" spans="2:8">
      <c r="B53" s="81" t="s">
        <v>229</v>
      </c>
      <c r="C53" s="496">
        <f>C52+D52</f>
        <v>81</v>
      </c>
      <c r="D53" s="496"/>
      <c r="E53" s="496">
        <f>E52+F52</f>
        <v>148</v>
      </c>
      <c r="F53" s="496"/>
      <c r="G53" s="496">
        <f>G52+H52</f>
        <v>7</v>
      </c>
      <c r="H53" s="496"/>
    </row>
    <row r="55" spans="2:8">
      <c r="B55" s="66" t="s">
        <v>235</v>
      </c>
      <c r="C55" s="494" t="s">
        <v>221</v>
      </c>
      <c r="D55" s="494"/>
      <c r="E55" s="495" t="s">
        <v>222</v>
      </c>
      <c r="F55" s="495"/>
      <c r="G55" s="495" t="s">
        <v>223</v>
      </c>
      <c r="H55" s="495"/>
    </row>
    <row r="56" spans="2:8">
      <c r="B56" s="77"/>
      <c r="C56" s="83" t="s">
        <v>225</v>
      </c>
      <c r="D56" s="79" t="s">
        <v>226</v>
      </c>
      <c r="E56" s="79" t="s">
        <v>225</v>
      </c>
      <c r="F56" s="79" t="s">
        <v>226</v>
      </c>
      <c r="G56" s="79" t="s">
        <v>225</v>
      </c>
      <c r="H56" s="80" t="s">
        <v>226</v>
      </c>
    </row>
    <row r="57" spans="2:8">
      <c r="B57" s="62" t="s">
        <v>218</v>
      </c>
      <c r="C57" s="63">
        <v>0</v>
      </c>
      <c r="D57" s="63">
        <v>0</v>
      </c>
      <c r="E57" s="63">
        <v>0</v>
      </c>
      <c r="F57" s="63">
        <v>0</v>
      </c>
      <c r="G57" s="63">
        <v>0</v>
      </c>
      <c r="H57" s="63"/>
    </row>
    <row r="58" spans="2:8">
      <c r="B58" s="88" t="s">
        <v>219</v>
      </c>
      <c r="C58" s="63">
        <v>0</v>
      </c>
      <c r="D58" s="63">
        <v>0</v>
      </c>
      <c r="E58" s="63">
        <v>0</v>
      </c>
      <c r="F58" s="63">
        <v>0</v>
      </c>
      <c r="G58" s="63">
        <v>0</v>
      </c>
      <c r="H58" s="63">
        <v>0</v>
      </c>
    </row>
    <row r="59" spans="2:8">
      <c r="B59" s="81" t="s">
        <v>228</v>
      </c>
      <c r="C59" s="87">
        <f t="shared" ref="C59:H59" si="3">C57+C58</f>
        <v>0</v>
      </c>
      <c r="D59" s="87">
        <f t="shared" si="3"/>
        <v>0</v>
      </c>
      <c r="E59" s="87">
        <f t="shared" si="3"/>
        <v>0</v>
      </c>
      <c r="F59" s="87">
        <f t="shared" si="3"/>
        <v>0</v>
      </c>
      <c r="G59" s="87">
        <f t="shared" si="3"/>
        <v>0</v>
      </c>
      <c r="H59" s="87">
        <f t="shared" si="3"/>
        <v>0</v>
      </c>
    </row>
    <row r="60" spans="2:8">
      <c r="B60" s="81" t="s">
        <v>229</v>
      </c>
      <c r="C60" s="496">
        <f>C59+D59</f>
        <v>0</v>
      </c>
      <c r="D60" s="496"/>
      <c r="E60" s="496">
        <f>E59+F59</f>
        <v>0</v>
      </c>
      <c r="F60" s="496"/>
      <c r="G60" s="496">
        <f>G59+H59</f>
        <v>0</v>
      </c>
      <c r="H60" s="496"/>
    </row>
    <row r="62" spans="2:8">
      <c r="B62" s="136" t="s">
        <v>236</v>
      </c>
      <c r="C62" s="136" t="s">
        <v>237</v>
      </c>
      <c r="D62" s="136" t="s">
        <v>238</v>
      </c>
    </row>
    <row r="63" spans="2:8">
      <c r="B63" s="85" t="s">
        <v>215</v>
      </c>
      <c r="C63" s="85">
        <v>97</v>
      </c>
      <c r="D63" s="85">
        <v>112</v>
      </c>
    </row>
    <row r="64" spans="2:8">
      <c r="B64" s="86" t="s">
        <v>218</v>
      </c>
      <c r="C64" s="86">
        <v>0</v>
      </c>
      <c r="D64" s="86">
        <v>0</v>
      </c>
    </row>
    <row r="65" spans="1:6">
      <c r="B65" s="322" t="s">
        <v>228</v>
      </c>
      <c r="C65" s="323">
        <f>C63+C64</f>
        <v>97</v>
      </c>
      <c r="D65" s="323">
        <f>D63+D64</f>
        <v>112</v>
      </c>
    </row>
    <row r="66" spans="1:6">
      <c r="B66" s="324"/>
      <c r="C66" s="258"/>
      <c r="D66" s="258"/>
    </row>
    <row r="67" spans="1:6">
      <c r="B67" s="324"/>
      <c r="C67" s="258"/>
      <c r="D67" s="258"/>
    </row>
    <row r="68" spans="1:6" customFormat="1" ht="20">
      <c r="B68" s="482" t="s">
        <v>239</v>
      </c>
      <c r="C68" s="482"/>
      <c r="D68" s="482"/>
    </row>
    <row r="69" spans="1:6" customFormat="1" ht="20">
      <c r="B69" s="319"/>
      <c r="C69" s="482" t="s">
        <v>514</v>
      </c>
      <c r="D69" s="482"/>
    </row>
    <row r="70" spans="1:6" customFormat="1" ht="20">
      <c r="B70" s="319"/>
      <c r="C70" s="294" t="s">
        <v>240</v>
      </c>
      <c r="D70" s="294" t="s">
        <v>241</v>
      </c>
    </row>
    <row r="71" spans="1:6" customFormat="1" ht="20">
      <c r="B71" s="320" t="s">
        <v>242</v>
      </c>
      <c r="C71" s="380">
        <v>15</v>
      </c>
      <c r="D71" s="380">
        <v>3</v>
      </c>
    </row>
    <row r="72" spans="1:6" customFormat="1" ht="61">
      <c r="B72" s="320" t="s">
        <v>243</v>
      </c>
      <c r="C72" s="380">
        <v>15</v>
      </c>
      <c r="D72" s="380">
        <v>3</v>
      </c>
      <c r="E72" s="258" t="s">
        <v>244</v>
      </c>
    </row>
    <row r="73" spans="1:6" customFormat="1" ht="60">
      <c r="B73" s="320" t="s">
        <v>245</v>
      </c>
      <c r="C73" s="321">
        <f>C72/C71*100</f>
        <v>100</v>
      </c>
      <c r="D73" s="321">
        <f>D72/D71*100</f>
        <v>100</v>
      </c>
      <c r="E73" s="259" t="s">
        <v>233</v>
      </c>
    </row>
    <row r="75" spans="1:6" ht="63">
      <c r="A75" s="52" t="s">
        <v>246</v>
      </c>
      <c r="B75" s="143" t="s">
        <v>247</v>
      </c>
      <c r="C75" s="318" t="s">
        <v>248</v>
      </c>
      <c r="D75"/>
      <c r="E75"/>
    </row>
    <row r="76" spans="1:6" ht="63">
      <c r="A76" s="52" t="s">
        <v>246</v>
      </c>
      <c r="B76" s="143" t="s">
        <v>249</v>
      </c>
      <c r="C76" s="4" t="s">
        <v>250</v>
      </c>
      <c r="D76" s="4" t="s">
        <v>251</v>
      </c>
      <c r="E76" s="4" t="s">
        <v>252</v>
      </c>
    </row>
    <row r="77" spans="1:6">
      <c r="A77" s="52" t="s">
        <v>253</v>
      </c>
      <c r="B77" s="21" t="s">
        <v>254</v>
      </c>
      <c r="C77" s="378">
        <v>3</v>
      </c>
      <c r="D77" s="381" t="s">
        <v>549</v>
      </c>
      <c r="E77" s="382">
        <v>1</v>
      </c>
    </row>
    <row r="78" spans="1:6">
      <c r="B78" s="125" t="s">
        <v>255</v>
      </c>
      <c r="C78" s="383">
        <v>0</v>
      </c>
      <c r="D78" s="383">
        <v>0</v>
      </c>
      <c r="E78" s="383">
        <v>0</v>
      </c>
    </row>
    <row r="80" spans="1:6" ht="42">
      <c r="B80" s="143" t="s">
        <v>256</v>
      </c>
      <c r="C80" s="22"/>
      <c r="D80" s="23"/>
      <c r="E80" s="22"/>
      <c r="F80" s="22"/>
    </row>
    <row r="81" spans="2:4">
      <c r="B81" s="41"/>
      <c r="C81" s="143" t="s">
        <v>498</v>
      </c>
    </row>
    <row r="82" spans="2:4">
      <c r="B82" s="41"/>
      <c r="C82" s="143" t="s">
        <v>257</v>
      </c>
    </row>
    <row r="83" spans="2:4">
      <c r="B83" s="143" t="s">
        <v>224</v>
      </c>
      <c r="C83" s="143" t="s">
        <v>258</v>
      </c>
    </row>
    <row r="84" spans="2:4">
      <c r="B84" s="143" t="s">
        <v>215</v>
      </c>
      <c r="C84" s="51" t="s">
        <v>215</v>
      </c>
    </row>
    <row r="85" spans="2:4">
      <c r="B85" s="17" t="s">
        <v>259</v>
      </c>
      <c r="C85" s="103">
        <v>348</v>
      </c>
    </row>
    <row r="86" spans="2:4">
      <c r="B86" s="17" t="s">
        <v>241</v>
      </c>
      <c r="C86" s="61">
        <v>114</v>
      </c>
    </row>
    <row r="87" spans="2:4">
      <c r="B87" s="143" t="s">
        <v>228</v>
      </c>
      <c r="C87" s="27">
        <f>C85+C86</f>
        <v>462</v>
      </c>
    </row>
    <row r="88" spans="2:4">
      <c r="B88" s="143" t="s">
        <v>218</v>
      </c>
      <c r="C88" s="20" t="s">
        <v>218</v>
      </c>
    </row>
    <row r="89" spans="2:4">
      <c r="B89" s="17" t="s">
        <v>259</v>
      </c>
      <c r="C89" s="126"/>
    </row>
    <row r="90" spans="2:4">
      <c r="B90" s="17" t="s">
        <v>241</v>
      </c>
      <c r="C90" s="126"/>
    </row>
    <row r="91" spans="2:4">
      <c r="B91" s="143" t="s">
        <v>228</v>
      </c>
      <c r="C91" s="27">
        <f>C89+C90</f>
        <v>0</v>
      </c>
    </row>
    <row r="93" spans="2:4" ht="63">
      <c r="B93" s="284" t="s">
        <v>260</v>
      </c>
      <c r="C93" s="123"/>
      <c r="D93" s="18"/>
    </row>
    <row r="94" spans="2:4">
      <c r="B94" s="498" t="s">
        <v>224</v>
      </c>
      <c r="C94" s="50" t="s">
        <v>488</v>
      </c>
    </row>
    <row r="95" spans="2:4">
      <c r="B95" s="499"/>
      <c r="C95" s="284" t="s">
        <v>261</v>
      </c>
    </row>
    <row r="96" spans="2:4">
      <c r="B96" s="4" t="s">
        <v>262</v>
      </c>
      <c r="C96" s="285" t="s">
        <v>262</v>
      </c>
    </row>
    <row r="97" spans="1:13">
      <c r="B97" s="4" t="s">
        <v>263</v>
      </c>
      <c r="C97" s="286">
        <v>348</v>
      </c>
    </row>
    <row r="98" spans="1:13">
      <c r="B98" s="4" t="s">
        <v>264</v>
      </c>
      <c r="C98" s="286">
        <v>114</v>
      </c>
    </row>
    <row r="99" spans="1:13">
      <c r="B99" s="4" t="s">
        <v>265</v>
      </c>
      <c r="C99" s="287"/>
    </row>
    <row r="100" spans="1:13">
      <c r="B100" s="4" t="s">
        <v>266</v>
      </c>
      <c r="C100" s="284" t="s">
        <v>266</v>
      </c>
    </row>
    <row r="101" spans="1:13">
      <c r="B101" s="4" t="s">
        <v>263</v>
      </c>
      <c r="C101" s="286"/>
    </row>
    <row r="102" spans="1:13">
      <c r="B102" s="4" t="s">
        <v>264</v>
      </c>
      <c r="C102" s="286"/>
    </row>
    <row r="103" spans="1:13">
      <c r="B103" s="4" t="s">
        <v>267</v>
      </c>
      <c r="C103" s="287"/>
    </row>
    <row r="105" spans="1:13" s="89" customFormat="1" ht="63">
      <c r="A105" s="23"/>
      <c r="B105" s="4" t="s">
        <v>268</v>
      </c>
      <c r="C105" s="51" t="s">
        <v>269</v>
      </c>
      <c r="D105" s="143" t="s">
        <v>270</v>
      </c>
      <c r="E105" s="73" t="s">
        <v>271</v>
      </c>
      <c r="F105" s="143" t="s">
        <v>272</v>
      </c>
      <c r="G105" s="57"/>
      <c r="H105" s="23"/>
      <c r="I105" s="57"/>
      <c r="J105" s="23"/>
      <c r="K105" s="57"/>
      <c r="L105" s="23"/>
      <c r="M105" s="57"/>
    </row>
    <row r="106" spans="1:13" s="89" customFormat="1">
      <c r="A106" s="23"/>
      <c r="B106" s="69" t="s">
        <v>273</v>
      </c>
      <c r="C106" s="131">
        <v>348</v>
      </c>
      <c r="D106" s="70">
        <v>348</v>
      </c>
      <c r="E106" s="132">
        <v>348</v>
      </c>
      <c r="F106" s="70">
        <v>348</v>
      </c>
      <c r="G106" s="57"/>
      <c r="H106" s="23"/>
      <c r="I106" s="57"/>
      <c r="J106" s="23"/>
      <c r="K106" s="57"/>
      <c r="L106" s="23"/>
      <c r="M106" s="57"/>
    </row>
    <row r="107" spans="1:13" s="89" customFormat="1">
      <c r="A107" s="23"/>
      <c r="B107" s="72" t="s">
        <v>274</v>
      </c>
      <c r="C107" s="133">
        <v>114</v>
      </c>
      <c r="D107" s="134">
        <v>114</v>
      </c>
      <c r="E107" s="135">
        <v>114</v>
      </c>
      <c r="F107" s="134">
        <v>114</v>
      </c>
      <c r="G107" s="57"/>
      <c r="H107" s="23"/>
      <c r="I107" s="57"/>
      <c r="J107" s="23"/>
      <c r="K107" s="57"/>
      <c r="L107" s="23"/>
      <c r="M107" s="57"/>
    </row>
    <row r="108" spans="1:13" s="89" customFormat="1">
      <c r="A108" s="23"/>
      <c r="B108" s="72"/>
      <c r="C108" s="500"/>
      <c r="D108" s="500"/>
      <c r="E108" s="500"/>
      <c r="F108" s="500"/>
      <c r="G108" s="57"/>
      <c r="H108" s="23"/>
      <c r="I108" s="57"/>
      <c r="J108" s="23"/>
      <c r="K108" s="57"/>
      <c r="L108" s="23"/>
      <c r="M108" s="57"/>
    </row>
    <row r="109" spans="1:13" s="89" customFormat="1">
      <c r="A109" s="23"/>
      <c r="B109" s="72" t="s">
        <v>275</v>
      </c>
      <c r="C109" s="131"/>
      <c r="D109" s="70"/>
      <c r="E109" s="132"/>
      <c r="F109" s="70"/>
      <c r="G109" s="57"/>
      <c r="H109" s="23"/>
      <c r="I109" s="57"/>
      <c r="J109" s="23"/>
      <c r="K109" s="57"/>
      <c r="L109" s="23"/>
      <c r="M109" s="57"/>
    </row>
    <row r="110" spans="1:13" s="89" customFormat="1">
      <c r="A110" s="23"/>
      <c r="B110" s="72" t="s">
        <v>276</v>
      </c>
      <c r="C110" s="131"/>
      <c r="D110" s="70"/>
      <c r="E110" s="132"/>
      <c r="F110" s="70"/>
      <c r="G110" s="57"/>
      <c r="H110" s="23"/>
      <c r="I110" s="57"/>
      <c r="J110" s="23"/>
      <c r="K110" s="57"/>
      <c r="L110" s="23"/>
      <c r="M110" s="57"/>
    </row>
    <row r="111" spans="1:13" s="89" customFormat="1">
      <c r="A111" s="23"/>
      <c r="B111" s="72"/>
      <c r="C111" s="500"/>
      <c r="D111" s="500"/>
      <c r="E111" s="500"/>
      <c r="F111" s="500"/>
      <c r="G111" s="57"/>
      <c r="H111" s="23"/>
      <c r="I111" s="57"/>
      <c r="J111" s="23"/>
      <c r="K111" s="57"/>
      <c r="L111" s="23"/>
      <c r="M111" s="57"/>
    </row>
    <row r="112" spans="1:13" s="89" customFormat="1">
      <c r="A112" s="23"/>
      <c r="B112" s="72" t="s">
        <v>277</v>
      </c>
      <c r="C112" s="131"/>
      <c r="D112" s="70"/>
      <c r="E112" s="132"/>
      <c r="F112" s="70"/>
      <c r="G112" s="57"/>
      <c r="H112" s="23"/>
      <c r="I112" s="57"/>
      <c r="J112" s="23"/>
      <c r="K112" s="57"/>
      <c r="L112" s="23"/>
      <c r="M112" s="57"/>
    </row>
    <row r="113" spans="1:13" s="89" customFormat="1">
      <c r="A113" s="23"/>
      <c r="B113" s="72" t="s">
        <v>278</v>
      </c>
      <c r="C113" s="131"/>
      <c r="D113" s="70"/>
      <c r="E113" s="132"/>
      <c r="F113" s="70"/>
      <c r="G113" s="57"/>
      <c r="H113" s="23"/>
      <c r="I113" s="57"/>
      <c r="J113" s="23"/>
      <c r="K113" s="57"/>
      <c r="L113" s="23"/>
      <c r="M113" s="57"/>
    </row>
    <row r="114" spans="1:13" s="89" customFormat="1">
      <c r="A114" s="23"/>
      <c r="B114" s="72"/>
      <c r="C114" s="500"/>
      <c r="D114" s="500"/>
      <c r="E114" s="500"/>
      <c r="F114" s="500"/>
      <c r="G114" s="57"/>
      <c r="H114" s="23"/>
      <c r="I114" s="57"/>
      <c r="J114" s="23"/>
      <c r="K114" s="57"/>
      <c r="L114" s="23"/>
      <c r="M114" s="57"/>
    </row>
    <row r="115" spans="1:13" s="89" customFormat="1">
      <c r="A115" s="23"/>
      <c r="B115" s="72" t="s">
        <v>279</v>
      </c>
      <c r="C115" s="131"/>
      <c r="D115" s="70"/>
      <c r="E115" s="132"/>
      <c r="F115" s="70"/>
      <c r="G115" s="57"/>
      <c r="H115" s="23"/>
      <c r="I115" s="57"/>
      <c r="J115" s="23"/>
      <c r="K115" s="57"/>
      <c r="L115" s="23"/>
      <c r="M115" s="57"/>
    </row>
    <row r="116" spans="1:13" s="89" customFormat="1">
      <c r="A116" s="23"/>
      <c r="B116" s="72" t="s">
        <v>280</v>
      </c>
      <c r="C116" s="131"/>
      <c r="D116" s="70"/>
      <c r="E116" s="132"/>
      <c r="F116" s="70"/>
      <c r="G116" s="57"/>
      <c r="H116" s="23"/>
      <c r="I116" s="57"/>
      <c r="J116" s="23"/>
      <c r="K116" s="57"/>
      <c r="L116" s="23"/>
      <c r="M116" s="57"/>
    </row>
    <row r="117" spans="1:13" s="89" customFormat="1" ht="21.5" thickBot="1">
      <c r="A117" s="46"/>
      <c r="B117" s="68"/>
      <c r="C117" s="142"/>
      <c r="D117" s="142"/>
      <c r="E117" s="57"/>
      <c r="F117" s="23"/>
      <c r="G117" s="57"/>
      <c r="H117" s="23"/>
      <c r="I117" s="57"/>
      <c r="J117" s="23"/>
      <c r="K117" s="57"/>
      <c r="L117" s="23"/>
      <c r="M117" s="57"/>
    </row>
    <row r="118" spans="1:13" s="89" customFormat="1" ht="45.75" customHeight="1">
      <c r="A118" s="46"/>
      <c r="B118" s="486" t="s">
        <v>281</v>
      </c>
      <c r="C118" s="486"/>
      <c r="D118" s="486"/>
      <c r="E118" s="486"/>
      <c r="F118" s="486"/>
      <c r="G118" s="23"/>
    </row>
    <row r="119" spans="1:13" s="89" customFormat="1">
      <c r="A119" s="142"/>
      <c r="B119" s="101"/>
      <c r="C119" s="101"/>
      <c r="D119" s="485" t="s">
        <v>501</v>
      </c>
      <c r="E119" s="485"/>
      <c r="F119" s="485"/>
      <c r="G119" s="48"/>
    </row>
    <row r="120" spans="1:13" s="89" customFormat="1">
      <c r="A120" s="142"/>
      <c r="B120" s="118"/>
      <c r="C120" s="119"/>
      <c r="D120" s="120" t="s">
        <v>240</v>
      </c>
      <c r="E120" s="120" t="s">
        <v>241</v>
      </c>
      <c r="F120" s="120" t="s">
        <v>228</v>
      </c>
      <c r="G120" s="23"/>
    </row>
    <row r="121" spans="1:13" s="89" customFormat="1" ht="40">
      <c r="A121" s="142"/>
      <c r="B121" s="296" t="s">
        <v>282</v>
      </c>
      <c r="C121" s="301" t="s">
        <v>283</v>
      </c>
      <c r="D121" s="102">
        <v>348</v>
      </c>
      <c r="E121" s="90">
        <v>114</v>
      </c>
      <c r="F121" s="91">
        <f t="shared" ref="F121:F126" si="4">SUM(D121:E121)</f>
        <v>462</v>
      </c>
      <c r="G121" s="23"/>
    </row>
    <row r="122" spans="1:13" s="89" customFormat="1">
      <c r="A122" s="46"/>
      <c r="B122" s="297" t="s">
        <v>284</v>
      </c>
      <c r="C122" s="302" t="s">
        <v>283</v>
      </c>
      <c r="D122" s="92">
        <v>2</v>
      </c>
      <c r="E122" s="93">
        <v>2</v>
      </c>
      <c r="F122" s="94">
        <f t="shared" si="4"/>
        <v>4</v>
      </c>
      <c r="G122" s="23"/>
    </row>
    <row r="123" spans="1:13" s="89" customFormat="1" ht="40">
      <c r="A123" s="46"/>
      <c r="B123" s="298" t="s">
        <v>285</v>
      </c>
      <c r="C123" s="303" t="s">
        <v>283</v>
      </c>
      <c r="D123" s="92">
        <v>2</v>
      </c>
      <c r="E123" s="93">
        <v>1</v>
      </c>
      <c r="F123" s="94">
        <f t="shared" si="4"/>
        <v>3</v>
      </c>
      <c r="G123" s="23"/>
    </row>
    <row r="124" spans="1:13" s="89" customFormat="1" ht="40">
      <c r="A124" s="46"/>
      <c r="B124" s="298" t="s">
        <v>286</v>
      </c>
      <c r="C124" s="303" t="s">
        <v>283</v>
      </c>
      <c r="D124" s="92">
        <v>0</v>
      </c>
      <c r="E124" s="93">
        <v>1</v>
      </c>
      <c r="F124" s="94">
        <f t="shared" si="4"/>
        <v>1</v>
      </c>
      <c r="G124" s="23"/>
    </row>
    <row r="125" spans="1:13" s="89" customFormat="1" ht="40">
      <c r="A125" s="46"/>
      <c r="B125" s="299" t="s">
        <v>287</v>
      </c>
      <c r="C125" s="304" t="s">
        <v>283</v>
      </c>
      <c r="D125" s="92">
        <v>0</v>
      </c>
      <c r="E125" s="95">
        <v>0</v>
      </c>
      <c r="F125" s="94">
        <f t="shared" si="4"/>
        <v>0</v>
      </c>
      <c r="G125" s="23"/>
    </row>
    <row r="126" spans="1:13" s="89" customFormat="1" ht="60">
      <c r="A126" s="46"/>
      <c r="B126" s="298" t="s">
        <v>288</v>
      </c>
      <c r="C126" s="305" t="s">
        <v>283</v>
      </c>
      <c r="D126" s="92">
        <v>2</v>
      </c>
      <c r="E126" s="93">
        <v>1</v>
      </c>
      <c r="F126" s="94">
        <f t="shared" si="4"/>
        <v>3</v>
      </c>
      <c r="G126" s="23"/>
    </row>
    <row r="127" spans="1:13" s="89" customFormat="1">
      <c r="A127" s="46"/>
      <c r="B127" s="298" t="s">
        <v>289</v>
      </c>
      <c r="C127" s="305" t="s">
        <v>290</v>
      </c>
      <c r="D127" s="96" t="e">
        <f>D123/D124</f>
        <v>#DIV/0!</v>
      </c>
      <c r="E127" s="96">
        <f>E123/E124</f>
        <v>1</v>
      </c>
      <c r="F127" s="97">
        <f>F123/F124</f>
        <v>3</v>
      </c>
      <c r="G127" s="23"/>
    </row>
    <row r="128" spans="1:13" s="89" customFormat="1" ht="21.5" thickBot="1">
      <c r="A128" s="46"/>
      <c r="B128" s="300" t="s">
        <v>291</v>
      </c>
      <c r="C128" s="306" t="s">
        <v>290</v>
      </c>
      <c r="D128" s="98">
        <f>D125/D126</f>
        <v>0</v>
      </c>
      <c r="E128" s="98">
        <f>E125/E126</f>
        <v>0</v>
      </c>
      <c r="F128" s="99">
        <f>F125/F126</f>
        <v>0</v>
      </c>
      <c r="G128" s="23"/>
    </row>
    <row r="129" spans="1:13" s="89" customFormat="1" ht="21.5" thickBot="1">
      <c r="A129" s="46"/>
      <c r="B129" s="68"/>
      <c r="C129" s="56"/>
      <c r="D129" s="56"/>
      <c r="E129" s="32"/>
      <c r="F129" s="23"/>
      <c r="G129" s="32"/>
      <c r="H129" s="23"/>
      <c r="I129" s="32"/>
      <c r="J129" s="23"/>
      <c r="K129" s="57"/>
      <c r="L129" s="23"/>
      <c r="M129" s="57"/>
    </row>
    <row r="130" spans="1:13" s="89" customFormat="1">
      <c r="A130" s="46"/>
      <c r="B130" s="486" t="s">
        <v>292</v>
      </c>
      <c r="C130" s="486"/>
      <c r="D130" s="486"/>
      <c r="E130" s="486"/>
      <c r="F130" s="486"/>
      <c r="G130" s="32"/>
      <c r="H130" s="23"/>
      <c r="I130" s="32"/>
      <c r="J130" s="23"/>
      <c r="K130" s="57"/>
      <c r="L130" s="23"/>
      <c r="M130" s="57"/>
    </row>
    <row r="131" spans="1:13" s="89" customFormat="1">
      <c r="A131" s="46"/>
      <c r="B131" s="101"/>
      <c r="C131" s="101"/>
      <c r="D131" s="485" t="s">
        <v>501</v>
      </c>
      <c r="E131" s="485"/>
      <c r="F131" s="485"/>
      <c r="G131" s="32"/>
      <c r="H131" s="23"/>
      <c r="I131" s="32"/>
      <c r="J131" s="23"/>
      <c r="K131" s="57"/>
      <c r="L131" s="23"/>
      <c r="M131" s="57"/>
    </row>
    <row r="132" spans="1:13" s="89" customFormat="1">
      <c r="A132" s="46"/>
      <c r="B132" s="118"/>
      <c r="C132" s="119"/>
      <c r="D132" s="120" t="s">
        <v>240</v>
      </c>
      <c r="E132" s="120" t="s">
        <v>241</v>
      </c>
      <c r="F132" s="120" t="s">
        <v>228</v>
      </c>
      <c r="G132" s="32"/>
      <c r="H132" s="23"/>
      <c r="I132" s="32"/>
      <c r="J132" s="23"/>
      <c r="K132" s="57"/>
      <c r="L132" s="23"/>
      <c r="M132" s="57"/>
    </row>
    <row r="133" spans="1:13" s="89" customFormat="1" ht="40">
      <c r="A133" s="46"/>
      <c r="B133" s="296" t="s">
        <v>293</v>
      </c>
      <c r="C133" s="301" t="s">
        <v>283</v>
      </c>
      <c r="D133" s="102">
        <v>0</v>
      </c>
      <c r="E133" s="90">
        <v>0</v>
      </c>
      <c r="F133" s="91">
        <f t="shared" ref="F133:F138" si="5">SUM(D133:E133)</f>
        <v>0</v>
      </c>
      <c r="G133" s="32"/>
      <c r="H133" s="23"/>
      <c r="I133" s="32"/>
      <c r="J133" s="23"/>
      <c r="K133" s="57"/>
      <c r="L133" s="23"/>
      <c r="M133" s="57"/>
    </row>
    <row r="134" spans="1:13" s="89" customFormat="1">
      <c r="A134" s="46"/>
      <c r="B134" s="297" t="s">
        <v>294</v>
      </c>
      <c r="C134" s="302" t="s">
        <v>283</v>
      </c>
      <c r="D134" s="92">
        <v>0</v>
      </c>
      <c r="E134" s="93">
        <v>0</v>
      </c>
      <c r="F134" s="94">
        <f t="shared" si="5"/>
        <v>0</v>
      </c>
      <c r="G134" s="32"/>
      <c r="H134" s="23"/>
      <c r="I134" s="32"/>
      <c r="J134" s="23"/>
      <c r="K134" s="57"/>
      <c r="L134" s="23"/>
      <c r="M134" s="57"/>
    </row>
    <row r="135" spans="1:13" s="89" customFormat="1" ht="40">
      <c r="A135" s="46"/>
      <c r="B135" s="298" t="s">
        <v>295</v>
      </c>
      <c r="C135" s="303" t="s">
        <v>283</v>
      </c>
      <c r="D135" s="92">
        <v>0</v>
      </c>
      <c r="E135" s="93">
        <v>0</v>
      </c>
      <c r="F135" s="94">
        <f t="shared" si="5"/>
        <v>0</v>
      </c>
      <c r="G135" s="32"/>
      <c r="H135" s="23"/>
      <c r="I135" s="32"/>
      <c r="J135" s="23"/>
      <c r="K135" s="57"/>
      <c r="L135" s="23"/>
      <c r="M135" s="57"/>
    </row>
    <row r="136" spans="1:13" s="89" customFormat="1" ht="40">
      <c r="A136" s="46"/>
      <c r="B136" s="298" t="s">
        <v>296</v>
      </c>
      <c r="C136" s="303" t="s">
        <v>283</v>
      </c>
      <c r="D136" s="92">
        <v>0</v>
      </c>
      <c r="E136" s="93">
        <v>0</v>
      </c>
      <c r="F136" s="94">
        <f t="shared" si="5"/>
        <v>0</v>
      </c>
      <c r="G136" s="32"/>
      <c r="H136" s="23"/>
      <c r="I136" s="32"/>
      <c r="J136" s="23"/>
      <c r="K136" s="57"/>
      <c r="L136" s="23"/>
      <c r="M136" s="57"/>
    </row>
    <row r="137" spans="1:13" s="89" customFormat="1" ht="40">
      <c r="A137" s="46"/>
      <c r="B137" s="299" t="s">
        <v>297</v>
      </c>
      <c r="C137" s="304" t="s">
        <v>283</v>
      </c>
      <c r="D137" s="92">
        <v>0</v>
      </c>
      <c r="E137" s="95">
        <v>0</v>
      </c>
      <c r="F137" s="94">
        <f t="shared" si="5"/>
        <v>0</v>
      </c>
      <c r="G137" s="32"/>
      <c r="H137" s="23"/>
      <c r="I137" s="32"/>
      <c r="J137" s="23"/>
      <c r="K137" s="57"/>
      <c r="L137" s="23"/>
      <c r="M137" s="57"/>
    </row>
    <row r="138" spans="1:13" s="89" customFormat="1" ht="60">
      <c r="A138" s="46"/>
      <c r="B138" s="298" t="s">
        <v>298</v>
      </c>
      <c r="C138" s="305" t="s">
        <v>283</v>
      </c>
      <c r="D138" s="92">
        <v>0</v>
      </c>
      <c r="E138" s="93">
        <v>0</v>
      </c>
      <c r="F138" s="94">
        <f t="shared" si="5"/>
        <v>0</v>
      </c>
      <c r="G138" s="32"/>
      <c r="H138" s="23"/>
      <c r="I138" s="32"/>
      <c r="J138" s="23"/>
      <c r="K138" s="57"/>
      <c r="L138" s="23"/>
      <c r="M138" s="57"/>
    </row>
    <row r="139" spans="1:13" s="89" customFormat="1">
      <c r="A139" s="46"/>
      <c r="B139" s="298" t="s">
        <v>289</v>
      </c>
      <c r="C139" s="305" t="s">
        <v>290</v>
      </c>
      <c r="D139" s="96" t="e">
        <f>D135/D136</f>
        <v>#DIV/0!</v>
      </c>
      <c r="E139" s="96" t="e">
        <f>E135/E136</f>
        <v>#DIV/0!</v>
      </c>
      <c r="F139" s="97" t="e">
        <f>F135/F136</f>
        <v>#DIV/0!</v>
      </c>
      <c r="G139" s="32"/>
      <c r="H139" s="23"/>
      <c r="I139" s="32"/>
      <c r="J139" s="23"/>
      <c r="K139" s="57"/>
      <c r="L139" s="23"/>
      <c r="M139" s="57"/>
    </row>
    <row r="140" spans="1:13" s="89" customFormat="1" ht="21.5" thickBot="1">
      <c r="A140" s="46"/>
      <c r="B140" s="300" t="s">
        <v>291</v>
      </c>
      <c r="C140" s="306" t="s">
        <v>290</v>
      </c>
      <c r="D140" s="98" t="e">
        <f>D137/D138</f>
        <v>#DIV/0!</v>
      </c>
      <c r="E140" s="98" t="e">
        <f>E137/E138</f>
        <v>#DIV/0!</v>
      </c>
      <c r="F140" s="99" t="e">
        <f>F137/F138</f>
        <v>#DIV/0!</v>
      </c>
      <c r="G140" s="32"/>
      <c r="H140" s="23"/>
      <c r="I140" s="32"/>
      <c r="J140" s="23"/>
      <c r="K140" s="57"/>
      <c r="L140" s="23"/>
      <c r="M140" s="57"/>
    </row>
    <row r="141" spans="1:13" s="89" customFormat="1">
      <c r="A141" s="46"/>
      <c r="B141" s="68"/>
      <c r="C141" s="56"/>
      <c r="D141" s="56"/>
      <c r="E141" s="32"/>
      <c r="F141" s="23"/>
      <c r="G141" s="32"/>
      <c r="H141" s="23"/>
      <c r="I141" s="32"/>
      <c r="J141" s="23"/>
      <c r="K141" s="57"/>
      <c r="L141" s="23"/>
      <c r="M141" s="57"/>
    </row>
    <row r="142" spans="1:13" ht="48" customHeight="1">
      <c r="A142" s="19">
        <v>1</v>
      </c>
      <c r="B142" s="138" t="s">
        <v>299</v>
      </c>
      <c r="C142" s="139"/>
      <c r="D142" s="34"/>
      <c r="E142" s="34"/>
      <c r="F142" s="22"/>
      <c r="G142" s="34"/>
      <c r="H142" s="22"/>
      <c r="I142" s="34"/>
      <c r="J142" s="22"/>
      <c r="K142" s="34"/>
      <c r="L142" s="22"/>
      <c r="M142" s="34"/>
    </row>
    <row r="143" spans="1:13">
      <c r="A143" s="2">
        <v>1</v>
      </c>
      <c r="B143" s="139"/>
      <c r="C143" s="139" t="s">
        <v>498</v>
      </c>
      <c r="D143" s="34"/>
      <c r="E143" s="34"/>
      <c r="F143" s="22"/>
      <c r="G143" s="34"/>
      <c r="H143" s="22"/>
      <c r="I143" s="34"/>
      <c r="J143" s="22"/>
      <c r="K143" s="34"/>
      <c r="L143" s="22"/>
      <c r="M143" s="34"/>
    </row>
    <row r="144" spans="1:13" ht="126">
      <c r="A144" s="2">
        <v>1</v>
      </c>
      <c r="B144" s="137" t="s">
        <v>300</v>
      </c>
      <c r="C144" s="312"/>
      <c r="D144" s="34"/>
      <c r="E144" s="34"/>
      <c r="F144" s="22"/>
      <c r="G144" s="34"/>
      <c r="H144" s="22"/>
      <c r="I144" s="34"/>
      <c r="J144" s="22"/>
      <c r="K144" s="34"/>
      <c r="L144" s="22"/>
      <c r="M144" s="34"/>
    </row>
    <row r="145" spans="1:13" s="89" customFormat="1">
      <c r="A145" s="11"/>
      <c r="B145" s="23"/>
      <c r="C145" s="33"/>
      <c r="D145" s="33"/>
      <c r="E145" s="32"/>
      <c r="F145" s="23"/>
      <c r="G145" s="32"/>
      <c r="H145" s="23"/>
      <c r="I145" s="32"/>
      <c r="J145" s="23"/>
      <c r="K145" s="32"/>
      <c r="L145" s="23"/>
      <c r="M145" s="32"/>
    </row>
    <row r="146" spans="1:13" ht="42">
      <c r="A146" s="52">
        <v>2</v>
      </c>
      <c r="B146" s="143" t="s">
        <v>301</v>
      </c>
      <c r="C146" s="22"/>
      <c r="D146" s="22"/>
      <c r="E146" s="22"/>
      <c r="F146" s="22"/>
      <c r="G146" s="22"/>
      <c r="H146" s="22"/>
      <c r="I146" s="22"/>
      <c r="J146" s="22"/>
      <c r="K146" s="22"/>
      <c r="L146" s="22"/>
      <c r="M146" s="22"/>
    </row>
    <row r="147" spans="1:13">
      <c r="A147" s="2">
        <v>2</v>
      </c>
      <c r="B147" s="20" t="s">
        <v>302</v>
      </c>
      <c r="C147" s="146" t="s">
        <v>502</v>
      </c>
      <c r="D147" s="146" t="s">
        <v>502</v>
      </c>
      <c r="E147" s="146" t="s">
        <v>502</v>
      </c>
      <c r="F147" s="22"/>
      <c r="G147" s="34"/>
      <c r="H147" s="22"/>
      <c r="I147" s="34"/>
      <c r="J147" s="22"/>
      <c r="K147" s="22"/>
    </row>
    <row r="148" spans="1:13" ht="42">
      <c r="A148" s="52">
        <v>2</v>
      </c>
      <c r="B148" s="143" t="s">
        <v>302</v>
      </c>
      <c r="C148" s="75" t="s">
        <v>303</v>
      </c>
      <c r="D148" s="59" t="s">
        <v>304</v>
      </c>
      <c r="E148" s="146" t="s">
        <v>305</v>
      </c>
      <c r="F148" s="38"/>
      <c r="G148" s="38"/>
      <c r="H148" s="38"/>
      <c r="I148" s="22"/>
      <c r="J148" s="22"/>
      <c r="K148" s="22"/>
    </row>
    <row r="149" spans="1:13">
      <c r="A149" s="2">
        <v>2</v>
      </c>
      <c r="B149" s="74" t="s">
        <v>306</v>
      </c>
      <c r="C149" s="49">
        <v>462</v>
      </c>
      <c r="D149" s="58">
        <v>0</v>
      </c>
      <c r="E149" s="49">
        <v>462</v>
      </c>
      <c r="F149" s="22"/>
      <c r="G149" s="22"/>
      <c r="H149" s="22"/>
      <c r="I149" s="22"/>
      <c r="J149" s="22"/>
      <c r="K149" s="22"/>
    </row>
    <row r="150" spans="1:13">
      <c r="A150" s="2">
        <v>2</v>
      </c>
      <c r="B150" s="26" t="s">
        <v>307</v>
      </c>
      <c r="C150" s="49">
        <v>462</v>
      </c>
      <c r="D150" s="58">
        <v>0</v>
      </c>
      <c r="E150" s="49">
        <v>462</v>
      </c>
      <c r="F150" s="22"/>
      <c r="G150" s="22"/>
      <c r="H150" s="22"/>
      <c r="I150" s="22"/>
      <c r="J150" s="22"/>
      <c r="K150" s="22"/>
    </row>
    <row r="151" spans="1:13">
      <c r="A151" s="2">
        <v>2</v>
      </c>
      <c r="B151" s="26" t="s">
        <v>308</v>
      </c>
      <c r="C151" s="49">
        <v>0</v>
      </c>
      <c r="D151" s="58">
        <v>0</v>
      </c>
      <c r="E151" s="49">
        <v>0</v>
      </c>
      <c r="F151" s="22"/>
      <c r="G151" s="22"/>
      <c r="H151" s="22"/>
      <c r="I151" s="22"/>
      <c r="J151" s="22"/>
      <c r="K151" s="22"/>
    </row>
    <row r="152" spans="1:13">
      <c r="A152" s="2">
        <v>2</v>
      </c>
      <c r="B152" s="26" t="s">
        <v>309</v>
      </c>
      <c r="C152" s="49">
        <v>0</v>
      </c>
      <c r="D152" s="58">
        <v>0</v>
      </c>
      <c r="E152" s="49">
        <v>0</v>
      </c>
      <c r="F152" s="22"/>
      <c r="G152" s="22"/>
      <c r="H152" s="22"/>
    </row>
    <row r="153" spans="1:13" s="89" customFormat="1">
      <c r="A153" s="23"/>
      <c r="B153" s="23"/>
      <c r="C153" s="23"/>
      <c r="D153" s="23"/>
      <c r="E153" s="23"/>
    </row>
    <row r="155" spans="1:13" ht="42">
      <c r="A155" s="52">
        <v>9</v>
      </c>
      <c r="B155" s="143" t="s">
        <v>310</v>
      </c>
      <c r="C155" s="53"/>
      <c r="D155" s="22"/>
      <c r="E155" s="22"/>
      <c r="F155" s="22"/>
      <c r="G155" s="22"/>
      <c r="H155" s="22"/>
      <c r="I155" s="22"/>
      <c r="J155" s="22"/>
      <c r="K155" s="22"/>
      <c r="L155" s="22"/>
      <c r="M155" s="22"/>
    </row>
    <row r="156" spans="1:13">
      <c r="A156" s="2">
        <v>9</v>
      </c>
      <c r="B156" s="489" t="s">
        <v>224</v>
      </c>
      <c r="C156" s="146" t="s">
        <v>502</v>
      </c>
      <c r="D156" s="22"/>
      <c r="E156" s="22"/>
      <c r="F156" s="22"/>
    </row>
    <row r="157" spans="1:13">
      <c r="A157" s="2">
        <v>9</v>
      </c>
      <c r="B157" s="489"/>
      <c r="C157" s="140" t="s">
        <v>311</v>
      </c>
      <c r="D157" s="22"/>
      <c r="E157" s="22"/>
      <c r="F157" s="22"/>
    </row>
    <row r="158" spans="1:13">
      <c r="A158" s="52">
        <v>9</v>
      </c>
      <c r="B158" s="143" t="s">
        <v>262</v>
      </c>
      <c r="C158" s="143" t="s">
        <v>262</v>
      </c>
      <c r="D158" s="22"/>
      <c r="E158" s="22"/>
      <c r="F158" s="22"/>
    </row>
    <row r="159" spans="1:13">
      <c r="A159" s="52">
        <v>9</v>
      </c>
      <c r="B159" s="17" t="s">
        <v>259</v>
      </c>
      <c r="C159" s="378">
        <v>348</v>
      </c>
      <c r="D159" s="22"/>
      <c r="E159" s="22"/>
      <c r="F159" s="22"/>
    </row>
    <row r="160" spans="1:13">
      <c r="A160" s="52">
        <v>9</v>
      </c>
      <c r="B160" s="17" t="s">
        <v>241</v>
      </c>
      <c r="C160" s="378">
        <v>114</v>
      </c>
      <c r="D160" s="22"/>
      <c r="E160" s="22"/>
      <c r="F160" s="22"/>
    </row>
    <row r="161" spans="1:13">
      <c r="A161" s="52">
        <v>9</v>
      </c>
      <c r="B161" s="143" t="s">
        <v>228</v>
      </c>
      <c r="C161" s="27">
        <f>C160+C159</f>
        <v>462</v>
      </c>
      <c r="D161" s="22"/>
      <c r="E161" s="22"/>
      <c r="F161" s="22"/>
    </row>
    <row r="162" spans="1:13">
      <c r="A162" s="124">
        <v>9</v>
      </c>
      <c r="B162" s="146" t="s">
        <v>266</v>
      </c>
      <c r="C162" s="146" t="s">
        <v>266</v>
      </c>
      <c r="D162" s="22"/>
      <c r="E162" s="22"/>
      <c r="F162" s="22"/>
    </row>
    <row r="163" spans="1:13">
      <c r="A163" s="124">
        <v>9</v>
      </c>
      <c r="B163" s="54" t="s">
        <v>259</v>
      </c>
      <c r="C163" s="49"/>
      <c r="D163" s="22"/>
      <c r="E163" s="22"/>
      <c r="F163" s="22"/>
    </row>
    <row r="164" spans="1:13">
      <c r="A164" s="124">
        <v>9</v>
      </c>
      <c r="B164" s="54" t="s">
        <v>241</v>
      </c>
      <c r="C164" s="49"/>
      <c r="D164" s="22"/>
      <c r="E164" s="22"/>
      <c r="F164" s="22"/>
    </row>
    <row r="165" spans="1:13">
      <c r="A165" s="124">
        <v>9</v>
      </c>
      <c r="B165" s="146" t="s">
        <v>228</v>
      </c>
      <c r="C165" s="55">
        <v>0</v>
      </c>
      <c r="D165" s="22"/>
      <c r="E165" s="22"/>
      <c r="F165" s="22"/>
    </row>
    <row r="166" spans="1:13" s="89" customFormat="1">
      <c r="A166" s="11"/>
      <c r="B166" s="25"/>
      <c r="C166" s="23"/>
      <c r="D166" s="23"/>
      <c r="E166" s="57"/>
      <c r="F166" s="23"/>
      <c r="G166" s="23"/>
      <c r="H166" s="57"/>
      <c r="I166" s="23"/>
      <c r="J166" s="23"/>
      <c r="K166" s="23"/>
      <c r="L166" s="23"/>
      <c r="M166" s="24"/>
    </row>
    <row r="167" spans="1:13" ht="42">
      <c r="B167" s="10" t="s">
        <v>312</v>
      </c>
      <c r="C167"/>
      <c r="D167"/>
      <c r="E167"/>
    </row>
    <row r="168" spans="1:13">
      <c r="B168" s="1"/>
      <c r="C168" s="146" t="s">
        <v>502</v>
      </c>
      <c r="D168" s="146" t="s">
        <v>502</v>
      </c>
      <c r="E168" s="146" t="s">
        <v>502</v>
      </c>
    </row>
    <row r="169" spans="1:13" ht="42">
      <c r="B169" s="1"/>
      <c r="C169" s="4" t="s">
        <v>313</v>
      </c>
      <c r="D169" s="4" t="s">
        <v>314</v>
      </c>
      <c r="E169" s="4" t="s">
        <v>315</v>
      </c>
    </row>
    <row r="170" spans="1:13" ht="42">
      <c r="B170" s="1" t="s">
        <v>316</v>
      </c>
      <c r="C170" s="379">
        <v>0</v>
      </c>
      <c r="D170" s="379">
        <v>0</v>
      </c>
      <c r="E170" s="283"/>
    </row>
    <row r="171" spans="1:13">
      <c r="B171" s="1" t="s">
        <v>317</v>
      </c>
      <c r="C171" s="379">
        <v>0</v>
      </c>
      <c r="D171" s="379">
        <v>0</v>
      </c>
      <c r="E171" s="283"/>
    </row>
    <row r="172" spans="1:13">
      <c r="B172" s="1" t="s">
        <v>318</v>
      </c>
      <c r="C172" s="379">
        <v>0</v>
      </c>
      <c r="D172" s="379">
        <v>0</v>
      </c>
      <c r="E172" s="283"/>
    </row>
    <row r="173" spans="1:13">
      <c r="B173" s="1" t="s">
        <v>319</v>
      </c>
      <c r="C173" s="379">
        <v>0</v>
      </c>
      <c r="D173" s="379">
        <v>0</v>
      </c>
      <c r="E173" s="283"/>
    </row>
    <row r="174" spans="1:13">
      <c r="B174" s="1" t="s">
        <v>54</v>
      </c>
      <c r="C174" s="379">
        <v>0</v>
      </c>
      <c r="D174" s="379">
        <v>0</v>
      </c>
      <c r="E174" s="283"/>
    </row>
    <row r="175" spans="1:13">
      <c r="B175" s="1" t="s">
        <v>320</v>
      </c>
      <c r="C175" s="379">
        <v>0</v>
      </c>
      <c r="D175" s="379">
        <v>0</v>
      </c>
      <c r="E175" s="283"/>
    </row>
    <row r="176" spans="1:13">
      <c r="A176" s="141"/>
      <c r="B176" s="148"/>
      <c r="C176" s="39"/>
      <c r="D176" s="15"/>
    </row>
    <row r="177" spans="1:13" s="89" customFormat="1">
      <c r="A177" s="76"/>
      <c r="B177" s="490" t="s">
        <v>321</v>
      </c>
      <c r="C177" s="491"/>
      <c r="D177" s="492"/>
      <c r="E177" s="48"/>
      <c r="F177" s="48"/>
      <c r="G177" s="23"/>
      <c r="H177" s="23"/>
      <c r="I177" s="23"/>
      <c r="J177" s="23"/>
      <c r="K177" s="23"/>
      <c r="L177" s="23"/>
      <c r="M177" s="23"/>
    </row>
    <row r="178" spans="1:13">
      <c r="A178" s="52">
        <v>1</v>
      </c>
      <c r="B178" s="120" t="s">
        <v>322</v>
      </c>
      <c r="C178" s="120" t="s">
        <v>323</v>
      </c>
      <c r="D178" s="120" t="s">
        <v>324</v>
      </c>
      <c r="E178" s="18"/>
      <c r="F178" s="18"/>
      <c r="G178" s="18"/>
    </row>
    <row r="179" spans="1:13">
      <c r="A179" s="52">
        <v>1</v>
      </c>
      <c r="B179" s="230" t="s">
        <v>325</v>
      </c>
      <c r="C179" s="100"/>
      <c r="D179" s="100"/>
      <c r="E179" s="18"/>
      <c r="F179" s="18"/>
      <c r="G179" s="18"/>
    </row>
    <row r="180" spans="1:13">
      <c r="A180" s="52">
        <v>1</v>
      </c>
      <c r="B180" s="230" t="s">
        <v>326</v>
      </c>
      <c r="C180" s="100"/>
      <c r="D180" s="100"/>
      <c r="E180" s="18"/>
      <c r="F180" s="18"/>
      <c r="G180" s="18"/>
    </row>
    <row r="181" spans="1:13" ht="61">
      <c r="A181" s="52">
        <v>1</v>
      </c>
      <c r="B181" s="230" t="s">
        <v>327</v>
      </c>
      <c r="C181" s="100"/>
      <c r="D181" s="100"/>
      <c r="E181" s="18"/>
      <c r="F181" s="18"/>
      <c r="G181" s="18"/>
    </row>
    <row r="182" spans="1:13">
      <c r="A182" s="52">
        <v>1</v>
      </c>
      <c r="B182" s="230" t="s">
        <v>328</v>
      </c>
      <c r="C182" s="100"/>
      <c r="D182" s="100"/>
      <c r="E182" s="18"/>
      <c r="F182" s="18"/>
      <c r="G182" s="18"/>
    </row>
    <row r="183" spans="1:13">
      <c r="A183" s="141"/>
      <c r="B183" s="148"/>
      <c r="C183" s="39"/>
      <c r="D183" s="15"/>
    </row>
    <row r="184" spans="1:13">
      <c r="A184" s="52">
        <v>2</v>
      </c>
      <c r="B184" s="45"/>
      <c r="C184" s="23"/>
      <c r="D184" s="23"/>
    </row>
    <row r="185" spans="1:13">
      <c r="A185" s="52">
        <v>2</v>
      </c>
      <c r="B185" s="487" t="s">
        <v>329</v>
      </c>
      <c r="C185" s="487"/>
      <c r="D185" s="487"/>
    </row>
    <row r="186" spans="1:13">
      <c r="A186" s="52">
        <v>2</v>
      </c>
      <c r="B186" s="4" t="s">
        <v>224</v>
      </c>
      <c r="C186" s="143" t="s">
        <v>488</v>
      </c>
      <c r="D186" s="143" t="s">
        <v>488</v>
      </c>
    </row>
    <row r="187" spans="1:13">
      <c r="A187" s="124">
        <v>2</v>
      </c>
      <c r="B187" s="4"/>
      <c r="C187" s="143" t="s">
        <v>330</v>
      </c>
      <c r="D187" s="143" t="s">
        <v>331</v>
      </c>
    </row>
    <row r="188" spans="1:13">
      <c r="A188" s="124">
        <v>2</v>
      </c>
      <c r="B188" s="487" t="s">
        <v>332</v>
      </c>
      <c r="C188" s="487"/>
      <c r="D188" s="487"/>
    </row>
    <row r="189" spans="1:13">
      <c r="A189" s="124">
        <v>2</v>
      </c>
      <c r="B189" s="487" t="s">
        <v>263</v>
      </c>
      <c r="C189" s="487"/>
      <c r="D189" s="487"/>
    </row>
    <row r="190" spans="1:13">
      <c r="A190" s="124">
        <v>2</v>
      </c>
      <c r="B190" s="1" t="s">
        <v>240</v>
      </c>
      <c r="C190" s="70"/>
      <c r="D190" s="70"/>
    </row>
    <row r="191" spans="1:13">
      <c r="A191" s="124">
        <v>2</v>
      </c>
      <c r="B191" s="1" t="s">
        <v>241</v>
      </c>
      <c r="C191" s="70"/>
      <c r="D191" s="70"/>
    </row>
    <row r="192" spans="1:13">
      <c r="A192" s="124">
        <v>2</v>
      </c>
      <c r="B192" s="487" t="s">
        <v>264</v>
      </c>
      <c r="C192" s="487"/>
      <c r="D192" s="487"/>
    </row>
    <row r="193" spans="1:7">
      <c r="B193" s="1" t="s">
        <v>240</v>
      </c>
      <c r="C193" s="70"/>
      <c r="D193" s="70"/>
    </row>
    <row r="194" spans="1:7">
      <c r="B194" s="1" t="s">
        <v>241</v>
      </c>
      <c r="C194" s="70"/>
      <c r="D194" s="70"/>
    </row>
    <row r="195" spans="1:7">
      <c r="B195" s="488" t="s">
        <v>333</v>
      </c>
      <c r="C195" s="488"/>
      <c r="D195" s="488"/>
    </row>
    <row r="196" spans="1:7">
      <c r="B196" s="488" t="s">
        <v>263</v>
      </c>
      <c r="C196" s="488"/>
      <c r="D196" s="488"/>
    </row>
    <row r="197" spans="1:7">
      <c r="B197" s="60" t="s">
        <v>240</v>
      </c>
      <c r="C197" s="114"/>
      <c r="D197" s="114"/>
    </row>
    <row r="198" spans="1:7">
      <c r="B198" s="60" t="s">
        <v>241</v>
      </c>
      <c r="C198" s="114"/>
      <c r="D198" s="114"/>
    </row>
    <row r="199" spans="1:7">
      <c r="B199" s="488" t="s">
        <v>264</v>
      </c>
      <c r="C199" s="488"/>
      <c r="D199" s="488"/>
    </row>
    <row r="200" spans="1:7">
      <c r="B200" s="60" t="s">
        <v>240</v>
      </c>
      <c r="C200" s="114"/>
      <c r="D200" s="114"/>
    </row>
    <row r="201" spans="1:7">
      <c r="B201" s="60" t="s">
        <v>241</v>
      </c>
      <c r="C201" s="114"/>
      <c r="D201" s="114"/>
    </row>
    <row r="203" spans="1:7" customFormat="1">
      <c r="A203" s="22"/>
      <c r="B203" s="18"/>
      <c r="C203" s="123"/>
      <c r="D203" s="123"/>
      <c r="E203" s="123"/>
      <c r="F203" s="123"/>
    </row>
    <row r="204" spans="1:7" customFormat="1" ht="55.5" customHeight="1">
      <c r="B204" s="480" t="s">
        <v>334</v>
      </c>
      <c r="C204" s="481"/>
      <c r="D204" s="481"/>
      <c r="E204" s="325" t="s">
        <v>335</v>
      </c>
      <c r="F204" s="357"/>
      <c r="G204" s="358"/>
    </row>
    <row r="205" spans="1:7" customFormat="1" ht="55.5" customHeight="1">
      <c r="B205" s="326"/>
      <c r="C205" s="483" t="s">
        <v>502</v>
      </c>
      <c r="D205" s="484"/>
      <c r="E205" s="325"/>
      <c r="F205" s="357"/>
      <c r="G205" s="358"/>
    </row>
    <row r="206" spans="1:7" customFormat="1">
      <c r="B206" s="327" t="s">
        <v>336</v>
      </c>
      <c r="C206" s="327" t="s">
        <v>337</v>
      </c>
      <c r="D206" s="355" t="s">
        <v>338</v>
      </c>
      <c r="E206" s="328" t="s">
        <v>339</v>
      </c>
      <c r="F206" s="357"/>
      <c r="G206" s="328"/>
    </row>
    <row r="207" spans="1:7" customFormat="1">
      <c r="B207" s="329" t="s">
        <v>340</v>
      </c>
      <c r="C207" s="329" t="s">
        <v>341</v>
      </c>
      <c r="D207" s="356" t="s">
        <v>341</v>
      </c>
      <c r="E207" s="328" t="s">
        <v>342</v>
      </c>
      <c r="F207" s="357"/>
      <c r="G207" s="328"/>
    </row>
    <row r="208" spans="1:7" customFormat="1">
      <c r="B208" s="329" t="s">
        <v>343</v>
      </c>
      <c r="C208" s="329" t="s">
        <v>341</v>
      </c>
      <c r="D208" s="356" t="s">
        <v>341</v>
      </c>
      <c r="E208" s="330" t="s">
        <v>344</v>
      </c>
      <c r="F208" s="357"/>
      <c r="G208" s="328"/>
    </row>
    <row r="209" spans="1:7" customFormat="1">
      <c r="B209" s="329" t="s">
        <v>345</v>
      </c>
      <c r="C209" s="329" t="s">
        <v>341</v>
      </c>
      <c r="D209" s="356" t="s">
        <v>341</v>
      </c>
      <c r="E209" s="328" t="s">
        <v>346</v>
      </c>
      <c r="F209" s="357"/>
      <c r="G209" s="328"/>
    </row>
    <row r="210" spans="1:7" customFormat="1">
      <c r="B210" s="329" t="s">
        <v>347</v>
      </c>
      <c r="C210" s="329" t="s">
        <v>341</v>
      </c>
      <c r="D210" s="356" t="s">
        <v>341</v>
      </c>
      <c r="E210" s="357"/>
      <c r="F210" s="357"/>
    </row>
    <row r="211" spans="1:7" customFormat="1">
      <c r="A211" s="22"/>
      <c r="B211" s="18"/>
      <c r="C211" s="123"/>
      <c r="D211" s="123"/>
      <c r="E211" s="123"/>
      <c r="F211" s="123"/>
    </row>
    <row r="213" spans="1:7" ht="42">
      <c r="B213" s="143" t="s">
        <v>348</v>
      </c>
      <c r="C213" s="143" t="s">
        <v>349</v>
      </c>
    </row>
    <row r="214" spans="1:7">
      <c r="B214" s="136" t="s">
        <v>75</v>
      </c>
      <c r="C214" s="288"/>
    </row>
    <row r="215" spans="1:7" ht="42">
      <c r="B215" s="4" t="s">
        <v>350</v>
      </c>
      <c r="C215" s="289"/>
    </row>
    <row r="216" spans="1:7" ht="63">
      <c r="B216" s="4" t="s">
        <v>351</v>
      </c>
      <c r="C216" s="289"/>
    </row>
    <row r="217" spans="1:7" ht="84">
      <c r="B217" s="4" t="s">
        <v>352</v>
      </c>
      <c r="C217" s="290" t="e">
        <f>C216/C215</f>
        <v>#DIV/0!</v>
      </c>
    </row>
    <row r="218" spans="1:7" ht="42">
      <c r="B218" s="4" t="s">
        <v>353</v>
      </c>
      <c r="C218" s="289"/>
    </row>
  </sheetData>
  <mergeCells count="58">
    <mergeCell ref="B94:B95"/>
    <mergeCell ref="C108:F108"/>
    <mergeCell ref="C111:F111"/>
    <mergeCell ref="C114:F114"/>
    <mergeCell ref="B130:F130"/>
    <mergeCell ref="C15:D15"/>
    <mergeCell ref="E15:F15"/>
    <mergeCell ref="G15:H15"/>
    <mergeCell ref="C22:D22"/>
    <mergeCell ref="E22:F22"/>
    <mergeCell ref="G22:H22"/>
    <mergeCell ref="C24:D24"/>
    <mergeCell ref="E24:F24"/>
    <mergeCell ref="G24:H24"/>
    <mergeCell ref="C31:D31"/>
    <mergeCell ref="E31:F31"/>
    <mergeCell ref="G31:H31"/>
    <mergeCell ref="C41:D41"/>
    <mergeCell ref="E41:F41"/>
    <mergeCell ref="G41:H41"/>
    <mergeCell ref="C33:D33"/>
    <mergeCell ref="E33:F33"/>
    <mergeCell ref="G33:H33"/>
    <mergeCell ref="C36:D36"/>
    <mergeCell ref="E36:F36"/>
    <mergeCell ref="G36:H36"/>
    <mergeCell ref="C1:D1"/>
    <mergeCell ref="C48:D48"/>
    <mergeCell ref="E48:F48"/>
    <mergeCell ref="G48:H48"/>
    <mergeCell ref="C60:D60"/>
    <mergeCell ref="E60:F60"/>
    <mergeCell ref="G60:H60"/>
    <mergeCell ref="C53:D53"/>
    <mergeCell ref="E53:F53"/>
    <mergeCell ref="G53:H53"/>
    <mergeCell ref="C55:D55"/>
    <mergeCell ref="E55:F55"/>
    <mergeCell ref="G55:H55"/>
    <mergeCell ref="C38:D38"/>
    <mergeCell ref="E38:F38"/>
    <mergeCell ref="G38:H38"/>
    <mergeCell ref="B204:D204"/>
    <mergeCell ref="B68:D68"/>
    <mergeCell ref="C69:D69"/>
    <mergeCell ref="C205:D205"/>
    <mergeCell ref="D131:F131"/>
    <mergeCell ref="B118:F118"/>
    <mergeCell ref="D119:F119"/>
    <mergeCell ref="B185:D185"/>
    <mergeCell ref="B199:D199"/>
    <mergeCell ref="B195:D195"/>
    <mergeCell ref="B188:D188"/>
    <mergeCell ref="B156:B157"/>
    <mergeCell ref="B192:D192"/>
    <mergeCell ref="B189:D189"/>
    <mergeCell ref="B196:D196"/>
    <mergeCell ref="B177:D177"/>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M48"/>
  <sheetViews>
    <sheetView showGridLines="0" topLeftCell="B38" zoomScale="62" zoomScaleNormal="53" workbookViewId="0">
      <selection activeCell="C41" sqref="C41"/>
    </sheetView>
  </sheetViews>
  <sheetFormatPr defaultColWidth="8.7265625" defaultRowHeight="21"/>
  <cols>
    <col min="1" max="1" width="10.81640625" style="9" hidden="1" customWidth="1"/>
    <col min="2" max="2" width="69.7265625" style="9" customWidth="1"/>
    <col min="3" max="3" width="47.453125" style="9" customWidth="1"/>
    <col min="4" max="4" width="51.54296875" style="9" bestFit="1" customWidth="1"/>
    <col min="5" max="5" width="48" style="9" bestFit="1" customWidth="1"/>
    <col min="6" max="6" width="44.81640625" style="9" bestFit="1" customWidth="1"/>
    <col min="7" max="7" width="28.26953125" style="9" bestFit="1" customWidth="1"/>
    <col min="8" max="8" width="30" style="9" customWidth="1"/>
    <col min="9" max="10" width="26.81640625" style="9" bestFit="1" customWidth="1"/>
    <col min="11" max="12" width="25.54296875" style="9" bestFit="1" customWidth="1"/>
    <col min="13" max="16384" width="8.7265625" style="9"/>
  </cols>
  <sheetData>
    <row r="1" spans="1:12" ht="42">
      <c r="A1" s="2">
        <v>8</v>
      </c>
      <c r="B1" s="143" t="s">
        <v>354</v>
      </c>
      <c r="C1" s="22"/>
      <c r="D1" s="22"/>
      <c r="E1" s="22"/>
      <c r="F1" s="22"/>
      <c r="G1" s="22"/>
      <c r="H1" s="22"/>
      <c r="I1" s="22"/>
      <c r="J1" s="22"/>
      <c r="K1" s="22"/>
      <c r="L1" s="22"/>
    </row>
    <row r="2" spans="1:12">
      <c r="A2" s="2"/>
      <c r="B2" s="41"/>
      <c r="C2" s="143" t="s">
        <v>498</v>
      </c>
      <c r="D2" s="143" t="s">
        <v>500</v>
      </c>
      <c r="E2" s="22"/>
    </row>
    <row r="3" spans="1:12">
      <c r="A3" s="3"/>
      <c r="B3" s="41"/>
      <c r="C3" s="143" t="s">
        <v>355</v>
      </c>
      <c r="D3" s="143" t="s">
        <v>355</v>
      </c>
      <c r="E3" s="22"/>
    </row>
    <row r="4" spans="1:12">
      <c r="A4" s="104"/>
      <c r="B4" s="51" t="s">
        <v>224</v>
      </c>
      <c r="C4" s="143" t="s">
        <v>258</v>
      </c>
      <c r="D4" s="143" t="s">
        <v>258</v>
      </c>
      <c r="E4" s="22"/>
    </row>
    <row r="5" spans="1:12">
      <c r="A5" s="104"/>
      <c r="B5" s="51" t="s">
        <v>215</v>
      </c>
      <c r="C5" s="51" t="s">
        <v>215</v>
      </c>
      <c r="D5" s="51" t="s">
        <v>215</v>
      </c>
      <c r="E5" s="22"/>
    </row>
    <row r="6" spans="1:12">
      <c r="A6" s="104"/>
      <c r="B6" s="71" t="s">
        <v>259</v>
      </c>
      <c r="C6" s="103">
        <v>100</v>
      </c>
      <c r="D6" s="103">
        <v>107</v>
      </c>
      <c r="E6" s="30"/>
    </row>
    <row r="7" spans="1:12">
      <c r="A7" s="104"/>
      <c r="B7" s="71" t="s">
        <v>241</v>
      </c>
      <c r="C7" s="61">
        <v>13</v>
      </c>
      <c r="D7" s="61">
        <v>7</v>
      </c>
      <c r="E7" s="30"/>
    </row>
    <row r="8" spans="1:12" ht="30" customHeight="1">
      <c r="A8" s="104"/>
      <c r="B8" s="51" t="s">
        <v>228</v>
      </c>
      <c r="C8" s="27">
        <f>C6+C7</f>
        <v>113</v>
      </c>
      <c r="D8" s="27">
        <f>D6+D7</f>
        <v>114</v>
      </c>
      <c r="E8" s="30"/>
    </row>
    <row r="9" spans="1:12">
      <c r="B9" s="20" t="s">
        <v>540</v>
      </c>
      <c r="C9" s="20" t="s">
        <v>218</v>
      </c>
      <c r="D9" s="20" t="s">
        <v>218</v>
      </c>
    </row>
    <row r="10" spans="1:12">
      <c r="B10" s="40" t="s">
        <v>259</v>
      </c>
      <c r="C10" s="367">
        <v>35321</v>
      </c>
      <c r="D10" s="127">
        <v>0</v>
      </c>
    </row>
    <row r="11" spans="1:12">
      <c r="B11" s="40" t="s">
        <v>241</v>
      </c>
      <c r="C11" s="367">
        <v>14</v>
      </c>
      <c r="D11" s="127">
        <v>0</v>
      </c>
    </row>
    <row r="12" spans="1:12" hidden="1">
      <c r="B12" s="143" t="s">
        <v>228</v>
      </c>
      <c r="C12" s="29" t="e">
        <f>#REF!+#REF!</f>
        <v>#REF!</v>
      </c>
      <c r="D12" s="29" t="e">
        <f>#REF!+#REF!</f>
        <v>#REF!</v>
      </c>
      <c r="E12" s="29">
        <f>D10+D11</f>
        <v>0</v>
      </c>
      <c r="F12" s="29" t="e">
        <f>#REF!+#REF!</f>
        <v>#REF!</v>
      </c>
    </row>
    <row r="14" spans="1:12">
      <c r="B14" s="152" t="s">
        <v>356</v>
      </c>
      <c r="C14" s="67" t="s">
        <v>503</v>
      </c>
      <c r="D14" s="67" t="s">
        <v>504</v>
      </c>
    </row>
    <row r="15" spans="1:12">
      <c r="B15" s="277" t="s">
        <v>215</v>
      </c>
      <c r="C15" s="127">
        <v>278546</v>
      </c>
      <c r="D15" s="127">
        <v>101073</v>
      </c>
    </row>
    <row r="16" spans="1:12">
      <c r="B16" s="277" t="s">
        <v>227</v>
      </c>
      <c r="C16" s="127"/>
      <c r="D16" s="127"/>
    </row>
    <row r="17" spans="1:13">
      <c r="B17" s="277" t="s">
        <v>218</v>
      </c>
      <c r="C17" s="127"/>
      <c r="D17" s="127"/>
    </row>
    <row r="18" spans="1:13">
      <c r="B18" s="277" t="s">
        <v>219</v>
      </c>
      <c r="C18" s="127">
        <f>[3]Safety!$C$21</f>
        <v>15594242.5</v>
      </c>
      <c r="D18" s="127"/>
    </row>
    <row r="20" spans="1:13" ht="63">
      <c r="A20" s="2">
        <v>11</v>
      </c>
      <c r="B20" s="143" t="s">
        <v>357</v>
      </c>
      <c r="C20" s="53"/>
      <c r="D20" s="53"/>
      <c r="E20" s="53"/>
    </row>
    <row r="21" spans="1:13">
      <c r="A21" s="52">
        <v>11</v>
      </c>
      <c r="B21" s="143" t="s">
        <v>358</v>
      </c>
      <c r="C21" s="143" t="s">
        <v>224</v>
      </c>
      <c r="D21" s="143" t="s">
        <v>505</v>
      </c>
      <c r="E21" s="143" t="s">
        <v>506</v>
      </c>
      <c r="I21" s="22"/>
      <c r="J21" s="22"/>
      <c r="K21" s="22"/>
      <c r="L21" s="22"/>
      <c r="M21" s="22"/>
    </row>
    <row r="22" spans="1:13" ht="42">
      <c r="A22" s="52">
        <v>11</v>
      </c>
      <c r="B22" s="17" t="s">
        <v>359</v>
      </c>
      <c r="C22" s="17" t="s">
        <v>360</v>
      </c>
      <c r="D22" s="61">
        <v>0</v>
      </c>
      <c r="E22" s="376">
        <v>1</v>
      </c>
      <c r="I22" s="22"/>
      <c r="J22" s="22"/>
      <c r="K22" s="22"/>
      <c r="L22" s="22"/>
      <c r="M22" s="22"/>
    </row>
    <row r="23" spans="1:13">
      <c r="A23" s="52">
        <v>11</v>
      </c>
      <c r="B23" s="17" t="s">
        <v>361</v>
      </c>
      <c r="C23" s="17" t="s">
        <v>360</v>
      </c>
      <c r="D23" s="61">
        <v>0</v>
      </c>
      <c r="E23" s="61">
        <v>0</v>
      </c>
      <c r="I23" s="22"/>
      <c r="J23" s="22"/>
      <c r="K23" s="22"/>
      <c r="L23" s="22"/>
      <c r="M23" s="22"/>
    </row>
    <row r="24" spans="1:13" ht="42">
      <c r="A24" s="52">
        <v>11</v>
      </c>
      <c r="B24" s="17" t="s">
        <v>362</v>
      </c>
      <c r="C24" s="17" t="s">
        <v>360</v>
      </c>
      <c r="D24" s="61">
        <v>0</v>
      </c>
      <c r="E24" s="61">
        <v>0</v>
      </c>
      <c r="I24" s="22"/>
      <c r="J24" s="22"/>
      <c r="K24" s="22"/>
      <c r="L24" s="22"/>
      <c r="M24" s="22"/>
    </row>
    <row r="25" spans="1:13">
      <c r="I25" s="22"/>
      <c r="J25" s="22"/>
      <c r="K25" s="22"/>
      <c r="L25" s="22"/>
      <c r="M25" s="22"/>
    </row>
    <row r="26" spans="1:13" s="89" customFormat="1" ht="42">
      <c r="A26" s="2">
        <v>13</v>
      </c>
      <c r="B26" s="17" t="s">
        <v>550</v>
      </c>
      <c r="C26" s="30"/>
      <c r="D26" s="22"/>
      <c r="E26" s="22"/>
      <c r="F26" s="23"/>
      <c r="G26" s="23"/>
      <c r="H26" s="23"/>
      <c r="I26" s="23"/>
      <c r="J26" s="23"/>
    </row>
    <row r="27" spans="1:13">
      <c r="A27" s="2">
        <v>13</v>
      </c>
      <c r="B27" s="17"/>
      <c r="C27" s="143" t="s">
        <v>502</v>
      </c>
      <c r="D27" s="143" t="s">
        <v>502</v>
      </c>
      <c r="E27" s="143" t="s">
        <v>502</v>
      </c>
      <c r="F27" s="143" t="s">
        <v>487</v>
      </c>
      <c r="G27" s="143" t="s">
        <v>487</v>
      </c>
      <c r="H27" s="143" t="s">
        <v>487</v>
      </c>
      <c r="I27" s="22"/>
      <c r="J27" s="22"/>
      <c r="K27" s="22"/>
      <c r="L27" s="22"/>
    </row>
    <row r="28" spans="1:13" ht="42">
      <c r="A28" s="2">
        <v>13</v>
      </c>
      <c r="B28" s="17"/>
      <c r="C28" s="143" t="s">
        <v>313</v>
      </c>
      <c r="D28" s="143" t="s">
        <v>314</v>
      </c>
      <c r="E28" s="143" t="s">
        <v>315</v>
      </c>
      <c r="F28" s="143" t="s">
        <v>313</v>
      </c>
      <c r="G28" s="143" t="s">
        <v>314</v>
      </c>
      <c r="H28" s="143" t="s">
        <v>315</v>
      </c>
      <c r="I28" s="22"/>
      <c r="J28" s="22"/>
      <c r="K28" s="22"/>
      <c r="L28" s="22"/>
      <c r="M28" s="22"/>
    </row>
    <row r="29" spans="1:13" ht="63">
      <c r="A29" s="2">
        <v>13</v>
      </c>
      <c r="B29" s="7" t="s">
        <v>363</v>
      </c>
      <c r="C29" s="377">
        <v>9138</v>
      </c>
      <c r="D29" s="377">
        <v>22</v>
      </c>
      <c r="E29" s="22" t="s">
        <v>541</v>
      </c>
      <c r="F29" s="61">
        <v>0</v>
      </c>
      <c r="G29" s="61">
        <v>0</v>
      </c>
      <c r="H29" s="61">
        <v>0</v>
      </c>
      <c r="I29" s="22"/>
      <c r="J29" s="22"/>
      <c r="K29" s="22"/>
      <c r="L29" s="22"/>
      <c r="M29" s="22"/>
    </row>
    <row r="30" spans="1:13">
      <c r="A30" s="2">
        <v>13</v>
      </c>
      <c r="B30" s="7" t="s">
        <v>364</v>
      </c>
      <c r="C30" s="377">
        <v>698</v>
      </c>
      <c r="D30" s="377">
        <v>6</v>
      </c>
      <c r="E30" s="22"/>
      <c r="F30" s="61">
        <v>0</v>
      </c>
      <c r="G30" s="61">
        <v>0</v>
      </c>
      <c r="H30" s="61">
        <v>0</v>
      </c>
      <c r="I30" s="22"/>
      <c r="J30" s="22"/>
      <c r="K30" s="22"/>
      <c r="L30" s="22"/>
      <c r="M30" s="22"/>
    </row>
    <row r="31" spans="1:13" s="89" customFormat="1">
      <c r="A31" s="116"/>
      <c r="B31" s="116"/>
      <c r="C31" s="116"/>
      <c r="D31" s="116"/>
      <c r="E31" s="116"/>
      <c r="F31" s="36"/>
      <c r="G31" s="23"/>
      <c r="H31" s="23"/>
      <c r="I31" s="23"/>
      <c r="J31" s="23"/>
      <c r="K31" s="23"/>
      <c r="L31" s="23"/>
      <c r="M31" s="23"/>
    </row>
    <row r="32" spans="1:13" ht="42">
      <c r="A32" s="2">
        <v>14</v>
      </c>
      <c r="B32" s="274" t="s">
        <v>365</v>
      </c>
      <c r="C32" s="22"/>
      <c r="D32" s="22"/>
      <c r="E32" s="22"/>
      <c r="F32" s="22"/>
      <c r="G32" s="22"/>
      <c r="H32" s="22"/>
      <c r="I32" s="22"/>
      <c r="J32" s="22"/>
      <c r="K32" s="22"/>
      <c r="L32" s="22"/>
      <c r="M32" s="22"/>
    </row>
    <row r="33" spans="1:11" ht="42">
      <c r="A33" s="2">
        <v>14</v>
      </c>
      <c r="B33" s="275"/>
      <c r="C33" s="143" t="s">
        <v>366</v>
      </c>
      <c r="D33" s="143" t="s">
        <v>367</v>
      </c>
      <c r="E33" s="38"/>
      <c r="F33" s="22"/>
      <c r="G33" s="22"/>
      <c r="H33" s="22"/>
      <c r="I33" s="22"/>
      <c r="J33" s="22"/>
      <c r="K33" s="22"/>
    </row>
    <row r="34" spans="1:11">
      <c r="A34" s="2">
        <v>14</v>
      </c>
      <c r="B34" s="276" t="s">
        <v>368</v>
      </c>
      <c r="C34" s="377">
        <v>10</v>
      </c>
      <c r="D34" s="368">
        <v>10</v>
      </c>
      <c r="F34" s="22"/>
      <c r="G34" s="22"/>
      <c r="H34" s="22"/>
      <c r="I34" s="22"/>
      <c r="J34" s="22"/>
      <c r="K34" s="22"/>
    </row>
    <row r="35" spans="1:11">
      <c r="A35" s="2">
        <v>14</v>
      </c>
      <c r="B35" s="276" t="s">
        <v>363</v>
      </c>
      <c r="C35" s="377">
        <v>10</v>
      </c>
      <c r="D35" s="368">
        <v>10</v>
      </c>
      <c r="F35" s="22"/>
      <c r="G35" s="22"/>
      <c r="H35" s="22"/>
      <c r="I35" s="22"/>
      <c r="J35" s="22"/>
      <c r="K35" s="22"/>
    </row>
    <row r="36" spans="1:11">
      <c r="A36" s="11"/>
      <c r="B36" s="28"/>
      <c r="C36" s="115"/>
      <c r="D36" s="37"/>
      <c r="E36" s="23"/>
    </row>
    <row r="37" spans="1:11" ht="105">
      <c r="A37" s="2">
        <v>3</v>
      </c>
      <c r="B37" s="282" t="s">
        <v>369</v>
      </c>
      <c r="C37" s="22"/>
      <c r="D37" s="22"/>
      <c r="E37" s="22"/>
    </row>
    <row r="38" spans="1:11" ht="105">
      <c r="A38" s="52">
        <v>3</v>
      </c>
      <c r="B38" s="17"/>
      <c r="C38" s="143" t="s">
        <v>370</v>
      </c>
      <c r="D38" s="143" t="s">
        <v>371</v>
      </c>
      <c r="E38" s="22"/>
    </row>
    <row r="39" spans="1:11">
      <c r="A39" s="52">
        <v>3</v>
      </c>
      <c r="B39" s="35"/>
      <c r="C39" s="140" t="s">
        <v>502</v>
      </c>
      <c r="D39" s="140" t="s">
        <v>502</v>
      </c>
      <c r="E39" s="22"/>
    </row>
    <row r="40" spans="1:11" ht="50.5" customHeight="1">
      <c r="A40" s="52">
        <v>3</v>
      </c>
      <c r="B40" s="128" t="s">
        <v>262</v>
      </c>
      <c r="C40" s="129">
        <v>0</v>
      </c>
      <c r="D40" s="129"/>
      <c r="E40" s="22"/>
    </row>
    <row r="41" spans="1:11">
      <c r="B41" s="130" t="s">
        <v>266</v>
      </c>
      <c r="C41" s="129">
        <v>1</v>
      </c>
      <c r="D41" s="129"/>
    </row>
    <row r="42" spans="1:11" ht="21.5" thickBot="1"/>
    <row r="43" spans="1:11" ht="21.5" hidden="1" thickBot="1"/>
    <row r="44" spans="1:11">
      <c r="B44" s="503" t="s">
        <v>372</v>
      </c>
      <c r="C44" s="501" t="s">
        <v>373</v>
      </c>
    </row>
    <row r="45" spans="1:11" ht="46.5" customHeight="1">
      <c r="B45" s="504"/>
      <c r="C45" s="502"/>
    </row>
    <row r="46" spans="1:11" ht="41">
      <c r="B46" s="209" t="s">
        <v>374</v>
      </c>
      <c r="C46" s="210">
        <v>2</v>
      </c>
    </row>
    <row r="47" spans="1:11" ht="61">
      <c r="B47" s="209" t="s">
        <v>375</v>
      </c>
      <c r="C47" s="210">
        <v>2</v>
      </c>
    </row>
    <row r="48" spans="1:11" ht="61.5" thickBot="1">
      <c r="B48" s="211" t="s">
        <v>376</v>
      </c>
      <c r="C48" s="212">
        <f>C47/C46*100</f>
        <v>100</v>
      </c>
    </row>
  </sheetData>
  <mergeCells count="2">
    <mergeCell ref="C44:C45"/>
    <mergeCell ref="B44:B4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2:H128"/>
  <sheetViews>
    <sheetView showGridLines="0" tabSelected="1" topLeftCell="B31" zoomScale="51" zoomScaleNormal="51" workbookViewId="0">
      <selection activeCell="D13" sqref="D13"/>
    </sheetView>
  </sheetViews>
  <sheetFormatPr defaultColWidth="8.7265625" defaultRowHeight="21"/>
  <cols>
    <col min="1" max="1" width="9.453125" style="9" hidden="1" customWidth="1"/>
    <col min="2" max="2" width="72.54296875" style="9" customWidth="1"/>
    <col min="3" max="3" width="73.1796875" style="9" customWidth="1"/>
    <col min="4" max="4" width="47.7265625" style="9" customWidth="1"/>
    <col min="5" max="5" width="21.26953125" style="9" customWidth="1"/>
    <col min="6" max="6" width="28.1796875" style="9" customWidth="1"/>
    <col min="7" max="7" width="20.453125" style="9" customWidth="1"/>
    <col min="8" max="8" width="24.26953125" style="9" customWidth="1"/>
    <col min="9" max="16384" width="8.7265625" style="9"/>
  </cols>
  <sheetData>
    <row r="2" spans="1:4" ht="63">
      <c r="A2" s="2">
        <v>3</v>
      </c>
      <c r="B2" s="10" t="s">
        <v>377</v>
      </c>
    </row>
    <row r="3" spans="1:4" ht="42">
      <c r="A3" s="2">
        <v>3</v>
      </c>
      <c r="B3" s="4" t="s">
        <v>378</v>
      </c>
      <c r="C3" s="4" t="s">
        <v>379</v>
      </c>
      <c r="D3" s="4" t="s">
        <v>379</v>
      </c>
    </row>
    <row r="4" spans="1:4">
      <c r="A4" s="2">
        <v>3</v>
      </c>
      <c r="B4" s="1" t="s">
        <v>380</v>
      </c>
      <c r="C4" s="143" t="s">
        <v>502</v>
      </c>
      <c r="D4" s="143" t="s">
        <v>507</v>
      </c>
    </row>
    <row r="5" spans="1:4" ht="84">
      <c r="A5" s="2">
        <v>3</v>
      </c>
      <c r="B5" s="61"/>
      <c r="C5" s="31"/>
      <c r="D5" s="121" t="s">
        <v>381</v>
      </c>
    </row>
    <row r="7" spans="1:4">
      <c r="B7" s="506" t="s">
        <v>382</v>
      </c>
      <c r="C7" s="506"/>
      <c r="D7" s="506"/>
    </row>
    <row r="8" spans="1:4">
      <c r="B8" s="147" t="s">
        <v>383</v>
      </c>
      <c r="C8" s="147" t="s">
        <v>384</v>
      </c>
      <c r="D8" s="147" t="s">
        <v>228</v>
      </c>
    </row>
    <row r="9" spans="1:4">
      <c r="B9" s="109" t="s">
        <v>385</v>
      </c>
    </row>
    <row r="10" spans="1:4">
      <c r="B10" s="213" t="s">
        <v>386</v>
      </c>
      <c r="C10" s="214" t="s">
        <v>387</v>
      </c>
      <c r="D10" s="111"/>
    </row>
    <row r="11" spans="1:4">
      <c r="B11" s="213" t="s">
        <v>388</v>
      </c>
      <c r="C11" s="214" t="s">
        <v>387</v>
      </c>
      <c r="D11" s="111"/>
    </row>
    <row r="12" spans="1:4">
      <c r="B12" s="109" t="s">
        <v>389</v>
      </c>
    </row>
    <row r="13" spans="1:4">
      <c r="B13" s="213" t="s">
        <v>386</v>
      </c>
      <c r="C13" s="214" t="s">
        <v>387</v>
      </c>
      <c r="D13" s="110"/>
    </row>
    <row r="14" spans="1:4">
      <c r="B14" s="213" t="s">
        <v>388</v>
      </c>
      <c r="C14" s="214" t="s">
        <v>387</v>
      </c>
      <c r="D14" s="110"/>
    </row>
    <row r="16" spans="1:4">
      <c r="B16" s="507" t="s">
        <v>390</v>
      </c>
      <c r="C16" s="507"/>
      <c r="D16" s="507"/>
    </row>
    <row r="17" spans="1:8" s="215" customFormat="1">
      <c r="B17" s="507"/>
      <c r="C17" s="507"/>
      <c r="D17" s="507"/>
    </row>
    <row r="18" spans="1:8">
      <c r="B18" s="508" t="s">
        <v>391</v>
      </c>
      <c r="C18" s="508"/>
      <c r="D18" s="509"/>
    </row>
    <row r="19" spans="1:8">
      <c r="B19" s="339" t="s">
        <v>392</v>
      </c>
      <c r="C19" s="340" t="s">
        <v>384</v>
      </c>
      <c r="D19" s="339" t="s">
        <v>228</v>
      </c>
    </row>
    <row r="20" spans="1:8">
      <c r="B20" s="336" t="s">
        <v>393</v>
      </c>
      <c r="C20" s="337" t="s">
        <v>387</v>
      </c>
      <c r="D20" s="214"/>
    </row>
    <row r="21" spans="1:8">
      <c r="B21" s="338" t="s">
        <v>392</v>
      </c>
      <c r="C21" s="337" t="s">
        <v>387</v>
      </c>
      <c r="D21" s="127"/>
    </row>
    <row r="22" spans="1:8">
      <c r="B22" s="336" t="s">
        <v>394</v>
      </c>
      <c r="C22" s="337" t="s">
        <v>387</v>
      </c>
      <c r="D22" s="214" t="e">
        <f>D21/D20</f>
        <v>#DIV/0!</v>
      </c>
    </row>
    <row r="23" spans="1:8">
      <c r="B23" s="341"/>
      <c r="C23" s="342"/>
      <c r="D23" s="342"/>
    </row>
    <row r="24" spans="1:8">
      <c r="B24" s="341"/>
      <c r="C24" s="342"/>
      <c r="D24" s="342"/>
    </row>
    <row r="25" spans="1:8" ht="40">
      <c r="B25" s="343" t="s">
        <v>395</v>
      </c>
      <c r="C25" s="340" t="s">
        <v>384</v>
      </c>
      <c r="D25" s="339" t="s">
        <v>228</v>
      </c>
    </row>
    <row r="26" spans="1:8">
      <c r="B26" s="336" t="s">
        <v>396</v>
      </c>
      <c r="C26" s="337"/>
      <c r="D26" s="214"/>
    </row>
    <row r="27" spans="1:8">
      <c r="B27" s="336" t="s">
        <v>397</v>
      </c>
      <c r="C27" s="337"/>
      <c r="D27" s="127"/>
    </row>
    <row r="28" spans="1:8" ht="40">
      <c r="B28" s="336" t="s">
        <v>398</v>
      </c>
      <c r="C28" s="337"/>
      <c r="D28" s="214" t="e">
        <f>D26/D27</f>
        <v>#DIV/0!</v>
      </c>
    </row>
    <row r="30" spans="1:8" ht="87.75" customHeight="1">
      <c r="A30" s="2">
        <v>4</v>
      </c>
      <c r="B30" s="4" t="s">
        <v>399</v>
      </c>
    </row>
    <row r="31" spans="1:8" ht="42.5" thickBot="1">
      <c r="A31" s="2">
        <v>4</v>
      </c>
      <c r="B31" s="44"/>
      <c r="C31" s="4" t="s">
        <v>488</v>
      </c>
      <c r="D31" s="4" t="s">
        <v>488</v>
      </c>
      <c r="E31" s="4" t="s">
        <v>488</v>
      </c>
      <c r="F31" s="10" t="s">
        <v>507</v>
      </c>
      <c r="G31" s="10" t="s">
        <v>507</v>
      </c>
      <c r="H31" s="10" t="s">
        <v>507</v>
      </c>
    </row>
    <row r="32" spans="1:8">
      <c r="A32" s="2">
        <v>4</v>
      </c>
      <c r="B32" s="13"/>
      <c r="C32" s="4" t="s">
        <v>400</v>
      </c>
      <c r="D32" s="16" t="s">
        <v>181</v>
      </c>
      <c r="E32" s="16" t="s">
        <v>401</v>
      </c>
      <c r="F32" s="16" t="s">
        <v>400</v>
      </c>
      <c r="G32" s="16" t="s">
        <v>181</v>
      </c>
      <c r="H32" s="16" t="s">
        <v>401</v>
      </c>
    </row>
    <row r="33" spans="1:8">
      <c r="A33" s="52">
        <v>4</v>
      </c>
      <c r="B33" s="1" t="s">
        <v>402</v>
      </c>
      <c r="C33" s="61"/>
      <c r="D33" s="61"/>
      <c r="E33" s="61"/>
      <c r="F33" s="2">
        <v>0</v>
      </c>
      <c r="G33" s="2">
        <v>0</v>
      </c>
      <c r="H33" s="2">
        <v>0</v>
      </c>
    </row>
    <row r="34" spans="1:8">
      <c r="A34" s="22"/>
      <c r="B34" s="1" t="s">
        <v>188</v>
      </c>
      <c r="C34" s="61"/>
      <c r="D34" s="61"/>
      <c r="E34" s="61"/>
      <c r="F34" s="2">
        <v>0</v>
      </c>
      <c r="G34" s="2">
        <v>0</v>
      </c>
      <c r="H34" s="2">
        <v>0</v>
      </c>
    </row>
    <row r="35" spans="1:8">
      <c r="A35" s="22"/>
      <c r="B35" s="1" t="s">
        <v>175</v>
      </c>
      <c r="C35" s="61"/>
      <c r="D35" s="61"/>
      <c r="E35" s="61"/>
      <c r="F35" s="2">
        <v>0</v>
      </c>
      <c r="G35" s="2">
        <v>0</v>
      </c>
      <c r="H35" s="2">
        <v>0</v>
      </c>
    </row>
    <row r="36" spans="1:8">
      <c r="A36" s="22"/>
      <c r="B36" s="1" t="s">
        <v>403</v>
      </c>
      <c r="C36" s="61"/>
      <c r="D36" s="61"/>
      <c r="E36" s="61"/>
      <c r="F36" s="2">
        <v>0</v>
      </c>
      <c r="G36" s="2">
        <v>0</v>
      </c>
      <c r="H36" s="2">
        <v>0</v>
      </c>
    </row>
    <row r="39" spans="1:8" ht="84">
      <c r="A39" s="3">
        <v>4</v>
      </c>
      <c r="B39" s="10" t="s">
        <v>404</v>
      </c>
      <c r="C39" s="117" t="s">
        <v>405</v>
      </c>
    </row>
    <row r="40" spans="1:8">
      <c r="A40" s="2">
        <v>4</v>
      </c>
      <c r="B40" s="17"/>
      <c r="C40" s="143" t="s">
        <v>502</v>
      </c>
    </row>
    <row r="41" spans="1:8">
      <c r="A41" s="2">
        <v>4</v>
      </c>
      <c r="B41" s="1" t="s">
        <v>406</v>
      </c>
      <c r="C41" s="31"/>
    </row>
    <row r="42" spans="1:8">
      <c r="A42" s="2">
        <v>4</v>
      </c>
      <c r="B42" s="105" t="s">
        <v>407</v>
      </c>
      <c r="C42" s="106"/>
    </row>
    <row r="44" spans="1:8">
      <c r="B44" s="482" t="s">
        <v>408</v>
      </c>
      <c r="C44" s="482"/>
    </row>
    <row r="45" spans="1:8">
      <c r="B45" s="482"/>
      <c r="C45" s="482"/>
    </row>
    <row r="46" spans="1:8">
      <c r="B46" s="107" t="s">
        <v>75</v>
      </c>
      <c r="C46" s="108" t="s">
        <v>76</v>
      </c>
    </row>
    <row r="47" spans="1:8" ht="35.25" customHeight="1">
      <c r="B47" s="344" t="s">
        <v>409</v>
      </c>
      <c r="C47" s="216"/>
      <c r="D47" s="9" t="s">
        <v>410</v>
      </c>
    </row>
    <row r="48" spans="1:8">
      <c r="B48" s="344" t="s">
        <v>411</v>
      </c>
      <c r="C48" s="216"/>
    </row>
    <row r="49" spans="1:4" ht="80.5" hidden="1" thickBot="1">
      <c r="B49" s="217" t="s">
        <v>412</v>
      </c>
      <c r="C49" s="218" t="e">
        <f>C48/C47*100</f>
        <v>#DIV/0!</v>
      </c>
    </row>
    <row r="50" spans="1:4">
      <c r="B50" s="219"/>
      <c r="C50" s="220"/>
    </row>
    <row r="51" spans="1:4">
      <c r="C51" s="143" t="s">
        <v>502</v>
      </c>
      <c r="D51" s="143" t="s">
        <v>487</v>
      </c>
    </row>
    <row r="52" spans="1:4" ht="84">
      <c r="A52" s="2">
        <v>3</v>
      </c>
      <c r="B52" s="1" t="s">
        <v>413</v>
      </c>
      <c r="C52" s="144"/>
      <c r="D52" s="144" t="s">
        <v>90</v>
      </c>
    </row>
    <row r="53" spans="1:4" ht="63">
      <c r="A53" s="2">
        <v>3</v>
      </c>
      <c r="B53" s="43" t="s">
        <v>414</v>
      </c>
      <c r="C53" s="144"/>
      <c r="D53" s="144" t="s">
        <v>90</v>
      </c>
    </row>
    <row r="54" spans="1:4" ht="42">
      <c r="A54" s="2">
        <v>3</v>
      </c>
      <c r="B54" s="43" t="s">
        <v>415</v>
      </c>
      <c r="C54" s="144"/>
      <c r="D54" s="144" t="s">
        <v>416</v>
      </c>
    </row>
    <row r="56" spans="1:4" ht="147">
      <c r="A56" s="2">
        <v>1</v>
      </c>
      <c r="B56" s="1" t="s">
        <v>417</v>
      </c>
      <c r="C56" s="144"/>
      <c r="D56" s="144" t="s">
        <v>418</v>
      </c>
    </row>
    <row r="58" spans="1:4" ht="84.5" thickBot="1">
      <c r="A58" s="2">
        <v>2</v>
      </c>
      <c r="B58" s="1" t="s">
        <v>419</v>
      </c>
    </row>
    <row r="59" spans="1:4">
      <c r="A59" s="2">
        <v>2</v>
      </c>
      <c r="B59" s="1"/>
      <c r="C59" s="12" t="s">
        <v>420</v>
      </c>
      <c r="D59" s="221" t="s">
        <v>91</v>
      </c>
    </row>
    <row r="60" spans="1:4" ht="42">
      <c r="A60" s="2">
        <v>2</v>
      </c>
      <c r="B60" s="1" t="s">
        <v>421</v>
      </c>
      <c r="C60" s="122" t="s">
        <v>422</v>
      </c>
      <c r="D60" s="221">
        <v>0</v>
      </c>
    </row>
    <row r="61" spans="1:4">
      <c r="A61" s="2">
        <v>2</v>
      </c>
      <c r="B61" s="1" t="s">
        <v>423</v>
      </c>
      <c r="C61" s="122"/>
      <c r="D61" s="221">
        <v>100</v>
      </c>
    </row>
    <row r="62" spans="1:4">
      <c r="A62" s="2">
        <v>2</v>
      </c>
      <c r="B62" s="1" t="s">
        <v>424</v>
      </c>
      <c r="C62" s="122"/>
      <c r="D62" s="221">
        <v>0</v>
      </c>
    </row>
    <row r="64" spans="1:4" ht="147">
      <c r="A64" s="2">
        <v>2</v>
      </c>
      <c r="B64" s="1" t="s">
        <v>425</v>
      </c>
      <c r="C64" s="144"/>
      <c r="D64" s="144" t="s">
        <v>426</v>
      </c>
    </row>
    <row r="65" spans="1:4" ht="21.5" thickBot="1"/>
    <row r="66" spans="1:4" ht="21.5" thickBot="1">
      <c r="A66" s="512"/>
      <c r="B66" s="512"/>
      <c r="C66" s="513"/>
    </row>
    <row r="67" spans="1:4">
      <c r="A67" s="143" t="s">
        <v>74</v>
      </c>
      <c r="B67" s="143" t="s">
        <v>75</v>
      </c>
      <c r="C67" s="143" t="s">
        <v>76</v>
      </c>
    </row>
    <row r="68" spans="1:4" ht="42">
      <c r="A68" s="2">
        <v>1</v>
      </c>
      <c r="B68" s="5" t="s">
        <v>427</v>
      </c>
      <c r="C68" s="127"/>
    </row>
    <row r="69" spans="1:4" ht="84">
      <c r="A69" s="2">
        <v>1</v>
      </c>
      <c r="B69" s="143" t="s">
        <v>428</v>
      </c>
      <c r="C69" s="143" t="s">
        <v>429</v>
      </c>
      <c r="D69" s="143" t="s">
        <v>430</v>
      </c>
    </row>
    <row r="70" spans="1:4">
      <c r="A70" s="2">
        <v>1</v>
      </c>
      <c r="B70" s="144"/>
      <c r="C70" s="144"/>
      <c r="D70" s="144"/>
    </row>
    <row r="71" spans="1:4">
      <c r="A71" s="2">
        <v>1</v>
      </c>
      <c r="B71" s="144"/>
      <c r="C71" s="144"/>
      <c r="D71" s="144"/>
    </row>
    <row r="73" spans="1:4">
      <c r="A73" s="2">
        <v>5</v>
      </c>
      <c r="B73" s="4" t="s">
        <v>431</v>
      </c>
    </row>
    <row r="74" spans="1:4" ht="42.5" thickBot="1">
      <c r="A74" s="2">
        <v>5</v>
      </c>
      <c r="B74" s="5"/>
      <c r="C74" s="140" t="s">
        <v>432</v>
      </c>
    </row>
    <row r="75" spans="1:4">
      <c r="A75" s="2">
        <v>5</v>
      </c>
      <c r="B75" s="13" t="s">
        <v>433</v>
      </c>
      <c r="C75" s="42"/>
    </row>
    <row r="76" spans="1:4">
      <c r="A76" s="2">
        <v>5</v>
      </c>
      <c r="B76" s="14" t="s">
        <v>363</v>
      </c>
      <c r="C76" s="8"/>
    </row>
    <row r="78" spans="1:4" ht="84.5" thickBot="1">
      <c r="A78" s="2">
        <v>6</v>
      </c>
      <c r="B78" s="345" t="s">
        <v>434</v>
      </c>
      <c r="C78" s="144"/>
    </row>
    <row r="80" spans="1:4">
      <c r="A80" s="3">
        <v>4</v>
      </c>
      <c r="B80" s="10" t="s">
        <v>435</v>
      </c>
    </row>
    <row r="81" spans="1:6" ht="42">
      <c r="A81" s="2">
        <v>4</v>
      </c>
      <c r="B81" s="1"/>
      <c r="C81" s="4" t="s">
        <v>436</v>
      </c>
    </row>
    <row r="82" spans="1:6">
      <c r="A82" s="2">
        <v>4</v>
      </c>
      <c r="B82" s="1" t="s">
        <v>437</v>
      </c>
      <c r="C82" s="61"/>
    </row>
    <row r="83" spans="1:6">
      <c r="A83" s="2">
        <v>4</v>
      </c>
      <c r="B83" s="1" t="s">
        <v>317</v>
      </c>
      <c r="C83" s="61"/>
    </row>
    <row r="84" spans="1:6">
      <c r="A84" s="2">
        <v>4</v>
      </c>
      <c r="B84" s="1" t="s">
        <v>318</v>
      </c>
      <c r="C84" s="61"/>
    </row>
    <row r="85" spans="1:6">
      <c r="A85" s="2">
        <v>4</v>
      </c>
      <c r="B85" s="1" t="s">
        <v>319</v>
      </c>
      <c r="C85" s="61"/>
    </row>
    <row r="86" spans="1:6">
      <c r="A86" s="2">
        <v>4</v>
      </c>
      <c r="B86" s="1" t="s">
        <v>54</v>
      </c>
      <c r="C86" s="61"/>
    </row>
    <row r="87" spans="1:6">
      <c r="A87" s="2">
        <v>4</v>
      </c>
      <c r="B87" s="1" t="s">
        <v>438</v>
      </c>
      <c r="C87" s="61"/>
    </row>
    <row r="89" spans="1:6" ht="63">
      <c r="A89" s="2">
        <v>5</v>
      </c>
      <c r="B89" s="4" t="s">
        <v>439</v>
      </c>
      <c r="C89" s="144"/>
    </row>
    <row r="91" spans="1:6" s="89" customFormat="1">
      <c r="A91" s="510"/>
      <c r="B91" s="510"/>
      <c r="C91" s="510"/>
      <c r="D91" s="510"/>
      <c r="E91" s="510"/>
      <c r="F91" s="117" t="s">
        <v>91</v>
      </c>
    </row>
    <row r="92" spans="1:6" ht="126">
      <c r="A92" s="2">
        <v>6</v>
      </c>
      <c r="B92" s="1" t="s">
        <v>171</v>
      </c>
      <c r="C92" s="511"/>
      <c r="D92" s="511"/>
      <c r="E92" s="511"/>
      <c r="F92" s="117" t="s">
        <v>172</v>
      </c>
    </row>
    <row r="94" spans="1:6" ht="40">
      <c r="B94" s="222" t="s">
        <v>440</v>
      </c>
      <c r="C94" s="112"/>
      <c r="D94" s="113" t="s">
        <v>228</v>
      </c>
    </row>
    <row r="95" spans="1:6" ht="42">
      <c r="B95" s="223" t="s">
        <v>441</v>
      </c>
      <c r="C95" s="224" t="s">
        <v>442</v>
      </c>
      <c r="D95" s="225"/>
      <c r="E95" s="149" t="s">
        <v>174</v>
      </c>
    </row>
    <row r="96" spans="1:6" ht="40">
      <c r="B96" s="223" t="s">
        <v>443</v>
      </c>
      <c r="C96" s="224" t="s">
        <v>442</v>
      </c>
      <c r="D96" s="225"/>
    </row>
    <row r="97" spans="2:4" ht="60">
      <c r="B97" s="223" t="s">
        <v>444</v>
      </c>
      <c r="C97" s="224" t="s">
        <v>442</v>
      </c>
      <c r="D97" s="225"/>
    </row>
    <row r="98" spans="2:4" ht="60">
      <c r="B98" s="223" t="s">
        <v>445</v>
      </c>
      <c r="C98" s="226" t="s">
        <v>446</v>
      </c>
      <c r="D98" s="227" t="e">
        <f>D97/D95</f>
        <v>#DIV/0!</v>
      </c>
    </row>
    <row r="99" spans="2:4" ht="40">
      <c r="B99" s="223" t="s">
        <v>447</v>
      </c>
      <c r="C99" s="224" t="s">
        <v>442</v>
      </c>
      <c r="D99" s="225"/>
    </row>
    <row r="100" spans="2:4" ht="40">
      <c r="B100" s="223" t="s">
        <v>448</v>
      </c>
      <c r="C100" s="226" t="s">
        <v>446</v>
      </c>
      <c r="D100" s="228" t="e">
        <f>D99/D96</f>
        <v>#DIV/0!</v>
      </c>
    </row>
    <row r="102" spans="2:4" ht="40">
      <c r="B102" s="152" t="s">
        <v>449</v>
      </c>
      <c r="C102" s="152" t="s">
        <v>450</v>
      </c>
    </row>
    <row r="103" spans="2:4">
      <c r="B103" s="229"/>
      <c r="C103" s="229"/>
    </row>
    <row r="104" spans="2:4">
      <c r="B104" s="150" t="s">
        <v>75</v>
      </c>
      <c r="C104" s="151" t="s">
        <v>508</v>
      </c>
    </row>
    <row r="105" spans="2:4" ht="41">
      <c r="B105" s="230" t="s">
        <v>451</v>
      </c>
      <c r="C105" s="231"/>
    </row>
    <row r="106" spans="2:4">
      <c r="B106" s="230" t="s">
        <v>452</v>
      </c>
      <c r="C106" s="231"/>
    </row>
    <row r="107" spans="2:4">
      <c r="B107" s="230" t="s">
        <v>453</v>
      </c>
      <c r="C107" s="231"/>
    </row>
    <row r="108" spans="2:4">
      <c r="B108" s="150"/>
      <c r="C108" s="230"/>
    </row>
    <row r="109" spans="2:4">
      <c r="B109" s="150" t="s">
        <v>75</v>
      </c>
      <c r="C109" s="151" t="s">
        <v>508</v>
      </c>
    </row>
    <row r="110" spans="2:4" ht="61">
      <c r="B110" s="230" t="s">
        <v>454</v>
      </c>
      <c r="C110" s="231"/>
    </row>
    <row r="111" spans="2:4" ht="41">
      <c r="B111" s="230" t="s">
        <v>455</v>
      </c>
      <c r="C111" s="231"/>
    </row>
    <row r="112" spans="2:4" ht="41">
      <c r="B112" s="230" t="s">
        <v>456</v>
      </c>
      <c r="C112" s="231"/>
    </row>
    <row r="113" spans="2:4">
      <c r="B113" s="150"/>
      <c r="C113" s="230"/>
    </row>
    <row r="114" spans="2:4">
      <c r="B114" s="150" t="s">
        <v>75</v>
      </c>
      <c r="C114" s="151" t="s">
        <v>508</v>
      </c>
    </row>
    <row r="115" spans="2:4" ht="61">
      <c r="B115" s="230" t="s">
        <v>457</v>
      </c>
      <c r="C115" s="231"/>
    </row>
    <row r="117" spans="2:4">
      <c r="B117" s="152" t="s">
        <v>458</v>
      </c>
      <c r="C117" s="505" t="s">
        <v>459</v>
      </c>
      <c r="D117" s="505"/>
    </row>
    <row r="118" spans="2:4">
      <c r="B118" s="152" t="s">
        <v>460</v>
      </c>
      <c r="C118" s="505" t="s">
        <v>509</v>
      </c>
      <c r="D118" s="505"/>
    </row>
    <row r="119" spans="2:4">
      <c r="B119" s="232" t="s">
        <v>461</v>
      </c>
      <c r="C119" s="233" t="s">
        <v>442</v>
      </c>
      <c r="D119" s="234"/>
    </row>
    <row r="120" spans="2:4" ht="40">
      <c r="B120" s="232" t="s">
        <v>462</v>
      </c>
      <c r="C120" s="233" t="s">
        <v>442</v>
      </c>
      <c r="D120" s="234"/>
    </row>
    <row r="121" spans="2:4" ht="40">
      <c r="B121" s="232" t="s">
        <v>463</v>
      </c>
      <c r="C121" s="233" t="s">
        <v>442</v>
      </c>
      <c r="D121" s="234"/>
    </row>
    <row r="122" spans="2:4">
      <c r="B122" s="232"/>
      <c r="C122" s="233" t="s">
        <v>446</v>
      </c>
      <c r="D122" s="153" t="e">
        <f>D120/D119</f>
        <v>#DIV/0!</v>
      </c>
    </row>
    <row r="123" spans="2:4" ht="80">
      <c r="B123" s="232" t="s">
        <v>464</v>
      </c>
      <c r="C123" s="233" t="s">
        <v>442</v>
      </c>
      <c r="D123" s="154"/>
    </row>
    <row r="124" spans="2:4" ht="100">
      <c r="B124" s="232" t="s">
        <v>465</v>
      </c>
      <c r="C124" s="233" t="s">
        <v>446</v>
      </c>
      <c r="D124" s="153" t="e">
        <f>D123/D119</f>
        <v>#DIV/0!</v>
      </c>
    </row>
    <row r="126" spans="2:4">
      <c r="B126" s="4" t="s">
        <v>466</v>
      </c>
      <c r="C126"/>
    </row>
    <row r="127" spans="2:4">
      <c r="B127" s="67" t="s">
        <v>467</v>
      </c>
      <c r="C127" s="67" t="s">
        <v>468</v>
      </c>
    </row>
    <row r="128" spans="2:4">
      <c r="B128" s="86"/>
      <c r="C128" s="86"/>
    </row>
  </sheetData>
  <mergeCells count="9">
    <mergeCell ref="C117:D117"/>
    <mergeCell ref="C118:D118"/>
    <mergeCell ref="B7:D7"/>
    <mergeCell ref="B16:D17"/>
    <mergeCell ref="B18:D18"/>
    <mergeCell ref="A91:E91"/>
    <mergeCell ref="C92:E92"/>
    <mergeCell ref="A66:C66"/>
    <mergeCell ref="B44:C4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H32"/>
  <sheetViews>
    <sheetView topLeftCell="A20" zoomScale="60" zoomScaleNormal="60" workbookViewId="0">
      <selection activeCell="E27" sqref="E27"/>
    </sheetView>
  </sheetViews>
  <sheetFormatPr defaultColWidth="8.7265625" defaultRowHeight="12.5"/>
  <cols>
    <col min="1" max="1" width="8.7265625" style="313"/>
    <col min="2" max="2" width="45.453125" style="313" customWidth="1"/>
    <col min="3" max="3" width="50.54296875" style="313" customWidth="1"/>
    <col min="4" max="4" width="32.26953125" style="313" customWidth="1"/>
    <col min="5" max="5" width="89.08984375" style="313" customWidth="1"/>
    <col min="6" max="6" width="28" style="313" customWidth="1"/>
    <col min="7" max="7" width="19.453125" style="313" customWidth="1"/>
    <col min="8" max="8" width="25.26953125" style="313" customWidth="1"/>
    <col min="9" max="16384" width="8.7265625" style="313"/>
  </cols>
  <sheetData>
    <row r="4" spans="1:8" customFormat="1" ht="114" customHeight="1">
      <c r="A4" s="2">
        <v>3</v>
      </c>
      <c r="B4" s="4" t="s">
        <v>469</v>
      </c>
    </row>
    <row r="5" spans="1:8" customFormat="1" ht="56.15" customHeight="1">
      <c r="A5" s="2">
        <v>3</v>
      </c>
      <c r="B5" s="314"/>
      <c r="C5" s="4" t="s">
        <v>502</v>
      </c>
      <c r="D5" s="4" t="s">
        <v>502</v>
      </c>
      <c r="E5" s="4" t="s">
        <v>502</v>
      </c>
      <c r="F5" s="123"/>
      <c r="G5" s="123"/>
      <c r="H5" s="123"/>
    </row>
    <row r="6" spans="1:8" customFormat="1" ht="56.15" customHeight="1">
      <c r="A6" s="2">
        <v>3</v>
      </c>
      <c r="B6" s="315"/>
      <c r="C6" s="143" t="s">
        <v>470</v>
      </c>
      <c r="D6" s="143" t="s">
        <v>471</v>
      </c>
      <c r="E6" s="143" t="s">
        <v>315</v>
      </c>
      <c r="F6" s="38"/>
      <c r="G6" s="38"/>
      <c r="H6" s="38"/>
    </row>
    <row r="7" spans="1:8" customFormat="1" ht="56.15" customHeight="1">
      <c r="A7" s="2">
        <v>3</v>
      </c>
      <c r="B7" s="6" t="s">
        <v>472</v>
      </c>
      <c r="C7" s="316"/>
      <c r="D7" s="316"/>
      <c r="E7" s="144"/>
      <c r="F7" s="18"/>
      <c r="G7" s="18"/>
      <c r="H7" s="18"/>
    </row>
    <row r="8" spans="1:8" customFormat="1" ht="56.15" customHeight="1">
      <c r="A8" s="2">
        <v>3</v>
      </c>
      <c r="B8" s="6" t="s">
        <v>473</v>
      </c>
      <c r="C8" s="144"/>
      <c r="D8" s="144"/>
      <c r="E8" s="144"/>
      <c r="F8" s="18"/>
      <c r="G8" s="18"/>
      <c r="H8" s="18"/>
    </row>
    <row r="9" spans="1:8" customFormat="1" ht="56.15" customHeight="1">
      <c r="A9" s="2">
        <v>3</v>
      </c>
      <c r="B9" s="6" t="s">
        <v>474</v>
      </c>
      <c r="C9" s="144"/>
      <c r="D9" s="144"/>
      <c r="E9" s="144"/>
      <c r="F9" s="18"/>
      <c r="G9" s="18"/>
      <c r="H9" s="18"/>
    </row>
    <row r="10" spans="1:8" customFormat="1" ht="56.15" customHeight="1">
      <c r="A10" s="2">
        <v>3</v>
      </c>
      <c r="B10" s="6" t="s">
        <v>475</v>
      </c>
      <c r="C10" s="61"/>
      <c r="D10" s="144"/>
      <c r="E10" s="144"/>
      <c r="F10" s="18"/>
      <c r="G10" s="18"/>
      <c r="H10" s="18"/>
    </row>
    <row r="11" spans="1:8" customFormat="1" ht="56.15" customHeight="1">
      <c r="A11" s="2">
        <v>3</v>
      </c>
      <c r="B11" s="6" t="s">
        <v>476</v>
      </c>
      <c r="C11" s="61"/>
      <c r="D11" s="144"/>
      <c r="E11" s="144"/>
      <c r="F11" s="18"/>
      <c r="G11" s="18"/>
      <c r="H11" s="18"/>
    </row>
    <row r="12" spans="1:8" customFormat="1" ht="56.15" customHeight="1">
      <c r="A12" s="2">
        <v>3</v>
      </c>
      <c r="B12" s="6" t="s">
        <v>477</v>
      </c>
      <c r="C12" s="61"/>
      <c r="D12" s="144"/>
      <c r="E12" s="144"/>
      <c r="F12" s="18"/>
      <c r="G12" s="18"/>
      <c r="H12" s="18"/>
    </row>
    <row r="13" spans="1:8" customFormat="1" ht="118.5" customHeight="1" thickBot="1">
      <c r="A13" s="2">
        <v>3</v>
      </c>
      <c r="B13" s="317" t="s">
        <v>478</v>
      </c>
      <c r="C13" s="144">
        <v>15</v>
      </c>
      <c r="D13" s="144">
        <v>11</v>
      </c>
      <c r="E13" s="144" t="s">
        <v>557</v>
      </c>
      <c r="F13" s="18"/>
      <c r="G13" s="18"/>
      <c r="H13" s="18"/>
    </row>
    <row r="14" spans="1:8" ht="21">
      <c r="E14" s="144"/>
    </row>
    <row r="15" spans="1:8" ht="21">
      <c r="E15" s="144"/>
    </row>
    <row r="16" spans="1:8" ht="21">
      <c r="E16" s="144"/>
    </row>
    <row r="20" spans="1:6" customFormat="1" ht="84">
      <c r="A20" s="52">
        <v>1</v>
      </c>
      <c r="B20" s="4" t="s">
        <v>479</v>
      </c>
    </row>
    <row r="21" spans="1:6" customFormat="1" ht="21">
      <c r="A21" s="52"/>
      <c r="B21" s="331"/>
      <c r="C21" s="4" t="s">
        <v>488</v>
      </c>
      <c r="D21" s="4" t="s">
        <v>488</v>
      </c>
      <c r="E21" s="123"/>
      <c r="F21" s="123"/>
    </row>
    <row r="22" spans="1:6" customFormat="1" ht="84">
      <c r="A22" s="52">
        <v>1</v>
      </c>
      <c r="B22" s="295" t="s">
        <v>480</v>
      </c>
      <c r="C22" s="143" t="s">
        <v>481</v>
      </c>
      <c r="D22" s="143" t="s">
        <v>482</v>
      </c>
      <c r="E22" s="38"/>
      <c r="F22" s="38"/>
    </row>
    <row r="23" spans="1:6" customFormat="1" ht="42">
      <c r="A23" s="52">
        <v>1</v>
      </c>
      <c r="B23" s="17">
        <v>1</v>
      </c>
      <c r="C23" s="332" t="s">
        <v>552</v>
      </c>
      <c r="D23" s="332" t="s">
        <v>553</v>
      </c>
      <c r="E23" s="9"/>
      <c r="F23" s="9"/>
    </row>
    <row r="24" spans="1:6" customFormat="1" ht="21">
      <c r="A24" s="52">
        <v>1</v>
      </c>
      <c r="B24" s="17">
        <v>2</v>
      </c>
      <c r="C24" s="332" t="s">
        <v>554</v>
      </c>
      <c r="D24" s="332" t="s">
        <v>553</v>
      </c>
      <c r="E24" s="9"/>
      <c r="F24" s="9"/>
    </row>
    <row r="25" spans="1:6" customFormat="1" ht="21">
      <c r="A25" s="52">
        <v>1</v>
      </c>
      <c r="B25" s="17">
        <v>3</v>
      </c>
      <c r="C25" s="144" t="s">
        <v>555</v>
      </c>
      <c r="D25" s="144" t="s">
        <v>553</v>
      </c>
      <c r="E25" s="9"/>
      <c r="F25" s="9"/>
    </row>
    <row r="26" spans="1:6" customFormat="1" ht="42">
      <c r="A26" s="52">
        <v>1</v>
      </c>
      <c r="B26" s="17">
        <v>4</v>
      </c>
      <c r="C26" s="144" t="s">
        <v>556</v>
      </c>
      <c r="D26" s="144" t="s">
        <v>553</v>
      </c>
      <c r="E26" s="9"/>
      <c r="F26" s="9"/>
    </row>
    <row r="27" spans="1:6" customFormat="1" ht="21">
      <c r="A27" s="52">
        <v>1</v>
      </c>
      <c r="B27" s="17">
        <v>5</v>
      </c>
      <c r="C27" s="144" t="s">
        <v>558</v>
      </c>
      <c r="D27" s="144" t="s">
        <v>553</v>
      </c>
      <c r="E27" s="9"/>
      <c r="F27" s="9"/>
    </row>
    <row r="28" spans="1:6" customFormat="1" ht="21">
      <c r="A28" s="52">
        <v>1</v>
      </c>
      <c r="B28" s="17">
        <v>6</v>
      </c>
      <c r="C28" s="144"/>
      <c r="D28" s="144"/>
      <c r="E28" s="9"/>
      <c r="F28" s="9"/>
    </row>
    <row r="29" spans="1:6" customFormat="1" ht="21">
      <c r="A29" s="52">
        <v>1</v>
      </c>
      <c r="B29" s="17">
        <v>7</v>
      </c>
      <c r="C29" s="144"/>
      <c r="D29" s="144"/>
      <c r="E29" s="9"/>
      <c r="F29" s="9"/>
    </row>
    <row r="30" spans="1:6" customFormat="1" ht="21">
      <c r="A30" s="52">
        <v>1</v>
      </c>
      <c r="B30" s="17">
        <v>8</v>
      </c>
      <c r="C30" s="144"/>
      <c r="D30" s="144"/>
      <c r="E30" s="9"/>
      <c r="F30" s="9"/>
    </row>
    <row r="31" spans="1:6" customFormat="1" ht="21">
      <c r="A31" s="333">
        <v>1</v>
      </c>
      <c r="B31" s="35">
        <v>9</v>
      </c>
      <c r="C31" s="334"/>
      <c r="D31" s="144"/>
      <c r="E31" s="9"/>
      <c r="F31" s="9"/>
    </row>
    <row r="32" spans="1:6" customFormat="1" ht="21">
      <c r="A32" s="2">
        <v>1</v>
      </c>
      <c r="B32" s="17">
        <v>10</v>
      </c>
      <c r="C32" s="144"/>
      <c r="D32" s="144"/>
      <c r="E32" s="9"/>
      <c r="F32" s="9"/>
    </row>
  </sheetData>
  <pageMargins left="0.3" right="0.3" top="0.3" bottom="0.3" header="0.2" footer="0.2"/>
  <pageSetup scale="75" orientation="landscape" horizontalDpi="200" verticalDpi="200" r:id="rId1"/>
  <headerFooter alignWithMargins="0">
    <oddHeader>&amp;CTab: &amp;A</oddHeader>
    <oddFooter>&amp;L&amp;D &amp;T&amp;C&amp;Z&amp;F -- &amp;A&amp;R&amp;P/&amp;N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24"/>
  <sheetViews>
    <sheetView zoomScale="80" zoomScaleNormal="80" workbookViewId="0">
      <selection activeCell="D29" sqref="D29"/>
    </sheetView>
  </sheetViews>
  <sheetFormatPr defaultColWidth="8.7265625" defaultRowHeight="12.5"/>
  <cols>
    <col min="1" max="1" width="8.7265625" style="238"/>
    <col min="2" max="2" width="32.1796875" style="238" customWidth="1"/>
    <col min="3" max="3" width="39" style="238" customWidth="1"/>
    <col min="4" max="4" width="45.453125" style="238" customWidth="1"/>
    <col min="5" max="16384" width="8.7265625" style="238"/>
  </cols>
  <sheetData>
    <row r="2" spans="2:4" ht="20">
      <c r="B2" s="241" t="s">
        <v>483</v>
      </c>
      <c r="C2" s="240"/>
    </row>
    <row r="4" spans="2:4" ht="13">
      <c r="B4" s="242" t="s">
        <v>484</v>
      </c>
    </row>
    <row r="5" spans="2:4">
      <c r="B5" s="243"/>
    </row>
    <row r="8" spans="2:4" ht="14">
      <c r="B8" s="242" t="s">
        <v>485</v>
      </c>
      <c r="C8" s="242" t="s">
        <v>545</v>
      </c>
      <c r="D8" s="371" t="s">
        <v>546</v>
      </c>
    </row>
    <row r="9" spans="2:4">
      <c r="B9" s="243"/>
      <c r="C9" s="370">
        <f>SUM([2]Area!$K$17:$U$24)</f>
        <v>1677382</v>
      </c>
      <c r="D9" s="372">
        <f>C9*0.092903</f>
        <v>155833.819946</v>
      </c>
    </row>
    <row r="12" spans="2:4" ht="26">
      <c r="B12" s="269" t="s">
        <v>486</v>
      </c>
      <c r="C12" s="242" t="s">
        <v>384</v>
      </c>
    </row>
    <row r="13" spans="2:4">
      <c r="B13" s="243" t="s">
        <v>551</v>
      </c>
      <c r="C13" s="243"/>
    </row>
    <row r="16" spans="2:4" ht="13" thickBot="1"/>
    <row r="17" spans="2:4">
      <c r="C17" s="386" t="s">
        <v>559</v>
      </c>
      <c r="D17" s="387">
        <f>D9</f>
        <v>155833.819946</v>
      </c>
    </row>
    <row r="18" spans="2:4">
      <c r="C18" s="388" t="s">
        <v>560</v>
      </c>
      <c r="D18" s="389">
        <v>61521.237099999998</v>
      </c>
    </row>
    <row r="19" spans="2:4" ht="13" thickBot="1">
      <c r="C19" s="390" t="s">
        <v>561</v>
      </c>
      <c r="D19" s="391">
        <f>SUM(D17:D18)</f>
        <v>217355.057046</v>
      </c>
    </row>
    <row r="21" spans="2:4" ht="13" thickBot="1"/>
    <row r="22" spans="2:4">
      <c r="B22" s="399">
        <v>571478</v>
      </c>
      <c r="C22" s="386" t="s">
        <v>559</v>
      </c>
      <c r="D22" s="387">
        <v>155833.819946</v>
      </c>
    </row>
    <row r="23" spans="2:4">
      <c r="B23" s="400">
        <v>698974</v>
      </c>
      <c r="C23" s="388" t="s">
        <v>574</v>
      </c>
      <c r="D23" s="398">
        <v>118028.88734820001</v>
      </c>
    </row>
    <row r="24" spans="2:4" ht="13" thickBot="1">
      <c r="C24" s="390" t="s">
        <v>575</v>
      </c>
      <c r="D24" s="391">
        <f>SUM(D22:D23)</f>
        <v>273862.70729420002</v>
      </c>
    </row>
  </sheetData>
  <pageMargins left="0.3" right="0.3" top="0.3" bottom="0.3" header="0.2" footer="0.2"/>
  <pageSetup scale="75" orientation="landscape" horizontalDpi="200" verticalDpi="200" r:id="rId1"/>
  <headerFooter alignWithMargins="0">
    <oddHeader>&amp;CTab: &amp;A</oddHeader>
    <oddFooter>&amp;L&amp;D &amp;T&amp;C&amp;Z&amp;F -- &amp;A&amp;R&amp;P/&amp;N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J10"/>
  <sheetViews>
    <sheetView workbookViewId="0">
      <selection activeCell="A11" sqref="A11"/>
    </sheetView>
  </sheetViews>
  <sheetFormatPr defaultRowHeight="14.5"/>
  <sheetData>
    <row r="3" spans="1:10">
      <c r="A3" s="399">
        <v>571478</v>
      </c>
    </row>
    <row r="4" spans="1:10">
      <c r="A4" s="400">
        <v>698974</v>
      </c>
    </row>
    <row r="5" spans="1:10" ht="15" thickBot="1">
      <c r="D5" s="392" t="s">
        <v>562</v>
      </c>
    </row>
    <row r="6" spans="1:10" ht="29.5" thickBot="1">
      <c r="D6" s="393" t="s">
        <v>158</v>
      </c>
      <c r="E6" s="394" t="s">
        <v>563</v>
      </c>
      <c r="F6" s="394" t="s">
        <v>564</v>
      </c>
      <c r="G6" s="394" t="s">
        <v>565</v>
      </c>
    </row>
    <row r="7" spans="1:10" ht="29.5" thickBot="1">
      <c r="D7" s="395" t="s">
        <v>566</v>
      </c>
      <c r="E7" s="396">
        <v>571478.37</v>
      </c>
      <c r="F7" s="397" t="s">
        <v>567</v>
      </c>
      <c r="G7" s="397" t="s">
        <v>568</v>
      </c>
      <c r="J7">
        <v>317100.3</v>
      </c>
    </row>
    <row r="8" spans="1:10" ht="44" thickBot="1">
      <c r="D8" s="395" t="s">
        <v>569</v>
      </c>
      <c r="E8" s="396">
        <v>698974</v>
      </c>
      <c r="F8" s="397" t="s">
        <v>570</v>
      </c>
      <c r="G8" s="397" t="s">
        <v>571</v>
      </c>
      <c r="J8">
        <v>345109</v>
      </c>
    </row>
    <row r="9" spans="1:10">
      <c r="D9" t="s">
        <v>576</v>
      </c>
      <c r="E9">
        <f>SUM(E7:E8)</f>
        <v>1270452.3700000001</v>
      </c>
      <c r="F9">
        <f>SUM(F7:F8)</f>
        <v>0</v>
      </c>
      <c r="I9" t="s">
        <v>572</v>
      </c>
      <c r="J9">
        <f>SUM(J7:J8)</f>
        <v>662209.30000000005</v>
      </c>
    </row>
    <row r="10" spans="1:10">
      <c r="D10" t="s">
        <v>577</v>
      </c>
      <c r="E10">
        <v>118028.88734820001</v>
      </c>
      <c r="I10" t="s">
        <v>573</v>
      </c>
      <c r="J10">
        <f>J9/10.7639</f>
        <v>61521.316623157043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General Instructions</vt:lpstr>
      <vt:lpstr>Environment (Real Estate)</vt:lpstr>
      <vt:lpstr>Environment (Century Bhavan)</vt:lpstr>
      <vt:lpstr>HR</vt:lpstr>
      <vt:lpstr>Safety</vt:lpstr>
      <vt:lpstr>Proc,Supply Chain, MKt</vt:lpstr>
      <vt:lpstr>Legal</vt:lpstr>
      <vt:lpstr>Revenue and Production</vt:lpstr>
      <vt:lpstr>Calc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Rutuja B Shinde</dc:creator>
  <cp:keywords/>
  <dc:description/>
  <cp:lastModifiedBy>Ishan Rahman</cp:lastModifiedBy>
  <dcterms:created xsi:type="dcterms:W3CDTF">2015-06-05T18:17:20Z</dcterms:created>
  <dcterms:modified xsi:type="dcterms:W3CDTF">2026-08-11T08:03:02Z</dcterms:modified>
  <cp:category/>
</cp:coreProperties>
</file>