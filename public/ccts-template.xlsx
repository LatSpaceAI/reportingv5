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24226"/>
  <mc:AlternateContent xmlns:mc="http://schemas.openxmlformats.org/markup-compatibility/2006">
    <mc:Choice Requires="x15">
      <x15ac:absPath xmlns:x15ac="http://schemas.microsoft.com/office/spreadsheetml/2010/11/ac" url="C:\Users\ishan\Downloads\"/>
    </mc:Choice>
  </mc:AlternateContent>
  <xr:revisionPtr revIDLastSave="0" documentId="13_ncr:1_{AF7DE790-CD60-429F-BD75-30DA40B2BB03}" xr6:coauthVersionLast="47" xr6:coauthVersionMax="47" xr10:uidLastSave="{00000000-0000-0000-0000-000000000000}"/>
  <workbookProtection workbookAlgorithmName="SHA-512" workbookHashValue="kFSbgkRDn4RtzmImmWcb6SENeIwHGxyZduueJGGBB+pbAqjZ8ZU8DDMh+9f/zSUD9xr2RCCGdjaDk8oG5Ttz0A==" workbookSaltValue="KZU1yHcCOSZ1hUUnm+5CYQ==" workbookSpinCount="100000" lockStructure="1"/>
  <bookViews>
    <workbookView xWindow="-110" yWindow="-110" windowWidth="19420" windowHeight="11500" tabRatio="705" firstSheet="7" activeTab="17" xr2:uid="{00000000-000D-0000-FFFF-FFFF00000000}"/>
  </bookViews>
  <sheets>
    <sheet name="Read Me" sheetId="1" r:id="rId1"/>
    <sheet name="Instructions Sheet" sheetId="2" r:id="rId2"/>
    <sheet name="General Information" sheetId="3" r:id="rId3"/>
    <sheet name="Form 1" sheetId="4" r:id="rId4"/>
    <sheet name="Form E2" sheetId="5" r:id="rId5"/>
    <sheet name="Form-Sb" sheetId="6" r:id="rId6"/>
    <sheet name="Base line Parameters" sheetId="7" r:id="rId7"/>
    <sheet name="Summary Sheet" sheetId="8" r:id="rId8"/>
    <sheet name="Emission Factor &amp; GWP Backup" sheetId="9" r:id="rId9"/>
    <sheet name="Form-PE" sheetId="10" state="hidden" r:id="rId10"/>
    <sheet name="Annex Addl Eqp List-Env" sheetId="11" state="hidden" r:id="rId11"/>
    <sheet name="Annex Project Activites List" sheetId="12" state="hidden" r:id="rId12"/>
    <sheet name="NF-1 CU" sheetId="13" state="hidden" r:id="rId13"/>
    <sheet name="NF-2 Fuel Quality in CPP" sheetId="14" state="hidden" r:id="rId14"/>
    <sheet name="NF-3 Petcoke" sheetId="15" state="hidden" r:id="rId15"/>
    <sheet name="NF-4 PLF" sheetId="16" state="hidden" r:id="rId16"/>
    <sheet name="NF-5 Power Mix" sheetId="17" r:id="rId17"/>
    <sheet name="NF-6 Product Mix" sheetId="18" r:id="rId18"/>
    <sheet name="NF-7 Others" sheetId="19" state="hidden" r:id="rId19"/>
    <sheet name="NF-8 Bond Index" sheetId="20" state="hidden" r:id="rId20"/>
  </sheets>
  <definedNames>
    <definedName name="_xlnm.Print_Area" localSheetId="9">'Form-PE'!$A$1:$J$25</definedName>
    <definedName name="_xlnm.Print_Area" localSheetId="5">'Form-Sb'!$A$1:$K$980</definedName>
    <definedName name="_xlnm.Print_Area" localSheetId="7">'Summary Sheet'!$A$1:$F$148</definedName>
    <definedName name="_xlnm.Print_Titles" localSheetId="11">'Annex Project Activites List'!$1:$5</definedName>
    <definedName name="_xlnm.Print_Titles" localSheetId="6">'Base line Parameters'!$2:$5</definedName>
    <definedName name="_xlnm.Print_Titles" localSheetId="9">'Form-PE'!$1:$4</definedName>
    <definedName name="_xlnm.Print_Titles" localSheetId="5">'Form-Sb'!$1:$6</definedName>
    <definedName name="_xlnm.Print_Titles" localSheetId="1">'Instructions Sheet'!$1:$3</definedName>
    <definedName name="_xlnm.Print_Titles" localSheetId="12">'NF-1 CU'!$1:$5</definedName>
    <definedName name="_xlnm.Print_Titles" localSheetId="16">'NF-5 Power Mix'!$1:$4</definedName>
    <definedName name="_xlnm.Print_Titles" localSheetId="17">'NF-6 Product Mix'!$1:$4</definedName>
    <definedName name="_xlnm.Print_Titles" localSheetId="18">'NF-7 Others'!$1:$4</definedName>
    <definedName name="_xlnm.Print_Titles" localSheetId="7">'Summary Sheet'!$1:$5</definedName>
    <definedName name="Z_29403E45_A0DF_42C3_A079_0B7BA9F68AB3_.wvu.Cols" localSheetId="6" hidden="1">'Base line Parameters'!#REF!</definedName>
    <definedName name="Z_29403E45_A0DF_42C3_A079_0B7BA9F68AB3_.wvu.Cols" localSheetId="9" hidden="1">'Form-PE'!#REF!</definedName>
    <definedName name="Z_29403E45_A0DF_42C3_A079_0B7BA9F68AB3_.wvu.Cols" localSheetId="5" hidden="1">'Form-Sb'!#REF!</definedName>
    <definedName name="Z_29403E45_A0DF_42C3_A079_0B7BA9F68AB3_.wvu.Cols" localSheetId="2" hidden="1">'General Information'!#REF!</definedName>
    <definedName name="Z_29403E45_A0DF_42C3_A079_0B7BA9F68AB3_.wvu.Cols" localSheetId="1" hidden="1">'Instructions Sheet'!#REF!</definedName>
    <definedName name="Z_29403E45_A0DF_42C3_A079_0B7BA9F68AB3_.wvu.Cols" localSheetId="13" hidden="1">'NF-2 Fuel Quality in CPP'!#REF!</definedName>
    <definedName name="Z_29403E45_A0DF_42C3_A079_0B7BA9F68AB3_.wvu.Cols" localSheetId="14" hidden="1">'NF-3 Petcoke'!#REF!</definedName>
    <definedName name="Z_29403E45_A0DF_42C3_A079_0B7BA9F68AB3_.wvu.Cols" localSheetId="15" hidden="1">'NF-4 PLF'!#REF!</definedName>
    <definedName name="Z_29403E45_A0DF_42C3_A079_0B7BA9F68AB3_.wvu.Cols" localSheetId="16" hidden="1">'NF-5 Power Mix'!#REF!</definedName>
    <definedName name="Z_29403E45_A0DF_42C3_A079_0B7BA9F68AB3_.wvu.Cols" localSheetId="17" hidden="1">'NF-6 Product Mix'!#REF!</definedName>
    <definedName name="Z_29403E45_A0DF_42C3_A079_0B7BA9F68AB3_.wvu.Cols" localSheetId="18" hidden="1">'NF-7 Others'!#REF!</definedName>
    <definedName name="Z_29403E45_A0DF_42C3_A079_0B7BA9F68AB3_.wvu.Cols" localSheetId="7" hidden="1">'Summary Sheet'!#REF!</definedName>
    <definedName name="Z_29403E45_A0DF_42C3_A079_0B7BA9F68AB3_.wvu.PrintArea" localSheetId="7" hidden="1">'Summary Sheet'!$A$1:$F$148</definedName>
    <definedName name="Z_29403E45_A0DF_42C3_A079_0B7BA9F68AB3_.wvu.PrintTitles" localSheetId="9" hidden="1">'Form-PE'!$1:$4</definedName>
    <definedName name="Z_29403E45_A0DF_42C3_A079_0B7BA9F68AB3_.wvu.PrintTitles" localSheetId="5" hidden="1">'Form-Sb'!$1:$6</definedName>
    <definedName name="Z_29403E45_A0DF_42C3_A079_0B7BA9F68AB3_.wvu.Rows" localSheetId="6" hidden="1">'Base line Parameters'!#REF!,'Base line Parameters'!$81:$88</definedName>
    <definedName name="Z_29403E45_A0DF_42C3_A079_0B7BA9F68AB3_.wvu.Rows" localSheetId="9" hidden="1">'Form-PE'!#REF!,'Form-PE'!$26:$33</definedName>
    <definedName name="Z_29403E45_A0DF_42C3_A079_0B7BA9F68AB3_.wvu.Rows" localSheetId="5" hidden="1">'Form-Sb'!#REF!,'Form-Sb'!$981:$987</definedName>
    <definedName name="Z_29403E45_A0DF_42C3_A079_0B7BA9F68AB3_.wvu.Rows" localSheetId="2" hidden="1">'General Information'!#REF!</definedName>
    <definedName name="Z_29403E45_A0DF_42C3_A079_0B7BA9F68AB3_.wvu.Rows" localSheetId="1" hidden="1">'Instructions Sheet'!#REF!,'Instructions Sheet'!#REF!</definedName>
    <definedName name="Z_29403E45_A0DF_42C3_A079_0B7BA9F68AB3_.wvu.Rows" localSheetId="13" hidden="1">'NF-2 Fuel Quality in CPP'!#REF!</definedName>
    <definedName name="Z_29403E45_A0DF_42C3_A079_0B7BA9F68AB3_.wvu.Rows" localSheetId="14" hidden="1">'NF-3 Petcoke'!#REF!,'NF-3 Petcoke'!$17:$18</definedName>
    <definedName name="Z_29403E45_A0DF_42C3_A079_0B7BA9F68AB3_.wvu.Rows" localSheetId="15" hidden="1">'NF-4 PLF'!#REF!</definedName>
    <definedName name="Z_29403E45_A0DF_42C3_A079_0B7BA9F68AB3_.wvu.Rows" localSheetId="16" hidden="1">'NF-5 Power Mix'!#REF!</definedName>
    <definedName name="Z_29403E45_A0DF_42C3_A079_0B7BA9F68AB3_.wvu.Rows" localSheetId="17" hidden="1">'NF-6 Product Mix'!#REF!</definedName>
    <definedName name="Z_29403E45_A0DF_42C3_A079_0B7BA9F68AB3_.wvu.Rows" localSheetId="18" hidden="1">'NF-7 Others'!#REF!</definedName>
    <definedName name="Z_29403E45_A0DF_42C3_A079_0B7BA9F68AB3_.wvu.Rows" localSheetId="7" hidden="1">'Summary Sheet'!#REF!,'Summary Sheet'!$149:$197</definedName>
    <definedName name="Z_77B342DB_B591_4E57_ACF1_D8BAA59836A9_.wvu.Cols" localSheetId="6" hidden="1">'Base line Parameters'!#REF!</definedName>
    <definedName name="Z_77B342DB_B591_4E57_ACF1_D8BAA59836A9_.wvu.Cols" localSheetId="9" hidden="1">'Form-PE'!#REF!</definedName>
    <definedName name="Z_77B342DB_B591_4E57_ACF1_D8BAA59836A9_.wvu.Cols" localSheetId="5" hidden="1">'Form-Sb'!#REF!</definedName>
    <definedName name="Z_77B342DB_B591_4E57_ACF1_D8BAA59836A9_.wvu.Cols" localSheetId="2" hidden="1">'General Information'!#REF!</definedName>
    <definedName name="Z_77B342DB_B591_4E57_ACF1_D8BAA59836A9_.wvu.Cols" localSheetId="1" hidden="1">'Instructions Sheet'!#REF!</definedName>
    <definedName name="Z_77B342DB_B591_4E57_ACF1_D8BAA59836A9_.wvu.Cols" localSheetId="13" hidden="1">'NF-2 Fuel Quality in CPP'!#REF!</definedName>
    <definedName name="Z_77B342DB_B591_4E57_ACF1_D8BAA59836A9_.wvu.Cols" localSheetId="14" hidden="1">'NF-3 Petcoke'!#REF!</definedName>
    <definedName name="Z_77B342DB_B591_4E57_ACF1_D8BAA59836A9_.wvu.Cols" localSheetId="15" hidden="1">'NF-4 PLF'!#REF!</definedName>
    <definedName name="Z_77B342DB_B591_4E57_ACF1_D8BAA59836A9_.wvu.Cols" localSheetId="16" hidden="1">'NF-5 Power Mix'!#REF!</definedName>
    <definedName name="Z_77B342DB_B591_4E57_ACF1_D8BAA59836A9_.wvu.Cols" localSheetId="17" hidden="1">'NF-6 Product Mix'!#REF!</definedName>
    <definedName name="Z_77B342DB_B591_4E57_ACF1_D8BAA59836A9_.wvu.Cols" localSheetId="18" hidden="1">'NF-7 Others'!#REF!</definedName>
    <definedName name="Z_77B342DB_B591_4E57_ACF1_D8BAA59836A9_.wvu.Cols" localSheetId="7" hidden="1">'Summary Sheet'!#REF!</definedName>
    <definedName name="Z_77B342DB_B591_4E57_ACF1_D8BAA59836A9_.wvu.PrintArea" localSheetId="7" hidden="1">'Summary Sheet'!$A$1:$F$148</definedName>
    <definedName name="Z_77B342DB_B591_4E57_ACF1_D8BAA59836A9_.wvu.PrintTitles" localSheetId="9" hidden="1">'Form-PE'!$1:$4</definedName>
    <definedName name="Z_77B342DB_B591_4E57_ACF1_D8BAA59836A9_.wvu.PrintTitles" localSheetId="5" hidden="1">'Form-Sb'!$1:$6</definedName>
    <definedName name="Z_77B342DB_B591_4E57_ACF1_D8BAA59836A9_.wvu.Rows" localSheetId="6" hidden="1">'Base line Parameters'!#REF!,'Base line Parameters'!$81:$88</definedName>
    <definedName name="Z_77B342DB_B591_4E57_ACF1_D8BAA59836A9_.wvu.Rows" localSheetId="9" hidden="1">'Form-PE'!#REF!,'Form-PE'!$26:$33</definedName>
    <definedName name="Z_77B342DB_B591_4E57_ACF1_D8BAA59836A9_.wvu.Rows" localSheetId="5" hidden="1">'Form-Sb'!#REF!,'Form-Sb'!$981:$987</definedName>
    <definedName name="Z_77B342DB_B591_4E57_ACF1_D8BAA59836A9_.wvu.Rows" localSheetId="2" hidden="1">'General Information'!#REF!</definedName>
    <definedName name="Z_77B342DB_B591_4E57_ACF1_D8BAA59836A9_.wvu.Rows" localSheetId="1" hidden="1">'Instructions Sheet'!#REF!,'Instructions Sheet'!#REF!</definedName>
    <definedName name="Z_77B342DB_B591_4E57_ACF1_D8BAA59836A9_.wvu.Rows" localSheetId="13" hidden="1">'NF-2 Fuel Quality in CPP'!#REF!</definedName>
    <definedName name="Z_77B342DB_B591_4E57_ACF1_D8BAA59836A9_.wvu.Rows" localSheetId="14" hidden="1">'NF-3 Petcoke'!#REF!,'NF-3 Petcoke'!$17:$18</definedName>
    <definedName name="Z_77B342DB_B591_4E57_ACF1_D8BAA59836A9_.wvu.Rows" localSheetId="15" hidden="1">'NF-4 PLF'!#REF!</definedName>
    <definedName name="Z_77B342DB_B591_4E57_ACF1_D8BAA59836A9_.wvu.Rows" localSheetId="16" hidden="1">'NF-5 Power Mix'!#REF!</definedName>
    <definedName name="Z_77B342DB_B591_4E57_ACF1_D8BAA59836A9_.wvu.Rows" localSheetId="17" hidden="1">'NF-6 Product Mix'!#REF!</definedName>
    <definedName name="Z_77B342DB_B591_4E57_ACF1_D8BAA59836A9_.wvu.Rows" localSheetId="18" hidden="1">'NF-7 Others'!#REF!</definedName>
    <definedName name="Z_77B342DB_B591_4E57_ACF1_D8BAA59836A9_.wvu.Rows" localSheetId="7" hidden="1">'Summary Sheet'!#REF!,'Summary Sheet'!$149:$197</definedName>
    <definedName name="Z_A3057831_32FB_4B2B_877E_DFBABAEE9A1D_.wvu.Cols" localSheetId="6" hidden="1">'Base line Parameters'!#REF!</definedName>
    <definedName name="Z_A3057831_32FB_4B2B_877E_DFBABAEE9A1D_.wvu.Cols" localSheetId="9" hidden="1">'Form-PE'!#REF!</definedName>
    <definedName name="Z_A3057831_32FB_4B2B_877E_DFBABAEE9A1D_.wvu.Cols" localSheetId="5" hidden="1">'Form-Sb'!#REF!</definedName>
    <definedName name="Z_A3057831_32FB_4B2B_877E_DFBABAEE9A1D_.wvu.Cols" localSheetId="2" hidden="1">'General Information'!#REF!</definedName>
    <definedName name="Z_A3057831_32FB_4B2B_877E_DFBABAEE9A1D_.wvu.Cols" localSheetId="1" hidden="1">'Instructions Sheet'!#REF!</definedName>
    <definedName name="Z_A3057831_32FB_4B2B_877E_DFBABAEE9A1D_.wvu.Cols" localSheetId="13" hidden="1">'NF-2 Fuel Quality in CPP'!#REF!</definedName>
    <definedName name="Z_A3057831_32FB_4B2B_877E_DFBABAEE9A1D_.wvu.Cols" localSheetId="14" hidden="1">'NF-3 Petcoke'!#REF!</definedName>
    <definedName name="Z_A3057831_32FB_4B2B_877E_DFBABAEE9A1D_.wvu.Cols" localSheetId="15" hidden="1">'NF-4 PLF'!#REF!</definedName>
    <definedName name="Z_A3057831_32FB_4B2B_877E_DFBABAEE9A1D_.wvu.Cols" localSheetId="16" hidden="1">'NF-5 Power Mix'!#REF!</definedName>
    <definedName name="Z_A3057831_32FB_4B2B_877E_DFBABAEE9A1D_.wvu.Cols" localSheetId="17" hidden="1">'NF-6 Product Mix'!#REF!</definedName>
    <definedName name="Z_A3057831_32FB_4B2B_877E_DFBABAEE9A1D_.wvu.Cols" localSheetId="18" hidden="1">'NF-7 Others'!#REF!</definedName>
    <definedName name="Z_A3057831_32FB_4B2B_877E_DFBABAEE9A1D_.wvu.Cols" localSheetId="7" hidden="1">'Summary Sheet'!#REF!</definedName>
    <definedName name="Z_A3057831_32FB_4B2B_877E_DFBABAEE9A1D_.wvu.PrintArea" localSheetId="7" hidden="1">'Summary Sheet'!$A$1:$F$148</definedName>
    <definedName name="Z_A3057831_32FB_4B2B_877E_DFBABAEE9A1D_.wvu.PrintTitles" localSheetId="9" hidden="1">'Form-PE'!$1:$4</definedName>
    <definedName name="Z_A3057831_32FB_4B2B_877E_DFBABAEE9A1D_.wvu.PrintTitles" localSheetId="5" hidden="1">'Form-Sb'!$1:$6</definedName>
    <definedName name="Z_A3057831_32FB_4B2B_877E_DFBABAEE9A1D_.wvu.Rows" localSheetId="6" hidden="1">'Base line Parameters'!#REF!,'Base line Parameters'!$81:$88</definedName>
    <definedName name="Z_A3057831_32FB_4B2B_877E_DFBABAEE9A1D_.wvu.Rows" localSheetId="9" hidden="1">'Form-PE'!#REF!,'Form-PE'!$26:$33</definedName>
    <definedName name="Z_A3057831_32FB_4B2B_877E_DFBABAEE9A1D_.wvu.Rows" localSheetId="5" hidden="1">'Form-Sb'!#REF!,'Form-Sb'!$981:$987</definedName>
    <definedName name="Z_A3057831_32FB_4B2B_877E_DFBABAEE9A1D_.wvu.Rows" localSheetId="2" hidden="1">'General Information'!#REF!</definedName>
    <definedName name="Z_A3057831_32FB_4B2B_877E_DFBABAEE9A1D_.wvu.Rows" localSheetId="1" hidden="1">'Instructions Sheet'!#REF!,'Instructions Sheet'!#REF!</definedName>
    <definedName name="Z_A3057831_32FB_4B2B_877E_DFBABAEE9A1D_.wvu.Rows" localSheetId="13" hidden="1">'NF-2 Fuel Quality in CPP'!#REF!</definedName>
    <definedName name="Z_A3057831_32FB_4B2B_877E_DFBABAEE9A1D_.wvu.Rows" localSheetId="14" hidden="1">'NF-3 Petcoke'!#REF!,'NF-3 Petcoke'!$17:$18</definedName>
    <definedName name="Z_A3057831_32FB_4B2B_877E_DFBABAEE9A1D_.wvu.Rows" localSheetId="15" hidden="1">'NF-4 PLF'!#REF!</definedName>
    <definedName name="Z_A3057831_32FB_4B2B_877E_DFBABAEE9A1D_.wvu.Rows" localSheetId="16" hidden="1">'NF-5 Power Mix'!#REF!</definedName>
    <definedName name="Z_A3057831_32FB_4B2B_877E_DFBABAEE9A1D_.wvu.Rows" localSheetId="17" hidden="1">'NF-6 Product Mix'!#REF!</definedName>
    <definedName name="Z_A3057831_32FB_4B2B_877E_DFBABAEE9A1D_.wvu.Rows" localSheetId="18" hidden="1">'NF-7 Others'!#REF!</definedName>
    <definedName name="Z_A3057831_32FB_4B2B_877E_DFBABAEE9A1D_.wvu.Rows" localSheetId="7" hidden="1">'Summary Sheet'!#REF!,'Summary Sheet'!$149:$197</definedName>
    <definedName name="Z_C99F6511_B640_4233_AF7C_A65562BCF81E_.wvu.PrintArea" localSheetId="7" hidden="1">'Summary Sheet'!$A$1:$F$148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8" i="20" l="1"/>
  <c r="F7" i="20"/>
  <c r="F6" i="20"/>
  <c r="F5" i="20"/>
  <c r="F3" i="20"/>
  <c r="F12" i="19"/>
  <c r="F11" i="19"/>
  <c r="F8" i="19"/>
  <c r="F7" i="19"/>
  <c r="F6" i="19"/>
  <c r="F3" i="19"/>
  <c r="F3" i="18"/>
  <c r="F32" i="17"/>
  <c r="F30" i="17"/>
  <c r="F28" i="17"/>
  <c r="F37" i="17" s="1"/>
  <c r="F54" i="17" s="1"/>
  <c r="F24" i="17"/>
  <c r="E24" i="17"/>
  <c r="F11" i="17"/>
  <c r="F21" i="17" s="1"/>
  <c r="F10" i="17"/>
  <c r="F9" i="17"/>
  <c r="F7" i="17"/>
  <c r="F3" i="17"/>
  <c r="F3" i="16"/>
  <c r="F7" i="15"/>
  <c r="F6" i="15"/>
  <c r="F5" i="15"/>
  <c r="F3" i="15"/>
  <c r="F11" i="14"/>
  <c r="F12" i="14" s="1"/>
  <c r="F13" i="14" s="1"/>
  <c r="F10" i="14"/>
  <c r="F9" i="14"/>
  <c r="F8" i="14"/>
  <c r="F7" i="14"/>
  <c r="F3" i="14"/>
  <c r="N12" i="13"/>
  <c r="L12" i="13"/>
  <c r="J12" i="13"/>
  <c r="H12" i="13"/>
  <c r="F12" i="13"/>
  <c r="N11" i="13"/>
  <c r="L11" i="13"/>
  <c r="J11" i="13"/>
  <c r="H11" i="13"/>
  <c r="F11" i="13"/>
  <c r="N10" i="13"/>
  <c r="L10" i="13"/>
  <c r="J10" i="13"/>
  <c r="H10" i="13"/>
  <c r="F10" i="13"/>
  <c r="J9" i="13"/>
  <c r="F9" i="13"/>
  <c r="N8" i="13"/>
  <c r="N9" i="13" s="1"/>
  <c r="L8" i="13"/>
  <c r="L9" i="13" s="1"/>
  <c r="J8" i="13"/>
  <c r="H8" i="13"/>
  <c r="H9" i="13" s="1"/>
  <c r="F8" i="13"/>
  <c r="N6" i="13"/>
  <c r="L6" i="13"/>
  <c r="J6" i="13"/>
  <c r="H6" i="13"/>
  <c r="F6" i="13"/>
  <c r="F3" i="13"/>
  <c r="E3" i="13"/>
  <c r="L27" i="12"/>
  <c r="K27" i="12"/>
  <c r="J27" i="12"/>
  <c r="I27" i="12"/>
  <c r="H27" i="12"/>
  <c r="G27" i="12"/>
  <c r="A2" i="12"/>
  <c r="K27" i="11"/>
  <c r="J27" i="11"/>
  <c r="I27" i="11"/>
  <c r="H27" i="11"/>
  <c r="G27" i="11"/>
  <c r="F27" i="11"/>
  <c r="E2" i="11"/>
  <c r="A2" i="11"/>
  <c r="E31" i="10"/>
  <c r="E30" i="10"/>
  <c r="E22" i="10"/>
  <c r="E18" i="10"/>
  <c r="E8" i="10"/>
  <c r="E15" i="10" s="1"/>
  <c r="C3" i="10"/>
  <c r="A3" i="10"/>
  <c r="A2" i="10"/>
  <c r="E113" i="9"/>
  <c r="A108" i="9"/>
  <c r="A109" i="9" s="1"/>
  <c r="A110" i="9" s="1"/>
  <c r="A111" i="9" s="1"/>
  <c r="A112" i="9" s="1"/>
  <c r="A107" i="9"/>
  <c r="J56" i="9"/>
  <c r="K56" i="9" s="1"/>
  <c r="H56" i="9"/>
  <c r="G56" i="9"/>
  <c r="E56" i="9"/>
  <c r="D56" i="9"/>
  <c r="J55" i="9"/>
  <c r="K55" i="9" s="1"/>
  <c r="H55" i="9"/>
  <c r="G55" i="9"/>
  <c r="E55" i="9"/>
  <c r="D55" i="9"/>
  <c r="K54" i="9"/>
  <c r="J54" i="9"/>
  <c r="G54" i="9"/>
  <c r="H54" i="9" s="1"/>
  <c r="E54" i="9"/>
  <c r="D54" i="9"/>
  <c r="J53" i="9"/>
  <c r="K53" i="9" s="1"/>
  <c r="H53" i="9"/>
  <c r="G53" i="9"/>
  <c r="E53" i="9"/>
  <c r="D53" i="9"/>
  <c r="J52" i="9"/>
  <c r="K52" i="9" s="1"/>
  <c r="H52" i="9"/>
  <c r="G52" i="9"/>
  <c r="E52" i="9"/>
  <c r="D52" i="9"/>
  <c r="K51" i="9"/>
  <c r="J51" i="9"/>
  <c r="G51" i="9"/>
  <c r="H51" i="9" s="1"/>
  <c r="E51" i="9"/>
  <c r="D51" i="9"/>
  <c r="J50" i="9"/>
  <c r="K50" i="9" s="1"/>
  <c r="H50" i="9"/>
  <c r="G50" i="9"/>
  <c r="E50" i="9"/>
  <c r="D50" i="9"/>
  <c r="J49" i="9"/>
  <c r="K49" i="9" s="1"/>
  <c r="H49" i="9"/>
  <c r="G49" i="9"/>
  <c r="E49" i="9"/>
  <c r="D49" i="9"/>
  <c r="K48" i="9"/>
  <c r="J48" i="9"/>
  <c r="H48" i="9"/>
  <c r="G48" i="9"/>
  <c r="E48" i="9"/>
  <c r="D48" i="9"/>
  <c r="J47" i="9"/>
  <c r="K47" i="9" s="1"/>
  <c r="H47" i="9"/>
  <c r="G47" i="9"/>
  <c r="E47" i="9"/>
  <c r="D47" i="9"/>
  <c r="J46" i="9"/>
  <c r="K46" i="9" s="1"/>
  <c r="H46" i="9"/>
  <c r="G46" i="9"/>
  <c r="E46" i="9"/>
  <c r="D46" i="9"/>
  <c r="K45" i="9"/>
  <c r="J45" i="9"/>
  <c r="G45" i="9"/>
  <c r="H45" i="9" s="1"/>
  <c r="E45" i="9"/>
  <c r="D45" i="9"/>
  <c r="J44" i="9"/>
  <c r="K44" i="9" s="1"/>
  <c r="H44" i="9"/>
  <c r="G44" i="9"/>
  <c r="E44" i="9"/>
  <c r="D44" i="9"/>
  <c r="J43" i="9"/>
  <c r="K43" i="9" s="1"/>
  <c r="H43" i="9"/>
  <c r="I621" i="6" s="1"/>
  <c r="G43" i="9"/>
  <c r="E43" i="9"/>
  <c r="D43" i="9"/>
  <c r="K42" i="9"/>
  <c r="J42" i="9"/>
  <c r="H42" i="9"/>
  <c r="G42" i="9"/>
  <c r="E42" i="9"/>
  <c r="D42" i="9"/>
  <c r="J41" i="9"/>
  <c r="K41" i="9" s="1"/>
  <c r="H41" i="9"/>
  <c r="G41" i="9"/>
  <c r="E41" i="9"/>
  <c r="D41" i="9"/>
  <c r="J40" i="9"/>
  <c r="K40" i="9" s="1"/>
  <c r="H40" i="9"/>
  <c r="G40" i="9"/>
  <c r="E40" i="9"/>
  <c r="D40" i="9"/>
  <c r="K39" i="9"/>
  <c r="J39" i="9"/>
  <c r="H39" i="9"/>
  <c r="G39" i="9"/>
  <c r="E39" i="9"/>
  <c r="D39" i="9"/>
  <c r="J38" i="9"/>
  <c r="K38" i="9" s="1"/>
  <c r="H38" i="9"/>
  <c r="G38" i="9"/>
  <c r="E38" i="9"/>
  <c r="D38" i="9"/>
  <c r="J37" i="9"/>
  <c r="K37" i="9" s="1"/>
  <c r="H37" i="9"/>
  <c r="G37" i="9"/>
  <c r="E37" i="9"/>
  <c r="D37" i="9"/>
  <c r="K36" i="9"/>
  <c r="J36" i="9"/>
  <c r="G36" i="9"/>
  <c r="H36" i="9" s="1"/>
  <c r="E36" i="9"/>
  <c r="D36" i="9"/>
  <c r="J35" i="9"/>
  <c r="K35" i="9" s="1"/>
  <c r="H35" i="9"/>
  <c r="G35" i="9"/>
  <c r="E35" i="9"/>
  <c r="D35" i="9"/>
  <c r="J34" i="9"/>
  <c r="K34" i="9" s="1"/>
  <c r="H34" i="9"/>
  <c r="G34" i="9"/>
  <c r="E34" i="9"/>
  <c r="D34" i="9"/>
  <c r="K33" i="9"/>
  <c r="J33" i="9"/>
  <c r="H33" i="9"/>
  <c r="G33" i="9"/>
  <c r="E33" i="9"/>
  <c r="D33" i="9"/>
  <c r="J32" i="9"/>
  <c r="K32" i="9" s="1"/>
  <c r="H32" i="9"/>
  <c r="G32" i="9"/>
  <c r="E32" i="9"/>
  <c r="D32" i="9"/>
  <c r="J31" i="9"/>
  <c r="K31" i="9" s="1"/>
  <c r="H31" i="9"/>
  <c r="G31" i="9"/>
  <c r="E31" i="9"/>
  <c r="D31" i="9"/>
  <c r="K30" i="9"/>
  <c r="J30" i="9"/>
  <c r="G30" i="9"/>
  <c r="H30" i="9" s="1"/>
  <c r="E30" i="9"/>
  <c r="I475" i="6" s="1"/>
  <c r="I480" i="6" s="1"/>
  <c r="D30" i="9"/>
  <c r="J29" i="9"/>
  <c r="K29" i="9" s="1"/>
  <c r="H29" i="9"/>
  <c r="G29" i="9"/>
  <c r="E29" i="9"/>
  <c r="D29" i="9"/>
  <c r="J28" i="9"/>
  <c r="K28" i="9" s="1"/>
  <c r="H28" i="9"/>
  <c r="G28" i="9"/>
  <c r="E28" i="9"/>
  <c r="D28" i="9"/>
  <c r="K27" i="9"/>
  <c r="J27" i="9"/>
  <c r="G27" i="9"/>
  <c r="H27" i="9" s="1"/>
  <c r="E27" i="9"/>
  <c r="D27" i="9"/>
  <c r="J26" i="9"/>
  <c r="K26" i="9" s="1"/>
  <c r="H26" i="9"/>
  <c r="G26" i="9"/>
  <c r="E26" i="9"/>
  <c r="D26" i="9"/>
  <c r="J25" i="9"/>
  <c r="K25" i="9" s="1"/>
  <c r="H25" i="9"/>
  <c r="G25" i="9"/>
  <c r="E25" i="9"/>
  <c r="D25" i="9"/>
  <c r="K24" i="9"/>
  <c r="J24" i="9"/>
  <c r="H24" i="9"/>
  <c r="G24" i="9"/>
  <c r="E24" i="9"/>
  <c r="D24" i="9"/>
  <c r="J23" i="9"/>
  <c r="K23" i="9" s="1"/>
  <c r="H23" i="9"/>
  <c r="G23" i="9"/>
  <c r="E23" i="9"/>
  <c r="D23" i="9"/>
  <c r="J22" i="9"/>
  <c r="K22" i="9" s="1"/>
  <c r="G22" i="9"/>
  <c r="H22" i="9" s="1"/>
  <c r="E22" i="9"/>
  <c r="D22" i="9"/>
  <c r="K21" i="9"/>
  <c r="J21" i="9"/>
  <c r="H21" i="9"/>
  <c r="G21" i="9"/>
  <c r="E21" i="9"/>
  <c r="D21" i="9"/>
  <c r="J20" i="9"/>
  <c r="K20" i="9" s="1"/>
  <c r="H20" i="9"/>
  <c r="G20" i="9"/>
  <c r="E20" i="9"/>
  <c r="D20" i="9"/>
  <c r="J19" i="9"/>
  <c r="K19" i="9" s="1"/>
  <c r="H19" i="9"/>
  <c r="G19" i="9"/>
  <c r="E19" i="9"/>
  <c r="D19" i="9"/>
  <c r="K18" i="9"/>
  <c r="J18" i="9"/>
  <c r="G18" i="9"/>
  <c r="H18" i="9" s="1"/>
  <c r="E18" i="9"/>
  <c r="D18" i="9"/>
  <c r="J17" i="9"/>
  <c r="K17" i="9" s="1"/>
  <c r="H17" i="9"/>
  <c r="G17" i="9"/>
  <c r="E17" i="9"/>
  <c r="D17" i="9"/>
  <c r="J16" i="9"/>
  <c r="K16" i="9" s="1"/>
  <c r="G16" i="9"/>
  <c r="H16" i="9" s="1"/>
  <c r="E16" i="9"/>
  <c r="D16" i="9"/>
  <c r="K15" i="9"/>
  <c r="J15" i="9"/>
  <c r="H15" i="9"/>
  <c r="G15" i="9"/>
  <c r="E15" i="9"/>
  <c r="D15" i="9"/>
  <c r="J14" i="9"/>
  <c r="K14" i="9" s="1"/>
  <c r="H14" i="9"/>
  <c r="G14" i="9"/>
  <c r="E14" i="9"/>
  <c r="D14" i="9"/>
  <c r="J13" i="9"/>
  <c r="K13" i="9" s="1"/>
  <c r="G13" i="9"/>
  <c r="H13" i="9" s="1"/>
  <c r="E13" i="9"/>
  <c r="D13" i="9"/>
  <c r="K12" i="9"/>
  <c r="J12" i="9"/>
  <c r="G12" i="9"/>
  <c r="H12" i="9" s="1"/>
  <c r="E12" i="9"/>
  <c r="D12" i="9"/>
  <c r="J11" i="9"/>
  <c r="K11" i="9" s="1"/>
  <c r="H11" i="9"/>
  <c r="G11" i="9"/>
  <c r="E11" i="9"/>
  <c r="D11" i="9"/>
  <c r="P10" i="9"/>
  <c r="J10" i="9"/>
  <c r="K10" i="9" s="1"/>
  <c r="G10" i="9"/>
  <c r="H10" i="9" s="1"/>
  <c r="E10" i="9"/>
  <c r="D10" i="9"/>
  <c r="J9" i="9"/>
  <c r="K9" i="9" s="1"/>
  <c r="H9" i="9"/>
  <c r="G9" i="9"/>
  <c r="E9" i="9"/>
  <c r="D9" i="9"/>
  <c r="K8" i="9"/>
  <c r="J8" i="9"/>
  <c r="G8" i="9"/>
  <c r="H8" i="9" s="1"/>
  <c r="E8" i="9"/>
  <c r="D8" i="9"/>
  <c r="O7" i="9"/>
  <c r="O8" i="9" s="1"/>
  <c r="O9" i="9" s="1"/>
  <c r="K7" i="9"/>
  <c r="J7" i="9"/>
  <c r="G7" i="9"/>
  <c r="H7" i="9" s="1"/>
  <c r="E7" i="9"/>
  <c r="D7" i="9"/>
  <c r="O6" i="9"/>
  <c r="K6" i="9"/>
  <c r="J6" i="9"/>
  <c r="H6" i="9"/>
  <c r="G6" i="9"/>
  <c r="E6" i="9"/>
  <c r="D6" i="9"/>
  <c r="P5" i="9"/>
  <c r="P6" i="9" s="1"/>
  <c r="P8" i="9" s="1"/>
  <c r="P9" i="9" s="1"/>
  <c r="O5" i="9"/>
  <c r="J5" i="9"/>
  <c r="K5" i="9" s="1"/>
  <c r="H5" i="9"/>
  <c r="G5" i="9"/>
  <c r="E5" i="9"/>
  <c r="D5" i="9"/>
  <c r="J4" i="9"/>
  <c r="K4" i="9" s="1"/>
  <c r="G4" i="9"/>
  <c r="H4" i="9" s="1"/>
  <c r="E4" i="9"/>
  <c r="D4" i="9"/>
  <c r="XFD133" i="8"/>
  <c r="XFC133" i="8"/>
  <c r="XFB133" i="8"/>
  <c r="XFA133" i="8"/>
  <c r="XEZ133" i="8"/>
  <c r="XEY133" i="8"/>
  <c r="XEX133" i="8"/>
  <c r="XEW133" i="8"/>
  <c r="XEV133" i="8"/>
  <c r="XEU133" i="8"/>
  <c r="XET133" i="8"/>
  <c r="XES133" i="8"/>
  <c r="XER133" i="8"/>
  <c r="XEQ133" i="8"/>
  <c r="XEP133" i="8"/>
  <c r="XEO133" i="8"/>
  <c r="XEN133" i="8"/>
  <c r="XEM133" i="8"/>
  <c r="XEL133" i="8"/>
  <c r="XEK133" i="8"/>
  <c r="XEJ133" i="8"/>
  <c r="XEI133" i="8"/>
  <c r="XEH133" i="8"/>
  <c r="XEG133" i="8"/>
  <c r="XEF133" i="8"/>
  <c r="XEE133" i="8"/>
  <c r="XED133" i="8"/>
  <c r="XEC133" i="8"/>
  <c r="XEB133" i="8"/>
  <c r="XEA133" i="8"/>
  <c r="XDZ133" i="8"/>
  <c r="XDY133" i="8"/>
  <c r="XDX133" i="8"/>
  <c r="XDW133" i="8"/>
  <c r="XDV133" i="8"/>
  <c r="XDU133" i="8"/>
  <c r="XDT133" i="8"/>
  <c r="XDS133" i="8"/>
  <c r="XDR133" i="8"/>
  <c r="XDQ133" i="8"/>
  <c r="XDP133" i="8"/>
  <c r="XDO133" i="8"/>
  <c r="XDN133" i="8"/>
  <c r="XDM133" i="8"/>
  <c r="XDL133" i="8"/>
  <c r="XDK133" i="8"/>
  <c r="XDJ133" i="8"/>
  <c r="XDI133" i="8"/>
  <c r="XDH133" i="8"/>
  <c r="XDG133" i="8"/>
  <c r="XDF133" i="8"/>
  <c r="XDE133" i="8"/>
  <c r="XDD133" i="8"/>
  <c r="XDC133" i="8"/>
  <c r="XDB133" i="8"/>
  <c r="XDA133" i="8"/>
  <c r="XCZ133" i="8"/>
  <c r="XCY133" i="8"/>
  <c r="XCX133" i="8"/>
  <c r="XCW133" i="8"/>
  <c r="XCV133" i="8"/>
  <c r="XCU133" i="8"/>
  <c r="XCT133" i="8"/>
  <c r="XCS133" i="8"/>
  <c r="XCR133" i="8"/>
  <c r="XCQ133" i="8"/>
  <c r="XCP133" i="8"/>
  <c r="XCO133" i="8"/>
  <c r="XCN133" i="8"/>
  <c r="XCM133" i="8"/>
  <c r="XCL133" i="8"/>
  <c r="XCK133" i="8"/>
  <c r="XCJ133" i="8"/>
  <c r="XCI133" i="8"/>
  <c r="XCH133" i="8"/>
  <c r="XCG133" i="8"/>
  <c r="XCF133" i="8"/>
  <c r="XCE133" i="8"/>
  <c r="XCD133" i="8"/>
  <c r="XCC133" i="8"/>
  <c r="XCB133" i="8"/>
  <c r="XCA133" i="8"/>
  <c r="XBZ133" i="8"/>
  <c r="XBY133" i="8"/>
  <c r="XBX133" i="8"/>
  <c r="XBW133" i="8"/>
  <c r="XBV133" i="8"/>
  <c r="XBU133" i="8"/>
  <c r="XBT133" i="8"/>
  <c r="XBS133" i="8"/>
  <c r="XBR133" i="8"/>
  <c r="XBQ133" i="8"/>
  <c r="XBP133" i="8"/>
  <c r="XBO133" i="8"/>
  <c r="XBN133" i="8"/>
  <c r="XBM133" i="8"/>
  <c r="XBL133" i="8"/>
  <c r="XBK133" i="8"/>
  <c r="XBJ133" i="8"/>
  <c r="XBI133" i="8"/>
  <c r="XBH133" i="8"/>
  <c r="XBG133" i="8"/>
  <c r="XBF133" i="8"/>
  <c r="XBE133" i="8"/>
  <c r="XBD133" i="8"/>
  <c r="XBC133" i="8"/>
  <c r="XBB133" i="8"/>
  <c r="XBA133" i="8"/>
  <c r="XAZ133" i="8"/>
  <c r="XAY133" i="8"/>
  <c r="XAX133" i="8"/>
  <c r="XAW133" i="8"/>
  <c r="XAV133" i="8"/>
  <c r="XAU133" i="8"/>
  <c r="XAT133" i="8"/>
  <c r="XAS133" i="8"/>
  <c r="XAR133" i="8"/>
  <c r="XAQ133" i="8"/>
  <c r="XAP133" i="8"/>
  <c r="XAO133" i="8"/>
  <c r="XAN133" i="8"/>
  <c r="XAM133" i="8"/>
  <c r="XAL133" i="8"/>
  <c r="XAK133" i="8"/>
  <c r="XAJ133" i="8"/>
  <c r="XAI133" i="8"/>
  <c r="XAH133" i="8"/>
  <c r="XAG133" i="8"/>
  <c r="XAF133" i="8"/>
  <c r="XAE133" i="8"/>
  <c r="XAD133" i="8"/>
  <c r="XAC133" i="8"/>
  <c r="XAB133" i="8"/>
  <c r="XAA133" i="8"/>
  <c r="WZZ133" i="8"/>
  <c r="WZY133" i="8"/>
  <c r="WZX133" i="8"/>
  <c r="WZW133" i="8"/>
  <c r="WZV133" i="8"/>
  <c r="WZU133" i="8"/>
  <c r="WZT133" i="8"/>
  <c r="WZS133" i="8"/>
  <c r="WZR133" i="8"/>
  <c r="WZQ133" i="8"/>
  <c r="WZP133" i="8"/>
  <c r="WZO133" i="8"/>
  <c r="WZN133" i="8"/>
  <c r="WZM133" i="8"/>
  <c r="WZL133" i="8"/>
  <c r="WZK133" i="8"/>
  <c r="WZJ133" i="8"/>
  <c r="WZI133" i="8"/>
  <c r="WZH133" i="8"/>
  <c r="WZG133" i="8"/>
  <c r="WZF133" i="8"/>
  <c r="WZE133" i="8"/>
  <c r="WZD133" i="8"/>
  <c r="WZC133" i="8"/>
  <c r="WZB133" i="8"/>
  <c r="WZA133" i="8"/>
  <c r="WYZ133" i="8"/>
  <c r="WYY133" i="8"/>
  <c r="WYX133" i="8"/>
  <c r="WYW133" i="8"/>
  <c r="WYV133" i="8"/>
  <c r="WYU133" i="8"/>
  <c r="WYT133" i="8"/>
  <c r="WYS133" i="8"/>
  <c r="WYR133" i="8"/>
  <c r="WYQ133" i="8"/>
  <c r="WYP133" i="8"/>
  <c r="WYO133" i="8"/>
  <c r="WYN133" i="8"/>
  <c r="WYM133" i="8"/>
  <c r="WYL133" i="8"/>
  <c r="WYK133" i="8"/>
  <c r="WYJ133" i="8"/>
  <c r="WYI133" i="8"/>
  <c r="WYH133" i="8"/>
  <c r="WYG133" i="8"/>
  <c r="WYF133" i="8"/>
  <c r="WYE133" i="8"/>
  <c r="WYD133" i="8"/>
  <c r="WYC133" i="8"/>
  <c r="WYB133" i="8"/>
  <c r="WYA133" i="8"/>
  <c r="WXZ133" i="8"/>
  <c r="WXY133" i="8"/>
  <c r="WXX133" i="8"/>
  <c r="WXW133" i="8"/>
  <c r="WXV133" i="8"/>
  <c r="WXU133" i="8"/>
  <c r="WXT133" i="8"/>
  <c r="WXS133" i="8"/>
  <c r="WXR133" i="8"/>
  <c r="WXQ133" i="8"/>
  <c r="WXP133" i="8"/>
  <c r="WXO133" i="8"/>
  <c r="WXN133" i="8"/>
  <c r="WXM133" i="8"/>
  <c r="WXL133" i="8"/>
  <c r="WXK133" i="8"/>
  <c r="WXJ133" i="8"/>
  <c r="WXI133" i="8"/>
  <c r="WXH133" i="8"/>
  <c r="WXG133" i="8"/>
  <c r="WXF133" i="8"/>
  <c r="WXE133" i="8"/>
  <c r="WXD133" i="8"/>
  <c r="WXC133" i="8"/>
  <c r="WXB133" i="8"/>
  <c r="WXA133" i="8"/>
  <c r="WWZ133" i="8"/>
  <c r="WWY133" i="8"/>
  <c r="WWX133" i="8"/>
  <c r="WWW133" i="8"/>
  <c r="WWV133" i="8"/>
  <c r="WWU133" i="8"/>
  <c r="WWT133" i="8"/>
  <c r="WWS133" i="8"/>
  <c r="WWR133" i="8"/>
  <c r="WWQ133" i="8"/>
  <c r="WWP133" i="8"/>
  <c r="WWO133" i="8"/>
  <c r="WWN133" i="8"/>
  <c r="WWM133" i="8"/>
  <c r="WWL133" i="8"/>
  <c r="WWK133" i="8"/>
  <c r="WWJ133" i="8"/>
  <c r="WWI133" i="8"/>
  <c r="WWH133" i="8"/>
  <c r="WWG133" i="8"/>
  <c r="WWF133" i="8"/>
  <c r="WWE133" i="8"/>
  <c r="WWD133" i="8"/>
  <c r="WWC133" i="8"/>
  <c r="WWB133" i="8"/>
  <c r="WWA133" i="8"/>
  <c r="WVZ133" i="8"/>
  <c r="WVY133" i="8"/>
  <c r="WVX133" i="8"/>
  <c r="WVW133" i="8"/>
  <c r="WVV133" i="8"/>
  <c r="WVU133" i="8"/>
  <c r="WVT133" i="8"/>
  <c r="WVS133" i="8"/>
  <c r="WVR133" i="8"/>
  <c r="WVQ133" i="8"/>
  <c r="WVP133" i="8"/>
  <c r="WVO133" i="8"/>
  <c r="WVN133" i="8"/>
  <c r="WVM133" i="8"/>
  <c r="WVL133" i="8"/>
  <c r="WVK133" i="8"/>
  <c r="WVJ133" i="8"/>
  <c r="WVI133" i="8"/>
  <c r="WVH133" i="8"/>
  <c r="WVG133" i="8"/>
  <c r="WVF133" i="8"/>
  <c r="WVE133" i="8"/>
  <c r="WVD133" i="8"/>
  <c r="WVC133" i="8"/>
  <c r="WVB133" i="8"/>
  <c r="WVA133" i="8"/>
  <c r="WUZ133" i="8"/>
  <c r="WUY133" i="8"/>
  <c r="WUX133" i="8"/>
  <c r="WUW133" i="8"/>
  <c r="WUV133" i="8"/>
  <c r="WUU133" i="8"/>
  <c r="WUT133" i="8"/>
  <c r="WUS133" i="8"/>
  <c r="WUR133" i="8"/>
  <c r="WUQ133" i="8"/>
  <c r="WUP133" i="8"/>
  <c r="WUO133" i="8"/>
  <c r="WUN133" i="8"/>
  <c r="WUM133" i="8"/>
  <c r="WUL133" i="8"/>
  <c r="WUK133" i="8"/>
  <c r="WUJ133" i="8"/>
  <c r="WUI133" i="8"/>
  <c r="WUH133" i="8"/>
  <c r="WUG133" i="8"/>
  <c r="WUF133" i="8"/>
  <c r="WUE133" i="8"/>
  <c r="WUD133" i="8"/>
  <c r="WUC133" i="8"/>
  <c r="WUB133" i="8"/>
  <c r="WUA133" i="8"/>
  <c r="WTZ133" i="8"/>
  <c r="WTY133" i="8"/>
  <c r="WTX133" i="8"/>
  <c r="WTW133" i="8"/>
  <c r="WTV133" i="8"/>
  <c r="WTU133" i="8"/>
  <c r="WTT133" i="8"/>
  <c r="WTS133" i="8"/>
  <c r="WTR133" i="8"/>
  <c r="WTQ133" i="8"/>
  <c r="WTP133" i="8"/>
  <c r="WTO133" i="8"/>
  <c r="WTN133" i="8"/>
  <c r="WTM133" i="8"/>
  <c r="WTL133" i="8"/>
  <c r="WTK133" i="8"/>
  <c r="WTJ133" i="8"/>
  <c r="WTI133" i="8"/>
  <c r="WTH133" i="8"/>
  <c r="WTG133" i="8"/>
  <c r="WTF133" i="8"/>
  <c r="WTE133" i="8"/>
  <c r="WTD133" i="8"/>
  <c r="WTC133" i="8"/>
  <c r="WTB133" i="8"/>
  <c r="WTA133" i="8"/>
  <c r="WSZ133" i="8"/>
  <c r="WSY133" i="8"/>
  <c r="WSX133" i="8"/>
  <c r="WSW133" i="8"/>
  <c r="WSV133" i="8"/>
  <c r="WSU133" i="8"/>
  <c r="WST133" i="8"/>
  <c r="WSS133" i="8"/>
  <c r="WSR133" i="8"/>
  <c r="WSQ133" i="8"/>
  <c r="WSP133" i="8"/>
  <c r="WSO133" i="8"/>
  <c r="WSN133" i="8"/>
  <c r="WSM133" i="8"/>
  <c r="WSL133" i="8"/>
  <c r="WSK133" i="8"/>
  <c r="WSJ133" i="8"/>
  <c r="WSI133" i="8"/>
  <c r="WSH133" i="8"/>
  <c r="WSG133" i="8"/>
  <c r="WSF133" i="8"/>
  <c r="WSE133" i="8"/>
  <c r="WSD133" i="8"/>
  <c r="WSC133" i="8"/>
  <c r="WSB133" i="8"/>
  <c r="WSA133" i="8"/>
  <c r="WRZ133" i="8"/>
  <c r="WRY133" i="8"/>
  <c r="WRX133" i="8"/>
  <c r="WRW133" i="8"/>
  <c r="WRV133" i="8"/>
  <c r="WRU133" i="8"/>
  <c r="WRT133" i="8"/>
  <c r="WRS133" i="8"/>
  <c r="WRR133" i="8"/>
  <c r="WRQ133" i="8"/>
  <c r="WRP133" i="8"/>
  <c r="WRO133" i="8"/>
  <c r="WRN133" i="8"/>
  <c r="WRM133" i="8"/>
  <c r="WRL133" i="8"/>
  <c r="WRK133" i="8"/>
  <c r="WRJ133" i="8"/>
  <c r="WRI133" i="8"/>
  <c r="WRH133" i="8"/>
  <c r="WRG133" i="8"/>
  <c r="WRF133" i="8"/>
  <c r="WRE133" i="8"/>
  <c r="WRD133" i="8"/>
  <c r="WRC133" i="8"/>
  <c r="WRB133" i="8"/>
  <c r="WRA133" i="8"/>
  <c r="WQZ133" i="8"/>
  <c r="WQY133" i="8"/>
  <c r="WQX133" i="8"/>
  <c r="WQW133" i="8"/>
  <c r="WQV133" i="8"/>
  <c r="WQU133" i="8"/>
  <c r="WQT133" i="8"/>
  <c r="WQS133" i="8"/>
  <c r="WQR133" i="8"/>
  <c r="WQQ133" i="8"/>
  <c r="WQP133" i="8"/>
  <c r="WQO133" i="8"/>
  <c r="WQN133" i="8"/>
  <c r="WQM133" i="8"/>
  <c r="WQL133" i="8"/>
  <c r="WQK133" i="8"/>
  <c r="WQJ133" i="8"/>
  <c r="WQI133" i="8"/>
  <c r="WQH133" i="8"/>
  <c r="WQG133" i="8"/>
  <c r="WQF133" i="8"/>
  <c r="WQE133" i="8"/>
  <c r="WQD133" i="8"/>
  <c r="WQC133" i="8"/>
  <c r="WQB133" i="8"/>
  <c r="WQA133" i="8"/>
  <c r="WPZ133" i="8"/>
  <c r="WPY133" i="8"/>
  <c r="WPX133" i="8"/>
  <c r="WPW133" i="8"/>
  <c r="WPV133" i="8"/>
  <c r="WPU133" i="8"/>
  <c r="WPT133" i="8"/>
  <c r="WPS133" i="8"/>
  <c r="WPR133" i="8"/>
  <c r="WPQ133" i="8"/>
  <c r="WPP133" i="8"/>
  <c r="WPO133" i="8"/>
  <c r="WPN133" i="8"/>
  <c r="WPM133" i="8"/>
  <c r="WPL133" i="8"/>
  <c r="WPK133" i="8"/>
  <c r="WPJ133" i="8"/>
  <c r="WPI133" i="8"/>
  <c r="WPH133" i="8"/>
  <c r="WPG133" i="8"/>
  <c r="WPF133" i="8"/>
  <c r="WPE133" i="8"/>
  <c r="WPD133" i="8"/>
  <c r="WPC133" i="8"/>
  <c r="WPB133" i="8"/>
  <c r="WPA133" i="8"/>
  <c r="WOZ133" i="8"/>
  <c r="WOY133" i="8"/>
  <c r="WOX133" i="8"/>
  <c r="WOW133" i="8"/>
  <c r="WOV133" i="8"/>
  <c r="WOU133" i="8"/>
  <c r="WOT133" i="8"/>
  <c r="WOS133" i="8"/>
  <c r="WOR133" i="8"/>
  <c r="WOQ133" i="8"/>
  <c r="WOP133" i="8"/>
  <c r="WOO133" i="8"/>
  <c r="WON133" i="8"/>
  <c r="WOM133" i="8"/>
  <c r="WOL133" i="8"/>
  <c r="WOK133" i="8"/>
  <c r="WOJ133" i="8"/>
  <c r="WOI133" i="8"/>
  <c r="WOH133" i="8"/>
  <c r="WOG133" i="8"/>
  <c r="WOF133" i="8"/>
  <c r="WOE133" i="8"/>
  <c r="WOD133" i="8"/>
  <c r="WOC133" i="8"/>
  <c r="WOB133" i="8"/>
  <c r="WOA133" i="8"/>
  <c r="WNZ133" i="8"/>
  <c r="WNY133" i="8"/>
  <c r="WNX133" i="8"/>
  <c r="WNW133" i="8"/>
  <c r="WNV133" i="8"/>
  <c r="WNU133" i="8"/>
  <c r="WNT133" i="8"/>
  <c r="WNS133" i="8"/>
  <c r="WNR133" i="8"/>
  <c r="WNQ133" i="8"/>
  <c r="WNP133" i="8"/>
  <c r="WNO133" i="8"/>
  <c r="WNN133" i="8"/>
  <c r="WNM133" i="8"/>
  <c r="WNL133" i="8"/>
  <c r="WNK133" i="8"/>
  <c r="WNJ133" i="8"/>
  <c r="WNI133" i="8"/>
  <c r="WNH133" i="8"/>
  <c r="WNG133" i="8"/>
  <c r="WNF133" i="8"/>
  <c r="WNE133" i="8"/>
  <c r="WND133" i="8"/>
  <c r="WNC133" i="8"/>
  <c r="WNB133" i="8"/>
  <c r="WNA133" i="8"/>
  <c r="WMZ133" i="8"/>
  <c r="WMY133" i="8"/>
  <c r="WMX133" i="8"/>
  <c r="WMW133" i="8"/>
  <c r="WMV133" i="8"/>
  <c r="WMU133" i="8"/>
  <c r="WMT133" i="8"/>
  <c r="WMS133" i="8"/>
  <c r="WMR133" i="8"/>
  <c r="WMQ133" i="8"/>
  <c r="WMP133" i="8"/>
  <c r="WMO133" i="8"/>
  <c r="WMN133" i="8"/>
  <c r="WMM133" i="8"/>
  <c r="WML133" i="8"/>
  <c r="WMK133" i="8"/>
  <c r="WMJ133" i="8"/>
  <c r="WMI133" i="8"/>
  <c r="WMH133" i="8"/>
  <c r="WMG133" i="8"/>
  <c r="WMF133" i="8"/>
  <c r="WME133" i="8"/>
  <c r="WMD133" i="8"/>
  <c r="WMC133" i="8"/>
  <c r="WMB133" i="8"/>
  <c r="WMA133" i="8"/>
  <c r="WLZ133" i="8"/>
  <c r="WLY133" i="8"/>
  <c r="WLX133" i="8"/>
  <c r="WLW133" i="8"/>
  <c r="WLV133" i="8"/>
  <c r="WLU133" i="8"/>
  <c r="WLT133" i="8"/>
  <c r="WLS133" i="8"/>
  <c r="WLR133" i="8"/>
  <c r="WLQ133" i="8"/>
  <c r="WLP133" i="8"/>
  <c r="WLO133" i="8"/>
  <c r="WLN133" i="8"/>
  <c r="WLM133" i="8"/>
  <c r="WLL133" i="8"/>
  <c r="WLK133" i="8"/>
  <c r="WLJ133" i="8"/>
  <c r="WLI133" i="8"/>
  <c r="WLH133" i="8"/>
  <c r="WLG133" i="8"/>
  <c r="WLF133" i="8"/>
  <c r="WLE133" i="8"/>
  <c r="WLD133" i="8"/>
  <c r="WLC133" i="8"/>
  <c r="WLB133" i="8"/>
  <c r="WLA133" i="8"/>
  <c r="WKZ133" i="8"/>
  <c r="WKY133" i="8"/>
  <c r="WKX133" i="8"/>
  <c r="WKW133" i="8"/>
  <c r="WKV133" i="8"/>
  <c r="WKU133" i="8"/>
  <c r="WKT133" i="8"/>
  <c r="WKS133" i="8"/>
  <c r="WKR133" i="8"/>
  <c r="WKQ133" i="8"/>
  <c r="WKP133" i="8"/>
  <c r="WKO133" i="8"/>
  <c r="WKN133" i="8"/>
  <c r="WKM133" i="8"/>
  <c r="WKL133" i="8"/>
  <c r="WKK133" i="8"/>
  <c r="WKJ133" i="8"/>
  <c r="WKI133" i="8"/>
  <c r="WKH133" i="8"/>
  <c r="WKG133" i="8"/>
  <c r="WKF133" i="8"/>
  <c r="WKE133" i="8"/>
  <c r="WKD133" i="8"/>
  <c r="WKC133" i="8"/>
  <c r="WKB133" i="8"/>
  <c r="WKA133" i="8"/>
  <c r="WJZ133" i="8"/>
  <c r="WJY133" i="8"/>
  <c r="WJX133" i="8"/>
  <c r="WJW133" i="8"/>
  <c r="WJV133" i="8"/>
  <c r="WJU133" i="8"/>
  <c r="WJT133" i="8"/>
  <c r="WJS133" i="8"/>
  <c r="WJR133" i="8"/>
  <c r="WJQ133" i="8"/>
  <c r="WJP133" i="8"/>
  <c r="WJO133" i="8"/>
  <c r="WJN133" i="8"/>
  <c r="WJM133" i="8"/>
  <c r="WJL133" i="8"/>
  <c r="WJK133" i="8"/>
  <c r="WJJ133" i="8"/>
  <c r="WJI133" i="8"/>
  <c r="WJH133" i="8"/>
  <c r="WJG133" i="8"/>
  <c r="WJF133" i="8"/>
  <c r="WJE133" i="8"/>
  <c r="WJD133" i="8"/>
  <c r="WJC133" i="8"/>
  <c r="WJB133" i="8"/>
  <c r="WJA133" i="8"/>
  <c r="WIZ133" i="8"/>
  <c r="WIY133" i="8"/>
  <c r="WIX133" i="8"/>
  <c r="WIW133" i="8"/>
  <c r="WIV133" i="8"/>
  <c r="WIU133" i="8"/>
  <c r="WIT133" i="8"/>
  <c r="WIS133" i="8"/>
  <c r="WIR133" i="8"/>
  <c r="WIQ133" i="8"/>
  <c r="WIP133" i="8"/>
  <c r="WIO133" i="8"/>
  <c r="WIN133" i="8"/>
  <c r="WIM133" i="8"/>
  <c r="WIL133" i="8"/>
  <c r="WIK133" i="8"/>
  <c r="WIJ133" i="8"/>
  <c r="WII133" i="8"/>
  <c r="WIH133" i="8"/>
  <c r="WIG133" i="8"/>
  <c r="WIF133" i="8"/>
  <c r="WIE133" i="8"/>
  <c r="WID133" i="8"/>
  <c r="WIC133" i="8"/>
  <c r="WIB133" i="8"/>
  <c r="WIA133" i="8"/>
  <c r="WHZ133" i="8"/>
  <c r="WHY133" i="8"/>
  <c r="WHX133" i="8"/>
  <c r="WHW133" i="8"/>
  <c r="WHV133" i="8"/>
  <c r="WHU133" i="8"/>
  <c r="WHT133" i="8"/>
  <c r="WHS133" i="8"/>
  <c r="WHR133" i="8"/>
  <c r="WHQ133" i="8"/>
  <c r="WHP133" i="8"/>
  <c r="WHO133" i="8"/>
  <c r="WHN133" i="8"/>
  <c r="WHM133" i="8"/>
  <c r="WHL133" i="8"/>
  <c r="WHK133" i="8"/>
  <c r="WHJ133" i="8"/>
  <c r="WHI133" i="8"/>
  <c r="WHH133" i="8"/>
  <c r="WHG133" i="8"/>
  <c r="WHF133" i="8"/>
  <c r="WHE133" i="8"/>
  <c r="WHD133" i="8"/>
  <c r="WHC133" i="8"/>
  <c r="WHB133" i="8"/>
  <c r="WHA133" i="8"/>
  <c r="WGZ133" i="8"/>
  <c r="WGY133" i="8"/>
  <c r="WGX133" i="8"/>
  <c r="WGW133" i="8"/>
  <c r="WGV133" i="8"/>
  <c r="WGU133" i="8"/>
  <c r="WGT133" i="8"/>
  <c r="WGS133" i="8"/>
  <c r="WGR133" i="8"/>
  <c r="WGQ133" i="8"/>
  <c r="WGP133" i="8"/>
  <c r="WGO133" i="8"/>
  <c r="WGN133" i="8"/>
  <c r="WGM133" i="8"/>
  <c r="WGL133" i="8"/>
  <c r="WGK133" i="8"/>
  <c r="WGJ133" i="8"/>
  <c r="WGI133" i="8"/>
  <c r="WGH133" i="8"/>
  <c r="WGG133" i="8"/>
  <c r="WGF133" i="8"/>
  <c r="WGE133" i="8"/>
  <c r="WGD133" i="8"/>
  <c r="WGC133" i="8"/>
  <c r="WGB133" i="8"/>
  <c r="WGA133" i="8"/>
  <c r="WFZ133" i="8"/>
  <c r="WFY133" i="8"/>
  <c r="WFX133" i="8"/>
  <c r="WFW133" i="8"/>
  <c r="WFV133" i="8"/>
  <c r="WFU133" i="8"/>
  <c r="WFT133" i="8"/>
  <c r="WFS133" i="8"/>
  <c r="WFR133" i="8"/>
  <c r="WFQ133" i="8"/>
  <c r="WFP133" i="8"/>
  <c r="WFO133" i="8"/>
  <c r="WFN133" i="8"/>
  <c r="WFM133" i="8"/>
  <c r="WFL133" i="8"/>
  <c r="WFK133" i="8"/>
  <c r="WFJ133" i="8"/>
  <c r="WFI133" i="8"/>
  <c r="WFH133" i="8"/>
  <c r="WFG133" i="8"/>
  <c r="WFF133" i="8"/>
  <c r="WFE133" i="8"/>
  <c r="WFD133" i="8"/>
  <c r="WFC133" i="8"/>
  <c r="WFB133" i="8"/>
  <c r="WFA133" i="8"/>
  <c r="WEZ133" i="8"/>
  <c r="WEY133" i="8"/>
  <c r="WEX133" i="8"/>
  <c r="WEW133" i="8"/>
  <c r="WEV133" i="8"/>
  <c r="WEU133" i="8"/>
  <c r="WET133" i="8"/>
  <c r="WES133" i="8"/>
  <c r="WER133" i="8"/>
  <c r="WEQ133" i="8"/>
  <c r="WEP133" i="8"/>
  <c r="WEO133" i="8"/>
  <c r="WEN133" i="8"/>
  <c r="WEM133" i="8"/>
  <c r="WEL133" i="8"/>
  <c r="WEK133" i="8"/>
  <c r="WEJ133" i="8"/>
  <c r="WEI133" i="8"/>
  <c r="WEH133" i="8"/>
  <c r="WEG133" i="8"/>
  <c r="WEF133" i="8"/>
  <c r="WEE133" i="8"/>
  <c r="WED133" i="8"/>
  <c r="WEC133" i="8"/>
  <c r="WEB133" i="8"/>
  <c r="WEA133" i="8"/>
  <c r="WDZ133" i="8"/>
  <c r="WDY133" i="8"/>
  <c r="WDX133" i="8"/>
  <c r="WDW133" i="8"/>
  <c r="WDV133" i="8"/>
  <c r="WDU133" i="8"/>
  <c r="WDT133" i="8"/>
  <c r="WDS133" i="8"/>
  <c r="WDR133" i="8"/>
  <c r="WDQ133" i="8"/>
  <c r="WDP133" i="8"/>
  <c r="WDO133" i="8"/>
  <c r="WDN133" i="8"/>
  <c r="WDM133" i="8"/>
  <c r="WDL133" i="8"/>
  <c r="WDK133" i="8"/>
  <c r="WDJ133" i="8"/>
  <c r="WDI133" i="8"/>
  <c r="WDH133" i="8"/>
  <c r="WDG133" i="8"/>
  <c r="WDF133" i="8"/>
  <c r="WDE133" i="8"/>
  <c r="WDD133" i="8"/>
  <c r="WDC133" i="8"/>
  <c r="WDB133" i="8"/>
  <c r="WDA133" i="8"/>
  <c r="WCZ133" i="8"/>
  <c r="WCY133" i="8"/>
  <c r="WCX133" i="8"/>
  <c r="WCW133" i="8"/>
  <c r="WCV133" i="8"/>
  <c r="WCU133" i="8"/>
  <c r="WCT133" i="8"/>
  <c r="WCS133" i="8"/>
  <c r="WCR133" i="8"/>
  <c r="WCQ133" i="8"/>
  <c r="WCP133" i="8"/>
  <c r="WCO133" i="8"/>
  <c r="WCN133" i="8"/>
  <c r="WCM133" i="8"/>
  <c r="WCL133" i="8"/>
  <c r="WCK133" i="8"/>
  <c r="WCJ133" i="8"/>
  <c r="WCI133" i="8"/>
  <c r="WCH133" i="8"/>
  <c r="WCG133" i="8"/>
  <c r="WCF133" i="8"/>
  <c r="WCE133" i="8"/>
  <c r="WCD133" i="8"/>
  <c r="WCC133" i="8"/>
  <c r="WCB133" i="8"/>
  <c r="WCA133" i="8"/>
  <c r="WBZ133" i="8"/>
  <c r="WBY133" i="8"/>
  <c r="WBX133" i="8"/>
  <c r="WBW133" i="8"/>
  <c r="WBV133" i="8"/>
  <c r="WBU133" i="8"/>
  <c r="WBT133" i="8"/>
  <c r="WBS133" i="8"/>
  <c r="WBR133" i="8"/>
  <c r="WBQ133" i="8"/>
  <c r="WBP133" i="8"/>
  <c r="WBO133" i="8"/>
  <c r="WBN133" i="8"/>
  <c r="WBM133" i="8"/>
  <c r="WBL133" i="8"/>
  <c r="WBK133" i="8"/>
  <c r="WBJ133" i="8"/>
  <c r="WBI133" i="8"/>
  <c r="WBH133" i="8"/>
  <c r="WBG133" i="8"/>
  <c r="WBF133" i="8"/>
  <c r="WBE133" i="8"/>
  <c r="WBD133" i="8"/>
  <c r="WBC133" i="8"/>
  <c r="WBB133" i="8"/>
  <c r="WBA133" i="8"/>
  <c r="WAZ133" i="8"/>
  <c r="WAY133" i="8"/>
  <c r="WAX133" i="8"/>
  <c r="WAW133" i="8"/>
  <c r="WAV133" i="8"/>
  <c r="WAU133" i="8"/>
  <c r="WAT133" i="8"/>
  <c r="WAS133" i="8"/>
  <c r="WAR133" i="8"/>
  <c r="WAQ133" i="8"/>
  <c r="WAP133" i="8"/>
  <c r="WAO133" i="8"/>
  <c r="WAN133" i="8"/>
  <c r="WAM133" i="8"/>
  <c r="WAL133" i="8"/>
  <c r="WAK133" i="8"/>
  <c r="WAJ133" i="8"/>
  <c r="WAI133" i="8"/>
  <c r="WAH133" i="8"/>
  <c r="WAG133" i="8"/>
  <c r="WAF133" i="8"/>
  <c r="WAE133" i="8"/>
  <c r="WAD133" i="8"/>
  <c r="WAC133" i="8"/>
  <c r="WAB133" i="8"/>
  <c r="WAA133" i="8"/>
  <c r="VZZ133" i="8"/>
  <c r="VZY133" i="8"/>
  <c r="VZX133" i="8"/>
  <c r="VZW133" i="8"/>
  <c r="VZV133" i="8"/>
  <c r="VZU133" i="8"/>
  <c r="VZT133" i="8"/>
  <c r="VZS133" i="8"/>
  <c r="VZR133" i="8"/>
  <c r="VZQ133" i="8"/>
  <c r="VZP133" i="8"/>
  <c r="VZO133" i="8"/>
  <c r="VZN133" i="8"/>
  <c r="VZM133" i="8"/>
  <c r="VZL133" i="8"/>
  <c r="VZK133" i="8"/>
  <c r="VZJ133" i="8"/>
  <c r="VZI133" i="8"/>
  <c r="VZH133" i="8"/>
  <c r="VZG133" i="8"/>
  <c r="VZF133" i="8"/>
  <c r="VZE133" i="8"/>
  <c r="VZD133" i="8"/>
  <c r="VZC133" i="8"/>
  <c r="VZB133" i="8"/>
  <c r="VZA133" i="8"/>
  <c r="VYZ133" i="8"/>
  <c r="VYY133" i="8"/>
  <c r="VYX133" i="8"/>
  <c r="VYW133" i="8"/>
  <c r="VYV133" i="8"/>
  <c r="VYU133" i="8"/>
  <c r="VYT133" i="8"/>
  <c r="VYS133" i="8"/>
  <c r="VYR133" i="8"/>
  <c r="VYQ133" i="8"/>
  <c r="VYP133" i="8"/>
  <c r="VYO133" i="8"/>
  <c r="VYN133" i="8"/>
  <c r="VYM133" i="8"/>
  <c r="VYL133" i="8"/>
  <c r="VYK133" i="8"/>
  <c r="VYJ133" i="8"/>
  <c r="VYI133" i="8"/>
  <c r="VYH133" i="8"/>
  <c r="VYG133" i="8"/>
  <c r="VYF133" i="8"/>
  <c r="VYE133" i="8"/>
  <c r="VYD133" i="8"/>
  <c r="VYC133" i="8"/>
  <c r="VYB133" i="8"/>
  <c r="VYA133" i="8"/>
  <c r="VXZ133" i="8"/>
  <c r="VXY133" i="8"/>
  <c r="VXX133" i="8"/>
  <c r="VXW133" i="8"/>
  <c r="VXV133" i="8"/>
  <c r="VXU133" i="8"/>
  <c r="VXT133" i="8"/>
  <c r="VXS133" i="8"/>
  <c r="VXR133" i="8"/>
  <c r="VXQ133" i="8"/>
  <c r="VXP133" i="8"/>
  <c r="VXO133" i="8"/>
  <c r="VXN133" i="8"/>
  <c r="VXM133" i="8"/>
  <c r="VXL133" i="8"/>
  <c r="VXK133" i="8"/>
  <c r="VXJ133" i="8"/>
  <c r="VXI133" i="8"/>
  <c r="VXH133" i="8"/>
  <c r="VXG133" i="8"/>
  <c r="VXF133" i="8"/>
  <c r="VXE133" i="8"/>
  <c r="VXD133" i="8"/>
  <c r="VXC133" i="8"/>
  <c r="VXB133" i="8"/>
  <c r="VXA133" i="8"/>
  <c r="VWZ133" i="8"/>
  <c r="VWY133" i="8"/>
  <c r="VWX133" i="8"/>
  <c r="VWW133" i="8"/>
  <c r="VWV133" i="8"/>
  <c r="VWU133" i="8"/>
  <c r="VWT133" i="8"/>
  <c r="VWS133" i="8"/>
  <c r="VWR133" i="8"/>
  <c r="VWQ133" i="8"/>
  <c r="VWP133" i="8"/>
  <c r="VWO133" i="8"/>
  <c r="VWN133" i="8"/>
  <c r="VWM133" i="8"/>
  <c r="VWL133" i="8"/>
  <c r="VWK133" i="8"/>
  <c r="VWJ133" i="8"/>
  <c r="VWI133" i="8"/>
  <c r="VWH133" i="8"/>
  <c r="VWG133" i="8"/>
  <c r="VWF133" i="8"/>
  <c r="VWE133" i="8"/>
  <c r="VWD133" i="8"/>
  <c r="VWC133" i="8"/>
  <c r="VWB133" i="8"/>
  <c r="VWA133" i="8"/>
  <c r="VVZ133" i="8"/>
  <c r="VVY133" i="8"/>
  <c r="VVX133" i="8"/>
  <c r="VVW133" i="8"/>
  <c r="VVV133" i="8"/>
  <c r="VVU133" i="8"/>
  <c r="VVT133" i="8"/>
  <c r="VVS133" i="8"/>
  <c r="VVR133" i="8"/>
  <c r="VVQ133" i="8"/>
  <c r="VVP133" i="8"/>
  <c r="VVO133" i="8"/>
  <c r="VVN133" i="8"/>
  <c r="VVM133" i="8"/>
  <c r="VVL133" i="8"/>
  <c r="VVK133" i="8"/>
  <c r="VVJ133" i="8"/>
  <c r="VVI133" i="8"/>
  <c r="VVH133" i="8"/>
  <c r="VVG133" i="8"/>
  <c r="VVF133" i="8"/>
  <c r="VVE133" i="8"/>
  <c r="VVD133" i="8"/>
  <c r="VVC133" i="8"/>
  <c r="VVB133" i="8"/>
  <c r="VVA133" i="8"/>
  <c r="VUZ133" i="8"/>
  <c r="VUY133" i="8"/>
  <c r="VUX133" i="8"/>
  <c r="VUW133" i="8"/>
  <c r="VUV133" i="8"/>
  <c r="VUU133" i="8"/>
  <c r="VUT133" i="8"/>
  <c r="VUS133" i="8"/>
  <c r="VUR133" i="8"/>
  <c r="VUQ133" i="8"/>
  <c r="VUP133" i="8"/>
  <c r="VUO133" i="8"/>
  <c r="VUN133" i="8"/>
  <c r="VUM133" i="8"/>
  <c r="VUL133" i="8"/>
  <c r="VUK133" i="8"/>
  <c r="VUJ133" i="8"/>
  <c r="VUI133" i="8"/>
  <c r="VUH133" i="8"/>
  <c r="VUG133" i="8"/>
  <c r="VUF133" i="8"/>
  <c r="VUE133" i="8"/>
  <c r="VUD133" i="8"/>
  <c r="VUC133" i="8"/>
  <c r="VUB133" i="8"/>
  <c r="VUA133" i="8"/>
  <c r="VTZ133" i="8"/>
  <c r="VTY133" i="8"/>
  <c r="VTX133" i="8"/>
  <c r="VTW133" i="8"/>
  <c r="VTV133" i="8"/>
  <c r="VTU133" i="8"/>
  <c r="VTT133" i="8"/>
  <c r="VTS133" i="8"/>
  <c r="VTR133" i="8"/>
  <c r="VTQ133" i="8"/>
  <c r="VTP133" i="8"/>
  <c r="VTO133" i="8"/>
  <c r="VTN133" i="8"/>
  <c r="VTM133" i="8"/>
  <c r="VTL133" i="8"/>
  <c r="VTK133" i="8"/>
  <c r="VTJ133" i="8"/>
  <c r="VTI133" i="8"/>
  <c r="VTH133" i="8"/>
  <c r="VTG133" i="8"/>
  <c r="VTF133" i="8"/>
  <c r="VTE133" i="8"/>
  <c r="VTD133" i="8"/>
  <c r="VTC133" i="8"/>
  <c r="VTB133" i="8"/>
  <c r="VTA133" i="8"/>
  <c r="VSZ133" i="8"/>
  <c r="VSY133" i="8"/>
  <c r="VSX133" i="8"/>
  <c r="VSW133" i="8"/>
  <c r="VSV133" i="8"/>
  <c r="VSU133" i="8"/>
  <c r="VST133" i="8"/>
  <c r="VSS133" i="8"/>
  <c r="VSR133" i="8"/>
  <c r="VSQ133" i="8"/>
  <c r="VSP133" i="8"/>
  <c r="VSO133" i="8"/>
  <c r="VSN133" i="8"/>
  <c r="VSM133" i="8"/>
  <c r="VSL133" i="8"/>
  <c r="VSK133" i="8"/>
  <c r="VSJ133" i="8"/>
  <c r="VSI133" i="8"/>
  <c r="VSH133" i="8"/>
  <c r="VSG133" i="8"/>
  <c r="VSF133" i="8"/>
  <c r="VSE133" i="8"/>
  <c r="VSD133" i="8"/>
  <c r="VSC133" i="8"/>
  <c r="VSB133" i="8"/>
  <c r="VSA133" i="8"/>
  <c r="VRZ133" i="8"/>
  <c r="VRY133" i="8"/>
  <c r="VRX133" i="8"/>
  <c r="VRW133" i="8"/>
  <c r="VRV133" i="8"/>
  <c r="VRU133" i="8"/>
  <c r="VRT133" i="8"/>
  <c r="VRS133" i="8"/>
  <c r="VRR133" i="8"/>
  <c r="VRQ133" i="8"/>
  <c r="VRP133" i="8"/>
  <c r="VRO133" i="8"/>
  <c r="VRN133" i="8"/>
  <c r="VRM133" i="8"/>
  <c r="VRL133" i="8"/>
  <c r="VRK133" i="8"/>
  <c r="VRJ133" i="8"/>
  <c r="VRI133" i="8"/>
  <c r="VRH133" i="8"/>
  <c r="VRG133" i="8"/>
  <c r="VRF133" i="8"/>
  <c r="VRE133" i="8"/>
  <c r="VRD133" i="8"/>
  <c r="VRC133" i="8"/>
  <c r="VRB133" i="8"/>
  <c r="VRA133" i="8"/>
  <c r="VQZ133" i="8"/>
  <c r="VQY133" i="8"/>
  <c r="VQX133" i="8"/>
  <c r="VQW133" i="8"/>
  <c r="VQV133" i="8"/>
  <c r="VQU133" i="8"/>
  <c r="VQT133" i="8"/>
  <c r="VQS133" i="8"/>
  <c r="VQR133" i="8"/>
  <c r="VQQ133" i="8"/>
  <c r="VQP133" i="8"/>
  <c r="VQO133" i="8"/>
  <c r="VQN133" i="8"/>
  <c r="VQM133" i="8"/>
  <c r="VQL133" i="8"/>
  <c r="VQK133" i="8"/>
  <c r="VQJ133" i="8"/>
  <c r="VQI133" i="8"/>
  <c r="VQH133" i="8"/>
  <c r="VQG133" i="8"/>
  <c r="VQF133" i="8"/>
  <c r="VQE133" i="8"/>
  <c r="VQD133" i="8"/>
  <c r="VQC133" i="8"/>
  <c r="VQB133" i="8"/>
  <c r="VQA133" i="8"/>
  <c r="VPZ133" i="8"/>
  <c r="VPY133" i="8"/>
  <c r="VPX133" i="8"/>
  <c r="VPW133" i="8"/>
  <c r="VPV133" i="8"/>
  <c r="VPU133" i="8"/>
  <c r="VPT133" i="8"/>
  <c r="VPS133" i="8"/>
  <c r="VPR133" i="8"/>
  <c r="VPQ133" i="8"/>
  <c r="VPP133" i="8"/>
  <c r="VPO133" i="8"/>
  <c r="VPN133" i="8"/>
  <c r="VPM133" i="8"/>
  <c r="VPL133" i="8"/>
  <c r="VPK133" i="8"/>
  <c r="VPJ133" i="8"/>
  <c r="VPI133" i="8"/>
  <c r="VPH133" i="8"/>
  <c r="VPG133" i="8"/>
  <c r="VPF133" i="8"/>
  <c r="VPE133" i="8"/>
  <c r="VPD133" i="8"/>
  <c r="VPC133" i="8"/>
  <c r="VPB133" i="8"/>
  <c r="VPA133" i="8"/>
  <c r="VOZ133" i="8"/>
  <c r="VOY133" i="8"/>
  <c r="VOX133" i="8"/>
  <c r="VOW133" i="8"/>
  <c r="VOV133" i="8"/>
  <c r="VOU133" i="8"/>
  <c r="VOT133" i="8"/>
  <c r="VOS133" i="8"/>
  <c r="VOR133" i="8"/>
  <c r="VOQ133" i="8"/>
  <c r="VOP133" i="8"/>
  <c r="VOO133" i="8"/>
  <c r="VON133" i="8"/>
  <c r="VOM133" i="8"/>
  <c r="VOL133" i="8"/>
  <c r="VOK133" i="8"/>
  <c r="VOJ133" i="8"/>
  <c r="VOI133" i="8"/>
  <c r="VOH133" i="8"/>
  <c r="VOG133" i="8"/>
  <c r="VOF133" i="8"/>
  <c r="VOE133" i="8"/>
  <c r="VOD133" i="8"/>
  <c r="VOC133" i="8"/>
  <c r="VOB133" i="8"/>
  <c r="VOA133" i="8"/>
  <c r="VNZ133" i="8"/>
  <c r="VNY133" i="8"/>
  <c r="VNX133" i="8"/>
  <c r="VNW133" i="8"/>
  <c r="VNV133" i="8"/>
  <c r="VNU133" i="8"/>
  <c r="VNT133" i="8"/>
  <c r="VNS133" i="8"/>
  <c r="VNR133" i="8"/>
  <c r="VNQ133" i="8"/>
  <c r="VNP133" i="8"/>
  <c r="VNO133" i="8"/>
  <c r="VNN133" i="8"/>
  <c r="VNM133" i="8"/>
  <c r="VNL133" i="8"/>
  <c r="VNK133" i="8"/>
  <c r="VNJ133" i="8"/>
  <c r="VNI133" i="8"/>
  <c r="VNH133" i="8"/>
  <c r="VNG133" i="8"/>
  <c r="VNF133" i="8"/>
  <c r="VNE133" i="8"/>
  <c r="VND133" i="8"/>
  <c r="VNC133" i="8"/>
  <c r="VNB133" i="8"/>
  <c r="VNA133" i="8"/>
  <c r="VMZ133" i="8"/>
  <c r="VMY133" i="8"/>
  <c r="VMX133" i="8"/>
  <c r="VMW133" i="8"/>
  <c r="VMV133" i="8"/>
  <c r="VMU133" i="8"/>
  <c r="VMT133" i="8"/>
  <c r="VMS133" i="8"/>
  <c r="VMR133" i="8"/>
  <c r="VMQ133" i="8"/>
  <c r="VMP133" i="8"/>
  <c r="VMO133" i="8"/>
  <c r="VMN133" i="8"/>
  <c r="VMM133" i="8"/>
  <c r="VML133" i="8"/>
  <c r="VMK133" i="8"/>
  <c r="VMJ133" i="8"/>
  <c r="VMI133" i="8"/>
  <c r="VMH133" i="8"/>
  <c r="VMG133" i="8"/>
  <c r="VMF133" i="8"/>
  <c r="VME133" i="8"/>
  <c r="VMD133" i="8"/>
  <c r="VMC133" i="8"/>
  <c r="VMB133" i="8"/>
  <c r="VMA133" i="8"/>
  <c r="VLZ133" i="8"/>
  <c r="VLY133" i="8"/>
  <c r="VLX133" i="8"/>
  <c r="VLW133" i="8"/>
  <c r="VLV133" i="8"/>
  <c r="VLU133" i="8"/>
  <c r="VLT133" i="8"/>
  <c r="VLS133" i="8"/>
  <c r="VLR133" i="8"/>
  <c r="VLQ133" i="8"/>
  <c r="VLP133" i="8"/>
  <c r="VLO133" i="8"/>
  <c r="VLN133" i="8"/>
  <c r="VLM133" i="8"/>
  <c r="VLL133" i="8"/>
  <c r="VLK133" i="8"/>
  <c r="VLJ133" i="8"/>
  <c r="VLI133" i="8"/>
  <c r="VLH133" i="8"/>
  <c r="VLG133" i="8"/>
  <c r="VLF133" i="8"/>
  <c r="VLE133" i="8"/>
  <c r="VLD133" i="8"/>
  <c r="VLC133" i="8"/>
  <c r="VLB133" i="8"/>
  <c r="VLA133" i="8"/>
  <c r="VKZ133" i="8"/>
  <c r="VKY133" i="8"/>
  <c r="VKX133" i="8"/>
  <c r="VKW133" i="8"/>
  <c r="VKV133" i="8"/>
  <c r="VKU133" i="8"/>
  <c r="VKT133" i="8"/>
  <c r="VKS133" i="8"/>
  <c r="VKR133" i="8"/>
  <c r="VKQ133" i="8"/>
  <c r="VKP133" i="8"/>
  <c r="VKO133" i="8"/>
  <c r="VKN133" i="8"/>
  <c r="VKM133" i="8"/>
  <c r="VKL133" i="8"/>
  <c r="VKK133" i="8"/>
  <c r="VKJ133" i="8"/>
  <c r="VKI133" i="8"/>
  <c r="VKH133" i="8"/>
  <c r="VKG133" i="8"/>
  <c r="VKF133" i="8"/>
  <c r="VKE133" i="8"/>
  <c r="VKD133" i="8"/>
  <c r="VKC133" i="8"/>
  <c r="VKB133" i="8"/>
  <c r="VKA133" i="8"/>
  <c r="VJZ133" i="8"/>
  <c r="VJY133" i="8"/>
  <c r="VJX133" i="8"/>
  <c r="VJW133" i="8"/>
  <c r="VJV133" i="8"/>
  <c r="VJU133" i="8"/>
  <c r="VJT133" i="8"/>
  <c r="VJS133" i="8"/>
  <c r="VJR133" i="8"/>
  <c r="VJQ133" i="8"/>
  <c r="VJP133" i="8"/>
  <c r="VJO133" i="8"/>
  <c r="VJN133" i="8"/>
  <c r="VJM133" i="8"/>
  <c r="VJL133" i="8"/>
  <c r="VJK133" i="8"/>
  <c r="VJJ133" i="8"/>
  <c r="VJI133" i="8"/>
  <c r="VJH133" i="8"/>
  <c r="VJG133" i="8"/>
  <c r="VJF133" i="8"/>
  <c r="VJE133" i="8"/>
  <c r="VJD133" i="8"/>
  <c r="VJC133" i="8"/>
  <c r="VJB133" i="8"/>
  <c r="VJA133" i="8"/>
  <c r="VIZ133" i="8"/>
  <c r="VIY133" i="8"/>
  <c r="VIX133" i="8"/>
  <c r="VIW133" i="8"/>
  <c r="VIV133" i="8"/>
  <c r="VIU133" i="8"/>
  <c r="VIT133" i="8"/>
  <c r="VIS133" i="8"/>
  <c r="VIR133" i="8"/>
  <c r="VIQ133" i="8"/>
  <c r="VIP133" i="8"/>
  <c r="VIO133" i="8"/>
  <c r="VIN133" i="8"/>
  <c r="VIM133" i="8"/>
  <c r="VIL133" i="8"/>
  <c r="VIK133" i="8"/>
  <c r="VIJ133" i="8"/>
  <c r="VII133" i="8"/>
  <c r="VIH133" i="8"/>
  <c r="VIG133" i="8"/>
  <c r="VIF133" i="8"/>
  <c r="VIE133" i="8"/>
  <c r="VID133" i="8"/>
  <c r="VIC133" i="8"/>
  <c r="VIB133" i="8"/>
  <c r="VIA133" i="8"/>
  <c r="VHZ133" i="8"/>
  <c r="VHY133" i="8"/>
  <c r="VHX133" i="8"/>
  <c r="VHW133" i="8"/>
  <c r="VHV133" i="8"/>
  <c r="VHU133" i="8"/>
  <c r="VHT133" i="8"/>
  <c r="VHS133" i="8"/>
  <c r="VHR133" i="8"/>
  <c r="VHQ133" i="8"/>
  <c r="VHP133" i="8"/>
  <c r="VHO133" i="8"/>
  <c r="VHN133" i="8"/>
  <c r="VHM133" i="8"/>
  <c r="VHL133" i="8"/>
  <c r="VHK133" i="8"/>
  <c r="VHJ133" i="8"/>
  <c r="VHI133" i="8"/>
  <c r="VHH133" i="8"/>
  <c r="VHG133" i="8"/>
  <c r="VHF133" i="8"/>
  <c r="VHE133" i="8"/>
  <c r="VHD133" i="8"/>
  <c r="VHC133" i="8"/>
  <c r="VHB133" i="8"/>
  <c r="VHA133" i="8"/>
  <c r="VGZ133" i="8"/>
  <c r="VGY133" i="8"/>
  <c r="VGX133" i="8"/>
  <c r="VGW133" i="8"/>
  <c r="VGV133" i="8"/>
  <c r="VGU133" i="8"/>
  <c r="VGT133" i="8"/>
  <c r="VGS133" i="8"/>
  <c r="VGR133" i="8"/>
  <c r="VGQ133" i="8"/>
  <c r="VGP133" i="8"/>
  <c r="VGO133" i="8"/>
  <c r="VGN133" i="8"/>
  <c r="VGM133" i="8"/>
  <c r="VGL133" i="8"/>
  <c r="VGK133" i="8"/>
  <c r="VGJ133" i="8"/>
  <c r="VGI133" i="8"/>
  <c r="VGH133" i="8"/>
  <c r="VGG133" i="8"/>
  <c r="VGF133" i="8"/>
  <c r="VGE133" i="8"/>
  <c r="VGD133" i="8"/>
  <c r="VGC133" i="8"/>
  <c r="VGB133" i="8"/>
  <c r="VGA133" i="8"/>
  <c r="VFZ133" i="8"/>
  <c r="VFY133" i="8"/>
  <c r="VFX133" i="8"/>
  <c r="VFW133" i="8"/>
  <c r="VFV133" i="8"/>
  <c r="VFU133" i="8"/>
  <c r="VFT133" i="8"/>
  <c r="VFS133" i="8"/>
  <c r="VFR133" i="8"/>
  <c r="VFQ133" i="8"/>
  <c r="VFP133" i="8"/>
  <c r="VFO133" i="8"/>
  <c r="VFN133" i="8"/>
  <c r="VFM133" i="8"/>
  <c r="VFL133" i="8"/>
  <c r="VFK133" i="8"/>
  <c r="VFJ133" i="8"/>
  <c r="VFI133" i="8"/>
  <c r="VFH133" i="8"/>
  <c r="VFG133" i="8"/>
  <c r="VFF133" i="8"/>
  <c r="VFE133" i="8"/>
  <c r="VFD133" i="8"/>
  <c r="VFC133" i="8"/>
  <c r="VFB133" i="8"/>
  <c r="VFA133" i="8"/>
  <c r="VEZ133" i="8"/>
  <c r="VEY133" i="8"/>
  <c r="VEX133" i="8"/>
  <c r="VEW133" i="8"/>
  <c r="VEV133" i="8"/>
  <c r="VEU133" i="8"/>
  <c r="VET133" i="8"/>
  <c r="VES133" i="8"/>
  <c r="VER133" i="8"/>
  <c r="VEQ133" i="8"/>
  <c r="VEP133" i="8"/>
  <c r="VEO133" i="8"/>
  <c r="VEN133" i="8"/>
  <c r="VEM133" i="8"/>
  <c r="VEL133" i="8"/>
  <c r="VEK133" i="8"/>
  <c r="VEJ133" i="8"/>
  <c r="VEI133" i="8"/>
  <c r="VEH133" i="8"/>
  <c r="VEG133" i="8"/>
  <c r="VEF133" i="8"/>
  <c r="VEE133" i="8"/>
  <c r="VED133" i="8"/>
  <c r="VEC133" i="8"/>
  <c r="VEB133" i="8"/>
  <c r="VEA133" i="8"/>
  <c r="VDZ133" i="8"/>
  <c r="VDY133" i="8"/>
  <c r="VDX133" i="8"/>
  <c r="VDW133" i="8"/>
  <c r="VDV133" i="8"/>
  <c r="VDU133" i="8"/>
  <c r="VDT133" i="8"/>
  <c r="VDS133" i="8"/>
  <c r="VDR133" i="8"/>
  <c r="VDQ133" i="8"/>
  <c r="VDP133" i="8"/>
  <c r="VDO133" i="8"/>
  <c r="VDN133" i="8"/>
  <c r="VDM133" i="8"/>
  <c r="VDL133" i="8"/>
  <c r="VDK133" i="8"/>
  <c r="VDJ133" i="8"/>
  <c r="VDI133" i="8"/>
  <c r="VDH133" i="8"/>
  <c r="VDG133" i="8"/>
  <c r="VDF133" i="8"/>
  <c r="VDE133" i="8"/>
  <c r="VDD133" i="8"/>
  <c r="VDC133" i="8"/>
  <c r="VDB133" i="8"/>
  <c r="VDA133" i="8"/>
  <c r="VCZ133" i="8"/>
  <c r="VCY133" i="8"/>
  <c r="VCX133" i="8"/>
  <c r="VCW133" i="8"/>
  <c r="VCV133" i="8"/>
  <c r="VCU133" i="8"/>
  <c r="VCT133" i="8"/>
  <c r="VCS133" i="8"/>
  <c r="VCR133" i="8"/>
  <c r="VCQ133" i="8"/>
  <c r="VCP133" i="8"/>
  <c r="VCO133" i="8"/>
  <c r="VCN133" i="8"/>
  <c r="VCM133" i="8"/>
  <c r="VCL133" i="8"/>
  <c r="VCK133" i="8"/>
  <c r="VCJ133" i="8"/>
  <c r="VCI133" i="8"/>
  <c r="VCH133" i="8"/>
  <c r="VCG133" i="8"/>
  <c r="VCF133" i="8"/>
  <c r="VCE133" i="8"/>
  <c r="VCD133" i="8"/>
  <c r="VCC133" i="8"/>
  <c r="VCB133" i="8"/>
  <c r="VCA133" i="8"/>
  <c r="VBZ133" i="8"/>
  <c r="VBY133" i="8"/>
  <c r="VBX133" i="8"/>
  <c r="VBW133" i="8"/>
  <c r="VBV133" i="8"/>
  <c r="VBU133" i="8"/>
  <c r="VBT133" i="8"/>
  <c r="VBS133" i="8"/>
  <c r="VBR133" i="8"/>
  <c r="VBQ133" i="8"/>
  <c r="VBP133" i="8"/>
  <c r="VBO133" i="8"/>
  <c r="VBN133" i="8"/>
  <c r="VBM133" i="8"/>
  <c r="VBL133" i="8"/>
  <c r="VBK133" i="8"/>
  <c r="VBJ133" i="8"/>
  <c r="VBI133" i="8"/>
  <c r="VBH133" i="8"/>
  <c r="VBG133" i="8"/>
  <c r="VBF133" i="8"/>
  <c r="VBE133" i="8"/>
  <c r="VBD133" i="8"/>
  <c r="VBC133" i="8"/>
  <c r="VBB133" i="8"/>
  <c r="VBA133" i="8"/>
  <c r="VAZ133" i="8"/>
  <c r="VAY133" i="8"/>
  <c r="VAX133" i="8"/>
  <c r="VAW133" i="8"/>
  <c r="VAV133" i="8"/>
  <c r="VAU133" i="8"/>
  <c r="VAT133" i="8"/>
  <c r="VAS133" i="8"/>
  <c r="VAR133" i="8"/>
  <c r="VAQ133" i="8"/>
  <c r="VAP133" i="8"/>
  <c r="VAO133" i="8"/>
  <c r="VAN133" i="8"/>
  <c r="VAM133" i="8"/>
  <c r="VAL133" i="8"/>
  <c r="VAK133" i="8"/>
  <c r="VAJ133" i="8"/>
  <c r="VAI133" i="8"/>
  <c r="VAH133" i="8"/>
  <c r="VAG133" i="8"/>
  <c r="VAF133" i="8"/>
  <c r="VAE133" i="8"/>
  <c r="VAD133" i="8"/>
  <c r="VAC133" i="8"/>
  <c r="VAB133" i="8"/>
  <c r="VAA133" i="8"/>
  <c r="UZZ133" i="8"/>
  <c r="UZY133" i="8"/>
  <c r="UZX133" i="8"/>
  <c r="UZW133" i="8"/>
  <c r="UZV133" i="8"/>
  <c r="UZU133" i="8"/>
  <c r="UZT133" i="8"/>
  <c r="UZS133" i="8"/>
  <c r="UZR133" i="8"/>
  <c r="UZQ133" i="8"/>
  <c r="UZP133" i="8"/>
  <c r="UZO133" i="8"/>
  <c r="UZN133" i="8"/>
  <c r="UZM133" i="8"/>
  <c r="UZL133" i="8"/>
  <c r="UZK133" i="8"/>
  <c r="UZJ133" i="8"/>
  <c r="UZI133" i="8"/>
  <c r="UZH133" i="8"/>
  <c r="UZG133" i="8"/>
  <c r="UZF133" i="8"/>
  <c r="UZE133" i="8"/>
  <c r="UZD133" i="8"/>
  <c r="UZC133" i="8"/>
  <c r="UZB133" i="8"/>
  <c r="UZA133" i="8"/>
  <c r="UYZ133" i="8"/>
  <c r="UYY133" i="8"/>
  <c r="UYX133" i="8"/>
  <c r="UYW133" i="8"/>
  <c r="UYV133" i="8"/>
  <c r="UYU133" i="8"/>
  <c r="UYT133" i="8"/>
  <c r="UYS133" i="8"/>
  <c r="UYR133" i="8"/>
  <c r="UYQ133" i="8"/>
  <c r="UYP133" i="8"/>
  <c r="UYO133" i="8"/>
  <c r="UYN133" i="8"/>
  <c r="UYM133" i="8"/>
  <c r="UYL133" i="8"/>
  <c r="UYK133" i="8"/>
  <c r="UYJ133" i="8"/>
  <c r="UYI133" i="8"/>
  <c r="UYH133" i="8"/>
  <c r="UYG133" i="8"/>
  <c r="UYF133" i="8"/>
  <c r="UYE133" i="8"/>
  <c r="UYD133" i="8"/>
  <c r="UYC133" i="8"/>
  <c r="UYB133" i="8"/>
  <c r="UYA133" i="8"/>
  <c r="UXZ133" i="8"/>
  <c r="UXY133" i="8"/>
  <c r="UXX133" i="8"/>
  <c r="UXW133" i="8"/>
  <c r="UXV133" i="8"/>
  <c r="UXU133" i="8"/>
  <c r="UXT133" i="8"/>
  <c r="UXS133" i="8"/>
  <c r="UXR133" i="8"/>
  <c r="UXQ133" i="8"/>
  <c r="UXP133" i="8"/>
  <c r="UXO133" i="8"/>
  <c r="UXN133" i="8"/>
  <c r="UXM133" i="8"/>
  <c r="UXL133" i="8"/>
  <c r="UXK133" i="8"/>
  <c r="UXJ133" i="8"/>
  <c r="UXI133" i="8"/>
  <c r="UXH133" i="8"/>
  <c r="UXG133" i="8"/>
  <c r="UXF133" i="8"/>
  <c r="UXE133" i="8"/>
  <c r="UXD133" i="8"/>
  <c r="UXC133" i="8"/>
  <c r="UXB133" i="8"/>
  <c r="UXA133" i="8"/>
  <c r="UWZ133" i="8"/>
  <c r="UWY133" i="8"/>
  <c r="UWX133" i="8"/>
  <c r="UWW133" i="8"/>
  <c r="UWV133" i="8"/>
  <c r="UWU133" i="8"/>
  <c r="UWT133" i="8"/>
  <c r="UWS133" i="8"/>
  <c r="UWR133" i="8"/>
  <c r="UWQ133" i="8"/>
  <c r="UWP133" i="8"/>
  <c r="UWO133" i="8"/>
  <c r="UWN133" i="8"/>
  <c r="UWM133" i="8"/>
  <c r="UWL133" i="8"/>
  <c r="UWK133" i="8"/>
  <c r="UWJ133" i="8"/>
  <c r="UWI133" i="8"/>
  <c r="UWH133" i="8"/>
  <c r="UWG133" i="8"/>
  <c r="UWF133" i="8"/>
  <c r="UWE133" i="8"/>
  <c r="UWD133" i="8"/>
  <c r="UWC133" i="8"/>
  <c r="UWB133" i="8"/>
  <c r="UWA133" i="8"/>
  <c r="UVZ133" i="8"/>
  <c r="UVY133" i="8"/>
  <c r="UVX133" i="8"/>
  <c r="UVW133" i="8"/>
  <c r="UVV133" i="8"/>
  <c r="UVU133" i="8"/>
  <c r="UVT133" i="8"/>
  <c r="UVS133" i="8"/>
  <c r="UVR133" i="8"/>
  <c r="UVQ133" i="8"/>
  <c r="UVP133" i="8"/>
  <c r="UVO133" i="8"/>
  <c r="UVN133" i="8"/>
  <c r="UVM133" i="8"/>
  <c r="UVL133" i="8"/>
  <c r="UVK133" i="8"/>
  <c r="UVJ133" i="8"/>
  <c r="UVI133" i="8"/>
  <c r="UVH133" i="8"/>
  <c r="UVG133" i="8"/>
  <c r="UVF133" i="8"/>
  <c r="UVE133" i="8"/>
  <c r="UVD133" i="8"/>
  <c r="UVC133" i="8"/>
  <c r="UVB133" i="8"/>
  <c r="UVA133" i="8"/>
  <c r="UUZ133" i="8"/>
  <c r="UUY133" i="8"/>
  <c r="UUX133" i="8"/>
  <c r="UUW133" i="8"/>
  <c r="UUV133" i="8"/>
  <c r="UUU133" i="8"/>
  <c r="UUT133" i="8"/>
  <c r="UUS133" i="8"/>
  <c r="UUR133" i="8"/>
  <c r="UUQ133" i="8"/>
  <c r="UUP133" i="8"/>
  <c r="UUO133" i="8"/>
  <c r="UUN133" i="8"/>
  <c r="UUM133" i="8"/>
  <c r="UUL133" i="8"/>
  <c r="UUK133" i="8"/>
  <c r="UUJ133" i="8"/>
  <c r="UUI133" i="8"/>
  <c r="UUH133" i="8"/>
  <c r="UUG133" i="8"/>
  <c r="UUF133" i="8"/>
  <c r="UUE133" i="8"/>
  <c r="UUD133" i="8"/>
  <c r="UUC133" i="8"/>
  <c r="UUB133" i="8"/>
  <c r="UUA133" i="8"/>
  <c r="UTZ133" i="8"/>
  <c r="UTY133" i="8"/>
  <c r="UTX133" i="8"/>
  <c r="UTW133" i="8"/>
  <c r="UTV133" i="8"/>
  <c r="UTU133" i="8"/>
  <c r="UTT133" i="8"/>
  <c r="UTS133" i="8"/>
  <c r="UTR133" i="8"/>
  <c r="UTQ133" i="8"/>
  <c r="UTP133" i="8"/>
  <c r="UTO133" i="8"/>
  <c r="UTN133" i="8"/>
  <c r="UTM133" i="8"/>
  <c r="UTL133" i="8"/>
  <c r="UTK133" i="8"/>
  <c r="UTJ133" i="8"/>
  <c r="UTI133" i="8"/>
  <c r="UTH133" i="8"/>
  <c r="UTG133" i="8"/>
  <c r="UTF133" i="8"/>
  <c r="UTE133" i="8"/>
  <c r="UTD133" i="8"/>
  <c r="UTC133" i="8"/>
  <c r="UTB133" i="8"/>
  <c r="UTA133" i="8"/>
  <c r="USZ133" i="8"/>
  <c r="USY133" i="8"/>
  <c r="USX133" i="8"/>
  <c r="USW133" i="8"/>
  <c r="USV133" i="8"/>
  <c r="USU133" i="8"/>
  <c r="UST133" i="8"/>
  <c r="USS133" i="8"/>
  <c r="USR133" i="8"/>
  <c r="USQ133" i="8"/>
  <c r="USP133" i="8"/>
  <c r="USO133" i="8"/>
  <c r="USN133" i="8"/>
  <c r="USM133" i="8"/>
  <c r="USL133" i="8"/>
  <c r="USK133" i="8"/>
  <c r="USJ133" i="8"/>
  <c r="USI133" i="8"/>
  <c r="USH133" i="8"/>
  <c r="USG133" i="8"/>
  <c r="USF133" i="8"/>
  <c r="USE133" i="8"/>
  <c r="USD133" i="8"/>
  <c r="USC133" i="8"/>
  <c r="USB133" i="8"/>
  <c r="USA133" i="8"/>
  <c r="URZ133" i="8"/>
  <c r="URY133" i="8"/>
  <c r="URX133" i="8"/>
  <c r="URW133" i="8"/>
  <c r="URV133" i="8"/>
  <c r="URU133" i="8"/>
  <c r="URT133" i="8"/>
  <c r="URS133" i="8"/>
  <c r="URR133" i="8"/>
  <c r="URQ133" i="8"/>
  <c r="URP133" i="8"/>
  <c r="URO133" i="8"/>
  <c r="URN133" i="8"/>
  <c r="URM133" i="8"/>
  <c r="URL133" i="8"/>
  <c r="URK133" i="8"/>
  <c r="URJ133" i="8"/>
  <c r="URI133" i="8"/>
  <c r="URH133" i="8"/>
  <c r="URG133" i="8"/>
  <c r="URF133" i="8"/>
  <c r="URE133" i="8"/>
  <c r="URD133" i="8"/>
  <c r="URC133" i="8"/>
  <c r="URB133" i="8"/>
  <c r="URA133" i="8"/>
  <c r="UQZ133" i="8"/>
  <c r="UQY133" i="8"/>
  <c r="UQX133" i="8"/>
  <c r="UQW133" i="8"/>
  <c r="UQV133" i="8"/>
  <c r="UQU133" i="8"/>
  <c r="UQT133" i="8"/>
  <c r="UQS133" i="8"/>
  <c r="UQR133" i="8"/>
  <c r="UQQ133" i="8"/>
  <c r="UQP133" i="8"/>
  <c r="UQO133" i="8"/>
  <c r="UQN133" i="8"/>
  <c r="UQM133" i="8"/>
  <c r="UQL133" i="8"/>
  <c r="UQK133" i="8"/>
  <c r="UQJ133" i="8"/>
  <c r="UQI133" i="8"/>
  <c r="UQH133" i="8"/>
  <c r="UQG133" i="8"/>
  <c r="UQF133" i="8"/>
  <c r="UQE133" i="8"/>
  <c r="UQD133" i="8"/>
  <c r="UQC133" i="8"/>
  <c r="UQB133" i="8"/>
  <c r="UQA133" i="8"/>
  <c r="UPZ133" i="8"/>
  <c r="UPY133" i="8"/>
  <c r="UPX133" i="8"/>
  <c r="UPW133" i="8"/>
  <c r="UPV133" i="8"/>
  <c r="UPU133" i="8"/>
  <c r="UPT133" i="8"/>
  <c r="UPS133" i="8"/>
  <c r="UPR133" i="8"/>
  <c r="UPQ133" i="8"/>
  <c r="UPP133" i="8"/>
  <c r="UPO133" i="8"/>
  <c r="UPN133" i="8"/>
  <c r="UPM133" i="8"/>
  <c r="UPL133" i="8"/>
  <c r="UPK133" i="8"/>
  <c r="UPJ133" i="8"/>
  <c r="UPI133" i="8"/>
  <c r="UPH133" i="8"/>
  <c r="UPG133" i="8"/>
  <c r="UPF133" i="8"/>
  <c r="UPE133" i="8"/>
  <c r="UPD133" i="8"/>
  <c r="UPC133" i="8"/>
  <c r="UPB133" i="8"/>
  <c r="UPA133" i="8"/>
  <c r="UOZ133" i="8"/>
  <c r="UOY133" i="8"/>
  <c r="UOX133" i="8"/>
  <c r="UOW133" i="8"/>
  <c r="UOV133" i="8"/>
  <c r="UOU133" i="8"/>
  <c r="UOT133" i="8"/>
  <c r="UOS133" i="8"/>
  <c r="UOR133" i="8"/>
  <c r="UOQ133" i="8"/>
  <c r="UOP133" i="8"/>
  <c r="UOO133" i="8"/>
  <c r="UON133" i="8"/>
  <c r="UOM133" i="8"/>
  <c r="UOL133" i="8"/>
  <c r="UOK133" i="8"/>
  <c r="UOJ133" i="8"/>
  <c r="UOI133" i="8"/>
  <c r="UOH133" i="8"/>
  <c r="UOG133" i="8"/>
  <c r="UOF133" i="8"/>
  <c r="UOE133" i="8"/>
  <c r="UOD133" i="8"/>
  <c r="UOC133" i="8"/>
  <c r="UOB133" i="8"/>
  <c r="UOA133" i="8"/>
  <c r="UNZ133" i="8"/>
  <c r="UNY133" i="8"/>
  <c r="UNX133" i="8"/>
  <c r="UNW133" i="8"/>
  <c r="UNV133" i="8"/>
  <c r="UNU133" i="8"/>
  <c r="UNT133" i="8"/>
  <c r="UNS133" i="8"/>
  <c r="UNR133" i="8"/>
  <c r="UNQ133" i="8"/>
  <c r="UNP133" i="8"/>
  <c r="UNO133" i="8"/>
  <c r="UNN133" i="8"/>
  <c r="UNM133" i="8"/>
  <c r="UNL133" i="8"/>
  <c r="UNK133" i="8"/>
  <c r="UNJ133" i="8"/>
  <c r="UNI133" i="8"/>
  <c r="UNH133" i="8"/>
  <c r="UNG133" i="8"/>
  <c r="UNF133" i="8"/>
  <c r="UNE133" i="8"/>
  <c r="UND133" i="8"/>
  <c r="UNC133" i="8"/>
  <c r="UNB133" i="8"/>
  <c r="UNA133" i="8"/>
  <c r="UMZ133" i="8"/>
  <c r="UMY133" i="8"/>
  <c r="UMX133" i="8"/>
  <c r="UMW133" i="8"/>
  <c r="UMV133" i="8"/>
  <c r="UMU133" i="8"/>
  <c r="UMT133" i="8"/>
  <c r="UMS133" i="8"/>
  <c r="UMR133" i="8"/>
  <c r="UMQ133" i="8"/>
  <c r="UMP133" i="8"/>
  <c r="UMO133" i="8"/>
  <c r="UMN133" i="8"/>
  <c r="UMM133" i="8"/>
  <c r="UML133" i="8"/>
  <c r="UMK133" i="8"/>
  <c r="UMJ133" i="8"/>
  <c r="UMI133" i="8"/>
  <c r="UMH133" i="8"/>
  <c r="UMG133" i="8"/>
  <c r="UMF133" i="8"/>
  <c r="UME133" i="8"/>
  <c r="UMD133" i="8"/>
  <c r="UMC133" i="8"/>
  <c r="UMB133" i="8"/>
  <c r="UMA133" i="8"/>
  <c r="ULZ133" i="8"/>
  <c r="ULY133" i="8"/>
  <c r="ULX133" i="8"/>
  <c r="ULW133" i="8"/>
  <c r="ULV133" i="8"/>
  <c r="ULU133" i="8"/>
  <c r="ULT133" i="8"/>
  <c r="ULS133" i="8"/>
  <c r="ULR133" i="8"/>
  <c r="ULQ133" i="8"/>
  <c r="ULP133" i="8"/>
  <c r="ULO133" i="8"/>
  <c r="ULN133" i="8"/>
  <c r="ULM133" i="8"/>
  <c r="ULL133" i="8"/>
  <c r="ULK133" i="8"/>
  <c r="ULJ133" i="8"/>
  <c r="ULI133" i="8"/>
  <c r="ULH133" i="8"/>
  <c r="ULG133" i="8"/>
  <c r="ULF133" i="8"/>
  <c r="ULE133" i="8"/>
  <c r="ULD133" i="8"/>
  <c r="ULC133" i="8"/>
  <c r="ULB133" i="8"/>
  <c r="ULA133" i="8"/>
  <c r="UKZ133" i="8"/>
  <c r="UKY133" i="8"/>
  <c r="UKX133" i="8"/>
  <c r="UKW133" i="8"/>
  <c r="UKV133" i="8"/>
  <c r="UKU133" i="8"/>
  <c r="UKT133" i="8"/>
  <c r="UKS133" i="8"/>
  <c r="UKR133" i="8"/>
  <c r="UKQ133" i="8"/>
  <c r="UKP133" i="8"/>
  <c r="UKO133" i="8"/>
  <c r="UKN133" i="8"/>
  <c r="UKM133" i="8"/>
  <c r="UKL133" i="8"/>
  <c r="UKK133" i="8"/>
  <c r="UKJ133" i="8"/>
  <c r="UKI133" i="8"/>
  <c r="UKH133" i="8"/>
  <c r="UKG133" i="8"/>
  <c r="UKF133" i="8"/>
  <c r="UKE133" i="8"/>
  <c r="UKD133" i="8"/>
  <c r="UKC133" i="8"/>
  <c r="UKB133" i="8"/>
  <c r="UKA133" i="8"/>
  <c r="UJZ133" i="8"/>
  <c r="UJY133" i="8"/>
  <c r="UJX133" i="8"/>
  <c r="UJW133" i="8"/>
  <c r="UJV133" i="8"/>
  <c r="UJU133" i="8"/>
  <c r="UJT133" i="8"/>
  <c r="UJS133" i="8"/>
  <c r="UJR133" i="8"/>
  <c r="UJQ133" i="8"/>
  <c r="UJP133" i="8"/>
  <c r="UJO133" i="8"/>
  <c r="UJN133" i="8"/>
  <c r="UJM133" i="8"/>
  <c r="UJL133" i="8"/>
  <c r="UJK133" i="8"/>
  <c r="UJJ133" i="8"/>
  <c r="UJI133" i="8"/>
  <c r="UJH133" i="8"/>
  <c r="UJG133" i="8"/>
  <c r="UJF133" i="8"/>
  <c r="UJE133" i="8"/>
  <c r="UJD133" i="8"/>
  <c r="UJC133" i="8"/>
  <c r="UJB133" i="8"/>
  <c r="UJA133" i="8"/>
  <c r="UIZ133" i="8"/>
  <c r="UIY133" i="8"/>
  <c r="UIX133" i="8"/>
  <c r="UIW133" i="8"/>
  <c r="UIV133" i="8"/>
  <c r="UIU133" i="8"/>
  <c r="UIT133" i="8"/>
  <c r="UIS133" i="8"/>
  <c r="UIR133" i="8"/>
  <c r="UIQ133" i="8"/>
  <c r="UIP133" i="8"/>
  <c r="UIO133" i="8"/>
  <c r="UIN133" i="8"/>
  <c r="UIM133" i="8"/>
  <c r="UIL133" i="8"/>
  <c r="UIK133" i="8"/>
  <c r="UIJ133" i="8"/>
  <c r="UII133" i="8"/>
  <c r="UIH133" i="8"/>
  <c r="UIG133" i="8"/>
  <c r="UIF133" i="8"/>
  <c r="UIE133" i="8"/>
  <c r="UID133" i="8"/>
  <c r="UIC133" i="8"/>
  <c r="UIB133" i="8"/>
  <c r="UIA133" i="8"/>
  <c r="UHZ133" i="8"/>
  <c r="UHY133" i="8"/>
  <c r="UHX133" i="8"/>
  <c r="UHW133" i="8"/>
  <c r="UHV133" i="8"/>
  <c r="UHU133" i="8"/>
  <c r="UHT133" i="8"/>
  <c r="UHS133" i="8"/>
  <c r="UHR133" i="8"/>
  <c r="UHQ133" i="8"/>
  <c r="UHP133" i="8"/>
  <c r="UHO133" i="8"/>
  <c r="UHN133" i="8"/>
  <c r="UHM133" i="8"/>
  <c r="UHL133" i="8"/>
  <c r="UHK133" i="8"/>
  <c r="UHJ133" i="8"/>
  <c r="UHI133" i="8"/>
  <c r="UHH133" i="8"/>
  <c r="UHG133" i="8"/>
  <c r="UHF133" i="8"/>
  <c r="UHE133" i="8"/>
  <c r="UHD133" i="8"/>
  <c r="UHC133" i="8"/>
  <c r="UHB133" i="8"/>
  <c r="UHA133" i="8"/>
  <c r="UGZ133" i="8"/>
  <c r="UGY133" i="8"/>
  <c r="UGX133" i="8"/>
  <c r="UGW133" i="8"/>
  <c r="UGV133" i="8"/>
  <c r="UGU133" i="8"/>
  <c r="UGT133" i="8"/>
  <c r="UGS133" i="8"/>
  <c r="UGR133" i="8"/>
  <c r="UGQ133" i="8"/>
  <c r="UGP133" i="8"/>
  <c r="UGO133" i="8"/>
  <c r="UGN133" i="8"/>
  <c r="UGM133" i="8"/>
  <c r="UGL133" i="8"/>
  <c r="UGK133" i="8"/>
  <c r="UGJ133" i="8"/>
  <c r="UGI133" i="8"/>
  <c r="UGH133" i="8"/>
  <c r="UGG133" i="8"/>
  <c r="UGF133" i="8"/>
  <c r="UGE133" i="8"/>
  <c r="UGD133" i="8"/>
  <c r="UGC133" i="8"/>
  <c r="UGB133" i="8"/>
  <c r="UGA133" i="8"/>
  <c r="UFZ133" i="8"/>
  <c r="UFY133" i="8"/>
  <c r="UFX133" i="8"/>
  <c r="UFW133" i="8"/>
  <c r="UFV133" i="8"/>
  <c r="UFU133" i="8"/>
  <c r="UFT133" i="8"/>
  <c r="UFS133" i="8"/>
  <c r="UFR133" i="8"/>
  <c r="UFQ133" i="8"/>
  <c r="UFP133" i="8"/>
  <c r="UFO133" i="8"/>
  <c r="UFN133" i="8"/>
  <c r="UFM133" i="8"/>
  <c r="UFL133" i="8"/>
  <c r="UFK133" i="8"/>
  <c r="UFJ133" i="8"/>
  <c r="UFI133" i="8"/>
  <c r="UFH133" i="8"/>
  <c r="UFG133" i="8"/>
  <c r="UFF133" i="8"/>
  <c r="UFE133" i="8"/>
  <c r="UFD133" i="8"/>
  <c r="UFC133" i="8"/>
  <c r="UFB133" i="8"/>
  <c r="UFA133" i="8"/>
  <c r="UEZ133" i="8"/>
  <c r="UEY133" i="8"/>
  <c r="UEX133" i="8"/>
  <c r="UEW133" i="8"/>
  <c r="UEV133" i="8"/>
  <c r="UEU133" i="8"/>
  <c r="UET133" i="8"/>
  <c r="UES133" i="8"/>
  <c r="UER133" i="8"/>
  <c r="UEQ133" i="8"/>
  <c r="UEP133" i="8"/>
  <c r="UEO133" i="8"/>
  <c r="UEN133" i="8"/>
  <c r="UEM133" i="8"/>
  <c r="UEL133" i="8"/>
  <c r="UEK133" i="8"/>
  <c r="UEJ133" i="8"/>
  <c r="UEI133" i="8"/>
  <c r="UEH133" i="8"/>
  <c r="UEG133" i="8"/>
  <c r="UEF133" i="8"/>
  <c r="UEE133" i="8"/>
  <c r="UED133" i="8"/>
  <c r="UEC133" i="8"/>
  <c r="UEB133" i="8"/>
  <c r="UEA133" i="8"/>
  <c r="UDZ133" i="8"/>
  <c r="UDY133" i="8"/>
  <c r="UDX133" i="8"/>
  <c r="UDW133" i="8"/>
  <c r="UDV133" i="8"/>
  <c r="UDU133" i="8"/>
  <c r="UDT133" i="8"/>
  <c r="UDS133" i="8"/>
  <c r="UDR133" i="8"/>
  <c r="UDQ133" i="8"/>
  <c r="UDP133" i="8"/>
  <c r="UDO133" i="8"/>
  <c r="UDN133" i="8"/>
  <c r="UDM133" i="8"/>
  <c r="UDL133" i="8"/>
  <c r="UDK133" i="8"/>
  <c r="UDJ133" i="8"/>
  <c r="UDI133" i="8"/>
  <c r="UDH133" i="8"/>
  <c r="UDG133" i="8"/>
  <c r="UDF133" i="8"/>
  <c r="UDE133" i="8"/>
  <c r="UDD133" i="8"/>
  <c r="UDC133" i="8"/>
  <c r="UDB133" i="8"/>
  <c r="UDA133" i="8"/>
  <c r="UCZ133" i="8"/>
  <c r="UCY133" i="8"/>
  <c r="UCX133" i="8"/>
  <c r="UCW133" i="8"/>
  <c r="UCV133" i="8"/>
  <c r="UCU133" i="8"/>
  <c r="UCT133" i="8"/>
  <c r="UCS133" i="8"/>
  <c r="UCR133" i="8"/>
  <c r="UCQ133" i="8"/>
  <c r="UCP133" i="8"/>
  <c r="UCO133" i="8"/>
  <c r="UCN133" i="8"/>
  <c r="UCM133" i="8"/>
  <c r="UCL133" i="8"/>
  <c r="UCK133" i="8"/>
  <c r="UCJ133" i="8"/>
  <c r="UCI133" i="8"/>
  <c r="UCH133" i="8"/>
  <c r="UCG133" i="8"/>
  <c r="UCF133" i="8"/>
  <c r="UCE133" i="8"/>
  <c r="UCD133" i="8"/>
  <c r="UCC133" i="8"/>
  <c r="UCB133" i="8"/>
  <c r="UCA133" i="8"/>
  <c r="UBZ133" i="8"/>
  <c r="UBY133" i="8"/>
  <c r="UBX133" i="8"/>
  <c r="UBW133" i="8"/>
  <c r="UBV133" i="8"/>
  <c r="UBU133" i="8"/>
  <c r="UBT133" i="8"/>
  <c r="UBS133" i="8"/>
  <c r="UBR133" i="8"/>
  <c r="UBQ133" i="8"/>
  <c r="UBP133" i="8"/>
  <c r="UBO133" i="8"/>
  <c r="UBN133" i="8"/>
  <c r="UBM133" i="8"/>
  <c r="UBL133" i="8"/>
  <c r="UBK133" i="8"/>
  <c r="UBJ133" i="8"/>
  <c r="UBI133" i="8"/>
  <c r="UBH133" i="8"/>
  <c r="UBG133" i="8"/>
  <c r="UBF133" i="8"/>
  <c r="UBE133" i="8"/>
  <c r="UBD133" i="8"/>
  <c r="UBC133" i="8"/>
  <c r="UBB133" i="8"/>
  <c r="UBA133" i="8"/>
  <c r="UAZ133" i="8"/>
  <c r="UAY133" i="8"/>
  <c r="UAX133" i="8"/>
  <c r="UAW133" i="8"/>
  <c r="UAV133" i="8"/>
  <c r="UAU133" i="8"/>
  <c r="UAT133" i="8"/>
  <c r="UAS133" i="8"/>
  <c r="UAR133" i="8"/>
  <c r="UAQ133" i="8"/>
  <c r="UAP133" i="8"/>
  <c r="UAO133" i="8"/>
  <c r="UAN133" i="8"/>
  <c r="UAM133" i="8"/>
  <c r="UAL133" i="8"/>
  <c r="UAK133" i="8"/>
  <c r="UAJ133" i="8"/>
  <c r="UAI133" i="8"/>
  <c r="UAH133" i="8"/>
  <c r="UAG133" i="8"/>
  <c r="UAF133" i="8"/>
  <c r="UAE133" i="8"/>
  <c r="UAD133" i="8"/>
  <c r="UAC133" i="8"/>
  <c r="UAB133" i="8"/>
  <c r="UAA133" i="8"/>
  <c r="TZZ133" i="8"/>
  <c r="TZY133" i="8"/>
  <c r="TZX133" i="8"/>
  <c r="TZW133" i="8"/>
  <c r="TZV133" i="8"/>
  <c r="TZU133" i="8"/>
  <c r="TZT133" i="8"/>
  <c r="TZS133" i="8"/>
  <c r="TZR133" i="8"/>
  <c r="TZQ133" i="8"/>
  <c r="TZP133" i="8"/>
  <c r="TZO133" i="8"/>
  <c r="TZN133" i="8"/>
  <c r="TZM133" i="8"/>
  <c r="TZL133" i="8"/>
  <c r="TZK133" i="8"/>
  <c r="TZJ133" i="8"/>
  <c r="TZI133" i="8"/>
  <c r="TZH133" i="8"/>
  <c r="TZG133" i="8"/>
  <c r="TZF133" i="8"/>
  <c r="TZE133" i="8"/>
  <c r="TZD133" i="8"/>
  <c r="TZC133" i="8"/>
  <c r="TZB133" i="8"/>
  <c r="TZA133" i="8"/>
  <c r="TYZ133" i="8"/>
  <c r="TYY133" i="8"/>
  <c r="TYX133" i="8"/>
  <c r="TYW133" i="8"/>
  <c r="TYV133" i="8"/>
  <c r="TYU133" i="8"/>
  <c r="TYT133" i="8"/>
  <c r="TYS133" i="8"/>
  <c r="TYR133" i="8"/>
  <c r="TYQ133" i="8"/>
  <c r="TYP133" i="8"/>
  <c r="TYO133" i="8"/>
  <c r="TYN133" i="8"/>
  <c r="TYM133" i="8"/>
  <c r="TYL133" i="8"/>
  <c r="TYK133" i="8"/>
  <c r="TYJ133" i="8"/>
  <c r="TYI133" i="8"/>
  <c r="TYH133" i="8"/>
  <c r="TYG133" i="8"/>
  <c r="TYF133" i="8"/>
  <c r="TYE133" i="8"/>
  <c r="TYD133" i="8"/>
  <c r="TYC133" i="8"/>
  <c r="TYB133" i="8"/>
  <c r="TYA133" i="8"/>
  <c r="TXZ133" i="8"/>
  <c r="TXY133" i="8"/>
  <c r="TXX133" i="8"/>
  <c r="TXW133" i="8"/>
  <c r="TXV133" i="8"/>
  <c r="TXU133" i="8"/>
  <c r="TXT133" i="8"/>
  <c r="TXS133" i="8"/>
  <c r="TXR133" i="8"/>
  <c r="TXQ133" i="8"/>
  <c r="TXP133" i="8"/>
  <c r="TXO133" i="8"/>
  <c r="TXN133" i="8"/>
  <c r="TXM133" i="8"/>
  <c r="TXL133" i="8"/>
  <c r="TXK133" i="8"/>
  <c r="TXJ133" i="8"/>
  <c r="TXI133" i="8"/>
  <c r="TXH133" i="8"/>
  <c r="TXG133" i="8"/>
  <c r="TXF133" i="8"/>
  <c r="TXE133" i="8"/>
  <c r="TXD133" i="8"/>
  <c r="TXC133" i="8"/>
  <c r="TXB133" i="8"/>
  <c r="TXA133" i="8"/>
  <c r="TWZ133" i="8"/>
  <c r="TWY133" i="8"/>
  <c r="TWX133" i="8"/>
  <c r="TWW133" i="8"/>
  <c r="TWV133" i="8"/>
  <c r="TWU133" i="8"/>
  <c r="TWT133" i="8"/>
  <c r="TWS133" i="8"/>
  <c r="TWR133" i="8"/>
  <c r="TWQ133" i="8"/>
  <c r="TWP133" i="8"/>
  <c r="TWO133" i="8"/>
  <c r="TWN133" i="8"/>
  <c r="TWM133" i="8"/>
  <c r="TWL133" i="8"/>
  <c r="TWK133" i="8"/>
  <c r="TWJ133" i="8"/>
  <c r="TWI133" i="8"/>
  <c r="TWH133" i="8"/>
  <c r="TWG133" i="8"/>
  <c r="TWF133" i="8"/>
  <c r="TWE133" i="8"/>
  <c r="TWD133" i="8"/>
  <c r="TWC133" i="8"/>
  <c r="TWB133" i="8"/>
  <c r="TWA133" i="8"/>
  <c r="TVZ133" i="8"/>
  <c r="TVY133" i="8"/>
  <c r="TVX133" i="8"/>
  <c r="TVW133" i="8"/>
  <c r="TVV133" i="8"/>
  <c r="TVU133" i="8"/>
  <c r="TVT133" i="8"/>
  <c r="TVS133" i="8"/>
  <c r="TVR133" i="8"/>
  <c r="TVQ133" i="8"/>
  <c r="TVP133" i="8"/>
  <c r="TVO133" i="8"/>
  <c r="TVN133" i="8"/>
  <c r="TVM133" i="8"/>
  <c r="TVL133" i="8"/>
  <c r="TVK133" i="8"/>
  <c r="TVJ133" i="8"/>
  <c r="TVI133" i="8"/>
  <c r="TVH133" i="8"/>
  <c r="TVG133" i="8"/>
  <c r="TVF133" i="8"/>
  <c r="TVE133" i="8"/>
  <c r="TVD133" i="8"/>
  <c r="TVC133" i="8"/>
  <c r="TVB133" i="8"/>
  <c r="TVA133" i="8"/>
  <c r="TUZ133" i="8"/>
  <c r="TUY133" i="8"/>
  <c r="TUX133" i="8"/>
  <c r="TUW133" i="8"/>
  <c r="TUV133" i="8"/>
  <c r="TUU133" i="8"/>
  <c r="TUT133" i="8"/>
  <c r="TUS133" i="8"/>
  <c r="TUR133" i="8"/>
  <c r="TUQ133" i="8"/>
  <c r="TUP133" i="8"/>
  <c r="TUO133" i="8"/>
  <c r="TUN133" i="8"/>
  <c r="TUM133" i="8"/>
  <c r="TUL133" i="8"/>
  <c r="TUK133" i="8"/>
  <c r="TUJ133" i="8"/>
  <c r="TUI133" i="8"/>
  <c r="TUH133" i="8"/>
  <c r="TUG133" i="8"/>
  <c r="TUF133" i="8"/>
  <c r="TUE133" i="8"/>
  <c r="TUD133" i="8"/>
  <c r="TUC133" i="8"/>
  <c r="TUB133" i="8"/>
  <c r="TUA133" i="8"/>
  <c r="TTZ133" i="8"/>
  <c r="TTY133" i="8"/>
  <c r="TTX133" i="8"/>
  <c r="TTW133" i="8"/>
  <c r="TTV133" i="8"/>
  <c r="TTU133" i="8"/>
  <c r="TTT133" i="8"/>
  <c r="TTS133" i="8"/>
  <c r="TTR133" i="8"/>
  <c r="TTQ133" i="8"/>
  <c r="TTP133" i="8"/>
  <c r="TTO133" i="8"/>
  <c r="TTN133" i="8"/>
  <c r="TTM133" i="8"/>
  <c r="TTL133" i="8"/>
  <c r="TTK133" i="8"/>
  <c r="TTJ133" i="8"/>
  <c r="TTI133" i="8"/>
  <c r="TTH133" i="8"/>
  <c r="TTG133" i="8"/>
  <c r="TTF133" i="8"/>
  <c r="TTE133" i="8"/>
  <c r="TTD133" i="8"/>
  <c r="TTC133" i="8"/>
  <c r="TTB133" i="8"/>
  <c r="TTA133" i="8"/>
  <c r="TSZ133" i="8"/>
  <c r="TSY133" i="8"/>
  <c r="TSX133" i="8"/>
  <c r="TSW133" i="8"/>
  <c r="TSV133" i="8"/>
  <c r="TSU133" i="8"/>
  <c r="TST133" i="8"/>
  <c r="TSS133" i="8"/>
  <c r="TSR133" i="8"/>
  <c r="TSQ133" i="8"/>
  <c r="TSP133" i="8"/>
  <c r="TSO133" i="8"/>
  <c r="TSN133" i="8"/>
  <c r="TSM133" i="8"/>
  <c r="TSL133" i="8"/>
  <c r="TSK133" i="8"/>
  <c r="TSJ133" i="8"/>
  <c r="TSI133" i="8"/>
  <c r="TSH133" i="8"/>
  <c r="TSG133" i="8"/>
  <c r="TSF133" i="8"/>
  <c r="TSE133" i="8"/>
  <c r="TSD133" i="8"/>
  <c r="TSC133" i="8"/>
  <c r="TSB133" i="8"/>
  <c r="TSA133" i="8"/>
  <c r="TRZ133" i="8"/>
  <c r="TRY133" i="8"/>
  <c r="TRX133" i="8"/>
  <c r="TRW133" i="8"/>
  <c r="TRV133" i="8"/>
  <c r="TRU133" i="8"/>
  <c r="TRT133" i="8"/>
  <c r="TRS133" i="8"/>
  <c r="TRR133" i="8"/>
  <c r="TRQ133" i="8"/>
  <c r="TRP133" i="8"/>
  <c r="TRO133" i="8"/>
  <c r="TRN133" i="8"/>
  <c r="TRM133" i="8"/>
  <c r="TRL133" i="8"/>
  <c r="TRK133" i="8"/>
  <c r="TRJ133" i="8"/>
  <c r="TRI133" i="8"/>
  <c r="TRH133" i="8"/>
  <c r="TRG133" i="8"/>
  <c r="TRF133" i="8"/>
  <c r="TRE133" i="8"/>
  <c r="TRD133" i="8"/>
  <c r="TRC133" i="8"/>
  <c r="TRB133" i="8"/>
  <c r="TRA133" i="8"/>
  <c r="TQZ133" i="8"/>
  <c r="TQY133" i="8"/>
  <c r="TQX133" i="8"/>
  <c r="TQW133" i="8"/>
  <c r="TQV133" i="8"/>
  <c r="TQU133" i="8"/>
  <c r="TQT133" i="8"/>
  <c r="TQS133" i="8"/>
  <c r="TQR133" i="8"/>
  <c r="TQQ133" i="8"/>
  <c r="TQP133" i="8"/>
  <c r="TQO133" i="8"/>
  <c r="TQN133" i="8"/>
  <c r="TQM133" i="8"/>
  <c r="TQL133" i="8"/>
  <c r="TQK133" i="8"/>
  <c r="TQJ133" i="8"/>
  <c r="TQI133" i="8"/>
  <c r="TQH133" i="8"/>
  <c r="TQG133" i="8"/>
  <c r="TQF133" i="8"/>
  <c r="TQE133" i="8"/>
  <c r="TQD133" i="8"/>
  <c r="TQC133" i="8"/>
  <c r="TQB133" i="8"/>
  <c r="TQA133" i="8"/>
  <c r="TPZ133" i="8"/>
  <c r="TPY133" i="8"/>
  <c r="TPX133" i="8"/>
  <c r="TPW133" i="8"/>
  <c r="TPV133" i="8"/>
  <c r="TPU133" i="8"/>
  <c r="TPT133" i="8"/>
  <c r="TPS133" i="8"/>
  <c r="TPR133" i="8"/>
  <c r="TPQ133" i="8"/>
  <c r="TPP133" i="8"/>
  <c r="TPO133" i="8"/>
  <c r="TPN133" i="8"/>
  <c r="TPM133" i="8"/>
  <c r="TPL133" i="8"/>
  <c r="TPK133" i="8"/>
  <c r="TPJ133" i="8"/>
  <c r="TPI133" i="8"/>
  <c r="TPH133" i="8"/>
  <c r="TPG133" i="8"/>
  <c r="TPF133" i="8"/>
  <c r="TPE133" i="8"/>
  <c r="TPD133" i="8"/>
  <c r="TPC133" i="8"/>
  <c r="TPB133" i="8"/>
  <c r="TPA133" i="8"/>
  <c r="TOZ133" i="8"/>
  <c r="TOY133" i="8"/>
  <c r="TOX133" i="8"/>
  <c r="TOW133" i="8"/>
  <c r="TOV133" i="8"/>
  <c r="TOU133" i="8"/>
  <c r="TOT133" i="8"/>
  <c r="TOS133" i="8"/>
  <c r="TOR133" i="8"/>
  <c r="TOQ133" i="8"/>
  <c r="TOP133" i="8"/>
  <c r="TOO133" i="8"/>
  <c r="TON133" i="8"/>
  <c r="TOM133" i="8"/>
  <c r="TOL133" i="8"/>
  <c r="TOK133" i="8"/>
  <c r="TOJ133" i="8"/>
  <c r="TOI133" i="8"/>
  <c r="TOH133" i="8"/>
  <c r="TOG133" i="8"/>
  <c r="TOF133" i="8"/>
  <c r="TOE133" i="8"/>
  <c r="TOD133" i="8"/>
  <c r="TOC133" i="8"/>
  <c r="TOB133" i="8"/>
  <c r="TOA133" i="8"/>
  <c r="TNZ133" i="8"/>
  <c r="TNY133" i="8"/>
  <c r="TNX133" i="8"/>
  <c r="TNW133" i="8"/>
  <c r="TNV133" i="8"/>
  <c r="TNU133" i="8"/>
  <c r="TNT133" i="8"/>
  <c r="TNS133" i="8"/>
  <c r="TNR133" i="8"/>
  <c r="TNQ133" i="8"/>
  <c r="TNP133" i="8"/>
  <c r="TNO133" i="8"/>
  <c r="TNN133" i="8"/>
  <c r="TNM133" i="8"/>
  <c r="TNL133" i="8"/>
  <c r="TNK133" i="8"/>
  <c r="TNJ133" i="8"/>
  <c r="TNI133" i="8"/>
  <c r="TNH133" i="8"/>
  <c r="TNG133" i="8"/>
  <c r="TNF133" i="8"/>
  <c r="TNE133" i="8"/>
  <c r="TND133" i="8"/>
  <c r="TNC133" i="8"/>
  <c r="TNB133" i="8"/>
  <c r="TNA133" i="8"/>
  <c r="TMZ133" i="8"/>
  <c r="TMY133" i="8"/>
  <c r="TMX133" i="8"/>
  <c r="TMW133" i="8"/>
  <c r="TMV133" i="8"/>
  <c r="TMU133" i="8"/>
  <c r="TMT133" i="8"/>
  <c r="TMS133" i="8"/>
  <c r="TMR133" i="8"/>
  <c r="TMQ133" i="8"/>
  <c r="TMP133" i="8"/>
  <c r="TMO133" i="8"/>
  <c r="TMN133" i="8"/>
  <c r="TMM133" i="8"/>
  <c r="TML133" i="8"/>
  <c r="TMK133" i="8"/>
  <c r="TMJ133" i="8"/>
  <c r="TMI133" i="8"/>
  <c r="TMH133" i="8"/>
  <c r="TMG133" i="8"/>
  <c r="TMF133" i="8"/>
  <c r="TME133" i="8"/>
  <c r="TMD133" i="8"/>
  <c r="TMC133" i="8"/>
  <c r="TMB133" i="8"/>
  <c r="TMA133" i="8"/>
  <c r="TLZ133" i="8"/>
  <c r="TLY133" i="8"/>
  <c r="TLX133" i="8"/>
  <c r="TLW133" i="8"/>
  <c r="TLV133" i="8"/>
  <c r="TLU133" i="8"/>
  <c r="TLT133" i="8"/>
  <c r="TLS133" i="8"/>
  <c r="TLR133" i="8"/>
  <c r="TLQ133" i="8"/>
  <c r="TLP133" i="8"/>
  <c r="TLO133" i="8"/>
  <c r="TLN133" i="8"/>
  <c r="TLM133" i="8"/>
  <c r="TLL133" i="8"/>
  <c r="TLK133" i="8"/>
  <c r="TLJ133" i="8"/>
  <c r="TLI133" i="8"/>
  <c r="TLH133" i="8"/>
  <c r="TLG133" i="8"/>
  <c r="TLF133" i="8"/>
  <c r="TLE133" i="8"/>
  <c r="TLD133" i="8"/>
  <c r="TLC133" i="8"/>
  <c r="TLB133" i="8"/>
  <c r="TLA133" i="8"/>
  <c r="TKZ133" i="8"/>
  <c r="TKY133" i="8"/>
  <c r="TKX133" i="8"/>
  <c r="TKW133" i="8"/>
  <c r="TKV133" i="8"/>
  <c r="TKU133" i="8"/>
  <c r="TKT133" i="8"/>
  <c r="TKS133" i="8"/>
  <c r="TKR133" i="8"/>
  <c r="TKQ133" i="8"/>
  <c r="TKP133" i="8"/>
  <c r="TKO133" i="8"/>
  <c r="TKN133" i="8"/>
  <c r="TKM133" i="8"/>
  <c r="TKL133" i="8"/>
  <c r="TKK133" i="8"/>
  <c r="TKJ133" i="8"/>
  <c r="TKI133" i="8"/>
  <c r="TKH133" i="8"/>
  <c r="TKG133" i="8"/>
  <c r="TKF133" i="8"/>
  <c r="TKE133" i="8"/>
  <c r="TKD133" i="8"/>
  <c r="TKC133" i="8"/>
  <c r="TKB133" i="8"/>
  <c r="TKA133" i="8"/>
  <c r="TJZ133" i="8"/>
  <c r="TJY133" i="8"/>
  <c r="TJX133" i="8"/>
  <c r="TJW133" i="8"/>
  <c r="TJV133" i="8"/>
  <c r="TJU133" i="8"/>
  <c r="TJT133" i="8"/>
  <c r="TJS133" i="8"/>
  <c r="TJR133" i="8"/>
  <c r="TJQ133" i="8"/>
  <c r="TJP133" i="8"/>
  <c r="TJO133" i="8"/>
  <c r="TJN133" i="8"/>
  <c r="TJM133" i="8"/>
  <c r="TJL133" i="8"/>
  <c r="TJK133" i="8"/>
  <c r="TJJ133" i="8"/>
  <c r="TJI133" i="8"/>
  <c r="TJH133" i="8"/>
  <c r="TJG133" i="8"/>
  <c r="TJF133" i="8"/>
  <c r="TJE133" i="8"/>
  <c r="TJD133" i="8"/>
  <c r="TJC133" i="8"/>
  <c r="TJB133" i="8"/>
  <c r="TJA133" i="8"/>
  <c r="TIZ133" i="8"/>
  <c r="TIY133" i="8"/>
  <c r="TIX133" i="8"/>
  <c r="TIW133" i="8"/>
  <c r="TIV133" i="8"/>
  <c r="TIU133" i="8"/>
  <c r="TIT133" i="8"/>
  <c r="TIS133" i="8"/>
  <c r="TIR133" i="8"/>
  <c r="TIQ133" i="8"/>
  <c r="TIP133" i="8"/>
  <c r="TIO133" i="8"/>
  <c r="TIN133" i="8"/>
  <c r="TIM133" i="8"/>
  <c r="TIL133" i="8"/>
  <c r="TIK133" i="8"/>
  <c r="TIJ133" i="8"/>
  <c r="TII133" i="8"/>
  <c r="TIH133" i="8"/>
  <c r="TIG133" i="8"/>
  <c r="TIF133" i="8"/>
  <c r="TIE133" i="8"/>
  <c r="TID133" i="8"/>
  <c r="TIC133" i="8"/>
  <c r="TIB133" i="8"/>
  <c r="TIA133" i="8"/>
  <c r="THZ133" i="8"/>
  <c r="THY133" i="8"/>
  <c r="THX133" i="8"/>
  <c r="THW133" i="8"/>
  <c r="THV133" i="8"/>
  <c r="THU133" i="8"/>
  <c r="THT133" i="8"/>
  <c r="THS133" i="8"/>
  <c r="THR133" i="8"/>
  <c r="THQ133" i="8"/>
  <c r="THP133" i="8"/>
  <c r="THO133" i="8"/>
  <c r="THN133" i="8"/>
  <c r="THM133" i="8"/>
  <c r="THL133" i="8"/>
  <c r="THK133" i="8"/>
  <c r="THJ133" i="8"/>
  <c r="THI133" i="8"/>
  <c r="THH133" i="8"/>
  <c r="THG133" i="8"/>
  <c r="THF133" i="8"/>
  <c r="THE133" i="8"/>
  <c r="THD133" i="8"/>
  <c r="THC133" i="8"/>
  <c r="THB133" i="8"/>
  <c r="THA133" i="8"/>
  <c r="TGZ133" i="8"/>
  <c r="TGY133" i="8"/>
  <c r="TGX133" i="8"/>
  <c r="TGW133" i="8"/>
  <c r="TGV133" i="8"/>
  <c r="TGU133" i="8"/>
  <c r="TGT133" i="8"/>
  <c r="TGS133" i="8"/>
  <c r="TGR133" i="8"/>
  <c r="TGQ133" i="8"/>
  <c r="TGP133" i="8"/>
  <c r="TGO133" i="8"/>
  <c r="TGN133" i="8"/>
  <c r="TGM133" i="8"/>
  <c r="TGL133" i="8"/>
  <c r="TGK133" i="8"/>
  <c r="TGJ133" i="8"/>
  <c r="TGI133" i="8"/>
  <c r="TGH133" i="8"/>
  <c r="TGG133" i="8"/>
  <c r="TGF133" i="8"/>
  <c r="TGE133" i="8"/>
  <c r="TGD133" i="8"/>
  <c r="TGC133" i="8"/>
  <c r="TGB133" i="8"/>
  <c r="TGA133" i="8"/>
  <c r="TFZ133" i="8"/>
  <c r="TFY133" i="8"/>
  <c r="TFX133" i="8"/>
  <c r="TFW133" i="8"/>
  <c r="TFV133" i="8"/>
  <c r="TFU133" i="8"/>
  <c r="TFT133" i="8"/>
  <c r="TFS133" i="8"/>
  <c r="TFR133" i="8"/>
  <c r="TFQ133" i="8"/>
  <c r="TFP133" i="8"/>
  <c r="TFO133" i="8"/>
  <c r="TFN133" i="8"/>
  <c r="TFM133" i="8"/>
  <c r="TFL133" i="8"/>
  <c r="TFK133" i="8"/>
  <c r="TFJ133" i="8"/>
  <c r="TFI133" i="8"/>
  <c r="TFH133" i="8"/>
  <c r="TFG133" i="8"/>
  <c r="TFF133" i="8"/>
  <c r="TFE133" i="8"/>
  <c r="TFD133" i="8"/>
  <c r="TFC133" i="8"/>
  <c r="TFB133" i="8"/>
  <c r="TFA133" i="8"/>
  <c r="TEZ133" i="8"/>
  <c r="TEY133" i="8"/>
  <c r="TEX133" i="8"/>
  <c r="TEW133" i="8"/>
  <c r="TEV133" i="8"/>
  <c r="TEU133" i="8"/>
  <c r="TET133" i="8"/>
  <c r="TES133" i="8"/>
  <c r="TER133" i="8"/>
  <c r="TEQ133" i="8"/>
  <c r="TEP133" i="8"/>
  <c r="TEO133" i="8"/>
  <c r="TEN133" i="8"/>
  <c r="TEM133" i="8"/>
  <c r="TEL133" i="8"/>
  <c r="TEK133" i="8"/>
  <c r="TEJ133" i="8"/>
  <c r="TEI133" i="8"/>
  <c r="TEH133" i="8"/>
  <c r="TEG133" i="8"/>
  <c r="TEF133" i="8"/>
  <c r="TEE133" i="8"/>
  <c r="TED133" i="8"/>
  <c r="TEC133" i="8"/>
  <c r="TEB133" i="8"/>
  <c r="TEA133" i="8"/>
  <c r="TDZ133" i="8"/>
  <c r="TDY133" i="8"/>
  <c r="TDX133" i="8"/>
  <c r="TDW133" i="8"/>
  <c r="TDV133" i="8"/>
  <c r="TDU133" i="8"/>
  <c r="TDT133" i="8"/>
  <c r="TDS133" i="8"/>
  <c r="TDR133" i="8"/>
  <c r="TDQ133" i="8"/>
  <c r="TDP133" i="8"/>
  <c r="TDO133" i="8"/>
  <c r="TDN133" i="8"/>
  <c r="TDM133" i="8"/>
  <c r="TDL133" i="8"/>
  <c r="TDK133" i="8"/>
  <c r="TDJ133" i="8"/>
  <c r="TDI133" i="8"/>
  <c r="TDH133" i="8"/>
  <c r="TDG133" i="8"/>
  <c r="TDF133" i="8"/>
  <c r="TDE133" i="8"/>
  <c r="TDD133" i="8"/>
  <c r="TDC133" i="8"/>
  <c r="TDB133" i="8"/>
  <c r="TDA133" i="8"/>
  <c r="TCZ133" i="8"/>
  <c r="TCY133" i="8"/>
  <c r="TCX133" i="8"/>
  <c r="TCW133" i="8"/>
  <c r="TCV133" i="8"/>
  <c r="TCU133" i="8"/>
  <c r="TCT133" i="8"/>
  <c r="TCS133" i="8"/>
  <c r="TCR133" i="8"/>
  <c r="TCQ133" i="8"/>
  <c r="TCP133" i="8"/>
  <c r="TCO133" i="8"/>
  <c r="TCN133" i="8"/>
  <c r="TCM133" i="8"/>
  <c r="TCL133" i="8"/>
  <c r="TCK133" i="8"/>
  <c r="TCJ133" i="8"/>
  <c r="TCI133" i="8"/>
  <c r="TCH133" i="8"/>
  <c r="TCG133" i="8"/>
  <c r="TCF133" i="8"/>
  <c r="TCE133" i="8"/>
  <c r="TCD133" i="8"/>
  <c r="TCC133" i="8"/>
  <c r="TCB133" i="8"/>
  <c r="TCA133" i="8"/>
  <c r="TBZ133" i="8"/>
  <c r="TBY133" i="8"/>
  <c r="TBX133" i="8"/>
  <c r="TBW133" i="8"/>
  <c r="TBV133" i="8"/>
  <c r="TBU133" i="8"/>
  <c r="TBT133" i="8"/>
  <c r="TBS133" i="8"/>
  <c r="TBR133" i="8"/>
  <c r="TBQ133" i="8"/>
  <c r="TBP133" i="8"/>
  <c r="TBO133" i="8"/>
  <c r="TBN133" i="8"/>
  <c r="TBM133" i="8"/>
  <c r="TBL133" i="8"/>
  <c r="TBK133" i="8"/>
  <c r="TBJ133" i="8"/>
  <c r="TBI133" i="8"/>
  <c r="TBH133" i="8"/>
  <c r="TBG133" i="8"/>
  <c r="TBF133" i="8"/>
  <c r="TBE133" i="8"/>
  <c r="TBD133" i="8"/>
  <c r="TBC133" i="8"/>
  <c r="TBB133" i="8"/>
  <c r="TBA133" i="8"/>
  <c r="TAZ133" i="8"/>
  <c r="TAY133" i="8"/>
  <c r="TAX133" i="8"/>
  <c r="TAW133" i="8"/>
  <c r="TAV133" i="8"/>
  <c r="TAU133" i="8"/>
  <c r="TAT133" i="8"/>
  <c r="TAS133" i="8"/>
  <c r="TAR133" i="8"/>
  <c r="TAQ133" i="8"/>
  <c r="TAP133" i="8"/>
  <c r="TAO133" i="8"/>
  <c r="TAN133" i="8"/>
  <c r="TAM133" i="8"/>
  <c r="TAL133" i="8"/>
  <c r="TAK133" i="8"/>
  <c r="TAJ133" i="8"/>
  <c r="TAI133" i="8"/>
  <c r="TAH133" i="8"/>
  <c r="TAG133" i="8"/>
  <c r="TAF133" i="8"/>
  <c r="TAE133" i="8"/>
  <c r="TAD133" i="8"/>
  <c r="TAC133" i="8"/>
  <c r="TAB133" i="8"/>
  <c r="TAA133" i="8"/>
  <c r="SZZ133" i="8"/>
  <c r="SZY133" i="8"/>
  <c r="SZX133" i="8"/>
  <c r="SZW133" i="8"/>
  <c r="SZV133" i="8"/>
  <c r="SZU133" i="8"/>
  <c r="SZT133" i="8"/>
  <c r="SZS133" i="8"/>
  <c r="SZR133" i="8"/>
  <c r="SZQ133" i="8"/>
  <c r="SZP133" i="8"/>
  <c r="SZO133" i="8"/>
  <c r="SZN133" i="8"/>
  <c r="SZM133" i="8"/>
  <c r="SZL133" i="8"/>
  <c r="SZK133" i="8"/>
  <c r="SZJ133" i="8"/>
  <c r="SZI133" i="8"/>
  <c r="SZH133" i="8"/>
  <c r="SZG133" i="8"/>
  <c r="SZF133" i="8"/>
  <c r="SZE133" i="8"/>
  <c r="SZD133" i="8"/>
  <c r="SZC133" i="8"/>
  <c r="SZB133" i="8"/>
  <c r="SZA133" i="8"/>
  <c r="SYZ133" i="8"/>
  <c r="SYY133" i="8"/>
  <c r="SYX133" i="8"/>
  <c r="SYW133" i="8"/>
  <c r="SYV133" i="8"/>
  <c r="SYU133" i="8"/>
  <c r="SYT133" i="8"/>
  <c r="SYS133" i="8"/>
  <c r="SYR133" i="8"/>
  <c r="SYQ133" i="8"/>
  <c r="SYP133" i="8"/>
  <c r="SYO133" i="8"/>
  <c r="SYN133" i="8"/>
  <c r="SYM133" i="8"/>
  <c r="SYL133" i="8"/>
  <c r="SYK133" i="8"/>
  <c r="SYJ133" i="8"/>
  <c r="SYI133" i="8"/>
  <c r="SYH133" i="8"/>
  <c r="SYG133" i="8"/>
  <c r="SYF133" i="8"/>
  <c r="SYE133" i="8"/>
  <c r="SYD133" i="8"/>
  <c r="SYC133" i="8"/>
  <c r="SYB133" i="8"/>
  <c r="SYA133" i="8"/>
  <c r="SXZ133" i="8"/>
  <c r="SXY133" i="8"/>
  <c r="SXX133" i="8"/>
  <c r="SXW133" i="8"/>
  <c r="SXV133" i="8"/>
  <c r="SXU133" i="8"/>
  <c r="SXT133" i="8"/>
  <c r="SXS133" i="8"/>
  <c r="SXR133" i="8"/>
  <c r="SXQ133" i="8"/>
  <c r="SXP133" i="8"/>
  <c r="SXO133" i="8"/>
  <c r="SXN133" i="8"/>
  <c r="SXM133" i="8"/>
  <c r="SXL133" i="8"/>
  <c r="SXK133" i="8"/>
  <c r="SXJ133" i="8"/>
  <c r="SXI133" i="8"/>
  <c r="SXH133" i="8"/>
  <c r="SXG133" i="8"/>
  <c r="SXF133" i="8"/>
  <c r="SXE133" i="8"/>
  <c r="SXD133" i="8"/>
  <c r="SXC133" i="8"/>
  <c r="SXB133" i="8"/>
  <c r="SXA133" i="8"/>
  <c r="SWZ133" i="8"/>
  <c r="SWY133" i="8"/>
  <c r="SWX133" i="8"/>
  <c r="SWW133" i="8"/>
  <c r="SWV133" i="8"/>
  <c r="SWU133" i="8"/>
  <c r="SWT133" i="8"/>
  <c r="SWS133" i="8"/>
  <c r="SWR133" i="8"/>
  <c r="SWQ133" i="8"/>
  <c r="SWP133" i="8"/>
  <c r="SWO133" i="8"/>
  <c r="SWN133" i="8"/>
  <c r="SWM133" i="8"/>
  <c r="SWL133" i="8"/>
  <c r="SWK133" i="8"/>
  <c r="SWJ133" i="8"/>
  <c r="SWI133" i="8"/>
  <c r="SWH133" i="8"/>
  <c r="SWG133" i="8"/>
  <c r="SWF133" i="8"/>
  <c r="SWE133" i="8"/>
  <c r="SWD133" i="8"/>
  <c r="SWC133" i="8"/>
  <c r="SWB133" i="8"/>
  <c r="SWA133" i="8"/>
  <c r="SVZ133" i="8"/>
  <c r="SVY133" i="8"/>
  <c r="SVX133" i="8"/>
  <c r="SVW133" i="8"/>
  <c r="SVV133" i="8"/>
  <c r="SVU133" i="8"/>
  <c r="SVT133" i="8"/>
  <c r="SVS133" i="8"/>
  <c r="SVR133" i="8"/>
  <c r="SVQ133" i="8"/>
  <c r="SVP133" i="8"/>
  <c r="SVO133" i="8"/>
  <c r="SVN133" i="8"/>
  <c r="SVM133" i="8"/>
  <c r="SVL133" i="8"/>
  <c r="SVK133" i="8"/>
  <c r="SVJ133" i="8"/>
  <c r="SVI133" i="8"/>
  <c r="SVH133" i="8"/>
  <c r="SVG133" i="8"/>
  <c r="SVF133" i="8"/>
  <c r="SVE133" i="8"/>
  <c r="SVD133" i="8"/>
  <c r="SVC133" i="8"/>
  <c r="SVB133" i="8"/>
  <c r="SVA133" i="8"/>
  <c r="SUZ133" i="8"/>
  <c r="SUY133" i="8"/>
  <c r="SUX133" i="8"/>
  <c r="SUW133" i="8"/>
  <c r="SUV133" i="8"/>
  <c r="SUU133" i="8"/>
  <c r="SUT133" i="8"/>
  <c r="SUS133" i="8"/>
  <c r="SUR133" i="8"/>
  <c r="SUQ133" i="8"/>
  <c r="SUP133" i="8"/>
  <c r="SUO133" i="8"/>
  <c r="SUN133" i="8"/>
  <c r="SUM133" i="8"/>
  <c r="SUL133" i="8"/>
  <c r="SUK133" i="8"/>
  <c r="SUJ133" i="8"/>
  <c r="SUI133" i="8"/>
  <c r="SUH133" i="8"/>
  <c r="SUG133" i="8"/>
  <c r="SUF133" i="8"/>
  <c r="SUE133" i="8"/>
  <c r="SUD133" i="8"/>
  <c r="SUC133" i="8"/>
  <c r="SUB133" i="8"/>
  <c r="SUA133" i="8"/>
  <c r="STZ133" i="8"/>
  <c r="STY133" i="8"/>
  <c r="STX133" i="8"/>
  <c r="STW133" i="8"/>
  <c r="STV133" i="8"/>
  <c r="STU133" i="8"/>
  <c r="STT133" i="8"/>
  <c r="STS133" i="8"/>
  <c r="STR133" i="8"/>
  <c r="STQ133" i="8"/>
  <c r="STP133" i="8"/>
  <c r="STO133" i="8"/>
  <c r="STN133" i="8"/>
  <c r="STM133" i="8"/>
  <c r="STL133" i="8"/>
  <c r="STK133" i="8"/>
  <c r="STJ133" i="8"/>
  <c r="STI133" i="8"/>
  <c r="STH133" i="8"/>
  <c r="STG133" i="8"/>
  <c r="STF133" i="8"/>
  <c r="STE133" i="8"/>
  <c r="STD133" i="8"/>
  <c r="STC133" i="8"/>
  <c r="STB133" i="8"/>
  <c r="STA133" i="8"/>
  <c r="SSZ133" i="8"/>
  <c r="SSY133" i="8"/>
  <c r="SSX133" i="8"/>
  <c r="SSW133" i="8"/>
  <c r="SSV133" i="8"/>
  <c r="SSU133" i="8"/>
  <c r="SST133" i="8"/>
  <c r="SSS133" i="8"/>
  <c r="SSR133" i="8"/>
  <c r="SSQ133" i="8"/>
  <c r="SSP133" i="8"/>
  <c r="SSO133" i="8"/>
  <c r="SSN133" i="8"/>
  <c r="SSM133" i="8"/>
  <c r="SSL133" i="8"/>
  <c r="SSK133" i="8"/>
  <c r="SSJ133" i="8"/>
  <c r="SSI133" i="8"/>
  <c r="SSH133" i="8"/>
  <c r="SSG133" i="8"/>
  <c r="SSF133" i="8"/>
  <c r="SSE133" i="8"/>
  <c r="SSD133" i="8"/>
  <c r="SSC133" i="8"/>
  <c r="SSB133" i="8"/>
  <c r="SSA133" i="8"/>
  <c r="SRZ133" i="8"/>
  <c r="SRY133" i="8"/>
  <c r="SRX133" i="8"/>
  <c r="SRW133" i="8"/>
  <c r="SRV133" i="8"/>
  <c r="SRU133" i="8"/>
  <c r="SRT133" i="8"/>
  <c r="SRS133" i="8"/>
  <c r="SRR133" i="8"/>
  <c r="SRQ133" i="8"/>
  <c r="SRP133" i="8"/>
  <c r="SRO133" i="8"/>
  <c r="SRN133" i="8"/>
  <c r="SRM133" i="8"/>
  <c r="SRL133" i="8"/>
  <c r="SRK133" i="8"/>
  <c r="SRJ133" i="8"/>
  <c r="SRI133" i="8"/>
  <c r="SRH133" i="8"/>
  <c r="SRG133" i="8"/>
  <c r="SRF133" i="8"/>
  <c r="SRE133" i="8"/>
  <c r="SRD133" i="8"/>
  <c r="SRC133" i="8"/>
  <c r="SRB133" i="8"/>
  <c r="SRA133" i="8"/>
  <c r="SQZ133" i="8"/>
  <c r="SQY133" i="8"/>
  <c r="SQX133" i="8"/>
  <c r="SQW133" i="8"/>
  <c r="SQV133" i="8"/>
  <c r="SQU133" i="8"/>
  <c r="SQT133" i="8"/>
  <c r="SQS133" i="8"/>
  <c r="SQR133" i="8"/>
  <c r="SQQ133" i="8"/>
  <c r="SQP133" i="8"/>
  <c r="SQO133" i="8"/>
  <c r="SQN133" i="8"/>
  <c r="SQM133" i="8"/>
  <c r="SQL133" i="8"/>
  <c r="SQK133" i="8"/>
  <c r="SQJ133" i="8"/>
  <c r="SQI133" i="8"/>
  <c r="SQH133" i="8"/>
  <c r="SQG133" i="8"/>
  <c r="SQF133" i="8"/>
  <c r="SQE133" i="8"/>
  <c r="SQD133" i="8"/>
  <c r="SQC133" i="8"/>
  <c r="SQB133" i="8"/>
  <c r="SQA133" i="8"/>
  <c r="SPZ133" i="8"/>
  <c r="SPY133" i="8"/>
  <c r="SPX133" i="8"/>
  <c r="SPW133" i="8"/>
  <c r="SPV133" i="8"/>
  <c r="SPU133" i="8"/>
  <c r="SPT133" i="8"/>
  <c r="SPS133" i="8"/>
  <c r="SPR133" i="8"/>
  <c r="SPQ133" i="8"/>
  <c r="SPP133" i="8"/>
  <c r="SPO133" i="8"/>
  <c r="SPN133" i="8"/>
  <c r="SPM133" i="8"/>
  <c r="SPL133" i="8"/>
  <c r="SPK133" i="8"/>
  <c r="SPJ133" i="8"/>
  <c r="SPI133" i="8"/>
  <c r="SPH133" i="8"/>
  <c r="SPG133" i="8"/>
  <c r="SPF133" i="8"/>
  <c r="SPE133" i="8"/>
  <c r="SPD133" i="8"/>
  <c r="SPC133" i="8"/>
  <c r="SPB133" i="8"/>
  <c r="SPA133" i="8"/>
  <c r="SOZ133" i="8"/>
  <c r="SOY133" i="8"/>
  <c r="SOX133" i="8"/>
  <c r="SOW133" i="8"/>
  <c r="SOV133" i="8"/>
  <c r="SOU133" i="8"/>
  <c r="SOT133" i="8"/>
  <c r="SOS133" i="8"/>
  <c r="SOR133" i="8"/>
  <c r="SOQ133" i="8"/>
  <c r="SOP133" i="8"/>
  <c r="SOO133" i="8"/>
  <c r="SON133" i="8"/>
  <c r="SOM133" i="8"/>
  <c r="SOL133" i="8"/>
  <c r="SOK133" i="8"/>
  <c r="SOJ133" i="8"/>
  <c r="SOI133" i="8"/>
  <c r="SOH133" i="8"/>
  <c r="SOG133" i="8"/>
  <c r="SOF133" i="8"/>
  <c r="SOE133" i="8"/>
  <c r="SOD133" i="8"/>
  <c r="SOC133" i="8"/>
  <c r="SOB133" i="8"/>
  <c r="SOA133" i="8"/>
  <c r="SNZ133" i="8"/>
  <c r="SNY133" i="8"/>
  <c r="SNX133" i="8"/>
  <c r="SNW133" i="8"/>
  <c r="SNV133" i="8"/>
  <c r="SNU133" i="8"/>
  <c r="SNT133" i="8"/>
  <c r="SNS133" i="8"/>
  <c r="SNR133" i="8"/>
  <c r="SNQ133" i="8"/>
  <c r="SNP133" i="8"/>
  <c r="SNO133" i="8"/>
  <c r="SNN133" i="8"/>
  <c r="SNM133" i="8"/>
  <c r="SNL133" i="8"/>
  <c r="SNK133" i="8"/>
  <c r="SNJ133" i="8"/>
  <c r="SNI133" i="8"/>
  <c r="SNH133" i="8"/>
  <c r="SNG133" i="8"/>
  <c r="SNF133" i="8"/>
  <c r="SNE133" i="8"/>
  <c r="SND133" i="8"/>
  <c r="SNC133" i="8"/>
  <c r="SNB133" i="8"/>
  <c r="SNA133" i="8"/>
  <c r="SMZ133" i="8"/>
  <c r="SMY133" i="8"/>
  <c r="SMX133" i="8"/>
  <c r="SMW133" i="8"/>
  <c r="SMV133" i="8"/>
  <c r="SMU133" i="8"/>
  <c r="SMT133" i="8"/>
  <c r="SMS133" i="8"/>
  <c r="SMR133" i="8"/>
  <c r="SMQ133" i="8"/>
  <c r="SMP133" i="8"/>
  <c r="SMO133" i="8"/>
  <c r="SMN133" i="8"/>
  <c r="SMM133" i="8"/>
  <c r="SML133" i="8"/>
  <c r="SMK133" i="8"/>
  <c r="SMJ133" i="8"/>
  <c r="SMI133" i="8"/>
  <c r="SMH133" i="8"/>
  <c r="SMG133" i="8"/>
  <c r="SMF133" i="8"/>
  <c r="SME133" i="8"/>
  <c r="SMD133" i="8"/>
  <c r="SMC133" i="8"/>
  <c r="SMB133" i="8"/>
  <c r="SMA133" i="8"/>
  <c r="SLZ133" i="8"/>
  <c r="SLY133" i="8"/>
  <c r="SLX133" i="8"/>
  <c r="SLW133" i="8"/>
  <c r="SLV133" i="8"/>
  <c r="SLU133" i="8"/>
  <c r="SLT133" i="8"/>
  <c r="SLS133" i="8"/>
  <c r="SLR133" i="8"/>
  <c r="SLQ133" i="8"/>
  <c r="SLP133" i="8"/>
  <c r="SLO133" i="8"/>
  <c r="SLN133" i="8"/>
  <c r="SLM133" i="8"/>
  <c r="SLL133" i="8"/>
  <c r="SLK133" i="8"/>
  <c r="SLJ133" i="8"/>
  <c r="SLI133" i="8"/>
  <c r="SLH133" i="8"/>
  <c r="SLG133" i="8"/>
  <c r="SLF133" i="8"/>
  <c r="SLE133" i="8"/>
  <c r="SLD133" i="8"/>
  <c r="SLC133" i="8"/>
  <c r="SLB133" i="8"/>
  <c r="SLA133" i="8"/>
  <c r="SKZ133" i="8"/>
  <c r="SKY133" i="8"/>
  <c r="SKX133" i="8"/>
  <c r="SKW133" i="8"/>
  <c r="SKV133" i="8"/>
  <c r="SKU133" i="8"/>
  <c r="SKT133" i="8"/>
  <c r="SKS133" i="8"/>
  <c r="SKR133" i="8"/>
  <c r="SKQ133" i="8"/>
  <c r="SKP133" i="8"/>
  <c r="SKO133" i="8"/>
  <c r="SKN133" i="8"/>
  <c r="SKM133" i="8"/>
  <c r="SKL133" i="8"/>
  <c r="SKK133" i="8"/>
  <c r="SKJ133" i="8"/>
  <c r="SKI133" i="8"/>
  <c r="SKH133" i="8"/>
  <c r="SKG133" i="8"/>
  <c r="SKF133" i="8"/>
  <c r="SKE133" i="8"/>
  <c r="SKD133" i="8"/>
  <c r="SKC133" i="8"/>
  <c r="SKB133" i="8"/>
  <c r="SKA133" i="8"/>
  <c r="SJZ133" i="8"/>
  <c r="SJY133" i="8"/>
  <c r="SJX133" i="8"/>
  <c r="SJW133" i="8"/>
  <c r="SJV133" i="8"/>
  <c r="SJU133" i="8"/>
  <c r="SJT133" i="8"/>
  <c r="SJS133" i="8"/>
  <c r="SJR133" i="8"/>
  <c r="SJQ133" i="8"/>
  <c r="SJP133" i="8"/>
  <c r="SJO133" i="8"/>
  <c r="SJN133" i="8"/>
  <c r="SJM133" i="8"/>
  <c r="SJL133" i="8"/>
  <c r="SJK133" i="8"/>
  <c r="SJJ133" i="8"/>
  <c r="SJI133" i="8"/>
  <c r="SJH133" i="8"/>
  <c r="SJG133" i="8"/>
  <c r="SJF133" i="8"/>
  <c r="SJE133" i="8"/>
  <c r="SJD133" i="8"/>
  <c r="SJC133" i="8"/>
  <c r="SJB133" i="8"/>
  <c r="SJA133" i="8"/>
  <c r="SIZ133" i="8"/>
  <c r="SIY133" i="8"/>
  <c r="SIX133" i="8"/>
  <c r="SIW133" i="8"/>
  <c r="SIV133" i="8"/>
  <c r="SIU133" i="8"/>
  <c r="SIT133" i="8"/>
  <c r="SIS133" i="8"/>
  <c r="SIR133" i="8"/>
  <c r="SIQ133" i="8"/>
  <c r="SIP133" i="8"/>
  <c r="SIO133" i="8"/>
  <c r="SIN133" i="8"/>
  <c r="SIM133" i="8"/>
  <c r="SIL133" i="8"/>
  <c r="SIK133" i="8"/>
  <c r="SIJ133" i="8"/>
  <c r="SII133" i="8"/>
  <c r="SIH133" i="8"/>
  <c r="SIG133" i="8"/>
  <c r="SIF133" i="8"/>
  <c r="SIE133" i="8"/>
  <c r="SID133" i="8"/>
  <c r="SIC133" i="8"/>
  <c r="SIB133" i="8"/>
  <c r="SIA133" i="8"/>
  <c r="SHZ133" i="8"/>
  <c r="SHY133" i="8"/>
  <c r="SHX133" i="8"/>
  <c r="SHW133" i="8"/>
  <c r="SHV133" i="8"/>
  <c r="SHU133" i="8"/>
  <c r="SHT133" i="8"/>
  <c r="SHS133" i="8"/>
  <c r="SHR133" i="8"/>
  <c r="SHQ133" i="8"/>
  <c r="SHP133" i="8"/>
  <c r="SHO133" i="8"/>
  <c r="SHN133" i="8"/>
  <c r="SHM133" i="8"/>
  <c r="SHL133" i="8"/>
  <c r="SHK133" i="8"/>
  <c r="SHJ133" i="8"/>
  <c r="SHI133" i="8"/>
  <c r="SHH133" i="8"/>
  <c r="SHG133" i="8"/>
  <c r="SHF133" i="8"/>
  <c r="SHE133" i="8"/>
  <c r="SHD133" i="8"/>
  <c r="SHC133" i="8"/>
  <c r="SHB133" i="8"/>
  <c r="SHA133" i="8"/>
  <c r="SGZ133" i="8"/>
  <c r="SGY133" i="8"/>
  <c r="SGX133" i="8"/>
  <c r="SGW133" i="8"/>
  <c r="SGV133" i="8"/>
  <c r="SGU133" i="8"/>
  <c r="SGT133" i="8"/>
  <c r="SGS133" i="8"/>
  <c r="SGR133" i="8"/>
  <c r="SGQ133" i="8"/>
  <c r="SGP133" i="8"/>
  <c r="SGO133" i="8"/>
  <c r="SGN133" i="8"/>
  <c r="SGM133" i="8"/>
  <c r="SGL133" i="8"/>
  <c r="SGK133" i="8"/>
  <c r="SGJ133" i="8"/>
  <c r="SGI133" i="8"/>
  <c r="SGH133" i="8"/>
  <c r="SGG133" i="8"/>
  <c r="SGF133" i="8"/>
  <c r="SGE133" i="8"/>
  <c r="SGD133" i="8"/>
  <c r="SGC133" i="8"/>
  <c r="SGB133" i="8"/>
  <c r="SGA133" i="8"/>
  <c r="SFZ133" i="8"/>
  <c r="SFY133" i="8"/>
  <c r="SFX133" i="8"/>
  <c r="SFW133" i="8"/>
  <c r="SFV133" i="8"/>
  <c r="SFU133" i="8"/>
  <c r="SFT133" i="8"/>
  <c r="SFS133" i="8"/>
  <c r="SFR133" i="8"/>
  <c r="SFQ133" i="8"/>
  <c r="SFP133" i="8"/>
  <c r="SFO133" i="8"/>
  <c r="SFN133" i="8"/>
  <c r="SFM133" i="8"/>
  <c r="SFL133" i="8"/>
  <c r="SFK133" i="8"/>
  <c r="SFJ133" i="8"/>
  <c r="SFI133" i="8"/>
  <c r="SFH133" i="8"/>
  <c r="SFG133" i="8"/>
  <c r="SFF133" i="8"/>
  <c r="SFE133" i="8"/>
  <c r="SFD133" i="8"/>
  <c r="SFC133" i="8"/>
  <c r="SFB133" i="8"/>
  <c r="SFA133" i="8"/>
  <c r="SEZ133" i="8"/>
  <c r="SEY133" i="8"/>
  <c r="SEX133" i="8"/>
  <c r="SEW133" i="8"/>
  <c r="SEV133" i="8"/>
  <c r="SEU133" i="8"/>
  <c r="SET133" i="8"/>
  <c r="SES133" i="8"/>
  <c r="SER133" i="8"/>
  <c r="SEQ133" i="8"/>
  <c r="SEP133" i="8"/>
  <c r="SEO133" i="8"/>
  <c r="SEN133" i="8"/>
  <c r="SEM133" i="8"/>
  <c r="SEL133" i="8"/>
  <c r="SEK133" i="8"/>
  <c r="SEJ133" i="8"/>
  <c r="SEI133" i="8"/>
  <c r="SEH133" i="8"/>
  <c r="SEG133" i="8"/>
  <c r="SEF133" i="8"/>
  <c r="SEE133" i="8"/>
  <c r="SED133" i="8"/>
  <c r="SEC133" i="8"/>
  <c r="SEB133" i="8"/>
  <c r="SEA133" i="8"/>
  <c r="SDZ133" i="8"/>
  <c r="SDY133" i="8"/>
  <c r="SDX133" i="8"/>
  <c r="SDW133" i="8"/>
  <c r="SDV133" i="8"/>
  <c r="SDU133" i="8"/>
  <c r="SDT133" i="8"/>
  <c r="SDS133" i="8"/>
  <c r="SDR133" i="8"/>
  <c r="SDQ133" i="8"/>
  <c r="SDP133" i="8"/>
  <c r="SDO133" i="8"/>
  <c r="SDN133" i="8"/>
  <c r="SDM133" i="8"/>
  <c r="SDL133" i="8"/>
  <c r="SDK133" i="8"/>
  <c r="SDJ133" i="8"/>
  <c r="SDI133" i="8"/>
  <c r="SDH133" i="8"/>
  <c r="SDG133" i="8"/>
  <c r="SDF133" i="8"/>
  <c r="SDE133" i="8"/>
  <c r="SDD133" i="8"/>
  <c r="SDC133" i="8"/>
  <c r="SDB133" i="8"/>
  <c r="SDA133" i="8"/>
  <c r="SCZ133" i="8"/>
  <c r="SCY133" i="8"/>
  <c r="SCX133" i="8"/>
  <c r="SCW133" i="8"/>
  <c r="SCV133" i="8"/>
  <c r="SCU133" i="8"/>
  <c r="SCT133" i="8"/>
  <c r="SCS133" i="8"/>
  <c r="SCR133" i="8"/>
  <c r="SCQ133" i="8"/>
  <c r="SCP133" i="8"/>
  <c r="SCO133" i="8"/>
  <c r="SCN133" i="8"/>
  <c r="SCM133" i="8"/>
  <c r="SCL133" i="8"/>
  <c r="SCK133" i="8"/>
  <c r="SCJ133" i="8"/>
  <c r="SCI133" i="8"/>
  <c r="SCH133" i="8"/>
  <c r="SCG133" i="8"/>
  <c r="SCF133" i="8"/>
  <c r="SCE133" i="8"/>
  <c r="SCD133" i="8"/>
  <c r="SCC133" i="8"/>
  <c r="SCB133" i="8"/>
  <c r="SCA133" i="8"/>
  <c r="SBZ133" i="8"/>
  <c r="SBY133" i="8"/>
  <c r="SBX133" i="8"/>
  <c r="SBW133" i="8"/>
  <c r="SBV133" i="8"/>
  <c r="SBU133" i="8"/>
  <c r="SBT133" i="8"/>
  <c r="SBS133" i="8"/>
  <c r="SBR133" i="8"/>
  <c r="SBQ133" i="8"/>
  <c r="SBP133" i="8"/>
  <c r="SBO133" i="8"/>
  <c r="SBN133" i="8"/>
  <c r="SBM133" i="8"/>
  <c r="SBL133" i="8"/>
  <c r="SBK133" i="8"/>
  <c r="SBJ133" i="8"/>
  <c r="SBI133" i="8"/>
  <c r="SBH133" i="8"/>
  <c r="SBG133" i="8"/>
  <c r="SBF133" i="8"/>
  <c r="SBE133" i="8"/>
  <c r="SBD133" i="8"/>
  <c r="SBC133" i="8"/>
  <c r="SBB133" i="8"/>
  <c r="SBA133" i="8"/>
  <c r="SAZ133" i="8"/>
  <c r="SAY133" i="8"/>
  <c r="SAX133" i="8"/>
  <c r="SAW133" i="8"/>
  <c r="SAV133" i="8"/>
  <c r="SAU133" i="8"/>
  <c r="SAT133" i="8"/>
  <c r="SAS133" i="8"/>
  <c r="SAR133" i="8"/>
  <c r="SAQ133" i="8"/>
  <c r="SAP133" i="8"/>
  <c r="SAO133" i="8"/>
  <c r="SAN133" i="8"/>
  <c r="SAM133" i="8"/>
  <c r="SAL133" i="8"/>
  <c r="SAK133" i="8"/>
  <c r="SAJ133" i="8"/>
  <c r="SAI133" i="8"/>
  <c r="SAH133" i="8"/>
  <c r="SAG133" i="8"/>
  <c r="SAF133" i="8"/>
  <c r="SAE133" i="8"/>
  <c r="SAD133" i="8"/>
  <c r="SAC133" i="8"/>
  <c r="SAB133" i="8"/>
  <c r="SAA133" i="8"/>
  <c r="RZZ133" i="8"/>
  <c r="RZY133" i="8"/>
  <c r="RZX133" i="8"/>
  <c r="RZW133" i="8"/>
  <c r="RZV133" i="8"/>
  <c r="RZU133" i="8"/>
  <c r="RZT133" i="8"/>
  <c r="RZS133" i="8"/>
  <c r="RZR133" i="8"/>
  <c r="RZQ133" i="8"/>
  <c r="RZP133" i="8"/>
  <c r="RZO133" i="8"/>
  <c r="RZN133" i="8"/>
  <c r="RZM133" i="8"/>
  <c r="RZL133" i="8"/>
  <c r="RZK133" i="8"/>
  <c r="RZJ133" i="8"/>
  <c r="RZI133" i="8"/>
  <c r="RZH133" i="8"/>
  <c r="RZG133" i="8"/>
  <c r="RZF133" i="8"/>
  <c r="RZE133" i="8"/>
  <c r="RZD133" i="8"/>
  <c r="RZC133" i="8"/>
  <c r="RZB133" i="8"/>
  <c r="RZA133" i="8"/>
  <c r="RYZ133" i="8"/>
  <c r="RYY133" i="8"/>
  <c r="RYX133" i="8"/>
  <c r="RYW133" i="8"/>
  <c r="RYV133" i="8"/>
  <c r="RYU133" i="8"/>
  <c r="RYT133" i="8"/>
  <c r="RYS133" i="8"/>
  <c r="RYR133" i="8"/>
  <c r="RYQ133" i="8"/>
  <c r="RYP133" i="8"/>
  <c r="RYO133" i="8"/>
  <c r="RYN133" i="8"/>
  <c r="RYM133" i="8"/>
  <c r="RYL133" i="8"/>
  <c r="RYK133" i="8"/>
  <c r="RYJ133" i="8"/>
  <c r="RYI133" i="8"/>
  <c r="RYH133" i="8"/>
  <c r="RYG133" i="8"/>
  <c r="RYF133" i="8"/>
  <c r="RYE133" i="8"/>
  <c r="RYD133" i="8"/>
  <c r="RYC133" i="8"/>
  <c r="RYB133" i="8"/>
  <c r="RYA133" i="8"/>
  <c r="RXZ133" i="8"/>
  <c r="RXY133" i="8"/>
  <c r="RXX133" i="8"/>
  <c r="RXW133" i="8"/>
  <c r="RXV133" i="8"/>
  <c r="RXU133" i="8"/>
  <c r="RXT133" i="8"/>
  <c r="RXS133" i="8"/>
  <c r="RXR133" i="8"/>
  <c r="RXQ133" i="8"/>
  <c r="RXP133" i="8"/>
  <c r="RXO133" i="8"/>
  <c r="RXN133" i="8"/>
  <c r="RXM133" i="8"/>
  <c r="RXL133" i="8"/>
  <c r="RXK133" i="8"/>
  <c r="RXJ133" i="8"/>
  <c r="RXI133" i="8"/>
  <c r="RXH133" i="8"/>
  <c r="RXG133" i="8"/>
  <c r="RXF133" i="8"/>
  <c r="RXE133" i="8"/>
  <c r="RXD133" i="8"/>
  <c r="RXC133" i="8"/>
  <c r="RXB133" i="8"/>
  <c r="RXA133" i="8"/>
  <c r="RWZ133" i="8"/>
  <c r="RWY133" i="8"/>
  <c r="RWX133" i="8"/>
  <c r="RWW133" i="8"/>
  <c r="RWV133" i="8"/>
  <c r="RWU133" i="8"/>
  <c r="RWT133" i="8"/>
  <c r="RWS133" i="8"/>
  <c r="RWR133" i="8"/>
  <c r="RWQ133" i="8"/>
  <c r="RWP133" i="8"/>
  <c r="RWO133" i="8"/>
  <c r="RWN133" i="8"/>
  <c r="RWM133" i="8"/>
  <c r="RWL133" i="8"/>
  <c r="RWK133" i="8"/>
  <c r="RWJ133" i="8"/>
  <c r="RWI133" i="8"/>
  <c r="RWH133" i="8"/>
  <c r="RWG133" i="8"/>
  <c r="RWF133" i="8"/>
  <c r="RWE133" i="8"/>
  <c r="RWD133" i="8"/>
  <c r="RWC133" i="8"/>
  <c r="RWB133" i="8"/>
  <c r="RWA133" i="8"/>
  <c r="RVZ133" i="8"/>
  <c r="RVY133" i="8"/>
  <c r="RVX133" i="8"/>
  <c r="RVW133" i="8"/>
  <c r="RVV133" i="8"/>
  <c r="RVU133" i="8"/>
  <c r="RVT133" i="8"/>
  <c r="RVS133" i="8"/>
  <c r="RVR133" i="8"/>
  <c r="RVQ133" i="8"/>
  <c r="RVP133" i="8"/>
  <c r="RVO133" i="8"/>
  <c r="RVN133" i="8"/>
  <c r="RVM133" i="8"/>
  <c r="RVL133" i="8"/>
  <c r="RVK133" i="8"/>
  <c r="RVJ133" i="8"/>
  <c r="RVI133" i="8"/>
  <c r="RVH133" i="8"/>
  <c r="RVG133" i="8"/>
  <c r="RVF133" i="8"/>
  <c r="RVE133" i="8"/>
  <c r="RVD133" i="8"/>
  <c r="RVC133" i="8"/>
  <c r="RVB133" i="8"/>
  <c r="RVA133" i="8"/>
  <c r="RUZ133" i="8"/>
  <c r="RUY133" i="8"/>
  <c r="RUX133" i="8"/>
  <c r="RUW133" i="8"/>
  <c r="RUV133" i="8"/>
  <c r="RUU133" i="8"/>
  <c r="RUT133" i="8"/>
  <c r="RUS133" i="8"/>
  <c r="RUR133" i="8"/>
  <c r="RUQ133" i="8"/>
  <c r="RUP133" i="8"/>
  <c r="RUO133" i="8"/>
  <c r="RUN133" i="8"/>
  <c r="RUM133" i="8"/>
  <c r="RUL133" i="8"/>
  <c r="RUK133" i="8"/>
  <c r="RUJ133" i="8"/>
  <c r="RUI133" i="8"/>
  <c r="RUH133" i="8"/>
  <c r="RUG133" i="8"/>
  <c r="RUF133" i="8"/>
  <c r="RUE133" i="8"/>
  <c r="RUD133" i="8"/>
  <c r="RUC133" i="8"/>
  <c r="RUB133" i="8"/>
  <c r="RUA133" i="8"/>
  <c r="RTZ133" i="8"/>
  <c r="RTY133" i="8"/>
  <c r="RTX133" i="8"/>
  <c r="RTW133" i="8"/>
  <c r="RTV133" i="8"/>
  <c r="RTU133" i="8"/>
  <c r="RTT133" i="8"/>
  <c r="RTS133" i="8"/>
  <c r="RTR133" i="8"/>
  <c r="RTQ133" i="8"/>
  <c r="RTP133" i="8"/>
  <c r="RTO133" i="8"/>
  <c r="RTN133" i="8"/>
  <c r="RTM133" i="8"/>
  <c r="RTL133" i="8"/>
  <c r="RTK133" i="8"/>
  <c r="RTJ133" i="8"/>
  <c r="RTI133" i="8"/>
  <c r="RTH133" i="8"/>
  <c r="RTG133" i="8"/>
  <c r="RTF133" i="8"/>
  <c r="RTE133" i="8"/>
  <c r="RTD133" i="8"/>
  <c r="RTC133" i="8"/>
  <c r="RTB133" i="8"/>
  <c r="RTA133" i="8"/>
  <c r="RSZ133" i="8"/>
  <c r="RSY133" i="8"/>
  <c r="RSX133" i="8"/>
  <c r="RSW133" i="8"/>
  <c r="RSV133" i="8"/>
  <c r="RSU133" i="8"/>
  <c r="RST133" i="8"/>
  <c r="RSS133" i="8"/>
  <c r="RSR133" i="8"/>
  <c r="RSQ133" i="8"/>
  <c r="RSP133" i="8"/>
  <c r="RSO133" i="8"/>
  <c r="RSN133" i="8"/>
  <c r="RSM133" i="8"/>
  <c r="RSL133" i="8"/>
  <c r="RSK133" i="8"/>
  <c r="RSJ133" i="8"/>
  <c r="RSI133" i="8"/>
  <c r="RSH133" i="8"/>
  <c r="RSG133" i="8"/>
  <c r="RSF133" i="8"/>
  <c r="RSE133" i="8"/>
  <c r="RSD133" i="8"/>
  <c r="RSC133" i="8"/>
  <c r="RSB133" i="8"/>
  <c r="RSA133" i="8"/>
  <c r="RRZ133" i="8"/>
  <c r="RRY133" i="8"/>
  <c r="RRX133" i="8"/>
  <c r="RRW133" i="8"/>
  <c r="RRV133" i="8"/>
  <c r="RRU133" i="8"/>
  <c r="RRT133" i="8"/>
  <c r="RRS133" i="8"/>
  <c r="RRR133" i="8"/>
  <c r="RRQ133" i="8"/>
  <c r="RRP133" i="8"/>
  <c r="RRO133" i="8"/>
  <c r="RRN133" i="8"/>
  <c r="RRM133" i="8"/>
  <c r="RRL133" i="8"/>
  <c r="RRK133" i="8"/>
  <c r="RRJ133" i="8"/>
  <c r="RRI133" i="8"/>
  <c r="RRH133" i="8"/>
  <c r="RRG133" i="8"/>
  <c r="RRF133" i="8"/>
  <c r="RRE133" i="8"/>
  <c r="RRD133" i="8"/>
  <c r="RRC133" i="8"/>
  <c r="RRB133" i="8"/>
  <c r="RRA133" i="8"/>
  <c r="RQZ133" i="8"/>
  <c r="RQY133" i="8"/>
  <c r="RQX133" i="8"/>
  <c r="RQW133" i="8"/>
  <c r="RQV133" i="8"/>
  <c r="RQU133" i="8"/>
  <c r="RQT133" i="8"/>
  <c r="RQS133" i="8"/>
  <c r="RQR133" i="8"/>
  <c r="RQQ133" i="8"/>
  <c r="RQP133" i="8"/>
  <c r="RQO133" i="8"/>
  <c r="RQN133" i="8"/>
  <c r="RQM133" i="8"/>
  <c r="RQL133" i="8"/>
  <c r="RQK133" i="8"/>
  <c r="RQJ133" i="8"/>
  <c r="RQI133" i="8"/>
  <c r="RQH133" i="8"/>
  <c r="RQG133" i="8"/>
  <c r="RQF133" i="8"/>
  <c r="RQE133" i="8"/>
  <c r="RQD133" i="8"/>
  <c r="RQC133" i="8"/>
  <c r="RQB133" i="8"/>
  <c r="RQA133" i="8"/>
  <c r="RPZ133" i="8"/>
  <c r="RPY133" i="8"/>
  <c r="RPX133" i="8"/>
  <c r="RPW133" i="8"/>
  <c r="RPV133" i="8"/>
  <c r="RPU133" i="8"/>
  <c r="RPT133" i="8"/>
  <c r="RPS133" i="8"/>
  <c r="RPR133" i="8"/>
  <c r="RPQ133" i="8"/>
  <c r="RPP133" i="8"/>
  <c r="RPO133" i="8"/>
  <c r="RPN133" i="8"/>
  <c r="RPM133" i="8"/>
  <c r="RPL133" i="8"/>
  <c r="RPK133" i="8"/>
  <c r="RPJ133" i="8"/>
  <c r="RPI133" i="8"/>
  <c r="RPH133" i="8"/>
  <c r="RPG133" i="8"/>
  <c r="RPF133" i="8"/>
  <c r="RPE133" i="8"/>
  <c r="RPD133" i="8"/>
  <c r="RPC133" i="8"/>
  <c r="RPB133" i="8"/>
  <c r="RPA133" i="8"/>
  <c r="ROZ133" i="8"/>
  <c r="ROY133" i="8"/>
  <c r="ROX133" i="8"/>
  <c r="ROW133" i="8"/>
  <c r="ROV133" i="8"/>
  <c r="ROU133" i="8"/>
  <c r="ROT133" i="8"/>
  <c r="ROS133" i="8"/>
  <c r="ROR133" i="8"/>
  <c r="ROQ133" i="8"/>
  <c r="ROP133" i="8"/>
  <c r="ROO133" i="8"/>
  <c r="RON133" i="8"/>
  <c r="ROM133" i="8"/>
  <c r="ROL133" i="8"/>
  <c r="ROK133" i="8"/>
  <c r="ROJ133" i="8"/>
  <c r="ROI133" i="8"/>
  <c r="ROH133" i="8"/>
  <c r="ROG133" i="8"/>
  <c r="ROF133" i="8"/>
  <c r="ROE133" i="8"/>
  <c r="ROD133" i="8"/>
  <c r="ROC133" i="8"/>
  <c r="ROB133" i="8"/>
  <c r="ROA133" i="8"/>
  <c r="RNZ133" i="8"/>
  <c r="RNY133" i="8"/>
  <c r="RNX133" i="8"/>
  <c r="RNW133" i="8"/>
  <c r="RNV133" i="8"/>
  <c r="RNU133" i="8"/>
  <c r="RNT133" i="8"/>
  <c r="RNS133" i="8"/>
  <c r="RNR133" i="8"/>
  <c r="RNQ133" i="8"/>
  <c r="RNP133" i="8"/>
  <c r="RNO133" i="8"/>
  <c r="RNN133" i="8"/>
  <c r="RNM133" i="8"/>
  <c r="RNL133" i="8"/>
  <c r="RNK133" i="8"/>
  <c r="RNJ133" i="8"/>
  <c r="RNI133" i="8"/>
  <c r="RNH133" i="8"/>
  <c r="RNG133" i="8"/>
  <c r="RNF133" i="8"/>
  <c r="RNE133" i="8"/>
  <c r="RND133" i="8"/>
  <c r="RNC133" i="8"/>
  <c r="RNB133" i="8"/>
  <c r="RNA133" i="8"/>
  <c r="RMZ133" i="8"/>
  <c r="RMY133" i="8"/>
  <c r="RMX133" i="8"/>
  <c r="RMW133" i="8"/>
  <c r="RMV133" i="8"/>
  <c r="RMU133" i="8"/>
  <c r="RMT133" i="8"/>
  <c r="RMS133" i="8"/>
  <c r="RMR133" i="8"/>
  <c r="RMQ133" i="8"/>
  <c r="RMP133" i="8"/>
  <c r="RMO133" i="8"/>
  <c r="RMN133" i="8"/>
  <c r="RMM133" i="8"/>
  <c r="RML133" i="8"/>
  <c r="RMK133" i="8"/>
  <c r="RMJ133" i="8"/>
  <c r="RMI133" i="8"/>
  <c r="RMH133" i="8"/>
  <c r="RMG133" i="8"/>
  <c r="RMF133" i="8"/>
  <c r="RME133" i="8"/>
  <c r="RMD133" i="8"/>
  <c r="RMC133" i="8"/>
  <c r="RMB133" i="8"/>
  <c r="RMA133" i="8"/>
  <c r="RLZ133" i="8"/>
  <c r="RLY133" i="8"/>
  <c r="RLX133" i="8"/>
  <c r="RLW133" i="8"/>
  <c r="RLV133" i="8"/>
  <c r="RLU133" i="8"/>
  <c r="RLT133" i="8"/>
  <c r="RLS133" i="8"/>
  <c r="RLR133" i="8"/>
  <c r="RLQ133" i="8"/>
  <c r="RLP133" i="8"/>
  <c r="RLO133" i="8"/>
  <c r="RLN133" i="8"/>
  <c r="RLM133" i="8"/>
  <c r="RLL133" i="8"/>
  <c r="RLK133" i="8"/>
  <c r="RLJ133" i="8"/>
  <c r="RLI133" i="8"/>
  <c r="RLH133" i="8"/>
  <c r="RLG133" i="8"/>
  <c r="RLF133" i="8"/>
  <c r="RLE133" i="8"/>
  <c r="RLD133" i="8"/>
  <c r="RLC133" i="8"/>
  <c r="RLB133" i="8"/>
  <c r="RLA133" i="8"/>
  <c r="RKZ133" i="8"/>
  <c r="RKY133" i="8"/>
  <c r="RKX133" i="8"/>
  <c r="RKW133" i="8"/>
  <c r="RKV133" i="8"/>
  <c r="RKU133" i="8"/>
  <c r="RKT133" i="8"/>
  <c r="RKS133" i="8"/>
  <c r="RKR133" i="8"/>
  <c r="RKQ133" i="8"/>
  <c r="RKP133" i="8"/>
  <c r="RKO133" i="8"/>
  <c r="RKN133" i="8"/>
  <c r="RKM133" i="8"/>
  <c r="RKL133" i="8"/>
  <c r="RKK133" i="8"/>
  <c r="RKJ133" i="8"/>
  <c r="RKI133" i="8"/>
  <c r="RKH133" i="8"/>
  <c r="RKG133" i="8"/>
  <c r="RKF133" i="8"/>
  <c r="RKE133" i="8"/>
  <c r="RKD133" i="8"/>
  <c r="RKC133" i="8"/>
  <c r="RKB133" i="8"/>
  <c r="RKA133" i="8"/>
  <c r="RJZ133" i="8"/>
  <c r="RJY133" i="8"/>
  <c r="RJX133" i="8"/>
  <c r="RJW133" i="8"/>
  <c r="RJV133" i="8"/>
  <c r="RJU133" i="8"/>
  <c r="RJT133" i="8"/>
  <c r="RJS133" i="8"/>
  <c r="RJR133" i="8"/>
  <c r="RJQ133" i="8"/>
  <c r="RJP133" i="8"/>
  <c r="RJO133" i="8"/>
  <c r="RJN133" i="8"/>
  <c r="RJM133" i="8"/>
  <c r="RJL133" i="8"/>
  <c r="RJK133" i="8"/>
  <c r="RJJ133" i="8"/>
  <c r="RJI133" i="8"/>
  <c r="RJH133" i="8"/>
  <c r="RJG133" i="8"/>
  <c r="RJF133" i="8"/>
  <c r="RJE133" i="8"/>
  <c r="RJD133" i="8"/>
  <c r="RJC133" i="8"/>
  <c r="RJB133" i="8"/>
  <c r="RJA133" i="8"/>
  <c r="RIZ133" i="8"/>
  <c r="RIY133" i="8"/>
  <c r="RIX133" i="8"/>
  <c r="RIW133" i="8"/>
  <c r="RIV133" i="8"/>
  <c r="RIU133" i="8"/>
  <c r="RIT133" i="8"/>
  <c r="RIS133" i="8"/>
  <c r="RIR133" i="8"/>
  <c r="RIQ133" i="8"/>
  <c r="RIP133" i="8"/>
  <c r="RIO133" i="8"/>
  <c r="RIN133" i="8"/>
  <c r="RIM133" i="8"/>
  <c r="RIL133" i="8"/>
  <c r="RIK133" i="8"/>
  <c r="RIJ133" i="8"/>
  <c r="RII133" i="8"/>
  <c r="RIH133" i="8"/>
  <c r="RIG133" i="8"/>
  <c r="RIF133" i="8"/>
  <c r="RIE133" i="8"/>
  <c r="RID133" i="8"/>
  <c r="RIC133" i="8"/>
  <c r="RIB133" i="8"/>
  <c r="RIA133" i="8"/>
  <c r="RHZ133" i="8"/>
  <c r="RHY133" i="8"/>
  <c r="RHX133" i="8"/>
  <c r="RHW133" i="8"/>
  <c r="RHV133" i="8"/>
  <c r="RHU133" i="8"/>
  <c r="RHT133" i="8"/>
  <c r="RHS133" i="8"/>
  <c r="RHR133" i="8"/>
  <c r="RHQ133" i="8"/>
  <c r="RHP133" i="8"/>
  <c r="RHO133" i="8"/>
  <c r="RHN133" i="8"/>
  <c r="RHM133" i="8"/>
  <c r="RHL133" i="8"/>
  <c r="RHK133" i="8"/>
  <c r="RHJ133" i="8"/>
  <c r="RHI133" i="8"/>
  <c r="RHH133" i="8"/>
  <c r="RHG133" i="8"/>
  <c r="RHF133" i="8"/>
  <c r="RHE133" i="8"/>
  <c r="RHD133" i="8"/>
  <c r="RHC133" i="8"/>
  <c r="RHB133" i="8"/>
  <c r="RHA133" i="8"/>
  <c r="RGZ133" i="8"/>
  <c r="RGY133" i="8"/>
  <c r="RGX133" i="8"/>
  <c r="RGW133" i="8"/>
  <c r="RGV133" i="8"/>
  <c r="RGU133" i="8"/>
  <c r="RGT133" i="8"/>
  <c r="RGS133" i="8"/>
  <c r="RGR133" i="8"/>
  <c r="RGQ133" i="8"/>
  <c r="RGP133" i="8"/>
  <c r="RGO133" i="8"/>
  <c r="RGN133" i="8"/>
  <c r="RGM133" i="8"/>
  <c r="RGL133" i="8"/>
  <c r="RGK133" i="8"/>
  <c r="RGJ133" i="8"/>
  <c r="RGI133" i="8"/>
  <c r="RGH133" i="8"/>
  <c r="RGG133" i="8"/>
  <c r="RGF133" i="8"/>
  <c r="RGE133" i="8"/>
  <c r="RGD133" i="8"/>
  <c r="RGC133" i="8"/>
  <c r="RGB133" i="8"/>
  <c r="RGA133" i="8"/>
  <c r="RFZ133" i="8"/>
  <c r="RFY133" i="8"/>
  <c r="RFX133" i="8"/>
  <c r="RFW133" i="8"/>
  <c r="RFV133" i="8"/>
  <c r="RFU133" i="8"/>
  <c r="RFT133" i="8"/>
  <c r="RFS133" i="8"/>
  <c r="RFR133" i="8"/>
  <c r="RFQ133" i="8"/>
  <c r="RFP133" i="8"/>
  <c r="RFO133" i="8"/>
  <c r="RFN133" i="8"/>
  <c r="RFM133" i="8"/>
  <c r="RFL133" i="8"/>
  <c r="RFK133" i="8"/>
  <c r="RFJ133" i="8"/>
  <c r="RFI133" i="8"/>
  <c r="RFH133" i="8"/>
  <c r="RFG133" i="8"/>
  <c r="RFF133" i="8"/>
  <c r="RFE133" i="8"/>
  <c r="RFD133" i="8"/>
  <c r="RFC133" i="8"/>
  <c r="RFB133" i="8"/>
  <c r="RFA133" i="8"/>
  <c r="REZ133" i="8"/>
  <c r="REY133" i="8"/>
  <c r="REX133" i="8"/>
  <c r="REW133" i="8"/>
  <c r="REV133" i="8"/>
  <c r="REU133" i="8"/>
  <c r="RET133" i="8"/>
  <c r="RES133" i="8"/>
  <c r="RER133" i="8"/>
  <c r="REQ133" i="8"/>
  <c r="REP133" i="8"/>
  <c r="REO133" i="8"/>
  <c r="REN133" i="8"/>
  <c r="REM133" i="8"/>
  <c r="REL133" i="8"/>
  <c r="REK133" i="8"/>
  <c r="REJ133" i="8"/>
  <c r="REI133" i="8"/>
  <c r="REH133" i="8"/>
  <c r="REG133" i="8"/>
  <c r="REF133" i="8"/>
  <c r="REE133" i="8"/>
  <c r="RED133" i="8"/>
  <c r="REC133" i="8"/>
  <c r="REB133" i="8"/>
  <c r="REA133" i="8"/>
  <c r="RDZ133" i="8"/>
  <c r="RDY133" i="8"/>
  <c r="RDX133" i="8"/>
  <c r="RDW133" i="8"/>
  <c r="RDV133" i="8"/>
  <c r="RDU133" i="8"/>
  <c r="RDT133" i="8"/>
  <c r="RDS133" i="8"/>
  <c r="RDR133" i="8"/>
  <c r="RDQ133" i="8"/>
  <c r="RDP133" i="8"/>
  <c r="RDO133" i="8"/>
  <c r="RDN133" i="8"/>
  <c r="RDM133" i="8"/>
  <c r="RDL133" i="8"/>
  <c r="RDK133" i="8"/>
  <c r="RDJ133" i="8"/>
  <c r="RDI133" i="8"/>
  <c r="RDH133" i="8"/>
  <c r="RDG133" i="8"/>
  <c r="RDF133" i="8"/>
  <c r="RDE133" i="8"/>
  <c r="RDD133" i="8"/>
  <c r="RDC133" i="8"/>
  <c r="RDB133" i="8"/>
  <c r="RDA133" i="8"/>
  <c r="RCZ133" i="8"/>
  <c r="RCY133" i="8"/>
  <c r="RCX133" i="8"/>
  <c r="RCW133" i="8"/>
  <c r="RCV133" i="8"/>
  <c r="RCU133" i="8"/>
  <c r="RCT133" i="8"/>
  <c r="RCS133" i="8"/>
  <c r="RCR133" i="8"/>
  <c r="RCQ133" i="8"/>
  <c r="RCP133" i="8"/>
  <c r="RCO133" i="8"/>
  <c r="RCN133" i="8"/>
  <c r="RCM133" i="8"/>
  <c r="RCL133" i="8"/>
  <c r="RCK133" i="8"/>
  <c r="RCJ133" i="8"/>
  <c r="RCI133" i="8"/>
  <c r="RCH133" i="8"/>
  <c r="RCG133" i="8"/>
  <c r="RCF133" i="8"/>
  <c r="RCE133" i="8"/>
  <c r="RCD133" i="8"/>
  <c r="RCC133" i="8"/>
  <c r="RCB133" i="8"/>
  <c r="RCA133" i="8"/>
  <c r="RBZ133" i="8"/>
  <c r="RBY133" i="8"/>
  <c r="RBX133" i="8"/>
  <c r="RBW133" i="8"/>
  <c r="RBV133" i="8"/>
  <c r="RBU133" i="8"/>
  <c r="RBT133" i="8"/>
  <c r="RBS133" i="8"/>
  <c r="RBR133" i="8"/>
  <c r="RBQ133" i="8"/>
  <c r="RBP133" i="8"/>
  <c r="RBO133" i="8"/>
  <c r="RBN133" i="8"/>
  <c r="RBM133" i="8"/>
  <c r="RBL133" i="8"/>
  <c r="RBK133" i="8"/>
  <c r="RBJ133" i="8"/>
  <c r="RBI133" i="8"/>
  <c r="RBH133" i="8"/>
  <c r="RBG133" i="8"/>
  <c r="RBF133" i="8"/>
  <c r="RBE133" i="8"/>
  <c r="RBD133" i="8"/>
  <c r="RBC133" i="8"/>
  <c r="RBB133" i="8"/>
  <c r="RBA133" i="8"/>
  <c r="RAZ133" i="8"/>
  <c r="RAY133" i="8"/>
  <c r="RAX133" i="8"/>
  <c r="RAW133" i="8"/>
  <c r="RAV133" i="8"/>
  <c r="RAU133" i="8"/>
  <c r="RAT133" i="8"/>
  <c r="RAS133" i="8"/>
  <c r="RAR133" i="8"/>
  <c r="RAQ133" i="8"/>
  <c r="RAP133" i="8"/>
  <c r="RAO133" i="8"/>
  <c r="RAN133" i="8"/>
  <c r="RAM133" i="8"/>
  <c r="RAL133" i="8"/>
  <c r="RAK133" i="8"/>
  <c r="RAJ133" i="8"/>
  <c r="RAI133" i="8"/>
  <c r="RAH133" i="8"/>
  <c r="RAG133" i="8"/>
  <c r="RAF133" i="8"/>
  <c r="RAE133" i="8"/>
  <c r="RAD133" i="8"/>
  <c r="RAC133" i="8"/>
  <c r="RAB133" i="8"/>
  <c r="RAA133" i="8"/>
  <c r="QZZ133" i="8"/>
  <c r="QZY133" i="8"/>
  <c r="QZX133" i="8"/>
  <c r="QZW133" i="8"/>
  <c r="QZV133" i="8"/>
  <c r="QZU133" i="8"/>
  <c r="QZT133" i="8"/>
  <c r="QZS133" i="8"/>
  <c r="QZR133" i="8"/>
  <c r="QZQ133" i="8"/>
  <c r="QZP133" i="8"/>
  <c r="QZO133" i="8"/>
  <c r="QZN133" i="8"/>
  <c r="QZM133" i="8"/>
  <c r="QZL133" i="8"/>
  <c r="QZK133" i="8"/>
  <c r="QZJ133" i="8"/>
  <c r="QZI133" i="8"/>
  <c r="QZH133" i="8"/>
  <c r="QZG133" i="8"/>
  <c r="QZF133" i="8"/>
  <c r="QZE133" i="8"/>
  <c r="QZD133" i="8"/>
  <c r="QZC133" i="8"/>
  <c r="QZB133" i="8"/>
  <c r="QZA133" i="8"/>
  <c r="QYZ133" i="8"/>
  <c r="QYY133" i="8"/>
  <c r="QYX133" i="8"/>
  <c r="QYW133" i="8"/>
  <c r="QYV133" i="8"/>
  <c r="QYU133" i="8"/>
  <c r="QYT133" i="8"/>
  <c r="QYS133" i="8"/>
  <c r="QYR133" i="8"/>
  <c r="QYQ133" i="8"/>
  <c r="QYP133" i="8"/>
  <c r="QYO133" i="8"/>
  <c r="QYN133" i="8"/>
  <c r="QYM133" i="8"/>
  <c r="QYL133" i="8"/>
  <c r="QYK133" i="8"/>
  <c r="QYJ133" i="8"/>
  <c r="QYI133" i="8"/>
  <c r="QYH133" i="8"/>
  <c r="QYG133" i="8"/>
  <c r="QYF133" i="8"/>
  <c r="QYE133" i="8"/>
  <c r="QYD133" i="8"/>
  <c r="QYC133" i="8"/>
  <c r="QYB133" i="8"/>
  <c r="QYA133" i="8"/>
  <c r="QXZ133" i="8"/>
  <c r="QXY133" i="8"/>
  <c r="QXX133" i="8"/>
  <c r="QXW133" i="8"/>
  <c r="QXV133" i="8"/>
  <c r="QXU133" i="8"/>
  <c r="QXT133" i="8"/>
  <c r="QXS133" i="8"/>
  <c r="QXR133" i="8"/>
  <c r="QXQ133" i="8"/>
  <c r="QXP133" i="8"/>
  <c r="QXO133" i="8"/>
  <c r="QXN133" i="8"/>
  <c r="QXM133" i="8"/>
  <c r="QXL133" i="8"/>
  <c r="QXK133" i="8"/>
  <c r="QXJ133" i="8"/>
  <c r="QXI133" i="8"/>
  <c r="QXH133" i="8"/>
  <c r="QXG133" i="8"/>
  <c r="QXF133" i="8"/>
  <c r="QXE133" i="8"/>
  <c r="QXD133" i="8"/>
  <c r="QXC133" i="8"/>
  <c r="QXB133" i="8"/>
  <c r="QXA133" i="8"/>
  <c r="QWZ133" i="8"/>
  <c r="QWY133" i="8"/>
  <c r="QWX133" i="8"/>
  <c r="QWW133" i="8"/>
  <c r="QWV133" i="8"/>
  <c r="QWU133" i="8"/>
  <c r="QWT133" i="8"/>
  <c r="QWS133" i="8"/>
  <c r="QWR133" i="8"/>
  <c r="QWQ133" i="8"/>
  <c r="QWP133" i="8"/>
  <c r="QWO133" i="8"/>
  <c r="QWN133" i="8"/>
  <c r="QWM133" i="8"/>
  <c r="QWL133" i="8"/>
  <c r="QWK133" i="8"/>
  <c r="QWJ133" i="8"/>
  <c r="QWI133" i="8"/>
  <c r="QWH133" i="8"/>
  <c r="QWG133" i="8"/>
  <c r="QWF133" i="8"/>
  <c r="QWE133" i="8"/>
  <c r="QWD133" i="8"/>
  <c r="QWC133" i="8"/>
  <c r="QWB133" i="8"/>
  <c r="QWA133" i="8"/>
  <c r="QVZ133" i="8"/>
  <c r="QVY133" i="8"/>
  <c r="QVX133" i="8"/>
  <c r="QVW133" i="8"/>
  <c r="QVV133" i="8"/>
  <c r="QVU133" i="8"/>
  <c r="QVT133" i="8"/>
  <c r="QVS133" i="8"/>
  <c r="QVR133" i="8"/>
  <c r="QVQ133" i="8"/>
  <c r="QVP133" i="8"/>
  <c r="QVO133" i="8"/>
  <c r="QVN133" i="8"/>
  <c r="QVM133" i="8"/>
  <c r="QVL133" i="8"/>
  <c r="QVK133" i="8"/>
  <c r="QVJ133" i="8"/>
  <c r="QVI133" i="8"/>
  <c r="QVH133" i="8"/>
  <c r="QVG133" i="8"/>
  <c r="QVF133" i="8"/>
  <c r="QVE133" i="8"/>
  <c r="QVD133" i="8"/>
  <c r="QVC133" i="8"/>
  <c r="QVB133" i="8"/>
  <c r="QVA133" i="8"/>
  <c r="QUZ133" i="8"/>
  <c r="QUY133" i="8"/>
  <c r="QUX133" i="8"/>
  <c r="QUW133" i="8"/>
  <c r="QUV133" i="8"/>
  <c r="QUU133" i="8"/>
  <c r="QUT133" i="8"/>
  <c r="QUS133" i="8"/>
  <c r="QUR133" i="8"/>
  <c r="QUQ133" i="8"/>
  <c r="QUP133" i="8"/>
  <c r="QUO133" i="8"/>
  <c r="QUN133" i="8"/>
  <c r="QUM133" i="8"/>
  <c r="QUL133" i="8"/>
  <c r="QUK133" i="8"/>
  <c r="QUJ133" i="8"/>
  <c r="QUI133" i="8"/>
  <c r="QUH133" i="8"/>
  <c r="QUG133" i="8"/>
  <c r="QUF133" i="8"/>
  <c r="QUE133" i="8"/>
  <c r="QUD133" i="8"/>
  <c r="QUC133" i="8"/>
  <c r="QUB133" i="8"/>
  <c r="QUA133" i="8"/>
  <c r="QTZ133" i="8"/>
  <c r="QTY133" i="8"/>
  <c r="QTX133" i="8"/>
  <c r="QTW133" i="8"/>
  <c r="QTV133" i="8"/>
  <c r="QTU133" i="8"/>
  <c r="QTT133" i="8"/>
  <c r="QTS133" i="8"/>
  <c r="QTR133" i="8"/>
  <c r="QTQ133" i="8"/>
  <c r="QTP133" i="8"/>
  <c r="QTO133" i="8"/>
  <c r="QTN133" i="8"/>
  <c r="QTM133" i="8"/>
  <c r="QTL133" i="8"/>
  <c r="QTK133" i="8"/>
  <c r="QTJ133" i="8"/>
  <c r="QTI133" i="8"/>
  <c r="QTH133" i="8"/>
  <c r="QTG133" i="8"/>
  <c r="QTF133" i="8"/>
  <c r="QTE133" i="8"/>
  <c r="QTD133" i="8"/>
  <c r="QTC133" i="8"/>
  <c r="QTB133" i="8"/>
  <c r="QTA133" i="8"/>
  <c r="QSZ133" i="8"/>
  <c r="QSY133" i="8"/>
  <c r="QSX133" i="8"/>
  <c r="QSW133" i="8"/>
  <c r="QSV133" i="8"/>
  <c r="QSU133" i="8"/>
  <c r="QST133" i="8"/>
  <c r="QSS133" i="8"/>
  <c r="QSR133" i="8"/>
  <c r="QSQ133" i="8"/>
  <c r="QSP133" i="8"/>
  <c r="QSO133" i="8"/>
  <c r="QSN133" i="8"/>
  <c r="QSM133" i="8"/>
  <c r="QSL133" i="8"/>
  <c r="QSK133" i="8"/>
  <c r="QSJ133" i="8"/>
  <c r="QSI133" i="8"/>
  <c r="QSH133" i="8"/>
  <c r="QSG133" i="8"/>
  <c r="QSF133" i="8"/>
  <c r="QSE133" i="8"/>
  <c r="QSD133" i="8"/>
  <c r="QSC133" i="8"/>
  <c r="QSB133" i="8"/>
  <c r="QSA133" i="8"/>
  <c r="QRZ133" i="8"/>
  <c r="QRY133" i="8"/>
  <c r="QRX133" i="8"/>
  <c r="QRW133" i="8"/>
  <c r="QRV133" i="8"/>
  <c r="QRU133" i="8"/>
  <c r="QRT133" i="8"/>
  <c r="QRS133" i="8"/>
  <c r="QRR133" i="8"/>
  <c r="QRQ133" i="8"/>
  <c r="QRP133" i="8"/>
  <c r="QRO133" i="8"/>
  <c r="QRN133" i="8"/>
  <c r="QRM133" i="8"/>
  <c r="QRL133" i="8"/>
  <c r="QRK133" i="8"/>
  <c r="QRJ133" i="8"/>
  <c r="QRI133" i="8"/>
  <c r="QRH133" i="8"/>
  <c r="QRG133" i="8"/>
  <c r="QRF133" i="8"/>
  <c r="QRE133" i="8"/>
  <c r="QRD133" i="8"/>
  <c r="QRC133" i="8"/>
  <c r="QRB133" i="8"/>
  <c r="QRA133" i="8"/>
  <c r="QQZ133" i="8"/>
  <c r="QQY133" i="8"/>
  <c r="QQX133" i="8"/>
  <c r="QQW133" i="8"/>
  <c r="QQV133" i="8"/>
  <c r="QQU133" i="8"/>
  <c r="QQT133" i="8"/>
  <c r="QQS133" i="8"/>
  <c r="QQR133" i="8"/>
  <c r="QQQ133" i="8"/>
  <c r="QQP133" i="8"/>
  <c r="QQO133" i="8"/>
  <c r="QQN133" i="8"/>
  <c r="QQM133" i="8"/>
  <c r="QQL133" i="8"/>
  <c r="QQK133" i="8"/>
  <c r="QQJ133" i="8"/>
  <c r="QQI133" i="8"/>
  <c r="QQH133" i="8"/>
  <c r="QQG133" i="8"/>
  <c r="QQF133" i="8"/>
  <c r="QQE133" i="8"/>
  <c r="QQD133" i="8"/>
  <c r="QQC133" i="8"/>
  <c r="QQB133" i="8"/>
  <c r="QQA133" i="8"/>
  <c r="QPZ133" i="8"/>
  <c r="QPY133" i="8"/>
  <c r="QPX133" i="8"/>
  <c r="QPW133" i="8"/>
  <c r="QPV133" i="8"/>
  <c r="QPU133" i="8"/>
  <c r="QPT133" i="8"/>
  <c r="QPS133" i="8"/>
  <c r="QPR133" i="8"/>
  <c r="QPQ133" i="8"/>
  <c r="QPP133" i="8"/>
  <c r="QPO133" i="8"/>
  <c r="QPN133" i="8"/>
  <c r="QPM133" i="8"/>
  <c r="QPL133" i="8"/>
  <c r="QPK133" i="8"/>
  <c r="QPJ133" i="8"/>
  <c r="QPI133" i="8"/>
  <c r="QPH133" i="8"/>
  <c r="QPG133" i="8"/>
  <c r="QPF133" i="8"/>
  <c r="QPE133" i="8"/>
  <c r="QPD133" i="8"/>
  <c r="QPC133" i="8"/>
  <c r="QPB133" i="8"/>
  <c r="QPA133" i="8"/>
  <c r="QOZ133" i="8"/>
  <c r="QOY133" i="8"/>
  <c r="QOX133" i="8"/>
  <c r="QOW133" i="8"/>
  <c r="QOV133" i="8"/>
  <c r="QOU133" i="8"/>
  <c r="QOT133" i="8"/>
  <c r="QOS133" i="8"/>
  <c r="QOR133" i="8"/>
  <c r="QOQ133" i="8"/>
  <c r="QOP133" i="8"/>
  <c r="QOO133" i="8"/>
  <c r="QON133" i="8"/>
  <c r="QOM133" i="8"/>
  <c r="QOL133" i="8"/>
  <c r="QOK133" i="8"/>
  <c r="QOJ133" i="8"/>
  <c r="QOI133" i="8"/>
  <c r="QOH133" i="8"/>
  <c r="QOG133" i="8"/>
  <c r="QOF133" i="8"/>
  <c r="QOE133" i="8"/>
  <c r="QOD133" i="8"/>
  <c r="QOC133" i="8"/>
  <c r="QOB133" i="8"/>
  <c r="QOA133" i="8"/>
  <c r="QNZ133" i="8"/>
  <c r="QNY133" i="8"/>
  <c r="QNX133" i="8"/>
  <c r="QNW133" i="8"/>
  <c r="QNV133" i="8"/>
  <c r="QNU133" i="8"/>
  <c r="QNT133" i="8"/>
  <c r="QNS133" i="8"/>
  <c r="QNR133" i="8"/>
  <c r="QNQ133" i="8"/>
  <c r="QNP133" i="8"/>
  <c r="QNO133" i="8"/>
  <c r="QNN133" i="8"/>
  <c r="QNM133" i="8"/>
  <c r="QNL133" i="8"/>
  <c r="QNK133" i="8"/>
  <c r="QNJ133" i="8"/>
  <c r="QNI133" i="8"/>
  <c r="QNH133" i="8"/>
  <c r="QNG133" i="8"/>
  <c r="QNF133" i="8"/>
  <c r="QNE133" i="8"/>
  <c r="QND133" i="8"/>
  <c r="QNC133" i="8"/>
  <c r="QNB133" i="8"/>
  <c r="QNA133" i="8"/>
  <c r="QMZ133" i="8"/>
  <c r="QMY133" i="8"/>
  <c r="QMX133" i="8"/>
  <c r="QMW133" i="8"/>
  <c r="QMV133" i="8"/>
  <c r="QMU133" i="8"/>
  <c r="QMT133" i="8"/>
  <c r="QMS133" i="8"/>
  <c r="QMR133" i="8"/>
  <c r="QMQ133" i="8"/>
  <c r="QMP133" i="8"/>
  <c r="QMO133" i="8"/>
  <c r="QMN133" i="8"/>
  <c r="QMM133" i="8"/>
  <c r="QML133" i="8"/>
  <c r="QMK133" i="8"/>
  <c r="QMJ133" i="8"/>
  <c r="QMI133" i="8"/>
  <c r="QMH133" i="8"/>
  <c r="QMG133" i="8"/>
  <c r="QMF133" i="8"/>
  <c r="QME133" i="8"/>
  <c r="QMD133" i="8"/>
  <c r="QMC133" i="8"/>
  <c r="QMB133" i="8"/>
  <c r="QMA133" i="8"/>
  <c r="QLZ133" i="8"/>
  <c r="QLY133" i="8"/>
  <c r="QLX133" i="8"/>
  <c r="QLW133" i="8"/>
  <c r="QLV133" i="8"/>
  <c r="QLU133" i="8"/>
  <c r="QLT133" i="8"/>
  <c r="QLS133" i="8"/>
  <c r="QLR133" i="8"/>
  <c r="QLQ133" i="8"/>
  <c r="QLP133" i="8"/>
  <c r="QLO133" i="8"/>
  <c r="QLN133" i="8"/>
  <c r="QLM133" i="8"/>
  <c r="QLL133" i="8"/>
  <c r="QLK133" i="8"/>
  <c r="QLJ133" i="8"/>
  <c r="QLI133" i="8"/>
  <c r="QLH133" i="8"/>
  <c r="QLG133" i="8"/>
  <c r="QLF133" i="8"/>
  <c r="QLE133" i="8"/>
  <c r="QLD133" i="8"/>
  <c r="QLC133" i="8"/>
  <c r="QLB133" i="8"/>
  <c r="QLA133" i="8"/>
  <c r="QKZ133" i="8"/>
  <c r="QKY133" i="8"/>
  <c r="QKX133" i="8"/>
  <c r="QKW133" i="8"/>
  <c r="QKV133" i="8"/>
  <c r="QKU133" i="8"/>
  <c r="QKT133" i="8"/>
  <c r="QKS133" i="8"/>
  <c r="QKR133" i="8"/>
  <c r="QKQ133" i="8"/>
  <c r="QKP133" i="8"/>
  <c r="QKO133" i="8"/>
  <c r="QKN133" i="8"/>
  <c r="QKM133" i="8"/>
  <c r="QKL133" i="8"/>
  <c r="QKK133" i="8"/>
  <c r="QKJ133" i="8"/>
  <c r="QKI133" i="8"/>
  <c r="QKH133" i="8"/>
  <c r="QKG133" i="8"/>
  <c r="QKF133" i="8"/>
  <c r="QKE133" i="8"/>
  <c r="QKD133" i="8"/>
  <c r="QKC133" i="8"/>
  <c r="QKB133" i="8"/>
  <c r="QKA133" i="8"/>
  <c r="QJZ133" i="8"/>
  <c r="QJY133" i="8"/>
  <c r="QJX133" i="8"/>
  <c r="QJW133" i="8"/>
  <c r="QJV133" i="8"/>
  <c r="QJU133" i="8"/>
  <c r="QJT133" i="8"/>
  <c r="QJS133" i="8"/>
  <c r="QJR133" i="8"/>
  <c r="QJQ133" i="8"/>
  <c r="QJP133" i="8"/>
  <c r="QJO133" i="8"/>
  <c r="QJN133" i="8"/>
  <c r="QJM133" i="8"/>
  <c r="QJL133" i="8"/>
  <c r="QJK133" i="8"/>
  <c r="QJJ133" i="8"/>
  <c r="QJI133" i="8"/>
  <c r="QJH133" i="8"/>
  <c r="QJG133" i="8"/>
  <c r="QJF133" i="8"/>
  <c r="QJE133" i="8"/>
  <c r="QJD133" i="8"/>
  <c r="QJC133" i="8"/>
  <c r="QJB133" i="8"/>
  <c r="QJA133" i="8"/>
  <c r="QIZ133" i="8"/>
  <c r="QIY133" i="8"/>
  <c r="QIX133" i="8"/>
  <c r="QIW133" i="8"/>
  <c r="QIV133" i="8"/>
  <c r="QIU133" i="8"/>
  <c r="QIT133" i="8"/>
  <c r="QIS133" i="8"/>
  <c r="QIR133" i="8"/>
  <c r="QIQ133" i="8"/>
  <c r="QIP133" i="8"/>
  <c r="QIO133" i="8"/>
  <c r="QIN133" i="8"/>
  <c r="QIM133" i="8"/>
  <c r="QIL133" i="8"/>
  <c r="QIK133" i="8"/>
  <c r="QIJ133" i="8"/>
  <c r="QII133" i="8"/>
  <c r="QIH133" i="8"/>
  <c r="QIG133" i="8"/>
  <c r="QIF133" i="8"/>
  <c r="QIE133" i="8"/>
  <c r="QID133" i="8"/>
  <c r="QIC133" i="8"/>
  <c r="QIB133" i="8"/>
  <c r="QIA133" i="8"/>
  <c r="QHZ133" i="8"/>
  <c r="QHY133" i="8"/>
  <c r="QHX133" i="8"/>
  <c r="QHW133" i="8"/>
  <c r="QHV133" i="8"/>
  <c r="QHU133" i="8"/>
  <c r="QHT133" i="8"/>
  <c r="QHS133" i="8"/>
  <c r="QHR133" i="8"/>
  <c r="QHQ133" i="8"/>
  <c r="QHP133" i="8"/>
  <c r="QHO133" i="8"/>
  <c r="QHN133" i="8"/>
  <c r="QHM133" i="8"/>
  <c r="QHL133" i="8"/>
  <c r="QHK133" i="8"/>
  <c r="QHJ133" i="8"/>
  <c r="QHI133" i="8"/>
  <c r="QHH133" i="8"/>
  <c r="QHG133" i="8"/>
  <c r="QHF133" i="8"/>
  <c r="QHE133" i="8"/>
  <c r="QHD133" i="8"/>
  <c r="QHC133" i="8"/>
  <c r="QHB133" i="8"/>
  <c r="QHA133" i="8"/>
  <c r="QGZ133" i="8"/>
  <c r="QGY133" i="8"/>
  <c r="QGX133" i="8"/>
  <c r="QGW133" i="8"/>
  <c r="QGV133" i="8"/>
  <c r="QGU133" i="8"/>
  <c r="QGT133" i="8"/>
  <c r="QGS133" i="8"/>
  <c r="QGR133" i="8"/>
  <c r="QGQ133" i="8"/>
  <c r="QGP133" i="8"/>
  <c r="QGO133" i="8"/>
  <c r="QGN133" i="8"/>
  <c r="QGM133" i="8"/>
  <c r="QGL133" i="8"/>
  <c r="QGK133" i="8"/>
  <c r="QGJ133" i="8"/>
  <c r="QGI133" i="8"/>
  <c r="QGH133" i="8"/>
  <c r="QGG133" i="8"/>
  <c r="QGF133" i="8"/>
  <c r="QGE133" i="8"/>
  <c r="QGD133" i="8"/>
  <c r="QGC133" i="8"/>
  <c r="QGB133" i="8"/>
  <c r="QGA133" i="8"/>
  <c r="QFZ133" i="8"/>
  <c r="QFY133" i="8"/>
  <c r="QFX133" i="8"/>
  <c r="QFW133" i="8"/>
  <c r="QFV133" i="8"/>
  <c r="QFU133" i="8"/>
  <c r="QFT133" i="8"/>
  <c r="QFS133" i="8"/>
  <c r="QFR133" i="8"/>
  <c r="QFQ133" i="8"/>
  <c r="QFP133" i="8"/>
  <c r="QFO133" i="8"/>
  <c r="QFN133" i="8"/>
  <c r="QFM133" i="8"/>
  <c r="QFL133" i="8"/>
  <c r="QFK133" i="8"/>
  <c r="QFJ133" i="8"/>
  <c r="QFI133" i="8"/>
  <c r="QFH133" i="8"/>
  <c r="QFG133" i="8"/>
  <c r="QFF133" i="8"/>
  <c r="QFE133" i="8"/>
  <c r="QFD133" i="8"/>
  <c r="QFC133" i="8"/>
  <c r="QFB133" i="8"/>
  <c r="QFA133" i="8"/>
  <c r="QEZ133" i="8"/>
  <c r="QEY133" i="8"/>
  <c r="QEX133" i="8"/>
  <c r="QEW133" i="8"/>
  <c r="QEV133" i="8"/>
  <c r="QEU133" i="8"/>
  <c r="QET133" i="8"/>
  <c r="QES133" i="8"/>
  <c r="QER133" i="8"/>
  <c r="QEQ133" i="8"/>
  <c r="QEP133" i="8"/>
  <c r="QEO133" i="8"/>
  <c r="QEN133" i="8"/>
  <c r="QEM133" i="8"/>
  <c r="QEL133" i="8"/>
  <c r="QEK133" i="8"/>
  <c r="QEJ133" i="8"/>
  <c r="QEI133" i="8"/>
  <c r="QEH133" i="8"/>
  <c r="QEG133" i="8"/>
  <c r="QEF133" i="8"/>
  <c r="QEE133" i="8"/>
  <c r="QED133" i="8"/>
  <c r="QEC133" i="8"/>
  <c r="QEB133" i="8"/>
  <c r="QEA133" i="8"/>
  <c r="QDZ133" i="8"/>
  <c r="QDY133" i="8"/>
  <c r="QDX133" i="8"/>
  <c r="QDW133" i="8"/>
  <c r="QDV133" i="8"/>
  <c r="QDU133" i="8"/>
  <c r="QDT133" i="8"/>
  <c r="QDS133" i="8"/>
  <c r="QDR133" i="8"/>
  <c r="QDQ133" i="8"/>
  <c r="QDP133" i="8"/>
  <c r="QDO133" i="8"/>
  <c r="QDN133" i="8"/>
  <c r="QDM133" i="8"/>
  <c r="QDL133" i="8"/>
  <c r="QDK133" i="8"/>
  <c r="QDJ133" i="8"/>
  <c r="QDI133" i="8"/>
  <c r="QDH133" i="8"/>
  <c r="QDG133" i="8"/>
  <c r="QDF133" i="8"/>
  <c r="QDE133" i="8"/>
  <c r="QDD133" i="8"/>
  <c r="QDC133" i="8"/>
  <c r="QDB133" i="8"/>
  <c r="QDA133" i="8"/>
  <c r="QCZ133" i="8"/>
  <c r="QCY133" i="8"/>
  <c r="QCX133" i="8"/>
  <c r="QCW133" i="8"/>
  <c r="QCV133" i="8"/>
  <c r="QCU133" i="8"/>
  <c r="QCT133" i="8"/>
  <c r="QCS133" i="8"/>
  <c r="QCR133" i="8"/>
  <c r="QCQ133" i="8"/>
  <c r="QCP133" i="8"/>
  <c r="QCO133" i="8"/>
  <c r="QCN133" i="8"/>
  <c r="QCM133" i="8"/>
  <c r="QCL133" i="8"/>
  <c r="QCK133" i="8"/>
  <c r="QCJ133" i="8"/>
  <c r="QCI133" i="8"/>
  <c r="QCH133" i="8"/>
  <c r="QCG133" i="8"/>
  <c r="QCF133" i="8"/>
  <c r="QCE133" i="8"/>
  <c r="QCD133" i="8"/>
  <c r="QCC133" i="8"/>
  <c r="QCB133" i="8"/>
  <c r="QCA133" i="8"/>
  <c r="QBZ133" i="8"/>
  <c r="QBY133" i="8"/>
  <c r="QBX133" i="8"/>
  <c r="QBW133" i="8"/>
  <c r="QBV133" i="8"/>
  <c r="QBU133" i="8"/>
  <c r="QBT133" i="8"/>
  <c r="QBS133" i="8"/>
  <c r="QBR133" i="8"/>
  <c r="QBQ133" i="8"/>
  <c r="QBP133" i="8"/>
  <c r="QBO133" i="8"/>
  <c r="QBN133" i="8"/>
  <c r="QBM133" i="8"/>
  <c r="QBL133" i="8"/>
  <c r="QBK133" i="8"/>
  <c r="QBJ133" i="8"/>
  <c r="QBI133" i="8"/>
  <c r="QBH133" i="8"/>
  <c r="QBG133" i="8"/>
  <c r="QBF133" i="8"/>
  <c r="QBE133" i="8"/>
  <c r="QBD133" i="8"/>
  <c r="QBC133" i="8"/>
  <c r="QBB133" i="8"/>
  <c r="QBA133" i="8"/>
  <c r="QAZ133" i="8"/>
  <c r="QAY133" i="8"/>
  <c r="QAX133" i="8"/>
  <c r="QAW133" i="8"/>
  <c r="QAV133" i="8"/>
  <c r="QAU133" i="8"/>
  <c r="QAT133" i="8"/>
  <c r="QAS133" i="8"/>
  <c r="QAR133" i="8"/>
  <c r="QAQ133" i="8"/>
  <c r="QAP133" i="8"/>
  <c r="QAO133" i="8"/>
  <c r="QAN133" i="8"/>
  <c r="QAM133" i="8"/>
  <c r="QAL133" i="8"/>
  <c r="QAK133" i="8"/>
  <c r="QAJ133" i="8"/>
  <c r="QAI133" i="8"/>
  <c r="QAH133" i="8"/>
  <c r="QAG133" i="8"/>
  <c r="QAF133" i="8"/>
  <c r="QAE133" i="8"/>
  <c r="QAD133" i="8"/>
  <c r="QAC133" i="8"/>
  <c r="QAB133" i="8"/>
  <c r="QAA133" i="8"/>
  <c r="PZZ133" i="8"/>
  <c r="PZY133" i="8"/>
  <c r="PZX133" i="8"/>
  <c r="PZW133" i="8"/>
  <c r="PZV133" i="8"/>
  <c r="PZU133" i="8"/>
  <c r="PZT133" i="8"/>
  <c r="PZS133" i="8"/>
  <c r="PZR133" i="8"/>
  <c r="PZQ133" i="8"/>
  <c r="PZP133" i="8"/>
  <c r="PZO133" i="8"/>
  <c r="PZN133" i="8"/>
  <c r="PZM133" i="8"/>
  <c r="PZL133" i="8"/>
  <c r="PZK133" i="8"/>
  <c r="PZJ133" i="8"/>
  <c r="PZI133" i="8"/>
  <c r="PZH133" i="8"/>
  <c r="PZG133" i="8"/>
  <c r="PZF133" i="8"/>
  <c r="PZE133" i="8"/>
  <c r="PZD133" i="8"/>
  <c r="PZC133" i="8"/>
  <c r="PZB133" i="8"/>
  <c r="PZA133" i="8"/>
  <c r="PYZ133" i="8"/>
  <c r="PYY133" i="8"/>
  <c r="PYX133" i="8"/>
  <c r="PYW133" i="8"/>
  <c r="PYV133" i="8"/>
  <c r="PYU133" i="8"/>
  <c r="PYT133" i="8"/>
  <c r="PYS133" i="8"/>
  <c r="PYR133" i="8"/>
  <c r="PYQ133" i="8"/>
  <c r="PYP133" i="8"/>
  <c r="PYO133" i="8"/>
  <c r="PYN133" i="8"/>
  <c r="PYM133" i="8"/>
  <c r="PYL133" i="8"/>
  <c r="PYK133" i="8"/>
  <c r="PYJ133" i="8"/>
  <c r="PYI133" i="8"/>
  <c r="PYH133" i="8"/>
  <c r="PYG133" i="8"/>
  <c r="PYF133" i="8"/>
  <c r="PYE133" i="8"/>
  <c r="PYD133" i="8"/>
  <c r="PYC133" i="8"/>
  <c r="PYB133" i="8"/>
  <c r="PYA133" i="8"/>
  <c r="PXZ133" i="8"/>
  <c r="PXY133" i="8"/>
  <c r="PXX133" i="8"/>
  <c r="PXW133" i="8"/>
  <c r="PXV133" i="8"/>
  <c r="PXU133" i="8"/>
  <c r="PXT133" i="8"/>
  <c r="PXS133" i="8"/>
  <c r="PXR133" i="8"/>
  <c r="PXQ133" i="8"/>
  <c r="PXP133" i="8"/>
  <c r="PXO133" i="8"/>
  <c r="PXN133" i="8"/>
  <c r="PXM133" i="8"/>
  <c r="PXL133" i="8"/>
  <c r="PXK133" i="8"/>
  <c r="PXJ133" i="8"/>
  <c r="PXI133" i="8"/>
  <c r="PXH133" i="8"/>
  <c r="PXG133" i="8"/>
  <c r="PXF133" i="8"/>
  <c r="PXE133" i="8"/>
  <c r="PXD133" i="8"/>
  <c r="PXC133" i="8"/>
  <c r="PXB133" i="8"/>
  <c r="PXA133" i="8"/>
  <c r="PWZ133" i="8"/>
  <c r="PWY133" i="8"/>
  <c r="PWX133" i="8"/>
  <c r="PWW133" i="8"/>
  <c r="PWV133" i="8"/>
  <c r="PWU133" i="8"/>
  <c r="PWT133" i="8"/>
  <c r="PWS133" i="8"/>
  <c r="PWR133" i="8"/>
  <c r="PWQ133" i="8"/>
  <c r="PWP133" i="8"/>
  <c r="PWO133" i="8"/>
  <c r="PWN133" i="8"/>
  <c r="PWM133" i="8"/>
  <c r="PWL133" i="8"/>
  <c r="PWK133" i="8"/>
  <c r="PWJ133" i="8"/>
  <c r="PWI133" i="8"/>
  <c r="PWH133" i="8"/>
  <c r="PWG133" i="8"/>
  <c r="PWF133" i="8"/>
  <c r="PWE133" i="8"/>
  <c r="PWD133" i="8"/>
  <c r="PWC133" i="8"/>
  <c r="PWB133" i="8"/>
  <c r="PWA133" i="8"/>
  <c r="PVZ133" i="8"/>
  <c r="PVY133" i="8"/>
  <c r="PVX133" i="8"/>
  <c r="PVW133" i="8"/>
  <c r="PVV133" i="8"/>
  <c r="PVU133" i="8"/>
  <c r="PVT133" i="8"/>
  <c r="PVS133" i="8"/>
  <c r="PVR133" i="8"/>
  <c r="PVQ133" i="8"/>
  <c r="PVP133" i="8"/>
  <c r="PVO133" i="8"/>
  <c r="PVN133" i="8"/>
  <c r="PVM133" i="8"/>
  <c r="PVL133" i="8"/>
  <c r="PVK133" i="8"/>
  <c r="PVJ133" i="8"/>
  <c r="PVI133" i="8"/>
  <c r="PVH133" i="8"/>
  <c r="PVG133" i="8"/>
  <c r="PVF133" i="8"/>
  <c r="PVE133" i="8"/>
  <c r="PVD133" i="8"/>
  <c r="PVC133" i="8"/>
  <c r="PVB133" i="8"/>
  <c r="PVA133" i="8"/>
  <c r="PUZ133" i="8"/>
  <c r="PUY133" i="8"/>
  <c r="PUX133" i="8"/>
  <c r="PUW133" i="8"/>
  <c r="PUV133" i="8"/>
  <c r="PUU133" i="8"/>
  <c r="PUT133" i="8"/>
  <c r="PUS133" i="8"/>
  <c r="PUR133" i="8"/>
  <c r="PUQ133" i="8"/>
  <c r="PUP133" i="8"/>
  <c r="PUO133" i="8"/>
  <c r="PUN133" i="8"/>
  <c r="PUM133" i="8"/>
  <c r="PUL133" i="8"/>
  <c r="PUK133" i="8"/>
  <c r="PUJ133" i="8"/>
  <c r="PUI133" i="8"/>
  <c r="PUH133" i="8"/>
  <c r="PUG133" i="8"/>
  <c r="PUF133" i="8"/>
  <c r="PUE133" i="8"/>
  <c r="PUD133" i="8"/>
  <c r="PUC133" i="8"/>
  <c r="PUB133" i="8"/>
  <c r="PUA133" i="8"/>
  <c r="PTZ133" i="8"/>
  <c r="PTY133" i="8"/>
  <c r="PTX133" i="8"/>
  <c r="PTW133" i="8"/>
  <c r="PTV133" i="8"/>
  <c r="PTU133" i="8"/>
  <c r="PTT133" i="8"/>
  <c r="PTS133" i="8"/>
  <c r="PTR133" i="8"/>
  <c r="PTQ133" i="8"/>
  <c r="PTP133" i="8"/>
  <c r="PTO133" i="8"/>
  <c r="PTN133" i="8"/>
  <c r="PTM133" i="8"/>
  <c r="PTL133" i="8"/>
  <c r="PTK133" i="8"/>
  <c r="PTJ133" i="8"/>
  <c r="PTI133" i="8"/>
  <c r="PTH133" i="8"/>
  <c r="PTG133" i="8"/>
  <c r="PTF133" i="8"/>
  <c r="PTE133" i="8"/>
  <c r="PTD133" i="8"/>
  <c r="PTC133" i="8"/>
  <c r="PTB133" i="8"/>
  <c r="PTA133" i="8"/>
  <c r="PSZ133" i="8"/>
  <c r="PSY133" i="8"/>
  <c r="PSX133" i="8"/>
  <c r="PSW133" i="8"/>
  <c r="PSV133" i="8"/>
  <c r="PSU133" i="8"/>
  <c r="PST133" i="8"/>
  <c r="PSS133" i="8"/>
  <c r="PSR133" i="8"/>
  <c r="PSQ133" i="8"/>
  <c r="PSP133" i="8"/>
  <c r="PSO133" i="8"/>
  <c r="PSN133" i="8"/>
  <c r="PSM133" i="8"/>
  <c r="PSL133" i="8"/>
  <c r="PSK133" i="8"/>
  <c r="PSJ133" i="8"/>
  <c r="PSI133" i="8"/>
  <c r="PSH133" i="8"/>
  <c r="PSG133" i="8"/>
  <c r="PSF133" i="8"/>
  <c r="PSE133" i="8"/>
  <c r="PSD133" i="8"/>
  <c r="PSC133" i="8"/>
  <c r="PSB133" i="8"/>
  <c r="PSA133" i="8"/>
  <c r="PRZ133" i="8"/>
  <c r="PRY133" i="8"/>
  <c r="PRX133" i="8"/>
  <c r="PRW133" i="8"/>
  <c r="PRV133" i="8"/>
  <c r="PRU133" i="8"/>
  <c r="PRT133" i="8"/>
  <c r="PRS133" i="8"/>
  <c r="PRR133" i="8"/>
  <c r="PRQ133" i="8"/>
  <c r="PRP133" i="8"/>
  <c r="PRO133" i="8"/>
  <c r="PRN133" i="8"/>
  <c r="PRM133" i="8"/>
  <c r="PRL133" i="8"/>
  <c r="PRK133" i="8"/>
  <c r="PRJ133" i="8"/>
  <c r="PRI133" i="8"/>
  <c r="PRH133" i="8"/>
  <c r="PRG133" i="8"/>
  <c r="PRF133" i="8"/>
  <c r="PRE133" i="8"/>
  <c r="PRD133" i="8"/>
  <c r="PRC133" i="8"/>
  <c r="PRB133" i="8"/>
  <c r="PRA133" i="8"/>
  <c r="PQZ133" i="8"/>
  <c r="PQY133" i="8"/>
  <c r="PQX133" i="8"/>
  <c r="PQW133" i="8"/>
  <c r="PQV133" i="8"/>
  <c r="PQU133" i="8"/>
  <c r="PQT133" i="8"/>
  <c r="PQS133" i="8"/>
  <c r="PQR133" i="8"/>
  <c r="PQQ133" i="8"/>
  <c r="PQP133" i="8"/>
  <c r="PQO133" i="8"/>
  <c r="PQN133" i="8"/>
  <c r="PQM133" i="8"/>
  <c r="PQL133" i="8"/>
  <c r="PQK133" i="8"/>
  <c r="PQJ133" i="8"/>
  <c r="PQI133" i="8"/>
  <c r="PQH133" i="8"/>
  <c r="PQG133" i="8"/>
  <c r="PQF133" i="8"/>
  <c r="PQE133" i="8"/>
  <c r="PQD133" i="8"/>
  <c r="PQC133" i="8"/>
  <c r="PQB133" i="8"/>
  <c r="PQA133" i="8"/>
  <c r="PPZ133" i="8"/>
  <c r="PPY133" i="8"/>
  <c r="PPX133" i="8"/>
  <c r="PPW133" i="8"/>
  <c r="PPV133" i="8"/>
  <c r="PPU133" i="8"/>
  <c r="PPT133" i="8"/>
  <c r="PPS133" i="8"/>
  <c r="PPR133" i="8"/>
  <c r="PPQ133" i="8"/>
  <c r="PPP133" i="8"/>
  <c r="PPO133" i="8"/>
  <c r="PPN133" i="8"/>
  <c r="PPM133" i="8"/>
  <c r="PPL133" i="8"/>
  <c r="PPK133" i="8"/>
  <c r="PPJ133" i="8"/>
  <c r="PPI133" i="8"/>
  <c r="PPH133" i="8"/>
  <c r="PPG133" i="8"/>
  <c r="PPF133" i="8"/>
  <c r="PPE133" i="8"/>
  <c r="PPD133" i="8"/>
  <c r="PPC133" i="8"/>
  <c r="PPB133" i="8"/>
  <c r="PPA133" i="8"/>
  <c r="POZ133" i="8"/>
  <c r="POY133" i="8"/>
  <c r="POX133" i="8"/>
  <c r="POW133" i="8"/>
  <c r="POV133" i="8"/>
  <c r="POU133" i="8"/>
  <c r="POT133" i="8"/>
  <c r="POS133" i="8"/>
  <c r="POR133" i="8"/>
  <c r="POQ133" i="8"/>
  <c r="POP133" i="8"/>
  <c r="POO133" i="8"/>
  <c r="PON133" i="8"/>
  <c r="POM133" i="8"/>
  <c r="POL133" i="8"/>
  <c r="POK133" i="8"/>
  <c r="POJ133" i="8"/>
  <c r="POI133" i="8"/>
  <c r="POH133" i="8"/>
  <c r="POG133" i="8"/>
  <c r="POF133" i="8"/>
  <c r="POE133" i="8"/>
  <c r="POD133" i="8"/>
  <c r="POC133" i="8"/>
  <c r="POB133" i="8"/>
  <c r="POA133" i="8"/>
  <c r="PNZ133" i="8"/>
  <c r="PNY133" i="8"/>
  <c r="PNX133" i="8"/>
  <c r="PNW133" i="8"/>
  <c r="PNV133" i="8"/>
  <c r="PNU133" i="8"/>
  <c r="PNT133" i="8"/>
  <c r="PNS133" i="8"/>
  <c r="PNR133" i="8"/>
  <c r="PNQ133" i="8"/>
  <c r="PNP133" i="8"/>
  <c r="PNO133" i="8"/>
  <c r="PNN133" i="8"/>
  <c r="PNM133" i="8"/>
  <c r="PNL133" i="8"/>
  <c r="PNK133" i="8"/>
  <c r="PNJ133" i="8"/>
  <c r="PNI133" i="8"/>
  <c r="PNH133" i="8"/>
  <c r="PNG133" i="8"/>
  <c r="PNF133" i="8"/>
  <c r="PNE133" i="8"/>
  <c r="PND133" i="8"/>
  <c r="PNC133" i="8"/>
  <c r="PNB133" i="8"/>
  <c r="PNA133" i="8"/>
  <c r="PMZ133" i="8"/>
  <c r="PMY133" i="8"/>
  <c r="PMX133" i="8"/>
  <c r="PMW133" i="8"/>
  <c r="PMV133" i="8"/>
  <c r="PMU133" i="8"/>
  <c r="PMT133" i="8"/>
  <c r="PMS133" i="8"/>
  <c r="PMR133" i="8"/>
  <c r="PMQ133" i="8"/>
  <c r="PMP133" i="8"/>
  <c r="PMO133" i="8"/>
  <c r="PMN133" i="8"/>
  <c r="PMM133" i="8"/>
  <c r="PML133" i="8"/>
  <c r="PMK133" i="8"/>
  <c r="PMJ133" i="8"/>
  <c r="PMI133" i="8"/>
  <c r="PMH133" i="8"/>
  <c r="PMG133" i="8"/>
  <c r="PMF133" i="8"/>
  <c r="PME133" i="8"/>
  <c r="PMD133" i="8"/>
  <c r="PMC133" i="8"/>
  <c r="PMB133" i="8"/>
  <c r="PMA133" i="8"/>
  <c r="PLZ133" i="8"/>
  <c r="PLY133" i="8"/>
  <c r="PLX133" i="8"/>
  <c r="PLW133" i="8"/>
  <c r="PLV133" i="8"/>
  <c r="PLU133" i="8"/>
  <c r="PLT133" i="8"/>
  <c r="PLS133" i="8"/>
  <c r="PLR133" i="8"/>
  <c r="PLQ133" i="8"/>
  <c r="PLP133" i="8"/>
  <c r="PLO133" i="8"/>
  <c r="PLN133" i="8"/>
  <c r="PLM133" i="8"/>
  <c r="PLL133" i="8"/>
  <c r="PLK133" i="8"/>
  <c r="PLJ133" i="8"/>
  <c r="PLI133" i="8"/>
  <c r="PLH133" i="8"/>
  <c r="PLG133" i="8"/>
  <c r="PLF133" i="8"/>
  <c r="PLE133" i="8"/>
  <c r="PLD133" i="8"/>
  <c r="PLC133" i="8"/>
  <c r="PLB133" i="8"/>
  <c r="PLA133" i="8"/>
  <c r="PKZ133" i="8"/>
  <c r="PKY133" i="8"/>
  <c r="PKX133" i="8"/>
  <c r="PKW133" i="8"/>
  <c r="PKV133" i="8"/>
  <c r="PKU133" i="8"/>
  <c r="PKT133" i="8"/>
  <c r="PKS133" i="8"/>
  <c r="PKR133" i="8"/>
  <c r="PKQ133" i="8"/>
  <c r="PKP133" i="8"/>
  <c r="PKO133" i="8"/>
  <c r="PKN133" i="8"/>
  <c r="PKM133" i="8"/>
  <c r="PKL133" i="8"/>
  <c r="PKK133" i="8"/>
  <c r="PKJ133" i="8"/>
  <c r="PKI133" i="8"/>
  <c r="PKH133" i="8"/>
  <c r="PKG133" i="8"/>
  <c r="PKF133" i="8"/>
  <c r="PKE133" i="8"/>
  <c r="PKD133" i="8"/>
  <c r="PKC133" i="8"/>
  <c r="PKB133" i="8"/>
  <c r="PKA133" i="8"/>
  <c r="PJZ133" i="8"/>
  <c r="PJY133" i="8"/>
  <c r="PJX133" i="8"/>
  <c r="PJW133" i="8"/>
  <c r="PJV133" i="8"/>
  <c r="PJU133" i="8"/>
  <c r="PJT133" i="8"/>
  <c r="PJS133" i="8"/>
  <c r="PJR133" i="8"/>
  <c r="PJQ133" i="8"/>
  <c r="PJP133" i="8"/>
  <c r="PJO133" i="8"/>
  <c r="PJN133" i="8"/>
  <c r="PJM133" i="8"/>
  <c r="PJL133" i="8"/>
  <c r="PJK133" i="8"/>
  <c r="PJJ133" i="8"/>
  <c r="PJI133" i="8"/>
  <c r="PJH133" i="8"/>
  <c r="PJG133" i="8"/>
  <c r="PJF133" i="8"/>
  <c r="PJE133" i="8"/>
  <c r="PJD133" i="8"/>
  <c r="PJC133" i="8"/>
  <c r="PJB133" i="8"/>
  <c r="PJA133" i="8"/>
  <c r="PIZ133" i="8"/>
  <c r="PIY133" i="8"/>
  <c r="PIX133" i="8"/>
  <c r="PIW133" i="8"/>
  <c r="PIV133" i="8"/>
  <c r="PIU133" i="8"/>
  <c r="PIT133" i="8"/>
  <c r="PIS133" i="8"/>
  <c r="PIR133" i="8"/>
  <c r="PIQ133" i="8"/>
  <c r="PIP133" i="8"/>
  <c r="PIO133" i="8"/>
  <c r="PIN133" i="8"/>
  <c r="PIM133" i="8"/>
  <c r="PIL133" i="8"/>
  <c r="PIK133" i="8"/>
  <c r="PIJ133" i="8"/>
  <c r="PII133" i="8"/>
  <c r="PIH133" i="8"/>
  <c r="PIG133" i="8"/>
  <c r="PIF133" i="8"/>
  <c r="PIE133" i="8"/>
  <c r="PID133" i="8"/>
  <c r="PIC133" i="8"/>
  <c r="PIB133" i="8"/>
  <c r="PIA133" i="8"/>
  <c r="PHZ133" i="8"/>
  <c r="PHY133" i="8"/>
  <c r="PHX133" i="8"/>
  <c r="PHW133" i="8"/>
  <c r="PHV133" i="8"/>
  <c r="PHU133" i="8"/>
  <c r="PHT133" i="8"/>
  <c r="PHS133" i="8"/>
  <c r="PHR133" i="8"/>
  <c r="PHQ133" i="8"/>
  <c r="PHP133" i="8"/>
  <c r="PHO133" i="8"/>
  <c r="PHN133" i="8"/>
  <c r="PHM133" i="8"/>
  <c r="PHL133" i="8"/>
  <c r="PHK133" i="8"/>
  <c r="PHJ133" i="8"/>
  <c r="PHI133" i="8"/>
  <c r="PHH133" i="8"/>
  <c r="PHG133" i="8"/>
  <c r="PHF133" i="8"/>
  <c r="PHE133" i="8"/>
  <c r="PHD133" i="8"/>
  <c r="PHC133" i="8"/>
  <c r="PHB133" i="8"/>
  <c r="PHA133" i="8"/>
  <c r="PGZ133" i="8"/>
  <c r="PGY133" i="8"/>
  <c r="PGX133" i="8"/>
  <c r="PGW133" i="8"/>
  <c r="PGV133" i="8"/>
  <c r="PGU133" i="8"/>
  <c r="PGT133" i="8"/>
  <c r="PGS133" i="8"/>
  <c r="PGR133" i="8"/>
  <c r="PGQ133" i="8"/>
  <c r="PGP133" i="8"/>
  <c r="PGO133" i="8"/>
  <c r="PGN133" i="8"/>
  <c r="PGM133" i="8"/>
  <c r="PGL133" i="8"/>
  <c r="PGK133" i="8"/>
  <c r="PGJ133" i="8"/>
  <c r="PGI133" i="8"/>
  <c r="PGH133" i="8"/>
  <c r="PGG133" i="8"/>
  <c r="PGF133" i="8"/>
  <c r="PGE133" i="8"/>
  <c r="PGD133" i="8"/>
  <c r="PGC133" i="8"/>
  <c r="PGB133" i="8"/>
  <c r="PGA133" i="8"/>
  <c r="PFZ133" i="8"/>
  <c r="PFY133" i="8"/>
  <c r="PFX133" i="8"/>
  <c r="PFW133" i="8"/>
  <c r="PFV133" i="8"/>
  <c r="PFU133" i="8"/>
  <c r="PFT133" i="8"/>
  <c r="PFS133" i="8"/>
  <c r="PFR133" i="8"/>
  <c r="PFQ133" i="8"/>
  <c r="PFP133" i="8"/>
  <c r="PFO133" i="8"/>
  <c r="PFN133" i="8"/>
  <c r="PFM133" i="8"/>
  <c r="PFL133" i="8"/>
  <c r="PFK133" i="8"/>
  <c r="PFJ133" i="8"/>
  <c r="PFI133" i="8"/>
  <c r="PFH133" i="8"/>
  <c r="PFG133" i="8"/>
  <c r="PFF133" i="8"/>
  <c r="PFE133" i="8"/>
  <c r="PFD133" i="8"/>
  <c r="PFC133" i="8"/>
  <c r="PFB133" i="8"/>
  <c r="PFA133" i="8"/>
  <c r="PEZ133" i="8"/>
  <c r="PEY133" i="8"/>
  <c r="PEX133" i="8"/>
  <c r="PEW133" i="8"/>
  <c r="PEV133" i="8"/>
  <c r="PEU133" i="8"/>
  <c r="PET133" i="8"/>
  <c r="PES133" i="8"/>
  <c r="PER133" i="8"/>
  <c r="PEQ133" i="8"/>
  <c r="PEP133" i="8"/>
  <c r="PEO133" i="8"/>
  <c r="PEN133" i="8"/>
  <c r="PEM133" i="8"/>
  <c r="PEL133" i="8"/>
  <c r="PEK133" i="8"/>
  <c r="PEJ133" i="8"/>
  <c r="PEI133" i="8"/>
  <c r="PEH133" i="8"/>
  <c r="PEG133" i="8"/>
  <c r="PEF133" i="8"/>
  <c r="PEE133" i="8"/>
  <c r="PED133" i="8"/>
  <c r="PEC133" i="8"/>
  <c r="PEB133" i="8"/>
  <c r="PEA133" i="8"/>
  <c r="PDZ133" i="8"/>
  <c r="PDY133" i="8"/>
  <c r="PDX133" i="8"/>
  <c r="PDW133" i="8"/>
  <c r="PDV133" i="8"/>
  <c r="PDU133" i="8"/>
  <c r="PDT133" i="8"/>
  <c r="PDS133" i="8"/>
  <c r="PDR133" i="8"/>
  <c r="PDQ133" i="8"/>
  <c r="PDP133" i="8"/>
  <c r="PDO133" i="8"/>
  <c r="PDN133" i="8"/>
  <c r="PDM133" i="8"/>
  <c r="PDL133" i="8"/>
  <c r="PDK133" i="8"/>
  <c r="PDJ133" i="8"/>
  <c r="PDI133" i="8"/>
  <c r="PDH133" i="8"/>
  <c r="PDG133" i="8"/>
  <c r="PDF133" i="8"/>
  <c r="PDE133" i="8"/>
  <c r="PDD133" i="8"/>
  <c r="PDC133" i="8"/>
  <c r="PDB133" i="8"/>
  <c r="PDA133" i="8"/>
  <c r="PCZ133" i="8"/>
  <c r="PCY133" i="8"/>
  <c r="PCX133" i="8"/>
  <c r="PCW133" i="8"/>
  <c r="PCV133" i="8"/>
  <c r="PCU133" i="8"/>
  <c r="PCT133" i="8"/>
  <c r="PCS133" i="8"/>
  <c r="PCR133" i="8"/>
  <c r="PCQ133" i="8"/>
  <c r="PCP133" i="8"/>
  <c r="PCO133" i="8"/>
  <c r="PCN133" i="8"/>
  <c r="PCM133" i="8"/>
  <c r="PCL133" i="8"/>
  <c r="PCK133" i="8"/>
  <c r="PCJ133" i="8"/>
  <c r="PCI133" i="8"/>
  <c r="PCH133" i="8"/>
  <c r="PCG133" i="8"/>
  <c r="PCF133" i="8"/>
  <c r="PCE133" i="8"/>
  <c r="PCD133" i="8"/>
  <c r="PCC133" i="8"/>
  <c r="PCB133" i="8"/>
  <c r="PCA133" i="8"/>
  <c r="PBZ133" i="8"/>
  <c r="PBY133" i="8"/>
  <c r="PBX133" i="8"/>
  <c r="PBW133" i="8"/>
  <c r="PBV133" i="8"/>
  <c r="PBU133" i="8"/>
  <c r="PBT133" i="8"/>
  <c r="PBS133" i="8"/>
  <c r="PBR133" i="8"/>
  <c r="PBQ133" i="8"/>
  <c r="PBP133" i="8"/>
  <c r="PBO133" i="8"/>
  <c r="PBN133" i="8"/>
  <c r="PBM133" i="8"/>
  <c r="PBL133" i="8"/>
  <c r="PBK133" i="8"/>
  <c r="PBJ133" i="8"/>
  <c r="PBI133" i="8"/>
  <c r="PBH133" i="8"/>
  <c r="PBG133" i="8"/>
  <c r="PBF133" i="8"/>
  <c r="PBE133" i="8"/>
  <c r="PBD133" i="8"/>
  <c r="PBC133" i="8"/>
  <c r="PBB133" i="8"/>
  <c r="PBA133" i="8"/>
  <c r="PAZ133" i="8"/>
  <c r="PAY133" i="8"/>
  <c r="PAX133" i="8"/>
  <c r="PAW133" i="8"/>
  <c r="PAV133" i="8"/>
  <c r="PAU133" i="8"/>
  <c r="PAT133" i="8"/>
  <c r="PAS133" i="8"/>
  <c r="PAR133" i="8"/>
  <c r="PAQ133" i="8"/>
  <c r="PAP133" i="8"/>
  <c r="PAO133" i="8"/>
  <c r="PAN133" i="8"/>
  <c r="PAM133" i="8"/>
  <c r="PAL133" i="8"/>
  <c r="PAK133" i="8"/>
  <c r="PAJ133" i="8"/>
  <c r="PAI133" i="8"/>
  <c r="PAH133" i="8"/>
  <c r="PAG133" i="8"/>
  <c r="PAF133" i="8"/>
  <c r="PAE133" i="8"/>
  <c r="PAD133" i="8"/>
  <c r="PAC133" i="8"/>
  <c r="PAB133" i="8"/>
  <c r="PAA133" i="8"/>
  <c r="OZZ133" i="8"/>
  <c r="OZY133" i="8"/>
  <c r="OZX133" i="8"/>
  <c r="OZW133" i="8"/>
  <c r="OZV133" i="8"/>
  <c r="OZU133" i="8"/>
  <c r="OZT133" i="8"/>
  <c r="OZS133" i="8"/>
  <c r="OZR133" i="8"/>
  <c r="OZQ133" i="8"/>
  <c r="OZP133" i="8"/>
  <c r="OZO133" i="8"/>
  <c r="OZN133" i="8"/>
  <c r="OZM133" i="8"/>
  <c r="OZL133" i="8"/>
  <c r="OZK133" i="8"/>
  <c r="OZJ133" i="8"/>
  <c r="OZI133" i="8"/>
  <c r="OZH133" i="8"/>
  <c r="OZG133" i="8"/>
  <c r="OZF133" i="8"/>
  <c r="OZE133" i="8"/>
  <c r="OZD133" i="8"/>
  <c r="OZC133" i="8"/>
  <c r="OZB133" i="8"/>
  <c r="OZA133" i="8"/>
  <c r="OYZ133" i="8"/>
  <c r="OYY133" i="8"/>
  <c r="OYX133" i="8"/>
  <c r="OYW133" i="8"/>
  <c r="OYV133" i="8"/>
  <c r="OYU133" i="8"/>
  <c r="OYT133" i="8"/>
  <c r="OYS133" i="8"/>
  <c r="OYR133" i="8"/>
  <c r="OYQ133" i="8"/>
  <c r="OYP133" i="8"/>
  <c r="OYO133" i="8"/>
  <c r="OYN133" i="8"/>
  <c r="OYM133" i="8"/>
  <c r="OYL133" i="8"/>
  <c r="OYK133" i="8"/>
  <c r="OYJ133" i="8"/>
  <c r="OYI133" i="8"/>
  <c r="OYH133" i="8"/>
  <c r="OYG133" i="8"/>
  <c r="OYF133" i="8"/>
  <c r="OYE133" i="8"/>
  <c r="OYD133" i="8"/>
  <c r="OYC133" i="8"/>
  <c r="OYB133" i="8"/>
  <c r="OYA133" i="8"/>
  <c r="OXZ133" i="8"/>
  <c r="OXY133" i="8"/>
  <c r="OXX133" i="8"/>
  <c r="OXW133" i="8"/>
  <c r="OXV133" i="8"/>
  <c r="OXU133" i="8"/>
  <c r="OXT133" i="8"/>
  <c r="OXS133" i="8"/>
  <c r="OXR133" i="8"/>
  <c r="OXQ133" i="8"/>
  <c r="OXP133" i="8"/>
  <c r="OXO133" i="8"/>
  <c r="OXN133" i="8"/>
  <c r="OXM133" i="8"/>
  <c r="OXL133" i="8"/>
  <c r="OXK133" i="8"/>
  <c r="OXJ133" i="8"/>
  <c r="OXI133" i="8"/>
  <c r="OXH133" i="8"/>
  <c r="OXG133" i="8"/>
  <c r="OXF133" i="8"/>
  <c r="OXE133" i="8"/>
  <c r="OXD133" i="8"/>
  <c r="OXC133" i="8"/>
  <c r="OXB133" i="8"/>
  <c r="OXA133" i="8"/>
  <c r="OWZ133" i="8"/>
  <c r="OWY133" i="8"/>
  <c r="OWX133" i="8"/>
  <c r="OWW133" i="8"/>
  <c r="OWV133" i="8"/>
  <c r="OWU133" i="8"/>
  <c r="OWT133" i="8"/>
  <c r="OWS133" i="8"/>
  <c r="OWR133" i="8"/>
  <c r="OWQ133" i="8"/>
  <c r="OWP133" i="8"/>
  <c r="OWO133" i="8"/>
  <c r="OWN133" i="8"/>
  <c r="OWM133" i="8"/>
  <c r="OWL133" i="8"/>
  <c r="OWK133" i="8"/>
  <c r="OWJ133" i="8"/>
  <c r="OWI133" i="8"/>
  <c r="OWH133" i="8"/>
  <c r="OWG133" i="8"/>
  <c r="OWF133" i="8"/>
  <c r="OWE133" i="8"/>
  <c r="OWD133" i="8"/>
  <c r="OWC133" i="8"/>
  <c r="OWB133" i="8"/>
  <c r="OWA133" i="8"/>
  <c r="OVZ133" i="8"/>
  <c r="OVY133" i="8"/>
  <c r="OVX133" i="8"/>
  <c r="OVW133" i="8"/>
  <c r="OVV133" i="8"/>
  <c r="OVU133" i="8"/>
  <c r="OVT133" i="8"/>
  <c r="OVS133" i="8"/>
  <c r="OVR133" i="8"/>
  <c r="OVQ133" i="8"/>
  <c r="OVP133" i="8"/>
  <c r="OVO133" i="8"/>
  <c r="OVN133" i="8"/>
  <c r="OVM133" i="8"/>
  <c r="OVL133" i="8"/>
  <c r="OVK133" i="8"/>
  <c r="OVJ133" i="8"/>
  <c r="OVI133" i="8"/>
  <c r="OVH133" i="8"/>
  <c r="OVG133" i="8"/>
  <c r="OVF133" i="8"/>
  <c r="OVE133" i="8"/>
  <c r="OVD133" i="8"/>
  <c r="OVC133" i="8"/>
  <c r="OVB133" i="8"/>
  <c r="OVA133" i="8"/>
  <c r="OUZ133" i="8"/>
  <c r="OUY133" i="8"/>
  <c r="OUX133" i="8"/>
  <c r="OUW133" i="8"/>
  <c r="OUV133" i="8"/>
  <c r="OUU133" i="8"/>
  <c r="OUT133" i="8"/>
  <c r="OUS133" i="8"/>
  <c r="OUR133" i="8"/>
  <c r="OUQ133" i="8"/>
  <c r="OUP133" i="8"/>
  <c r="OUO133" i="8"/>
  <c r="OUN133" i="8"/>
  <c r="OUM133" i="8"/>
  <c r="OUL133" i="8"/>
  <c r="OUK133" i="8"/>
  <c r="OUJ133" i="8"/>
  <c r="OUI133" i="8"/>
  <c r="OUH133" i="8"/>
  <c r="OUG133" i="8"/>
  <c r="OUF133" i="8"/>
  <c r="OUE133" i="8"/>
  <c r="OUD133" i="8"/>
  <c r="OUC133" i="8"/>
  <c r="OUB133" i="8"/>
  <c r="OUA133" i="8"/>
  <c r="OTZ133" i="8"/>
  <c r="OTY133" i="8"/>
  <c r="OTX133" i="8"/>
  <c r="OTW133" i="8"/>
  <c r="OTV133" i="8"/>
  <c r="OTU133" i="8"/>
  <c r="OTT133" i="8"/>
  <c r="OTS133" i="8"/>
  <c r="OTR133" i="8"/>
  <c r="OTQ133" i="8"/>
  <c r="OTP133" i="8"/>
  <c r="OTO133" i="8"/>
  <c r="OTN133" i="8"/>
  <c r="OTM133" i="8"/>
  <c r="OTL133" i="8"/>
  <c r="OTK133" i="8"/>
  <c r="OTJ133" i="8"/>
  <c r="OTI133" i="8"/>
  <c r="OTH133" i="8"/>
  <c r="OTG133" i="8"/>
  <c r="OTF133" i="8"/>
  <c r="OTE133" i="8"/>
  <c r="OTD133" i="8"/>
  <c r="OTC133" i="8"/>
  <c r="OTB133" i="8"/>
  <c r="OTA133" i="8"/>
  <c r="OSZ133" i="8"/>
  <c r="OSY133" i="8"/>
  <c r="OSX133" i="8"/>
  <c r="OSW133" i="8"/>
  <c r="OSV133" i="8"/>
  <c r="OSU133" i="8"/>
  <c r="OST133" i="8"/>
  <c r="OSS133" i="8"/>
  <c r="OSR133" i="8"/>
  <c r="OSQ133" i="8"/>
  <c r="OSP133" i="8"/>
  <c r="OSO133" i="8"/>
  <c r="OSN133" i="8"/>
  <c r="OSM133" i="8"/>
  <c r="OSL133" i="8"/>
  <c r="OSK133" i="8"/>
  <c r="OSJ133" i="8"/>
  <c r="OSI133" i="8"/>
  <c r="OSH133" i="8"/>
  <c r="OSG133" i="8"/>
  <c r="OSF133" i="8"/>
  <c r="OSE133" i="8"/>
  <c r="OSD133" i="8"/>
  <c r="OSC133" i="8"/>
  <c r="OSB133" i="8"/>
  <c r="OSA133" i="8"/>
  <c r="ORZ133" i="8"/>
  <c r="ORY133" i="8"/>
  <c r="ORX133" i="8"/>
  <c r="ORW133" i="8"/>
  <c r="ORV133" i="8"/>
  <c r="ORU133" i="8"/>
  <c r="ORT133" i="8"/>
  <c r="ORS133" i="8"/>
  <c r="ORR133" i="8"/>
  <c r="ORQ133" i="8"/>
  <c r="ORP133" i="8"/>
  <c r="ORO133" i="8"/>
  <c r="ORN133" i="8"/>
  <c r="ORM133" i="8"/>
  <c r="ORL133" i="8"/>
  <c r="ORK133" i="8"/>
  <c r="ORJ133" i="8"/>
  <c r="ORI133" i="8"/>
  <c r="ORH133" i="8"/>
  <c r="ORG133" i="8"/>
  <c r="ORF133" i="8"/>
  <c r="ORE133" i="8"/>
  <c r="ORD133" i="8"/>
  <c r="ORC133" i="8"/>
  <c r="ORB133" i="8"/>
  <c r="ORA133" i="8"/>
  <c r="OQZ133" i="8"/>
  <c r="OQY133" i="8"/>
  <c r="OQX133" i="8"/>
  <c r="OQW133" i="8"/>
  <c r="OQV133" i="8"/>
  <c r="OQU133" i="8"/>
  <c r="OQT133" i="8"/>
  <c r="OQS133" i="8"/>
  <c r="OQR133" i="8"/>
  <c r="OQQ133" i="8"/>
  <c r="OQP133" i="8"/>
  <c r="OQO133" i="8"/>
  <c r="OQN133" i="8"/>
  <c r="OQM133" i="8"/>
  <c r="OQL133" i="8"/>
  <c r="OQK133" i="8"/>
  <c r="OQJ133" i="8"/>
  <c r="OQI133" i="8"/>
  <c r="OQH133" i="8"/>
  <c r="OQG133" i="8"/>
  <c r="OQF133" i="8"/>
  <c r="OQE133" i="8"/>
  <c r="OQD133" i="8"/>
  <c r="OQC133" i="8"/>
  <c r="OQB133" i="8"/>
  <c r="OQA133" i="8"/>
  <c r="OPZ133" i="8"/>
  <c r="OPY133" i="8"/>
  <c r="OPX133" i="8"/>
  <c r="OPW133" i="8"/>
  <c r="OPV133" i="8"/>
  <c r="OPU133" i="8"/>
  <c r="OPT133" i="8"/>
  <c r="OPS133" i="8"/>
  <c r="OPR133" i="8"/>
  <c r="OPQ133" i="8"/>
  <c r="OPP133" i="8"/>
  <c r="OPO133" i="8"/>
  <c r="OPN133" i="8"/>
  <c r="OPM133" i="8"/>
  <c r="OPL133" i="8"/>
  <c r="OPK133" i="8"/>
  <c r="OPJ133" i="8"/>
  <c r="OPI133" i="8"/>
  <c r="OPH133" i="8"/>
  <c r="OPG133" i="8"/>
  <c r="OPF133" i="8"/>
  <c r="OPE133" i="8"/>
  <c r="OPD133" i="8"/>
  <c r="OPC133" i="8"/>
  <c r="OPB133" i="8"/>
  <c r="OPA133" i="8"/>
  <c r="OOZ133" i="8"/>
  <c r="OOY133" i="8"/>
  <c r="OOX133" i="8"/>
  <c r="OOW133" i="8"/>
  <c r="OOV133" i="8"/>
  <c r="OOU133" i="8"/>
  <c r="OOT133" i="8"/>
  <c r="OOS133" i="8"/>
  <c r="OOR133" i="8"/>
  <c r="OOQ133" i="8"/>
  <c r="OOP133" i="8"/>
  <c r="OOO133" i="8"/>
  <c r="OON133" i="8"/>
  <c r="OOM133" i="8"/>
  <c r="OOL133" i="8"/>
  <c r="OOK133" i="8"/>
  <c r="OOJ133" i="8"/>
  <c r="OOI133" i="8"/>
  <c r="OOH133" i="8"/>
  <c r="OOG133" i="8"/>
  <c r="OOF133" i="8"/>
  <c r="OOE133" i="8"/>
  <c r="OOD133" i="8"/>
  <c r="OOC133" i="8"/>
  <c r="OOB133" i="8"/>
  <c r="OOA133" i="8"/>
  <c r="ONZ133" i="8"/>
  <c r="ONY133" i="8"/>
  <c r="ONX133" i="8"/>
  <c r="ONW133" i="8"/>
  <c r="ONV133" i="8"/>
  <c r="ONU133" i="8"/>
  <c r="ONT133" i="8"/>
  <c r="ONS133" i="8"/>
  <c r="ONR133" i="8"/>
  <c r="ONQ133" i="8"/>
  <c r="ONP133" i="8"/>
  <c r="ONO133" i="8"/>
  <c r="ONN133" i="8"/>
  <c r="ONM133" i="8"/>
  <c r="ONL133" i="8"/>
  <c r="ONK133" i="8"/>
  <c r="ONJ133" i="8"/>
  <c r="ONI133" i="8"/>
  <c r="ONH133" i="8"/>
  <c r="ONG133" i="8"/>
  <c r="ONF133" i="8"/>
  <c r="ONE133" i="8"/>
  <c r="OND133" i="8"/>
  <c r="ONC133" i="8"/>
  <c r="ONB133" i="8"/>
  <c r="ONA133" i="8"/>
  <c r="OMZ133" i="8"/>
  <c r="OMY133" i="8"/>
  <c r="OMX133" i="8"/>
  <c r="OMW133" i="8"/>
  <c r="OMV133" i="8"/>
  <c r="OMU133" i="8"/>
  <c r="OMT133" i="8"/>
  <c r="OMS133" i="8"/>
  <c r="OMR133" i="8"/>
  <c r="OMQ133" i="8"/>
  <c r="OMP133" i="8"/>
  <c r="OMO133" i="8"/>
  <c r="OMN133" i="8"/>
  <c r="OMM133" i="8"/>
  <c r="OML133" i="8"/>
  <c r="OMK133" i="8"/>
  <c r="OMJ133" i="8"/>
  <c r="OMI133" i="8"/>
  <c r="OMH133" i="8"/>
  <c r="OMG133" i="8"/>
  <c r="OMF133" i="8"/>
  <c r="OME133" i="8"/>
  <c r="OMD133" i="8"/>
  <c r="OMC133" i="8"/>
  <c r="OMB133" i="8"/>
  <c r="OMA133" i="8"/>
  <c r="OLZ133" i="8"/>
  <c r="OLY133" i="8"/>
  <c r="OLX133" i="8"/>
  <c r="OLW133" i="8"/>
  <c r="OLV133" i="8"/>
  <c r="OLU133" i="8"/>
  <c r="OLT133" i="8"/>
  <c r="OLS133" i="8"/>
  <c r="OLR133" i="8"/>
  <c r="OLQ133" i="8"/>
  <c r="OLP133" i="8"/>
  <c r="OLO133" i="8"/>
  <c r="OLN133" i="8"/>
  <c r="OLM133" i="8"/>
  <c r="OLL133" i="8"/>
  <c r="OLK133" i="8"/>
  <c r="OLJ133" i="8"/>
  <c r="OLI133" i="8"/>
  <c r="OLH133" i="8"/>
  <c r="OLG133" i="8"/>
  <c r="OLF133" i="8"/>
  <c r="OLE133" i="8"/>
  <c r="OLD133" i="8"/>
  <c r="OLC133" i="8"/>
  <c r="OLB133" i="8"/>
  <c r="OLA133" i="8"/>
  <c r="OKZ133" i="8"/>
  <c r="OKY133" i="8"/>
  <c r="OKX133" i="8"/>
  <c r="OKW133" i="8"/>
  <c r="OKV133" i="8"/>
  <c r="OKU133" i="8"/>
  <c r="OKT133" i="8"/>
  <c r="OKS133" i="8"/>
  <c r="OKR133" i="8"/>
  <c r="OKQ133" i="8"/>
  <c r="OKP133" i="8"/>
  <c r="OKO133" i="8"/>
  <c r="OKN133" i="8"/>
  <c r="OKM133" i="8"/>
  <c r="OKL133" i="8"/>
  <c r="OKK133" i="8"/>
  <c r="OKJ133" i="8"/>
  <c r="OKI133" i="8"/>
  <c r="OKH133" i="8"/>
  <c r="OKG133" i="8"/>
  <c r="OKF133" i="8"/>
  <c r="OKE133" i="8"/>
  <c r="OKD133" i="8"/>
  <c r="OKC133" i="8"/>
  <c r="OKB133" i="8"/>
  <c r="OKA133" i="8"/>
  <c r="OJZ133" i="8"/>
  <c r="OJY133" i="8"/>
  <c r="OJX133" i="8"/>
  <c r="OJW133" i="8"/>
  <c r="OJV133" i="8"/>
  <c r="OJU133" i="8"/>
  <c r="OJT133" i="8"/>
  <c r="OJS133" i="8"/>
  <c r="OJR133" i="8"/>
  <c r="OJQ133" i="8"/>
  <c r="OJP133" i="8"/>
  <c r="OJO133" i="8"/>
  <c r="OJN133" i="8"/>
  <c r="OJM133" i="8"/>
  <c r="OJL133" i="8"/>
  <c r="OJK133" i="8"/>
  <c r="OJJ133" i="8"/>
  <c r="OJI133" i="8"/>
  <c r="OJH133" i="8"/>
  <c r="OJG133" i="8"/>
  <c r="OJF133" i="8"/>
  <c r="OJE133" i="8"/>
  <c r="OJD133" i="8"/>
  <c r="OJC133" i="8"/>
  <c r="OJB133" i="8"/>
  <c r="OJA133" i="8"/>
  <c r="OIZ133" i="8"/>
  <c r="OIY133" i="8"/>
  <c r="OIX133" i="8"/>
  <c r="OIW133" i="8"/>
  <c r="OIV133" i="8"/>
  <c r="OIU133" i="8"/>
  <c r="OIT133" i="8"/>
  <c r="OIS133" i="8"/>
  <c r="OIR133" i="8"/>
  <c r="OIQ133" i="8"/>
  <c r="OIP133" i="8"/>
  <c r="OIO133" i="8"/>
  <c r="OIN133" i="8"/>
  <c r="OIM133" i="8"/>
  <c r="OIL133" i="8"/>
  <c r="OIK133" i="8"/>
  <c r="OIJ133" i="8"/>
  <c r="OII133" i="8"/>
  <c r="OIH133" i="8"/>
  <c r="OIG133" i="8"/>
  <c r="OIF133" i="8"/>
  <c r="OIE133" i="8"/>
  <c r="OID133" i="8"/>
  <c r="OIC133" i="8"/>
  <c r="OIB133" i="8"/>
  <c r="OIA133" i="8"/>
  <c r="OHZ133" i="8"/>
  <c r="OHY133" i="8"/>
  <c r="OHX133" i="8"/>
  <c r="OHW133" i="8"/>
  <c r="OHV133" i="8"/>
  <c r="OHU133" i="8"/>
  <c r="OHT133" i="8"/>
  <c r="OHS133" i="8"/>
  <c r="OHR133" i="8"/>
  <c r="OHQ133" i="8"/>
  <c r="OHP133" i="8"/>
  <c r="OHO133" i="8"/>
  <c r="OHN133" i="8"/>
  <c r="OHM133" i="8"/>
  <c r="OHL133" i="8"/>
  <c r="OHK133" i="8"/>
  <c r="OHJ133" i="8"/>
  <c r="OHI133" i="8"/>
  <c r="OHH133" i="8"/>
  <c r="OHG133" i="8"/>
  <c r="OHF133" i="8"/>
  <c r="OHE133" i="8"/>
  <c r="OHD133" i="8"/>
  <c r="OHC133" i="8"/>
  <c r="OHB133" i="8"/>
  <c r="OHA133" i="8"/>
  <c r="OGZ133" i="8"/>
  <c r="OGY133" i="8"/>
  <c r="OGX133" i="8"/>
  <c r="OGW133" i="8"/>
  <c r="OGV133" i="8"/>
  <c r="OGU133" i="8"/>
  <c r="OGT133" i="8"/>
  <c r="OGS133" i="8"/>
  <c r="OGR133" i="8"/>
  <c r="OGQ133" i="8"/>
  <c r="OGP133" i="8"/>
  <c r="OGO133" i="8"/>
  <c r="OGN133" i="8"/>
  <c r="OGM133" i="8"/>
  <c r="OGL133" i="8"/>
  <c r="OGK133" i="8"/>
  <c r="OGJ133" i="8"/>
  <c r="OGI133" i="8"/>
  <c r="OGH133" i="8"/>
  <c r="OGG133" i="8"/>
  <c r="OGF133" i="8"/>
  <c r="OGE133" i="8"/>
  <c r="OGD133" i="8"/>
  <c r="OGC133" i="8"/>
  <c r="OGB133" i="8"/>
  <c r="OGA133" i="8"/>
  <c r="OFZ133" i="8"/>
  <c r="OFY133" i="8"/>
  <c r="OFX133" i="8"/>
  <c r="OFW133" i="8"/>
  <c r="OFV133" i="8"/>
  <c r="OFU133" i="8"/>
  <c r="OFT133" i="8"/>
  <c r="OFS133" i="8"/>
  <c r="OFR133" i="8"/>
  <c r="OFQ133" i="8"/>
  <c r="OFP133" i="8"/>
  <c r="OFO133" i="8"/>
  <c r="OFN133" i="8"/>
  <c r="OFM133" i="8"/>
  <c r="OFL133" i="8"/>
  <c r="OFK133" i="8"/>
  <c r="OFJ133" i="8"/>
  <c r="OFI133" i="8"/>
  <c r="OFH133" i="8"/>
  <c r="OFG133" i="8"/>
  <c r="OFF133" i="8"/>
  <c r="OFE133" i="8"/>
  <c r="OFD133" i="8"/>
  <c r="OFC133" i="8"/>
  <c r="OFB133" i="8"/>
  <c r="OFA133" i="8"/>
  <c r="OEZ133" i="8"/>
  <c r="OEY133" i="8"/>
  <c r="OEX133" i="8"/>
  <c r="OEW133" i="8"/>
  <c r="OEV133" i="8"/>
  <c r="OEU133" i="8"/>
  <c r="OET133" i="8"/>
  <c r="OES133" i="8"/>
  <c r="OER133" i="8"/>
  <c r="OEQ133" i="8"/>
  <c r="OEP133" i="8"/>
  <c r="OEO133" i="8"/>
  <c r="OEN133" i="8"/>
  <c r="OEM133" i="8"/>
  <c r="OEL133" i="8"/>
  <c r="OEK133" i="8"/>
  <c r="OEJ133" i="8"/>
  <c r="OEI133" i="8"/>
  <c r="OEH133" i="8"/>
  <c r="OEG133" i="8"/>
  <c r="OEF133" i="8"/>
  <c r="OEE133" i="8"/>
  <c r="OED133" i="8"/>
  <c r="OEC133" i="8"/>
  <c r="OEB133" i="8"/>
  <c r="OEA133" i="8"/>
  <c r="ODZ133" i="8"/>
  <c r="ODY133" i="8"/>
  <c r="ODX133" i="8"/>
  <c r="ODW133" i="8"/>
  <c r="ODV133" i="8"/>
  <c r="ODU133" i="8"/>
  <c r="ODT133" i="8"/>
  <c r="ODS133" i="8"/>
  <c r="ODR133" i="8"/>
  <c r="ODQ133" i="8"/>
  <c r="ODP133" i="8"/>
  <c r="ODO133" i="8"/>
  <c r="ODN133" i="8"/>
  <c r="ODM133" i="8"/>
  <c r="ODL133" i="8"/>
  <c r="ODK133" i="8"/>
  <c r="ODJ133" i="8"/>
  <c r="ODI133" i="8"/>
  <c r="ODH133" i="8"/>
  <c r="ODG133" i="8"/>
  <c r="ODF133" i="8"/>
  <c r="ODE133" i="8"/>
  <c r="ODD133" i="8"/>
  <c r="ODC133" i="8"/>
  <c r="ODB133" i="8"/>
  <c r="ODA133" i="8"/>
  <c r="OCZ133" i="8"/>
  <c r="OCY133" i="8"/>
  <c r="OCX133" i="8"/>
  <c r="OCW133" i="8"/>
  <c r="OCV133" i="8"/>
  <c r="OCU133" i="8"/>
  <c r="OCT133" i="8"/>
  <c r="OCS133" i="8"/>
  <c r="OCR133" i="8"/>
  <c r="OCQ133" i="8"/>
  <c r="OCP133" i="8"/>
  <c r="OCO133" i="8"/>
  <c r="OCN133" i="8"/>
  <c r="OCM133" i="8"/>
  <c r="OCL133" i="8"/>
  <c r="OCK133" i="8"/>
  <c r="OCJ133" i="8"/>
  <c r="OCI133" i="8"/>
  <c r="OCH133" i="8"/>
  <c r="OCG133" i="8"/>
  <c r="OCF133" i="8"/>
  <c r="OCE133" i="8"/>
  <c r="OCD133" i="8"/>
  <c r="OCC133" i="8"/>
  <c r="OCB133" i="8"/>
  <c r="OCA133" i="8"/>
  <c r="OBZ133" i="8"/>
  <c r="OBY133" i="8"/>
  <c r="OBX133" i="8"/>
  <c r="OBW133" i="8"/>
  <c r="OBV133" i="8"/>
  <c r="OBU133" i="8"/>
  <c r="OBT133" i="8"/>
  <c r="OBS133" i="8"/>
  <c r="OBR133" i="8"/>
  <c r="OBQ133" i="8"/>
  <c r="OBP133" i="8"/>
  <c r="OBO133" i="8"/>
  <c r="OBN133" i="8"/>
  <c r="OBM133" i="8"/>
  <c r="OBL133" i="8"/>
  <c r="OBK133" i="8"/>
  <c r="OBJ133" i="8"/>
  <c r="OBI133" i="8"/>
  <c r="OBH133" i="8"/>
  <c r="OBG133" i="8"/>
  <c r="OBF133" i="8"/>
  <c r="OBE133" i="8"/>
  <c r="OBD133" i="8"/>
  <c r="OBC133" i="8"/>
  <c r="OBB133" i="8"/>
  <c r="OBA133" i="8"/>
  <c r="OAZ133" i="8"/>
  <c r="OAY133" i="8"/>
  <c r="OAX133" i="8"/>
  <c r="OAW133" i="8"/>
  <c r="OAV133" i="8"/>
  <c r="OAU133" i="8"/>
  <c r="OAT133" i="8"/>
  <c r="OAS133" i="8"/>
  <c r="OAR133" i="8"/>
  <c r="OAQ133" i="8"/>
  <c r="OAP133" i="8"/>
  <c r="OAO133" i="8"/>
  <c r="OAN133" i="8"/>
  <c r="OAM133" i="8"/>
  <c r="OAL133" i="8"/>
  <c r="OAK133" i="8"/>
  <c r="OAJ133" i="8"/>
  <c r="OAI133" i="8"/>
  <c r="OAH133" i="8"/>
  <c r="OAG133" i="8"/>
  <c r="OAF133" i="8"/>
  <c r="OAE133" i="8"/>
  <c r="OAD133" i="8"/>
  <c r="OAC133" i="8"/>
  <c r="OAB133" i="8"/>
  <c r="OAA133" i="8"/>
  <c r="NZZ133" i="8"/>
  <c r="NZY133" i="8"/>
  <c r="NZX133" i="8"/>
  <c r="NZW133" i="8"/>
  <c r="NZV133" i="8"/>
  <c r="NZU133" i="8"/>
  <c r="NZT133" i="8"/>
  <c r="NZS133" i="8"/>
  <c r="NZR133" i="8"/>
  <c r="NZQ133" i="8"/>
  <c r="NZP133" i="8"/>
  <c r="NZO133" i="8"/>
  <c r="NZN133" i="8"/>
  <c r="NZM133" i="8"/>
  <c r="NZL133" i="8"/>
  <c r="NZK133" i="8"/>
  <c r="NZJ133" i="8"/>
  <c r="NZI133" i="8"/>
  <c r="NZH133" i="8"/>
  <c r="NZG133" i="8"/>
  <c r="NZF133" i="8"/>
  <c r="NZE133" i="8"/>
  <c r="NZD133" i="8"/>
  <c r="NZC133" i="8"/>
  <c r="NZB133" i="8"/>
  <c r="NZA133" i="8"/>
  <c r="NYZ133" i="8"/>
  <c r="NYY133" i="8"/>
  <c r="NYX133" i="8"/>
  <c r="NYW133" i="8"/>
  <c r="NYV133" i="8"/>
  <c r="NYU133" i="8"/>
  <c r="NYT133" i="8"/>
  <c r="NYS133" i="8"/>
  <c r="NYR133" i="8"/>
  <c r="NYQ133" i="8"/>
  <c r="NYP133" i="8"/>
  <c r="NYO133" i="8"/>
  <c r="NYN133" i="8"/>
  <c r="NYM133" i="8"/>
  <c r="NYL133" i="8"/>
  <c r="NYK133" i="8"/>
  <c r="NYJ133" i="8"/>
  <c r="NYI133" i="8"/>
  <c r="NYH133" i="8"/>
  <c r="NYG133" i="8"/>
  <c r="NYF133" i="8"/>
  <c r="NYE133" i="8"/>
  <c r="NYD133" i="8"/>
  <c r="NYC133" i="8"/>
  <c r="NYB133" i="8"/>
  <c r="NYA133" i="8"/>
  <c r="NXZ133" i="8"/>
  <c r="NXY133" i="8"/>
  <c r="NXX133" i="8"/>
  <c r="NXW133" i="8"/>
  <c r="NXV133" i="8"/>
  <c r="NXU133" i="8"/>
  <c r="NXT133" i="8"/>
  <c r="NXS133" i="8"/>
  <c r="NXR133" i="8"/>
  <c r="NXQ133" i="8"/>
  <c r="NXP133" i="8"/>
  <c r="NXO133" i="8"/>
  <c r="NXN133" i="8"/>
  <c r="NXM133" i="8"/>
  <c r="NXL133" i="8"/>
  <c r="NXK133" i="8"/>
  <c r="NXJ133" i="8"/>
  <c r="NXI133" i="8"/>
  <c r="NXH133" i="8"/>
  <c r="NXG133" i="8"/>
  <c r="NXF133" i="8"/>
  <c r="NXE133" i="8"/>
  <c r="NXD133" i="8"/>
  <c r="NXC133" i="8"/>
  <c r="NXB133" i="8"/>
  <c r="NXA133" i="8"/>
  <c r="NWZ133" i="8"/>
  <c r="NWY133" i="8"/>
  <c r="NWX133" i="8"/>
  <c r="NWW133" i="8"/>
  <c r="NWV133" i="8"/>
  <c r="NWU133" i="8"/>
  <c r="NWT133" i="8"/>
  <c r="NWS133" i="8"/>
  <c r="NWR133" i="8"/>
  <c r="NWQ133" i="8"/>
  <c r="NWP133" i="8"/>
  <c r="NWO133" i="8"/>
  <c r="NWN133" i="8"/>
  <c r="NWM133" i="8"/>
  <c r="NWL133" i="8"/>
  <c r="NWK133" i="8"/>
  <c r="NWJ133" i="8"/>
  <c r="NWI133" i="8"/>
  <c r="NWH133" i="8"/>
  <c r="NWG133" i="8"/>
  <c r="NWF133" i="8"/>
  <c r="NWE133" i="8"/>
  <c r="NWD133" i="8"/>
  <c r="NWC133" i="8"/>
  <c r="NWB133" i="8"/>
  <c r="NWA133" i="8"/>
  <c r="NVZ133" i="8"/>
  <c r="NVY133" i="8"/>
  <c r="NVX133" i="8"/>
  <c r="NVW133" i="8"/>
  <c r="NVV133" i="8"/>
  <c r="NVU133" i="8"/>
  <c r="NVT133" i="8"/>
  <c r="NVS133" i="8"/>
  <c r="NVR133" i="8"/>
  <c r="NVQ133" i="8"/>
  <c r="NVP133" i="8"/>
  <c r="NVO133" i="8"/>
  <c r="NVN133" i="8"/>
  <c r="NVM133" i="8"/>
  <c r="NVL133" i="8"/>
  <c r="NVK133" i="8"/>
  <c r="NVJ133" i="8"/>
  <c r="NVI133" i="8"/>
  <c r="NVH133" i="8"/>
  <c r="NVG133" i="8"/>
  <c r="NVF133" i="8"/>
  <c r="NVE133" i="8"/>
  <c r="NVD133" i="8"/>
  <c r="NVC133" i="8"/>
  <c r="NVB133" i="8"/>
  <c r="NVA133" i="8"/>
  <c r="NUZ133" i="8"/>
  <c r="NUY133" i="8"/>
  <c r="NUX133" i="8"/>
  <c r="NUW133" i="8"/>
  <c r="NUV133" i="8"/>
  <c r="NUU133" i="8"/>
  <c r="NUT133" i="8"/>
  <c r="NUS133" i="8"/>
  <c r="NUR133" i="8"/>
  <c r="NUQ133" i="8"/>
  <c r="NUP133" i="8"/>
  <c r="NUO133" i="8"/>
  <c r="NUN133" i="8"/>
  <c r="NUM133" i="8"/>
  <c r="NUL133" i="8"/>
  <c r="NUK133" i="8"/>
  <c r="NUJ133" i="8"/>
  <c r="NUI133" i="8"/>
  <c r="NUH133" i="8"/>
  <c r="NUG133" i="8"/>
  <c r="NUF133" i="8"/>
  <c r="NUE133" i="8"/>
  <c r="NUD133" i="8"/>
  <c r="NUC133" i="8"/>
  <c r="NUB133" i="8"/>
  <c r="NUA133" i="8"/>
  <c r="NTZ133" i="8"/>
  <c r="NTY133" i="8"/>
  <c r="NTX133" i="8"/>
  <c r="NTW133" i="8"/>
  <c r="NTV133" i="8"/>
  <c r="NTU133" i="8"/>
  <c r="NTT133" i="8"/>
  <c r="NTS133" i="8"/>
  <c r="NTR133" i="8"/>
  <c r="NTQ133" i="8"/>
  <c r="NTP133" i="8"/>
  <c r="NTO133" i="8"/>
  <c r="NTN133" i="8"/>
  <c r="NTM133" i="8"/>
  <c r="NTL133" i="8"/>
  <c r="NTK133" i="8"/>
  <c r="NTJ133" i="8"/>
  <c r="NTI133" i="8"/>
  <c r="NTH133" i="8"/>
  <c r="NTG133" i="8"/>
  <c r="NTF133" i="8"/>
  <c r="NTE133" i="8"/>
  <c r="NTD133" i="8"/>
  <c r="NTC133" i="8"/>
  <c r="NTB133" i="8"/>
  <c r="NTA133" i="8"/>
  <c r="NSZ133" i="8"/>
  <c r="NSY133" i="8"/>
  <c r="NSX133" i="8"/>
  <c r="NSW133" i="8"/>
  <c r="NSV133" i="8"/>
  <c r="NSU133" i="8"/>
  <c r="NST133" i="8"/>
  <c r="NSS133" i="8"/>
  <c r="NSR133" i="8"/>
  <c r="NSQ133" i="8"/>
  <c r="NSP133" i="8"/>
  <c r="NSO133" i="8"/>
  <c r="NSN133" i="8"/>
  <c r="NSM133" i="8"/>
  <c r="NSL133" i="8"/>
  <c r="NSK133" i="8"/>
  <c r="NSJ133" i="8"/>
  <c r="NSI133" i="8"/>
  <c r="NSH133" i="8"/>
  <c r="NSG133" i="8"/>
  <c r="NSF133" i="8"/>
  <c r="NSE133" i="8"/>
  <c r="NSD133" i="8"/>
  <c r="NSC133" i="8"/>
  <c r="NSB133" i="8"/>
  <c r="NSA133" i="8"/>
  <c r="NRZ133" i="8"/>
  <c r="NRY133" i="8"/>
  <c r="NRX133" i="8"/>
  <c r="NRW133" i="8"/>
  <c r="NRV133" i="8"/>
  <c r="NRU133" i="8"/>
  <c r="NRT133" i="8"/>
  <c r="NRS133" i="8"/>
  <c r="NRR133" i="8"/>
  <c r="NRQ133" i="8"/>
  <c r="NRP133" i="8"/>
  <c r="NRO133" i="8"/>
  <c r="NRN133" i="8"/>
  <c r="NRM133" i="8"/>
  <c r="NRL133" i="8"/>
  <c r="NRK133" i="8"/>
  <c r="NRJ133" i="8"/>
  <c r="NRI133" i="8"/>
  <c r="NRH133" i="8"/>
  <c r="NRG133" i="8"/>
  <c r="NRF133" i="8"/>
  <c r="NRE133" i="8"/>
  <c r="NRD133" i="8"/>
  <c r="NRC133" i="8"/>
  <c r="NRB133" i="8"/>
  <c r="NRA133" i="8"/>
  <c r="NQZ133" i="8"/>
  <c r="NQY133" i="8"/>
  <c r="NQX133" i="8"/>
  <c r="NQW133" i="8"/>
  <c r="NQV133" i="8"/>
  <c r="NQU133" i="8"/>
  <c r="NQT133" i="8"/>
  <c r="NQS133" i="8"/>
  <c r="NQR133" i="8"/>
  <c r="NQQ133" i="8"/>
  <c r="NQP133" i="8"/>
  <c r="NQO133" i="8"/>
  <c r="NQN133" i="8"/>
  <c r="NQM133" i="8"/>
  <c r="NQL133" i="8"/>
  <c r="NQK133" i="8"/>
  <c r="NQJ133" i="8"/>
  <c r="NQI133" i="8"/>
  <c r="NQH133" i="8"/>
  <c r="NQG133" i="8"/>
  <c r="NQF133" i="8"/>
  <c r="NQE133" i="8"/>
  <c r="NQD133" i="8"/>
  <c r="NQC133" i="8"/>
  <c r="NQB133" i="8"/>
  <c r="NQA133" i="8"/>
  <c r="NPZ133" i="8"/>
  <c r="NPY133" i="8"/>
  <c r="NPX133" i="8"/>
  <c r="NPW133" i="8"/>
  <c r="NPV133" i="8"/>
  <c r="NPU133" i="8"/>
  <c r="NPT133" i="8"/>
  <c r="NPS133" i="8"/>
  <c r="NPR133" i="8"/>
  <c r="NPQ133" i="8"/>
  <c r="NPP133" i="8"/>
  <c r="NPO133" i="8"/>
  <c r="NPN133" i="8"/>
  <c r="NPM133" i="8"/>
  <c r="NPL133" i="8"/>
  <c r="NPK133" i="8"/>
  <c r="NPJ133" i="8"/>
  <c r="NPI133" i="8"/>
  <c r="NPH133" i="8"/>
  <c r="NPG133" i="8"/>
  <c r="NPF133" i="8"/>
  <c r="NPE133" i="8"/>
  <c r="NPD133" i="8"/>
  <c r="NPC133" i="8"/>
  <c r="NPB133" i="8"/>
  <c r="NPA133" i="8"/>
  <c r="NOZ133" i="8"/>
  <c r="NOY133" i="8"/>
  <c r="NOX133" i="8"/>
  <c r="NOW133" i="8"/>
  <c r="NOV133" i="8"/>
  <c r="NOU133" i="8"/>
  <c r="NOT133" i="8"/>
  <c r="NOS133" i="8"/>
  <c r="NOR133" i="8"/>
  <c r="NOQ133" i="8"/>
  <c r="NOP133" i="8"/>
  <c r="NOO133" i="8"/>
  <c r="NON133" i="8"/>
  <c r="NOM133" i="8"/>
  <c r="NOL133" i="8"/>
  <c r="NOK133" i="8"/>
  <c r="NOJ133" i="8"/>
  <c r="NOI133" i="8"/>
  <c r="NOH133" i="8"/>
  <c r="NOG133" i="8"/>
  <c r="NOF133" i="8"/>
  <c r="NOE133" i="8"/>
  <c r="NOD133" i="8"/>
  <c r="NOC133" i="8"/>
  <c r="NOB133" i="8"/>
  <c r="NOA133" i="8"/>
  <c r="NNZ133" i="8"/>
  <c r="NNY133" i="8"/>
  <c r="NNX133" i="8"/>
  <c r="NNW133" i="8"/>
  <c r="NNV133" i="8"/>
  <c r="NNU133" i="8"/>
  <c r="NNT133" i="8"/>
  <c r="NNS133" i="8"/>
  <c r="NNR133" i="8"/>
  <c r="NNQ133" i="8"/>
  <c r="NNP133" i="8"/>
  <c r="NNO133" i="8"/>
  <c r="NNN133" i="8"/>
  <c r="NNM133" i="8"/>
  <c r="NNL133" i="8"/>
  <c r="NNK133" i="8"/>
  <c r="NNJ133" i="8"/>
  <c r="NNI133" i="8"/>
  <c r="NNH133" i="8"/>
  <c r="NNG133" i="8"/>
  <c r="NNF133" i="8"/>
  <c r="NNE133" i="8"/>
  <c r="NND133" i="8"/>
  <c r="NNC133" i="8"/>
  <c r="NNB133" i="8"/>
  <c r="NNA133" i="8"/>
  <c r="NMZ133" i="8"/>
  <c r="NMY133" i="8"/>
  <c r="NMX133" i="8"/>
  <c r="NMW133" i="8"/>
  <c r="NMV133" i="8"/>
  <c r="NMU133" i="8"/>
  <c r="NMT133" i="8"/>
  <c r="NMS133" i="8"/>
  <c r="NMR133" i="8"/>
  <c r="NMQ133" i="8"/>
  <c r="NMP133" i="8"/>
  <c r="NMO133" i="8"/>
  <c r="NMN133" i="8"/>
  <c r="NMM133" i="8"/>
  <c r="NML133" i="8"/>
  <c r="NMK133" i="8"/>
  <c r="NMJ133" i="8"/>
  <c r="NMI133" i="8"/>
  <c r="NMH133" i="8"/>
  <c r="NMG133" i="8"/>
  <c r="NMF133" i="8"/>
  <c r="NME133" i="8"/>
  <c r="NMD133" i="8"/>
  <c r="NMC133" i="8"/>
  <c r="NMB133" i="8"/>
  <c r="NMA133" i="8"/>
  <c r="NLZ133" i="8"/>
  <c r="NLY133" i="8"/>
  <c r="NLX133" i="8"/>
  <c r="NLW133" i="8"/>
  <c r="NLV133" i="8"/>
  <c r="NLU133" i="8"/>
  <c r="NLT133" i="8"/>
  <c r="NLS133" i="8"/>
  <c r="NLR133" i="8"/>
  <c r="NLQ133" i="8"/>
  <c r="NLP133" i="8"/>
  <c r="NLO133" i="8"/>
  <c r="NLN133" i="8"/>
  <c r="NLM133" i="8"/>
  <c r="NLL133" i="8"/>
  <c r="NLK133" i="8"/>
  <c r="NLJ133" i="8"/>
  <c r="NLI133" i="8"/>
  <c r="NLH133" i="8"/>
  <c r="NLG133" i="8"/>
  <c r="NLF133" i="8"/>
  <c r="NLE133" i="8"/>
  <c r="NLD133" i="8"/>
  <c r="NLC133" i="8"/>
  <c r="NLB133" i="8"/>
  <c r="NLA133" i="8"/>
  <c r="NKZ133" i="8"/>
  <c r="NKY133" i="8"/>
  <c r="NKX133" i="8"/>
  <c r="NKW133" i="8"/>
  <c r="NKV133" i="8"/>
  <c r="NKU133" i="8"/>
  <c r="NKT133" i="8"/>
  <c r="NKS133" i="8"/>
  <c r="NKR133" i="8"/>
  <c r="NKQ133" i="8"/>
  <c r="NKP133" i="8"/>
  <c r="NKO133" i="8"/>
  <c r="NKN133" i="8"/>
  <c r="NKM133" i="8"/>
  <c r="NKL133" i="8"/>
  <c r="NKK133" i="8"/>
  <c r="NKJ133" i="8"/>
  <c r="NKI133" i="8"/>
  <c r="NKH133" i="8"/>
  <c r="NKG133" i="8"/>
  <c r="NKF133" i="8"/>
  <c r="NKE133" i="8"/>
  <c r="NKD133" i="8"/>
  <c r="NKC133" i="8"/>
  <c r="NKB133" i="8"/>
  <c r="NKA133" i="8"/>
  <c r="NJZ133" i="8"/>
  <c r="NJY133" i="8"/>
  <c r="NJX133" i="8"/>
  <c r="NJW133" i="8"/>
  <c r="NJV133" i="8"/>
  <c r="NJU133" i="8"/>
  <c r="NJT133" i="8"/>
  <c r="NJS133" i="8"/>
  <c r="NJR133" i="8"/>
  <c r="NJQ133" i="8"/>
  <c r="NJP133" i="8"/>
  <c r="NJO133" i="8"/>
  <c r="NJN133" i="8"/>
  <c r="NJM133" i="8"/>
  <c r="NJL133" i="8"/>
  <c r="NJK133" i="8"/>
  <c r="NJJ133" i="8"/>
  <c r="NJI133" i="8"/>
  <c r="NJH133" i="8"/>
  <c r="NJG133" i="8"/>
  <c r="NJF133" i="8"/>
  <c r="NJE133" i="8"/>
  <c r="NJD133" i="8"/>
  <c r="NJC133" i="8"/>
  <c r="NJB133" i="8"/>
  <c r="NJA133" i="8"/>
  <c r="NIZ133" i="8"/>
  <c r="NIY133" i="8"/>
  <c r="NIX133" i="8"/>
  <c r="NIW133" i="8"/>
  <c r="NIV133" i="8"/>
  <c r="NIU133" i="8"/>
  <c r="NIT133" i="8"/>
  <c r="NIS133" i="8"/>
  <c r="NIR133" i="8"/>
  <c r="NIQ133" i="8"/>
  <c r="NIP133" i="8"/>
  <c r="NIO133" i="8"/>
  <c r="NIN133" i="8"/>
  <c r="NIM133" i="8"/>
  <c r="NIL133" i="8"/>
  <c r="NIK133" i="8"/>
  <c r="NIJ133" i="8"/>
  <c r="NII133" i="8"/>
  <c r="NIH133" i="8"/>
  <c r="NIG133" i="8"/>
  <c r="NIF133" i="8"/>
  <c r="NIE133" i="8"/>
  <c r="NID133" i="8"/>
  <c r="NIC133" i="8"/>
  <c r="NIB133" i="8"/>
  <c r="NIA133" i="8"/>
  <c r="NHZ133" i="8"/>
  <c r="NHY133" i="8"/>
  <c r="NHX133" i="8"/>
  <c r="NHW133" i="8"/>
  <c r="NHV133" i="8"/>
  <c r="NHU133" i="8"/>
  <c r="NHT133" i="8"/>
  <c r="NHS133" i="8"/>
  <c r="NHR133" i="8"/>
  <c r="NHQ133" i="8"/>
  <c r="NHP133" i="8"/>
  <c r="NHO133" i="8"/>
  <c r="NHN133" i="8"/>
  <c r="NHM133" i="8"/>
  <c r="NHL133" i="8"/>
  <c r="NHK133" i="8"/>
  <c r="NHJ133" i="8"/>
  <c r="NHI133" i="8"/>
  <c r="NHH133" i="8"/>
  <c r="NHG133" i="8"/>
  <c r="NHF133" i="8"/>
  <c r="NHE133" i="8"/>
  <c r="NHD133" i="8"/>
  <c r="NHC133" i="8"/>
  <c r="NHB133" i="8"/>
  <c r="NHA133" i="8"/>
  <c r="NGZ133" i="8"/>
  <c r="NGY133" i="8"/>
  <c r="NGX133" i="8"/>
  <c r="NGW133" i="8"/>
  <c r="NGV133" i="8"/>
  <c r="NGU133" i="8"/>
  <c r="NGT133" i="8"/>
  <c r="NGS133" i="8"/>
  <c r="NGR133" i="8"/>
  <c r="NGQ133" i="8"/>
  <c r="NGP133" i="8"/>
  <c r="NGO133" i="8"/>
  <c r="NGN133" i="8"/>
  <c r="NGM133" i="8"/>
  <c r="NGL133" i="8"/>
  <c r="NGK133" i="8"/>
  <c r="NGJ133" i="8"/>
  <c r="NGI133" i="8"/>
  <c r="NGH133" i="8"/>
  <c r="NGG133" i="8"/>
  <c r="NGF133" i="8"/>
  <c r="NGE133" i="8"/>
  <c r="NGD133" i="8"/>
  <c r="NGC133" i="8"/>
  <c r="NGB133" i="8"/>
  <c r="NGA133" i="8"/>
  <c r="NFZ133" i="8"/>
  <c r="NFY133" i="8"/>
  <c r="NFX133" i="8"/>
  <c r="NFW133" i="8"/>
  <c r="NFV133" i="8"/>
  <c r="NFU133" i="8"/>
  <c r="NFT133" i="8"/>
  <c r="NFS133" i="8"/>
  <c r="NFR133" i="8"/>
  <c r="NFQ133" i="8"/>
  <c r="NFP133" i="8"/>
  <c r="NFO133" i="8"/>
  <c r="NFN133" i="8"/>
  <c r="NFM133" i="8"/>
  <c r="NFL133" i="8"/>
  <c r="NFK133" i="8"/>
  <c r="NFJ133" i="8"/>
  <c r="NFI133" i="8"/>
  <c r="NFH133" i="8"/>
  <c r="NFG133" i="8"/>
  <c r="NFF133" i="8"/>
  <c r="NFE133" i="8"/>
  <c r="NFD133" i="8"/>
  <c r="NFC133" i="8"/>
  <c r="NFB133" i="8"/>
  <c r="NFA133" i="8"/>
  <c r="NEZ133" i="8"/>
  <c r="NEY133" i="8"/>
  <c r="NEX133" i="8"/>
  <c r="NEW133" i="8"/>
  <c r="NEV133" i="8"/>
  <c r="NEU133" i="8"/>
  <c r="NET133" i="8"/>
  <c r="NES133" i="8"/>
  <c r="NER133" i="8"/>
  <c r="NEQ133" i="8"/>
  <c r="NEP133" i="8"/>
  <c r="NEO133" i="8"/>
  <c r="NEN133" i="8"/>
  <c r="NEM133" i="8"/>
  <c r="NEL133" i="8"/>
  <c r="NEK133" i="8"/>
  <c r="NEJ133" i="8"/>
  <c r="NEI133" i="8"/>
  <c r="NEH133" i="8"/>
  <c r="NEG133" i="8"/>
  <c r="NEF133" i="8"/>
  <c r="NEE133" i="8"/>
  <c r="NED133" i="8"/>
  <c r="NEC133" i="8"/>
  <c r="NEB133" i="8"/>
  <c r="NEA133" i="8"/>
  <c r="NDZ133" i="8"/>
  <c r="NDY133" i="8"/>
  <c r="NDX133" i="8"/>
  <c r="NDW133" i="8"/>
  <c r="NDV133" i="8"/>
  <c r="NDU133" i="8"/>
  <c r="NDT133" i="8"/>
  <c r="NDS133" i="8"/>
  <c r="NDR133" i="8"/>
  <c r="NDQ133" i="8"/>
  <c r="NDP133" i="8"/>
  <c r="NDO133" i="8"/>
  <c r="NDN133" i="8"/>
  <c r="NDM133" i="8"/>
  <c r="NDL133" i="8"/>
  <c r="NDK133" i="8"/>
  <c r="NDJ133" i="8"/>
  <c r="NDI133" i="8"/>
  <c r="NDH133" i="8"/>
  <c r="NDG133" i="8"/>
  <c r="NDF133" i="8"/>
  <c r="NDE133" i="8"/>
  <c r="NDD133" i="8"/>
  <c r="NDC133" i="8"/>
  <c r="NDB133" i="8"/>
  <c r="NDA133" i="8"/>
  <c r="NCZ133" i="8"/>
  <c r="NCY133" i="8"/>
  <c r="NCX133" i="8"/>
  <c r="NCW133" i="8"/>
  <c r="NCV133" i="8"/>
  <c r="NCU133" i="8"/>
  <c r="NCT133" i="8"/>
  <c r="NCS133" i="8"/>
  <c r="NCR133" i="8"/>
  <c r="NCQ133" i="8"/>
  <c r="NCP133" i="8"/>
  <c r="NCO133" i="8"/>
  <c r="NCN133" i="8"/>
  <c r="NCM133" i="8"/>
  <c r="NCL133" i="8"/>
  <c r="NCK133" i="8"/>
  <c r="NCJ133" i="8"/>
  <c r="NCI133" i="8"/>
  <c r="NCH133" i="8"/>
  <c r="NCG133" i="8"/>
  <c r="NCF133" i="8"/>
  <c r="NCE133" i="8"/>
  <c r="NCD133" i="8"/>
  <c r="NCC133" i="8"/>
  <c r="NCB133" i="8"/>
  <c r="NCA133" i="8"/>
  <c r="NBZ133" i="8"/>
  <c r="NBY133" i="8"/>
  <c r="NBX133" i="8"/>
  <c r="NBW133" i="8"/>
  <c r="NBV133" i="8"/>
  <c r="NBU133" i="8"/>
  <c r="NBT133" i="8"/>
  <c r="NBS133" i="8"/>
  <c r="NBR133" i="8"/>
  <c r="NBQ133" i="8"/>
  <c r="NBP133" i="8"/>
  <c r="NBO133" i="8"/>
  <c r="NBN133" i="8"/>
  <c r="NBM133" i="8"/>
  <c r="NBL133" i="8"/>
  <c r="NBK133" i="8"/>
  <c r="NBJ133" i="8"/>
  <c r="NBI133" i="8"/>
  <c r="NBH133" i="8"/>
  <c r="NBG133" i="8"/>
  <c r="NBF133" i="8"/>
  <c r="NBE133" i="8"/>
  <c r="NBD133" i="8"/>
  <c r="NBC133" i="8"/>
  <c r="NBB133" i="8"/>
  <c r="NBA133" i="8"/>
  <c r="NAZ133" i="8"/>
  <c r="NAY133" i="8"/>
  <c r="NAX133" i="8"/>
  <c r="NAW133" i="8"/>
  <c r="NAV133" i="8"/>
  <c r="NAU133" i="8"/>
  <c r="NAT133" i="8"/>
  <c r="NAS133" i="8"/>
  <c r="NAR133" i="8"/>
  <c r="NAQ133" i="8"/>
  <c r="NAP133" i="8"/>
  <c r="NAO133" i="8"/>
  <c r="NAN133" i="8"/>
  <c r="NAM133" i="8"/>
  <c r="NAL133" i="8"/>
  <c r="NAK133" i="8"/>
  <c r="NAJ133" i="8"/>
  <c r="NAI133" i="8"/>
  <c r="NAH133" i="8"/>
  <c r="NAG133" i="8"/>
  <c r="NAF133" i="8"/>
  <c r="NAE133" i="8"/>
  <c r="NAD133" i="8"/>
  <c r="NAC133" i="8"/>
  <c r="NAB133" i="8"/>
  <c r="NAA133" i="8"/>
  <c r="MZZ133" i="8"/>
  <c r="MZY133" i="8"/>
  <c r="MZX133" i="8"/>
  <c r="MZW133" i="8"/>
  <c r="MZV133" i="8"/>
  <c r="MZU133" i="8"/>
  <c r="MZT133" i="8"/>
  <c r="MZS133" i="8"/>
  <c r="MZR133" i="8"/>
  <c r="MZQ133" i="8"/>
  <c r="MZP133" i="8"/>
  <c r="MZO133" i="8"/>
  <c r="MZN133" i="8"/>
  <c r="MZM133" i="8"/>
  <c r="MZL133" i="8"/>
  <c r="MZK133" i="8"/>
  <c r="MZJ133" i="8"/>
  <c r="MZI133" i="8"/>
  <c r="MZH133" i="8"/>
  <c r="MZG133" i="8"/>
  <c r="MZF133" i="8"/>
  <c r="MZE133" i="8"/>
  <c r="MZD133" i="8"/>
  <c r="MZC133" i="8"/>
  <c r="MZB133" i="8"/>
  <c r="MZA133" i="8"/>
  <c r="MYZ133" i="8"/>
  <c r="MYY133" i="8"/>
  <c r="MYX133" i="8"/>
  <c r="MYW133" i="8"/>
  <c r="MYV133" i="8"/>
  <c r="MYU133" i="8"/>
  <c r="MYT133" i="8"/>
  <c r="MYS133" i="8"/>
  <c r="MYR133" i="8"/>
  <c r="MYQ133" i="8"/>
  <c r="MYP133" i="8"/>
  <c r="MYO133" i="8"/>
  <c r="MYN133" i="8"/>
  <c r="MYM133" i="8"/>
  <c r="MYL133" i="8"/>
  <c r="MYK133" i="8"/>
  <c r="MYJ133" i="8"/>
  <c r="MYI133" i="8"/>
  <c r="MYH133" i="8"/>
  <c r="MYG133" i="8"/>
  <c r="MYF133" i="8"/>
  <c r="MYE133" i="8"/>
  <c r="MYD133" i="8"/>
  <c r="MYC133" i="8"/>
  <c r="MYB133" i="8"/>
  <c r="MYA133" i="8"/>
  <c r="MXZ133" i="8"/>
  <c r="MXY133" i="8"/>
  <c r="MXX133" i="8"/>
  <c r="MXW133" i="8"/>
  <c r="MXV133" i="8"/>
  <c r="MXU133" i="8"/>
  <c r="MXT133" i="8"/>
  <c r="MXS133" i="8"/>
  <c r="MXR133" i="8"/>
  <c r="MXQ133" i="8"/>
  <c r="MXP133" i="8"/>
  <c r="MXO133" i="8"/>
  <c r="MXN133" i="8"/>
  <c r="MXM133" i="8"/>
  <c r="MXL133" i="8"/>
  <c r="MXK133" i="8"/>
  <c r="MXJ133" i="8"/>
  <c r="MXI133" i="8"/>
  <c r="MXH133" i="8"/>
  <c r="MXG133" i="8"/>
  <c r="MXF133" i="8"/>
  <c r="MXE133" i="8"/>
  <c r="MXD133" i="8"/>
  <c r="MXC133" i="8"/>
  <c r="MXB133" i="8"/>
  <c r="MXA133" i="8"/>
  <c r="MWZ133" i="8"/>
  <c r="MWY133" i="8"/>
  <c r="MWX133" i="8"/>
  <c r="MWW133" i="8"/>
  <c r="MWV133" i="8"/>
  <c r="MWU133" i="8"/>
  <c r="MWT133" i="8"/>
  <c r="MWS133" i="8"/>
  <c r="MWR133" i="8"/>
  <c r="MWQ133" i="8"/>
  <c r="MWP133" i="8"/>
  <c r="MWO133" i="8"/>
  <c r="MWN133" i="8"/>
  <c r="MWM133" i="8"/>
  <c r="MWL133" i="8"/>
  <c r="MWK133" i="8"/>
  <c r="MWJ133" i="8"/>
  <c r="MWI133" i="8"/>
  <c r="MWH133" i="8"/>
  <c r="MWG133" i="8"/>
  <c r="MWF133" i="8"/>
  <c r="MWE133" i="8"/>
  <c r="MWD133" i="8"/>
  <c r="MWC133" i="8"/>
  <c r="MWB133" i="8"/>
  <c r="MWA133" i="8"/>
  <c r="MVZ133" i="8"/>
  <c r="MVY133" i="8"/>
  <c r="MVX133" i="8"/>
  <c r="MVW133" i="8"/>
  <c r="MVV133" i="8"/>
  <c r="MVU133" i="8"/>
  <c r="MVT133" i="8"/>
  <c r="MVS133" i="8"/>
  <c r="MVR133" i="8"/>
  <c r="MVQ133" i="8"/>
  <c r="MVP133" i="8"/>
  <c r="MVO133" i="8"/>
  <c r="MVN133" i="8"/>
  <c r="MVM133" i="8"/>
  <c r="MVL133" i="8"/>
  <c r="MVK133" i="8"/>
  <c r="MVJ133" i="8"/>
  <c r="MVI133" i="8"/>
  <c r="MVH133" i="8"/>
  <c r="MVG133" i="8"/>
  <c r="MVF133" i="8"/>
  <c r="MVE133" i="8"/>
  <c r="MVD133" i="8"/>
  <c r="MVC133" i="8"/>
  <c r="MVB133" i="8"/>
  <c r="MVA133" i="8"/>
  <c r="MUZ133" i="8"/>
  <c r="MUY133" i="8"/>
  <c r="MUX133" i="8"/>
  <c r="MUW133" i="8"/>
  <c r="MUV133" i="8"/>
  <c r="MUU133" i="8"/>
  <c r="MUT133" i="8"/>
  <c r="MUS133" i="8"/>
  <c r="MUR133" i="8"/>
  <c r="MUQ133" i="8"/>
  <c r="MUP133" i="8"/>
  <c r="MUO133" i="8"/>
  <c r="MUN133" i="8"/>
  <c r="MUM133" i="8"/>
  <c r="MUL133" i="8"/>
  <c r="MUK133" i="8"/>
  <c r="MUJ133" i="8"/>
  <c r="MUI133" i="8"/>
  <c r="MUH133" i="8"/>
  <c r="MUG133" i="8"/>
  <c r="MUF133" i="8"/>
  <c r="MUE133" i="8"/>
  <c r="MUD133" i="8"/>
  <c r="MUC133" i="8"/>
  <c r="MUB133" i="8"/>
  <c r="MUA133" i="8"/>
  <c r="MTZ133" i="8"/>
  <c r="MTY133" i="8"/>
  <c r="MTX133" i="8"/>
  <c r="MTW133" i="8"/>
  <c r="MTV133" i="8"/>
  <c r="MTU133" i="8"/>
  <c r="MTT133" i="8"/>
  <c r="MTS133" i="8"/>
  <c r="MTR133" i="8"/>
  <c r="MTQ133" i="8"/>
  <c r="MTP133" i="8"/>
  <c r="MTO133" i="8"/>
  <c r="MTN133" i="8"/>
  <c r="MTM133" i="8"/>
  <c r="MTL133" i="8"/>
  <c r="MTK133" i="8"/>
  <c r="MTJ133" i="8"/>
  <c r="MTI133" i="8"/>
  <c r="MTH133" i="8"/>
  <c r="MTG133" i="8"/>
  <c r="MTF133" i="8"/>
  <c r="MTE133" i="8"/>
  <c r="MTD133" i="8"/>
  <c r="MTC133" i="8"/>
  <c r="MTB133" i="8"/>
  <c r="MTA133" i="8"/>
  <c r="MSZ133" i="8"/>
  <c r="MSY133" i="8"/>
  <c r="MSX133" i="8"/>
  <c r="MSW133" i="8"/>
  <c r="MSV133" i="8"/>
  <c r="MSU133" i="8"/>
  <c r="MST133" i="8"/>
  <c r="MSS133" i="8"/>
  <c r="MSR133" i="8"/>
  <c r="MSQ133" i="8"/>
  <c r="MSP133" i="8"/>
  <c r="MSO133" i="8"/>
  <c r="MSN133" i="8"/>
  <c r="MSM133" i="8"/>
  <c r="MSL133" i="8"/>
  <c r="MSK133" i="8"/>
  <c r="MSJ133" i="8"/>
  <c r="MSI133" i="8"/>
  <c r="MSH133" i="8"/>
  <c r="MSG133" i="8"/>
  <c r="MSF133" i="8"/>
  <c r="MSE133" i="8"/>
  <c r="MSD133" i="8"/>
  <c r="MSC133" i="8"/>
  <c r="MSB133" i="8"/>
  <c r="MSA133" i="8"/>
  <c r="MRZ133" i="8"/>
  <c r="MRY133" i="8"/>
  <c r="MRX133" i="8"/>
  <c r="MRW133" i="8"/>
  <c r="MRV133" i="8"/>
  <c r="MRU133" i="8"/>
  <c r="MRT133" i="8"/>
  <c r="MRS133" i="8"/>
  <c r="MRR133" i="8"/>
  <c r="MRQ133" i="8"/>
  <c r="MRP133" i="8"/>
  <c r="MRO133" i="8"/>
  <c r="MRN133" i="8"/>
  <c r="MRM133" i="8"/>
  <c r="MRL133" i="8"/>
  <c r="MRK133" i="8"/>
  <c r="MRJ133" i="8"/>
  <c r="MRI133" i="8"/>
  <c r="MRH133" i="8"/>
  <c r="MRG133" i="8"/>
  <c r="MRF133" i="8"/>
  <c r="MRE133" i="8"/>
  <c r="MRD133" i="8"/>
  <c r="MRC133" i="8"/>
  <c r="MRB133" i="8"/>
  <c r="MRA133" i="8"/>
  <c r="MQZ133" i="8"/>
  <c r="MQY133" i="8"/>
  <c r="MQX133" i="8"/>
  <c r="MQW133" i="8"/>
  <c r="MQV133" i="8"/>
  <c r="MQU133" i="8"/>
  <c r="MQT133" i="8"/>
  <c r="MQS133" i="8"/>
  <c r="MQR133" i="8"/>
  <c r="MQQ133" i="8"/>
  <c r="MQP133" i="8"/>
  <c r="MQO133" i="8"/>
  <c r="MQN133" i="8"/>
  <c r="MQM133" i="8"/>
  <c r="MQL133" i="8"/>
  <c r="MQK133" i="8"/>
  <c r="MQJ133" i="8"/>
  <c r="MQI133" i="8"/>
  <c r="MQH133" i="8"/>
  <c r="MQG133" i="8"/>
  <c r="MQF133" i="8"/>
  <c r="MQE133" i="8"/>
  <c r="MQD133" i="8"/>
  <c r="MQC133" i="8"/>
  <c r="MQB133" i="8"/>
  <c r="MQA133" i="8"/>
  <c r="MPZ133" i="8"/>
  <c r="MPY133" i="8"/>
  <c r="MPX133" i="8"/>
  <c r="MPW133" i="8"/>
  <c r="MPV133" i="8"/>
  <c r="MPU133" i="8"/>
  <c r="MPT133" i="8"/>
  <c r="MPS133" i="8"/>
  <c r="MPR133" i="8"/>
  <c r="MPQ133" i="8"/>
  <c r="MPP133" i="8"/>
  <c r="MPO133" i="8"/>
  <c r="MPN133" i="8"/>
  <c r="MPM133" i="8"/>
  <c r="MPL133" i="8"/>
  <c r="MPK133" i="8"/>
  <c r="MPJ133" i="8"/>
  <c r="MPI133" i="8"/>
  <c r="MPH133" i="8"/>
  <c r="MPG133" i="8"/>
  <c r="MPF133" i="8"/>
  <c r="MPE133" i="8"/>
  <c r="MPD133" i="8"/>
  <c r="MPC133" i="8"/>
  <c r="MPB133" i="8"/>
  <c r="MPA133" i="8"/>
  <c r="MOZ133" i="8"/>
  <c r="MOY133" i="8"/>
  <c r="MOX133" i="8"/>
  <c r="MOW133" i="8"/>
  <c r="MOV133" i="8"/>
  <c r="MOU133" i="8"/>
  <c r="MOT133" i="8"/>
  <c r="MOS133" i="8"/>
  <c r="MOR133" i="8"/>
  <c r="MOQ133" i="8"/>
  <c r="MOP133" i="8"/>
  <c r="MOO133" i="8"/>
  <c r="MON133" i="8"/>
  <c r="MOM133" i="8"/>
  <c r="MOL133" i="8"/>
  <c r="MOK133" i="8"/>
  <c r="MOJ133" i="8"/>
  <c r="MOI133" i="8"/>
  <c r="MOH133" i="8"/>
  <c r="MOG133" i="8"/>
  <c r="MOF133" i="8"/>
  <c r="MOE133" i="8"/>
  <c r="MOD133" i="8"/>
  <c r="MOC133" i="8"/>
  <c r="MOB133" i="8"/>
  <c r="MOA133" i="8"/>
  <c r="MNZ133" i="8"/>
  <c r="MNY133" i="8"/>
  <c r="MNX133" i="8"/>
  <c r="MNW133" i="8"/>
  <c r="MNV133" i="8"/>
  <c r="MNU133" i="8"/>
  <c r="MNT133" i="8"/>
  <c r="MNS133" i="8"/>
  <c r="MNR133" i="8"/>
  <c r="MNQ133" i="8"/>
  <c r="MNP133" i="8"/>
  <c r="MNO133" i="8"/>
  <c r="MNN133" i="8"/>
  <c r="MNM133" i="8"/>
  <c r="MNL133" i="8"/>
  <c r="MNK133" i="8"/>
  <c r="MNJ133" i="8"/>
  <c r="MNI133" i="8"/>
  <c r="MNH133" i="8"/>
  <c r="MNG133" i="8"/>
  <c r="MNF133" i="8"/>
  <c r="MNE133" i="8"/>
  <c r="MND133" i="8"/>
  <c r="MNC133" i="8"/>
  <c r="MNB133" i="8"/>
  <c r="MNA133" i="8"/>
  <c r="MMZ133" i="8"/>
  <c r="MMY133" i="8"/>
  <c r="MMX133" i="8"/>
  <c r="MMW133" i="8"/>
  <c r="MMV133" i="8"/>
  <c r="MMU133" i="8"/>
  <c r="MMT133" i="8"/>
  <c r="MMS133" i="8"/>
  <c r="MMR133" i="8"/>
  <c r="MMQ133" i="8"/>
  <c r="MMP133" i="8"/>
  <c r="MMO133" i="8"/>
  <c r="MMN133" i="8"/>
  <c r="MMM133" i="8"/>
  <c r="MML133" i="8"/>
  <c r="MMK133" i="8"/>
  <c r="MMJ133" i="8"/>
  <c r="MMI133" i="8"/>
  <c r="MMH133" i="8"/>
  <c r="MMG133" i="8"/>
  <c r="MMF133" i="8"/>
  <c r="MME133" i="8"/>
  <c r="MMD133" i="8"/>
  <c r="MMC133" i="8"/>
  <c r="MMB133" i="8"/>
  <c r="MMA133" i="8"/>
  <c r="MLZ133" i="8"/>
  <c r="MLY133" i="8"/>
  <c r="MLX133" i="8"/>
  <c r="MLW133" i="8"/>
  <c r="MLV133" i="8"/>
  <c r="MLU133" i="8"/>
  <c r="MLT133" i="8"/>
  <c r="MLS133" i="8"/>
  <c r="MLR133" i="8"/>
  <c r="MLQ133" i="8"/>
  <c r="MLP133" i="8"/>
  <c r="MLO133" i="8"/>
  <c r="MLN133" i="8"/>
  <c r="MLM133" i="8"/>
  <c r="MLL133" i="8"/>
  <c r="MLK133" i="8"/>
  <c r="MLJ133" i="8"/>
  <c r="MLI133" i="8"/>
  <c r="MLH133" i="8"/>
  <c r="MLG133" i="8"/>
  <c r="MLF133" i="8"/>
  <c r="MLE133" i="8"/>
  <c r="MLD133" i="8"/>
  <c r="MLC133" i="8"/>
  <c r="MLB133" i="8"/>
  <c r="MLA133" i="8"/>
  <c r="MKZ133" i="8"/>
  <c r="MKY133" i="8"/>
  <c r="MKX133" i="8"/>
  <c r="MKW133" i="8"/>
  <c r="MKV133" i="8"/>
  <c r="MKU133" i="8"/>
  <c r="MKT133" i="8"/>
  <c r="MKS133" i="8"/>
  <c r="MKR133" i="8"/>
  <c r="MKQ133" i="8"/>
  <c r="MKP133" i="8"/>
  <c r="MKO133" i="8"/>
  <c r="MKN133" i="8"/>
  <c r="MKM133" i="8"/>
  <c r="MKL133" i="8"/>
  <c r="MKK133" i="8"/>
  <c r="MKJ133" i="8"/>
  <c r="MKI133" i="8"/>
  <c r="MKH133" i="8"/>
  <c r="MKG133" i="8"/>
  <c r="MKF133" i="8"/>
  <c r="MKE133" i="8"/>
  <c r="MKD133" i="8"/>
  <c r="MKC133" i="8"/>
  <c r="MKB133" i="8"/>
  <c r="MKA133" i="8"/>
  <c r="MJZ133" i="8"/>
  <c r="MJY133" i="8"/>
  <c r="MJX133" i="8"/>
  <c r="MJW133" i="8"/>
  <c r="MJV133" i="8"/>
  <c r="MJU133" i="8"/>
  <c r="MJT133" i="8"/>
  <c r="MJS133" i="8"/>
  <c r="MJR133" i="8"/>
  <c r="MJQ133" i="8"/>
  <c r="MJP133" i="8"/>
  <c r="MJO133" i="8"/>
  <c r="MJN133" i="8"/>
  <c r="MJM133" i="8"/>
  <c r="MJL133" i="8"/>
  <c r="MJK133" i="8"/>
  <c r="MJJ133" i="8"/>
  <c r="MJI133" i="8"/>
  <c r="MJH133" i="8"/>
  <c r="MJG133" i="8"/>
  <c r="MJF133" i="8"/>
  <c r="MJE133" i="8"/>
  <c r="MJD133" i="8"/>
  <c r="MJC133" i="8"/>
  <c r="MJB133" i="8"/>
  <c r="MJA133" i="8"/>
  <c r="MIZ133" i="8"/>
  <c r="MIY133" i="8"/>
  <c r="MIX133" i="8"/>
  <c r="MIW133" i="8"/>
  <c r="MIV133" i="8"/>
  <c r="MIU133" i="8"/>
  <c r="MIT133" i="8"/>
  <c r="MIS133" i="8"/>
  <c r="MIR133" i="8"/>
  <c r="MIQ133" i="8"/>
  <c r="MIP133" i="8"/>
  <c r="MIO133" i="8"/>
  <c r="MIN133" i="8"/>
  <c r="MIM133" i="8"/>
  <c r="MIL133" i="8"/>
  <c r="MIK133" i="8"/>
  <c r="MIJ133" i="8"/>
  <c r="MII133" i="8"/>
  <c r="MIH133" i="8"/>
  <c r="MIG133" i="8"/>
  <c r="MIF133" i="8"/>
  <c r="MIE133" i="8"/>
  <c r="MID133" i="8"/>
  <c r="MIC133" i="8"/>
  <c r="MIB133" i="8"/>
  <c r="MIA133" i="8"/>
  <c r="MHZ133" i="8"/>
  <c r="MHY133" i="8"/>
  <c r="MHX133" i="8"/>
  <c r="MHW133" i="8"/>
  <c r="MHV133" i="8"/>
  <c r="MHU133" i="8"/>
  <c r="MHT133" i="8"/>
  <c r="MHS133" i="8"/>
  <c r="MHR133" i="8"/>
  <c r="MHQ133" i="8"/>
  <c r="MHP133" i="8"/>
  <c r="MHO133" i="8"/>
  <c r="MHN133" i="8"/>
  <c r="MHM133" i="8"/>
  <c r="MHL133" i="8"/>
  <c r="MHK133" i="8"/>
  <c r="MHJ133" i="8"/>
  <c r="MHI133" i="8"/>
  <c r="MHH133" i="8"/>
  <c r="MHG133" i="8"/>
  <c r="MHF133" i="8"/>
  <c r="MHE133" i="8"/>
  <c r="MHD133" i="8"/>
  <c r="MHC133" i="8"/>
  <c r="MHB133" i="8"/>
  <c r="MHA133" i="8"/>
  <c r="MGZ133" i="8"/>
  <c r="MGY133" i="8"/>
  <c r="MGX133" i="8"/>
  <c r="MGW133" i="8"/>
  <c r="MGV133" i="8"/>
  <c r="MGU133" i="8"/>
  <c r="MGT133" i="8"/>
  <c r="MGS133" i="8"/>
  <c r="MGR133" i="8"/>
  <c r="MGQ133" i="8"/>
  <c r="MGP133" i="8"/>
  <c r="MGO133" i="8"/>
  <c r="MGN133" i="8"/>
  <c r="MGM133" i="8"/>
  <c r="MGL133" i="8"/>
  <c r="MGK133" i="8"/>
  <c r="MGJ133" i="8"/>
  <c r="MGI133" i="8"/>
  <c r="MGH133" i="8"/>
  <c r="MGG133" i="8"/>
  <c r="MGF133" i="8"/>
  <c r="MGE133" i="8"/>
  <c r="MGD133" i="8"/>
  <c r="MGC133" i="8"/>
  <c r="MGB133" i="8"/>
  <c r="MGA133" i="8"/>
  <c r="MFZ133" i="8"/>
  <c r="MFY133" i="8"/>
  <c r="MFX133" i="8"/>
  <c r="MFW133" i="8"/>
  <c r="MFV133" i="8"/>
  <c r="MFU133" i="8"/>
  <c r="MFT133" i="8"/>
  <c r="MFS133" i="8"/>
  <c r="MFR133" i="8"/>
  <c r="MFQ133" i="8"/>
  <c r="MFP133" i="8"/>
  <c r="MFO133" i="8"/>
  <c r="MFN133" i="8"/>
  <c r="MFM133" i="8"/>
  <c r="MFL133" i="8"/>
  <c r="MFK133" i="8"/>
  <c r="MFJ133" i="8"/>
  <c r="MFI133" i="8"/>
  <c r="MFH133" i="8"/>
  <c r="MFG133" i="8"/>
  <c r="MFF133" i="8"/>
  <c r="MFE133" i="8"/>
  <c r="MFD133" i="8"/>
  <c r="MFC133" i="8"/>
  <c r="MFB133" i="8"/>
  <c r="MFA133" i="8"/>
  <c r="MEZ133" i="8"/>
  <c r="MEY133" i="8"/>
  <c r="MEX133" i="8"/>
  <c r="MEW133" i="8"/>
  <c r="MEV133" i="8"/>
  <c r="MEU133" i="8"/>
  <c r="MET133" i="8"/>
  <c r="MES133" i="8"/>
  <c r="MER133" i="8"/>
  <c r="MEQ133" i="8"/>
  <c r="MEP133" i="8"/>
  <c r="MEO133" i="8"/>
  <c r="MEN133" i="8"/>
  <c r="MEM133" i="8"/>
  <c r="MEL133" i="8"/>
  <c r="MEK133" i="8"/>
  <c r="MEJ133" i="8"/>
  <c r="MEI133" i="8"/>
  <c r="MEH133" i="8"/>
  <c r="MEG133" i="8"/>
  <c r="MEF133" i="8"/>
  <c r="MEE133" i="8"/>
  <c r="MED133" i="8"/>
  <c r="MEC133" i="8"/>
  <c r="MEB133" i="8"/>
  <c r="MEA133" i="8"/>
  <c r="MDZ133" i="8"/>
  <c r="MDY133" i="8"/>
  <c r="MDX133" i="8"/>
  <c r="MDW133" i="8"/>
  <c r="MDV133" i="8"/>
  <c r="MDU133" i="8"/>
  <c r="MDT133" i="8"/>
  <c r="MDS133" i="8"/>
  <c r="MDR133" i="8"/>
  <c r="MDQ133" i="8"/>
  <c r="MDP133" i="8"/>
  <c r="MDO133" i="8"/>
  <c r="MDN133" i="8"/>
  <c r="MDM133" i="8"/>
  <c r="MDL133" i="8"/>
  <c r="MDK133" i="8"/>
  <c r="MDJ133" i="8"/>
  <c r="MDI133" i="8"/>
  <c r="MDH133" i="8"/>
  <c r="MDG133" i="8"/>
  <c r="MDF133" i="8"/>
  <c r="MDE133" i="8"/>
  <c r="MDD133" i="8"/>
  <c r="MDC133" i="8"/>
  <c r="MDB133" i="8"/>
  <c r="MDA133" i="8"/>
  <c r="MCZ133" i="8"/>
  <c r="MCY133" i="8"/>
  <c r="MCX133" i="8"/>
  <c r="MCW133" i="8"/>
  <c r="MCV133" i="8"/>
  <c r="MCU133" i="8"/>
  <c r="MCT133" i="8"/>
  <c r="MCS133" i="8"/>
  <c r="MCR133" i="8"/>
  <c r="MCQ133" i="8"/>
  <c r="MCP133" i="8"/>
  <c r="MCO133" i="8"/>
  <c r="MCN133" i="8"/>
  <c r="MCM133" i="8"/>
  <c r="MCL133" i="8"/>
  <c r="MCK133" i="8"/>
  <c r="MCJ133" i="8"/>
  <c r="MCI133" i="8"/>
  <c r="MCH133" i="8"/>
  <c r="MCG133" i="8"/>
  <c r="MCF133" i="8"/>
  <c r="MCE133" i="8"/>
  <c r="MCD133" i="8"/>
  <c r="MCC133" i="8"/>
  <c r="MCB133" i="8"/>
  <c r="MCA133" i="8"/>
  <c r="MBZ133" i="8"/>
  <c r="MBY133" i="8"/>
  <c r="MBX133" i="8"/>
  <c r="MBW133" i="8"/>
  <c r="MBV133" i="8"/>
  <c r="MBU133" i="8"/>
  <c r="MBT133" i="8"/>
  <c r="MBS133" i="8"/>
  <c r="MBR133" i="8"/>
  <c r="MBQ133" i="8"/>
  <c r="MBP133" i="8"/>
  <c r="MBO133" i="8"/>
  <c r="MBN133" i="8"/>
  <c r="MBM133" i="8"/>
  <c r="MBL133" i="8"/>
  <c r="MBK133" i="8"/>
  <c r="MBJ133" i="8"/>
  <c r="MBI133" i="8"/>
  <c r="MBH133" i="8"/>
  <c r="MBG133" i="8"/>
  <c r="MBF133" i="8"/>
  <c r="MBE133" i="8"/>
  <c r="MBD133" i="8"/>
  <c r="MBC133" i="8"/>
  <c r="MBB133" i="8"/>
  <c r="MBA133" i="8"/>
  <c r="MAZ133" i="8"/>
  <c r="MAY133" i="8"/>
  <c r="MAX133" i="8"/>
  <c r="MAW133" i="8"/>
  <c r="MAV133" i="8"/>
  <c r="MAU133" i="8"/>
  <c r="MAT133" i="8"/>
  <c r="MAS133" i="8"/>
  <c r="MAR133" i="8"/>
  <c r="MAQ133" i="8"/>
  <c r="MAP133" i="8"/>
  <c r="MAO133" i="8"/>
  <c r="MAN133" i="8"/>
  <c r="MAM133" i="8"/>
  <c r="MAL133" i="8"/>
  <c r="MAK133" i="8"/>
  <c r="MAJ133" i="8"/>
  <c r="MAI133" i="8"/>
  <c r="MAH133" i="8"/>
  <c r="MAG133" i="8"/>
  <c r="MAF133" i="8"/>
  <c r="MAE133" i="8"/>
  <c r="MAD133" i="8"/>
  <c r="MAC133" i="8"/>
  <c r="MAB133" i="8"/>
  <c r="MAA133" i="8"/>
  <c r="LZZ133" i="8"/>
  <c r="LZY133" i="8"/>
  <c r="LZX133" i="8"/>
  <c r="LZW133" i="8"/>
  <c r="LZV133" i="8"/>
  <c r="LZU133" i="8"/>
  <c r="LZT133" i="8"/>
  <c r="LZS133" i="8"/>
  <c r="LZR133" i="8"/>
  <c r="LZQ133" i="8"/>
  <c r="LZP133" i="8"/>
  <c r="LZO133" i="8"/>
  <c r="LZN133" i="8"/>
  <c r="LZM133" i="8"/>
  <c r="LZL133" i="8"/>
  <c r="LZK133" i="8"/>
  <c r="LZJ133" i="8"/>
  <c r="LZI133" i="8"/>
  <c r="LZH133" i="8"/>
  <c r="LZG133" i="8"/>
  <c r="LZF133" i="8"/>
  <c r="LZE133" i="8"/>
  <c r="LZD133" i="8"/>
  <c r="LZC133" i="8"/>
  <c r="LZB133" i="8"/>
  <c r="LZA133" i="8"/>
  <c r="LYZ133" i="8"/>
  <c r="LYY133" i="8"/>
  <c r="LYX133" i="8"/>
  <c r="LYW133" i="8"/>
  <c r="LYV133" i="8"/>
  <c r="LYU133" i="8"/>
  <c r="LYT133" i="8"/>
  <c r="LYS133" i="8"/>
  <c r="LYR133" i="8"/>
  <c r="LYQ133" i="8"/>
  <c r="LYP133" i="8"/>
  <c r="LYO133" i="8"/>
  <c r="LYN133" i="8"/>
  <c r="LYM133" i="8"/>
  <c r="LYL133" i="8"/>
  <c r="LYK133" i="8"/>
  <c r="LYJ133" i="8"/>
  <c r="LYI133" i="8"/>
  <c r="LYH133" i="8"/>
  <c r="LYG133" i="8"/>
  <c r="LYF133" i="8"/>
  <c r="LYE133" i="8"/>
  <c r="LYD133" i="8"/>
  <c r="LYC133" i="8"/>
  <c r="LYB133" i="8"/>
  <c r="LYA133" i="8"/>
  <c r="LXZ133" i="8"/>
  <c r="LXY133" i="8"/>
  <c r="LXX133" i="8"/>
  <c r="LXW133" i="8"/>
  <c r="LXV133" i="8"/>
  <c r="LXU133" i="8"/>
  <c r="LXT133" i="8"/>
  <c r="LXS133" i="8"/>
  <c r="LXR133" i="8"/>
  <c r="LXQ133" i="8"/>
  <c r="LXP133" i="8"/>
  <c r="LXO133" i="8"/>
  <c r="LXN133" i="8"/>
  <c r="LXM133" i="8"/>
  <c r="LXL133" i="8"/>
  <c r="LXK133" i="8"/>
  <c r="LXJ133" i="8"/>
  <c r="LXI133" i="8"/>
  <c r="LXH133" i="8"/>
  <c r="LXG133" i="8"/>
  <c r="LXF133" i="8"/>
  <c r="LXE133" i="8"/>
  <c r="LXD133" i="8"/>
  <c r="LXC133" i="8"/>
  <c r="LXB133" i="8"/>
  <c r="LXA133" i="8"/>
  <c r="LWZ133" i="8"/>
  <c r="LWY133" i="8"/>
  <c r="LWX133" i="8"/>
  <c r="LWW133" i="8"/>
  <c r="LWV133" i="8"/>
  <c r="LWU133" i="8"/>
  <c r="LWT133" i="8"/>
  <c r="LWS133" i="8"/>
  <c r="LWR133" i="8"/>
  <c r="LWQ133" i="8"/>
  <c r="LWP133" i="8"/>
  <c r="LWO133" i="8"/>
  <c r="LWN133" i="8"/>
  <c r="LWM133" i="8"/>
  <c r="LWL133" i="8"/>
  <c r="LWK133" i="8"/>
  <c r="LWJ133" i="8"/>
  <c r="LWI133" i="8"/>
  <c r="LWH133" i="8"/>
  <c r="LWG133" i="8"/>
  <c r="LWF133" i="8"/>
  <c r="LWE133" i="8"/>
  <c r="LWD133" i="8"/>
  <c r="LWC133" i="8"/>
  <c r="LWB133" i="8"/>
  <c r="LWA133" i="8"/>
  <c r="LVZ133" i="8"/>
  <c r="LVY133" i="8"/>
  <c r="LVX133" i="8"/>
  <c r="LVW133" i="8"/>
  <c r="LVV133" i="8"/>
  <c r="LVU133" i="8"/>
  <c r="LVT133" i="8"/>
  <c r="LVS133" i="8"/>
  <c r="LVR133" i="8"/>
  <c r="LVQ133" i="8"/>
  <c r="LVP133" i="8"/>
  <c r="LVO133" i="8"/>
  <c r="LVN133" i="8"/>
  <c r="LVM133" i="8"/>
  <c r="LVL133" i="8"/>
  <c r="LVK133" i="8"/>
  <c r="LVJ133" i="8"/>
  <c r="LVI133" i="8"/>
  <c r="LVH133" i="8"/>
  <c r="LVG133" i="8"/>
  <c r="LVF133" i="8"/>
  <c r="LVE133" i="8"/>
  <c r="LVD133" i="8"/>
  <c r="LVC133" i="8"/>
  <c r="LVB133" i="8"/>
  <c r="LVA133" i="8"/>
  <c r="LUZ133" i="8"/>
  <c r="LUY133" i="8"/>
  <c r="LUX133" i="8"/>
  <c r="LUW133" i="8"/>
  <c r="LUV133" i="8"/>
  <c r="LUU133" i="8"/>
  <c r="LUT133" i="8"/>
  <c r="LUS133" i="8"/>
  <c r="LUR133" i="8"/>
  <c r="LUQ133" i="8"/>
  <c r="LUP133" i="8"/>
  <c r="LUO133" i="8"/>
  <c r="LUN133" i="8"/>
  <c r="LUM133" i="8"/>
  <c r="LUL133" i="8"/>
  <c r="LUK133" i="8"/>
  <c r="LUJ133" i="8"/>
  <c r="LUI133" i="8"/>
  <c r="LUH133" i="8"/>
  <c r="LUG133" i="8"/>
  <c r="LUF133" i="8"/>
  <c r="LUE133" i="8"/>
  <c r="LUD133" i="8"/>
  <c r="LUC133" i="8"/>
  <c r="LUB133" i="8"/>
  <c r="LUA133" i="8"/>
  <c r="LTZ133" i="8"/>
  <c r="LTY133" i="8"/>
  <c r="LTX133" i="8"/>
  <c r="LTW133" i="8"/>
  <c r="LTV133" i="8"/>
  <c r="LTU133" i="8"/>
  <c r="LTT133" i="8"/>
  <c r="LTS133" i="8"/>
  <c r="LTR133" i="8"/>
  <c r="LTQ133" i="8"/>
  <c r="LTP133" i="8"/>
  <c r="LTO133" i="8"/>
  <c r="LTN133" i="8"/>
  <c r="LTM133" i="8"/>
  <c r="LTL133" i="8"/>
  <c r="LTK133" i="8"/>
  <c r="LTJ133" i="8"/>
  <c r="LTI133" i="8"/>
  <c r="LTH133" i="8"/>
  <c r="LTG133" i="8"/>
  <c r="LTF133" i="8"/>
  <c r="LTE133" i="8"/>
  <c r="LTD133" i="8"/>
  <c r="LTC133" i="8"/>
  <c r="LTB133" i="8"/>
  <c r="LTA133" i="8"/>
  <c r="LSZ133" i="8"/>
  <c r="LSY133" i="8"/>
  <c r="LSX133" i="8"/>
  <c r="LSW133" i="8"/>
  <c r="LSV133" i="8"/>
  <c r="LSU133" i="8"/>
  <c r="LST133" i="8"/>
  <c r="LSS133" i="8"/>
  <c r="LSR133" i="8"/>
  <c r="LSQ133" i="8"/>
  <c r="LSP133" i="8"/>
  <c r="LSO133" i="8"/>
  <c r="LSN133" i="8"/>
  <c r="LSM133" i="8"/>
  <c r="LSL133" i="8"/>
  <c r="LSK133" i="8"/>
  <c r="LSJ133" i="8"/>
  <c r="LSI133" i="8"/>
  <c r="LSH133" i="8"/>
  <c r="LSG133" i="8"/>
  <c r="LSF133" i="8"/>
  <c r="LSE133" i="8"/>
  <c r="LSD133" i="8"/>
  <c r="LSC133" i="8"/>
  <c r="LSB133" i="8"/>
  <c r="LSA133" i="8"/>
  <c r="LRZ133" i="8"/>
  <c r="LRY133" i="8"/>
  <c r="LRX133" i="8"/>
  <c r="LRW133" i="8"/>
  <c r="LRV133" i="8"/>
  <c r="LRU133" i="8"/>
  <c r="LRT133" i="8"/>
  <c r="LRS133" i="8"/>
  <c r="LRR133" i="8"/>
  <c r="LRQ133" i="8"/>
  <c r="LRP133" i="8"/>
  <c r="LRO133" i="8"/>
  <c r="LRN133" i="8"/>
  <c r="LRM133" i="8"/>
  <c r="LRL133" i="8"/>
  <c r="LRK133" i="8"/>
  <c r="LRJ133" i="8"/>
  <c r="LRI133" i="8"/>
  <c r="LRH133" i="8"/>
  <c r="LRG133" i="8"/>
  <c r="LRF133" i="8"/>
  <c r="LRE133" i="8"/>
  <c r="LRD133" i="8"/>
  <c r="LRC133" i="8"/>
  <c r="LRB133" i="8"/>
  <c r="LRA133" i="8"/>
  <c r="LQZ133" i="8"/>
  <c r="LQY133" i="8"/>
  <c r="LQX133" i="8"/>
  <c r="LQW133" i="8"/>
  <c r="LQV133" i="8"/>
  <c r="LQU133" i="8"/>
  <c r="LQT133" i="8"/>
  <c r="LQS133" i="8"/>
  <c r="LQR133" i="8"/>
  <c r="LQQ133" i="8"/>
  <c r="LQP133" i="8"/>
  <c r="LQO133" i="8"/>
  <c r="LQN133" i="8"/>
  <c r="LQM133" i="8"/>
  <c r="LQL133" i="8"/>
  <c r="LQK133" i="8"/>
  <c r="LQJ133" i="8"/>
  <c r="LQI133" i="8"/>
  <c r="LQH133" i="8"/>
  <c r="LQG133" i="8"/>
  <c r="LQF133" i="8"/>
  <c r="LQE133" i="8"/>
  <c r="LQD133" i="8"/>
  <c r="LQC133" i="8"/>
  <c r="LQB133" i="8"/>
  <c r="LQA133" i="8"/>
  <c r="LPZ133" i="8"/>
  <c r="LPY133" i="8"/>
  <c r="LPX133" i="8"/>
  <c r="LPW133" i="8"/>
  <c r="LPV133" i="8"/>
  <c r="LPU133" i="8"/>
  <c r="LPT133" i="8"/>
  <c r="LPS133" i="8"/>
  <c r="LPR133" i="8"/>
  <c r="LPQ133" i="8"/>
  <c r="LPP133" i="8"/>
  <c r="LPO133" i="8"/>
  <c r="LPN133" i="8"/>
  <c r="LPM133" i="8"/>
  <c r="LPL133" i="8"/>
  <c r="LPK133" i="8"/>
  <c r="LPJ133" i="8"/>
  <c r="LPI133" i="8"/>
  <c r="LPH133" i="8"/>
  <c r="LPG133" i="8"/>
  <c r="LPF133" i="8"/>
  <c r="LPE133" i="8"/>
  <c r="LPD133" i="8"/>
  <c r="LPC133" i="8"/>
  <c r="LPB133" i="8"/>
  <c r="LPA133" i="8"/>
  <c r="LOZ133" i="8"/>
  <c r="LOY133" i="8"/>
  <c r="LOX133" i="8"/>
  <c r="LOW133" i="8"/>
  <c r="LOV133" i="8"/>
  <c r="LOU133" i="8"/>
  <c r="LOT133" i="8"/>
  <c r="LOS133" i="8"/>
  <c r="LOR133" i="8"/>
  <c r="LOQ133" i="8"/>
  <c r="LOP133" i="8"/>
  <c r="LOO133" i="8"/>
  <c r="LON133" i="8"/>
  <c r="LOM133" i="8"/>
  <c r="LOL133" i="8"/>
  <c r="LOK133" i="8"/>
  <c r="LOJ133" i="8"/>
  <c r="LOI133" i="8"/>
  <c r="LOH133" i="8"/>
  <c r="LOG133" i="8"/>
  <c r="LOF133" i="8"/>
  <c r="LOE133" i="8"/>
  <c r="LOD133" i="8"/>
  <c r="LOC133" i="8"/>
  <c r="LOB133" i="8"/>
  <c r="LOA133" i="8"/>
  <c r="LNZ133" i="8"/>
  <c r="LNY133" i="8"/>
  <c r="LNX133" i="8"/>
  <c r="LNW133" i="8"/>
  <c r="LNV133" i="8"/>
  <c r="LNU133" i="8"/>
  <c r="LNT133" i="8"/>
  <c r="LNS133" i="8"/>
  <c r="LNR133" i="8"/>
  <c r="LNQ133" i="8"/>
  <c r="LNP133" i="8"/>
  <c r="LNO133" i="8"/>
  <c r="LNN133" i="8"/>
  <c r="LNM133" i="8"/>
  <c r="LNL133" i="8"/>
  <c r="LNK133" i="8"/>
  <c r="LNJ133" i="8"/>
  <c r="LNI133" i="8"/>
  <c r="LNH133" i="8"/>
  <c r="LNG133" i="8"/>
  <c r="LNF133" i="8"/>
  <c r="LNE133" i="8"/>
  <c r="LND133" i="8"/>
  <c r="LNC133" i="8"/>
  <c r="LNB133" i="8"/>
  <c r="LNA133" i="8"/>
  <c r="LMZ133" i="8"/>
  <c r="LMY133" i="8"/>
  <c r="LMX133" i="8"/>
  <c r="LMW133" i="8"/>
  <c r="LMV133" i="8"/>
  <c r="LMU133" i="8"/>
  <c r="LMT133" i="8"/>
  <c r="LMS133" i="8"/>
  <c r="LMR133" i="8"/>
  <c r="LMQ133" i="8"/>
  <c r="LMP133" i="8"/>
  <c r="LMO133" i="8"/>
  <c r="LMN133" i="8"/>
  <c r="LMM133" i="8"/>
  <c r="LML133" i="8"/>
  <c r="LMK133" i="8"/>
  <c r="LMJ133" i="8"/>
  <c r="LMI133" i="8"/>
  <c r="LMH133" i="8"/>
  <c r="LMG133" i="8"/>
  <c r="LMF133" i="8"/>
  <c r="LME133" i="8"/>
  <c r="LMD133" i="8"/>
  <c r="LMC133" i="8"/>
  <c r="LMB133" i="8"/>
  <c r="LMA133" i="8"/>
  <c r="LLZ133" i="8"/>
  <c r="LLY133" i="8"/>
  <c r="LLX133" i="8"/>
  <c r="LLW133" i="8"/>
  <c r="LLV133" i="8"/>
  <c r="LLU133" i="8"/>
  <c r="LLT133" i="8"/>
  <c r="LLS133" i="8"/>
  <c r="LLR133" i="8"/>
  <c r="LLQ133" i="8"/>
  <c r="LLP133" i="8"/>
  <c r="LLO133" i="8"/>
  <c r="LLN133" i="8"/>
  <c r="LLM133" i="8"/>
  <c r="LLL133" i="8"/>
  <c r="LLK133" i="8"/>
  <c r="LLJ133" i="8"/>
  <c r="LLI133" i="8"/>
  <c r="LLH133" i="8"/>
  <c r="LLG133" i="8"/>
  <c r="LLF133" i="8"/>
  <c r="LLE133" i="8"/>
  <c r="LLD133" i="8"/>
  <c r="LLC133" i="8"/>
  <c r="LLB133" i="8"/>
  <c r="LLA133" i="8"/>
  <c r="LKZ133" i="8"/>
  <c r="LKY133" i="8"/>
  <c r="LKX133" i="8"/>
  <c r="LKW133" i="8"/>
  <c r="LKV133" i="8"/>
  <c r="LKU133" i="8"/>
  <c r="LKT133" i="8"/>
  <c r="LKS133" i="8"/>
  <c r="LKR133" i="8"/>
  <c r="LKQ133" i="8"/>
  <c r="LKP133" i="8"/>
  <c r="LKO133" i="8"/>
  <c r="LKN133" i="8"/>
  <c r="LKM133" i="8"/>
  <c r="LKL133" i="8"/>
  <c r="LKK133" i="8"/>
  <c r="LKJ133" i="8"/>
  <c r="LKI133" i="8"/>
  <c r="LKH133" i="8"/>
  <c r="LKG133" i="8"/>
  <c r="LKF133" i="8"/>
  <c r="LKE133" i="8"/>
  <c r="LKD133" i="8"/>
  <c r="LKC133" i="8"/>
  <c r="LKB133" i="8"/>
  <c r="LKA133" i="8"/>
  <c r="LJZ133" i="8"/>
  <c r="LJY133" i="8"/>
  <c r="LJX133" i="8"/>
  <c r="LJW133" i="8"/>
  <c r="LJV133" i="8"/>
  <c r="LJU133" i="8"/>
  <c r="LJT133" i="8"/>
  <c r="LJS133" i="8"/>
  <c r="LJR133" i="8"/>
  <c r="LJQ133" i="8"/>
  <c r="LJP133" i="8"/>
  <c r="LJO133" i="8"/>
  <c r="LJN133" i="8"/>
  <c r="LJM133" i="8"/>
  <c r="LJL133" i="8"/>
  <c r="LJK133" i="8"/>
  <c r="LJJ133" i="8"/>
  <c r="LJI133" i="8"/>
  <c r="LJH133" i="8"/>
  <c r="LJG133" i="8"/>
  <c r="LJF133" i="8"/>
  <c r="LJE133" i="8"/>
  <c r="LJD133" i="8"/>
  <c r="LJC133" i="8"/>
  <c r="LJB133" i="8"/>
  <c r="LJA133" i="8"/>
  <c r="LIZ133" i="8"/>
  <c r="LIY133" i="8"/>
  <c r="LIX133" i="8"/>
  <c r="LIW133" i="8"/>
  <c r="LIV133" i="8"/>
  <c r="LIU133" i="8"/>
  <c r="LIT133" i="8"/>
  <c r="LIS133" i="8"/>
  <c r="LIR133" i="8"/>
  <c r="LIQ133" i="8"/>
  <c r="LIP133" i="8"/>
  <c r="LIO133" i="8"/>
  <c r="LIN133" i="8"/>
  <c r="LIM133" i="8"/>
  <c r="LIL133" i="8"/>
  <c r="LIK133" i="8"/>
  <c r="LIJ133" i="8"/>
  <c r="LII133" i="8"/>
  <c r="LIH133" i="8"/>
  <c r="LIG133" i="8"/>
  <c r="LIF133" i="8"/>
  <c r="LIE133" i="8"/>
  <c r="LID133" i="8"/>
  <c r="LIC133" i="8"/>
  <c r="LIB133" i="8"/>
  <c r="LIA133" i="8"/>
  <c r="LHZ133" i="8"/>
  <c r="LHY133" i="8"/>
  <c r="LHX133" i="8"/>
  <c r="LHW133" i="8"/>
  <c r="LHV133" i="8"/>
  <c r="LHU133" i="8"/>
  <c r="LHT133" i="8"/>
  <c r="LHS133" i="8"/>
  <c r="LHR133" i="8"/>
  <c r="LHQ133" i="8"/>
  <c r="LHP133" i="8"/>
  <c r="LHO133" i="8"/>
  <c r="LHN133" i="8"/>
  <c r="LHM133" i="8"/>
  <c r="LHL133" i="8"/>
  <c r="LHK133" i="8"/>
  <c r="LHJ133" i="8"/>
  <c r="LHI133" i="8"/>
  <c r="LHH133" i="8"/>
  <c r="LHG133" i="8"/>
  <c r="LHF133" i="8"/>
  <c r="LHE133" i="8"/>
  <c r="LHD133" i="8"/>
  <c r="LHC133" i="8"/>
  <c r="LHB133" i="8"/>
  <c r="LHA133" i="8"/>
  <c r="LGZ133" i="8"/>
  <c r="LGY133" i="8"/>
  <c r="LGX133" i="8"/>
  <c r="LGW133" i="8"/>
  <c r="LGV133" i="8"/>
  <c r="LGU133" i="8"/>
  <c r="LGT133" i="8"/>
  <c r="LGS133" i="8"/>
  <c r="LGR133" i="8"/>
  <c r="LGQ133" i="8"/>
  <c r="LGP133" i="8"/>
  <c r="LGO133" i="8"/>
  <c r="LGN133" i="8"/>
  <c r="LGM133" i="8"/>
  <c r="LGL133" i="8"/>
  <c r="LGK133" i="8"/>
  <c r="LGJ133" i="8"/>
  <c r="LGI133" i="8"/>
  <c r="LGH133" i="8"/>
  <c r="LGG133" i="8"/>
  <c r="LGF133" i="8"/>
  <c r="LGE133" i="8"/>
  <c r="LGD133" i="8"/>
  <c r="LGC133" i="8"/>
  <c r="LGB133" i="8"/>
  <c r="LGA133" i="8"/>
  <c r="LFZ133" i="8"/>
  <c r="LFY133" i="8"/>
  <c r="LFX133" i="8"/>
  <c r="LFW133" i="8"/>
  <c r="LFV133" i="8"/>
  <c r="LFU133" i="8"/>
  <c r="LFT133" i="8"/>
  <c r="LFS133" i="8"/>
  <c r="LFR133" i="8"/>
  <c r="LFQ133" i="8"/>
  <c r="LFP133" i="8"/>
  <c r="LFO133" i="8"/>
  <c r="LFN133" i="8"/>
  <c r="LFM133" i="8"/>
  <c r="LFL133" i="8"/>
  <c r="LFK133" i="8"/>
  <c r="LFJ133" i="8"/>
  <c r="LFI133" i="8"/>
  <c r="LFH133" i="8"/>
  <c r="LFG133" i="8"/>
  <c r="LFF133" i="8"/>
  <c r="LFE133" i="8"/>
  <c r="LFD133" i="8"/>
  <c r="LFC133" i="8"/>
  <c r="LFB133" i="8"/>
  <c r="LFA133" i="8"/>
  <c r="LEZ133" i="8"/>
  <c r="LEY133" i="8"/>
  <c r="LEX133" i="8"/>
  <c r="LEW133" i="8"/>
  <c r="LEV133" i="8"/>
  <c r="LEU133" i="8"/>
  <c r="LET133" i="8"/>
  <c r="LES133" i="8"/>
  <c r="LER133" i="8"/>
  <c r="LEQ133" i="8"/>
  <c r="LEP133" i="8"/>
  <c r="LEO133" i="8"/>
  <c r="LEN133" i="8"/>
  <c r="LEM133" i="8"/>
  <c r="LEL133" i="8"/>
  <c r="LEK133" i="8"/>
  <c r="LEJ133" i="8"/>
  <c r="LEI133" i="8"/>
  <c r="LEH133" i="8"/>
  <c r="LEG133" i="8"/>
  <c r="LEF133" i="8"/>
  <c r="LEE133" i="8"/>
  <c r="LED133" i="8"/>
  <c r="LEC133" i="8"/>
  <c r="LEB133" i="8"/>
  <c r="LEA133" i="8"/>
  <c r="LDZ133" i="8"/>
  <c r="LDY133" i="8"/>
  <c r="LDX133" i="8"/>
  <c r="LDW133" i="8"/>
  <c r="LDV133" i="8"/>
  <c r="LDU133" i="8"/>
  <c r="LDT133" i="8"/>
  <c r="LDS133" i="8"/>
  <c r="LDR133" i="8"/>
  <c r="LDQ133" i="8"/>
  <c r="LDP133" i="8"/>
  <c r="LDO133" i="8"/>
  <c r="LDN133" i="8"/>
  <c r="LDM133" i="8"/>
  <c r="LDL133" i="8"/>
  <c r="LDK133" i="8"/>
  <c r="LDJ133" i="8"/>
  <c r="LDI133" i="8"/>
  <c r="LDH133" i="8"/>
  <c r="LDG133" i="8"/>
  <c r="LDF133" i="8"/>
  <c r="LDE133" i="8"/>
  <c r="LDD133" i="8"/>
  <c r="LDC133" i="8"/>
  <c r="LDB133" i="8"/>
  <c r="LDA133" i="8"/>
  <c r="LCZ133" i="8"/>
  <c r="LCY133" i="8"/>
  <c r="LCX133" i="8"/>
  <c r="LCW133" i="8"/>
  <c r="LCV133" i="8"/>
  <c r="LCU133" i="8"/>
  <c r="LCT133" i="8"/>
  <c r="LCS133" i="8"/>
  <c r="LCR133" i="8"/>
  <c r="LCQ133" i="8"/>
  <c r="LCP133" i="8"/>
  <c r="LCO133" i="8"/>
  <c r="LCN133" i="8"/>
  <c r="LCM133" i="8"/>
  <c r="LCL133" i="8"/>
  <c r="LCK133" i="8"/>
  <c r="LCJ133" i="8"/>
  <c r="LCI133" i="8"/>
  <c r="LCH133" i="8"/>
  <c r="LCG133" i="8"/>
  <c r="LCF133" i="8"/>
  <c r="LCE133" i="8"/>
  <c r="LCD133" i="8"/>
  <c r="LCC133" i="8"/>
  <c r="LCB133" i="8"/>
  <c r="LCA133" i="8"/>
  <c r="LBZ133" i="8"/>
  <c r="LBY133" i="8"/>
  <c r="LBX133" i="8"/>
  <c r="LBW133" i="8"/>
  <c r="LBV133" i="8"/>
  <c r="LBU133" i="8"/>
  <c r="LBT133" i="8"/>
  <c r="LBS133" i="8"/>
  <c r="LBR133" i="8"/>
  <c r="LBQ133" i="8"/>
  <c r="LBP133" i="8"/>
  <c r="LBO133" i="8"/>
  <c r="LBN133" i="8"/>
  <c r="LBM133" i="8"/>
  <c r="LBL133" i="8"/>
  <c r="LBK133" i="8"/>
  <c r="LBJ133" i="8"/>
  <c r="LBI133" i="8"/>
  <c r="LBH133" i="8"/>
  <c r="LBG133" i="8"/>
  <c r="LBF133" i="8"/>
  <c r="LBE133" i="8"/>
  <c r="LBD133" i="8"/>
  <c r="LBC133" i="8"/>
  <c r="LBB133" i="8"/>
  <c r="LBA133" i="8"/>
  <c r="LAZ133" i="8"/>
  <c r="LAY133" i="8"/>
  <c r="LAX133" i="8"/>
  <c r="LAW133" i="8"/>
  <c r="LAV133" i="8"/>
  <c r="LAU133" i="8"/>
  <c r="LAT133" i="8"/>
  <c r="LAS133" i="8"/>
  <c r="LAR133" i="8"/>
  <c r="LAQ133" i="8"/>
  <c r="LAP133" i="8"/>
  <c r="LAO133" i="8"/>
  <c r="LAN133" i="8"/>
  <c r="LAM133" i="8"/>
  <c r="LAL133" i="8"/>
  <c r="LAK133" i="8"/>
  <c r="LAJ133" i="8"/>
  <c r="LAI133" i="8"/>
  <c r="LAH133" i="8"/>
  <c r="LAG133" i="8"/>
  <c r="LAF133" i="8"/>
  <c r="LAE133" i="8"/>
  <c r="LAD133" i="8"/>
  <c r="LAC133" i="8"/>
  <c r="LAB133" i="8"/>
  <c r="LAA133" i="8"/>
  <c r="KZZ133" i="8"/>
  <c r="KZY133" i="8"/>
  <c r="KZX133" i="8"/>
  <c r="KZW133" i="8"/>
  <c r="KZV133" i="8"/>
  <c r="KZU133" i="8"/>
  <c r="KZT133" i="8"/>
  <c r="KZS133" i="8"/>
  <c r="KZR133" i="8"/>
  <c r="KZQ133" i="8"/>
  <c r="KZP133" i="8"/>
  <c r="KZO133" i="8"/>
  <c r="KZN133" i="8"/>
  <c r="KZM133" i="8"/>
  <c r="KZL133" i="8"/>
  <c r="KZK133" i="8"/>
  <c r="KZJ133" i="8"/>
  <c r="KZI133" i="8"/>
  <c r="KZH133" i="8"/>
  <c r="KZG133" i="8"/>
  <c r="KZF133" i="8"/>
  <c r="KZE133" i="8"/>
  <c r="KZD133" i="8"/>
  <c r="KZC133" i="8"/>
  <c r="KZB133" i="8"/>
  <c r="KZA133" i="8"/>
  <c r="KYZ133" i="8"/>
  <c r="KYY133" i="8"/>
  <c r="KYX133" i="8"/>
  <c r="KYW133" i="8"/>
  <c r="KYV133" i="8"/>
  <c r="KYU133" i="8"/>
  <c r="KYT133" i="8"/>
  <c r="KYS133" i="8"/>
  <c r="KYR133" i="8"/>
  <c r="KYQ133" i="8"/>
  <c r="KYP133" i="8"/>
  <c r="KYO133" i="8"/>
  <c r="KYN133" i="8"/>
  <c r="KYM133" i="8"/>
  <c r="KYL133" i="8"/>
  <c r="KYK133" i="8"/>
  <c r="KYJ133" i="8"/>
  <c r="KYI133" i="8"/>
  <c r="KYH133" i="8"/>
  <c r="KYG133" i="8"/>
  <c r="KYF133" i="8"/>
  <c r="KYE133" i="8"/>
  <c r="KYD133" i="8"/>
  <c r="KYC133" i="8"/>
  <c r="KYB133" i="8"/>
  <c r="KYA133" i="8"/>
  <c r="KXZ133" i="8"/>
  <c r="KXY133" i="8"/>
  <c r="KXX133" i="8"/>
  <c r="KXW133" i="8"/>
  <c r="KXV133" i="8"/>
  <c r="KXU133" i="8"/>
  <c r="KXT133" i="8"/>
  <c r="KXS133" i="8"/>
  <c r="KXR133" i="8"/>
  <c r="KXQ133" i="8"/>
  <c r="KXP133" i="8"/>
  <c r="KXO133" i="8"/>
  <c r="KXN133" i="8"/>
  <c r="KXM133" i="8"/>
  <c r="KXL133" i="8"/>
  <c r="KXK133" i="8"/>
  <c r="KXJ133" i="8"/>
  <c r="KXI133" i="8"/>
  <c r="KXH133" i="8"/>
  <c r="KXG133" i="8"/>
  <c r="KXF133" i="8"/>
  <c r="KXE133" i="8"/>
  <c r="KXD133" i="8"/>
  <c r="KXC133" i="8"/>
  <c r="KXB133" i="8"/>
  <c r="KXA133" i="8"/>
  <c r="KWZ133" i="8"/>
  <c r="KWY133" i="8"/>
  <c r="KWX133" i="8"/>
  <c r="KWW133" i="8"/>
  <c r="KWV133" i="8"/>
  <c r="KWU133" i="8"/>
  <c r="KWT133" i="8"/>
  <c r="KWS133" i="8"/>
  <c r="KWR133" i="8"/>
  <c r="KWQ133" i="8"/>
  <c r="KWP133" i="8"/>
  <c r="KWO133" i="8"/>
  <c r="KWN133" i="8"/>
  <c r="KWM133" i="8"/>
  <c r="KWL133" i="8"/>
  <c r="KWK133" i="8"/>
  <c r="KWJ133" i="8"/>
  <c r="KWI133" i="8"/>
  <c r="KWH133" i="8"/>
  <c r="KWG133" i="8"/>
  <c r="KWF133" i="8"/>
  <c r="KWE133" i="8"/>
  <c r="KWD133" i="8"/>
  <c r="KWC133" i="8"/>
  <c r="KWB133" i="8"/>
  <c r="KWA133" i="8"/>
  <c r="KVZ133" i="8"/>
  <c r="KVY133" i="8"/>
  <c r="KVX133" i="8"/>
  <c r="KVW133" i="8"/>
  <c r="KVV133" i="8"/>
  <c r="KVU133" i="8"/>
  <c r="KVT133" i="8"/>
  <c r="KVS133" i="8"/>
  <c r="KVR133" i="8"/>
  <c r="KVQ133" i="8"/>
  <c r="KVP133" i="8"/>
  <c r="KVO133" i="8"/>
  <c r="KVN133" i="8"/>
  <c r="KVM133" i="8"/>
  <c r="KVL133" i="8"/>
  <c r="KVK133" i="8"/>
  <c r="KVJ133" i="8"/>
  <c r="KVI133" i="8"/>
  <c r="KVH133" i="8"/>
  <c r="KVG133" i="8"/>
  <c r="KVF133" i="8"/>
  <c r="KVE133" i="8"/>
  <c r="KVD133" i="8"/>
  <c r="KVC133" i="8"/>
  <c r="KVB133" i="8"/>
  <c r="KVA133" i="8"/>
  <c r="KUZ133" i="8"/>
  <c r="KUY133" i="8"/>
  <c r="KUX133" i="8"/>
  <c r="KUW133" i="8"/>
  <c r="KUV133" i="8"/>
  <c r="KUU133" i="8"/>
  <c r="KUT133" i="8"/>
  <c r="KUS133" i="8"/>
  <c r="KUR133" i="8"/>
  <c r="KUQ133" i="8"/>
  <c r="KUP133" i="8"/>
  <c r="KUO133" i="8"/>
  <c r="KUN133" i="8"/>
  <c r="KUM133" i="8"/>
  <c r="KUL133" i="8"/>
  <c r="KUK133" i="8"/>
  <c r="KUJ133" i="8"/>
  <c r="KUI133" i="8"/>
  <c r="KUH133" i="8"/>
  <c r="KUG133" i="8"/>
  <c r="KUF133" i="8"/>
  <c r="KUE133" i="8"/>
  <c r="KUD133" i="8"/>
  <c r="KUC133" i="8"/>
  <c r="KUB133" i="8"/>
  <c r="KUA133" i="8"/>
  <c r="KTZ133" i="8"/>
  <c r="KTY133" i="8"/>
  <c r="KTX133" i="8"/>
  <c r="KTW133" i="8"/>
  <c r="KTV133" i="8"/>
  <c r="KTU133" i="8"/>
  <c r="KTT133" i="8"/>
  <c r="KTS133" i="8"/>
  <c r="KTR133" i="8"/>
  <c r="KTQ133" i="8"/>
  <c r="KTP133" i="8"/>
  <c r="KTO133" i="8"/>
  <c r="KTN133" i="8"/>
  <c r="KTM133" i="8"/>
  <c r="KTL133" i="8"/>
  <c r="KTK133" i="8"/>
  <c r="KTJ133" i="8"/>
  <c r="KTI133" i="8"/>
  <c r="KTH133" i="8"/>
  <c r="KTG133" i="8"/>
  <c r="KTF133" i="8"/>
  <c r="KTE133" i="8"/>
  <c r="KTD133" i="8"/>
  <c r="KTC133" i="8"/>
  <c r="KTB133" i="8"/>
  <c r="KTA133" i="8"/>
  <c r="KSZ133" i="8"/>
  <c r="KSY133" i="8"/>
  <c r="KSX133" i="8"/>
  <c r="KSW133" i="8"/>
  <c r="KSV133" i="8"/>
  <c r="KSU133" i="8"/>
  <c r="KST133" i="8"/>
  <c r="KSS133" i="8"/>
  <c r="KSR133" i="8"/>
  <c r="KSQ133" i="8"/>
  <c r="KSP133" i="8"/>
  <c r="KSO133" i="8"/>
  <c r="KSN133" i="8"/>
  <c r="KSM133" i="8"/>
  <c r="KSL133" i="8"/>
  <c r="KSK133" i="8"/>
  <c r="KSJ133" i="8"/>
  <c r="KSI133" i="8"/>
  <c r="KSH133" i="8"/>
  <c r="KSG133" i="8"/>
  <c r="KSF133" i="8"/>
  <c r="KSE133" i="8"/>
  <c r="KSD133" i="8"/>
  <c r="KSC133" i="8"/>
  <c r="KSB133" i="8"/>
  <c r="KSA133" i="8"/>
  <c r="KRZ133" i="8"/>
  <c r="KRY133" i="8"/>
  <c r="KRX133" i="8"/>
  <c r="KRW133" i="8"/>
  <c r="KRV133" i="8"/>
  <c r="KRU133" i="8"/>
  <c r="KRT133" i="8"/>
  <c r="KRS133" i="8"/>
  <c r="KRR133" i="8"/>
  <c r="KRQ133" i="8"/>
  <c r="KRP133" i="8"/>
  <c r="KRO133" i="8"/>
  <c r="KRN133" i="8"/>
  <c r="KRM133" i="8"/>
  <c r="KRL133" i="8"/>
  <c r="KRK133" i="8"/>
  <c r="KRJ133" i="8"/>
  <c r="KRI133" i="8"/>
  <c r="KRH133" i="8"/>
  <c r="KRG133" i="8"/>
  <c r="KRF133" i="8"/>
  <c r="KRE133" i="8"/>
  <c r="KRD133" i="8"/>
  <c r="KRC133" i="8"/>
  <c r="KRB133" i="8"/>
  <c r="KRA133" i="8"/>
  <c r="KQZ133" i="8"/>
  <c r="KQY133" i="8"/>
  <c r="KQX133" i="8"/>
  <c r="KQW133" i="8"/>
  <c r="KQV133" i="8"/>
  <c r="KQU133" i="8"/>
  <c r="KQT133" i="8"/>
  <c r="KQS133" i="8"/>
  <c r="KQR133" i="8"/>
  <c r="KQQ133" i="8"/>
  <c r="KQP133" i="8"/>
  <c r="KQO133" i="8"/>
  <c r="KQN133" i="8"/>
  <c r="KQM133" i="8"/>
  <c r="KQL133" i="8"/>
  <c r="KQK133" i="8"/>
  <c r="KQJ133" i="8"/>
  <c r="KQI133" i="8"/>
  <c r="KQH133" i="8"/>
  <c r="KQG133" i="8"/>
  <c r="KQF133" i="8"/>
  <c r="KQE133" i="8"/>
  <c r="KQD133" i="8"/>
  <c r="KQC133" i="8"/>
  <c r="KQB133" i="8"/>
  <c r="KQA133" i="8"/>
  <c r="KPZ133" i="8"/>
  <c r="KPY133" i="8"/>
  <c r="KPX133" i="8"/>
  <c r="KPW133" i="8"/>
  <c r="KPV133" i="8"/>
  <c r="KPU133" i="8"/>
  <c r="KPT133" i="8"/>
  <c r="KPS133" i="8"/>
  <c r="KPR133" i="8"/>
  <c r="KPQ133" i="8"/>
  <c r="KPP133" i="8"/>
  <c r="KPO133" i="8"/>
  <c r="KPN133" i="8"/>
  <c r="KPM133" i="8"/>
  <c r="KPL133" i="8"/>
  <c r="KPK133" i="8"/>
  <c r="KPJ133" i="8"/>
  <c r="KPI133" i="8"/>
  <c r="KPH133" i="8"/>
  <c r="KPG133" i="8"/>
  <c r="KPF133" i="8"/>
  <c r="KPE133" i="8"/>
  <c r="KPD133" i="8"/>
  <c r="KPC133" i="8"/>
  <c r="KPB133" i="8"/>
  <c r="KPA133" i="8"/>
  <c r="KOZ133" i="8"/>
  <c r="KOY133" i="8"/>
  <c r="KOX133" i="8"/>
  <c r="KOW133" i="8"/>
  <c r="KOV133" i="8"/>
  <c r="KOU133" i="8"/>
  <c r="KOT133" i="8"/>
  <c r="KOS133" i="8"/>
  <c r="KOR133" i="8"/>
  <c r="KOQ133" i="8"/>
  <c r="KOP133" i="8"/>
  <c r="KOO133" i="8"/>
  <c r="KON133" i="8"/>
  <c r="KOM133" i="8"/>
  <c r="KOL133" i="8"/>
  <c r="KOK133" i="8"/>
  <c r="KOJ133" i="8"/>
  <c r="KOI133" i="8"/>
  <c r="KOH133" i="8"/>
  <c r="KOG133" i="8"/>
  <c r="KOF133" i="8"/>
  <c r="KOE133" i="8"/>
  <c r="KOD133" i="8"/>
  <c r="KOC133" i="8"/>
  <c r="KOB133" i="8"/>
  <c r="KOA133" i="8"/>
  <c r="KNZ133" i="8"/>
  <c r="KNY133" i="8"/>
  <c r="KNX133" i="8"/>
  <c r="KNW133" i="8"/>
  <c r="KNV133" i="8"/>
  <c r="KNU133" i="8"/>
  <c r="KNT133" i="8"/>
  <c r="KNS133" i="8"/>
  <c r="KNR133" i="8"/>
  <c r="KNQ133" i="8"/>
  <c r="KNP133" i="8"/>
  <c r="KNO133" i="8"/>
  <c r="KNN133" i="8"/>
  <c r="KNM133" i="8"/>
  <c r="KNL133" i="8"/>
  <c r="KNK133" i="8"/>
  <c r="KNJ133" i="8"/>
  <c r="KNI133" i="8"/>
  <c r="KNH133" i="8"/>
  <c r="KNG133" i="8"/>
  <c r="KNF133" i="8"/>
  <c r="KNE133" i="8"/>
  <c r="KND133" i="8"/>
  <c r="KNC133" i="8"/>
  <c r="KNB133" i="8"/>
  <c r="KNA133" i="8"/>
  <c r="KMZ133" i="8"/>
  <c r="KMY133" i="8"/>
  <c r="KMX133" i="8"/>
  <c r="KMW133" i="8"/>
  <c r="KMV133" i="8"/>
  <c r="KMU133" i="8"/>
  <c r="KMT133" i="8"/>
  <c r="KMS133" i="8"/>
  <c r="KMR133" i="8"/>
  <c r="KMQ133" i="8"/>
  <c r="KMP133" i="8"/>
  <c r="KMO133" i="8"/>
  <c r="KMN133" i="8"/>
  <c r="KMM133" i="8"/>
  <c r="KML133" i="8"/>
  <c r="KMK133" i="8"/>
  <c r="KMJ133" i="8"/>
  <c r="KMI133" i="8"/>
  <c r="KMH133" i="8"/>
  <c r="KMG133" i="8"/>
  <c r="KMF133" i="8"/>
  <c r="KME133" i="8"/>
  <c r="KMD133" i="8"/>
  <c r="KMC133" i="8"/>
  <c r="KMB133" i="8"/>
  <c r="KMA133" i="8"/>
  <c r="KLZ133" i="8"/>
  <c r="KLY133" i="8"/>
  <c r="KLX133" i="8"/>
  <c r="KLW133" i="8"/>
  <c r="KLV133" i="8"/>
  <c r="KLU133" i="8"/>
  <c r="KLT133" i="8"/>
  <c r="KLS133" i="8"/>
  <c r="KLR133" i="8"/>
  <c r="KLQ133" i="8"/>
  <c r="KLP133" i="8"/>
  <c r="KLO133" i="8"/>
  <c r="KLN133" i="8"/>
  <c r="KLM133" i="8"/>
  <c r="KLL133" i="8"/>
  <c r="KLK133" i="8"/>
  <c r="KLJ133" i="8"/>
  <c r="KLI133" i="8"/>
  <c r="KLH133" i="8"/>
  <c r="KLG133" i="8"/>
  <c r="KLF133" i="8"/>
  <c r="KLE133" i="8"/>
  <c r="KLD133" i="8"/>
  <c r="KLC133" i="8"/>
  <c r="KLB133" i="8"/>
  <c r="KLA133" i="8"/>
  <c r="KKZ133" i="8"/>
  <c r="KKY133" i="8"/>
  <c r="KKX133" i="8"/>
  <c r="KKW133" i="8"/>
  <c r="KKV133" i="8"/>
  <c r="KKU133" i="8"/>
  <c r="KKT133" i="8"/>
  <c r="KKS133" i="8"/>
  <c r="KKR133" i="8"/>
  <c r="KKQ133" i="8"/>
  <c r="KKP133" i="8"/>
  <c r="KKO133" i="8"/>
  <c r="KKN133" i="8"/>
  <c r="KKM133" i="8"/>
  <c r="KKL133" i="8"/>
  <c r="KKK133" i="8"/>
  <c r="KKJ133" i="8"/>
  <c r="KKI133" i="8"/>
  <c r="KKH133" i="8"/>
  <c r="KKG133" i="8"/>
  <c r="KKF133" i="8"/>
  <c r="KKE133" i="8"/>
  <c r="KKD133" i="8"/>
  <c r="KKC133" i="8"/>
  <c r="KKB133" i="8"/>
  <c r="KKA133" i="8"/>
  <c r="KJZ133" i="8"/>
  <c r="KJY133" i="8"/>
  <c r="KJX133" i="8"/>
  <c r="KJW133" i="8"/>
  <c r="KJV133" i="8"/>
  <c r="KJU133" i="8"/>
  <c r="KJT133" i="8"/>
  <c r="KJS133" i="8"/>
  <c r="KJR133" i="8"/>
  <c r="KJQ133" i="8"/>
  <c r="KJP133" i="8"/>
  <c r="KJO133" i="8"/>
  <c r="KJN133" i="8"/>
  <c r="KJM133" i="8"/>
  <c r="KJL133" i="8"/>
  <c r="KJK133" i="8"/>
  <c r="KJJ133" i="8"/>
  <c r="KJI133" i="8"/>
  <c r="KJH133" i="8"/>
  <c r="KJG133" i="8"/>
  <c r="KJF133" i="8"/>
  <c r="KJE133" i="8"/>
  <c r="KJD133" i="8"/>
  <c r="KJC133" i="8"/>
  <c r="KJB133" i="8"/>
  <c r="KJA133" i="8"/>
  <c r="KIZ133" i="8"/>
  <c r="KIY133" i="8"/>
  <c r="KIX133" i="8"/>
  <c r="KIW133" i="8"/>
  <c r="KIV133" i="8"/>
  <c r="KIU133" i="8"/>
  <c r="KIT133" i="8"/>
  <c r="KIS133" i="8"/>
  <c r="KIR133" i="8"/>
  <c r="KIQ133" i="8"/>
  <c r="KIP133" i="8"/>
  <c r="KIO133" i="8"/>
  <c r="KIN133" i="8"/>
  <c r="KIM133" i="8"/>
  <c r="KIL133" i="8"/>
  <c r="KIK133" i="8"/>
  <c r="KIJ133" i="8"/>
  <c r="KII133" i="8"/>
  <c r="KIH133" i="8"/>
  <c r="KIG133" i="8"/>
  <c r="KIF133" i="8"/>
  <c r="KIE133" i="8"/>
  <c r="KID133" i="8"/>
  <c r="KIC133" i="8"/>
  <c r="KIB133" i="8"/>
  <c r="KIA133" i="8"/>
  <c r="KHZ133" i="8"/>
  <c r="KHY133" i="8"/>
  <c r="KHX133" i="8"/>
  <c r="KHW133" i="8"/>
  <c r="KHV133" i="8"/>
  <c r="KHU133" i="8"/>
  <c r="KHT133" i="8"/>
  <c r="KHS133" i="8"/>
  <c r="KHR133" i="8"/>
  <c r="KHQ133" i="8"/>
  <c r="KHP133" i="8"/>
  <c r="KHO133" i="8"/>
  <c r="KHN133" i="8"/>
  <c r="KHM133" i="8"/>
  <c r="KHL133" i="8"/>
  <c r="KHK133" i="8"/>
  <c r="KHJ133" i="8"/>
  <c r="KHI133" i="8"/>
  <c r="KHH133" i="8"/>
  <c r="KHG133" i="8"/>
  <c r="KHF133" i="8"/>
  <c r="KHE133" i="8"/>
  <c r="KHD133" i="8"/>
  <c r="KHC133" i="8"/>
  <c r="KHB133" i="8"/>
  <c r="KHA133" i="8"/>
  <c r="KGZ133" i="8"/>
  <c r="KGY133" i="8"/>
  <c r="KGX133" i="8"/>
  <c r="KGW133" i="8"/>
  <c r="KGV133" i="8"/>
  <c r="KGU133" i="8"/>
  <c r="KGT133" i="8"/>
  <c r="KGS133" i="8"/>
  <c r="KGR133" i="8"/>
  <c r="KGQ133" i="8"/>
  <c r="KGP133" i="8"/>
  <c r="KGO133" i="8"/>
  <c r="KGN133" i="8"/>
  <c r="KGM133" i="8"/>
  <c r="KGL133" i="8"/>
  <c r="KGK133" i="8"/>
  <c r="KGJ133" i="8"/>
  <c r="KGI133" i="8"/>
  <c r="KGH133" i="8"/>
  <c r="KGG133" i="8"/>
  <c r="KGF133" i="8"/>
  <c r="KGE133" i="8"/>
  <c r="KGD133" i="8"/>
  <c r="KGC133" i="8"/>
  <c r="KGB133" i="8"/>
  <c r="KGA133" i="8"/>
  <c r="KFZ133" i="8"/>
  <c r="KFY133" i="8"/>
  <c r="KFX133" i="8"/>
  <c r="KFW133" i="8"/>
  <c r="KFV133" i="8"/>
  <c r="KFU133" i="8"/>
  <c r="KFT133" i="8"/>
  <c r="KFS133" i="8"/>
  <c r="KFR133" i="8"/>
  <c r="KFQ133" i="8"/>
  <c r="KFP133" i="8"/>
  <c r="KFO133" i="8"/>
  <c r="KFN133" i="8"/>
  <c r="KFM133" i="8"/>
  <c r="KFL133" i="8"/>
  <c r="KFK133" i="8"/>
  <c r="KFJ133" i="8"/>
  <c r="KFI133" i="8"/>
  <c r="KFH133" i="8"/>
  <c r="KFG133" i="8"/>
  <c r="KFF133" i="8"/>
  <c r="KFE133" i="8"/>
  <c r="KFD133" i="8"/>
  <c r="KFC133" i="8"/>
  <c r="KFB133" i="8"/>
  <c r="KFA133" i="8"/>
  <c r="KEZ133" i="8"/>
  <c r="KEY133" i="8"/>
  <c r="KEX133" i="8"/>
  <c r="KEW133" i="8"/>
  <c r="KEV133" i="8"/>
  <c r="KEU133" i="8"/>
  <c r="KET133" i="8"/>
  <c r="KES133" i="8"/>
  <c r="KER133" i="8"/>
  <c r="KEQ133" i="8"/>
  <c r="KEP133" i="8"/>
  <c r="KEO133" i="8"/>
  <c r="KEN133" i="8"/>
  <c r="KEM133" i="8"/>
  <c r="KEL133" i="8"/>
  <c r="KEK133" i="8"/>
  <c r="KEJ133" i="8"/>
  <c r="KEI133" i="8"/>
  <c r="KEH133" i="8"/>
  <c r="KEG133" i="8"/>
  <c r="KEF133" i="8"/>
  <c r="KEE133" i="8"/>
  <c r="KED133" i="8"/>
  <c r="KEC133" i="8"/>
  <c r="KEB133" i="8"/>
  <c r="KEA133" i="8"/>
  <c r="KDZ133" i="8"/>
  <c r="KDY133" i="8"/>
  <c r="KDX133" i="8"/>
  <c r="KDW133" i="8"/>
  <c r="KDV133" i="8"/>
  <c r="KDU133" i="8"/>
  <c r="KDT133" i="8"/>
  <c r="KDS133" i="8"/>
  <c r="KDR133" i="8"/>
  <c r="KDQ133" i="8"/>
  <c r="KDP133" i="8"/>
  <c r="KDO133" i="8"/>
  <c r="KDN133" i="8"/>
  <c r="KDM133" i="8"/>
  <c r="KDL133" i="8"/>
  <c r="KDK133" i="8"/>
  <c r="KDJ133" i="8"/>
  <c r="KDI133" i="8"/>
  <c r="KDH133" i="8"/>
  <c r="KDG133" i="8"/>
  <c r="KDF133" i="8"/>
  <c r="KDE133" i="8"/>
  <c r="KDD133" i="8"/>
  <c r="KDC133" i="8"/>
  <c r="KDB133" i="8"/>
  <c r="KDA133" i="8"/>
  <c r="KCZ133" i="8"/>
  <c r="KCY133" i="8"/>
  <c r="KCX133" i="8"/>
  <c r="KCW133" i="8"/>
  <c r="KCV133" i="8"/>
  <c r="KCU133" i="8"/>
  <c r="KCT133" i="8"/>
  <c r="KCS133" i="8"/>
  <c r="KCR133" i="8"/>
  <c r="KCQ133" i="8"/>
  <c r="KCP133" i="8"/>
  <c r="KCO133" i="8"/>
  <c r="KCN133" i="8"/>
  <c r="KCM133" i="8"/>
  <c r="KCL133" i="8"/>
  <c r="KCK133" i="8"/>
  <c r="KCJ133" i="8"/>
  <c r="KCI133" i="8"/>
  <c r="KCH133" i="8"/>
  <c r="KCG133" i="8"/>
  <c r="KCF133" i="8"/>
  <c r="KCE133" i="8"/>
  <c r="KCD133" i="8"/>
  <c r="KCC133" i="8"/>
  <c r="KCB133" i="8"/>
  <c r="KCA133" i="8"/>
  <c r="KBZ133" i="8"/>
  <c r="KBY133" i="8"/>
  <c r="KBX133" i="8"/>
  <c r="KBW133" i="8"/>
  <c r="KBV133" i="8"/>
  <c r="KBU133" i="8"/>
  <c r="KBT133" i="8"/>
  <c r="KBS133" i="8"/>
  <c r="KBR133" i="8"/>
  <c r="KBQ133" i="8"/>
  <c r="KBP133" i="8"/>
  <c r="KBO133" i="8"/>
  <c r="KBN133" i="8"/>
  <c r="KBM133" i="8"/>
  <c r="KBL133" i="8"/>
  <c r="KBK133" i="8"/>
  <c r="KBJ133" i="8"/>
  <c r="KBI133" i="8"/>
  <c r="KBH133" i="8"/>
  <c r="KBG133" i="8"/>
  <c r="KBF133" i="8"/>
  <c r="KBE133" i="8"/>
  <c r="KBD133" i="8"/>
  <c r="KBC133" i="8"/>
  <c r="KBB133" i="8"/>
  <c r="KBA133" i="8"/>
  <c r="KAZ133" i="8"/>
  <c r="KAY133" i="8"/>
  <c r="KAX133" i="8"/>
  <c r="KAW133" i="8"/>
  <c r="KAV133" i="8"/>
  <c r="KAU133" i="8"/>
  <c r="KAT133" i="8"/>
  <c r="KAS133" i="8"/>
  <c r="KAR133" i="8"/>
  <c r="KAQ133" i="8"/>
  <c r="KAP133" i="8"/>
  <c r="KAO133" i="8"/>
  <c r="KAN133" i="8"/>
  <c r="KAM133" i="8"/>
  <c r="KAL133" i="8"/>
  <c r="KAK133" i="8"/>
  <c r="KAJ133" i="8"/>
  <c r="KAI133" i="8"/>
  <c r="KAH133" i="8"/>
  <c r="KAG133" i="8"/>
  <c r="KAF133" i="8"/>
  <c r="KAE133" i="8"/>
  <c r="KAD133" i="8"/>
  <c r="KAC133" i="8"/>
  <c r="KAB133" i="8"/>
  <c r="KAA133" i="8"/>
  <c r="JZZ133" i="8"/>
  <c r="JZY133" i="8"/>
  <c r="JZX133" i="8"/>
  <c r="JZW133" i="8"/>
  <c r="JZV133" i="8"/>
  <c r="JZU133" i="8"/>
  <c r="JZT133" i="8"/>
  <c r="JZS133" i="8"/>
  <c r="JZR133" i="8"/>
  <c r="JZQ133" i="8"/>
  <c r="JZP133" i="8"/>
  <c r="JZO133" i="8"/>
  <c r="JZN133" i="8"/>
  <c r="JZM133" i="8"/>
  <c r="JZL133" i="8"/>
  <c r="JZK133" i="8"/>
  <c r="JZJ133" i="8"/>
  <c r="JZI133" i="8"/>
  <c r="JZH133" i="8"/>
  <c r="JZG133" i="8"/>
  <c r="JZF133" i="8"/>
  <c r="JZE133" i="8"/>
  <c r="JZD133" i="8"/>
  <c r="JZC133" i="8"/>
  <c r="JZB133" i="8"/>
  <c r="JZA133" i="8"/>
  <c r="JYZ133" i="8"/>
  <c r="JYY133" i="8"/>
  <c r="JYX133" i="8"/>
  <c r="JYW133" i="8"/>
  <c r="JYV133" i="8"/>
  <c r="JYU133" i="8"/>
  <c r="JYT133" i="8"/>
  <c r="JYS133" i="8"/>
  <c r="JYR133" i="8"/>
  <c r="JYQ133" i="8"/>
  <c r="JYP133" i="8"/>
  <c r="JYO133" i="8"/>
  <c r="JYN133" i="8"/>
  <c r="JYM133" i="8"/>
  <c r="JYL133" i="8"/>
  <c r="JYK133" i="8"/>
  <c r="JYJ133" i="8"/>
  <c r="JYI133" i="8"/>
  <c r="JYH133" i="8"/>
  <c r="JYG133" i="8"/>
  <c r="JYF133" i="8"/>
  <c r="JYE133" i="8"/>
  <c r="JYD133" i="8"/>
  <c r="JYC133" i="8"/>
  <c r="JYB133" i="8"/>
  <c r="JYA133" i="8"/>
  <c r="JXZ133" i="8"/>
  <c r="JXY133" i="8"/>
  <c r="JXX133" i="8"/>
  <c r="JXW133" i="8"/>
  <c r="JXV133" i="8"/>
  <c r="JXU133" i="8"/>
  <c r="JXT133" i="8"/>
  <c r="JXS133" i="8"/>
  <c r="JXR133" i="8"/>
  <c r="JXQ133" i="8"/>
  <c r="JXP133" i="8"/>
  <c r="JXO133" i="8"/>
  <c r="JXN133" i="8"/>
  <c r="JXM133" i="8"/>
  <c r="JXL133" i="8"/>
  <c r="JXK133" i="8"/>
  <c r="JXJ133" i="8"/>
  <c r="JXI133" i="8"/>
  <c r="JXH133" i="8"/>
  <c r="JXG133" i="8"/>
  <c r="JXF133" i="8"/>
  <c r="JXE133" i="8"/>
  <c r="JXD133" i="8"/>
  <c r="JXC133" i="8"/>
  <c r="JXB133" i="8"/>
  <c r="JXA133" i="8"/>
  <c r="JWZ133" i="8"/>
  <c r="JWY133" i="8"/>
  <c r="JWX133" i="8"/>
  <c r="JWW133" i="8"/>
  <c r="JWV133" i="8"/>
  <c r="JWU133" i="8"/>
  <c r="JWT133" i="8"/>
  <c r="JWS133" i="8"/>
  <c r="JWR133" i="8"/>
  <c r="JWQ133" i="8"/>
  <c r="JWP133" i="8"/>
  <c r="JWO133" i="8"/>
  <c r="JWN133" i="8"/>
  <c r="JWM133" i="8"/>
  <c r="JWL133" i="8"/>
  <c r="JWK133" i="8"/>
  <c r="JWJ133" i="8"/>
  <c r="JWI133" i="8"/>
  <c r="JWH133" i="8"/>
  <c r="JWG133" i="8"/>
  <c r="JWF133" i="8"/>
  <c r="JWE133" i="8"/>
  <c r="JWD133" i="8"/>
  <c r="JWC133" i="8"/>
  <c r="JWB133" i="8"/>
  <c r="JWA133" i="8"/>
  <c r="JVZ133" i="8"/>
  <c r="JVY133" i="8"/>
  <c r="JVX133" i="8"/>
  <c r="JVW133" i="8"/>
  <c r="JVV133" i="8"/>
  <c r="JVU133" i="8"/>
  <c r="JVT133" i="8"/>
  <c r="JVS133" i="8"/>
  <c r="JVR133" i="8"/>
  <c r="JVQ133" i="8"/>
  <c r="JVP133" i="8"/>
  <c r="JVO133" i="8"/>
  <c r="JVN133" i="8"/>
  <c r="JVM133" i="8"/>
  <c r="JVL133" i="8"/>
  <c r="JVK133" i="8"/>
  <c r="JVJ133" i="8"/>
  <c r="JVI133" i="8"/>
  <c r="JVH133" i="8"/>
  <c r="JVG133" i="8"/>
  <c r="JVF133" i="8"/>
  <c r="JVE133" i="8"/>
  <c r="JVD133" i="8"/>
  <c r="JVC133" i="8"/>
  <c r="JVB133" i="8"/>
  <c r="JVA133" i="8"/>
  <c r="JUZ133" i="8"/>
  <c r="JUY133" i="8"/>
  <c r="JUX133" i="8"/>
  <c r="JUW133" i="8"/>
  <c r="JUV133" i="8"/>
  <c r="JUU133" i="8"/>
  <c r="JUT133" i="8"/>
  <c r="JUS133" i="8"/>
  <c r="JUR133" i="8"/>
  <c r="JUQ133" i="8"/>
  <c r="JUP133" i="8"/>
  <c r="JUO133" i="8"/>
  <c r="JUN133" i="8"/>
  <c r="JUM133" i="8"/>
  <c r="JUL133" i="8"/>
  <c r="JUK133" i="8"/>
  <c r="JUJ133" i="8"/>
  <c r="JUI133" i="8"/>
  <c r="JUH133" i="8"/>
  <c r="JUG133" i="8"/>
  <c r="JUF133" i="8"/>
  <c r="JUE133" i="8"/>
  <c r="JUD133" i="8"/>
  <c r="JUC133" i="8"/>
  <c r="JUB133" i="8"/>
  <c r="JUA133" i="8"/>
  <c r="JTZ133" i="8"/>
  <c r="JTY133" i="8"/>
  <c r="JTX133" i="8"/>
  <c r="JTW133" i="8"/>
  <c r="JTV133" i="8"/>
  <c r="JTU133" i="8"/>
  <c r="JTT133" i="8"/>
  <c r="JTS133" i="8"/>
  <c r="JTR133" i="8"/>
  <c r="JTQ133" i="8"/>
  <c r="JTP133" i="8"/>
  <c r="JTO133" i="8"/>
  <c r="JTN133" i="8"/>
  <c r="JTM133" i="8"/>
  <c r="JTL133" i="8"/>
  <c r="JTK133" i="8"/>
  <c r="JTJ133" i="8"/>
  <c r="JTI133" i="8"/>
  <c r="JTH133" i="8"/>
  <c r="JTG133" i="8"/>
  <c r="JTF133" i="8"/>
  <c r="JTE133" i="8"/>
  <c r="JTD133" i="8"/>
  <c r="JTC133" i="8"/>
  <c r="JTB133" i="8"/>
  <c r="JTA133" i="8"/>
  <c r="JSZ133" i="8"/>
  <c r="JSY133" i="8"/>
  <c r="JSX133" i="8"/>
  <c r="JSW133" i="8"/>
  <c r="JSV133" i="8"/>
  <c r="JSU133" i="8"/>
  <c r="JST133" i="8"/>
  <c r="JSS133" i="8"/>
  <c r="JSR133" i="8"/>
  <c r="JSQ133" i="8"/>
  <c r="JSP133" i="8"/>
  <c r="JSO133" i="8"/>
  <c r="JSN133" i="8"/>
  <c r="JSM133" i="8"/>
  <c r="JSL133" i="8"/>
  <c r="JSK133" i="8"/>
  <c r="JSJ133" i="8"/>
  <c r="JSI133" i="8"/>
  <c r="JSH133" i="8"/>
  <c r="JSG133" i="8"/>
  <c r="JSF133" i="8"/>
  <c r="JSE133" i="8"/>
  <c r="JSD133" i="8"/>
  <c r="JSC133" i="8"/>
  <c r="JSB133" i="8"/>
  <c r="JSA133" i="8"/>
  <c r="JRZ133" i="8"/>
  <c r="JRY133" i="8"/>
  <c r="JRX133" i="8"/>
  <c r="JRW133" i="8"/>
  <c r="JRV133" i="8"/>
  <c r="JRU133" i="8"/>
  <c r="JRT133" i="8"/>
  <c r="JRS133" i="8"/>
  <c r="JRR133" i="8"/>
  <c r="JRQ133" i="8"/>
  <c r="JRP133" i="8"/>
  <c r="JRO133" i="8"/>
  <c r="JRN133" i="8"/>
  <c r="JRM133" i="8"/>
  <c r="JRL133" i="8"/>
  <c r="JRK133" i="8"/>
  <c r="JRJ133" i="8"/>
  <c r="JRI133" i="8"/>
  <c r="JRH133" i="8"/>
  <c r="JRG133" i="8"/>
  <c r="JRF133" i="8"/>
  <c r="JRE133" i="8"/>
  <c r="JRD133" i="8"/>
  <c r="JRC133" i="8"/>
  <c r="JRB133" i="8"/>
  <c r="JRA133" i="8"/>
  <c r="JQZ133" i="8"/>
  <c r="JQY133" i="8"/>
  <c r="JQX133" i="8"/>
  <c r="JQW133" i="8"/>
  <c r="JQV133" i="8"/>
  <c r="JQU133" i="8"/>
  <c r="JQT133" i="8"/>
  <c r="JQS133" i="8"/>
  <c r="JQR133" i="8"/>
  <c r="JQQ133" i="8"/>
  <c r="JQP133" i="8"/>
  <c r="JQO133" i="8"/>
  <c r="JQN133" i="8"/>
  <c r="JQM133" i="8"/>
  <c r="JQL133" i="8"/>
  <c r="JQK133" i="8"/>
  <c r="JQJ133" i="8"/>
  <c r="JQI133" i="8"/>
  <c r="JQH133" i="8"/>
  <c r="JQG133" i="8"/>
  <c r="JQF133" i="8"/>
  <c r="JQE133" i="8"/>
  <c r="JQD133" i="8"/>
  <c r="JQC133" i="8"/>
  <c r="JQB133" i="8"/>
  <c r="JQA133" i="8"/>
  <c r="JPZ133" i="8"/>
  <c r="JPY133" i="8"/>
  <c r="JPX133" i="8"/>
  <c r="JPW133" i="8"/>
  <c r="JPV133" i="8"/>
  <c r="JPU133" i="8"/>
  <c r="JPT133" i="8"/>
  <c r="JPS133" i="8"/>
  <c r="JPR133" i="8"/>
  <c r="JPQ133" i="8"/>
  <c r="JPP133" i="8"/>
  <c r="JPO133" i="8"/>
  <c r="JPN133" i="8"/>
  <c r="JPM133" i="8"/>
  <c r="JPL133" i="8"/>
  <c r="JPK133" i="8"/>
  <c r="JPJ133" i="8"/>
  <c r="JPI133" i="8"/>
  <c r="JPH133" i="8"/>
  <c r="JPG133" i="8"/>
  <c r="JPF133" i="8"/>
  <c r="JPE133" i="8"/>
  <c r="JPD133" i="8"/>
  <c r="JPC133" i="8"/>
  <c r="JPB133" i="8"/>
  <c r="JPA133" i="8"/>
  <c r="JOZ133" i="8"/>
  <c r="JOY133" i="8"/>
  <c r="JOX133" i="8"/>
  <c r="JOW133" i="8"/>
  <c r="JOV133" i="8"/>
  <c r="JOU133" i="8"/>
  <c r="JOT133" i="8"/>
  <c r="JOS133" i="8"/>
  <c r="JOR133" i="8"/>
  <c r="JOQ133" i="8"/>
  <c r="JOP133" i="8"/>
  <c r="JOO133" i="8"/>
  <c r="JON133" i="8"/>
  <c r="JOM133" i="8"/>
  <c r="JOL133" i="8"/>
  <c r="JOK133" i="8"/>
  <c r="JOJ133" i="8"/>
  <c r="JOI133" i="8"/>
  <c r="JOH133" i="8"/>
  <c r="JOG133" i="8"/>
  <c r="JOF133" i="8"/>
  <c r="JOE133" i="8"/>
  <c r="JOD133" i="8"/>
  <c r="JOC133" i="8"/>
  <c r="JOB133" i="8"/>
  <c r="JOA133" i="8"/>
  <c r="JNZ133" i="8"/>
  <c r="JNY133" i="8"/>
  <c r="JNX133" i="8"/>
  <c r="JNW133" i="8"/>
  <c r="JNV133" i="8"/>
  <c r="JNU133" i="8"/>
  <c r="JNT133" i="8"/>
  <c r="JNS133" i="8"/>
  <c r="JNR133" i="8"/>
  <c r="JNQ133" i="8"/>
  <c r="JNP133" i="8"/>
  <c r="JNO133" i="8"/>
  <c r="JNN133" i="8"/>
  <c r="JNM133" i="8"/>
  <c r="JNL133" i="8"/>
  <c r="JNK133" i="8"/>
  <c r="JNJ133" i="8"/>
  <c r="JNI133" i="8"/>
  <c r="JNH133" i="8"/>
  <c r="JNG133" i="8"/>
  <c r="JNF133" i="8"/>
  <c r="JNE133" i="8"/>
  <c r="JND133" i="8"/>
  <c r="JNC133" i="8"/>
  <c r="JNB133" i="8"/>
  <c r="JNA133" i="8"/>
  <c r="JMZ133" i="8"/>
  <c r="JMY133" i="8"/>
  <c r="JMX133" i="8"/>
  <c r="JMW133" i="8"/>
  <c r="JMV133" i="8"/>
  <c r="JMU133" i="8"/>
  <c r="JMT133" i="8"/>
  <c r="JMS133" i="8"/>
  <c r="JMR133" i="8"/>
  <c r="JMQ133" i="8"/>
  <c r="JMP133" i="8"/>
  <c r="JMO133" i="8"/>
  <c r="JMN133" i="8"/>
  <c r="JMM133" i="8"/>
  <c r="JML133" i="8"/>
  <c r="JMK133" i="8"/>
  <c r="JMJ133" i="8"/>
  <c r="JMI133" i="8"/>
  <c r="JMH133" i="8"/>
  <c r="JMG133" i="8"/>
  <c r="JMF133" i="8"/>
  <c r="JME133" i="8"/>
  <c r="JMD133" i="8"/>
  <c r="JMC133" i="8"/>
  <c r="JMB133" i="8"/>
  <c r="JMA133" i="8"/>
  <c r="JLZ133" i="8"/>
  <c r="JLY133" i="8"/>
  <c r="JLX133" i="8"/>
  <c r="JLW133" i="8"/>
  <c r="JLV133" i="8"/>
  <c r="JLU133" i="8"/>
  <c r="JLT133" i="8"/>
  <c r="JLS133" i="8"/>
  <c r="JLR133" i="8"/>
  <c r="JLQ133" i="8"/>
  <c r="JLP133" i="8"/>
  <c r="JLO133" i="8"/>
  <c r="JLN133" i="8"/>
  <c r="JLM133" i="8"/>
  <c r="JLL133" i="8"/>
  <c r="JLK133" i="8"/>
  <c r="JLJ133" i="8"/>
  <c r="JLI133" i="8"/>
  <c r="JLH133" i="8"/>
  <c r="JLG133" i="8"/>
  <c r="JLF133" i="8"/>
  <c r="JLE133" i="8"/>
  <c r="JLD133" i="8"/>
  <c r="JLC133" i="8"/>
  <c r="JLB133" i="8"/>
  <c r="JLA133" i="8"/>
  <c r="JKZ133" i="8"/>
  <c r="JKY133" i="8"/>
  <c r="JKX133" i="8"/>
  <c r="JKW133" i="8"/>
  <c r="JKV133" i="8"/>
  <c r="JKU133" i="8"/>
  <c r="JKT133" i="8"/>
  <c r="JKS133" i="8"/>
  <c r="JKR133" i="8"/>
  <c r="JKQ133" i="8"/>
  <c r="JKP133" i="8"/>
  <c r="JKO133" i="8"/>
  <c r="JKN133" i="8"/>
  <c r="JKM133" i="8"/>
  <c r="JKL133" i="8"/>
  <c r="JKK133" i="8"/>
  <c r="JKJ133" i="8"/>
  <c r="JKI133" i="8"/>
  <c r="JKH133" i="8"/>
  <c r="JKG133" i="8"/>
  <c r="JKF133" i="8"/>
  <c r="JKE133" i="8"/>
  <c r="JKD133" i="8"/>
  <c r="JKC133" i="8"/>
  <c r="JKB133" i="8"/>
  <c r="JKA133" i="8"/>
  <c r="JJZ133" i="8"/>
  <c r="JJY133" i="8"/>
  <c r="JJX133" i="8"/>
  <c r="JJW133" i="8"/>
  <c r="JJV133" i="8"/>
  <c r="JJU133" i="8"/>
  <c r="JJT133" i="8"/>
  <c r="JJS133" i="8"/>
  <c r="JJR133" i="8"/>
  <c r="JJQ133" i="8"/>
  <c r="JJP133" i="8"/>
  <c r="JJO133" i="8"/>
  <c r="JJN133" i="8"/>
  <c r="JJM133" i="8"/>
  <c r="JJL133" i="8"/>
  <c r="JJK133" i="8"/>
  <c r="JJJ133" i="8"/>
  <c r="JJI133" i="8"/>
  <c r="JJH133" i="8"/>
  <c r="JJG133" i="8"/>
  <c r="JJF133" i="8"/>
  <c r="JJE133" i="8"/>
  <c r="JJD133" i="8"/>
  <c r="JJC133" i="8"/>
  <c r="JJB133" i="8"/>
  <c r="JJA133" i="8"/>
  <c r="JIZ133" i="8"/>
  <c r="JIY133" i="8"/>
  <c r="JIX133" i="8"/>
  <c r="JIW133" i="8"/>
  <c r="JIV133" i="8"/>
  <c r="JIU133" i="8"/>
  <c r="JIT133" i="8"/>
  <c r="JIS133" i="8"/>
  <c r="JIR133" i="8"/>
  <c r="JIQ133" i="8"/>
  <c r="JIP133" i="8"/>
  <c r="JIO133" i="8"/>
  <c r="JIN133" i="8"/>
  <c r="JIM133" i="8"/>
  <c r="JIL133" i="8"/>
  <c r="JIK133" i="8"/>
  <c r="JIJ133" i="8"/>
  <c r="JII133" i="8"/>
  <c r="JIH133" i="8"/>
  <c r="JIG133" i="8"/>
  <c r="JIF133" i="8"/>
  <c r="JIE133" i="8"/>
  <c r="JID133" i="8"/>
  <c r="JIC133" i="8"/>
  <c r="JIB133" i="8"/>
  <c r="JIA133" i="8"/>
  <c r="JHZ133" i="8"/>
  <c r="JHY133" i="8"/>
  <c r="JHX133" i="8"/>
  <c r="JHW133" i="8"/>
  <c r="JHV133" i="8"/>
  <c r="JHU133" i="8"/>
  <c r="JHT133" i="8"/>
  <c r="JHS133" i="8"/>
  <c r="JHR133" i="8"/>
  <c r="JHQ133" i="8"/>
  <c r="JHP133" i="8"/>
  <c r="JHO133" i="8"/>
  <c r="JHN133" i="8"/>
  <c r="JHM133" i="8"/>
  <c r="JHL133" i="8"/>
  <c r="JHK133" i="8"/>
  <c r="JHJ133" i="8"/>
  <c r="JHI133" i="8"/>
  <c r="JHH133" i="8"/>
  <c r="JHG133" i="8"/>
  <c r="JHF133" i="8"/>
  <c r="JHE133" i="8"/>
  <c r="JHD133" i="8"/>
  <c r="JHC133" i="8"/>
  <c r="JHB133" i="8"/>
  <c r="JHA133" i="8"/>
  <c r="JGZ133" i="8"/>
  <c r="JGY133" i="8"/>
  <c r="JGX133" i="8"/>
  <c r="JGW133" i="8"/>
  <c r="JGV133" i="8"/>
  <c r="JGU133" i="8"/>
  <c r="JGT133" i="8"/>
  <c r="JGS133" i="8"/>
  <c r="JGR133" i="8"/>
  <c r="JGQ133" i="8"/>
  <c r="JGP133" i="8"/>
  <c r="JGO133" i="8"/>
  <c r="JGN133" i="8"/>
  <c r="JGM133" i="8"/>
  <c r="JGL133" i="8"/>
  <c r="JGK133" i="8"/>
  <c r="JGJ133" i="8"/>
  <c r="JGI133" i="8"/>
  <c r="JGH133" i="8"/>
  <c r="JGG133" i="8"/>
  <c r="JGF133" i="8"/>
  <c r="JGE133" i="8"/>
  <c r="JGD133" i="8"/>
  <c r="JGC133" i="8"/>
  <c r="JGB133" i="8"/>
  <c r="JGA133" i="8"/>
  <c r="JFZ133" i="8"/>
  <c r="JFY133" i="8"/>
  <c r="JFX133" i="8"/>
  <c r="JFW133" i="8"/>
  <c r="JFV133" i="8"/>
  <c r="JFU133" i="8"/>
  <c r="JFT133" i="8"/>
  <c r="JFS133" i="8"/>
  <c r="JFR133" i="8"/>
  <c r="JFQ133" i="8"/>
  <c r="JFP133" i="8"/>
  <c r="JFO133" i="8"/>
  <c r="JFN133" i="8"/>
  <c r="JFM133" i="8"/>
  <c r="JFL133" i="8"/>
  <c r="JFK133" i="8"/>
  <c r="JFJ133" i="8"/>
  <c r="JFI133" i="8"/>
  <c r="JFH133" i="8"/>
  <c r="JFG133" i="8"/>
  <c r="JFF133" i="8"/>
  <c r="JFE133" i="8"/>
  <c r="JFD133" i="8"/>
  <c r="JFC133" i="8"/>
  <c r="JFB133" i="8"/>
  <c r="JFA133" i="8"/>
  <c r="JEZ133" i="8"/>
  <c r="JEY133" i="8"/>
  <c r="JEX133" i="8"/>
  <c r="JEW133" i="8"/>
  <c r="JEV133" i="8"/>
  <c r="JEU133" i="8"/>
  <c r="JET133" i="8"/>
  <c r="JES133" i="8"/>
  <c r="JER133" i="8"/>
  <c r="JEQ133" i="8"/>
  <c r="JEP133" i="8"/>
  <c r="JEO133" i="8"/>
  <c r="JEN133" i="8"/>
  <c r="JEM133" i="8"/>
  <c r="JEL133" i="8"/>
  <c r="JEK133" i="8"/>
  <c r="JEJ133" i="8"/>
  <c r="JEI133" i="8"/>
  <c r="JEH133" i="8"/>
  <c r="JEG133" i="8"/>
  <c r="JEF133" i="8"/>
  <c r="JEE133" i="8"/>
  <c r="JED133" i="8"/>
  <c r="JEC133" i="8"/>
  <c r="JEB133" i="8"/>
  <c r="JEA133" i="8"/>
  <c r="JDZ133" i="8"/>
  <c r="JDY133" i="8"/>
  <c r="JDX133" i="8"/>
  <c r="JDW133" i="8"/>
  <c r="JDV133" i="8"/>
  <c r="JDU133" i="8"/>
  <c r="JDT133" i="8"/>
  <c r="JDS133" i="8"/>
  <c r="JDR133" i="8"/>
  <c r="JDQ133" i="8"/>
  <c r="JDP133" i="8"/>
  <c r="JDO133" i="8"/>
  <c r="JDN133" i="8"/>
  <c r="JDM133" i="8"/>
  <c r="JDL133" i="8"/>
  <c r="JDK133" i="8"/>
  <c r="JDJ133" i="8"/>
  <c r="JDI133" i="8"/>
  <c r="JDH133" i="8"/>
  <c r="JDG133" i="8"/>
  <c r="JDF133" i="8"/>
  <c r="JDE133" i="8"/>
  <c r="JDD133" i="8"/>
  <c r="JDC133" i="8"/>
  <c r="JDB133" i="8"/>
  <c r="JDA133" i="8"/>
  <c r="JCZ133" i="8"/>
  <c r="JCY133" i="8"/>
  <c r="JCX133" i="8"/>
  <c r="JCW133" i="8"/>
  <c r="JCV133" i="8"/>
  <c r="JCU133" i="8"/>
  <c r="JCT133" i="8"/>
  <c r="JCS133" i="8"/>
  <c r="JCR133" i="8"/>
  <c r="JCQ133" i="8"/>
  <c r="JCP133" i="8"/>
  <c r="JCO133" i="8"/>
  <c r="JCN133" i="8"/>
  <c r="JCM133" i="8"/>
  <c r="JCL133" i="8"/>
  <c r="JCK133" i="8"/>
  <c r="JCJ133" i="8"/>
  <c r="JCI133" i="8"/>
  <c r="JCH133" i="8"/>
  <c r="JCG133" i="8"/>
  <c r="JCF133" i="8"/>
  <c r="JCE133" i="8"/>
  <c r="JCD133" i="8"/>
  <c r="JCC133" i="8"/>
  <c r="JCB133" i="8"/>
  <c r="JCA133" i="8"/>
  <c r="JBZ133" i="8"/>
  <c r="JBY133" i="8"/>
  <c r="JBX133" i="8"/>
  <c r="JBW133" i="8"/>
  <c r="JBV133" i="8"/>
  <c r="JBU133" i="8"/>
  <c r="JBT133" i="8"/>
  <c r="JBS133" i="8"/>
  <c r="JBR133" i="8"/>
  <c r="JBQ133" i="8"/>
  <c r="JBP133" i="8"/>
  <c r="JBO133" i="8"/>
  <c r="JBN133" i="8"/>
  <c r="JBM133" i="8"/>
  <c r="JBL133" i="8"/>
  <c r="JBK133" i="8"/>
  <c r="JBJ133" i="8"/>
  <c r="JBI133" i="8"/>
  <c r="JBH133" i="8"/>
  <c r="JBG133" i="8"/>
  <c r="JBF133" i="8"/>
  <c r="JBE133" i="8"/>
  <c r="JBD133" i="8"/>
  <c r="JBC133" i="8"/>
  <c r="JBB133" i="8"/>
  <c r="JBA133" i="8"/>
  <c r="JAZ133" i="8"/>
  <c r="JAY133" i="8"/>
  <c r="JAX133" i="8"/>
  <c r="JAW133" i="8"/>
  <c r="JAV133" i="8"/>
  <c r="JAU133" i="8"/>
  <c r="JAT133" i="8"/>
  <c r="JAS133" i="8"/>
  <c r="JAR133" i="8"/>
  <c r="JAQ133" i="8"/>
  <c r="JAP133" i="8"/>
  <c r="JAO133" i="8"/>
  <c r="JAN133" i="8"/>
  <c r="JAM133" i="8"/>
  <c r="JAL133" i="8"/>
  <c r="JAK133" i="8"/>
  <c r="JAJ133" i="8"/>
  <c r="JAI133" i="8"/>
  <c r="JAH133" i="8"/>
  <c r="JAG133" i="8"/>
  <c r="JAF133" i="8"/>
  <c r="JAE133" i="8"/>
  <c r="JAD133" i="8"/>
  <c r="JAC133" i="8"/>
  <c r="JAB133" i="8"/>
  <c r="JAA133" i="8"/>
  <c r="IZZ133" i="8"/>
  <c r="IZY133" i="8"/>
  <c r="IZX133" i="8"/>
  <c r="IZW133" i="8"/>
  <c r="IZV133" i="8"/>
  <c r="IZU133" i="8"/>
  <c r="IZT133" i="8"/>
  <c r="IZS133" i="8"/>
  <c r="IZR133" i="8"/>
  <c r="IZQ133" i="8"/>
  <c r="IZP133" i="8"/>
  <c r="IZO133" i="8"/>
  <c r="IZN133" i="8"/>
  <c r="IZM133" i="8"/>
  <c r="IZL133" i="8"/>
  <c r="IZK133" i="8"/>
  <c r="IZJ133" i="8"/>
  <c r="IZI133" i="8"/>
  <c r="IZH133" i="8"/>
  <c r="IZG133" i="8"/>
  <c r="IZF133" i="8"/>
  <c r="IZE133" i="8"/>
  <c r="IZD133" i="8"/>
  <c r="IZC133" i="8"/>
  <c r="IZB133" i="8"/>
  <c r="IZA133" i="8"/>
  <c r="IYZ133" i="8"/>
  <c r="IYY133" i="8"/>
  <c r="IYX133" i="8"/>
  <c r="IYW133" i="8"/>
  <c r="IYV133" i="8"/>
  <c r="IYU133" i="8"/>
  <c r="IYT133" i="8"/>
  <c r="IYS133" i="8"/>
  <c r="IYR133" i="8"/>
  <c r="IYQ133" i="8"/>
  <c r="IYP133" i="8"/>
  <c r="IYO133" i="8"/>
  <c r="IYN133" i="8"/>
  <c r="IYM133" i="8"/>
  <c r="IYL133" i="8"/>
  <c r="IYK133" i="8"/>
  <c r="IYJ133" i="8"/>
  <c r="IYI133" i="8"/>
  <c r="IYH133" i="8"/>
  <c r="IYG133" i="8"/>
  <c r="IYF133" i="8"/>
  <c r="IYE133" i="8"/>
  <c r="IYD133" i="8"/>
  <c r="IYC133" i="8"/>
  <c r="IYB133" i="8"/>
  <c r="IYA133" i="8"/>
  <c r="IXZ133" i="8"/>
  <c r="IXY133" i="8"/>
  <c r="IXX133" i="8"/>
  <c r="IXW133" i="8"/>
  <c r="IXV133" i="8"/>
  <c r="IXU133" i="8"/>
  <c r="IXT133" i="8"/>
  <c r="IXS133" i="8"/>
  <c r="IXR133" i="8"/>
  <c r="IXQ133" i="8"/>
  <c r="IXP133" i="8"/>
  <c r="IXO133" i="8"/>
  <c r="IXN133" i="8"/>
  <c r="IXM133" i="8"/>
  <c r="IXL133" i="8"/>
  <c r="IXK133" i="8"/>
  <c r="IXJ133" i="8"/>
  <c r="IXI133" i="8"/>
  <c r="IXH133" i="8"/>
  <c r="IXG133" i="8"/>
  <c r="IXF133" i="8"/>
  <c r="IXE133" i="8"/>
  <c r="IXD133" i="8"/>
  <c r="IXC133" i="8"/>
  <c r="IXB133" i="8"/>
  <c r="IXA133" i="8"/>
  <c r="IWZ133" i="8"/>
  <c r="IWY133" i="8"/>
  <c r="IWX133" i="8"/>
  <c r="IWW133" i="8"/>
  <c r="IWV133" i="8"/>
  <c r="IWU133" i="8"/>
  <c r="IWT133" i="8"/>
  <c r="IWS133" i="8"/>
  <c r="IWR133" i="8"/>
  <c r="IWQ133" i="8"/>
  <c r="IWP133" i="8"/>
  <c r="IWO133" i="8"/>
  <c r="IWN133" i="8"/>
  <c r="IWM133" i="8"/>
  <c r="IWL133" i="8"/>
  <c r="IWK133" i="8"/>
  <c r="IWJ133" i="8"/>
  <c r="IWI133" i="8"/>
  <c r="IWH133" i="8"/>
  <c r="IWG133" i="8"/>
  <c r="IWF133" i="8"/>
  <c r="IWE133" i="8"/>
  <c r="IWD133" i="8"/>
  <c r="IWC133" i="8"/>
  <c r="IWB133" i="8"/>
  <c r="IWA133" i="8"/>
  <c r="IVZ133" i="8"/>
  <c r="IVY133" i="8"/>
  <c r="IVX133" i="8"/>
  <c r="IVW133" i="8"/>
  <c r="IVV133" i="8"/>
  <c r="IVU133" i="8"/>
  <c r="IVT133" i="8"/>
  <c r="IVS133" i="8"/>
  <c r="IVR133" i="8"/>
  <c r="IVQ133" i="8"/>
  <c r="IVP133" i="8"/>
  <c r="IVO133" i="8"/>
  <c r="IVN133" i="8"/>
  <c r="IVM133" i="8"/>
  <c r="IVL133" i="8"/>
  <c r="IVK133" i="8"/>
  <c r="IVJ133" i="8"/>
  <c r="IVI133" i="8"/>
  <c r="IVH133" i="8"/>
  <c r="IVG133" i="8"/>
  <c r="IVF133" i="8"/>
  <c r="IVE133" i="8"/>
  <c r="IVD133" i="8"/>
  <c r="IVC133" i="8"/>
  <c r="IVB133" i="8"/>
  <c r="IVA133" i="8"/>
  <c r="IUZ133" i="8"/>
  <c r="IUY133" i="8"/>
  <c r="IUX133" i="8"/>
  <c r="IUW133" i="8"/>
  <c r="IUV133" i="8"/>
  <c r="IUU133" i="8"/>
  <c r="IUT133" i="8"/>
  <c r="IUS133" i="8"/>
  <c r="IUR133" i="8"/>
  <c r="IUQ133" i="8"/>
  <c r="IUP133" i="8"/>
  <c r="IUO133" i="8"/>
  <c r="IUN133" i="8"/>
  <c r="IUM133" i="8"/>
  <c r="IUL133" i="8"/>
  <c r="IUK133" i="8"/>
  <c r="IUJ133" i="8"/>
  <c r="IUI133" i="8"/>
  <c r="IUH133" i="8"/>
  <c r="IUG133" i="8"/>
  <c r="IUF133" i="8"/>
  <c r="IUE133" i="8"/>
  <c r="IUD133" i="8"/>
  <c r="IUC133" i="8"/>
  <c r="IUB133" i="8"/>
  <c r="IUA133" i="8"/>
  <c r="ITZ133" i="8"/>
  <c r="ITY133" i="8"/>
  <c r="ITX133" i="8"/>
  <c r="ITW133" i="8"/>
  <c r="ITV133" i="8"/>
  <c r="ITU133" i="8"/>
  <c r="ITT133" i="8"/>
  <c r="ITS133" i="8"/>
  <c r="ITR133" i="8"/>
  <c r="ITQ133" i="8"/>
  <c r="ITP133" i="8"/>
  <c r="ITO133" i="8"/>
  <c r="ITN133" i="8"/>
  <c r="ITM133" i="8"/>
  <c r="ITL133" i="8"/>
  <c r="ITK133" i="8"/>
  <c r="ITJ133" i="8"/>
  <c r="ITI133" i="8"/>
  <c r="ITH133" i="8"/>
  <c r="ITG133" i="8"/>
  <c r="ITF133" i="8"/>
  <c r="ITE133" i="8"/>
  <c r="ITD133" i="8"/>
  <c r="ITC133" i="8"/>
  <c r="ITB133" i="8"/>
  <c r="ITA133" i="8"/>
  <c r="ISZ133" i="8"/>
  <c r="ISY133" i="8"/>
  <c r="ISX133" i="8"/>
  <c r="ISW133" i="8"/>
  <c r="ISV133" i="8"/>
  <c r="ISU133" i="8"/>
  <c r="IST133" i="8"/>
  <c r="ISS133" i="8"/>
  <c r="ISR133" i="8"/>
  <c r="ISQ133" i="8"/>
  <c r="ISP133" i="8"/>
  <c r="ISO133" i="8"/>
  <c r="ISN133" i="8"/>
  <c r="ISM133" i="8"/>
  <c r="ISL133" i="8"/>
  <c r="ISK133" i="8"/>
  <c r="ISJ133" i="8"/>
  <c r="ISI133" i="8"/>
  <c r="ISH133" i="8"/>
  <c r="ISG133" i="8"/>
  <c r="ISF133" i="8"/>
  <c r="ISE133" i="8"/>
  <c r="ISD133" i="8"/>
  <c r="ISC133" i="8"/>
  <c r="ISB133" i="8"/>
  <c r="ISA133" i="8"/>
  <c r="IRZ133" i="8"/>
  <c r="IRY133" i="8"/>
  <c r="IRX133" i="8"/>
  <c r="IRW133" i="8"/>
  <c r="IRV133" i="8"/>
  <c r="IRU133" i="8"/>
  <c r="IRT133" i="8"/>
  <c r="IRS133" i="8"/>
  <c r="IRR133" i="8"/>
  <c r="IRQ133" i="8"/>
  <c r="IRP133" i="8"/>
  <c r="IRO133" i="8"/>
  <c r="IRN133" i="8"/>
  <c r="IRM133" i="8"/>
  <c r="IRL133" i="8"/>
  <c r="IRK133" i="8"/>
  <c r="IRJ133" i="8"/>
  <c r="IRI133" i="8"/>
  <c r="IRH133" i="8"/>
  <c r="IRG133" i="8"/>
  <c r="IRF133" i="8"/>
  <c r="IRE133" i="8"/>
  <c r="IRD133" i="8"/>
  <c r="IRC133" i="8"/>
  <c r="IRB133" i="8"/>
  <c r="IRA133" i="8"/>
  <c r="IQZ133" i="8"/>
  <c r="IQY133" i="8"/>
  <c r="IQX133" i="8"/>
  <c r="IQW133" i="8"/>
  <c r="IQV133" i="8"/>
  <c r="IQU133" i="8"/>
  <c r="IQT133" i="8"/>
  <c r="IQS133" i="8"/>
  <c r="IQR133" i="8"/>
  <c r="IQQ133" i="8"/>
  <c r="IQP133" i="8"/>
  <c r="IQO133" i="8"/>
  <c r="IQN133" i="8"/>
  <c r="IQM133" i="8"/>
  <c r="IQL133" i="8"/>
  <c r="IQK133" i="8"/>
  <c r="IQJ133" i="8"/>
  <c r="IQI133" i="8"/>
  <c r="IQH133" i="8"/>
  <c r="IQG133" i="8"/>
  <c r="IQF133" i="8"/>
  <c r="IQE133" i="8"/>
  <c r="IQD133" i="8"/>
  <c r="IQC133" i="8"/>
  <c r="IQB133" i="8"/>
  <c r="IQA133" i="8"/>
  <c r="IPZ133" i="8"/>
  <c r="IPY133" i="8"/>
  <c r="IPX133" i="8"/>
  <c r="IPW133" i="8"/>
  <c r="IPV133" i="8"/>
  <c r="IPU133" i="8"/>
  <c r="IPT133" i="8"/>
  <c r="IPS133" i="8"/>
  <c r="IPR133" i="8"/>
  <c r="IPQ133" i="8"/>
  <c r="IPP133" i="8"/>
  <c r="IPO133" i="8"/>
  <c r="IPN133" i="8"/>
  <c r="IPM133" i="8"/>
  <c r="IPL133" i="8"/>
  <c r="IPK133" i="8"/>
  <c r="IPJ133" i="8"/>
  <c r="IPI133" i="8"/>
  <c r="IPH133" i="8"/>
  <c r="IPG133" i="8"/>
  <c r="IPF133" i="8"/>
  <c r="IPE133" i="8"/>
  <c r="IPD133" i="8"/>
  <c r="IPC133" i="8"/>
  <c r="IPB133" i="8"/>
  <c r="IPA133" i="8"/>
  <c r="IOZ133" i="8"/>
  <c r="IOY133" i="8"/>
  <c r="IOX133" i="8"/>
  <c r="IOW133" i="8"/>
  <c r="IOV133" i="8"/>
  <c r="IOU133" i="8"/>
  <c r="IOT133" i="8"/>
  <c r="IOS133" i="8"/>
  <c r="IOR133" i="8"/>
  <c r="IOQ133" i="8"/>
  <c r="IOP133" i="8"/>
  <c r="IOO133" i="8"/>
  <c r="ION133" i="8"/>
  <c r="IOM133" i="8"/>
  <c r="IOL133" i="8"/>
  <c r="IOK133" i="8"/>
  <c r="IOJ133" i="8"/>
  <c r="IOI133" i="8"/>
  <c r="IOH133" i="8"/>
  <c r="IOG133" i="8"/>
  <c r="IOF133" i="8"/>
  <c r="IOE133" i="8"/>
  <c r="IOD133" i="8"/>
  <c r="IOC133" i="8"/>
  <c r="IOB133" i="8"/>
  <c r="IOA133" i="8"/>
  <c r="INZ133" i="8"/>
  <c r="INY133" i="8"/>
  <c r="INX133" i="8"/>
  <c r="INW133" i="8"/>
  <c r="INV133" i="8"/>
  <c r="INU133" i="8"/>
  <c r="INT133" i="8"/>
  <c r="INS133" i="8"/>
  <c r="INR133" i="8"/>
  <c r="INQ133" i="8"/>
  <c r="INP133" i="8"/>
  <c r="INO133" i="8"/>
  <c r="INN133" i="8"/>
  <c r="INM133" i="8"/>
  <c r="INL133" i="8"/>
  <c r="INK133" i="8"/>
  <c r="INJ133" i="8"/>
  <c r="INI133" i="8"/>
  <c r="INH133" i="8"/>
  <c r="ING133" i="8"/>
  <c r="INF133" i="8"/>
  <c r="INE133" i="8"/>
  <c r="IND133" i="8"/>
  <c r="INC133" i="8"/>
  <c r="INB133" i="8"/>
  <c r="INA133" i="8"/>
  <c r="IMZ133" i="8"/>
  <c r="IMY133" i="8"/>
  <c r="IMX133" i="8"/>
  <c r="IMW133" i="8"/>
  <c r="IMV133" i="8"/>
  <c r="IMU133" i="8"/>
  <c r="IMT133" i="8"/>
  <c r="IMS133" i="8"/>
  <c r="IMR133" i="8"/>
  <c r="IMQ133" i="8"/>
  <c r="IMP133" i="8"/>
  <c r="IMO133" i="8"/>
  <c r="IMN133" i="8"/>
  <c r="IMM133" i="8"/>
  <c r="IML133" i="8"/>
  <c r="IMK133" i="8"/>
  <c r="IMJ133" i="8"/>
  <c r="IMI133" i="8"/>
  <c r="IMH133" i="8"/>
  <c r="IMG133" i="8"/>
  <c r="IMF133" i="8"/>
  <c r="IME133" i="8"/>
  <c r="IMD133" i="8"/>
  <c r="IMC133" i="8"/>
  <c r="IMB133" i="8"/>
  <c r="IMA133" i="8"/>
  <c r="ILZ133" i="8"/>
  <c r="ILY133" i="8"/>
  <c r="ILX133" i="8"/>
  <c r="ILW133" i="8"/>
  <c r="ILV133" i="8"/>
  <c r="ILU133" i="8"/>
  <c r="ILT133" i="8"/>
  <c r="ILS133" i="8"/>
  <c r="ILR133" i="8"/>
  <c r="ILQ133" i="8"/>
  <c r="ILP133" i="8"/>
  <c r="ILO133" i="8"/>
  <c r="ILN133" i="8"/>
  <c r="ILM133" i="8"/>
  <c r="ILL133" i="8"/>
  <c r="ILK133" i="8"/>
  <c r="ILJ133" i="8"/>
  <c r="ILI133" i="8"/>
  <c r="ILH133" i="8"/>
  <c r="ILG133" i="8"/>
  <c r="ILF133" i="8"/>
  <c r="ILE133" i="8"/>
  <c r="ILD133" i="8"/>
  <c r="ILC133" i="8"/>
  <c r="ILB133" i="8"/>
  <c r="ILA133" i="8"/>
  <c r="IKZ133" i="8"/>
  <c r="IKY133" i="8"/>
  <c r="IKX133" i="8"/>
  <c r="IKW133" i="8"/>
  <c r="IKV133" i="8"/>
  <c r="IKU133" i="8"/>
  <c r="IKT133" i="8"/>
  <c r="IKS133" i="8"/>
  <c r="IKR133" i="8"/>
  <c r="IKQ133" i="8"/>
  <c r="IKP133" i="8"/>
  <c r="IKO133" i="8"/>
  <c r="IKN133" i="8"/>
  <c r="IKM133" i="8"/>
  <c r="IKL133" i="8"/>
  <c r="IKK133" i="8"/>
  <c r="IKJ133" i="8"/>
  <c r="IKI133" i="8"/>
  <c r="IKH133" i="8"/>
  <c r="IKG133" i="8"/>
  <c r="IKF133" i="8"/>
  <c r="IKE133" i="8"/>
  <c r="IKD133" i="8"/>
  <c r="IKC133" i="8"/>
  <c r="IKB133" i="8"/>
  <c r="IKA133" i="8"/>
  <c r="IJZ133" i="8"/>
  <c r="IJY133" i="8"/>
  <c r="IJX133" i="8"/>
  <c r="IJW133" i="8"/>
  <c r="IJV133" i="8"/>
  <c r="IJU133" i="8"/>
  <c r="IJT133" i="8"/>
  <c r="IJS133" i="8"/>
  <c r="IJR133" i="8"/>
  <c r="IJQ133" i="8"/>
  <c r="IJP133" i="8"/>
  <c r="IJO133" i="8"/>
  <c r="IJN133" i="8"/>
  <c r="IJM133" i="8"/>
  <c r="IJL133" i="8"/>
  <c r="IJK133" i="8"/>
  <c r="IJJ133" i="8"/>
  <c r="IJI133" i="8"/>
  <c r="IJH133" i="8"/>
  <c r="IJG133" i="8"/>
  <c r="IJF133" i="8"/>
  <c r="IJE133" i="8"/>
  <c r="IJD133" i="8"/>
  <c r="IJC133" i="8"/>
  <c r="IJB133" i="8"/>
  <c r="IJA133" i="8"/>
  <c r="IIZ133" i="8"/>
  <c r="IIY133" i="8"/>
  <c r="IIX133" i="8"/>
  <c r="IIW133" i="8"/>
  <c r="IIV133" i="8"/>
  <c r="IIU133" i="8"/>
  <c r="IIT133" i="8"/>
  <c r="IIS133" i="8"/>
  <c r="IIR133" i="8"/>
  <c r="IIQ133" i="8"/>
  <c r="IIP133" i="8"/>
  <c r="IIO133" i="8"/>
  <c r="IIN133" i="8"/>
  <c r="IIM133" i="8"/>
  <c r="IIL133" i="8"/>
  <c r="IIK133" i="8"/>
  <c r="IIJ133" i="8"/>
  <c r="III133" i="8"/>
  <c r="IIH133" i="8"/>
  <c r="IIG133" i="8"/>
  <c r="IIF133" i="8"/>
  <c r="IIE133" i="8"/>
  <c r="IID133" i="8"/>
  <c r="IIC133" i="8"/>
  <c r="IIB133" i="8"/>
  <c r="IIA133" i="8"/>
  <c r="IHZ133" i="8"/>
  <c r="IHY133" i="8"/>
  <c r="IHX133" i="8"/>
  <c r="IHW133" i="8"/>
  <c r="IHV133" i="8"/>
  <c r="IHU133" i="8"/>
  <c r="IHT133" i="8"/>
  <c r="IHS133" i="8"/>
  <c r="IHR133" i="8"/>
  <c r="IHQ133" i="8"/>
  <c r="IHP133" i="8"/>
  <c r="IHO133" i="8"/>
  <c r="IHN133" i="8"/>
  <c r="IHM133" i="8"/>
  <c r="IHL133" i="8"/>
  <c r="IHK133" i="8"/>
  <c r="IHJ133" i="8"/>
  <c r="IHI133" i="8"/>
  <c r="IHH133" i="8"/>
  <c r="IHG133" i="8"/>
  <c r="IHF133" i="8"/>
  <c r="IHE133" i="8"/>
  <c r="IHD133" i="8"/>
  <c r="IHC133" i="8"/>
  <c r="IHB133" i="8"/>
  <c r="IHA133" i="8"/>
  <c r="IGZ133" i="8"/>
  <c r="IGY133" i="8"/>
  <c r="IGX133" i="8"/>
  <c r="IGW133" i="8"/>
  <c r="IGV133" i="8"/>
  <c r="IGU133" i="8"/>
  <c r="IGT133" i="8"/>
  <c r="IGS133" i="8"/>
  <c r="IGR133" i="8"/>
  <c r="IGQ133" i="8"/>
  <c r="IGP133" i="8"/>
  <c r="IGO133" i="8"/>
  <c r="IGN133" i="8"/>
  <c r="IGM133" i="8"/>
  <c r="IGL133" i="8"/>
  <c r="IGK133" i="8"/>
  <c r="IGJ133" i="8"/>
  <c r="IGI133" i="8"/>
  <c r="IGH133" i="8"/>
  <c r="IGG133" i="8"/>
  <c r="IGF133" i="8"/>
  <c r="IGE133" i="8"/>
  <c r="IGD133" i="8"/>
  <c r="IGC133" i="8"/>
  <c r="IGB133" i="8"/>
  <c r="IGA133" i="8"/>
  <c r="IFZ133" i="8"/>
  <c r="IFY133" i="8"/>
  <c r="IFX133" i="8"/>
  <c r="IFW133" i="8"/>
  <c r="IFV133" i="8"/>
  <c r="IFU133" i="8"/>
  <c r="IFT133" i="8"/>
  <c r="IFS133" i="8"/>
  <c r="IFR133" i="8"/>
  <c r="IFQ133" i="8"/>
  <c r="IFP133" i="8"/>
  <c r="IFO133" i="8"/>
  <c r="IFN133" i="8"/>
  <c r="IFM133" i="8"/>
  <c r="IFL133" i="8"/>
  <c r="IFK133" i="8"/>
  <c r="IFJ133" i="8"/>
  <c r="IFI133" i="8"/>
  <c r="IFH133" i="8"/>
  <c r="IFG133" i="8"/>
  <c r="IFF133" i="8"/>
  <c r="IFE133" i="8"/>
  <c r="IFD133" i="8"/>
  <c r="IFC133" i="8"/>
  <c r="IFB133" i="8"/>
  <c r="IFA133" i="8"/>
  <c r="IEZ133" i="8"/>
  <c r="IEY133" i="8"/>
  <c r="IEX133" i="8"/>
  <c r="IEW133" i="8"/>
  <c r="IEV133" i="8"/>
  <c r="IEU133" i="8"/>
  <c r="IET133" i="8"/>
  <c r="IES133" i="8"/>
  <c r="IER133" i="8"/>
  <c r="IEQ133" i="8"/>
  <c r="IEP133" i="8"/>
  <c r="IEO133" i="8"/>
  <c r="IEN133" i="8"/>
  <c r="IEM133" i="8"/>
  <c r="IEL133" i="8"/>
  <c r="IEK133" i="8"/>
  <c r="IEJ133" i="8"/>
  <c r="IEI133" i="8"/>
  <c r="IEH133" i="8"/>
  <c r="IEG133" i="8"/>
  <c r="IEF133" i="8"/>
  <c r="IEE133" i="8"/>
  <c r="IED133" i="8"/>
  <c r="IEC133" i="8"/>
  <c r="IEB133" i="8"/>
  <c r="IEA133" i="8"/>
  <c r="IDZ133" i="8"/>
  <c r="IDY133" i="8"/>
  <c r="IDX133" i="8"/>
  <c r="IDW133" i="8"/>
  <c r="IDV133" i="8"/>
  <c r="IDU133" i="8"/>
  <c r="IDT133" i="8"/>
  <c r="IDS133" i="8"/>
  <c r="IDR133" i="8"/>
  <c r="IDQ133" i="8"/>
  <c r="IDP133" i="8"/>
  <c r="IDO133" i="8"/>
  <c r="IDN133" i="8"/>
  <c r="IDM133" i="8"/>
  <c r="IDL133" i="8"/>
  <c r="IDK133" i="8"/>
  <c r="IDJ133" i="8"/>
  <c r="IDI133" i="8"/>
  <c r="IDH133" i="8"/>
  <c r="IDG133" i="8"/>
  <c r="IDF133" i="8"/>
  <c r="IDE133" i="8"/>
  <c r="IDD133" i="8"/>
  <c r="IDC133" i="8"/>
  <c r="IDB133" i="8"/>
  <c r="IDA133" i="8"/>
  <c r="ICZ133" i="8"/>
  <c r="ICY133" i="8"/>
  <c r="ICX133" i="8"/>
  <c r="ICW133" i="8"/>
  <c r="ICV133" i="8"/>
  <c r="ICU133" i="8"/>
  <c r="ICT133" i="8"/>
  <c r="ICS133" i="8"/>
  <c r="ICR133" i="8"/>
  <c r="ICQ133" i="8"/>
  <c r="ICP133" i="8"/>
  <c r="ICO133" i="8"/>
  <c r="ICN133" i="8"/>
  <c r="ICM133" i="8"/>
  <c r="ICL133" i="8"/>
  <c r="ICK133" i="8"/>
  <c r="ICJ133" i="8"/>
  <c r="ICI133" i="8"/>
  <c r="ICH133" i="8"/>
  <c r="ICG133" i="8"/>
  <c r="ICF133" i="8"/>
  <c r="ICE133" i="8"/>
  <c r="ICD133" i="8"/>
  <c r="ICC133" i="8"/>
  <c r="ICB133" i="8"/>
  <c r="ICA133" i="8"/>
  <c r="IBZ133" i="8"/>
  <c r="IBY133" i="8"/>
  <c r="IBX133" i="8"/>
  <c r="IBW133" i="8"/>
  <c r="IBV133" i="8"/>
  <c r="IBU133" i="8"/>
  <c r="IBT133" i="8"/>
  <c r="IBS133" i="8"/>
  <c r="IBR133" i="8"/>
  <c r="IBQ133" i="8"/>
  <c r="IBP133" i="8"/>
  <c r="IBO133" i="8"/>
  <c r="IBN133" i="8"/>
  <c r="IBM133" i="8"/>
  <c r="IBL133" i="8"/>
  <c r="IBK133" i="8"/>
  <c r="IBJ133" i="8"/>
  <c r="IBI133" i="8"/>
  <c r="IBH133" i="8"/>
  <c r="IBG133" i="8"/>
  <c r="IBF133" i="8"/>
  <c r="IBE133" i="8"/>
  <c r="IBD133" i="8"/>
  <c r="IBC133" i="8"/>
  <c r="IBB133" i="8"/>
  <c r="IBA133" i="8"/>
  <c r="IAZ133" i="8"/>
  <c r="IAY133" i="8"/>
  <c r="IAX133" i="8"/>
  <c r="IAW133" i="8"/>
  <c r="IAV133" i="8"/>
  <c r="IAU133" i="8"/>
  <c r="IAT133" i="8"/>
  <c r="IAS133" i="8"/>
  <c r="IAR133" i="8"/>
  <c r="IAQ133" i="8"/>
  <c r="IAP133" i="8"/>
  <c r="IAO133" i="8"/>
  <c r="IAN133" i="8"/>
  <c r="IAM133" i="8"/>
  <c r="IAL133" i="8"/>
  <c r="IAK133" i="8"/>
  <c r="IAJ133" i="8"/>
  <c r="IAI133" i="8"/>
  <c r="IAH133" i="8"/>
  <c r="IAG133" i="8"/>
  <c r="IAF133" i="8"/>
  <c r="IAE133" i="8"/>
  <c r="IAD133" i="8"/>
  <c r="IAC133" i="8"/>
  <c r="IAB133" i="8"/>
  <c r="IAA133" i="8"/>
  <c r="HZZ133" i="8"/>
  <c r="HZY133" i="8"/>
  <c r="HZX133" i="8"/>
  <c r="HZW133" i="8"/>
  <c r="HZV133" i="8"/>
  <c r="HZU133" i="8"/>
  <c r="HZT133" i="8"/>
  <c r="HZS133" i="8"/>
  <c r="HZR133" i="8"/>
  <c r="HZQ133" i="8"/>
  <c r="HZP133" i="8"/>
  <c r="HZO133" i="8"/>
  <c r="HZN133" i="8"/>
  <c r="HZM133" i="8"/>
  <c r="HZL133" i="8"/>
  <c r="HZK133" i="8"/>
  <c r="HZJ133" i="8"/>
  <c r="HZI133" i="8"/>
  <c r="HZH133" i="8"/>
  <c r="HZG133" i="8"/>
  <c r="HZF133" i="8"/>
  <c r="HZE133" i="8"/>
  <c r="HZD133" i="8"/>
  <c r="HZC133" i="8"/>
  <c r="HZB133" i="8"/>
  <c r="HZA133" i="8"/>
  <c r="HYZ133" i="8"/>
  <c r="HYY133" i="8"/>
  <c r="HYX133" i="8"/>
  <c r="HYW133" i="8"/>
  <c r="HYV133" i="8"/>
  <c r="HYU133" i="8"/>
  <c r="HYT133" i="8"/>
  <c r="HYS133" i="8"/>
  <c r="HYR133" i="8"/>
  <c r="HYQ133" i="8"/>
  <c r="HYP133" i="8"/>
  <c r="HYO133" i="8"/>
  <c r="HYN133" i="8"/>
  <c r="HYM133" i="8"/>
  <c r="HYL133" i="8"/>
  <c r="HYK133" i="8"/>
  <c r="HYJ133" i="8"/>
  <c r="HYI133" i="8"/>
  <c r="HYH133" i="8"/>
  <c r="HYG133" i="8"/>
  <c r="HYF133" i="8"/>
  <c r="HYE133" i="8"/>
  <c r="HYD133" i="8"/>
  <c r="HYC133" i="8"/>
  <c r="HYB133" i="8"/>
  <c r="HYA133" i="8"/>
  <c r="HXZ133" i="8"/>
  <c r="HXY133" i="8"/>
  <c r="HXX133" i="8"/>
  <c r="HXW133" i="8"/>
  <c r="HXV133" i="8"/>
  <c r="HXU133" i="8"/>
  <c r="HXT133" i="8"/>
  <c r="HXS133" i="8"/>
  <c r="HXR133" i="8"/>
  <c r="HXQ133" i="8"/>
  <c r="HXP133" i="8"/>
  <c r="HXO133" i="8"/>
  <c r="HXN133" i="8"/>
  <c r="HXM133" i="8"/>
  <c r="HXL133" i="8"/>
  <c r="HXK133" i="8"/>
  <c r="HXJ133" i="8"/>
  <c r="HXI133" i="8"/>
  <c r="HXH133" i="8"/>
  <c r="HXG133" i="8"/>
  <c r="HXF133" i="8"/>
  <c r="HXE133" i="8"/>
  <c r="HXD133" i="8"/>
  <c r="HXC133" i="8"/>
  <c r="HXB133" i="8"/>
  <c r="HXA133" i="8"/>
  <c r="HWZ133" i="8"/>
  <c r="HWY133" i="8"/>
  <c r="HWX133" i="8"/>
  <c r="HWW133" i="8"/>
  <c r="HWV133" i="8"/>
  <c r="HWU133" i="8"/>
  <c r="HWT133" i="8"/>
  <c r="HWS133" i="8"/>
  <c r="HWR133" i="8"/>
  <c r="HWQ133" i="8"/>
  <c r="HWP133" i="8"/>
  <c r="HWO133" i="8"/>
  <c r="HWN133" i="8"/>
  <c r="HWM133" i="8"/>
  <c r="HWL133" i="8"/>
  <c r="HWK133" i="8"/>
  <c r="HWJ133" i="8"/>
  <c r="HWI133" i="8"/>
  <c r="HWH133" i="8"/>
  <c r="HWG133" i="8"/>
  <c r="HWF133" i="8"/>
  <c r="HWE133" i="8"/>
  <c r="HWD133" i="8"/>
  <c r="HWC133" i="8"/>
  <c r="HWB133" i="8"/>
  <c r="HWA133" i="8"/>
  <c r="HVZ133" i="8"/>
  <c r="HVY133" i="8"/>
  <c r="HVX133" i="8"/>
  <c r="HVW133" i="8"/>
  <c r="HVV133" i="8"/>
  <c r="HVU133" i="8"/>
  <c r="HVT133" i="8"/>
  <c r="HVS133" i="8"/>
  <c r="HVR133" i="8"/>
  <c r="HVQ133" i="8"/>
  <c r="HVP133" i="8"/>
  <c r="HVO133" i="8"/>
  <c r="HVN133" i="8"/>
  <c r="HVM133" i="8"/>
  <c r="HVL133" i="8"/>
  <c r="HVK133" i="8"/>
  <c r="HVJ133" i="8"/>
  <c r="HVI133" i="8"/>
  <c r="HVH133" i="8"/>
  <c r="HVG133" i="8"/>
  <c r="HVF133" i="8"/>
  <c r="HVE133" i="8"/>
  <c r="HVD133" i="8"/>
  <c r="HVC133" i="8"/>
  <c r="HVB133" i="8"/>
  <c r="HVA133" i="8"/>
  <c r="HUZ133" i="8"/>
  <c r="HUY133" i="8"/>
  <c r="HUX133" i="8"/>
  <c r="HUW133" i="8"/>
  <c r="HUV133" i="8"/>
  <c r="HUU133" i="8"/>
  <c r="HUT133" i="8"/>
  <c r="HUS133" i="8"/>
  <c r="HUR133" i="8"/>
  <c r="HUQ133" i="8"/>
  <c r="HUP133" i="8"/>
  <c r="HUO133" i="8"/>
  <c r="HUN133" i="8"/>
  <c r="HUM133" i="8"/>
  <c r="HUL133" i="8"/>
  <c r="HUK133" i="8"/>
  <c r="HUJ133" i="8"/>
  <c r="HUI133" i="8"/>
  <c r="HUH133" i="8"/>
  <c r="HUG133" i="8"/>
  <c r="HUF133" i="8"/>
  <c r="HUE133" i="8"/>
  <c r="HUD133" i="8"/>
  <c r="HUC133" i="8"/>
  <c r="HUB133" i="8"/>
  <c r="HUA133" i="8"/>
  <c r="HTZ133" i="8"/>
  <c r="HTY133" i="8"/>
  <c r="HTX133" i="8"/>
  <c r="HTW133" i="8"/>
  <c r="HTV133" i="8"/>
  <c r="HTU133" i="8"/>
  <c r="HTT133" i="8"/>
  <c r="HTS133" i="8"/>
  <c r="HTR133" i="8"/>
  <c r="HTQ133" i="8"/>
  <c r="HTP133" i="8"/>
  <c r="HTO133" i="8"/>
  <c r="HTN133" i="8"/>
  <c r="HTM133" i="8"/>
  <c r="HTL133" i="8"/>
  <c r="HTK133" i="8"/>
  <c r="HTJ133" i="8"/>
  <c r="HTI133" i="8"/>
  <c r="HTH133" i="8"/>
  <c r="HTG133" i="8"/>
  <c r="HTF133" i="8"/>
  <c r="HTE133" i="8"/>
  <c r="HTD133" i="8"/>
  <c r="HTC133" i="8"/>
  <c r="HTB133" i="8"/>
  <c r="HTA133" i="8"/>
  <c r="HSZ133" i="8"/>
  <c r="HSY133" i="8"/>
  <c r="HSX133" i="8"/>
  <c r="HSW133" i="8"/>
  <c r="HSV133" i="8"/>
  <c r="HSU133" i="8"/>
  <c r="HST133" i="8"/>
  <c r="HSS133" i="8"/>
  <c r="HSR133" i="8"/>
  <c r="HSQ133" i="8"/>
  <c r="HSP133" i="8"/>
  <c r="HSO133" i="8"/>
  <c r="HSN133" i="8"/>
  <c r="HSM133" i="8"/>
  <c r="HSL133" i="8"/>
  <c r="HSK133" i="8"/>
  <c r="HSJ133" i="8"/>
  <c r="HSI133" i="8"/>
  <c r="HSH133" i="8"/>
  <c r="HSG133" i="8"/>
  <c r="HSF133" i="8"/>
  <c r="HSE133" i="8"/>
  <c r="HSD133" i="8"/>
  <c r="HSC133" i="8"/>
  <c r="HSB133" i="8"/>
  <c r="HSA133" i="8"/>
  <c r="HRZ133" i="8"/>
  <c r="HRY133" i="8"/>
  <c r="HRX133" i="8"/>
  <c r="HRW133" i="8"/>
  <c r="HRV133" i="8"/>
  <c r="HRU133" i="8"/>
  <c r="HRT133" i="8"/>
  <c r="HRS133" i="8"/>
  <c r="HRR133" i="8"/>
  <c r="HRQ133" i="8"/>
  <c r="HRP133" i="8"/>
  <c r="HRO133" i="8"/>
  <c r="HRN133" i="8"/>
  <c r="HRM133" i="8"/>
  <c r="HRL133" i="8"/>
  <c r="HRK133" i="8"/>
  <c r="HRJ133" i="8"/>
  <c r="HRI133" i="8"/>
  <c r="HRH133" i="8"/>
  <c r="HRG133" i="8"/>
  <c r="HRF133" i="8"/>
  <c r="HRE133" i="8"/>
  <c r="HRD133" i="8"/>
  <c r="HRC133" i="8"/>
  <c r="HRB133" i="8"/>
  <c r="HRA133" i="8"/>
  <c r="HQZ133" i="8"/>
  <c r="HQY133" i="8"/>
  <c r="HQX133" i="8"/>
  <c r="HQW133" i="8"/>
  <c r="HQV133" i="8"/>
  <c r="HQU133" i="8"/>
  <c r="HQT133" i="8"/>
  <c r="HQS133" i="8"/>
  <c r="HQR133" i="8"/>
  <c r="HQQ133" i="8"/>
  <c r="HQP133" i="8"/>
  <c r="HQO133" i="8"/>
  <c r="HQN133" i="8"/>
  <c r="HQM133" i="8"/>
  <c r="HQL133" i="8"/>
  <c r="HQK133" i="8"/>
  <c r="HQJ133" i="8"/>
  <c r="HQI133" i="8"/>
  <c r="HQH133" i="8"/>
  <c r="HQG133" i="8"/>
  <c r="HQF133" i="8"/>
  <c r="HQE133" i="8"/>
  <c r="HQD133" i="8"/>
  <c r="HQC133" i="8"/>
  <c r="HQB133" i="8"/>
  <c r="HQA133" i="8"/>
  <c r="HPZ133" i="8"/>
  <c r="HPY133" i="8"/>
  <c r="HPX133" i="8"/>
  <c r="HPW133" i="8"/>
  <c r="HPV133" i="8"/>
  <c r="HPU133" i="8"/>
  <c r="HPT133" i="8"/>
  <c r="HPS133" i="8"/>
  <c r="HPR133" i="8"/>
  <c r="HPQ133" i="8"/>
  <c r="HPP133" i="8"/>
  <c r="HPO133" i="8"/>
  <c r="HPN133" i="8"/>
  <c r="HPM133" i="8"/>
  <c r="HPL133" i="8"/>
  <c r="HPK133" i="8"/>
  <c r="HPJ133" i="8"/>
  <c r="HPI133" i="8"/>
  <c r="HPH133" i="8"/>
  <c r="HPG133" i="8"/>
  <c r="HPF133" i="8"/>
  <c r="HPE133" i="8"/>
  <c r="HPD133" i="8"/>
  <c r="HPC133" i="8"/>
  <c r="HPB133" i="8"/>
  <c r="HPA133" i="8"/>
  <c r="HOZ133" i="8"/>
  <c r="HOY133" i="8"/>
  <c r="HOX133" i="8"/>
  <c r="HOW133" i="8"/>
  <c r="HOV133" i="8"/>
  <c r="HOU133" i="8"/>
  <c r="HOT133" i="8"/>
  <c r="HOS133" i="8"/>
  <c r="HOR133" i="8"/>
  <c r="HOQ133" i="8"/>
  <c r="HOP133" i="8"/>
  <c r="HOO133" i="8"/>
  <c r="HON133" i="8"/>
  <c r="HOM133" i="8"/>
  <c r="HOL133" i="8"/>
  <c r="HOK133" i="8"/>
  <c r="HOJ133" i="8"/>
  <c r="HOI133" i="8"/>
  <c r="HOH133" i="8"/>
  <c r="HOG133" i="8"/>
  <c r="HOF133" i="8"/>
  <c r="HOE133" i="8"/>
  <c r="HOD133" i="8"/>
  <c r="HOC133" i="8"/>
  <c r="HOB133" i="8"/>
  <c r="HOA133" i="8"/>
  <c r="HNZ133" i="8"/>
  <c r="HNY133" i="8"/>
  <c r="HNX133" i="8"/>
  <c r="HNW133" i="8"/>
  <c r="HNV133" i="8"/>
  <c r="HNU133" i="8"/>
  <c r="HNT133" i="8"/>
  <c r="HNS133" i="8"/>
  <c r="HNR133" i="8"/>
  <c r="HNQ133" i="8"/>
  <c r="HNP133" i="8"/>
  <c r="HNO133" i="8"/>
  <c r="HNN133" i="8"/>
  <c r="HNM133" i="8"/>
  <c r="HNL133" i="8"/>
  <c r="HNK133" i="8"/>
  <c r="HNJ133" i="8"/>
  <c r="HNI133" i="8"/>
  <c r="HNH133" i="8"/>
  <c r="HNG133" i="8"/>
  <c r="HNF133" i="8"/>
  <c r="HNE133" i="8"/>
  <c r="HND133" i="8"/>
  <c r="HNC133" i="8"/>
  <c r="HNB133" i="8"/>
  <c r="HNA133" i="8"/>
  <c r="HMZ133" i="8"/>
  <c r="HMY133" i="8"/>
  <c r="HMX133" i="8"/>
  <c r="HMW133" i="8"/>
  <c r="HMV133" i="8"/>
  <c r="HMU133" i="8"/>
  <c r="HMT133" i="8"/>
  <c r="HMS133" i="8"/>
  <c r="HMR133" i="8"/>
  <c r="HMQ133" i="8"/>
  <c r="HMP133" i="8"/>
  <c r="HMO133" i="8"/>
  <c r="HMN133" i="8"/>
  <c r="HMM133" i="8"/>
  <c r="HML133" i="8"/>
  <c r="HMK133" i="8"/>
  <c r="HMJ133" i="8"/>
  <c r="HMI133" i="8"/>
  <c r="HMH133" i="8"/>
  <c r="HMG133" i="8"/>
  <c r="HMF133" i="8"/>
  <c r="HME133" i="8"/>
  <c r="HMD133" i="8"/>
  <c r="HMC133" i="8"/>
  <c r="HMB133" i="8"/>
  <c r="HMA133" i="8"/>
  <c r="HLZ133" i="8"/>
  <c r="HLY133" i="8"/>
  <c r="HLX133" i="8"/>
  <c r="HLW133" i="8"/>
  <c r="HLV133" i="8"/>
  <c r="HLU133" i="8"/>
  <c r="HLT133" i="8"/>
  <c r="HLS133" i="8"/>
  <c r="HLR133" i="8"/>
  <c r="HLQ133" i="8"/>
  <c r="HLP133" i="8"/>
  <c r="HLO133" i="8"/>
  <c r="HLN133" i="8"/>
  <c r="HLM133" i="8"/>
  <c r="HLL133" i="8"/>
  <c r="HLK133" i="8"/>
  <c r="HLJ133" i="8"/>
  <c r="HLI133" i="8"/>
  <c r="HLH133" i="8"/>
  <c r="HLG133" i="8"/>
  <c r="HLF133" i="8"/>
  <c r="HLE133" i="8"/>
  <c r="HLD133" i="8"/>
  <c r="HLC133" i="8"/>
  <c r="HLB133" i="8"/>
  <c r="HLA133" i="8"/>
  <c r="HKZ133" i="8"/>
  <c r="HKY133" i="8"/>
  <c r="HKX133" i="8"/>
  <c r="HKW133" i="8"/>
  <c r="HKV133" i="8"/>
  <c r="HKU133" i="8"/>
  <c r="HKT133" i="8"/>
  <c r="HKS133" i="8"/>
  <c r="HKR133" i="8"/>
  <c r="HKQ133" i="8"/>
  <c r="HKP133" i="8"/>
  <c r="HKO133" i="8"/>
  <c r="HKN133" i="8"/>
  <c r="HKM133" i="8"/>
  <c r="HKL133" i="8"/>
  <c r="HKK133" i="8"/>
  <c r="HKJ133" i="8"/>
  <c r="HKI133" i="8"/>
  <c r="HKH133" i="8"/>
  <c r="HKG133" i="8"/>
  <c r="HKF133" i="8"/>
  <c r="HKE133" i="8"/>
  <c r="HKD133" i="8"/>
  <c r="HKC133" i="8"/>
  <c r="HKB133" i="8"/>
  <c r="HKA133" i="8"/>
  <c r="HJZ133" i="8"/>
  <c r="HJY133" i="8"/>
  <c r="HJX133" i="8"/>
  <c r="HJW133" i="8"/>
  <c r="HJV133" i="8"/>
  <c r="HJU133" i="8"/>
  <c r="HJT133" i="8"/>
  <c r="HJS133" i="8"/>
  <c r="HJR133" i="8"/>
  <c r="HJQ133" i="8"/>
  <c r="HJP133" i="8"/>
  <c r="HJO133" i="8"/>
  <c r="HJN133" i="8"/>
  <c r="HJM133" i="8"/>
  <c r="HJL133" i="8"/>
  <c r="HJK133" i="8"/>
  <c r="HJJ133" i="8"/>
  <c r="HJI133" i="8"/>
  <c r="HJH133" i="8"/>
  <c r="HJG133" i="8"/>
  <c r="HJF133" i="8"/>
  <c r="HJE133" i="8"/>
  <c r="HJD133" i="8"/>
  <c r="HJC133" i="8"/>
  <c r="HJB133" i="8"/>
  <c r="HJA133" i="8"/>
  <c r="HIZ133" i="8"/>
  <c r="HIY133" i="8"/>
  <c r="HIX133" i="8"/>
  <c r="HIW133" i="8"/>
  <c r="HIV133" i="8"/>
  <c r="HIU133" i="8"/>
  <c r="HIT133" i="8"/>
  <c r="HIS133" i="8"/>
  <c r="HIR133" i="8"/>
  <c r="HIQ133" i="8"/>
  <c r="HIP133" i="8"/>
  <c r="HIO133" i="8"/>
  <c r="HIN133" i="8"/>
  <c r="HIM133" i="8"/>
  <c r="HIL133" i="8"/>
  <c r="HIK133" i="8"/>
  <c r="HIJ133" i="8"/>
  <c r="HII133" i="8"/>
  <c r="HIH133" i="8"/>
  <c r="HIG133" i="8"/>
  <c r="HIF133" i="8"/>
  <c r="HIE133" i="8"/>
  <c r="HID133" i="8"/>
  <c r="HIC133" i="8"/>
  <c r="HIB133" i="8"/>
  <c r="HIA133" i="8"/>
  <c r="HHZ133" i="8"/>
  <c r="HHY133" i="8"/>
  <c r="HHX133" i="8"/>
  <c r="HHW133" i="8"/>
  <c r="HHV133" i="8"/>
  <c r="HHU133" i="8"/>
  <c r="HHT133" i="8"/>
  <c r="HHS133" i="8"/>
  <c r="HHR133" i="8"/>
  <c r="HHQ133" i="8"/>
  <c r="HHP133" i="8"/>
  <c r="HHO133" i="8"/>
  <c r="HHN133" i="8"/>
  <c r="HHM133" i="8"/>
  <c r="HHL133" i="8"/>
  <c r="HHK133" i="8"/>
  <c r="HHJ133" i="8"/>
  <c r="HHI133" i="8"/>
  <c r="HHH133" i="8"/>
  <c r="HHG133" i="8"/>
  <c r="HHF133" i="8"/>
  <c r="HHE133" i="8"/>
  <c r="HHD133" i="8"/>
  <c r="HHC133" i="8"/>
  <c r="HHB133" i="8"/>
  <c r="HHA133" i="8"/>
  <c r="HGZ133" i="8"/>
  <c r="HGY133" i="8"/>
  <c r="HGX133" i="8"/>
  <c r="HGW133" i="8"/>
  <c r="HGV133" i="8"/>
  <c r="HGU133" i="8"/>
  <c r="HGT133" i="8"/>
  <c r="HGS133" i="8"/>
  <c r="HGR133" i="8"/>
  <c r="HGQ133" i="8"/>
  <c r="HGP133" i="8"/>
  <c r="HGO133" i="8"/>
  <c r="HGN133" i="8"/>
  <c r="HGM133" i="8"/>
  <c r="HGL133" i="8"/>
  <c r="HGK133" i="8"/>
  <c r="HGJ133" i="8"/>
  <c r="HGI133" i="8"/>
  <c r="HGH133" i="8"/>
  <c r="HGG133" i="8"/>
  <c r="HGF133" i="8"/>
  <c r="HGE133" i="8"/>
  <c r="HGD133" i="8"/>
  <c r="HGC133" i="8"/>
  <c r="HGB133" i="8"/>
  <c r="HGA133" i="8"/>
  <c r="HFZ133" i="8"/>
  <c r="HFY133" i="8"/>
  <c r="HFX133" i="8"/>
  <c r="HFW133" i="8"/>
  <c r="HFV133" i="8"/>
  <c r="HFU133" i="8"/>
  <c r="HFT133" i="8"/>
  <c r="HFS133" i="8"/>
  <c r="HFR133" i="8"/>
  <c r="HFQ133" i="8"/>
  <c r="HFP133" i="8"/>
  <c r="HFO133" i="8"/>
  <c r="HFN133" i="8"/>
  <c r="HFM133" i="8"/>
  <c r="HFL133" i="8"/>
  <c r="HFK133" i="8"/>
  <c r="HFJ133" i="8"/>
  <c r="HFI133" i="8"/>
  <c r="HFH133" i="8"/>
  <c r="HFG133" i="8"/>
  <c r="HFF133" i="8"/>
  <c r="HFE133" i="8"/>
  <c r="HFD133" i="8"/>
  <c r="HFC133" i="8"/>
  <c r="HFB133" i="8"/>
  <c r="HFA133" i="8"/>
  <c r="HEZ133" i="8"/>
  <c r="HEY133" i="8"/>
  <c r="HEX133" i="8"/>
  <c r="HEW133" i="8"/>
  <c r="HEV133" i="8"/>
  <c r="HEU133" i="8"/>
  <c r="HET133" i="8"/>
  <c r="HES133" i="8"/>
  <c r="HER133" i="8"/>
  <c r="HEQ133" i="8"/>
  <c r="HEP133" i="8"/>
  <c r="HEO133" i="8"/>
  <c r="HEN133" i="8"/>
  <c r="HEM133" i="8"/>
  <c r="HEL133" i="8"/>
  <c r="HEK133" i="8"/>
  <c r="HEJ133" i="8"/>
  <c r="HEI133" i="8"/>
  <c r="HEH133" i="8"/>
  <c r="HEG133" i="8"/>
  <c r="HEF133" i="8"/>
  <c r="HEE133" i="8"/>
  <c r="HED133" i="8"/>
  <c r="HEC133" i="8"/>
  <c r="HEB133" i="8"/>
  <c r="HEA133" i="8"/>
  <c r="HDZ133" i="8"/>
  <c r="HDY133" i="8"/>
  <c r="HDX133" i="8"/>
  <c r="HDW133" i="8"/>
  <c r="HDV133" i="8"/>
  <c r="HDU133" i="8"/>
  <c r="HDT133" i="8"/>
  <c r="HDS133" i="8"/>
  <c r="HDR133" i="8"/>
  <c r="HDQ133" i="8"/>
  <c r="HDP133" i="8"/>
  <c r="HDO133" i="8"/>
  <c r="HDN133" i="8"/>
  <c r="HDM133" i="8"/>
  <c r="HDL133" i="8"/>
  <c r="HDK133" i="8"/>
  <c r="HDJ133" i="8"/>
  <c r="HDI133" i="8"/>
  <c r="HDH133" i="8"/>
  <c r="HDG133" i="8"/>
  <c r="HDF133" i="8"/>
  <c r="HDE133" i="8"/>
  <c r="HDD133" i="8"/>
  <c r="HDC133" i="8"/>
  <c r="HDB133" i="8"/>
  <c r="HDA133" i="8"/>
  <c r="HCZ133" i="8"/>
  <c r="HCY133" i="8"/>
  <c r="HCX133" i="8"/>
  <c r="HCW133" i="8"/>
  <c r="HCV133" i="8"/>
  <c r="HCU133" i="8"/>
  <c r="HCT133" i="8"/>
  <c r="HCS133" i="8"/>
  <c r="HCR133" i="8"/>
  <c r="HCQ133" i="8"/>
  <c r="HCP133" i="8"/>
  <c r="HCO133" i="8"/>
  <c r="HCN133" i="8"/>
  <c r="HCM133" i="8"/>
  <c r="HCL133" i="8"/>
  <c r="HCK133" i="8"/>
  <c r="HCJ133" i="8"/>
  <c r="HCI133" i="8"/>
  <c r="HCH133" i="8"/>
  <c r="HCG133" i="8"/>
  <c r="HCF133" i="8"/>
  <c r="HCE133" i="8"/>
  <c r="HCD133" i="8"/>
  <c r="HCC133" i="8"/>
  <c r="HCB133" i="8"/>
  <c r="HCA133" i="8"/>
  <c r="HBZ133" i="8"/>
  <c r="HBY133" i="8"/>
  <c r="HBX133" i="8"/>
  <c r="HBW133" i="8"/>
  <c r="HBV133" i="8"/>
  <c r="HBU133" i="8"/>
  <c r="HBT133" i="8"/>
  <c r="HBS133" i="8"/>
  <c r="HBR133" i="8"/>
  <c r="HBQ133" i="8"/>
  <c r="HBP133" i="8"/>
  <c r="HBO133" i="8"/>
  <c r="HBN133" i="8"/>
  <c r="HBM133" i="8"/>
  <c r="HBL133" i="8"/>
  <c r="HBK133" i="8"/>
  <c r="HBJ133" i="8"/>
  <c r="HBI133" i="8"/>
  <c r="HBH133" i="8"/>
  <c r="HBG133" i="8"/>
  <c r="HBF133" i="8"/>
  <c r="HBE133" i="8"/>
  <c r="HBD133" i="8"/>
  <c r="HBC133" i="8"/>
  <c r="HBB133" i="8"/>
  <c r="HBA133" i="8"/>
  <c r="HAZ133" i="8"/>
  <c r="HAY133" i="8"/>
  <c r="HAX133" i="8"/>
  <c r="HAW133" i="8"/>
  <c r="HAV133" i="8"/>
  <c r="HAU133" i="8"/>
  <c r="HAT133" i="8"/>
  <c r="HAS133" i="8"/>
  <c r="HAR133" i="8"/>
  <c r="HAQ133" i="8"/>
  <c r="HAP133" i="8"/>
  <c r="HAO133" i="8"/>
  <c r="HAN133" i="8"/>
  <c r="HAM133" i="8"/>
  <c r="HAL133" i="8"/>
  <c r="HAK133" i="8"/>
  <c r="HAJ133" i="8"/>
  <c r="HAI133" i="8"/>
  <c r="HAH133" i="8"/>
  <c r="HAG133" i="8"/>
  <c r="HAF133" i="8"/>
  <c r="HAE133" i="8"/>
  <c r="HAD133" i="8"/>
  <c r="HAC133" i="8"/>
  <c r="HAB133" i="8"/>
  <c r="HAA133" i="8"/>
  <c r="GZZ133" i="8"/>
  <c r="GZY133" i="8"/>
  <c r="GZX133" i="8"/>
  <c r="GZW133" i="8"/>
  <c r="GZV133" i="8"/>
  <c r="GZU133" i="8"/>
  <c r="GZT133" i="8"/>
  <c r="GZS133" i="8"/>
  <c r="GZR133" i="8"/>
  <c r="GZQ133" i="8"/>
  <c r="GZP133" i="8"/>
  <c r="GZO133" i="8"/>
  <c r="GZN133" i="8"/>
  <c r="GZM133" i="8"/>
  <c r="GZL133" i="8"/>
  <c r="GZK133" i="8"/>
  <c r="GZJ133" i="8"/>
  <c r="GZI133" i="8"/>
  <c r="GZH133" i="8"/>
  <c r="GZG133" i="8"/>
  <c r="GZF133" i="8"/>
  <c r="GZE133" i="8"/>
  <c r="GZD133" i="8"/>
  <c r="GZC133" i="8"/>
  <c r="GZB133" i="8"/>
  <c r="GZA133" i="8"/>
  <c r="GYZ133" i="8"/>
  <c r="GYY133" i="8"/>
  <c r="GYX133" i="8"/>
  <c r="GYW133" i="8"/>
  <c r="GYV133" i="8"/>
  <c r="GYU133" i="8"/>
  <c r="GYT133" i="8"/>
  <c r="GYS133" i="8"/>
  <c r="GYR133" i="8"/>
  <c r="GYQ133" i="8"/>
  <c r="GYP133" i="8"/>
  <c r="GYO133" i="8"/>
  <c r="GYN133" i="8"/>
  <c r="GYM133" i="8"/>
  <c r="GYL133" i="8"/>
  <c r="GYK133" i="8"/>
  <c r="GYJ133" i="8"/>
  <c r="GYI133" i="8"/>
  <c r="GYH133" i="8"/>
  <c r="GYG133" i="8"/>
  <c r="GYF133" i="8"/>
  <c r="GYE133" i="8"/>
  <c r="GYD133" i="8"/>
  <c r="GYC133" i="8"/>
  <c r="GYB133" i="8"/>
  <c r="GYA133" i="8"/>
  <c r="GXZ133" i="8"/>
  <c r="GXY133" i="8"/>
  <c r="GXX133" i="8"/>
  <c r="GXW133" i="8"/>
  <c r="GXV133" i="8"/>
  <c r="GXU133" i="8"/>
  <c r="GXT133" i="8"/>
  <c r="GXS133" i="8"/>
  <c r="GXR133" i="8"/>
  <c r="GXQ133" i="8"/>
  <c r="GXP133" i="8"/>
  <c r="GXO133" i="8"/>
  <c r="GXN133" i="8"/>
  <c r="GXM133" i="8"/>
  <c r="GXL133" i="8"/>
  <c r="GXK133" i="8"/>
  <c r="GXJ133" i="8"/>
  <c r="GXI133" i="8"/>
  <c r="GXH133" i="8"/>
  <c r="GXG133" i="8"/>
  <c r="GXF133" i="8"/>
  <c r="GXE133" i="8"/>
  <c r="GXD133" i="8"/>
  <c r="GXC133" i="8"/>
  <c r="GXB133" i="8"/>
  <c r="GXA133" i="8"/>
  <c r="GWZ133" i="8"/>
  <c r="GWY133" i="8"/>
  <c r="GWX133" i="8"/>
  <c r="GWW133" i="8"/>
  <c r="GWV133" i="8"/>
  <c r="GWU133" i="8"/>
  <c r="GWT133" i="8"/>
  <c r="GWS133" i="8"/>
  <c r="GWR133" i="8"/>
  <c r="GWQ133" i="8"/>
  <c r="GWP133" i="8"/>
  <c r="GWO133" i="8"/>
  <c r="GWN133" i="8"/>
  <c r="GWM133" i="8"/>
  <c r="GWL133" i="8"/>
  <c r="GWK133" i="8"/>
  <c r="GWJ133" i="8"/>
  <c r="GWI133" i="8"/>
  <c r="GWH133" i="8"/>
  <c r="GWG133" i="8"/>
  <c r="GWF133" i="8"/>
  <c r="GWE133" i="8"/>
  <c r="GWD133" i="8"/>
  <c r="GWC133" i="8"/>
  <c r="GWB133" i="8"/>
  <c r="GWA133" i="8"/>
  <c r="GVZ133" i="8"/>
  <c r="GVY133" i="8"/>
  <c r="GVX133" i="8"/>
  <c r="GVW133" i="8"/>
  <c r="GVV133" i="8"/>
  <c r="GVU133" i="8"/>
  <c r="GVT133" i="8"/>
  <c r="GVS133" i="8"/>
  <c r="GVR133" i="8"/>
  <c r="GVQ133" i="8"/>
  <c r="GVP133" i="8"/>
  <c r="GVO133" i="8"/>
  <c r="GVN133" i="8"/>
  <c r="GVM133" i="8"/>
  <c r="GVL133" i="8"/>
  <c r="GVK133" i="8"/>
  <c r="GVJ133" i="8"/>
  <c r="GVI133" i="8"/>
  <c r="GVH133" i="8"/>
  <c r="GVG133" i="8"/>
  <c r="GVF133" i="8"/>
  <c r="GVE133" i="8"/>
  <c r="GVD133" i="8"/>
  <c r="GVC133" i="8"/>
  <c r="GVB133" i="8"/>
  <c r="GVA133" i="8"/>
  <c r="GUZ133" i="8"/>
  <c r="GUY133" i="8"/>
  <c r="GUX133" i="8"/>
  <c r="GUW133" i="8"/>
  <c r="GUV133" i="8"/>
  <c r="GUU133" i="8"/>
  <c r="GUT133" i="8"/>
  <c r="GUS133" i="8"/>
  <c r="GUR133" i="8"/>
  <c r="GUQ133" i="8"/>
  <c r="GUP133" i="8"/>
  <c r="GUO133" i="8"/>
  <c r="GUN133" i="8"/>
  <c r="GUM133" i="8"/>
  <c r="GUL133" i="8"/>
  <c r="GUK133" i="8"/>
  <c r="GUJ133" i="8"/>
  <c r="GUI133" i="8"/>
  <c r="GUH133" i="8"/>
  <c r="GUG133" i="8"/>
  <c r="GUF133" i="8"/>
  <c r="GUE133" i="8"/>
  <c r="GUD133" i="8"/>
  <c r="GUC133" i="8"/>
  <c r="GUB133" i="8"/>
  <c r="GUA133" i="8"/>
  <c r="GTZ133" i="8"/>
  <c r="GTY133" i="8"/>
  <c r="GTX133" i="8"/>
  <c r="GTW133" i="8"/>
  <c r="GTV133" i="8"/>
  <c r="GTU133" i="8"/>
  <c r="GTT133" i="8"/>
  <c r="GTS133" i="8"/>
  <c r="GTR133" i="8"/>
  <c r="GTQ133" i="8"/>
  <c r="GTP133" i="8"/>
  <c r="GTO133" i="8"/>
  <c r="GTN133" i="8"/>
  <c r="GTM133" i="8"/>
  <c r="GTL133" i="8"/>
  <c r="GTK133" i="8"/>
  <c r="GTJ133" i="8"/>
  <c r="GTI133" i="8"/>
  <c r="GTH133" i="8"/>
  <c r="GTG133" i="8"/>
  <c r="GTF133" i="8"/>
  <c r="GTE133" i="8"/>
  <c r="GTD133" i="8"/>
  <c r="GTC133" i="8"/>
  <c r="GTB133" i="8"/>
  <c r="GTA133" i="8"/>
  <c r="GSZ133" i="8"/>
  <c r="GSY133" i="8"/>
  <c r="GSX133" i="8"/>
  <c r="GSW133" i="8"/>
  <c r="GSV133" i="8"/>
  <c r="GSU133" i="8"/>
  <c r="GST133" i="8"/>
  <c r="GSS133" i="8"/>
  <c r="GSR133" i="8"/>
  <c r="GSQ133" i="8"/>
  <c r="GSP133" i="8"/>
  <c r="GSO133" i="8"/>
  <c r="GSN133" i="8"/>
  <c r="GSM133" i="8"/>
  <c r="GSL133" i="8"/>
  <c r="GSK133" i="8"/>
  <c r="GSJ133" i="8"/>
  <c r="GSI133" i="8"/>
  <c r="GSH133" i="8"/>
  <c r="GSG133" i="8"/>
  <c r="GSF133" i="8"/>
  <c r="GSE133" i="8"/>
  <c r="GSD133" i="8"/>
  <c r="GSC133" i="8"/>
  <c r="GSB133" i="8"/>
  <c r="GSA133" i="8"/>
  <c r="GRZ133" i="8"/>
  <c r="GRY133" i="8"/>
  <c r="GRX133" i="8"/>
  <c r="GRW133" i="8"/>
  <c r="GRV133" i="8"/>
  <c r="GRU133" i="8"/>
  <c r="GRT133" i="8"/>
  <c r="GRS133" i="8"/>
  <c r="GRR133" i="8"/>
  <c r="GRQ133" i="8"/>
  <c r="GRP133" i="8"/>
  <c r="GRO133" i="8"/>
  <c r="GRN133" i="8"/>
  <c r="GRM133" i="8"/>
  <c r="GRL133" i="8"/>
  <c r="GRK133" i="8"/>
  <c r="GRJ133" i="8"/>
  <c r="GRI133" i="8"/>
  <c r="GRH133" i="8"/>
  <c r="GRG133" i="8"/>
  <c r="GRF133" i="8"/>
  <c r="GRE133" i="8"/>
  <c r="GRD133" i="8"/>
  <c r="GRC133" i="8"/>
  <c r="GRB133" i="8"/>
  <c r="GRA133" i="8"/>
  <c r="GQZ133" i="8"/>
  <c r="GQY133" i="8"/>
  <c r="GQX133" i="8"/>
  <c r="GQW133" i="8"/>
  <c r="GQV133" i="8"/>
  <c r="GQU133" i="8"/>
  <c r="GQT133" i="8"/>
  <c r="GQS133" i="8"/>
  <c r="GQR133" i="8"/>
  <c r="GQQ133" i="8"/>
  <c r="GQP133" i="8"/>
  <c r="GQO133" i="8"/>
  <c r="GQN133" i="8"/>
  <c r="GQM133" i="8"/>
  <c r="GQL133" i="8"/>
  <c r="GQK133" i="8"/>
  <c r="GQJ133" i="8"/>
  <c r="GQI133" i="8"/>
  <c r="GQH133" i="8"/>
  <c r="GQG133" i="8"/>
  <c r="GQF133" i="8"/>
  <c r="GQE133" i="8"/>
  <c r="GQD133" i="8"/>
  <c r="GQC133" i="8"/>
  <c r="GQB133" i="8"/>
  <c r="GQA133" i="8"/>
  <c r="GPZ133" i="8"/>
  <c r="GPY133" i="8"/>
  <c r="GPX133" i="8"/>
  <c r="GPW133" i="8"/>
  <c r="GPV133" i="8"/>
  <c r="GPU133" i="8"/>
  <c r="GPT133" i="8"/>
  <c r="GPS133" i="8"/>
  <c r="GPR133" i="8"/>
  <c r="GPQ133" i="8"/>
  <c r="GPP133" i="8"/>
  <c r="GPO133" i="8"/>
  <c r="GPN133" i="8"/>
  <c r="GPM133" i="8"/>
  <c r="GPL133" i="8"/>
  <c r="GPK133" i="8"/>
  <c r="GPJ133" i="8"/>
  <c r="GPI133" i="8"/>
  <c r="GPH133" i="8"/>
  <c r="GPG133" i="8"/>
  <c r="GPF133" i="8"/>
  <c r="GPE133" i="8"/>
  <c r="GPD133" i="8"/>
  <c r="GPC133" i="8"/>
  <c r="GPB133" i="8"/>
  <c r="GPA133" i="8"/>
  <c r="GOZ133" i="8"/>
  <c r="GOY133" i="8"/>
  <c r="GOX133" i="8"/>
  <c r="GOW133" i="8"/>
  <c r="GOV133" i="8"/>
  <c r="GOU133" i="8"/>
  <c r="GOT133" i="8"/>
  <c r="GOS133" i="8"/>
  <c r="GOR133" i="8"/>
  <c r="GOQ133" i="8"/>
  <c r="GOP133" i="8"/>
  <c r="GOO133" i="8"/>
  <c r="GON133" i="8"/>
  <c r="GOM133" i="8"/>
  <c r="GOL133" i="8"/>
  <c r="GOK133" i="8"/>
  <c r="GOJ133" i="8"/>
  <c r="GOI133" i="8"/>
  <c r="GOH133" i="8"/>
  <c r="GOG133" i="8"/>
  <c r="GOF133" i="8"/>
  <c r="GOE133" i="8"/>
  <c r="GOD133" i="8"/>
  <c r="GOC133" i="8"/>
  <c r="GOB133" i="8"/>
  <c r="GOA133" i="8"/>
  <c r="GNZ133" i="8"/>
  <c r="GNY133" i="8"/>
  <c r="GNX133" i="8"/>
  <c r="GNW133" i="8"/>
  <c r="GNV133" i="8"/>
  <c r="GNU133" i="8"/>
  <c r="GNT133" i="8"/>
  <c r="GNS133" i="8"/>
  <c r="GNR133" i="8"/>
  <c r="GNQ133" i="8"/>
  <c r="GNP133" i="8"/>
  <c r="GNO133" i="8"/>
  <c r="GNN133" i="8"/>
  <c r="GNM133" i="8"/>
  <c r="GNL133" i="8"/>
  <c r="GNK133" i="8"/>
  <c r="GNJ133" i="8"/>
  <c r="GNI133" i="8"/>
  <c r="GNH133" i="8"/>
  <c r="GNG133" i="8"/>
  <c r="GNF133" i="8"/>
  <c r="GNE133" i="8"/>
  <c r="GND133" i="8"/>
  <c r="GNC133" i="8"/>
  <c r="GNB133" i="8"/>
  <c r="GNA133" i="8"/>
  <c r="GMZ133" i="8"/>
  <c r="GMY133" i="8"/>
  <c r="GMX133" i="8"/>
  <c r="GMW133" i="8"/>
  <c r="GMV133" i="8"/>
  <c r="GMU133" i="8"/>
  <c r="GMT133" i="8"/>
  <c r="GMS133" i="8"/>
  <c r="GMR133" i="8"/>
  <c r="GMQ133" i="8"/>
  <c r="GMP133" i="8"/>
  <c r="GMO133" i="8"/>
  <c r="GMN133" i="8"/>
  <c r="GMM133" i="8"/>
  <c r="GML133" i="8"/>
  <c r="GMK133" i="8"/>
  <c r="GMJ133" i="8"/>
  <c r="GMI133" i="8"/>
  <c r="GMH133" i="8"/>
  <c r="GMG133" i="8"/>
  <c r="GMF133" i="8"/>
  <c r="GME133" i="8"/>
  <c r="GMD133" i="8"/>
  <c r="GMC133" i="8"/>
  <c r="GMB133" i="8"/>
  <c r="GMA133" i="8"/>
  <c r="GLZ133" i="8"/>
  <c r="GLY133" i="8"/>
  <c r="GLX133" i="8"/>
  <c r="GLW133" i="8"/>
  <c r="GLV133" i="8"/>
  <c r="GLU133" i="8"/>
  <c r="GLT133" i="8"/>
  <c r="GLS133" i="8"/>
  <c r="GLR133" i="8"/>
  <c r="GLQ133" i="8"/>
  <c r="GLP133" i="8"/>
  <c r="GLO133" i="8"/>
  <c r="GLN133" i="8"/>
  <c r="GLM133" i="8"/>
  <c r="GLL133" i="8"/>
  <c r="GLK133" i="8"/>
  <c r="GLJ133" i="8"/>
  <c r="GLI133" i="8"/>
  <c r="GLH133" i="8"/>
  <c r="GLG133" i="8"/>
  <c r="GLF133" i="8"/>
  <c r="GLE133" i="8"/>
  <c r="GLD133" i="8"/>
  <c r="GLC133" i="8"/>
  <c r="GLB133" i="8"/>
  <c r="GLA133" i="8"/>
  <c r="GKZ133" i="8"/>
  <c r="GKY133" i="8"/>
  <c r="GKX133" i="8"/>
  <c r="GKW133" i="8"/>
  <c r="GKV133" i="8"/>
  <c r="GKU133" i="8"/>
  <c r="GKT133" i="8"/>
  <c r="GKS133" i="8"/>
  <c r="GKR133" i="8"/>
  <c r="GKQ133" i="8"/>
  <c r="GKP133" i="8"/>
  <c r="GKO133" i="8"/>
  <c r="GKN133" i="8"/>
  <c r="GKM133" i="8"/>
  <c r="GKL133" i="8"/>
  <c r="GKK133" i="8"/>
  <c r="GKJ133" i="8"/>
  <c r="GKI133" i="8"/>
  <c r="GKH133" i="8"/>
  <c r="GKG133" i="8"/>
  <c r="GKF133" i="8"/>
  <c r="GKE133" i="8"/>
  <c r="GKD133" i="8"/>
  <c r="GKC133" i="8"/>
  <c r="GKB133" i="8"/>
  <c r="GKA133" i="8"/>
  <c r="GJZ133" i="8"/>
  <c r="GJY133" i="8"/>
  <c r="GJX133" i="8"/>
  <c r="GJW133" i="8"/>
  <c r="GJV133" i="8"/>
  <c r="GJU133" i="8"/>
  <c r="GJT133" i="8"/>
  <c r="GJS133" i="8"/>
  <c r="GJR133" i="8"/>
  <c r="GJQ133" i="8"/>
  <c r="GJP133" i="8"/>
  <c r="GJO133" i="8"/>
  <c r="GJN133" i="8"/>
  <c r="GJM133" i="8"/>
  <c r="GJL133" i="8"/>
  <c r="GJK133" i="8"/>
  <c r="GJJ133" i="8"/>
  <c r="GJI133" i="8"/>
  <c r="GJH133" i="8"/>
  <c r="GJG133" i="8"/>
  <c r="GJF133" i="8"/>
  <c r="GJE133" i="8"/>
  <c r="GJD133" i="8"/>
  <c r="GJC133" i="8"/>
  <c r="GJB133" i="8"/>
  <c r="GJA133" i="8"/>
  <c r="GIZ133" i="8"/>
  <c r="GIY133" i="8"/>
  <c r="GIX133" i="8"/>
  <c r="GIW133" i="8"/>
  <c r="GIV133" i="8"/>
  <c r="GIU133" i="8"/>
  <c r="GIT133" i="8"/>
  <c r="GIS133" i="8"/>
  <c r="GIR133" i="8"/>
  <c r="GIQ133" i="8"/>
  <c r="GIP133" i="8"/>
  <c r="GIO133" i="8"/>
  <c r="GIN133" i="8"/>
  <c r="GIM133" i="8"/>
  <c r="GIL133" i="8"/>
  <c r="GIK133" i="8"/>
  <c r="GIJ133" i="8"/>
  <c r="GII133" i="8"/>
  <c r="GIH133" i="8"/>
  <c r="GIG133" i="8"/>
  <c r="GIF133" i="8"/>
  <c r="GIE133" i="8"/>
  <c r="GID133" i="8"/>
  <c r="GIC133" i="8"/>
  <c r="GIB133" i="8"/>
  <c r="GIA133" i="8"/>
  <c r="GHZ133" i="8"/>
  <c r="GHY133" i="8"/>
  <c r="GHX133" i="8"/>
  <c r="GHW133" i="8"/>
  <c r="GHV133" i="8"/>
  <c r="GHU133" i="8"/>
  <c r="GHT133" i="8"/>
  <c r="GHS133" i="8"/>
  <c r="GHR133" i="8"/>
  <c r="GHQ133" i="8"/>
  <c r="GHP133" i="8"/>
  <c r="GHO133" i="8"/>
  <c r="GHN133" i="8"/>
  <c r="GHM133" i="8"/>
  <c r="GHL133" i="8"/>
  <c r="GHK133" i="8"/>
  <c r="GHJ133" i="8"/>
  <c r="GHI133" i="8"/>
  <c r="GHH133" i="8"/>
  <c r="GHG133" i="8"/>
  <c r="GHF133" i="8"/>
  <c r="GHE133" i="8"/>
  <c r="GHD133" i="8"/>
  <c r="GHC133" i="8"/>
  <c r="GHB133" i="8"/>
  <c r="GHA133" i="8"/>
  <c r="GGZ133" i="8"/>
  <c r="GGY133" i="8"/>
  <c r="GGX133" i="8"/>
  <c r="GGW133" i="8"/>
  <c r="GGV133" i="8"/>
  <c r="GGU133" i="8"/>
  <c r="GGT133" i="8"/>
  <c r="GGS133" i="8"/>
  <c r="GGR133" i="8"/>
  <c r="GGQ133" i="8"/>
  <c r="GGP133" i="8"/>
  <c r="GGO133" i="8"/>
  <c r="GGN133" i="8"/>
  <c r="GGM133" i="8"/>
  <c r="GGL133" i="8"/>
  <c r="GGK133" i="8"/>
  <c r="GGJ133" i="8"/>
  <c r="GGI133" i="8"/>
  <c r="GGH133" i="8"/>
  <c r="GGG133" i="8"/>
  <c r="GGF133" i="8"/>
  <c r="GGE133" i="8"/>
  <c r="GGD133" i="8"/>
  <c r="GGC133" i="8"/>
  <c r="GGB133" i="8"/>
  <c r="GGA133" i="8"/>
  <c r="GFZ133" i="8"/>
  <c r="GFY133" i="8"/>
  <c r="GFX133" i="8"/>
  <c r="GFW133" i="8"/>
  <c r="GFV133" i="8"/>
  <c r="GFU133" i="8"/>
  <c r="GFT133" i="8"/>
  <c r="GFS133" i="8"/>
  <c r="GFR133" i="8"/>
  <c r="GFQ133" i="8"/>
  <c r="GFP133" i="8"/>
  <c r="GFO133" i="8"/>
  <c r="GFN133" i="8"/>
  <c r="GFM133" i="8"/>
  <c r="GFL133" i="8"/>
  <c r="GFK133" i="8"/>
  <c r="GFJ133" i="8"/>
  <c r="GFI133" i="8"/>
  <c r="GFH133" i="8"/>
  <c r="GFG133" i="8"/>
  <c r="GFF133" i="8"/>
  <c r="GFE133" i="8"/>
  <c r="GFD133" i="8"/>
  <c r="GFC133" i="8"/>
  <c r="GFB133" i="8"/>
  <c r="GFA133" i="8"/>
  <c r="GEZ133" i="8"/>
  <c r="GEY133" i="8"/>
  <c r="GEX133" i="8"/>
  <c r="GEW133" i="8"/>
  <c r="GEV133" i="8"/>
  <c r="GEU133" i="8"/>
  <c r="GET133" i="8"/>
  <c r="GES133" i="8"/>
  <c r="GER133" i="8"/>
  <c r="GEQ133" i="8"/>
  <c r="GEP133" i="8"/>
  <c r="GEO133" i="8"/>
  <c r="GEN133" i="8"/>
  <c r="GEM133" i="8"/>
  <c r="GEL133" i="8"/>
  <c r="GEK133" i="8"/>
  <c r="GEJ133" i="8"/>
  <c r="GEI133" i="8"/>
  <c r="GEH133" i="8"/>
  <c r="GEG133" i="8"/>
  <c r="GEF133" i="8"/>
  <c r="GEE133" i="8"/>
  <c r="GED133" i="8"/>
  <c r="GEC133" i="8"/>
  <c r="GEB133" i="8"/>
  <c r="GEA133" i="8"/>
  <c r="GDZ133" i="8"/>
  <c r="GDY133" i="8"/>
  <c r="GDX133" i="8"/>
  <c r="GDW133" i="8"/>
  <c r="GDV133" i="8"/>
  <c r="GDU133" i="8"/>
  <c r="GDT133" i="8"/>
  <c r="GDS133" i="8"/>
  <c r="GDR133" i="8"/>
  <c r="GDQ133" i="8"/>
  <c r="GDP133" i="8"/>
  <c r="GDO133" i="8"/>
  <c r="GDN133" i="8"/>
  <c r="GDM133" i="8"/>
  <c r="GDL133" i="8"/>
  <c r="GDK133" i="8"/>
  <c r="GDJ133" i="8"/>
  <c r="GDI133" i="8"/>
  <c r="GDH133" i="8"/>
  <c r="GDG133" i="8"/>
  <c r="GDF133" i="8"/>
  <c r="GDE133" i="8"/>
  <c r="GDD133" i="8"/>
  <c r="GDC133" i="8"/>
  <c r="GDB133" i="8"/>
  <c r="GDA133" i="8"/>
  <c r="GCZ133" i="8"/>
  <c r="GCY133" i="8"/>
  <c r="GCX133" i="8"/>
  <c r="GCW133" i="8"/>
  <c r="GCV133" i="8"/>
  <c r="GCU133" i="8"/>
  <c r="GCT133" i="8"/>
  <c r="GCS133" i="8"/>
  <c r="GCR133" i="8"/>
  <c r="GCQ133" i="8"/>
  <c r="GCP133" i="8"/>
  <c r="GCO133" i="8"/>
  <c r="GCN133" i="8"/>
  <c r="GCM133" i="8"/>
  <c r="GCL133" i="8"/>
  <c r="GCK133" i="8"/>
  <c r="GCJ133" i="8"/>
  <c r="GCI133" i="8"/>
  <c r="GCH133" i="8"/>
  <c r="GCG133" i="8"/>
  <c r="GCF133" i="8"/>
  <c r="GCE133" i="8"/>
  <c r="GCD133" i="8"/>
  <c r="GCC133" i="8"/>
  <c r="GCB133" i="8"/>
  <c r="GCA133" i="8"/>
  <c r="GBZ133" i="8"/>
  <c r="GBY133" i="8"/>
  <c r="GBX133" i="8"/>
  <c r="GBW133" i="8"/>
  <c r="GBV133" i="8"/>
  <c r="GBU133" i="8"/>
  <c r="GBT133" i="8"/>
  <c r="GBS133" i="8"/>
  <c r="GBR133" i="8"/>
  <c r="GBQ133" i="8"/>
  <c r="GBP133" i="8"/>
  <c r="GBO133" i="8"/>
  <c r="GBN133" i="8"/>
  <c r="GBM133" i="8"/>
  <c r="GBL133" i="8"/>
  <c r="GBK133" i="8"/>
  <c r="GBJ133" i="8"/>
  <c r="GBI133" i="8"/>
  <c r="GBH133" i="8"/>
  <c r="GBG133" i="8"/>
  <c r="GBF133" i="8"/>
  <c r="GBE133" i="8"/>
  <c r="GBD133" i="8"/>
  <c r="GBC133" i="8"/>
  <c r="GBB133" i="8"/>
  <c r="GBA133" i="8"/>
  <c r="GAZ133" i="8"/>
  <c r="GAY133" i="8"/>
  <c r="GAX133" i="8"/>
  <c r="GAW133" i="8"/>
  <c r="GAV133" i="8"/>
  <c r="GAU133" i="8"/>
  <c r="GAT133" i="8"/>
  <c r="GAS133" i="8"/>
  <c r="GAR133" i="8"/>
  <c r="GAQ133" i="8"/>
  <c r="GAP133" i="8"/>
  <c r="GAO133" i="8"/>
  <c r="GAN133" i="8"/>
  <c r="GAM133" i="8"/>
  <c r="GAL133" i="8"/>
  <c r="GAK133" i="8"/>
  <c r="GAJ133" i="8"/>
  <c r="GAI133" i="8"/>
  <c r="GAH133" i="8"/>
  <c r="GAG133" i="8"/>
  <c r="GAF133" i="8"/>
  <c r="GAE133" i="8"/>
  <c r="GAD133" i="8"/>
  <c r="GAC133" i="8"/>
  <c r="GAB133" i="8"/>
  <c r="GAA133" i="8"/>
  <c r="FZZ133" i="8"/>
  <c r="FZY133" i="8"/>
  <c r="FZX133" i="8"/>
  <c r="FZW133" i="8"/>
  <c r="FZV133" i="8"/>
  <c r="FZU133" i="8"/>
  <c r="FZT133" i="8"/>
  <c r="FZS133" i="8"/>
  <c r="FZR133" i="8"/>
  <c r="FZQ133" i="8"/>
  <c r="FZP133" i="8"/>
  <c r="FZO133" i="8"/>
  <c r="FZN133" i="8"/>
  <c r="FZM133" i="8"/>
  <c r="FZL133" i="8"/>
  <c r="FZK133" i="8"/>
  <c r="FZJ133" i="8"/>
  <c r="FZI133" i="8"/>
  <c r="FZH133" i="8"/>
  <c r="FZG133" i="8"/>
  <c r="FZF133" i="8"/>
  <c r="FZE133" i="8"/>
  <c r="FZD133" i="8"/>
  <c r="FZC133" i="8"/>
  <c r="FZB133" i="8"/>
  <c r="FZA133" i="8"/>
  <c r="FYZ133" i="8"/>
  <c r="FYY133" i="8"/>
  <c r="FYX133" i="8"/>
  <c r="FYW133" i="8"/>
  <c r="FYV133" i="8"/>
  <c r="FYU133" i="8"/>
  <c r="FYT133" i="8"/>
  <c r="FYS133" i="8"/>
  <c r="FYR133" i="8"/>
  <c r="FYQ133" i="8"/>
  <c r="FYP133" i="8"/>
  <c r="FYO133" i="8"/>
  <c r="FYN133" i="8"/>
  <c r="FYM133" i="8"/>
  <c r="FYL133" i="8"/>
  <c r="FYK133" i="8"/>
  <c r="FYJ133" i="8"/>
  <c r="FYI133" i="8"/>
  <c r="FYH133" i="8"/>
  <c r="FYG133" i="8"/>
  <c r="FYF133" i="8"/>
  <c r="FYE133" i="8"/>
  <c r="FYD133" i="8"/>
  <c r="FYC133" i="8"/>
  <c r="FYB133" i="8"/>
  <c r="FYA133" i="8"/>
  <c r="FXZ133" i="8"/>
  <c r="FXY133" i="8"/>
  <c r="FXX133" i="8"/>
  <c r="FXW133" i="8"/>
  <c r="FXV133" i="8"/>
  <c r="FXU133" i="8"/>
  <c r="FXT133" i="8"/>
  <c r="FXS133" i="8"/>
  <c r="FXR133" i="8"/>
  <c r="FXQ133" i="8"/>
  <c r="FXP133" i="8"/>
  <c r="FXO133" i="8"/>
  <c r="FXN133" i="8"/>
  <c r="FXM133" i="8"/>
  <c r="FXL133" i="8"/>
  <c r="FXK133" i="8"/>
  <c r="FXJ133" i="8"/>
  <c r="FXI133" i="8"/>
  <c r="FXH133" i="8"/>
  <c r="FXG133" i="8"/>
  <c r="FXF133" i="8"/>
  <c r="FXE133" i="8"/>
  <c r="FXD133" i="8"/>
  <c r="FXC133" i="8"/>
  <c r="FXB133" i="8"/>
  <c r="FXA133" i="8"/>
  <c r="FWZ133" i="8"/>
  <c r="FWY133" i="8"/>
  <c r="FWX133" i="8"/>
  <c r="FWW133" i="8"/>
  <c r="FWV133" i="8"/>
  <c r="FWU133" i="8"/>
  <c r="FWT133" i="8"/>
  <c r="FWS133" i="8"/>
  <c r="FWR133" i="8"/>
  <c r="FWQ133" i="8"/>
  <c r="FWP133" i="8"/>
  <c r="FWO133" i="8"/>
  <c r="FWN133" i="8"/>
  <c r="FWM133" i="8"/>
  <c r="FWL133" i="8"/>
  <c r="FWK133" i="8"/>
  <c r="FWJ133" i="8"/>
  <c r="FWI133" i="8"/>
  <c r="FWH133" i="8"/>
  <c r="FWG133" i="8"/>
  <c r="FWF133" i="8"/>
  <c r="FWE133" i="8"/>
  <c r="FWD133" i="8"/>
  <c r="FWC133" i="8"/>
  <c r="FWB133" i="8"/>
  <c r="FWA133" i="8"/>
  <c r="FVZ133" i="8"/>
  <c r="FVY133" i="8"/>
  <c r="FVX133" i="8"/>
  <c r="FVW133" i="8"/>
  <c r="FVV133" i="8"/>
  <c r="FVU133" i="8"/>
  <c r="FVT133" i="8"/>
  <c r="FVS133" i="8"/>
  <c r="FVR133" i="8"/>
  <c r="FVQ133" i="8"/>
  <c r="FVP133" i="8"/>
  <c r="FVO133" i="8"/>
  <c r="FVN133" i="8"/>
  <c r="FVM133" i="8"/>
  <c r="FVL133" i="8"/>
  <c r="FVK133" i="8"/>
  <c r="FVJ133" i="8"/>
  <c r="FVI133" i="8"/>
  <c r="FVH133" i="8"/>
  <c r="FVG133" i="8"/>
  <c r="FVF133" i="8"/>
  <c r="FVE133" i="8"/>
  <c r="FVD133" i="8"/>
  <c r="FVC133" i="8"/>
  <c r="FVB133" i="8"/>
  <c r="FVA133" i="8"/>
  <c r="FUZ133" i="8"/>
  <c r="FUY133" i="8"/>
  <c r="FUX133" i="8"/>
  <c r="FUW133" i="8"/>
  <c r="FUV133" i="8"/>
  <c r="FUU133" i="8"/>
  <c r="FUT133" i="8"/>
  <c r="FUS133" i="8"/>
  <c r="FUR133" i="8"/>
  <c r="FUQ133" i="8"/>
  <c r="FUP133" i="8"/>
  <c r="FUO133" i="8"/>
  <c r="FUN133" i="8"/>
  <c r="FUM133" i="8"/>
  <c r="FUL133" i="8"/>
  <c r="FUK133" i="8"/>
  <c r="FUJ133" i="8"/>
  <c r="FUI133" i="8"/>
  <c r="FUH133" i="8"/>
  <c r="FUG133" i="8"/>
  <c r="FUF133" i="8"/>
  <c r="FUE133" i="8"/>
  <c r="FUD133" i="8"/>
  <c r="FUC133" i="8"/>
  <c r="FUB133" i="8"/>
  <c r="FUA133" i="8"/>
  <c r="FTZ133" i="8"/>
  <c r="FTY133" i="8"/>
  <c r="FTX133" i="8"/>
  <c r="FTW133" i="8"/>
  <c r="FTV133" i="8"/>
  <c r="FTU133" i="8"/>
  <c r="FTT133" i="8"/>
  <c r="FTS133" i="8"/>
  <c r="FTR133" i="8"/>
  <c r="FTQ133" i="8"/>
  <c r="FTP133" i="8"/>
  <c r="FTO133" i="8"/>
  <c r="FTN133" i="8"/>
  <c r="FTM133" i="8"/>
  <c r="FTL133" i="8"/>
  <c r="FTK133" i="8"/>
  <c r="FTJ133" i="8"/>
  <c r="FTI133" i="8"/>
  <c r="FTH133" i="8"/>
  <c r="FTG133" i="8"/>
  <c r="FTF133" i="8"/>
  <c r="FTE133" i="8"/>
  <c r="FTD133" i="8"/>
  <c r="FTC133" i="8"/>
  <c r="FTB133" i="8"/>
  <c r="FTA133" i="8"/>
  <c r="FSZ133" i="8"/>
  <c r="FSY133" i="8"/>
  <c r="FSX133" i="8"/>
  <c r="FSW133" i="8"/>
  <c r="FSV133" i="8"/>
  <c r="FSU133" i="8"/>
  <c r="FST133" i="8"/>
  <c r="FSS133" i="8"/>
  <c r="FSR133" i="8"/>
  <c r="FSQ133" i="8"/>
  <c r="FSP133" i="8"/>
  <c r="FSO133" i="8"/>
  <c r="FSN133" i="8"/>
  <c r="FSM133" i="8"/>
  <c r="FSL133" i="8"/>
  <c r="FSK133" i="8"/>
  <c r="FSJ133" i="8"/>
  <c r="FSI133" i="8"/>
  <c r="FSH133" i="8"/>
  <c r="FSG133" i="8"/>
  <c r="FSF133" i="8"/>
  <c r="FSE133" i="8"/>
  <c r="FSD133" i="8"/>
  <c r="FSC133" i="8"/>
  <c r="FSB133" i="8"/>
  <c r="FSA133" i="8"/>
  <c r="FRZ133" i="8"/>
  <c r="FRY133" i="8"/>
  <c r="FRX133" i="8"/>
  <c r="FRW133" i="8"/>
  <c r="FRV133" i="8"/>
  <c r="FRU133" i="8"/>
  <c r="FRT133" i="8"/>
  <c r="FRS133" i="8"/>
  <c r="FRR133" i="8"/>
  <c r="FRQ133" i="8"/>
  <c r="FRP133" i="8"/>
  <c r="FRO133" i="8"/>
  <c r="FRN133" i="8"/>
  <c r="FRM133" i="8"/>
  <c r="FRL133" i="8"/>
  <c r="FRK133" i="8"/>
  <c r="FRJ133" i="8"/>
  <c r="FRI133" i="8"/>
  <c r="FRH133" i="8"/>
  <c r="FRG133" i="8"/>
  <c r="FRF133" i="8"/>
  <c r="FRE133" i="8"/>
  <c r="FRD133" i="8"/>
  <c r="FRC133" i="8"/>
  <c r="FRB133" i="8"/>
  <c r="FRA133" i="8"/>
  <c r="FQZ133" i="8"/>
  <c r="FQY133" i="8"/>
  <c r="FQX133" i="8"/>
  <c r="FQW133" i="8"/>
  <c r="FQV133" i="8"/>
  <c r="FQU133" i="8"/>
  <c r="FQT133" i="8"/>
  <c r="FQS133" i="8"/>
  <c r="FQR133" i="8"/>
  <c r="FQQ133" i="8"/>
  <c r="FQP133" i="8"/>
  <c r="FQO133" i="8"/>
  <c r="FQN133" i="8"/>
  <c r="FQM133" i="8"/>
  <c r="FQL133" i="8"/>
  <c r="FQK133" i="8"/>
  <c r="FQJ133" i="8"/>
  <c r="FQI133" i="8"/>
  <c r="FQH133" i="8"/>
  <c r="FQG133" i="8"/>
  <c r="FQF133" i="8"/>
  <c r="FQE133" i="8"/>
  <c r="FQD133" i="8"/>
  <c r="FQC133" i="8"/>
  <c r="FQB133" i="8"/>
  <c r="FQA133" i="8"/>
  <c r="FPZ133" i="8"/>
  <c r="FPY133" i="8"/>
  <c r="FPX133" i="8"/>
  <c r="FPW133" i="8"/>
  <c r="FPV133" i="8"/>
  <c r="FPU133" i="8"/>
  <c r="FPT133" i="8"/>
  <c r="FPS133" i="8"/>
  <c r="FPR133" i="8"/>
  <c r="FPQ133" i="8"/>
  <c r="FPP133" i="8"/>
  <c r="FPO133" i="8"/>
  <c r="FPN133" i="8"/>
  <c r="FPM133" i="8"/>
  <c r="FPL133" i="8"/>
  <c r="FPK133" i="8"/>
  <c r="FPJ133" i="8"/>
  <c r="FPI133" i="8"/>
  <c r="FPH133" i="8"/>
  <c r="FPG133" i="8"/>
  <c r="FPF133" i="8"/>
  <c r="FPE133" i="8"/>
  <c r="FPD133" i="8"/>
  <c r="FPC133" i="8"/>
  <c r="FPB133" i="8"/>
  <c r="FPA133" i="8"/>
  <c r="FOZ133" i="8"/>
  <c r="FOY133" i="8"/>
  <c r="FOX133" i="8"/>
  <c r="FOW133" i="8"/>
  <c r="FOV133" i="8"/>
  <c r="FOU133" i="8"/>
  <c r="FOT133" i="8"/>
  <c r="FOS133" i="8"/>
  <c r="FOR133" i="8"/>
  <c r="FOQ133" i="8"/>
  <c r="FOP133" i="8"/>
  <c r="FOO133" i="8"/>
  <c r="FON133" i="8"/>
  <c r="FOM133" i="8"/>
  <c r="FOL133" i="8"/>
  <c r="FOK133" i="8"/>
  <c r="FOJ133" i="8"/>
  <c r="FOI133" i="8"/>
  <c r="FOH133" i="8"/>
  <c r="FOG133" i="8"/>
  <c r="FOF133" i="8"/>
  <c r="FOE133" i="8"/>
  <c r="FOD133" i="8"/>
  <c r="FOC133" i="8"/>
  <c r="FOB133" i="8"/>
  <c r="FOA133" i="8"/>
  <c r="FNZ133" i="8"/>
  <c r="FNY133" i="8"/>
  <c r="FNX133" i="8"/>
  <c r="FNW133" i="8"/>
  <c r="FNV133" i="8"/>
  <c r="FNU133" i="8"/>
  <c r="FNT133" i="8"/>
  <c r="FNS133" i="8"/>
  <c r="FNR133" i="8"/>
  <c r="FNQ133" i="8"/>
  <c r="FNP133" i="8"/>
  <c r="FNO133" i="8"/>
  <c r="FNN133" i="8"/>
  <c r="FNM133" i="8"/>
  <c r="FNL133" i="8"/>
  <c r="FNK133" i="8"/>
  <c r="FNJ133" i="8"/>
  <c r="FNI133" i="8"/>
  <c r="FNH133" i="8"/>
  <c r="FNG133" i="8"/>
  <c r="FNF133" i="8"/>
  <c r="FNE133" i="8"/>
  <c r="FND133" i="8"/>
  <c r="FNC133" i="8"/>
  <c r="FNB133" i="8"/>
  <c r="FNA133" i="8"/>
  <c r="FMZ133" i="8"/>
  <c r="FMY133" i="8"/>
  <c r="FMX133" i="8"/>
  <c r="FMW133" i="8"/>
  <c r="FMV133" i="8"/>
  <c r="FMU133" i="8"/>
  <c r="FMT133" i="8"/>
  <c r="FMS133" i="8"/>
  <c r="FMR133" i="8"/>
  <c r="FMQ133" i="8"/>
  <c r="FMP133" i="8"/>
  <c r="FMO133" i="8"/>
  <c r="FMN133" i="8"/>
  <c r="FMM133" i="8"/>
  <c r="FML133" i="8"/>
  <c r="FMK133" i="8"/>
  <c r="FMJ133" i="8"/>
  <c r="FMI133" i="8"/>
  <c r="FMH133" i="8"/>
  <c r="FMG133" i="8"/>
  <c r="FMF133" i="8"/>
  <c r="FME133" i="8"/>
  <c r="FMD133" i="8"/>
  <c r="FMC133" i="8"/>
  <c r="FMB133" i="8"/>
  <c r="FMA133" i="8"/>
  <c r="FLZ133" i="8"/>
  <c r="FLY133" i="8"/>
  <c r="FLX133" i="8"/>
  <c r="FLW133" i="8"/>
  <c r="FLV133" i="8"/>
  <c r="FLU133" i="8"/>
  <c r="FLT133" i="8"/>
  <c r="FLS133" i="8"/>
  <c r="FLR133" i="8"/>
  <c r="FLQ133" i="8"/>
  <c r="FLP133" i="8"/>
  <c r="FLO133" i="8"/>
  <c r="FLN133" i="8"/>
  <c r="FLM133" i="8"/>
  <c r="FLL133" i="8"/>
  <c r="FLK133" i="8"/>
  <c r="FLJ133" i="8"/>
  <c r="FLI133" i="8"/>
  <c r="FLH133" i="8"/>
  <c r="FLG133" i="8"/>
  <c r="FLF133" i="8"/>
  <c r="FLE133" i="8"/>
  <c r="FLD133" i="8"/>
  <c r="FLC133" i="8"/>
  <c r="FLB133" i="8"/>
  <c r="FLA133" i="8"/>
  <c r="FKZ133" i="8"/>
  <c r="FKY133" i="8"/>
  <c r="FKX133" i="8"/>
  <c r="FKW133" i="8"/>
  <c r="FKV133" i="8"/>
  <c r="FKU133" i="8"/>
  <c r="FKT133" i="8"/>
  <c r="FKS133" i="8"/>
  <c r="FKR133" i="8"/>
  <c r="FKQ133" i="8"/>
  <c r="FKP133" i="8"/>
  <c r="FKO133" i="8"/>
  <c r="FKN133" i="8"/>
  <c r="FKM133" i="8"/>
  <c r="FKL133" i="8"/>
  <c r="FKK133" i="8"/>
  <c r="FKJ133" i="8"/>
  <c r="FKI133" i="8"/>
  <c r="FKH133" i="8"/>
  <c r="FKG133" i="8"/>
  <c r="FKF133" i="8"/>
  <c r="FKE133" i="8"/>
  <c r="FKD133" i="8"/>
  <c r="FKC133" i="8"/>
  <c r="FKB133" i="8"/>
  <c r="FKA133" i="8"/>
  <c r="FJZ133" i="8"/>
  <c r="FJY133" i="8"/>
  <c r="FJX133" i="8"/>
  <c r="FJW133" i="8"/>
  <c r="FJV133" i="8"/>
  <c r="FJU133" i="8"/>
  <c r="FJT133" i="8"/>
  <c r="FJS133" i="8"/>
  <c r="FJR133" i="8"/>
  <c r="FJQ133" i="8"/>
  <c r="FJP133" i="8"/>
  <c r="FJO133" i="8"/>
  <c r="FJN133" i="8"/>
  <c r="FJM133" i="8"/>
  <c r="FJL133" i="8"/>
  <c r="FJK133" i="8"/>
  <c r="FJJ133" i="8"/>
  <c r="FJI133" i="8"/>
  <c r="FJH133" i="8"/>
  <c r="FJG133" i="8"/>
  <c r="FJF133" i="8"/>
  <c r="FJE133" i="8"/>
  <c r="FJD133" i="8"/>
  <c r="FJC133" i="8"/>
  <c r="FJB133" i="8"/>
  <c r="FJA133" i="8"/>
  <c r="FIZ133" i="8"/>
  <c r="FIY133" i="8"/>
  <c r="FIX133" i="8"/>
  <c r="FIW133" i="8"/>
  <c r="FIV133" i="8"/>
  <c r="FIU133" i="8"/>
  <c r="FIT133" i="8"/>
  <c r="FIS133" i="8"/>
  <c r="FIR133" i="8"/>
  <c r="FIQ133" i="8"/>
  <c r="FIP133" i="8"/>
  <c r="FIO133" i="8"/>
  <c r="FIN133" i="8"/>
  <c r="FIM133" i="8"/>
  <c r="FIL133" i="8"/>
  <c r="FIK133" i="8"/>
  <c r="FIJ133" i="8"/>
  <c r="FII133" i="8"/>
  <c r="FIH133" i="8"/>
  <c r="FIG133" i="8"/>
  <c r="FIF133" i="8"/>
  <c r="FIE133" i="8"/>
  <c r="FID133" i="8"/>
  <c r="FIC133" i="8"/>
  <c r="FIB133" i="8"/>
  <c r="FIA133" i="8"/>
  <c r="FHZ133" i="8"/>
  <c r="FHY133" i="8"/>
  <c r="FHX133" i="8"/>
  <c r="FHW133" i="8"/>
  <c r="FHV133" i="8"/>
  <c r="FHU133" i="8"/>
  <c r="FHT133" i="8"/>
  <c r="FHS133" i="8"/>
  <c r="FHR133" i="8"/>
  <c r="FHQ133" i="8"/>
  <c r="FHP133" i="8"/>
  <c r="FHO133" i="8"/>
  <c r="FHN133" i="8"/>
  <c r="FHM133" i="8"/>
  <c r="FHL133" i="8"/>
  <c r="FHK133" i="8"/>
  <c r="FHJ133" i="8"/>
  <c r="FHI133" i="8"/>
  <c r="FHH133" i="8"/>
  <c r="FHG133" i="8"/>
  <c r="FHF133" i="8"/>
  <c r="FHE133" i="8"/>
  <c r="FHD133" i="8"/>
  <c r="FHC133" i="8"/>
  <c r="FHB133" i="8"/>
  <c r="FHA133" i="8"/>
  <c r="FGZ133" i="8"/>
  <c r="FGY133" i="8"/>
  <c r="FGX133" i="8"/>
  <c r="FGW133" i="8"/>
  <c r="FGV133" i="8"/>
  <c r="FGU133" i="8"/>
  <c r="FGT133" i="8"/>
  <c r="FGS133" i="8"/>
  <c r="FGR133" i="8"/>
  <c r="FGQ133" i="8"/>
  <c r="FGP133" i="8"/>
  <c r="FGO133" i="8"/>
  <c r="FGN133" i="8"/>
  <c r="FGM133" i="8"/>
  <c r="FGL133" i="8"/>
  <c r="FGK133" i="8"/>
  <c r="FGJ133" i="8"/>
  <c r="FGI133" i="8"/>
  <c r="FGH133" i="8"/>
  <c r="FGG133" i="8"/>
  <c r="FGF133" i="8"/>
  <c r="FGE133" i="8"/>
  <c r="FGD133" i="8"/>
  <c r="FGC133" i="8"/>
  <c r="FGB133" i="8"/>
  <c r="FGA133" i="8"/>
  <c r="FFZ133" i="8"/>
  <c r="FFY133" i="8"/>
  <c r="FFX133" i="8"/>
  <c r="FFW133" i="8"/>
  <c r="FFV133" i="8"/>
  <c r="FFU133" i="8"/>
  <c r="FFT133" i="8"/>
  <c r="FFS133" i="8"/>
  <c r="FFR133" i="8"/>
  <c r="FFQ133" i="8"/>
  <c r="FFP133" i="8"/>
  <c r="FFO133" i="8"/>
  <c r="FFN133" i="8"/>
  <c r="FFM133" i="8"/>
  <c r="FFL133" i="8"/>
  <c r="FFK133" i="8"/>
  <c r="FFJ133" i="8"/>
  <c r="FFI133" i="8"/>
  <c r="FFH133" i="8"/>
  <c r="FFG133" i="8"/>
  <c r="FFF133" i="8"/>
  <c r="FFE133" i="8"/>
  <c r="FFD133" i="8"/>
  <c r="FFC133" i="8"/>
  <c r="FFB133" i="8"/>
  <c r="FFA133" i="8"/>
  <c r="FEZ133" i="8"/>
  <c r="FEY133" i="8"/>
  <c r="FEX133" i="8"/>
  <c r="FEW133" i="8"/>
  <c r="FEV133" i="8"/>
  <c r="FEU133" i="8"/>
  <c r="FET133" i="8"/>
  <c r="FES133" i="8"/>
  <c r="FER133" i="8"/>
  <c r="FEQ133" i="8"/>
  <c r="FEP133" i="8"/>
  <c r="FEO133" i="8"/>
  <c r="FEN133" i="8"/>
  <c r="FEM133" i="8"/>
  <c r="FEL133" i="8"/>
  <c r="FEK133" i="8"/>
  <c r="FEJ133" i="8"/>
  <c r="FEI133" i="8"/>
  <c r="FEH133" i="8"/>
  <c r="FEG133" i="8"/>
  <c r="FEF133" i="8"/>
  <c r="FEE133" i="8"/>
  <c r="FED133" i="8"/>
  <c r="FEC133" i="8"/>
  <c r="FEB133" i="8"/>
  <c r="FEA133" i="8"/>
  <c r="FDZ133" i="8"/>
  <c r="FDY133" i="8"/>
  <c r="FDX133" i="8"/>
  <c r="FDW133" i="8"/>
  <c r="FDV133" i="8"/>
  <c r="FDU133" i="8"/>
  <c r="FDT133" i="8"/>
  <c r="FDS133" i="8"/>
  <c r="FDR133" i="8"/>
  <c r="FDQ133" i="8"/>
  <c r="FDP133" i="8"/>
  <c r="FDO133" i="8"/>
  <c r="FDN133" i="8"/>
  <c r="FDM133" i="8"/>
  <c r="FDL133" i="8"/>
  <c r="FDK133" i="8"/>
  <c r="FDJ133" i="8"/>
  <c r="FDI133" i="8"/>
  <c r="FDH133" i="8"/>
  <c r="FDG133" i="8"/>
  <c r="FDF133" i="8"/>
  <c r="FDE133" i="8"/>
  <c r="FDD133" i="8"/>
  <c r="FDC133" i="8"/>
  <c r="FDB133" i="8"/>
  <c r="FDA133" i="8"/>
  <c r="FCZ133" i="8"/>
  <c r="FCY133" i="8"/>
  <c r="FCX133" i="8"/>
  <c r="FCW133" i="8"/>
  <c r="FCV133" i="8"/>
  <c r="FCU133" i="8"/>
  <c r="FCT133" i="8"/>
  <c r="FCS133" i="8"/>
  <c r="FCR133" i="8"/>
  <c r="FCQ133" i="8"/>
  <c r="FCP133" i="8"/>
  <c r="FCO133" i="8"/>
  <c r="FCN133" i="8"/>
  <c r="FCM133" i="8"/>
  <c r="FCL133" i="8"/>
  <c r="FCK133" i="8"/>
  <c r="FCJ133" i="8"/>
  <c r="FCI133" i="8"/>
  <c r="FCH133" i="8"/>
  <c r="FCG133" i="8"/>
  <c r="FCF133" i="8"/>
  <c r="FCE133" i="8"/>
  <c r="FCD133" i="8"/>
  <c r="FCC133" i="8"/>
  <c r="FCB133" i="8"/>
  <c r="FCA133" i="8"/>
  <c r="FBZ133" i="8"/>
  <c r="FBY133" i="8"/>
  <c r="FBX133" i="8"/>
  <c r="FBW133" i="8"/>
  <c r="FBV133" i="8"/>
  <c r="FBU133" i="8"/>
  <c r="FBT133" i="8"/>
  <c r="FBS133" i="8"/>
  <c r="FBR133" i="8"/>
  <c r="FBQ133" i="8"/>
  <c r="FBP133" i="8"/>
  <c r="FBO133" i="8"/>
  <c r="FBN133" i="8"/>
  <c r="FBM133" i="8"/>
  <c r="FBL133" i="8"/>
  <c r="FBK133" i="8"/>
  <c r="FBJ133" i="8"/>
  <c r="FBI133" i="8"/>
  <c r="FBH133" i="8"/>
  <c r="FBG133" i="8"/>
  <c r="FBF133" i="8"/>
  <c r="FBE133" i="8"/>
  <c r="FBD133" i="8"/>
  <c r="FBC133" i="8"/>
  <c r="FBB133" i="8"/>
  <c r="FBA133" i="8"/>
  <c r="FAZ133" i="8"/>
  <c r="FAY133" i="8"/>
  <c r="FAX133" i="8"/>
  <c r="FAW133" i="8"/>
  <c r="FAV133" i="8"/>
  <c r="FAU133" i="8"/>
  <c r="FAT133" i="8"/>
  <c r="FAS133" i="8"/>
  <c r="FAR133" i="8"/>
  <c r="FAQ133" i="8"/>
  <c r="FAP133" i="8"/>
  <c r="FAO133" i="8"/>
  <c r="FAN133" i="8"/>
  <c r="FAM133" i="8"/>
  <c r="FAL133" i="8"/>
  <c r="FAK133" i="8"/>
  <c r="FAJ133" i="8"/>
  <c r="FAI133" i="8"/>
  <c r="FAH133" i="8"/>
  <c r="FAG133" i="8"/>
  <c r="FAF133" i="8"/>
  <c r="FAE133" i="8"/>
  <c r="FAD133" i="8"/>
  <c r="FAC133" i="8"/>
  <c r="FAB133" i="8"/>
  <c r="FAA133" i="8"/>
  <c r="EZZ133" i="8"/>
  <c r="EZY133" i="8"/>
  <c r="EZX133" i="8"/>
  <c r="EZW133" i="8"/>
  <c r="EZV133" i="8"/>
  <c r="EZU133" i="8"/>
  <c r="EZT133" i="8"/>
  <c r="EZS133" i="8"/>
  <c r="EZR133" i="8"/>
  <c r="EZQ133" i="8"/>
  <c r="EZP133" i="8"/>
  <c r="EZO133" i="8"/>
  <c r="EZN133" i="8"/>
  <c r="EZM133" i="8"/>
  <c r="EZL133" i="8"/>
  <c r="EZK133" i="8"/>
  <c r="EZJ133" i="8"/>
  <c r="EZI133" i="8"/>
  <c r="EZH133" i="8"/>
  <c r="EZG133" i="8"/>
  <c r="EZF133" i="8"/>
  <c r="EZE133" i="8"/>
  <c r="EZD133" i="8"/>
  <c r="EZC133" i="8"/>
  <c r="EZB133" i="8"/>
  <c r="EZA133" i="8"/>
  <c r="EYZ133" i="8"/>
  <c r="EYY133" i="8"/>
  <c r="EYX133" i="8"/>
  <c r="EYW133" i="8"/>
  <c r="EYV133" i="8"/>
  <c r="EYU133" i="8"/>
  <c r="EYT133" i="8"/>
  <c r="EYS133" i="8"/>
  <c r="EYR133" i="8"/>
  <c r="EYQ133" i="8"/>
  <c r="EYP133" i="8"/>
  <c r="EYO133" i="8"/>
  <c r="EYN133" i="8"/>
  <c r="EYM133" i="8"/>
  <c r="EYL133" i="8"/>
  <c r="EYK133" i="8"/>
  <c r="EYJ133" i="8"/>
  <c r="EYI133" i="8"/>
  <c r="EYH133" i="8"/>
  <c r="EYG133" i="8"/>
  <c r="EYF133" i="8"/>
  <c r="EYE133" i="8"/>
  <c r="EYD133" i="8"/>
  <c r="EYC133" i="8"/>
  <c r="EYB133" i="8"/>
  <c r="EYA133" i="8"/>
  <c r="EXZ133" i="8"/>
  <c r="EXY133" i="8"/>
  <c r="EXX133" i="8"/>
  <c r="EXW133" i="8"/>
  <c r="EXV133" i="8"/>
  <c r="EXU133" i="8"/>
  <c r="EXT133" i="8"/>
  <c r="EXS133" i="8"/>
  <c r="EXR133" i="8"/>
  <c r="EXQ133" i="8"/>
  <c r="EXP133" i="8"/>
  <c r="EXO133" i="8"/>
  <c r="EXN133" i="8"/>
  <c r="EXM133" i="8"/>
  <c r="EXL133" i="8"/>
  <c r="EXK133" i="8"/>
  <c r="EXJ133" i="8"/>
  <c r="EXI133" i="8"/>
  <c r="EXH133" i="8"/>
  <c r="EXG133" i="8"/>
  <c r="EXF133" i="8"/>
  <c r="EXE133" i="8"/>
  <c r="EXD133" i="8"/>
  <c r="EXC133" i="8"/>
  <c r="EXB133" i="8"/>
  <c r="EXA133" i="8"/>
  <c r="EWZ133" i="8"/>
  <c r="EWY133" i="8"/>
  <c r="EWX133" i="8"/>
  <c r="EWW133" i="8"/>
  <c r="EWV133" i="8"/>
  <c r="EWU133" i="8"/>
  <c r="EWT133" i="8"/>
  <c r="EWS133" i="8"/>
  <c r="EWR133" i="8"/>
  <c r="EWQ133" i="8"/>
  <c r="EWP133" i="8"/>
  <c r="EWO133" i="8"/>
  <c r="EWN133" i="8"/>
  <c r="EWM133" i="8"/>
  <c r="EWL133" i="8"/>
  <c r="EWK133" i="8"/>
  <c r="EWJ133" i="8"/>
  <c r="EWI133" i="8"/>
  <c r="EWH133" i="8"/>
  <c r="EWG133" i="8"/>
  <c r="EWF133" i="8"/>
  <c r="EWE133" i="8"/>
  <c r="EWD133" i="8"/>
  <c r="EWC133" i="8"/>
  <c r="EWB133" i="8"/>
  <c r="EWA133" i="8"/>
  <c r="EVZ133" i="8"/>
  <c r="EVY133" i="8"/>
  <c r="EVX133" i="8"/>
  <c r="EVW133" i="8"/>
  <c r="EVV133" i="8"/>
  <c r="EVU133" i="8"/>
  <c r="EVT133" i="8"/>
  <c r="EVS133" i="8"/>
  <c r="EVR133" i="8"/>
  <c r="EVQ133" i="8"/>
  <c r="EVP133" i="8"/>
  <c r="EVO133" i="8"/>
  <c r="EVN133" i="8"/>
  <c r="EVM133" i="8"/>
  <c r="EVL133" i="8"/>
  <c r="EVK133" i="8"/>
  <c r="EVJ133" i="8"/>
  <c r="EVI133" i="8"/>
  <c r="EVH133" i="8"/>
  <c r="EVG133" i="8"/>
  <c r="EVF133" i="8"/>
  <c r="EVE133" i="8"/>
  <c r="EVD133" i="8"/>
  <c r="EVC133" i="8"/>
  <c r="EVB133" i="8"/>
  <c r="EVA133" i="8"/>
  <c r="EUZ133" i="8"/>
  <c r="EUY133" i="8"/>
  <c r="EUX133" i="8"/>
  <c r="EUW133" i="8"/>
  <c r="EUV133" i="8"/>
  <c r="EUU133" i="8"/>
  <c r="EUT133" i="8"/>
  <c r="EUS133" i="8"/>
  <c r="EUR133" i="8"/>
  <c r="EUQ133" i="8"/>
  <c r="EUP133" i="8"/>
  <c r="EUO133" i="8"/>
  <c r="EUN133" i="8"/>
  <c r="EUM133" i="8"/>
  <c r="EUL133" i="8"/>
  <c r="EUK133" i="8"/>
  <c r="EUJ133" i="8"/>
  <c r="EUI133" i="8"/>
  <c r="EUH133" i="8"/>
  <c r="EUG133" i="8"/>
  <c r="EUF133" i="8"/>
  <c r="EUE133" i="8"/>
  <c r="EUD133" i="8"/>
  <c r="EUC133" i="8"/>
  <c r="EUB133" i="8"/>
  <c r="EUA133" i="8"/>
  <c r="ETZ133" i="8"/>
  <c r="ETY133" i="8"/>
  <c r="ETX133" i="8"/>
  <c r="ETW133" i="8"/>
  <c r="ETV133" i="8"/>
  <c r="ETU133" i="8"/>
  <c r="ETT133" i="8"/>
  <c r="ETS133" i="8"/>
  <c r="ETR133" i="8"/>
  <c r="ETQ133" i="8"/>
  <c r="ETP133" i="8"/>
  <c r="ETO133" i="8"/>
  <c r="ETN133" i="8"/>
  <c r="ETM133" i="8"/>
  <c r="ETL133" i="8"/>
  <c r="ETK133" i="8"/>
  <c r="ETJ133" i="8"/>
  <c r="ETI133" i="8"/>
  <c r="ETH133" i="8"/>
  <c r="ETG133" i="8"/>
  <c r="ETF133" i="8"/>
  <c r="ETE133" i="8"/>
  <c r="ETD133" i="8"/>
  <c r="ETC133" i="8"/>
  <c r="ETB133" i="8"/>
  <c r="ETA133" i="8"/>
  <c r="ESZ133" i="8"/>
  <c r="ESY133" i="8"/>
  <c r="ESX133" i="8"/>
  <c r="ESW133" i="8"/>
  <c r="ESV133" i="8"/>
  <c r="ESU133" i="8"/>
  <c r="EST133" i="8"/>
  <c r="ESS133" i="8"/>
  <c r="ESR133" i="8"/>
  <c r="ESQ133" i="8"/>
  <c r="ESP133" i="8"/>
  <c r="ESO133" i="8"/>
  <c r="ESN133" i="8"/>
  <c r="ESM133" i="8"/>
  <c r="ESL133" i="8"/>
  <c r="ESK133" i="8"/>
  <c r="ESJ133" i="8"/>
  <c r="ESI133" i="8"/>
  <c r="ESH133" i="8"/>
  <c r="ESG133" i="8"/>
  <c r="ESF133" i="8"/>
  <c r="ESE133" i="8"/>
  <c r="ESD133" i="8"/>
  <c r="ESC133" i="8"/>
  <c r="ESB133" i="8"/>
  <c r="ESA133" i="8"/>
  <c r="ERZ133" i="8"/>
  <c r="ERY133" i="8"/>
  <c r="ERX133" i="8"/>
  <c r="ERW133" i="8"/>
  <c r="ERV133" i="8"/>
  <c r="ERU133" i="8"/>
  <c r="ERT133" i="8"/>
  <c r="ERS133" i="8"/>
  <c r="ERR133" i="8"/>
  <c r="ERQ133" i="8"/>
  <c r="ERP133" i="8"/>
  <c r="ERO133" i="8"/>
  <c r="ERN133" i="8"/>
  <c r="ERM133" i="8"/>
  <c r="ERL133" i="8"/>
  <c r="ERK133" i="8"/>
  <c r="ERJ133" i="8"/>
  <c r="ERI133" i="8"/>
  <c r="ERH133" i="8"/>
  <c r="ERG133" i="8"/>
  <c r="ERF133" i="8"/>
  <c r="ERE133" i="8"/>
  <c r="ERD133" i="8"/>
  <c r="ERC133" i="8"/>
  <c r="ERB133" i="8"/>
  <c r="ERA133" i="8"/>
  <c r="EQZ133" i="8"/>
  <c r="EQY133" i="8"/>
  <c r="EQX133" i="8"/>
  <c r="EQW133" i="8"/>
  <c r="EQV133" i="8"/>
  <c r="EQU133" i="8"/>
  <c r="EQT133" i="8"/>
  <c r="EQS133" i="8"/>
  <c r="EQR133" i="8"/>
  <c r="EQQ133" i="8"/>
  <c r="EQP133" i="8"/>
  <c r="EQO133" i="8"/>
  <c r="EQN133" i="8"/>
  <c r="EQM133" i="8"/>
  <c r="EQL133" i="8"/>
  <c r="EQK133" i="8"/>
  <c r="EQJ133" i="8"/>
  <c r="EQI133" i="8"/>
  <c r="EQH133" i="8"/>
  <c r="EQG133" i="8"/>
  <c r="EQF133" i="8"/>
  <c r="EQE133" i="8"/>
  <c r="EQD133" i="8"/>
  <c r="EQC133" i="8"/>
  <c r="EQB133" i="8"/>
  <c r="EQA133" i="8"/>
  <c r="EPZ133" i="8"/>
  <c r="EPY133" i="8"/>
  <c r="EPX133" i="8"/>
  <c r="EPW133" i="8"/>
  <c r="EPV133" i="8"/>
  <c r="EPU133" i="8"/>
  <c r="EPT133" i="8"/>
  <c r="EPS133" i="8"/>
  <c r="EPR133" i="8"/>
  <c r="EPQ133" i="8"/>
  <c r="EPP133" i="8"/>
  <c r="EPO133" i="8"/>
  <c r="EPN133" i="8"/>
  <c r="EPM133" i="8"/>
  <c r="EPL133" i="8"/>
  <c r="EPK133" i="8"/>
  <c r="EPJ133" i="8"/>
  <c r="EPI133" i="8"/>
  <c r="EPH133" i="8"/>
  <c r="EPG133" i="8"/>
  <c r="EPF133" i="8"/>
  <c r="EPE133" i="8"/>
  <c r="EPD133" i="8"/>
  <c r="EPC133" i="8"/>
  <c r="EPB133" i="8"/>
  <c r="EPA133" i="8"/>
  <c r="EOZ133" i="8"/>
  <c r="EOY133" i="8"/>
  <c r="EOX133" i="8"/>
  <c r="EOW133" i="8"/>
  <c r="EOV133" i="8"/>
  <c r="EOU133" i="8"/>
  <c r="EOT133" i="8"/>
  <c r="EOS133" i="8"/>
  <c r="EOR133" i="8"/>
  <c r="EOQ133" i="8"/>
  <c r="EOP133" i="8"/>
  <c r="EOO133" i="8"/>
  <c r="EON133" i="8"/>
  <c r="EOM133" i="8"/>
  <c r="EOL133" i="8"/>
  <c r="EOK133" i="8"/>
  <c r="EOJ133" i="8"/>
  <c r="EOI133" i="8"/>
  <c r="EOH133" i="8"/>
  <c r="EOG133" i="8"/>
  <c r="EOF133" i="8"/>
  <c r="EOE133" i="8"/>
  <c r="EOD133" i="8"/>
  <c r="EOC133" i="8"/>
  <c r="EOB133" i="8"/>
  <c r="EOA133" i="8"/>
  <c r="ENZ133" i="8"/>
  <c r="ENY133" i="8"/>
  <c r="ENX133" i="8"/>
  <c r="ENW133" i="8"/>
  <c r="ENV133" i="8"/>
  <c r="ENU133" i="8"/>
  <c r="ENT133" i="8"/>
  <c r="ENS133" i="8"/>
  <c r="ENR133" i="8"/>
  <c r="ENQ133" i="8"/>
  <c r="ENP133" i="8"/>
  <c r="ENO133" i="8"/>
  <c r="ENN133" i="8"/>
  <c r="ENM133" i="8"/>
  <c r="ENL133" i="8"/>
  <c r="ENK133" i="8"/>
  <c r="ENJ133" i="8"/>
  <c r="ENI133" i="8"/>
  <c r="ENH133" i="8"/>
  <c r="ENG133" i="8"/>
  <c r="ENF133" i="8"/>
  <c r="ENE133" i="8"/>
  <c r="END133" i="8"/>
  <c r="ENC133" i="8"/>
  <c r="ENB133" i="8"/>
  <c r="ENA133" i="8"/>
  <c r="EMZ133" i="8"/>
  <c r="EMY133" i="8"/>
  <c r="EMX133" i="8"/>
  <c r="EMW133" i="8"/>
  <c r="EMV133" i="8"/>
  <c r="EMU133" i="8"/>
  <c r="EMT133" i="8"/>
  <c r="EMS133" i="8"/>
  <c r="EMR133" i="8"/>
  <c r="EMQ133" i="8"/>
  <c r="EMP133" i="8"/>
  <c r="EMO133" i="8"/>
  <c r="EMN133" i="8"/>
  <c r="EMM133" i="8"/>
  <c r="EML133" i="8"/>
  <c r="EMK133" i="8"/>
  <c r="EMJ133" i="8"/>
  <c r="EMI133" i="8"/>
  <c r="EMH133" i="8"/>
  <c r="EMG133" i="8"/>
  <c r="EMF133" i="8"/>
  <c r="EME133" i="8"/>
  <c r="EMD133" i="8"/>
  <c r="EMC133" i="8"/>
  <c r="EMB133" i="8"/>
  <c r="EMA133" i="8"/>
  <c r="ELZ133" i="8"/>
  <c r="ELY133" i="8"/>
  <c r="ELX133" i="8"/>
  <c r="ELW133" i="8"/>
  <c r="ELV133" i="8"/>
  <c r="ELU133" i="8"/>
  <c r="ELT133" i="8"/>
  <c r="ELS133" i="8"/>
  <c r="ELR133" i="8"/>
  <c r="ELQ133" i="8"/>
  <c r="ELP133" i="8"/>
  <c r="ELO133" i="8"/>
  <c r="ELN133" i="8"/>
  <c r="ELM133" i="8"/>
  <c r="ELL133" i="8"/>
  <c r="ELK133" i="8"/>
  <c r="ELJ133" i="8"/>
  <c r="ELI133" i="8"/>
  <c r="ELH133" i="8"/>
  <c r="ELG133" i="8"/>
  <c r="ELF133" i="8"/>
  <c r="ELE133" i="8"/>
  <c r="ELD133" i="8"/>
  <c r="ELC133" i="8"/>
  <c r="ELB133" i="8"/>
  <c r="ELA133" i="8"/>
  <c r="EKZ133" i="8"/>
  <c r="EKY133" i="8"/>
  <c r="EKX133" i="8"/>
  <c r="EKW133" i="8"/>
  <c r="EKV133" i="8"/>
  <c r="EKU133" i="8"/>
  <c r="EKT133" i="8"/>
  <c r="EKS133" i="8"/>
  <c r="EKR133" i="8"/>
  <c r="EKQ133" i="8"/>
  <c r="EKP133" i="8"/>
  <c r="EKO133" i="8"/>
  <c r="EKN133" i="8"/>
  <c r="EKM133" i="8"/>
  <c r="EKL133" i="8"/>
  <c r="EKK133" i="8"/>
  <c r="EKJ133" i="8"/>
  <c r="EKI133" i="8"/>
  <c r="EKH133" i="8"/>
  <c r="EKG133" i="8"/>
  <c r="EKF133" i="8"/>
  <c r="EKE133" i="8"/>
  <c r="EKD133" i="8"/>
  <c r="EKC133" i="8"/>
  <c r="EKB133" i="8"/>
  <c r="EKA133" i="8"/>
  <c r="EJZ133" i="8"/>
  <c r="EJY133" i="8"/>
  <c r="EJX133" i="8"/>
  <c r="EJW133" i="8"/>
  <c r="EJV133" i="8"/>
  <c r="EJU133" i="8"/>
  <c r="EJT133" i="8"/>
  <c r="EJS133" i="8"/>
  <c r="EJR133" i="8"/>
  <c r="EJQ133" i="8"/>
  <c r="EJP133" i="8"/>
  <c r="EJO133" i="8"/>
  <c r="EJN133" i="8"/>
  <c r="EJM133" i="8"/>
  <c r="EJL133" i="8"/>
  <c r="EJK133" i="8"/>
  <c r="EJJ133" i="8"/>
  <c r="EJI133" i="8"/>
  <c r="EJH133" i="8"/>
  <c r="EJG133" i="8"/>
  <c r="EJF133" i="8"/>
  <c r="EJE133" i="8"/>
  <c r="EJD133" i="8"/>
  <c r="EJC133" i="8"/>
  <c r="EJB133" i="8"/>
  <c r="EJA133" i="8"/>
  <c r="EIZ133" i="8"/>
  <c r="EIY133" i="8"/>
  <c r="EIX133" i="8"/>
  <c r="EIW133" i="8"/>
  <c r="EIV133" i="8"/>
  <c r="EIU133" i="8"/>
  <c r="EIT133" i="8"/>
  <c r="EIS133" i="8"/>
  <c r="EIR133" i="8"/>
  <c r="EIQ133" i="8"/>
  <c r="EIP133" i="8"/>
  <c r="EIO133" i="8"/>
  <c r="EIN133" i="8"/>
  <c r="EIM133" i="8"/>
  <c r="EIL133" i="8"/>
  <c r="EIK133" i="8"/>
  <c r="EIJ133" i="8"/>
  <c r="EII133" i="8"/>
  <c r="EIH133" i="8"/>
  <c r="EIG133" i="8"/>
  <c r="EIF133" i="8"/>
  <c r="EIE133" i="8"/>
  <c r="EID133" i="8"/>
  <c r="EIC133" i="8"/>
  <c r="EIB133" i="8"/>
  <c r="EIA133" i="8"/>
  <c r="EHZ133" i="8"/>
  <c r="EHY133" i="8"/>
  <c r="EHX133" i="8"/>
  <c r="EHW133" i="8"/>
  <c r="EHV133" i="8"/>
  <c r="EHU133" i="8"/>
  <c r="EHT133" i="8"/>
  <c r="EHS133" i="8"/>
  <c r="EHR133" i="8"/>
  <c r="EHQ133" i="8"/>
  <c r="EHP133" i="8"/>
  <c r="EHO133" i="8"/>
  <c r="EHN133" i="8"/>
  <c r="EHM133" i="8"/>
  <c r="EHL133" i="8"/>
  <c r="EHK133" i="8"/>
  <c r="EHJ133" i="8"/>
  <c r="EHI133" i="8"/>
  <c r="EHH133" i="8"/>
  <c r="EHG133" i="8"/>
  <c r="EHF133" i="8"/>
  <c r="EHE133" i="8"/>
  <c r="EHD133" i="8"/>
  <c r="EHC133" i="8"/>
  <c r="EHB133" i="8"/>
  <c r="EHA133" i="8"/>
  <c r="EGZ133" i="8"/>
  <c r="EGY133" i="8"/>
  <c r="EGX133" i="8"/>
  <c r="EGW133" i="8"/>
  <c r="EGV133" i="8"/>
  <c r="EGU133" i="8"/>
  <c r="EGT133" i="8"/>
  <c r="EGS133" i="8"/>
  <c r="EGR133" i="8"/>
  <c r="EGQ133" i="8"/>
  <c r="EGP133" i="8"/>
  <c r="EGO133" i="8"/>
  <c r="EGN133" i="8"/>
  <c r="EGM133" i="8"/>
  <c r="EGL133" i="8"/>
  <c r="EGK133" i="8"/>
  <c r="EGJ133" i="8"/>
  <c r="EGI133" i="8"/>
  <c r="EGH133" i="8"/>
  <c r="EGG133" i="8"/>
  <c r="EGF133" i="8"/>
  <c r="EGE133" i="8"/>
  <c r="EGD133" i="8"/>
  <c r="EGC133" i="8"/>
  <c r="EGB133" i="8"/>
  <c r="EGA133" i="8"/>
  <c r="EFZ133" i="8"/>
  <c r="EFY133" i="8"/>
  <c r="EFX133" i="8"/>
  <c r="EFW133" i="8"/>
  <c r="EFV133" i="8"/>
  <c r="EFU133" i="8"/>
  <c r="EFT133" i="8"/>
  <c r="EFS133" i="8"/>
  <c r="EFR133" i="8"/>
  <c r="EFQ133" i="8"/>
  <c r="EFP133" i="8"/>
  <c r="EFO133" i="8"/>
  <c r="EFN133" i="8"/>
  <c r="EFM133" i="8"/>
  <c r="EFL133" i="8"/>
  <c r="EFK133" i="8"/>
  <c r="EFJ133" i="8"/>
  <c r="EFI133" i="8"/>
  <c r="EFH133" i="8"/>
  <c r="EFG133" i="8"/>
  <c r="EFF133" i="8"/>
  <c r="EFE133" i="8"/>
  <c r="EFD133" i="8"/>
  <c r="EFC133" i="8"/>
  <c r="EFB133" i="8"/>
  <c r="EFA133" i="8"/>
  <c r="EEZ133" i="8"/>
  <c r="EEY133" i="8"/>
  <c r="EEX133" i="8"/>
  <c r="EEW133" i="8"/>
  <c r="EEV133" i="8"/>
  <c r="EEU133" i="8"/>
  <c r="EET133" i="8"/>
  <c r="EES133" i="8"/>
  <c r="EER133" i="8"/>
  <c r="EEQ133" i="8"/>
  <c r="EEP133" i="8"/>
  <c r="EEO133" i="8"/>
  <c r="EEN133" i="8"/>
  <c r="EEM133" i="8"/>
  <c r="EEL133" i="8"/>
  <c r="EEK133" i="8"/>
  <c r="EEJ133" i="8"/>
  <c r="EEI133" i="8"/>
  <c r="EEH133" i="8"/>
  <c r="EEG133" i="8"/>
  <c r="EEF133" i="8"/>
  <c r="EEE133" i="8"/>
  <c r="EED133" i="8"/>
  <c r="EEC133" i="8"/>
  <c r="EEB133" i="8"/>
  <c r="EEA133" i="8"/>
  <c r="EDZ133" i="8"/>
  <c r="EDY133" i="8"/>
  <c r="EDX133" i="8"/>
  <c r="EDW133" i="8"/>
  <c r="EDV133" i="8"/>
  <c r="EDU133" i="8"/>
  <c r="EDT133" i="8"/>
  <c r="EDS133" i="8"/>
  <c r="EDR133" i="8"/>
  <c r="EDQ133" i="8"/>
  <c r="EDP133" i="8"/>
  <c r="EDO133" i="8"/>
  <c r="EDN133" i="8"/>
  <c r="EDM133" i="8"/>
  <c r="EDL133" i="8"/>
  <c r="EDK133" i="8"/>
  <c r="EDJ133" i="8"/>
  <c r="EDI133" i="8"/>
  <c r="EDH133" i="8"/>
  <c r="EDG133" i="8"/>
  <c r="EDF133" i="8"/>
  <c r="EDE133" i="8"/>
  <c r="EDD133" i="8"/>
  <c r="EDC133" i="8"/>
  <c r="EDB133" i="8"/>
  <c r="EDA133" i="8"/>
  <c r="ECZ133" i="8"/>
  <c r="ECY133" i="8"/>
  <c r="ECX133" i="8"/>
  <c r="ECW133" i="8"/>
  <c r="ECV133" i="8"/>
  <c r="ECU133" i="8"/>
  <c r="ECT133" i="8"/>
  <c r="ECS133" i="8"/>
  <c r="ECR133" i="8"/>
  <c r="ECQ133" i="8"/>
  <c r="ECP133" i="8"/>
  <c r="ECO133" i="8"/>
  <c r="ECN133" i="8"/>
  <c r="ECM133" i="8"/>
  <c r="ECL133" i="8"/>
  <c r="ECK133" i="8"/>
  <c r="ECJ133" i="8"/>
  <c r="ECI133" i="8"/>
  <c r="ECH133" i="8"/>
  <c r="ECG133" i="8"/>
  <c r="ECF133" i="8"/>
  <c r="ECE133" i="8"/>
  <c r="ECD133" i="8"/>
  <c r="ECC133" i="8"/>
  <c r="ECB133" i="8"/>
  <c r="ECA133" i="8"/>
  <c r="EBZ133" i="8"/>
  <c r="EBY133" i="8"/>
  <c r="EBX133" i="8"/>
  <c r="EBW133" i="8"/>
  <c r="EBV133" i="8"/>
  <c r="EBU133" i="8"/>
  <c r="EBT133" i="8"/>
  <c r="EBS133" i="8"/>
  <c r="EBR133" i="8"/>
  <c r="EBQ133" i="8"/>
  <c r="EBP133" i="8"/>
  <c r="EBO133" i="8"/>
  <c r="EBN133" i="8"/>
  <c r="EBM133" i="8"/>
  <c r="EBL133" i="8"/>
  <c r="EBK133" i="8"/>
  <c r="EBJ133" i="8"/>
  <c r="EBI133" i="8"/>
  <c r="EBH133" i="8"/>
  <c r="EBG133" i="8"/>
  <c r="EBF133" i="8"/>
  <c r="EBE133" i="8"/>
  <c r="EBD133" i="8"/>
  <c r="EBC133" i="8"/>
  <c r="EBB133" i="8"/>
  <c r="EBA133" i="8"/>
  <c r="EAZ133" i="8"/>
  <c r="EAY133" i="8"/>
  <c r="EAX133" i="8"/>
  <c r="EAW133" i="8"/>
  <c r="EAV133" i="8"/>
  <c r="EAU133" i="8"/>
  <c r="EAT133" i="8"/>
  <c r="EAS133" i="8"/>
  <c r="EAR133" i="8"/>
  <c r="EAQ133" i="8"/>
  <c r="EAP133" i="8"/>
  <c r="EAO133" i="8"/>
  <c r="EAN133" i="8"/>
  <c r="EAM133" i="8"/>
  <c r="EAL133" i="8"/>
  <c r="EAK133" i="8"/>
  <c r="EAJ133" i="8"/>
  <c r="EAI133" i="8"/>
  <c r="EAH133" i="8"/>
  <c r="EAG133" i="8"/>
  <c r="EAF133" i="8"/>
  <c r="EAE133" i="8"/>
  <c r="EAD133" i="8"/>
  <c r="EAC133" i="8"/>
  <c r="EAB133" i="8"/>
  <c r="EAA133" i="8"/>
  <c r="DZZ133" i="8"/>
  <c r="DZY133" i="8"/>
  <c r="DZX133" i="8"/>
  <c r="DZW133" i="8"/>
  <c r="DZV133" i="8"/>
  <c r="DZU133" i="8"/>
  <c r="DZT133" i="8"/>
  <c r="DZS133" i="8"/>
  <c r="DZR133" i="8"/>
  <c r="DZQ133" i="8"/>
  <c r="DZP133" i="8"/>
  <c r="DZO133" i="8"/>
  <c r="DZN133" i="8"/>
  <c r="DZM133" i="8"/>
  <c r="DZL133" i="8"/>
  <c r="DZK133" i="8"/>
  <c r="DZJ133" i="8"/>
  <c r="DZI133" i="8"/>
  <c r="DZH133" i="8"/>
  <c r="DZG133" i="8"/>
  <c r="DZF133" i="8"/>
  <c r="DZE133" i="8"/>
  <c r="DZD133" i="8"/>
  <c r="DZC133" i="8"/>
  <c r="DZB133" i="8"/>
  <c r="DZA133" i="8"/>
  <c r="DYZ133" i="8"/>
  <c r="DYY133" i="8"/>
  <c r="DYX133" i="8"/>
  <c r="DYW133" i="8"/>
  <c r="DYV133" i="8"/>
  <c r="DYU133" i="8"/>
  <c r="DYT133" i="8"/>
  <c r="DYS133" i="8"/>
  <c r="DYR133" i="8"/>
  <c r="DYQ133" i="8"/>
  <c r="DYP133" i="8"/>
  <c r="DYO133" i="8"/>
  <c r="DYN133" i="8"/>
  <c r="DYM133" i="8"/>
  <c r="DYL133" i="8"/>
  <c r="DYK133" i="8"/>
  <c r="DYJ133" i="8"/>
  <c r="DYI133" i="8"/>
  <c r="DYH133" i="8"/>
  <c r="DYG133" i="8"/>
  <c r="DYF133" i="8"/>
  <c r="DYE133" i="8"/>
  <c r="DYD133" i="8"/>
  <c r="DYC133" i="8"/>
  <c r="DYB133" i="8"/>
  <c r="DYA133" i="8"/>
  <c r="DXZ133" i="8"/>
  <c r="DXY133" i="8"/>
  <c r="DXX133" i="8"/>
  <c r="DXW133" i="8"/>
  <c r="DXV133" i="8"/>
  <c r="DXU133" i="8"/>
  <c r="DXT133" i="8"/>
  <c r="DXS133" i="8"/>
  <c r="DXR133" i="8"/>
  <c r="DXQ133" i="8"/>
  <c r="DXP133" i="8"/>
  <c r="DXO133" i="8"/>
  <c r="DXN133" i="8"/>
  <c r="DXM133" i="8"/>
  <c r="DXL133" i="8"/>
  <c r="DXK133" i="8"/>
  <c r="DXJ133" i="8"/>
  <c r="DXI133" i="8"/>
  <c r="DXH133" i="8"/>
  <c r="DXG133" i="8"/>
  <c r="DXF133" i="8"/>
  <c r="DXE133" i="8"/>
  <c r="DXD133" i="8"/>
  <c r="DXC133" i="8"/>
  <c r="DXB133" i="8"/>
  <c r="DXA133" i="8"/>
  <c r="DWZ133" i="8"/>
  <c r="DWY133" i="8"/>
  <c r="DWX133" i="8"/>
  <c r="DWW133" i="8"/>
  <c r="DWV133" i="8"/>
  <c r="DWU133" i="8"/>
  <c r="DWT133" i="8"/>
  <c r="DWS133" i="8"/>
  <c r="DWR133" i="8"/>
  <c r="DWQ133" i="8"/>
  <c r="DWP133" i="8"/>
  <c r="DWO133" i="8"/>
  <c r="DWN133" i="8"/>
  <c r="DWM133" i="8"/>
  <c r="DWL133" i="8"/>
  <c r="DWK133" i="8"/>
  <c r="DWJ133" i="8"/>
  <c r="DWI133" i="8"/>
  <c r="DWH133" i="8"/>
  <c r="DWG133" i="8"/>
  <c r="DWF133" i="8"/>
  <c r="DWE133" i="8"/>
  <c r="DWD133" i="8"/>
  <c r="DWC133" i="8"/>
  <c r="DWB133" i="8"/>
  <c r="DWA133" i="8"/>
  <c r="DVZ133" i="8"/>
  <c r="DVY133" i="8"/>
  <c r="DVX133" i="8"/>
  <c r="DVW133" i="8"/>
  <c r="DVV133" i="8"/>
  <c r="DVU133" i="8"/>
  <c r="DVT133" i="8"/>
  <c r="DVS133" i="8"/>
  <c r="DVR133" i="8"/>
  <c r="DVQ133" i="8"/>
  <c r="DVP133" i="8"/>
  <c r="DVO133" i="8"/>
  <c r="DVN133" i="8"/>
  <c r="DVM133" i="8"/>
  <c r="DVL133" i="8"/>
  <c r="DVK133" i="8"/>
  <c r="DVJ133" i="8"/>
  <c r="DVI133" i="8"/>
  <c r="DVH133" i="8"/>
  <c r="DVG133" i="8"/>
  <c r="DVF133" i="8"/>
  <c r="DVE133" i="8"/>
  <c r="DVD133" i="8"/>
  <c r="DVC133" i="8"/>
  <c r="DVB133" i="8"/>
  <c r="DVA133" i="8"/>
  <c r="DUZ133" i="8"/>
  <c r="DUY133" i="8"/>
  <c r="DUX133" i="8"/>
  <c r="DUW133" i="8"/>
  <c r="DUV133" i="8"/>
  <c r="DUU133" i="8"/>
  <c r="DUT133" i="8"/>
  <c r="DUS133" i="8"/>
  <c r="DUR133" i="8"/>
  <c r="DUQ133" i="8"/>
  <c r="DUP133" i="8"/>
  <c r="DUO133" i="8"/>
  <c r="DUN133" i="8"/>
  <c r="DUM133" i="8"/>
  <c r="DUL133" i="8"/>
  <c r="DUK133" i="8"/>
  <c r="DUJ133" i="8"/>
  <c r="DUI133" i="8"/>
  <c r="DUH133" i="8"/>
  <c r="DUG133" i="8"/>
  <c r="DUF133" i="8"/>
  <c r="DUE133" i="8"/>
  <c r="DUD133" i="8"/>
  <c r="DUC133" i="8"/>
  <c r="DUB133" i="8"/>
  <c r="DUA133" i="8"/>
  <c r="DTZ133" i="8"/>
  <c r="DTY133" i="8"/>
  <c r="DTX133" i="8"/>
  <c r="DTW133" i="8"/>
  <c r="DTV133" i="8"/>
  <c r="DTU133" i="8"/>
  <c r="DTT133" i="8"/>
  <c r="DTS133" i="8"/>
  <c r="DTR133" i="8"/>
  <c r="DTQ133" i="8"/>
  <c r="DTP133" i="8"/>
  <c r="DTO133" i="8"/>
  <c r="DTN133" i="8"/>
  <c r="DTM133" i="8"/>
  <c r="DTL133" i="8"/>
  <c r="DTK133" i="8"/>
  <c r="DTJ133" i="8"/>
  <c r="DTI133" i="8"/>
  <c r="DTH133" i="8"/>
  <c r="DTG133" i="8"/>
  <c r="DTF133" i="8"/>
  <c r="DTE133" i="8"/>
  <c r="DTD133" i="8"/>
  <c r="DTC133" i="8"/>
  <c r="DTB133" i="8"/>
  <c r="DTA133" i="8"/>
  <c r="DSZ133" i="8"/>
  <c r="DSY133" i="8"/>
  <c r="DSX133" i="8"/>
  <c r="DSW133" i="8"/>
  <c r="DSV133" i="8"/>
  <c r="DSU133" i="8"/>
  <c r="DST133" i="8"/>
  <c r="DSS133" i="8"/>
  <c r="DSR133" i="8"/>
  <c r="DSQ133" i="8"/>
  <c r="DSP133" i="8"/>
  <c r="DSO133" i="8"/>
  <c r="DSN133" i="8"/>
  <c r="DSM133" i="8"/>
  <c r="DSL133" i="8"/>
  <c r="DSK133" i="8"/>
  <c r="DSJ133" i="8"/>
  <c r="DSI133" i="8"/>
  <c r="DSH133" i="8"/>
  <c r="DSG133" i="8"/>
  <c r="DSF133" i="8"/>
  <c r="DSE133" i="8"/>
  <c r="DSD133" i="8"/>
  <c r="DSC133" i="8"/>
  <c r="DSB133" i="8"/>
  <c r="DSA133" i="8"/>
  <c r="DRZ133" i="8"/>
  <c r="DRY133" i="8"/>
  <c r="DRX133" i="8"/>
  <c r="DRW133" i="8"/>
  <c r="DRV133" i="8"/>
  <c r="DRU133" i="8"/>
  <c r="DRT133" i="8"/>
  <c r="DRS133" i="8"/>
  <c r="DRR133" i="8"/>
  <c r="DRQ133" i="8"/>
  <c r="DRP133" i="8"/>
  <c r="DRO133" i="8"/>
  <c r="DRN133" i="8"/>
  <c r="DRM133" i="8"/>
  <c r="DRL133" i="8"/>
  <c r="DRK133" i="8"/>
  <c r="DRJ133" i="8"/>
  <c r="DRI133" i="8"/>
  <c r="DRH133" i="8"/>
  <c r="DRG133" i="8"/>
  <c r="DRF133" i="8"/>
  <c r="DRE133" i="8"/>
  <c r="DRD133" i="8"/>
  <c r="DRC133" i="8"/>
  <c r="DRB133" i="8"/>
  <c r="DRA133" i="8"/>
  <c r="DQZ133" i="8"/>
  <c r="DQY133" i="8"/>
  <c r="DQX133" i="8"/>
  <c r="DQW133" i="8"/>
  <c r="DQV133" i="8"/>
  <c r="DQU133" i="8"/>
  <c r="DQT133" i="8"/>
  <c r="DQS133" i="8"/>
  <c r="DQR133" i="8"/>
  <c r="DQQ133" i="8"/>
  <c r="DQP133" i="8"/>
  <c r="DQO133" i="8"/>
  <c r="DQN133" i="8"/>
  <c r="DQM133" i="8"/>
  <c r="DQL133" i="8"/>
  <c r="DQK133" i="8"/>
  <c r="DQJ133" i="8"/>
  <c r="DQI133" i="8"/>
  <c r="DQH133" i="8"/>
  <c r="DQG133" i="8"/>
  <c r="DQF133" i="8"/>
  <c r="DQE133" i="8"/>
  <c r="DQD133" i="8"/>
  <c r="DQC133" i="8"/>
  <c r="DQB133" i="8"/>
  <c r="DQA133" i="8"/>
  <c r="DPZ133" i="8"/>
  <c r="DPY133" i="8"/>
  <c r="DPX133" i="8"/>
  <c r="DPW133" i="8"/>
  <c r="DPV133" i="8"/>
  <c r="DPU133" i="8"/>
  <c r="DPT133" i="8"/>
  <c r="DPS133" i="8"/>
  <c r="DPR133" i="8"/>
  <c r="DPQ133" i="8"/>
  <c r="DPP133" i="8"/>
  <c r="DPO133" i="8"/>
  <c r="DPN133" i="8"/>
  <c r="DPM133" i="8"/>
  <c r="DPL133" i="8"/>
  <c r="DPK133" i="8"/>
  <c r="DPJ133" i="8"/>
  <c r="DPI133" i="8"/>
  <c r="DPH133" i="8"/>
  <c r="DPG133" i="8"/>
  <c r="DPF133" i="8"/>
  <c r="DPE133" i="8"/>
  <c r="DPD133" i="8"/>
  <c r="DPC133" i="8"/>
  <c r="DPB133" i="8"/>
  <c r="DPA133" i="8"/>
  <c r="DOZ133" i="8"/>
  <c r="DOY133" i="8"/>
  <c r="DOX133" i="8"/>
  <c r="DOW133" i="8"/>
  <c r="DOV133" i="8"/>
  <c r="DOU133" i="8"/>
  <c r="DOT133" i="8"/>
  <c r="DOS133" i="8"/>
  <c r="DOR133" i="8"/>
  <c r="DOQ133" i="8"/>
  <c r="DOP133" i="8"/>
  <c r="DOO133" i="8"/>
  <c r="DON133" i="8"/>
  <c r="DOM133" i="8"/>
  <c r="DOL133" i="8"/>
  <c r="DOK133" i="8"/>
  <c r="DOJ133" i="8"/>
  <c r="DOI133" i="8"/>
  <c r="DOH133" i="8"/>
  <c r="DOG133" i="8"/>
  <c r="DOF133" i="8"/>
  <c r="DOE133" i="8"/>
  <c r="DOD133" i="8"/>
  <c r="DOC133" i="8"/>
  <c r="DOB133" i="8"/>
  <c r="DOA133" i="8"/>
  <c r="DNZ133" i="8"/>
  <c r="DNY133" i="8"/>
  <c r="DNX133" i="8"/>
  <c r="DNW133" i="8"/>
  <c r="DNV133" i="8"/>
  <c r="DNU133" i="8"/>
  <c r="DNT133" i="8"/>
  <c r="DNS133" i="8"/>
  <c r="DNR133" i="8"/>
  <c r="DNQ133" i="8"/>
  <c r="DNP133" i="8"/>
  <c r="DNO133" i="8"/>
  <c r="DNN133" i="8"/>
  <c r="DNM133" i="8"/>
  <c r="DNL133" i="8"/>
  <c r="DNK133" i="8"/>
  <c r="DNJ133" i="8"/>
  <c r="DNI133" i="8"/>
  <c r="DNH133" i="8"/>
  <c r="DNG133" i="8"/>
  <c r="DNF133" i="8"/>
  <c r="DNE133" i="8"/>
  <c r="DND133" i="8"/>
  <c r="DNC133" i="8"/>
  <c r="DNB133" i="8"/>
  <c r="DNA133" i="8"/>
  <c r="DMZ133" i="8"/>
  <c r="DMY133" i="8"/>
  <c r="DMX133" i="8"/>
  <c r="DMW133" i="8"/>
  <c r="DMV133" i="8"/>
  <c r="DMU133" i="8"/>
  <c r="DMT133" i="8"/>
  <c r="DMS133" i="8"/>
  <c r="DMR133" i="8"/>
  <c r="DMQ133" i="8"/>
  <c r="DMP133" i="8"/>
  <c r="DMO133" i="8"/>
  <c r="DMN133" i="8"/>
  <c r="DMM133" i="8"/>
  <c r="DML133" i="8"/>
  <c r="DMK133" i="8"/>
  <c r="DMJ133" i="8"/>
  <c r="DMI133" i="8"/>
  <c r="DMH133" i="8"/>
  <c r="DMG133" i="8"/>
  <c r="DMF133" i="8"/>
  <c r="DME133" i="8"/>
  <c r="DMD133" i="8"/>
  <c r="DMC133" i="8"/>
  <c r="DMB133" i="8"/>
  <c r="DMA133" i="8"/>
  <c r="DLZ133" i="8"/>
  <c r="DLY133" i="8"/>
  <c r="DLX133" i="8"/>
  <c r="DLW133" i="8"/>
  <c r="DLV133" i="8"/>
  <c r="DLU133" i="8"/>
  <c r="DLT133" i="8"/>
  <c r="DLS133" i="8"/>
  <c r="DLR133" i="8"/>
  <c r="DLQ133" i="8"/>
  <c r="DLP133" i="8"/>
  <c r="DLO133" i="8"/>
  <c r="DLN133" i="8"/>
  <c r="DLM133" i="8"/>
  <c r="DLL133" i="8"/>
  <c r="DLK133" i="8"/>
  <c r="DLJ133" i="8"/>
  <c r="DLI133" i="8"/>
  <c r="DLH133" i="8"/>
  <c r="DLG133" i="8"/>
  <c r="DLF133" i="8"/>
  <c r="DLE133" i="8"/>
  <c r="DLD133" i="8"/>
  <c r="DLC133" i="8"/>
  <c r="DLB133" i="8"/>
  <c r="DLA133" i="8"/>
  <c r="DKZ133" i="8"/>
  <c r="DKY133" i="8"/>
  <c r="DKX133" i="8"/>
  <c r="DKW133" i="8"/>
  <c r="DKV133" i="8"/>
  <c r="DKU133" i="8"/>
  <c r="DKT133" i="8"/>
  <c r="DKS133" i="8"/>
  <c r="DKR133" i="8"/>
  <c r="DKQ133" i="8"/>
  <c r="DKP133" i="8"/>
  <c r="DKO133" i="8"/>
  <c r="DKN133" i="8"/>
  <c r="DKM133" i="8"/>
  <c r="DKL133" i="8"/>
  <c r="DKK133" i="8"/>
  <c r="DKJ133" i="8"/>
  <c r="DKI133" i="8"/>
  <c r="DKH133" i="8"/>
  <c r="DKG133" i="8"/>
  <c r="DKF133" i="8"/>
  <c r="DKE133" i="8"/>
  <c r="DKD133" i="8"/>
  <c r="DKC133" i="8"/>
  <c r="DKB133" i="8"/>
  <c r="DKA133" i="8"/>
  <c r="DJZ133" i="8"/>
  <c r="DJY133" i="8"/>
  <c r="DJX133" i="8"/>
  <c r="DJW133" i="8"/>
  <c r="DJV133" i="8"/>
  <c r="DJU133" i="8"/>
  <c r="DJT133" i="8"/>
  <c r="DJS133" i="8"/>
  <c r="DJR133" i="8"/>
  <c r="DJQ133" i="8"/>
  <c r="DJP133" i="8"/>
  <c r="DJO133" i="8"/>
  <c r="DJN133" i="8"/>
  <c r="DJM133" i="8"/>
  <c r="DJL133" i="8"/>
  <c r="DJK133" i="8"/>
  <c r="DJJ133" i="8"/>
  <c r="DJI133" i="8"/>
  <c r="DJH133" i="8"/>
  <c r="DJG133" i="8"/>
  <c r="DJF133" i="8"/>
  <c r="DJE133" i="8"/>
  <c r="DJD133" i="8"/>
  <c r="DJC133" i="8"/>
  <c r="DJB133" i="8"/>
  <c r="DJA133" i="8"/>
  <c r="DIZ133" i="8"/>
  <c r="DIY133" i="8"/>
  <c r="DIX133" i="8"/>
  <c r="DIW133" i="8"/>
  <c r="DIV133" i="8"/>
  <c r="DIU133" i="8"/>
  <c r="DIT133" i="8"/>
  <c r="DIS133" i="8"/>
  <c r="DIR133" i="8"/>
  <c r="DIQ133" i="8"/>
  <c r="DIP133" i="8"/>
  <c r="DIO133" i="8"/>
  <c r="DIN133" i="8"/>
  <c r="DIM133" i="8"/>
  <c r="DIL133" i="8"/>
  <c r="DIK133" i="8"/>
  <c r="DIJ133" i="8"/>
  <c r="DII133" i="8"/>
  <c r="DIH133" i="8"/>
  <c r="DIG133" i="8"/>
  <c r="DIF133" i="8"/>
  <c r="DIE133" i="8"/>
  <c r="DID133" i="8"/>
  <c r="DIC133" i="8"/>
  <c r="DIB133" i="8"/>
  <c r="DIA133" i="8"/>
  <c r="DHZ133" i="8"/>
  <c r="DHY133" i="8"/>
  <c r="DHX133" i="8"/>
  <c r="DHW133" i="8"/>
  <c r="DHV133" i="8"/>
  <c r="DHU133" i="8"/>
  <c r="DHT133" i="8"/>
  <c r="DHS133" i="8"/>
  <c r="DHR133" i="8"/>
  <c r="DHQ133" i="8"/>
  <c r="DHP133" i="8"/>
  <c r="DHO133" i="8"/>
  <c r="DHN133" i="8"/>
  <c r="DHM133" i="8"/>
  <c r="DHL133" i="8"/>
  <c r="DHK133" i="8"/>
  <c r="DHJ133" i="8"/>
  <c r="DHI133" i="8"/>
  <c r="DHH133" i="8"/>
  <c r="DHG133" i="8"/>
  <c r="DHF133" i="8"/>
  <c r="DHE133" i="8"/>
  <c r="DHD133" i="8"/>
  <c r="DHC133" i="8"/>
  <c r="DHB133" i="8"/>
  <c r="DHA133" i="8"/>
  <c r="DGZ133" i="8"/>
  <c r="DGY133" i="8"/>
  <c r="DGX133" i="8"/>
  <c r="DGW133" i="8"/>
  <c r="DGV133" i="8"/>
  <c r="DGU133" i="8"/>
  <c r="DGT133" i="8"/>
  <c r="DGS133" i="8"/>
  <c r="DGR133" i="8"/>
  <c r="DGQ133" i="8"/>
  <c r="DGP133" i="8"/>
  <c r="DGO133" i="8"/>
  <c r="DGN133" i="8"/>
  <c r="DGM133" i="8"/>
  <c r="DGL133" i="8"/>
  <c r="DGK133" i="8"/>
  <c r="DGJ133" i="8"/>
  <c r="DGI133" i="8"/>
  <c r="DGH133" i="8"/>
  <c r="DGG133" i="8"/>
  <c r="DGF133" i="8"/>
  <c r="DGE133" i="8"/>
  <c r="DGD133" i="8"/>
  <c r="DGC133" i="8"/>
  <c r="DGB133" i="8"/>
  <c r="DGA133" i="8"/>
  <c r="DFZ133" i="8"/>
  <c r="DFY133" i="8"/>
  <c r="DFX133" i="8"/>
  <c r="DFW133" i="8"/>
  <c r="DFV133" i="8"/>
  <c r="DFU133" i="8"/>
  <c r="DFT133" i="8"/>
  <c r="DFS133" i="8"/>
  <c r="DFR133" i="8"/>
  <c r="DFQ133" i="8"/>
  <c r="DFP133" i="8"/>
  <c r="DFO133" i="8"/>
  <c r="DFN133" i="8"/>
  <c r="DFM133" i="8"/>
  <c r="DFL133" i="8"/>
  <c r="DFK133" i="8"/>
  <c r="DFJ133" i="8"/>
  <c r="DFI133" i="8"/>
  <c r="DFH133" i="8"/>
  <c r="DFG133" i="8"/>
  <c r="DFF133" i="8"/>
  <c r="DFE133" i="8"/>
  <c r="DFD133" i="8"/>
  <c r="DFC133" i="8"/>
  <c r="DFB133" i="8"/>
  <c r="DFA133" i="8"/>
  <c r="DEZ133" i="8"/>
  <c r="DEY133" i="8"/>
  <c r="DEX133" i="8"/>
  <c r="DEW133" i="8"/>
  <c r="DEV133" i="8"/>
  <c r="DEU133" i="8"/>
  <c r="DET133" i="8"/>
  <c r="DES133" i="8"/>
  <c r="DER133" i="8"/>
  <c r="DEQ133" i="8"/>
  <c r="DEP133" i="8"/>
  <c r="DEO133" i="8"/>
  <c r="DEN133" i="8"/>
  <c r="DEM133" i="8"/>
  <c r="DEL133" i="8"/>
  <c r="DEK133" i="8"/>
  <c r="DEJ133" i="8"/>
  <c r="DEI133" i="8"/>
  <c r="DEH133" i="8"/>
  <c r="DEG133" i="8"/>
  <c r="DEF133" i="8"/>
  <c r="DEE133" i="8"/>
  <c r="DED133" i="8"/>
  <c r="DEC133" i="8"/>
  <c r="DEB133" i="8"/>
  <c r="DEA133" i="8"/>
  <c r="DDZ133" i="8"/>
  <c r="DDY133" i="8"/>
  <c r="DDX133" i="8"/>
  <c r="DDW133" i="8"/>
  <c r="DDV133" i="8"/>
  <c r="DDU133" i="8"/>
  <c r="DDT133" i="8"/>
  <c r="DDS133" i="8"/>
  <c r="DDR133" i="8"/>
  <c r="DDQ133" i="8"/>
  <c r="DDP133" i="8"/>
  <c r="DDO133" i="8"/>
  <c r="DDN133" i="8"/>
  <c r="DDM133" i="8"/>
  <c r="DDL133" i="8"/>
  <c r="DDK133" i="8"/>
  <c r="DDJ133" i="8"/>
  <c r="DDI133" i="8"/>
  <c r="DDH133" i="8"/>
  <c r="DDG133" i="8"/>
  <c r="DDF133" i="8"/>
  <c r="DDE133" i="8"/>
  <c r="DDD133" i="8"/>
  <c r="DDC133" i="8"/>
  <c r="DDB133" i="8"/>
  <c r="DDA133" i="8"/>
  <c r="DCZ133" i="8"/>
  <c r="DCY133" i="8"/>
  <c r="DCX133" i="8"/>
  <c r="DCW133" i="8"/>
  <c r="DCV133" i="8"/>
  <c r="DCU133" i="8"/>
  <c r="DCT133" i="8"/>
  <c r="DCS133" i="8"/>
  <c r="DCR133" i="8"/>
  <c r="DCQ133" i="8"/>
  <c r="DCP133" i="8"/>
  <c r="DCO133" i="8"/>
  <c r="DCN133" i="8"/>
  <c r="DCM133" i="8"/>
  <c r="DCL133" i="8"/>
  <c r="DCK133" i="8"/>
  <c r="DCJ133" i="8"/>
  <c r="DCI133" i="8"/>
  <c r="DCH133" i="8"/>
  <c r="DCG133" i="8"/>
  <c r="DCF133" i="8"/>
  <c r="DCE133" i="8"/>
  <c r="DCD133" i="8"/>
  <c r="DCC133" i="8"/>
  <c r="DCB133" i="8"/>
  <c r="DCA133" i="8"/>
  <c r="DBZ133" i="8"/>
  <c r="DBY133" i="8"/>
  <c r="DBX133" i="8"/>
  <c r="DBW133" i="8"/>
  <c r="DBV133" i="8"/>
  <c r="DBU133" i="8"/>
  <c r="DBT133" i="8"/>
  <c r="DBS133" i="8"/>
  <c r="DBR133" i="8"/>
  <c r="DBQ133" i="8"/>
  <c r="DBP133" i="8"/>
  <c r="DBO133" i="8"/>
  <c r="DBN133" i="8"/>
  <c r="DBM133" i="8"/>
  <c r="DBL133" i="8"/>
  <c r="DBK133" i="8"/>
  <c r="DBJ133" i="8"/>
  <c r="DBI133" i="8"/>
  <c r="DBH133" i="8"/>
  <c r="DBG133" i="8"/>
  <c r="DBF133" i="8"/>
  <c r="DBE133" i="8"/>
  <c r="DBD133" i="8"/>
  <c r="DBC133" i="8"/>
  <c r="DBB133" i="8"/>
  <c r="DBA133" i="8"/>
  <c r="DAZ133" i="8"/>
  <c r="DAY133" i="8"/>
  <c r="DAX133" i="8"/>
  <c r="DAW133" i="8"/>
  <c r="DAV133" i="8"/>
  <c r="DAU133" i="8"/>
  <c r="DAT133" i="8"/>
  <c r="DAS133" i="8"/>
  <c r="DAR133" i="8"/>
  <c r="DAQ133" i="8"/>
  <c r="DAP133" i="8"/>
  <c r="DAO133" i="8"/>
  <c r="DAN133" i="8"/>
  <c r="DAM133" i="8"/>
  <c r="DAL133" i="8"/>
  <c r="DAK133" i="8"/>
  <c r="DAJ133" i="8"/>
  <c r="DAI133" i="8"/>
  <c r="DAH133" i="8"/>
  <c r="DAG133" i="8"/>
  <c r="DAF133" i="8"/>
  <c r="DAE133" i="8"/>
  <c r="DAD133" i="8"/>
  <c r="DAC133" i="8"/>
  <c r="DAB133" i="8"/>
  <c r="DAA133" i="8"/>
  <c r="CZZ133" i="8"/>
  <c r="CZY133" i="8"/>
  <c r="CZX133" i="8"/>
  <c r="CZW133" i="8"/>
  <c r="CZV133" i="8"/>
  <c r="CZU133" i="8"/>
  <c r="CZT133" i="8"/>
  <c r="CZS133" i="8"/>
  <c r="CZR133" i="8"/>
  <c r="CZQ133" i="8"/>
  <c r="CZP133" i="8"/>
  <c r="CZO133" i="8"/>
  <c r="CZN133" i="8"/>
  <c r="CZM133" i="8"/>
  <c r="CZL133" i="8"/>
  <c r="CZK133" i="8"/>
  <c r="CZJ133" i="8"/>
  <c r="CZI133" i="8"/>
  <c r="CZH133" i="8"/>
  <c r="CZG133" i="8"/>
  <c r="CZF133" i="8"/>
  <c r="CZE133" i="8"/>
  <c r="CZD133" i="8"/>
  <c r="CZC133" i="8"/>
  <c r="CZB133" i="8"/>
  <c r="CZA133" i="8"/>
  <c r="CYZ133" i="8"/>
  <c r="CYY133" i="8"/>
  <c r="CYX133" i="8"/>
  <c r="CYW133" i="8"/>
  <c r="CYV133" i="8"/>
  <c r="CYU133" i="8"/>
  <c r="CYT133" i="8"/>
  <c r="CYS133" i="8"/>
  <c r="CYR133" i="8"/>
  <c r="CYQ133" i="8"/>
  <c r="CYP133" i="8"/>
  <c r="CYO133" i="8"/>
  <c r="CYN133" i="8"/>
  <c r="CYM133" i="8"/>
  <c r="CYL133" i="8"/>
  <c r="CYK133" i="8"/>
  <c r="CYJ133" i="8"/>
  <c r="CYI133" i="8"/>
  <c r="CYH133" i="8"/>
  <c r="CYG133" i="8"/>
  <c r="CYF133" i="8"/>
  <c r="CYE133" i="8"/>
  <c r="CYD133" i="8"/>
  <c r="CYC133" i="8"/>
  <c r="CYB133" i="8"/>
  <c r="CYA133" i="8"/>
  <c r="CXZ133" i="8"/>
  <c r="CXY133" i="8"/>
  <c r="CXX133" i="8"/>
  <c r="CXW133" i="8"/>
  <c r="CXV133" i="8"/>
  <c r="CXU133" i="8"/>
  <c r="CXT133" i="8"/>
  <c r="CXS133" i="8"/>
  <c r="CXR133" i="8"/>
  <c r="CXQ133" i="8"/>
  <c r="CXP133" i="8"/>
  <c r="CXO133" i="8"/>
  <c r="CXN133" i="8"/>
  <c r="CXM133" i="8"/>
  <c r="CXL133" i="8"/>
  <c r="CXK133" i="8"/>
  <c r="CXJ133" i="8"/>
  <c r="CXI133" i="8"/>
  <c r="CXH133" i="8"/>
  <c r="CXG133" i="8"/>
  <c r="CXF133" i="8"/>
  <c r="CXE133" i="8"/>
  <c r="CXD133" i="8"/>
  <c r="CXC133" i="8"/>
  <c r="CXB133" i="8"/>
  <c r="CXA133" i="8"/>
  <c r="CWZ133" i="8"/>
  <c r="CWY133" i="8"/>
  <c r="CWX133" i="8"/>
  <c r="CWW133" i="8"/>
  <c r="CWV133" i="8"/>
  <c r="CWU133" i="8"/>
  <c r="CWT133" i="8"/>
  <c r="CWS133" i="8"/>
  <c r="CWR133" i="8"/>
  <c r="CWQ133" i="8"/>
  <c r="CWP133" i="8"/>
  <c r="CWO133" i="8"/>
  <c r="CWN133" i="8"/>
  <c r="CWM133" i="8"/>
  <c r="CWL133" i="8"/>
  <c r="CWK133" i="8"/>
  <c r="CWJ133" i="8"/>
  <c r="CWI133" i="8"/>
  <c r="CWH133" i="8"/>
  <c r="CWG133" i="8"/>
  <c r="CWF133" i="8"/>
  <c r="CWE133" i="8"/>
  <c r="CWD133" i="8"/>
  <c r="CWC133" i="8"/>
  <c r="CWB133" i="8"/>
  <c r="CWA133" i="8"/>
  <c r="CVZ133" i="8"/>
  <c r="CVY133" i="8"/>
  <c r="CVX133" i="8"/>
  <c r="CVW133" i="8"/>
  <c r="CVV133" i="8"/>
  <c r="CVU133" i="8"/>
  <c r="CVT133" i="8"/>
  <c r="CVS133" i="8"/>
  <c r="CVR133" i="8"/>
  <c r="CVQ133" i="8"/>
  <c r="CVP133" i="8"/>
  <c r="CVO133" i="8"/>
  <c r="CVN133" i="8"/>
  <c r="CVM133" i="8"/>
  <c r="CVL133" i="8"/>
  <c r="CVK133" i="8"/>
  <c r="CVJ133" i="8"/>
  <c r="CVI133" i="8"/>
  <c r="CVH133" i="8"/>
  <c r="CVG133" i="8"/>
  <c r="CVF133" i="8"/>
  <c r="CVE133" i="8"/>
  <c r="CVD133" i="8"/>
  <c r="CVC133" i="8"/>
  <c r="CVB133" i="8"/>
  <c r="CVA133" i="8"/>
  <c r="CUZ133" i="8"/>
  <c r="CUY133" i="8"/>
  <c r="CUX133" i="8"/>
  <c r="CUW133" i="8"/>
  <c r="CUV133" i="8"/>
  <c r="CUU133" i="8"/>
  <c r="CUT133" i="8"/>
  <c r="CUS133" i="8"/>
  <c r="CUR133" i="8"/>
  <c r="CUQ133" i="8"/>
  <c r="CUP133" i="8"/>
  <c r="CUO133" i="8"/>
  <c r="CUN133" i="8"/>
  <c r="CUM133" i="8"/>
  <c r="CUL133" i="8"/>
  <c r="CUK133" i="8"/>
  <c r="CUJ133" i="8"/>
  <c r="CUI133" i="8"/>
  <c r="CUH133" i="8"/>
  <c r="CUG133" i="8"/>
  <c r="CUF133" i="8"/>
  <c r="CUE133" i="8"/>
  <c r="CUD133" i="8"/>
  <c r="CUC133" i="8"/>
  <c r="CUB133" i="8"/>
  <c r="CUA133" i="8"/>
  <c r="CTZ133" i="8"/>
  <c r="CTY133" i="8"/>
  <c r="CTX133" i="8"/>
  <c r="CTW133" i="8"/>
  <c r="CTV133" i="8"/>
  <c r="CTU133" i="8"/>
  <c r="CTT133" i="8"/>
  <c r="CTS133" i="8"/>
  <c r="CTR133" i="8"/>
  <c r="CTQ133" i="8"/>
  <c r="CTP133" i="8"/>
  <c r="CTO133" i="8"/>
  <c r="CTN133" i="8"/>
  <c r="CTM133" i="8"/>
  <c r="CTL133" i="8"/>
  <c r="CTK133" i="8"/>
  <c r="CTJ133" i="8"/>
  <c r="CTI133" i="8"/>
  <c r="CTH133" i="8"/>
  <c r="CTG133" i="8"/>
  <c r="CTF133" i="8"/>
  <c r="CTE133" i="8"/>
  <c r="CTD133" i="8"/>
  <c r="CTC133" i="8"/>
  <c r="CTB133" i="8"/>
  <c r="CTA133" i="8"/>
  <c r="CSZ133" i="8"/>
  <c r="CSY133" i="8"/>
  <c r="CSX133" i="8"/>
  <c r="CSW133" i="8"/>
  <c r="CSV133" i="8"/>
  <c r="CSU133" i="8"/>
  <c r="CST133" i="8"/>
  <c r="CSS133" i="8"/>
  <c r="CSR133" i="8"/>
  <c r="CSQ133" i="8"/>
  <c r="CSP133" i="8"/>
  <c r="CSO133" i="8"/>
  <c r="CSN133" i="8"/>
  <c r="CSM133" i="8"/>
  <c r="CSL133" i="8"/>
  <c r="CSK133" i="8"/>
  <c r="CSJ133" i="8"/>
  <c r="CSI133" i="8"/>
  <c r="CSH133" i="8"/>
  <c r="CSG133" i="8"/>
  <c r="CSF133" i="8"/>
  <c r="CSE133" i="8"/>
  <c r="CSD133" i="8"/>
  <c r="CSC133" i="8"/>
  <c r="CSB133" i="8"/>
  <c r="CSA133" i="8"/>
  <c r="CRZ133" i="8"/>
  <c r="CRY133" i="8"/>
  <c r="CRX133" i="8"/>
  <c r="CRW133" i="8"/>
  <c r="CRV133" i="8"/>
  <c r="CRU133" i="8"/>
  <c r="CRT133" i="8"/>
  <c r="CRS133" i="8"/>
  <c r="CRR133" i="8"/>
  <c r="CRQ133" i="8"/>
  <c r="CRP133" i="8"/>
  <c r="CRO133" i="8"/>
  <c r="CRN133" i="8"/>
  <c r="CRM133" i="8"/>
  <c r="CRL133" i="8"/>
  <c r="CRK133" i="8"/>
  <c r="CRJ133" i="8"/>
  <c r="CRI133" i="8"/>
  <c r="CRH133" i="8"/>
  <c r="CRG133" i="8"/>
  <c r="CRF133" i="8"/>
  <c r="CRE133" i="8"/>
  <c r="CRD133" i="8"/>
  <c r="CRC133" i="8"/>
  <c r="CRB133" i="8"/>
  <c r="CRA133" i="8"/>
  <c r="CQZ133" i="8"/>
  <c r="CQY133" i="8"/>
  <c r="CQX133" i="8"/>
  <c r="CQW133" i="8"/>
  <c r="CQV133" i="8"/>
  <c r="CQU133" i="8"/>
  <c r="CQT133" i="8"/>
  <c r="CQS133" i="8"/>
  <c r="CQR133" i="8"/>
  <c r="CQQ133" i="8"/>
  <c r="CQP133" i="8"/>
  <c r="CQO133" i="8"/>
  <c r="CQN133" i="8"/>
  <c r="CQM133" i="8"/>
  <c r="CQL133" i="8"/>
  <c r="CQK133" i="8"/>
  <c r="CQJ133" i="8"/>
  <c r="CQI133" i="8"/>
  <c r="CQH133" i="8"/>
  <c r="CQG133" i="8"/>
  <c r="CQF133" i="8"/>
  <c r="CQE133" i="8"/>
  <c r="CQD133" i="8"/>
  <c r="CQC133" i="8"/>
  <c r="CQB133" i="8"/>
  <c r="CQA133" i="8"/>
  <c r="CPZ133" i="8"/>
  <c r="CPY133" i="8"/>
  <c r="CPX133" i="8"/>
  <c r="CPW133" i="8"/>
  <c r="CPV133" i="8"/>
  <c r="CPU133" i="8"/>
  <c r="CPT133" i="8"/>
  <c r="CPS133" i="8"/>
  <c r="CPR133" i="8"/>
  <c r="CPQ133" i="8"/>
  <c r="CPP133" i="8"/>
  <c r="CPO133" i="8"/>
  <c r="CPN133" i="8"/>
  <c r="CPM133" i="8"/>
  <c r="CPL133" i="8"/>
  <c r="CPK133" i="8"/>
  <c r="CPJ133" i="8"/>
  <c r="CPI133" i="8"/>
  <c r="CPH133" i="8"/>
  <c r="CPG133" i="8"/>
  <c r="CPF133" i="8"/>
  <c r="CPE133" i="8"/>
  <c r="CPD133" i="8"/>
  <c r="CPC133" i="8"/>
  <c r="CPB133" i="8"/>
  <c r="CPA133" i="8"/>
  <c r="COZ133" i="8"/>
  <c r="COY133" i="8"/>
  <c r="COX133" i="8"/>
  <c r="COW133" i="8"/>
  <c r="COV133" i="8"/>
  <c r="COU133" i="8"/>
  <c r="COT133" i="8"/>
  <c r="COS133" i="8"/>
  <c r="COR133" i="8"/>
  <c r="COQ133" i="8"/>
  <c r="COP133" i="8"/>
  <c r="COO133" i="8"/>
  <c r="CON133" i="8"/>
  <c r="COM133" i="8"/>
  <c r="COL133" i="8"/>
  <c r="COK133" i="8"/>
  <c r="COJ133" i="8"/>
  <c r="COI133" i="8"/>
  <c r="COH133" i="8"/>
  <c r="COG133" i="8"/>
  <c r="COF133" i="8"/>
  <c r="COE133" i="8"/>
  <c r="COD133" i="8"/>
  <c r="COC133" i="8"/>
  <c r="COB133" i="8"/>
  <c r="COA133" i="8"/>
  <c r="CNZ133" i="8"/>
  <c r="CNY133" i="8"/>
  <c r="CNX133" i="8"/>
  <c r="CNW133" i="8"/>
  <c r="CNV133" i="8"/>
  <c r="CNU133" i="8"/>
  <c r="CNT133" i="8"/>
  <c r="CNS133" i="8"/>
  <c r="CNR133" i="8"/>
  <c r="CNQ133" i="8"/>
  <c r="CNP133" i="8"/>
  <c r="CNO133" i="8"/>
  <c r="CNN133" i="8"/>
  <c r="CNM133" i="8"/>
  <c r="CNL133" i="8"/>
  <c r="CNK133" i="8"/>
  <c r="CNJ133" i="8"/>
  <c r="CNI133" i="8"/>
  <c r="CNH133" i="8"/>
  <c r="CNG133" i="8"/>
  <c r="CNF133" i="8"/>
  <c r="CNE133" i="8"/>
  <c r="CND133" i="8"/>
  <c r="CNC133" i="8"/>
  <c r="CNB133" i="8"/>
  <c r="CNA133" i="8"/>
  <c r="CMZ133" i="8"/>
  <c r="CMY133" i="8"/>
  <c r="CMX133" i="8"/>
  <c r="CMW133" i="8"/>
  <c r="CMV133" i="8"/>
  <c r="CMU133" i="8"/>
  <c r="CMT133" i="8"/>
  <c r="CMS133" i="8"/>
  <c r="CMR133" i="8"/>
  <c r="CMQ133" i="8"/>
  <c r="CMP133" i="8"/>
  <c r="CMO133" i="8"/>
  <c r="CMN133" i="8"/>
  <c r="CMM133" i="8"/>
  <c r="CML133" i="8"/>
  <c r="CMK133" i="8"/>
  <c r="CMJ133" i="8"/>
  <c r="CMI133" i="8"/>
  <c r="CMH133" i="8"/>
  <c r="CMG133" i="8"/>
  <c r="CMF133" i="8"/>
  <c r="CME133" i="8"/>
  <c r="CMD133" i="8"/>
  <c r="CMC133" i="8"/>
  <c r="CMB133" i="8"/>
  <c r="CMA133" i="8"/>
  <c r="CLZ133" i="8"/>
  <c r="CLY133" i="8"/>
  <c r="CLX133" i="8"/>
  <c r="CLW133" i="8"/>
  <c r="CLV133" i="8"/>
  <c r="CLU133" i="8"/>
  <c r="CLT133" i="8"/>
  <c r="CLS133" i="8"/>
  <c r="CLR133" i="8"/>
  <c r="CLQ133" i="8"/>
  <c r="CLP133" i="8"/>
  <c r="CLO133" i="8"/>
  <c r="CLN133" i="8"/>
  <c r="CLM133" i="8"/>
  <c r="CLL133" i="8"/>
  <c r="CLK133" i="8"/>
  <c r="CLJ133" i="8"/>
  <c r="CLI133" i="8"/>
  <c r="CLH133" i="8"/>
  <c r="CLG133" i="8"/>
  <c r="CLF133" i="8"/>
  <c r="CLE133" i="8"/>
  <c r="CLD133" i="8"/>
  <c r="CLC133" i="8"/>
  <c r="CLB133" i="8"/>
  <c r="CLA133" i="8"/>
  <c r="CKZ133" i="8"/>
  <c r="CKY133" i="8"/>
  <c r="CKX133" i="8"/>
  <c r="CKW133" i="8"/>
  <c r="CKV133" i="8"/>
  <c r="CKU133" i="8"/>
  <c r="CKT133" i="8"/>
  <c r="CKS133" i="8"/>
  <c r="CKR133" i="8"/>
  <c r="CKQ133" i="8"/>
  <c r="CKP133" i="8"/>
  <c r="CKO133" i="8"/>
  <c r="CKN133" i="8"/>
  <c r="CKM133" i="8"/>
  <c r="CKL133" i="8"/>
  <c r="CKK133" i="8"/>
  <c r="CKJ133" i="8"/>
  <c r="CKI133" i="8"/>
  <c r="CKH133" i="8"/>
  <c r="CKG133" i="8"/>
  <c r="CKF133" i="8"/>
  <c r="CKE133" i="8"/>
  <c r="CKD133" i="8"/>
  <c r="CKC133" i="8"/>
  <c r="CKB133" i="8"/>
  <c r="CKA133" i="8"/>
  <c r="CJZ133" i="8"/>
  <c r="CJY133" i="8"/>
  <c r="CJX133" i="8"/>
  <c r="CJW133" i="8"/>
  <c r="CJV133" i="8"/>
  <c r="CJU133" i="8"/>
  <c r="CJT133" i="8"/>
  <c r="CJS133" i="8"/>
  <c r="CJR133" i="8"/>
  <c r="CJQ133" i="8"/>
  <c r="CJP133" i="8"/>
  <c r="CJO133" i="8"/>
  <c r="CJN133" i="8"/>
  <c r="CJM133" i="8"/>
  <c r="CJL133" i="8"/>
  <c r="CJK133" i="8"/>
  <c r="CJJ133" i="8"/>
  <c r="CJI133" i="8"/>
  <c r="CJH133" i="8"/>
  <c r="CJG133" i="8"/>
  <c r="CJF133" i="8"/>
  <c r="CJE133" i="8"/>
  <c r="CJD133" i="8"/>
  <c r="CJC133" i="8"/>
  <c r="CJB133" i="8"/>
  <c r="CJA133" i="8"/>
  <c r="CIZ133" i="8"/>
  <c r="CIY133" i="8"/>
  <c r="CIX133" i="8"/>
  <c r="CIW133" i="8"/>
  <c r="CIV133" i="8"/>
  <c r="CIU133" i="8"/>
  <c r="CIT133" i="8"/>
  <c r="CIS133" i="8"/>
  <c r="CIR133" i="8"/>
  <c r="CIQ133" i="8"/>
  <c r="CIP133" i="8"/>
  <c r="CIO133" i="8"/>
  <c r="CIN133" i="8"/>
  <c r="CIM133" i="8"/>
  <c r="CIL133" i="8"/>
  <c r="CIK133" i="8"/>
  <c r="CIJ133" i="8"/>
  <c r="CII133" i="8"/>
  <c r="CIH133" i="8"/>
  <c r="CIG133" i="8"/>
  <c r="CIF133" i="8"/>
  <c r="CIE133" i="8"/>
  <c r="CID133" i="8"/>
  <c r="CIC133" i="8"/>
  <c r="CIB133" i="8"/>
  <c r="CIA133" i="8"/>
  <c r="CHZ133" i="8"/>
  <c r="CHY133" i="8"/>
  <c r="CHX133" i="8"/>
  <c r="CHW133" i="8"/>
  <c r="CHV133" i="8"/>
  <c r="CHU133" i="8"/>
  <c r="CHT133" i="8"/>
  <c r="CHS133" i="8"/>
  <c r="CHR133" i="8"/>
  <c r="CHQ133" i="8"/>
  <c r="CHP133" i="8"/>
  <c r="CHO133" i="8"/>
  <c r="CHN133" i="8"/>
  <c r="CHM133" i="8"/>
  <c r="CHL133" i="8"/>
  <c r="CHK133" i="8"/>
  <c r="CHJ133" i="8"/>
  <c r="CHI133" i="8"/>
  <c r="CHH133" i="8"/>
  <c r="CHG133" i="8"/>
  <c r="CHF133" i="8"/>
  <c r="CHE133" i="8"/>
  <c r="CHD133" i="8"/>
  <c r="CHC133" i="8"/>
  <c r="CHB133" i="8"/>
  <c r="CHA133" i="8"/>
  <c r="CGZ133" i="8"/>
  <c r="CGY133" i="8"/>
  <c r="CGX133" i="8"/>
  <c r="CGW133" i="8"/>
  <c r="CGV133" i="8"/>
  <c r="CGU133" i="8"/>
  <c r="CGT133" i="8"/>
  <c r="CGS133" i="8"/>
  <c r="CGR133" i="8"/>
  <c r="CGQ133" i="8"/>
  <c r="CGP133" i="8"/>
  <c r="CGO133" i="8"/>
  <c r="CGN133" i="8"/>
  <c r="CGM133" i="8"/>
  <c r="CGL133" i="8"/>
  <c r="CGK133" i="8"/>
  <c r="CGJ133" i="8"/>
  <c r="CGI133" i="8"/>
  <c r="CGH133" i="8"/>
  <c r="CGG133" i="8"/>
  <c r="CGF133" i="8"/>
  <c r="CGE133" i="8"/>
  <c r="CGD133" i="8"/>
  <c r="CGC133" i="8"/>
  <c r="CGB133" i="8"/>
  <c r="CGA133" i="8"/>
  <c r="CFZ133" i="8"/>
  <c r="CFY133" i="8"/>
  <c r="CFX133" i="8"/>
  <c r="CFW133" i="8"/>
  <c r="CFV133" i="8"/>
  <c r="CFU133" i="8"/>
  <c r="CFT133" i="8"/>
  <c r="CFS133" i="8"/>
  <c r="CFR133" i="8"/>
  <c r="CFQ133" i="8"/>
  <c r="CFP133" i="8"/>
  <c r="CFO133" i="8"/>
  <c r="CFN133" i="8"/>
  <c r="CFM133" i="8"/>
  <c r="CFL133" i="8"/>
  <c r="CFK133" i="8"/>
  <c r="CFJ133" i="8"/>
  <c r="CFI133" i="8"/>
  <c r="CFH133" i="8"/>
  <c r="CFG133" i="8"/>
  <c r="CFF133" i="8"/>
  <c r="CFE133" i="8"/>
  <c r="CFD133" i="8"/>
  <c r="CFC133" i="8"/>
  <c r="CFB133" i="8"/>
  <c r="CFA133" i="8"/>
  <c r="CEZ133" i="8"/>
  <c r="CEY133" i="8"/>
  <c r="CEX133" i="8"/>
  <c r="CEW133" i="8"/>
  <c r="CEV133" i="8"/>
  <c r="CEU133" i="8"/>
  <c r="CET133" i="8"/>
  <c r="CES133" i="8"/>
  <c r="CER133" i="8"/>
  <c r="CEQ133" i="8"/>
  <c r="CEP133" i="8"/>
  <c r="CEO133" i="8"/>
  <c r="CEN133" i="8"/>
  <c r="CEM133" i="8"/>
  <c r="CEL133" i="8"/>
  <c r="CEK133" i="8"/>
  <c r="CEJ133" i="8"/>
  <c r="CEI133" i="8"/>
  <c r="CEH133" i="8"/>
  <c r="CEG133" i="8"/>
  <c r="CEF133" i="8"/>
  <c r="CEE133" i="8"/>
  <c r="CED133" i="8"/>
  <c r="CEC133" i="8"/>
  <c r="CEB133" i="8"/>
  <c r="CEA133" i="8"/>
  <c r="CDZ133" i="8"/>
  <c r="CDY133" i="8"/>
  <c r="CDX133" i="8"/>
  <c r="CDW133" i="8"/>
  <c r="CDV133" i="8"/>
  <c r="CDU133" i="8"/>
  <c r="CDT133" i="8"/>
  <c r="CDS133" i="8"/>
  <c r="CDR133" i="8"/>
  <c r="CDQ133" i="8"/>
  <c r="CDP133" i="8"/>
  <c r="CDO133" i="8"/>
  <c r="CDN133" i="8"/>
  <c r="CDM133" i="8"/>
  <c r="CDL133" i="8"/>
  <c r="CDK133" i="8"/>
  <c r="CDJ133" i="8"/>
  <c r="CDI133" i="8"/>
  <c r="CDH133" i="8"/>
  <c r="CDG133" i="8"/>
  <c r="CDF133" i="8"/>
  <c r="CDE133" i="8"/>
  <c r="CDD133" i="8"/>
  <c r="CDC133" i="8"/>
  <c r="CDB133" i="8"/>
  <c r="CDA133" i="8"/>
  <c r="CCZ133" i="8"/>
  <c r="CCY133" i="8"/>
  <c r="CCX133" i="8"/>
  <c r="CCW133" i="8"/>
  <c r="CCV133" i="8"/>
  <c r="CCU133" i="8"/>
  <c r="CCT133" i="8"/>
  <c r="CCS133" i="8"/>
  <c r="CCR133" i="8"/>
  <c r="CCQ133" i="8"/>
  <c r="CCP133" i="8"/>
  <c r="CCO133" i="8"/>
  <c r="CCN133" i="8"/>
  <c r="CCM133" i="8"/>
  <c r="CCL133" i="8"/>
  <c r="CCK133" i="8"/>
  <c r="CCJ133" i="8"/>
  <c r="CCI133" i="8"/>
  <c r="CCH133" i="8"/>
  <c r="CCG133" i="8"/>
  <c r="CCF133" i="8"/>
  <c r="CCE133" i="8"/>
  <c r="CCD133" i="8"/>
  <c r="CCC133" i="8"/>
  <c r="CCB133" i="8"/>
  <c r="CCA133" i="8"/>
  <c r="CBZ133" i="8"/>
  <c r="CBY133" i="8"/>
  <c r="CBX133" i="8"/>
  <c r="CBW133" i="8"/>
  <c r="CBV133" i="8"/>
  <c r="CBU133" i="8"/>
  <c r="CBT133" i="8"/>
  <c r="CBS133" i="8"/>
  <c r="CBR133" i="8"/>
  <c r="CBQ133" i="8"/>
  <c r="CBP133" i="8"/>
  <c r="CBO133" i="8"/>
  <c r="CBN133" i="8"/>
  <c r="CBM133" i="8"/>
  <c r="CBL133" i="8"/>
  <c r="CBK133" i="8"/>
  <c r="CBJ133" i="8"/>
  <c r="CBI133" i="8"/>
  <c r="CBH133" i="8"/>
  <c r="CBG133" i="8"/>
  <c r="CBF133" i="8"/>
  <c r="CBE133" i="8"/>
  <c r="CBD133" i="8"/>
  <c r="CBC133" i="8"/>
  <c r="CBB133" i="8"/>
  <c r="CBA133" i="8"/>
  <c r="CAZ133" i="8"/>
  <c r="CAY133" i="8"/>
  <c r="CAX133" i="8"/>
  <c r="CAW133" i="8"/>
  <c r="CAV133" i="8"/>
  <c r="CAU133" i="8"/>
  <c r="CAT133" i="8"/>
  <c r="CAS133" i="8"/>
  <c r="CAR133" i="8"/>
  <c r="CAQ133" i="8"/>
  <c r="CAP133" i="8"/>
  <c r="CAO133" i="8"/>
  <c r="CAN133" i="8"/>
  <c r="CAM133" i="8"/>
  <c r="CAL133" i="8"/>
  <c r="CAK133" i="8"/>
  <c r="CAJ133" i="8"/>
  <c r="CAI133" i="8"/>
  <c r="CAH133" i="8"/>
  <c r="CAG133" i="8"/>
  <c r="CAF133" i="8"/>
  <c r="CAE133" i="8"/>
  <c r="CAD133" i="8"/>
  <c r="CAC133" i="8"/>
  <c r="CAB133" i="8"/>
  <c r="CAA133" i="8"/>
  <c r="BZZ133" i="8"/>
  <c r="BZY133" i="8"/>
  <c r="BZX133" i="8"/>
  <c r="BZW133" i="8"/>
  <c r="BZV133" i="8"/>
  <c r="BZU133" i="8"/>
  <c r="BZT133" i="8"/>
  <c r="BZS133" i="8"/>
  <c r="BZR133" i="8"/>
  <c r="BZQ133" i="8"/>
  <c r="BZP133" i="8"/>
  <c r="BZO133" i="8"/>
  <c r="BZN133" i="8"/>
  <c r="BZM133" i="8"/>
  <c r="BZL133" i="8"/>
  <c r="BZK133" i="8"/>
  <c r="BZJ133" i="8"/>
  <c r="BZI133" i="8"/>
  <c r="BZH133" i="8"/>
  <c r="BZG133" i="8"/>
  <c r="BZF133" i="8"/>
  <c r="BZE133" i="8"/>
  <c r="BZD133" i="8"/>
  <c r="BZC133" i="8"/>
  <c r="BZB133" i="8"/>
  <c r="BZA133" i="8"/>
  <c r="BYZ133" i="8"/>
  <c r="BYY133" i="8"/>
  <c r="BYX133" i="8"/>
  <c r="BYW133" i="8"/>
  <c r="BYV133" i="8"/>
  <c r="BYU133" i="8"/>
  <c r="BYT133" i="8"/>
  <c r="BYS133" i="8"/>
  <c r="BYR133" i="8"/>
  <c r="BYQ133" i="8"/>
  <c r="BYP133" i="8"/>
  <c r="BYO133" i="8"/>
  <c r="BYN133" i="8"/>
  <c r="BYM133" i="8"/>
  <c r="BYL133" i="8"/>
  <c r="BYK133" i="8"/>
  <c r="BYJ133" i="8"/>
  <c r="BYI133" i="8"/>
  <c r="BYH133" i="8"/>
  <c r="BYG133" i="8"/>
  <c r="BYF133" i="8"/>
  <c r="BYE133" i="8"/>
  <c r="BYD133" i="8"/>
  <c r="BYC133" i="8"/>
  <c r="BYB133" i="8"/>
  <c r="BYA133" i="8"/>
  <c r="BXZ133" i="8"/>
  <c r="BXY133" i="8"/>
  <c r="BXX133" i="8"/>
  <c r="BXW133" i="8"/>
  <c r="BXV133" i="8"/>
  <c r="BXU133" i="8"/>
  <c r="BXT133" i="8"/>
  <c r="BXS133" i="8"/>
  <c r="BXR133" i="8"/>
  <c r="BXQ133" i="8"/>
  <c r="BXP133" i="8"/>
  <c r="BXO133" i="8"/>
  <c r="BXN133" i="8"/>
  <c r="BXM133" i="8"/>
  <c r="BXL133" i="8"/>
  <c r="BXK133" i="8"/>
  <c r="BXJ133" i="8"/>
  <c r="BXI133" i="8"/>
  <c r="BXH133" i="8"/>
  <c r="BXG133" i="8"/>
  <c r="BXF133" i="8"/>
  <c r="BXE133" i="8"/>
  <c r="BXD133" i="8"/>
  <c r="BXC133" i="8"/>
  <c r="BXB133" i="8"/>
  <c r="BXA133" i="8"/>
  <c r="BWZ133" i="8"/>
  <c r="BWY133" i="8"/>
  <c r="BWX133" i="8"/>
  <c r="BWW133" i="8"/>
  <c r="BWV133" i="8"/>
  <c r="BWU133" i="8"/>
  <c r="BWT133" i="8"/>
  <c r="BWS133" i="8"/>
  <c r="BWR133" i="8"/>
  <c r="BWQ133" i="8"/>
  <c r="BWP133" i="8"/>
  <c r="BWO133" i="8"/>
  <c r="BWN133" i="8"/>
  <c r="BWM133" i="8"/>
  <c r="BWL133" i="8"/>
  <c r="BWK133" i="8"/>
  <c r="BWJ133" i="8"/>
  <c r="BWI133" i="8"/>
  <c r="BWH133" i="8"/>
  <c r="BWG133" i="8"/>
  <c r="BWF133" i="8"/>
  <c r="BWE133" i="8"/>
  <c r="BWD133" i="8"/>
  <c r="BWC133" i="8"/>
  <c r="BWB133" i="8"/>
  <c r="BWA133" i="8"/>
  <c r="BVZ133" i="8"/>
  <c r="BVY133" i="8"/>
  <c r="BVX133" i="8"/>
  <c r="BVW133" i="8"/>
  <c r="BVV133" i="8"/>
  <c r="BVU133" i="8"/>
  <c r="BVT133" i="8"/>
  <c r="BVS133" i="8"/>
  <c r="BVR133" i="8"/>
  <c r="BVQ133" i="8"/>
  <c r="BVP133" i="8"/>
  <c r="BVO133" i="8"/>
  <c r="BVN133" i="8"/>
  <c r="BVM133" i="8"/>
  <c r="BVL133" i="8"/>
  <c r="BVK133" i="8"/>
  <c r="BVJ133" i="8"/>
  <c r="BVI133" i="8"/>
  <c r="BVH133" i="8"/>
  <c r="BVG133" i="8"/>
  <c r="BVF133" i="8"/>
  <c r="BVE133" i="8"/>
  <c r="BVD133" i="8"/>
  <c r="BVC133" i="8"/>
  <c r="BVB133" i="8"/>
  <c r="BVA133" i="8"/>
  <c r="BUZ133" i="8"/>
  <c r="BUY133" i="8"/>
  <c r="BUX133" i="8"/>
  <c r="BUW133" i="8"/>
  <c r="BUV133" i="8"/>
  <c r="BUU133" i="8"/>
  <c r="BUT133" i="8"/>
  <c r="BUS133" i="8"/>
  <c r="BUR133" i="8"/>
  <c r="BUQ133" i="8"/>
  <c r="BUP133" i="8"/>
  <c r="BUO133" i="8"/>
  <c r="BUN133" i="8"/>
  <c r="BUM133" i="8"/>
  <c r="BUL133" i="8"/>
  <c r="BUK133" i="8"/>
  <c r="BUJ133" i="8"/>
  <c r="BUI133" i="8"/>
  <c r="BUH133" i="8"/>
  <c r="BUG133" i="8"/>
  <c r="BUF133" i="8"/>
  <c r="BUE133" i="8"/>
  <c r="BUD133" i="8"/>
  <c r="BUC133" i="8"/>
  <c r="BUB133" i="8"/>
  <c r="BUA133" i="8"/>
  <c r="BTZ133" i="8"/>
  <c r="BTY133" i="8"/>
  <c r="BTX133" i="8"/>
  <c r="BTW133" i="8"/>
  <c r="BTV133" i="8"/>
  <c r="BTU133" i="8"/>
  <c r="BTT133" i="8"/>
  <c r="BTS133" i="8"/>
  <c r="BTR133" i="8"/>
  <c r="BTQ133" i="8"/>
  <c r="BTP133" i="8"/>
  <c r="BTO133" i="8"/>
  <c r="BTN133" i="8"/>
  <c r="BTM133" i="8"/>
  <c r="BTL133" i="8"/>
  <c r="BTK133" i="8"/>
  <c r="BTJ133" i="8"/>
  <c r="BTI133" i="8"/>
  <c r="BTH133" i="8"/>
  <c r="BTG133" i="8"/>
  <c r="BTF133" i="8"/>
  <c r="BTE133" i="8"/>
  <c r="BTD133" i="8"/>
  <c r="BTC133" i="8"/>
  <c r="BTB133" i="8"/>
  <c r="BTA133" i="8"/>
  <c r="BSZ133" i="8"/>
  <c r="BSY133" i="8"/>
  <c r="BSX133" i="8"/>
  <c r="BSW133" i="8"/>
  <c r="BSV133" i="8"/>
  <c r="BSU133" i="8"/>
  <c r="BST133" i="8"/>
  <c r="BSS133" i="8"/>
  <c r="BSR133" i="8"/>
  <c r="BSQ133" i="8"/>
  <c r="BSP133" i="8"/>
  <c r="BSO133" i="8"/>
  <c r="BSN133" i="8"/>
  <c r="BSM133" i="8"/>
  <c r="BSL133" i="8"/>
  <c r="BSK133" i="8"/>
  <c r="BSJ133" i="8"/>
  <c r="BSI133" i="8"/>
  <c r="BSH133" i="8"/>
  <c r="BSG133" i="8"/>
  <c r="BSF133" i="8"/>
  <c r="BSE133" i="8"/>
  <c r="BSD133" i="8"/>
  <c r="BSC133" i="8"/>
  <c r="BSB133" i="8"/>
  <c r="BSA133" i="8"/>
  <c r="BRZ133" i="8"/>
  <c r="BRY133" i="8"/>
  <c r="BRX133" i="8"/>
  <c r="BRW133" i="8"/>
  <c r="BRV133" i="8"/>
  <c r="BRU133" i="8"/>
  <c r="BRT133" i="8"/>
  <c r="BRS133" i="8"/>
  <c r="BRR133" i="8"/>
  <c r="BRQ133" i="8"/>
  <c r="BRP133" i="8"/>
  <c r="BRO133" i="8"/>
  <c r="BRN133" i="8"/>
  <c r="BRM133" i="8"/>
  <c r="BRL133" i="8"/>
  <c r="BRK133" i="8"/>
  <c r="BRJ133" i="8"/>
  <c r="BRI133" i="8"/>
  <c r="BRH133" i="8"/>
  <c r="BRG133" i="8"/>
  <c r="BRF133" i="8"/>
  <c r="BRE133" i="8"/>
  <c r="BRD133" i="8"/>
  <c r="BRC133" i="8"/>
  <c r="BRB133" i="8"/>
  <c r="BRA133" i="8"/>
  <c r="BQZ133" i="8"/>
  <c r="BQY133" i="8"/>
  <c r="BQX133" i="8"/>
  <c r="BQW133" i="8"/>
  <c r="BQV133" i="8"/>
  <c r="BQU133" i="8"/>
  <c r="BQT133" i="8"/>
  <c r="BQS133" i="8"/>
  <c r="BQR133" i="8"/>
  <c r="BQQ133" i="8"/>
  <c r="BQP133" i="8"/>
  <c r="BQO133" i="8"/>
  <c r="BQN133" i="8"/>
  <c r="BQM133" i="8"/>
  <c r="BQL133" i="8"/>
  <c r="BQK133" i="8"/>
  <c r="BQJ133" i="8"/>
  <c r="BQI133" i="8"/>
  <c r="BQH133" i="8"/>
  <c r="BQG133" i="8"/>
  <c r="BQF133" i="8"/>
  <c r="BQE133" i="8"/>
  <c r="BQD133" i="8"/>
  <c r="BQC133" i="8"/>
  <c r="BQB133" i="8"/>
  <c r="BQA133" i="8"/>
  <c r="BPZ133" i="8"/>
  <c r="BPY133" i="8"/>
  <c r="BPX133" i="8"/>
  <c r="BPW133" i="8"/>
  <c r="BPV133" i="8"/>
  <c r="BPU133" i="8"/>
  <c r="BPT133" i="8"/>
  <c r="BPS133" i="8"/>
  <c r="BPR133" i="8"/>
  <c r="BPQ133" i="8"/>
  <c r="BPP133" i="8"/>
  <c r="BPO133" i="8"/>
  <c r="BPN133" i="8"/>
  <c r="BPM133" i="8"/>
  <c r="BPL133" i="8"/>
  <c r="BPK133" i="8"/>
  <c r="BPJ133" i="8"/>
  <c r="BPI133" i="8"/>
  <c r="BPH133" i="8"/>
  <c r="BPG133" i="8"/>
  <c r="BPF133" i="8"/>
  <c r="BPE133" i="8"/>
  <c r="BPD133" i="8"/>
  <c r="BPC133" i="8"/>
  <c r="BPB133" i="8"/>
  <c r="BPA133" i="8"/>
  <c r="BOZ133" i="8"/>
  <c r="BOY133" i="8"/>
  <c r="BOX133" i="8"/>
  <c r="BOW133" i="8"/>
  <c r="BOV133" i="8"/>
  <c r="BOU133" i="8"/>
  <c r="BOT133" i="8"/>
  <c r="BOS133" i="8"/>
  <c r="BOR133" i="8"/>
  <c r="BOQ133" i="8"/>
  <c r="BOP133" i="8"/>
  <c r="BOO133" i="8"/>
  <c r="BON133" i="8"/>
  <c r="BOM133" i="8"/>
  <c r="BOL133" i="8"/>
  <c r="BOK133" i="8"/>
  <c r="BOJ133" i="8"/>
  <c r="BOI133" i="8"/>
  <c r="BOH133" i="8"/>
  <c r="BOG133" i="8"/>
  <c r="BOF133" i="8"/>
  <c r="BOE133" i="8"/>
  <c r="BOD133" i="8"/>
  <c r="BOC133" i="8"/>
  <c r="BOB133" i="8"/>
  <c r="BOA133" i="8"/>
  <c r="BNZ133" i="8"/>
  <c r="BNY133" i="8"/>
  <c r="BNX133" i="8"/>
  <c r="BNW133" i="8"/>
  <c r="BNV133" i="8"/>
  <c r="BNU133" i="8"/>
  <c r="BNT133" i="8"/>
  <c r="BNS133" i="8"/>
  <c r="BNR133" i="8"/>
  <c r="BNQ133" i="8"/>
  <c r="BNP133" i="8"/>
  <c r="BNO133" i="8"/>
  <c r="BNN133" i="8"/>
  <c r="BNM133" i="8"/>
  <c r="BNL133" i="8"/>
  <c r="BNK133" i="8"/>
  <c r="BNJ133" i="8"/>
  <c r="BNI133" i="8"/>
  <c r="BNH133" i="8"/>
  <c r="BNG133" i="8"/>
  <c r="BNF133" i="8"/>
  <c r="BNE133" i="8"/>
  <c r="BND133" i="8"/>
  <c r="BNC133" i="8"/>
  <c r="BNB133" i="8"/>
  <c r="BNA133" i="8"/>
  <c r="BMZ133" i="8"/>
  <c r="BMY133" i="8"/>
  <c r="BMX133" i="8"/>
  <c r="BMW133" i="8"/>
  <c r="BMV133" i="8"/>
  <c r="BMU133" i="8"/>
  <c r="BMT133" i="8"/>
  <c r="BMS133" i="8"/>
  <c r="BMR133" i="8"/>
  <c r="BMQ133" i="8"/>
  <c r="BMP133" i="8"/>
  <c r="BMO133" i="8"/>
  <c r="BMN133" i="8"/>
  <c r="BMM133" i="8"/>
  <c r="BML133" i="8"/>
  <c r="BMK133" i="8"/>
  <c r="BMJ133" i="8"/>
  <c r="BMI133" i="8"/>
  <c r="BMH133" i="8"/>
  <c r="BMG133" i="8"/>
  <c r="BMF133" i="8"/>
  <c r="BME133" i="8"/>
  <c r="BMD133" i="8"/>
  <c r="BMC133" i="8"/>
  <c r="BMB133" i="8"/>
  <c r="BMA133" i="8"/>
  <c r="BLZ133" i="8"/>
  <c r="BLY133" i="8"/>
  <c r="BLX133" i="8"/>
  <c r="BLW133" i="8"/>
  <c r="BLV133" i="8"/>
  <c r="BLU133" i="8"/>
  <c r="BLT133" i="8"/>
  <c r="BLS133" i="8"/>
  <c r="BLR133" i="8"/>
  <c r="BLQ133" i="8"/>
  <c r="BLP133" i="8"/>
  <c r="BLO133" i="8"/>
  <c r="BLN133" i="8"/>
  <c r="BLM133" i="8"/>
  <c r="BLL133" i="8"/>
  <c r="BLK133" i="8"/>
  <c r="BLJ133" i="8"/>
  <c r="BLI133" i="8"/>
  <c r="BLH133" i="8"/>
  <c r="BLG133" i="8"/>
  <c r="BLF133" i="8"/>
  <c r="BLE133" i="8"/>
  <c r="BLD133" i="8"/>
  <c r="BLC133" i="8"/>
  <c r="BLB133" i="8"/>
  <c r="BLA133" i="8"/>
  <c r="BKZ133" i="8"/>
  <c r="BKY133" i="8"/>
  <c r="BKX133" i="8"/>
  <c r="BKW133" i="8"/>
  <c r="BKV133" i="8"/>
  <c r="BKU133" i="8"/>
  <c r="BKT133" i="8"/>
  <c r="BKS133" i="8"/>
  <c r="BKR133" i="8"/>
  <c r="BKQ133" i="8"/>
  <c r="BKP133" i="8"/>
  <c r="BKO133" i="8"/>
  <c r="BKN133" i="8"/>
  <c r="BKM133" i="8"/>
  <c r="BKL133" i="8"/>
  <c r="BKK133" i="8"/>
  <c r="BKJ133" i="8"/>
  <c r="BKI133" i="8"/>
  <c r="BKH133" i="8"/>
  <c r="BKG133" i="8"/>
  <c r="BKF133" i="8"/>
  <c r="BKE133" i="8"/>
  <c r="BKD133" i="8"/>
  <c r="BKC133" i="8"/>
  <c r="BKB133" i="8"/>
  <c r="BKA133" i="8"/>
  <c r="BJZ133" i="8"/>
  <c r="BJY133" i="8"/>
  <c r="BJX133" i="8"/>
  <c r="BJW133" i="8"/>
  <c r="BJV133" i="8"/>
  <c r="BJU133" i="8"/>
  <c r="BJT133" i="8"/>
  <c r="BJS133" i="8"/>
  <c r="BJR133" i="8"/>
  <c r="BJQ133" i="8"/>
  <c r="BJP133" i="8"/>
  <c r="BJO133" i="8"/>
  <c r="BJN133" i="8"/>
  <c r="BJM133" i="8"/>
  <c r="BJL133" i="8"/>
  <c r="BJK133" i="8"/>
  <c r="BJJ133" i="8"/>
  <c r="BJI133" i="8"/>
  <c r="BJH133" i="8"/>
  <c r="BJG133" i="8"/>
  <c r="BJF133" i="8"/>
  <c r="BJE133" i="8"/>
  <c r="BJD133" i="8"/>
  <c r="BJC133" i="8"/>
  <c r="BJB133" i="8"/>
  <c r="BJA133" i="8"/>
  <c r="BIZ133" i="8"/>
  <c r="BIY133" i="8"/>
  <c r="BIX133" i="8"/>
  <c r="BIW133" i="8"/>
  <c r="BIV133" i="8"/>
  <c r="BIU133" i="8"/>
  <c r="BIT133" i="8"/>
  <c r="BIS133" i="8"/>
  <c r="BIR133" i="8"/>
  <c r="BIQ133" i="8"/>
  <c r="BIP133" i="8"/>
  <c r="BIO133" i="8"/>
  <c r="BIN133" i="8"/>
  <c r="BIM133" i="8"/>
  <c r="BIL133" i="8"/>
  <c r="BIK133" i="8"/>
  <c r="BIJ133" i="8"/>
  <c r="BII133" i="8"/>
  <c r="BIH133" i="8"/>
  <c r="BIG133" i="8"/>
  <c r="BIF133" i="8"/>
  <c r="BIE133" i="8"/>
  <c r="BID133" i="8"/>
  <c r="BIC133" i="8"/>
  <c r="BIB133" i="8"/>
  <c r="BIA133" i="8"/>
  <c r="BHZ133" i="8"/>
  <c r="BHY133" i="8"/>
  <c r="BHX133" i="8"/>
  <c r="BHW133" i="8"/>
  <c r="BHV133" i="8"/>
  <c r="BHU133" i="8"/>
  <c r="BHT133" i="8"/>
  <c r="BHS133" i="8"/>
  <c r="BHR133" i="8"/>
  <c r="BHQ133" i="8"/>
  <c r="BHP133" i="8"/>
  <c r="BHO133" i="8"/>
  <c r="BHN133" i="8"/>
  <c r="BHM133" i="8"/>
  <c r="BHL133" i="8"/>
  <c r="BHK133" i="8"/>
  <c r="BHJ133" i="8"/>
  <c r="BHI133" i="8"/>
  <c r="BHH133" i="8"/>
  <c r="BHG133" i="8"/>
  <c r="BHF133" i="8"/>
  <c r="BHE133" i="8"/>
  <c r="BHD133" i="8"/>
  <c r="BHC133" i="8"/>
  <c r="BHB133" i="8"/>
  <c r="BHA133" i="8"/>
  <c r="BGZ133" i="8"/>
  <c r="BGY133" i="8"/>
  <c r="BGX133" i="8"/>
  <c r="BGW133" i="8"/>
  <c r="BGV133" i="8"/>
  <c r="BGU133" i="8"/>
  <c r="BGT133" i="8"/>
  <c r="BGS133" i="8"/>
  <c r="BGR133" i="8"/>
  <c r="BGQ133" i="8"/>
  <c r="BGP133" i="8"/>
  <c r="BGO133" i="8"/>
  <c r="BGN133" i="8"/>
  <c r="BGM133" i="8"/>
  <c r="BGL133" i="8"/>
  <c r="BGK133" i="8"/>
  <c r="BGJ133" i="8"/>
  <c r="BGI133" i="8"/>
  <c r="BGH133" i="8"/>
  <c r="BGG133" i="8"/>
  <c r="BGF133" i="8"/>
  <c r="BGE133" i="8"/>
  <c r="BGD133" i="8"/>
  <c r="BGC133" i="8"/>
  <c r="BGB133" i="8"/>
  <c r="BGA133" i="8"/>
  <c r="BFZ133" i="8"/>
  <c r="BFY133" i="8"/>
  <c r="BFX133" i="8"/>
  <c r="BFW133" i="8"/>
  <c r="BFV133" i="8"/>
  <c r="BFU133" i="8"/>
  <c r="BFT133" i="8"/>
  <c r="BFS133" i="8"/>
  <c r="BFR133" i="8"/>
  <c r="BFQ133" i="8"/>
  <c r="BFP133" i="8"/>
  <c r="BFO133" i="8"/>
  <c r="BFN133" i="8"/>
  <c r="BFM133" i="8"/>
  <c r="BFL133" i="8"/>
  <c r="BFK133" i="8"/>
  <c r="BFJ133" i="8"/>
  <c r="BFI133" i="8"/>
  <c r="BFH133" i="8"/>
  <c r="BFG133" i="8"/>
  <c r="BFF133" i="8"/>
  <c r="BFE133" i="8"/>
  <c r="BFD133" i="8"/>
  <c r="BFC133" i="8"/>
  <c r="BFB133" i="8"/>
  <c r="BFA133" i="8"/>
  <c r="BEZ133" i="8"/>
  <c r="BEY133" i="8"/>
  <c r="BEX133" i="8"/>
  <c r="BEW133" i="8"/>
  <c r="BEV133" i="8"/>
  <c r="BEU133" i="8"/>
  <c r="BET133" i="8"/>
  <c r="BES133" i="8"/>
  <c r="BER133" i="8"/>
  <c r="BEQ133" i="8"/>
  <c r="BEP133" i="8"/>
  <c r="BEO133" i="8"/>
  <c r="BEN133" i="8"/>
  <c r="BEM133" i="8"/>
  <c r="BEL133" i="8"/>
  <c r="BEK133" i="8"/>
  <c r="BEJ133" i="8"/>
  <c r="BEI133" i="8"/>
  <c r="BEH133" i="8"/>
  <c r="BEG133" i="8"/>
  <c r="BEF133" i="8"/>
  <c r="BEE133" i="8"/>
  <c r="BED133" i="8"/>
  <c r="BEC133" i="8"/>
  <c r="BEB133" i="8"/>
  <c r="BEA133" i="8"/>
  <c r="BDZ133" i="8"/>
  <c r="BDY133" i="8"/>
  <c r="BDX133" i="8"/>
  <c r="BDW133" i="8"/>
  <c r="BDV133" i="8"/>
  <c r="BDU133" i="8"/>
  <c r="BDT133" i="8"/>
  <c r="BDS133" i="8"/>
  <c r="BDR133" i="8"/>
  <c r="BDQ133" i="8"/>
  <c r="BDP133" i="8"/>
  <c r="BDO133" i="8"/>
  <c r="BDN133" i="8"/>
  <c r="BDM133" i="8"/>
  <c r="BDL133" i="8"/>
  <c r="BDK133" i="8"/>
  <c r="BDJ133" i="8"/>
  <c r="BDI133" i="8"/>
  <c r="BDH133" i="8"/>
  <c r="BDG133" i="8"/>
  <c r="BDF133" i="8"/>
  <c r="BDE133" i="8"/>
  <c r="BDD133" i="8"/>
  <c r="BDC133" i="8"/>
  <c r="BDB133" i="8"/>
  <c r="BDA133" i="8"/>
  <c r="BCZ133" i="8"/>
  <c r="BCY133" i="8"/>
  <c r="BCX133" i="8"/>
  <c r="BCW133" i="8"/>
  <c r="BCV133" i="8"/>
  <c r="BCU133" i="8"/>
  <c r="BCT133" i="8"/>
  <c r="BCS133" i="8"/>
  <c r="BCR133" i="8"/>
  <c r="BCQ133" i="8"/>
  <c r="BCP133" i="8"/>
  <c r="BCO133" i="8"/>
  <c r="BCN133" i="8"/>
  <c r="BCM133" i="8"/>
  <c r="BCL133" i="8"/>
  <c r="BCK133" i="8"/>
  <c r="BCJ133" i="8"/>
  <c r="BCI133" i="8"/>
  <c r="BCH133" i="8"/>
  <c r="BCG133" i="8"/>
  <c r="BCF133" i="8"/>
  <c r="BCE133" i="8"/>
  <c r="BCD133" i="8"/>
  <c r="BCC133" i="8"/>
  <c r="BCB133" i="8"/>
  <c r="BCA133" i="8"/>
  <c r="BBZ133" i="8"/>
  <c r="BBY133" i="8"/>
  <c r="BBX133" i="8"/>
  <c r="BBW133" i="8"/>
  <c r="BBV133" i="8"/>
  <c r="BBU133" i="8"/>
  <c r="BBT133" i="8"/>
  <c r="BBS133" i="8"/>
  <c r="BBR133" i="8"/>
  <c r="BBQ133" i="8"/>
  <c r="BBP133" i="8"/>
  <c r="BBO133" i="8"/>
  <c r="BBN133" i="8"/>
  <c r="BBM133" i="8"/>
  <c r="BBL133" i="8"/>
  <c r="BBK133" i="8"/>
  <c r="BBJ133" i="8"/>
  <c r="BBI133" i="8"/>
  <c r="BBH133" i="8"/>
  <c r="BBG133" i="8"/>
  <c r="BBF133" i="8"/>
  <c r="BBE133" i="8"/>
  <c r="BBD133" i="8"/>
  <c r="BBC133" i="8"/>
  <c r="BBB133" i="8"/>
  <c r="BBA133" i="8"/>
  <c r="BAZ133" i="8"/>
  <c r="BAY133" i="8"/>
  <c r="BAX133" i="8"/>
  <c r="BAW133" i="8"/>
  <c r="BAV133" i="8"/>
  <c r="BAU133" i="8"/>
  <c r="BAT133" i="8"/>
  <c r="BAS133" i="8"/>
  <c r="BAR133" i="8"/>
  <c r="BAQ133" i="8"/>
  <c r="BAP133" i="8"/>
  <c r="BAO133" i="8"/>
  <c r="BAN133" i="8"/>
  <c r="BAM133" i="8"/>
  <c r="BAL133" i="8"/>
  <c r="BAK133" i="8"/>
  <c r="BAJ133" i="8"/>
  <c r="BAI133" i="8"/>
  <c r="BAH133" i="8"/>
  <c r="BAG133" i="8"/>
  <c r="BAF133" i="8"/>
  <c r="BAE133" i="8"/>
  <c r="BAD133" i="8"/>
  <c r="BAC133" i="8"/>
  <c r="BAB133" i="8"/>
  <c r="BAA133" i="8"/>
  <c r="AZZ133" i="8"/>
  <c r="AZY133" i="8"/>
  <c r="AZX133" i="8"/>
  <c r="AZW133" i="8"/>
  <c r="AZV133" i="8"/>
  <c r="AZU133" i="8"/>
  <c r="AZT133" i="8"/>
  <c r="AZS133" i="8"/>
  <c r="AZR133" i="8"/>
  <c r="AZQ133" i="8"/>
  <c r="AZP133" i="8"/>
  <c r="AZO133" i="8"/>
  <c r="AZN133" i="8"/>
  <c r="AZM133" i="8"/>
  <c r="AZL133" i="8"/>
  <c r="AZK133" i="8"/>
  <c r="AZJ133" i="8"/>
  <c r="AZI133" i="8"/>
  <c r="AZH133" i="8"/>
  <c r="AZG133" i="8"/>
  <c r="AZF133" i="8"/>
  <c r="AZE133" i="8"/>
  <c r="AZD133" i="8"/>
  <c r="AZC133" i="8"/>
  <c r="AZB133" i="8"/>
  <c r="AZA133" i="8"/>
  <c r="AYZ133" i="8"/>
  <c r="AYY133" i="8"/>
  <c r="AYX133" i="8"/>
  <c r="AYW133" i="8"/>
  <c r="AYV133" i="8"/>
  <c r="AYU133" i="8"/>
  <c r="AYT133" i="8"/>
  <c r="AYS133" i="8"/>
  <c r="AYR133" i="8"/>
  <c r="AYQ133" i="8"/>
  <c r="AYP133" i="8"/>
  <c r="AYO133" i="8"/>
  <c r="AYN133" i="8"/>
  <c r="AYM133" i="8"/>
  <c r="AYL133" i="8"/>
  <c r="AYK133" i="8"/>
  <c r="AYJ133" i="8"/>
  <c r="AYI133" i="8"/>
  <c r="AYH133" i="8"/>
  <c r="AYG133" i="8"/>
  <c r="AYF133" i="8"/>
  <c r="AYE133" i="8"/>
  <c r="AYD133" i="8"/>
  <c r="AYC133" i="8"/>
  <c r="AYB133" i="8"/>
  <c r="AYA133" i="8"/>
  <c r="AXZ133" i="8"/>
  <c r="AXY133" i="8"/>
  <c r="AXX133" i="8"/>
  <c r="AXW133" i="8"/>
  <c r="AXV133" i="8"/>
  <c r="AXU133" i="8"/>
  <c r="AXT133" i="8"/>
  <c r="AXS133" i="8"/>
  <c r="AXR133" i="8"/>
  <c r="AXQ133" i="8"/>
  <c r="AXP133" i="8"/>
  <c r="AXO133" i="8"/>
  <c r="AXN133" i="8"/>
  <c r="AXM133" i="8"/>
  <c r="AXL133" i="8"/>
  <c r="AXK133" i="8"/>
  <c r="AXJ133" i="8"/>
  <c r="AXI133" i="8"/>
  <c r="AXH133" i="8"/>
  <c r="AXG133" i="8"/>
  <c r="AXF133" i="8"/>
  <c r="AXE133" i="8"/>
  <c r="AXD133" i="8"/>
  <c r="AXC133" i="8"/>
  <c r="AXB133" i="8"/>
  <c r="AXA133" i="8"/>
  <c r="AWZ133" i="8"/>
  <c r="AWY133" i="8"/>
  <c r="AWX133" i="8"/>
  <c r="AWW133" i="8"/>
  <c r="AWV133" i="8"/>
  <c r="AWU133" i="8"/>
  <c r="AWT133" i="8"/>
  <c r="AWS133" i="8"/>
  <c r="AWR133" i="8"/>
  <c r="AWQ133" i="8"/>
  <c r="AWP133" i="8"/>
  <c r="AWO133" i="8"/>
  <c r="AWN133" i="8"/>
  <c r="AWM133" i="8"/>
  <c r="AWL133" i="8"/>
  <c r="AWK133" i="8"/>
  <c r="AWJ133" i="8"/>
  <c r="AWI133" i="8"/>
  <c r="AWH133" i="8"/>
  <c r="AWG133" i="8"/>
  <c r="AWF133" i="8"/>
  <c r="AWE133" i="8"/>
  <c r="AWD133" i="8"/>
  <c r="AWC133" i="8"/>
  <c r="AWB133" i="8"/>
  <c r="AWA133" i="8"/>
  <c r="AVZ133" i="8"/>
  <c r="AVY133" i="8"/>
  <c r="AVX133" i="8"/>
  <c r="AVW133" i="8"/>
  <c r="AVV133" i="8"/>
  <c r="AVU133" i="8"/>
  <c r="AVT133" i="8"/>
  <c r="AVS133" i="8"/>
  <c r="AVR133" i="8"/>
  <c r="AVQ133" i="8"/>
  <c r="AVP133" i="8"/>
  <c r="AVO133" i="8"/>
  <c r="AVN133" i="8"/>
  <c r="AVM133" i="8"/>
  <c r="AVL133" i="8"/>
  <c r="AVK133" i="8"/>
  <c r="AVJ133" i="8"/>
  <c r="AVI133" i="8"/>
  <c r="AVH133" i="8"/>
  <c r="AVG133" i="8"/>
  <c r="AVF133" i="8"/>
  <c r="AVE133" i="8"/>
  <c r="AVD133" i="8"/>
  <c r="AVC133" i="8"/>
  <c r="AVB133" i="8"/>
  <c r="AVA133" i="8"/>
  <c r="AUZ133" i="8"/>
  <c r="AUY133" i="8"/>
  <c r="AUX133" i="8"/>
  <c r="AUW133" i="8"/>
  <c r="AUV133" i="8"/>
  <c r="AUU133" i="8"/>
  <c r="AUT133" i="8"/>
  <c r="AUS133" i="8"/>
  <c r="AUR133" i="8"/>
  <c r="AUQ133" i="8"/>
  <c r="AUP133" i="8"/>
  <c r="AUO133" i="8"/>
  <c r="AUN133" i="8"/>
  <c r="AUM133" i="8"/>
  <c r="AUL133" i="8"/>
  <c r="AUK133" i="8"/>
  <c r="AUJ133" i="8"/>
  <c r="AUI133" i="8"/>
  <c r="AUH133" i="8"/>
  <c r="AUG133" i="8"/>
  <c r="AUF133" i="8"/>
  <c r="AUE133" i="8"/>
  <c r="AUD133" i="8"/>
  <c r="AUC133" i="8"/>
  <c r="AUB133" i="8"/>
  <c r="AUA133" i="8"/>
  <c r="ATZ133" i="8"/>
  <c r="ATY133" i="8"/>
  <c r="ATX133" i="8"/>
  <c r="ATW133" i="8"/>
  <c r="ATV133" i="8"/>
  <c r="ATU133" i="8"/>
  <c r="ATT133" i="8"/>
  <c r="ATS133" i="8"/>
  <c r="ATR133" i="8"/>
  <c r="ATQ133" i="8"/>
  <c r="ATP133" i="8"/>
  <c r="ATO133" i="8"/>
  <c r="ATN133" i="8"/>
  <c r="ATM133" i="8"/>
  <c r="ATL133" i="8"/>
  <c r="ATK133" i="8"/>
  <c r="ATJ133" i="8"/>
  <c r="ATI133" i="8"/>
  <c r="ATH133" i="8"/>
  <c r="ATG133" i="8"/>
  <c r="ATF133" i="8"/>
  <c r="ATE133" i="8"/>
  <c r="ATD133" i="8"/>
  <c r="ATC133" i="8"/>
  <c r="ATB133" i="8"/>
  <c r="ATA133" i="8"/>
  <c r="ASZ133" i="8"/>
  <c r="ASY133" i="8"/>
  <c r="ASX133" i="8"/>
  <c r="ASW133" i="8"/>
  <c r="ASV133" i="8"/>
  <c r="ASU133" i="8"/>
  <c r="AST133" i="8"/>
  <c r="ASS133" i="8"/>
  <c r="ASR133" i="8"/>
  <c r="ASQ133" i="8"/>
  <c r="ASP133" i="8"/>
  <c r="ASO133" i="8"/>
  <c r="ASN133" i="8"/>
  <c r="ASM133" i="8"/>
  <c r="ASL133" i="8"/>
  <c r="ASK133" i="8"/>
  <c r="ASJ133" i="8"/>
  <c r="ASI133" i="8"/>
  <c r="ASH133" i="8"/>
  <c r="ASG133" i="8"/>
  <c r="ASF133" i="8"/>
  <c r="ASE133" i="8"/>
  <c r="ASD133" i="8"/>
  <c r="ASC133" i="8"/>
  <c r="ASB133" i="8"/>
  <c r="ASA133" i="8"/>
  <c r="ARZ133" i="8"/>
  <c r="ARY133" i="8"/>
  <c r="ARX133" i="8"/>
  <c r="ARW133" i="8"/>
  <c r="ARV133" i="8"/>
  <c r="ARU133" i="8"/>
  <c r="ART133" i="8"/>
  <c r="ARS133" i="8"/>
  <c r="ARR133" i="8"/>
  <c r="ARQ133" i="8"/>
  <c r="ARP133" i="8"/>
  <c r="ARO133" i="8"/>
  <c r="ARN133" i="8"/>
  <c r="ARM133" i="8"/>
  <c r="ARL133" i="8"/>
  <c r="ARK133" i="8"/>
  <c r="ARJ133" i="8"/>
  <c r="ARI133" i="8"/>
  <c r="ARH133" i="8"/>
  <c r="ARG133" i="8"/>
  <c r="ARF133" i="8"/>
  <c r="ARE133" i="8"/>
  <c r="ARD133" i="8"/>
  <c r="ARC133" i="8"/>
  <c r="ARB133" i="8"/>
  <c r="ARA133" i="8"/>
  <c r="AQZ133" i="8"/>
  <c r="AQY133" i="8"/>
  <c r="AQX133" i="8"/>
  <c r="AQW133" i="8"/>
  <c r="AQV133" i="8"/>
  <c r="AQU133" i="8"/>
  <c r="AQT133" i="8"/>
  <c r="AQS133" i="8"/>
  <c r="AQR133" i="8"/>
  <c r="AQQ133" i="8"/>
  <c r="AQP133" i="8"/>
  <c r="AQO133" i="8"/>
  <c r="AQN133" i="8"/>
  <c r="AQM133" i="8"/>
  <c r="AQL133" i="8"/>
  <c r="AQK133" i="8"/>
  <c r="AQJ133" i="8"/>
  <c r="AQI133" i="8"/>
  <c r="AQH133" i="8"/>
  <c r="AQG133" i="8"/>
  <c r="AQF133" i="8"/>
  <c r="AQE133" i="8"/>
  <c r="AQD133" i="8"/>
  <c r="AQC133" i="8"/>
  <c r="AQB133" i="8"/>
  <c r="AQA133" i="8"/>
  <c r="APZ133" i="8"/>
  <c r="APY133" i="8"/>
  <c r="APX133" i="8"/>
  <c r="APW133" i="8"/>
  <c r="APV133" i="8"/>
  <c r="APU133" i="8"/>
  <c r="APT133" i="8"/>
  <c r="APS133" i="8"/>
  <c r="APR133" i="8"/>
  <c r="APQ133" i="8"/>
  <c r="APP133" i="8"/>
  <c r="APO133" i="8"/>
  <c r="APN133" i="8"/>
  <c r="APM133" i="8"/>
  <c r="APL133" i="8"/>
  <c r="APK133" i="8"/>
  <c r="APJ133" i="8"/>
  <c r="API133" i="8"/>
  <c r="APH133" i="8"/>
  <c r="APG133" i="8"/>
  <c r="APF133" i="8"/>
  <c r="APE133" i="8"/>
  <c r="APD133" i="8"/>
  <c r="APC133" i="8"/>
  <c r="APB133" i="8"/>
  <c r="APA133" i="8"/>
  <c r="AOZ133" i="8"/>
  <c r="AOY133" i="8"/>
  <c r="AOX133" i="8"/>
  <c r="AOW133" i="8"/>
  <c r="AOV133" i="8"/>
  <c r="AOU133" i="8"/>
  <c r="AOT133" i="8"/>
  <c r="AOS133" i="8"/>
  <c r="AOR133" i="8"/>
  <c r="AOQ133" i="8"/>
  <c r="AOP133" i="8"/>
  <c r="AOO133" i="8"/>
  <c r="AON133" i="8"/>
  <c r="AOM133" i="8"/>
  <c r="AOL133" i="8"/>
  <c r="AOK133" i="8"/>
  <c r="AOJ133" i="8"/>
  <c r="AOI133" i="8"/>
  <c r="AOH133" i="8"/>
  <c r="AOG133" i="8"/>
  <c r="AOF133" i="8"/>
  <c r="AOE133" i="8"/>
  <c r="AOD133" i="8"/>
  <c r="AOC133" i="8"/>
  <c r="AOB133" i="8"/>
  <c r="AOA133" i="8"/>
  <c r="ANZ133" i="8"/>
  <c r="ANY133" i="8"/>
  <c r="ANX133" i="8"/>
  <c r="ANW133" i="8"/>
  <c r="ANV133" i="8"/>
  <c r="ANU133" i="8"/>
  <c r="ANT133" i="8"/>
  <c r="ANS133" i="8"/>
  <c r="ANR133" i="8"/>
  <c r="ANQ133" i="8"/>
  <c r="ANP133" i="8"/>
  <c r="ANO133" i="8"/>
  <c r="ANN133" i="8"/>
  <c r="ANM133" i="8"/>
  <c r="ANL133" i="8"/>
  <c r="ANK133" i="8"/>
  <c r="ANJ133" i="8"/>
  <c r="ANI133" i="8"/>
  <c r="ANH133" i="8"/>
  <c r="ANG133" i="8"/>
  <c r="ANF133" i="8"/>
  <c r="ANE133" i="8"/>
  <c r="AND133" i="8"/>
  <c r="ANC133" i="8"/>
  <c r="ANB133" i="8"/>
  <c r="ANA133" i="8"/>
  <c r="AMZ133" i="8"/>
  <c r="AMY133" i="8"/>
  <c r="AMX133" i="8"/>
  <c r="AMW133" i="8"/>
  <c r="AMV133" i="8"/>
  <c r="AMU133" i="8"/>
  <c r="AMT133" i="8"/>
  <c r="AMS133" i="8"/>
  <c r="AMR133" i="8"/>
  <c r="AMQ133" i="8"/>
  <c r="AMP133" i="8"/>
  <c r="AMO133" i="8"/>
  <c r="AMN133" i="8"/>
  <c r="AMM133" i="8"/>
  <c r="AML133" i="8"/>
  <c r="AMK133" i="8"/>
  <c r="AMJ133" i="8"/>
  <c r="AMI133" i="8"/>
  <c r="AMH133" i="8"/>
  <c r="AMG133" i="8"/>
  <c r="AMF133" i="8"/>
  <c r="AME133" i="8"/>
  <c r="AMD133" i="8"/>
  <c r="AMC133" i="8"/>
  <c r="AMB133" i="8"/>
  <c r="AMA133" i="8"/>
  <c r="ALZ133" i="8"/>
  <c r="ALY133" i="8"/>
  <c r="ALX133" i="8"/>
  <c r="ALW133" i="8"/>
  <c r="ALV133" i="8"/>
  <c r="ALU133" i="8"/>
  <c r="ALT133" i="8"/>
  <c r="ALS133" i="8"/>
  <c r="ALR133" i="8"/>
  <c r="ALQ133" i="8"/>
  <c r="ALP133" i="8"/>
  <c r="ALO133" i="8"/>
  <c r="ALN133" i="8"/>
  <c r="ALM133" i="8"/>
  <c r="ALL133" i="8"/>
  <c r="ALK133" i="8"/>
  <c r="ALJ133" i="8"/>
  <c r="ALI133" i="8"/>
  <c r="ALH133" i="8"/>
  <c r="ALG133" i="8"/>
  <c r="ALF133" i="8"/>
  <c r="ALE133" i="8"/>
  <c r="ALD133" i="8"/>
  <c r="ALC133" i="8"/>
  <c r="ALB133" i="8"/>
  <c r="ALA133" i="8"/>
  <c r="AKZ133" i="8"/>
  <c r="AKY133" i="8"/>
  <c r="AKX133" i="8"/>
  <c r="AKW133" i="8"/>
  <c r="AKV133" i="8"/>
  <c r="AKU133" i="8"/>
  <c r="AKT133" i="8"/>
  <c r="AKS133" i="8"/>
  <c r="AKR133" i="8"/>
  <c r="AKQ133" i="8"/>
  <c r="AKP133" i="8"/>
  <c r="AKO133" i="8"/>
  <c r="AKN133" i="8"/>
  <c r="AKM133" i="8"/>
  <c r="AKL133" i="8"/>
  <c r="AKK133" i="8"/>
  <c r="AKJ133" i="8"/>
  <c r="AKI133" i="8"/>
  <c r="AKH133" i="8"/>
  <c r="AKG133" i="8"/>
  <c r="AKF133" i="8"/>
  <c r="AKE133" i="8"/>
  <c r="AKD133" i="8"/>
  <c r="AKC133" i="8"/>
  <c r="AKB133" i="8"/>
  <c r="AKA133" i="8"/>
  <c r="AJZ133" i="8"/>
  <c r="AJY133" i="8"/>
  <c r="AJX133" i="8"/>
  <c r="AJW133" i="8"/>
  <c r="AJV133" i="8"/>
  <c r="AJU133" i="8"/>
  <c r="AJT133" i="8"/>
  <c r="AJS133" i="8"/>
  <c r="AJR133" i="8"/>
  <c r="AJQ133" i="8"/>
  <c r="AJP133" i="8"/>
  <c r="AJO133" i="8"/>
  <c r="AJN133" i="8"/>
  <c r="AJM133" i="8"/>
  <c r="AJL133" i="8"/>
  <c r="AJK133" i="8"/>
  <c r="AJJ133" i="8"/>
  <c r="AJI133" i="8"/>
  <c r="AJH133" i="8"/>
  <c r="AJG133" i="8"/>
  <c r="AJF133" i="8"/>
  <c r="AJE133" i="8"/>
  <c r="AJD133" i="8"/>
  <c r="AJC133" i="8"/>
  <c r="AJB133" i="8"/>
  <c r="AJA133" i="8"/>
  <c r="AIZ133" i="8"/>
  <c r="AIY133" i="8"/>
  <c r="AIX133" i="8"/>
  <c r="AIW133" i="8"/>
  <c r="AIV133" i="8"/>
  <c r="AIU133" i="8"/>
  <c r="AIT133" i="8"/>
  <c r="AIS133" i="8"/>
  <c r="AIR133" i="8"/>
  <c r="AIQ133" i="8"/>
  <c r="AIP133" i="8"/>
  <c r="AIO133" i="8"/>
  <c r="AIN133" i="8"/>
  <c r="AIM133" i="8"/>
  <c r="AIL133" i="8"/>
  <c r="AIK133" i="8"/>
  <c r="AIJ133" i="8"/>
  <c r="AII133" i="8"/>
  <c r="AIH133" i="8"/>
  <c r="AIG133" i="8"/>
  <c r="AIF133" i="8"/>
  <c r="AIE133" i="8"/>
  <c r="AID133" i="8"/>
  <c r="AIC133" i="8"/>
  <c r="AIB133" i="8"/>
  <c r="AIA133" i="8"/>
  <c r="AHZ133" i="8"/>
  <c r="AHY133" i="8"/>
  <c r="AHX133" i="8"/>
  <c r="AHW133" i="8"/>
  <c r="AHV133" i="8"/>
  <c r="AHU133" i="8"/>
  <c r="AHT133" i="8"/>
  <c r="AHS133" i="8"/>
  <c r="AHR133" i="8"/>
  <c r="AHQ133" i="8"/>
  <c r="AHP133" i="8"/>
  <c r="AHO133" i="8"/>
  <c r="AHN133" i="8"/>
  <c r="AHM133" i="8"/>
  <c r="AHL133" i="8"/>
  <c r="AHK133" i="8"/>
  <c r="AHJ133" i="8"/>
  <c r="AHI133" i="8"/>
  <c r="AHH133" i="8"/>
  <c r="AHG133" i="8"/>
  <c r="AHF133" i="8"/>
  <c r="AHE133" i="8"/>
  <c r="AHD133" i="8"/>
  <c r="AHC133" i="8"/>
  <c r="AHB133" i="8"/>
  <c r="AHA133" i="8"/>
  <c r="AGZ133" i="8"/>
  <c r="AGY133" i="8"/>
  <c r="AGX133" i="8"/>
  <c r="AGW133" i="8"/>
  <c r="AGV133" i="8"/>
  <c r="AGU133" i="8"/>
  <c r="AGT133" i="8"/>
  <c r="AGS133" i="8"/>
  <c r="AGR133" i="8"/>
  <c r="AGQ133" i="8"/>
  <c r="AGP133" i="8"/>
  <c r="AGO133" i="8"/>
  <c r="AGN133" i="8"/>
  <c r="AGM133" i="8"/>
  <c r="AGL133" i="8"/>
  <c r="AGK133" i="8"/>
  <c r="AGJ133" i="8"/>
  <c r="AGI133" i="8"/>
  <c r="AGH133" i="8"/>
  <c r="AGG133" i="8"/>
  <c r="AGF133" i="8"/>
  <c r="AGE133" i="8"/>
  <c r="AGD133" i="8"/>
  <c r="AGC133" i="8"/>
  <c r="AGB133" i="8"/>
  <c r="AGA133" i="8"/>
  <c r="AFZ133" i="8"/>
  <c r="AFY133" i="8"/>
  <c r="AFX133" i="8"/>
  <c r="AFW133" i="8"/>
  <c r="AFV133" i="8"/>
  <c r="AFU133" i="8"/>
  <c r="AFT133" i="8"/>
  <c r="AFS133" i="8"/>
  <c r="AFR133" i="8"/>
  <c r="AFQ133" i="8"/>
  <c r="AFP133" i="8"/>
  <c r="AFO133" i="8"/>
  <c r="AFN133" i="8"/>
  <c r="AFM133" i="8"/>
  <c r="AFL133" i="8"/>
  <c r="AFK133" i="8"/>
  <c r="AFJ133" i="8"/>
  <c r="AFI133" i="8"/>
  <c r="AFH133" i="8"/>
  <c r="AFG133" i="8"/>
  <c r="AFF133" i="8"/>
  <c r="AFE133" i="8"/>
  <c r="AFD133" i="8"/>
  <c r="AFC133" i="8"/>
  <c r="AFB133" i="8"/>
  <c r="AFA133" i="8"/>
  <c r="AEZ133" i="8"/>
  <c r="AEY133" i="8"/>
  <c r="AEX133" i="8"/>
  <c r="AEW133" i="8"/>
  <c r="AEV133" i="8"/>
  <c r="AEU133" i="8"/>
  <c r="AET133" i="8"/>
  <c r="AES133" i="8"/>
  <c r="AER133" i="8"/>
  <c r="AEQ133" i="8"/>
  <c r="AEP133" i="8"/>
  <c r="AEO133" i="8"/>
  <c r="AEN133" i="8"/>
  <c r="AEM133" i="8"/>
  <c r="AEL133" i="8"/>
  <c r="AEK133" i="8"/>
  <c r="AEJ133" i="8"/>
  <c r="AEI133" i="8"/>
  <c r="AEH133" i="8"/>
  <c r="AEG133" i="8"/>
  <c r="AEF133" i="8"/>
  <c r="AEE133" i="8"/>
  <c r="AED133" i="8"/>
  <c r="AEC133" i="8"/>
  <c r="AEB133" i="8"/>
  <c r="AEA133" i="8"/>
  <c r="ADZ133" i="8"/>
  <c r="ADY133" i="8"/>
  <c r="ADX133" i="8"/>
  <c r="ADW133" i="8"/>
  <c r="ADV133" i="8"/>
  <c r="ADU133" i="8"/>
  <c r="ADT133" i="8"/>
  <c r="ADS133" i="8"/>
  <c r="ADR133" i="8"/>
  <c r="ADQ133" i="8"/>
  <c r="ADP133" i="8"/>
  <c r="ADO133" i="8"/>
  <c r="ADN133" i="8"/>
  <c r="ADM133" i="8"/>
  <c r="ADL133" i="8"/>
  <c r="ADK133" i="8"/>
  <c r="ADJ133" i="8"/>
  <c r="ADI133" i="8"/>
  <c r="ADH133" i="8"/>
  <c r="ADG133" i="8"/>
  <c r="ADF133" i="8"/>
  <c r="ADE133" i="8"/>
  <c r="ADD133" i="8"/>
  <c r="ADC133" i="8"/>
  <c r="ADB133" i="8"/>
  <c r="ADA133" i="8"/>
  <c r="ACZ133" i="8"/>
  <c r="ACY133" i="8"/>
  <c r="ACX133" i="8"/>
  <c r="ACW133" i="8"/>
  <c r="ACV133" i="8"/>
  <c r="ACU133" i="8"/>
  <c r="ACT133" i="8"/>
  <c r="ACS133" i="8"/>
  <c r="ACR133" i="8"/>
  <c r="ACQ133" i="8"/>
  <c r="ACP133" i="8"/>
  <c r="ACO133" i="8"/>
  <c r="ACN133" i="8"/>
  <c r="ACM133" i="8"/>
  <c r="ACL133" i="8"/>
  <c r="ACK133" i="8"/>
  <c r="ACJ133" i="8"/>
  <c r="ACI133" i="8"/>
  <c r="ACH133" i="8"/>
  <c r="ACG133" i="8"/>
  <c r="ACF133" i="8"/>
  <c r="ACE133" i="8"/>
  <c r="ACD133" i="8"/>
  <c r="ACC133" i="8"/>
  <c r="ACB133" i="8"/>
  <c r="ACA133" i="8"/>
  <c r="ABZ133" i="8"/>
  <c r="ABY133" i="8"/>
  <c r="ABX133" i="8"/>
  <c r="ABW133" i="8"/>
  <c r="ABV133" i="8"/>
  <c r="ABU133" i="8"/>
  <c r="ABT133" i="8"/>
  <c r="ABS133" i="8"/>
  <c r="ABR133" i="8"/>
  <c r="ABQ133" i="8"/>
  <c r="ABP133" i="8"/>
  <c r="ABO133" i="8"/>
  <c r="ABN133" i="8"/>
  <c r="ABM133" i="8"/>
  <c r="ABL133" i="8"/>
  <c r="ABK133" i="8"/>
  <c r="ABJ133" i="8"/>
  <c r="ABI133" i="8"/>
  <c r="ABH133" i="8"/>
  <c r="ABG133" i="8"/>
  <c r="ABF133" i="8"/>
  <c r="ABE133" i="8"/>
  <c r="ABD133" i="8"/>
  <c r="ABC133" i="8"/>
  <c r="ABB133" i="8"/>
  <c r="ABA133" i="8"/>
  <c r="AAZ133" i="8"/>
  <c r="AAY133" i="8"/>
  <c r="AAX133" i="8"/>
  <c r="AAW133" i="8"/>
  <c r="AAV133" i="8"/>
  <c r="AAU133" i="8"/>
  <c r="AAT133" i="8"/>
  <c r="AAS133" i="8"/>
  <c r="AAR133" i="8"/>
  <c r="AAQ133" i="8"/>
  <c r="AAP133" i="8"/>
  <c r="AAO133" i="8"/>
  <c r="AAN133" i="8"/>
  <c r="AAM133" i="8"/>
  <c r="AAL133" i="8"/>
  <c r="AAK133" i="8"/>
  <c r="AAJ133" i="8"/>
  <c r="AAI133" i="8"/>
  <c r="AAH133" i="8"/>
  <c r="AAG133" i="8"/>
  <c r="AAF133" i="8"/>
  <c r="AAE133" i="8"/>
  <c r="AAD133" i="8"/>
  <c r="AAC133" i="8"/>
  <c r="AAB133" i="8"/>
  <c r="AAA133" i="8"/>
  <c r="ZZ133" i="8"/>
  <c r="ZY133" i="8"/>
  <c r="ZX133" i="8"/>
  <c r="ZW133" i="8"/>
  <c r="ZV133" i="8"/>
  <c r="ZU133" i="8"/>
  <c r="ZT133" i="8"/>
  <c r="ZS133" i="8"/>
  <c r="ZR133" i="8"/>
  <c r="ZQ133" i="8"/>
  <c r="ZP133" i="8"/>
  <c r="ZO133" i="8"/>
  <c r="ZN133" i="8"/>
  <c r="ZM133" i="8"/>
  <c r="ZL133" i="8"/>
  <c r="ZK133" i="8"/>
  <c r="ZJ133" i="8"/>
  <c r="ZI133" i="8"/>
  <c r="ZH133" i="8"/>
  <c r="ZG133" i="8"/>
  <c r="ZF133" i="8"/>
  <c r="ZE133" i="8"/>
  <c r="ZD133" i="8"/>
  <c r="ZC133" i="8"/>
  <c r="ZB133" i="8"/>
  <c r="ZA133" i="8"/>
  <c r="YZ133" i="8"/>
  <c r="YY133" i="8"/>
  <c r="YX133" i="8"/>
  <c r="YW133" i="8"/>
  <c r="YV133" i="8"/>
  <c r="YU133" i="8"/>
  <c r="YT133" i="8"/>
  <c r="YS133" i="8"/>
  <c r="YR133" i="8"/>
  <c r="YQ133" i="8"/>
  <c r="YP133" i="8"/>
  <c r="YO133" i="8"/>
  <c r="YN133" i="8"/>
  <c r="YM133" i="8"/>
  <c r="YL133" i="8"/>
  <c r="YK133" i="8"/>
  <c r="YJ133" i="8"/>
  <c r="YI133" i="8"/>
  <c r="YH133" i="8"/>
  <c r="YG133" i="8"/>
  <c r="YF133" i="8"/>
  <c r="YE133" i="8"/>
  <c r="YD133" i="8"/>
  <c r="YC133" i="8"/>
  <c r="YB133" i="8"/>
  <c r="YA133" i="8"/>
  <c r="XZ133" i="8"/>
  <c r="XY133" i="8"/>
  <c r="XX133" i="8"/>
  <c r="XW133" i="8"/>
  <c r="XV133" i="8"/>
  <c r="XU133" i="8"/>
  <c r="XT133" i="8"/>
  <c r="XS133" i="8"/>
  <c r="XR133" i="8"/>
  <c r="XQ133" i="8"/>
  <c r="XP133" i="8"/>
  <c r="XO133" i="8"/>
  <c r="XN133" i="8"/>
  <c r="XM133" i="8"/>
  <c r="XL133" i="8"/>
  <c r="XK133" i="8"/>
  <c r="XJ133" i="8"/>
  <c r="XI133" i="8"/>
  <c r="XH133" i="8"/>
  <c r="XG133" i="8"/>
  <c r="XF133" i="8"/>
  <c r="XE133" i="8"/>
  <c r="XD133" i="8"/>
  <c r="XC133" i="8"/>
  <c r="XB133" i="8"/>
  <c r="XA133" i="8"/>
  <c r="WZ133" i="8"/>
  <c r="WY133" i="8"/>
  <c r="WX133" i="8"/>
  <c r="WW133" i="8"/>
  <c r="WV133" i="8"/>
  <c r="WU133" i="8"/>
  <c r="WT133" i="8"/>
  <c r="WS133" i="8"/>
  <c r="WR133" i="8"/>
  <c r="WQ133" i="8"/>
  <c r="WP133" i="8"/>
  <c r="WO133" i="8"/>
  <c r="WN133" i="8"/>
  <c r="WM133" i="8"/>
  <c r="WL133" i="8"/>
  <c r="WK133" i="8"/>
  <c r="WJ133" i="8"/>
  <c r="WI133" i="8"/>
  <c r="WH133" i="8"/>
  <c r="WG133" i="8"/>
  <c r="WF133" i="8"/>
  <c r="WE133" i="8"/>
  <c r="WD133" i="8"/>
  <c r="WC133" i="8"/>
  <c r="WB133" i="8"/>
  <c r="WA133" i="8"/>
  <c r="VZ133" i="8"/>
  <c r="VY133" i="8"/>
  <c r="VX133" i="8"/>
  <c r="VW133" i="8"/>
  <c r="VV133" i="8"/>
  <c r="VU133" i="8"/>
  <c r="VT133" i="8"/>
  <c r="VS133" i="8"/>
  <c r="VR133" i="8"/>
  <c r="VQ133" i="8"/>
  <c r="VP133" i="8"/>
  <c r="VO133" i="8"/>
  <c r="VN133" i="8"/>
  <c r="VM133" i="8"/>
  <c r="VL133" i="8"/>
  <c r="VK133" i="8"/>
  <c r="VJ133" i="8"/>
  <c r="VI133" i="8"/>
  <c r="VH133" i="8"/>
  <c r="VG133" i="8"/>
  <c r="VF133" i="8"/>
  <c r="VE133" i="8"/>
  <c r="VD133" i="8"/>
  <c r="VC133" i="8"/>
  <c r="VB133" i="8"/>
  <c r="VA133" i="8"/>
  <c r="UZ133" i="8"/>
  <c r="UY133" i="8"/>
  <c r="UX133" i="8"/>
  <c r="UW133" i="8"/>
  <c r="UV133" i="8"/>
  <c r="UU133" i="8"/>
  <c r="UT133" i="8"/>
  <c r="US133" i="8"/>
  <c r="UR133" i="8"/>
  <c r="UQ133" i="8"/>
  <c r="UP133" i="8"/>
  <c r="UO133" i="8"/>
  <c r="UN133" i="8"/>
  <c r="UM133" i="8"/>
  <c r="UL133" i="8"/>
  <c r="UK133" i="8"/>
  <c r="UJ133" i="8"/>
  <c r="UI133" i="8"/>
  <c r="UH133" i="8"/>
  <c r="UG133" i="8"/>
  <c r="UF133" i="8"/>
  <c r="UE133" i="8"/>
  <c r="UD133" i="8"/>
  <c r="UC133" i="8"/>
  <c r="UB133" i="8"/>
  <c r="UA133" i="8"/>
  <c r="TZ133" i="8"/>
  <c r="TY133" i="8"/>
  <c r="TX133" i="8"/>
  <c r="TW133" i="8"/>
  <c r="TV133" i="8"/>
  <c r="TU133" i="8"/>
  <c r="TT133" i="8"/>
  <c r="TS133" i="8"/>
  <c r="TR133" i="8"/>
  <c r="TQ133" i="8"/>
  <c r="TP133" i="8"/>
  <c r="TO133" i="8"/>
  <c r="TN133" i="8"/>
  <c r="TM133" i="8"/>
  <c r="TL133" i="8"/>
  <c r="TK133" i="8"/>
  <c r="TJ133" i="8"/>
  <c r="TI133" i="8"/>
  <c r="TH133" i="8"/>
  <c r="TG133" i="8"/>
  <c r="TF133" i="8"/>
  <c r="TE133" i="8"/>
  <c r="TD133" i="8"/>
  <c r="TC133" i="8"/>
  <c r="TB133" i="8"/>
  <c r="TA133" i="8"/>
  <c r="SZ133" i="8"/>
  <c r="SY133" i="8"/>
  <c r="SX133" i="8"/>
  <c r="SW133" i="8"/>
  <c r="SV133" i="8"/>
  <c r="SU133" i="8"/>
  <c r="ST133" i="8"/>
  <c r="SS133" i="8"/>
  <c r="SR133" i="8"/>
  <c r="SQ133" i="8"/>
  <c r="SP133" i="8"/>
  <c r="SO133" i="8"/>
  <c r="SN133" i="8"/>
  <c r="SM133" i="8"/>
  <c r="SL133" i="8"/>
  <c r="SK133" i="8"/>
  <c r="SJ133" i="8"/>
  <c r="SI133" i="8"/>
  <c r="SH133" i="8"/>
  <c r="SG133" i="8"/>
  <c r="SF133" i="8"/>
  <c r="SE133" i="8"/>
  <c r="SD133" i="8"/>
  <c r="SC133" i="8"/>
  <c r="SB133" i="8"/>
  <c r="SA133" i="8"/>
  <c r="RZ133" i="8"/>
  <c r="RY133" i="8"/>
  <c r="RX133" i="8"/>
  <c r="RW133" i="8"/>
  <c r="RV133" i="8"/>
  <c r="RU133" i="8"/>
  <c r="RT133" i="8"/>
  <c r="RS133" i="8"/>
  <c r="RR133" i="8"/>
  <c r="RQ133" i="8"/>
  <c r="RP133" i="8"/>
  <c r="RO133" i="8"/>
  <c r="RN133" i="8"/>
  <c r="RM133" i="8"/>
  <c r="RL133" i="8"/>
  <c r="RK133" i="8"/>
  <c r="RJ133" i="8"/>
  <c r="RI133" i="8"/>
  <c r="RH133" i="8"/>
  <c r="RG133" i="8"/>
  <c r="RF133" i="8"/>
  <c r="RE133" i="8"/>
  <c r="RD133" i="8"/>
  <c r="RC133" i="8"/>
  <c r="RB133" i="8"/>
  <c r="RA133" i="8"/>
  <c r="QZ133" i="8"/>
  <c r="QY133" i="8"/>
  <c r="QX133" i="8"/>
  <c r="QW133" i="8"/>
  <c r="QV133" i="8"/>
  <c r="QU133" i="8"/>
  <c r="QT133" i="8"/>
  <c r="QS133" i="8"/>
  <c r="QR133" i="8"/>
  <c r="QQ133" i="8"/>
  <c r="QP133" i="8"/>
  <c r="QO133" i="8"/>
  <c r="QN133" i="8"/>
  <c r="QM133" i="8"/>
  <c r="QL133" i="8"/>
  <c r="QK133" i="8"/>
  <c r="QJ133" i="8"/>
  <c r="QI133" i="8"/>
  <c r="QH133" i="8"/>
  <c r="QG133" i="8"/>
  <c r="QF133" i="8"/>
  <c r="QE133" i="8"/>
  <c r="QD133" i="8"/>
  <c r="QC133" i="8"/>
  <c r="QB133" i="8"/>
  <c r="QA133" i="8"/>
  <c r="PZ133" i="8"/>
  <c r="PY133" i="8"/>
  <c r="PX133" i="8"/>
  <c r="PW133" i="8"/>
  <c r="PV133" i="8"/>
  <c r="PU133" i="8"/>
  <c r="PT133" i="8"/>
  <c r="PS133" i="8"/>
  <c r="PR133" i="8"/>
  <c r="PQ133" i="8"/>
  <c r="PP133" i="8"/>
  <c r="PO133" i="8"/>
  <c r="PN133" i="8"/>
  <c r="PM133" i="8"/>
  <c r="PL133" i="8"/>
  <c r="PK133" i="8"/>
  <c r="PJ133" i="8"/>
  <c r="PI133" i="8"/>
  <c r="PH133" i="8"/>
  <c r="PG133" i="8"/>
  <c r="PF133" i="8"/>
  <c r="PE133" i="8"/>
  <c r="PD133" i="8"/>
  <c r="PC133" i="8"/>
  <c r="PB133" i="8"/>
  <c r="PA133" i="8"/>
  <c r="OZ133" i="8"/>
  <c r="OY133" i="8"/>
  <c r="OX133" i="8"/>
  <c r="OW133" i="8"/>
  <c r="OV133" i="8"/>
  <c r="OU133" i="8"/>
  <c r="OT133" i="8"/>
  <c r="OS133" i="8"/>
  <c r="OR133" i="8"/>
  <c r="OQ133" i="8"/>
  <c r="OP133" i="8"/>
  <c r="OO133" i="8"/>
  <c r="ON133" i="8"/>
  <c r="OM133" i="8"/>
  <c r="OL133" i="8"/>
  <c r="OK133" i="8"/>
  <c r="OJ133" i="8"/>
  <c r="OI133" i="8"/>
  <c r="OH133" i="8"/>
  <c r="OG133" i="8"/>
  <c r="OF133" i="8"/>
  <c r="OE133" i="8"/>
  <c r="OD133" i="8"/>
  <c r="OC133" i="8"/>
  <c r="OB133" i="8"/>
  <c r="OA133" i="8"/>
  <c r="NZ133" i="8"/>
  <c r="NY133" i="8"/>
  <c r="NX133" i="8"/>
  <c r="NW133" i="8"/>
  <c r="NV133" i="8"/>
  <c r="NU133" i="8"/>
  <c r="NT133" i="8"/>
  <c r="NS133" i="8"/>
  <c r="NR133" i="8"/>
  <c r="NQ133" i="8"/>
  <c r="NP133" i="8"/>
  <c r="NO133" i="8"/>
  <c r="NN133" i="8"/>
  <c r="NM133" i="8"/>
  <c r="NL133" i="8"/>
  <c r="NK133" i="8"/>
  <c r="NJ133" i="8"/>
  <c r="NI133" i="8"/>
  <c r="NH133" i="8"/>
  <c r="NG133" i="8"/>
  <c r="NF133" i="8"/>
  <c r="NE133" i="8"/>
  <c r="ND133" i="8"/>
  <c r="NC133" i="8"/>
  <c r="NB133" i="8"/>
  <c r="NA133" i="8"/>
  <c r="MZ133" i="8"/>
  <c r="MY133" i="8"/>
  <c r="MX133" i="8"/>
  <c r="MW133" i="8"/>
  <c r="MV133" i="8"/>
  <c r="MU133" i="8"/>
  <c r="MT133" i="8"/>
  <c r="MS133" i="8"/>
  <c r="MR133" i="8"/>
  <c r="MQ133" i="8"/>
  <c r="MP133" i="8"/>
  <c r="MO133" i="8"/>
  <c r="MN133" i="8"/>
  <c r="MM133" i="8"/>
  <c r="ML133" i="8"/>
  <c r="MK133" i="8"/>
  <c r="MJ133" i="8"/>
  <c r="MI133" i="8"/>
  <c r="MH133" i="8"/>
  <c r="MG133" i="8"/>
  <c r="MF133" i="8"/>
  <c r="ME133" i="8"/>
  <c r="MD133" i="8"/>
  <c r="MC133" i="8"/>
  <c r="MB133" i="8"/>
  <c r="MA133" i="8"/>
  <c r="LZ133" i="8"/>
  <c r="LY133" i="8"/>
  <c r="LX133" i="8"/>
  <c r="LW133" i="8"/>
  <c r="LV133" i="8"/>
  <c r="LU133" i="8"/>
  <c r="LT133" i="8"/>
  <c r="LS133" i="8"/>
  <c r="LR133" i="8"/>
  <c r="LQ133" i="8"/>
  <c r="LP133" i="8"/>
  <c r="LO133" i="8"/>
  <c r="LN133" i="8"/>
  <c r="LM133" i="8"/>
  <c r="LL133" i="8"/>
  <c r="LK133" i="8"/>
  <c r="LJ133" i="8"/>
  <c r="LI133" i="8"/>
  <c r="LH133" i="8"/>
  <c r="LG133" i="8"/>
  <c r="LF133" i="8"/>
  <c r="LE133" i="8"/>
  <c r="LD133" i="8"/>
  <c r="LC133" i="8"/>
  <c r="LB133" i="8"/>
  <c r="LA133" i="8"/>
  <c r="KZ133" i="8"/>
  <c r="KY133" i="8"/>
  <c r="KX133" i="8"/>
  <c r="KW133" i="8"/>
  <c r="KV133" i="8"/>
  <c r="KU133" i="8"/>
  <c r="KT133" i="8"/>
  <c r="KS133" i="8"/>
  <c r="KR133" i="8"/>
  <c r="KQ133" i="8"/>
  <c r="KP133" i="8"/>
  <c r="KO133" i="8"/>
  <c r="KN133" i="8"/>
  <c r="KM133" i="8"/>
  <c r="KL133" i="8"/>
  <c r="KK133" i="8"/>
  <c r="KJ133" i="8"/>
  <c r="KI133" i="8"/>
  <c r="KH133" i="8"/>
  <c r="KG133" i="8"/>
  <c r="KF133" i="8"/>
  <c r="KE133" i="8"/>
  <c r="KD133" i="8"/>
  <c r="KC133" i="8"/>
  <c r="KB133" i="8"/>
  <c r="KA133" i="8"/>
  <c r="JZ133" i="8"/>
  <c r="JY133" i="8"/>
  <c r="JX133" i="8"/>
  <c r="JW133" i="8"/>
  <c r="JV133" i="8"/>
  <c r="JU133" i="8"/>
  <c r="JT133" i="8"/>
  <c r="JS133" i="8"/>
  <c r="JR133" i="8"/>
  <c r="JQ133" i="8"/>
  <c r="JP133" i="8"/>
  <c r="JO133" i="8"/>
  <c r="JN133" i="8"/>
  <c r="JM133" i="8"/>
  <c r="JL133" i="8"/>
  <c r="JK133" i="8"/>
  <c r="JJ133" i="8"/>
  <c r="JI133" i="8"/>
  <c r="JH133" i="8"/>
  <c r="JG133" i="8"/>
  <c r="JF133" i="8"/>
  <c r="JE133" i="8"/>
  <c r="JD133" i="8"/>
  <c r="JC133" i="8"/>
  <c r="JB133" i="8"/>
  <c r="JA133" i="8"/>
  <c r="IZ133" i="8"/>
  <c r="IY133" i="8"/>
  <c r="IX133" i="8"/>
  <c r="IW133" i="8"/>
  <c r="IV133" i="8"/>
  <c r="IU133" i="8"/>
  <c r="IT133" i="8"/>
  <c r="IS133" i="8"/>
  <c r="IR133" i="8"/>
  <c r="IQ133" i="8"/>
  <c r="IP133" i="8"/>
  <c r="IO133" i="8"/>
  <c r="IN133" i="8"/>
  <c r="IM133" i="8"/>
  <c r="IL133" i="8"/>
  <c r="IK133" i="8"/>
  <c r="IJ133" i="8"/>
  <c r="II133" i="8"/>
  <c r="IH133" i="8"/>
  <c r="IG133" i="8"/>
  <c r="IF133" i="8"/>
  <c r="IE133" i="8"/>
  <c r="ID133" i="8"/>
  <c r="IC133" i="8"/>
  <c r="IB133" i="8"/>
  <c r="IA133" i="8"/>
  <c r="HZ133" i="8"/>
  <c r="HY133" i="8"/>
  <c r="HX133" i="8"/>
  <c r="HW133" i="8"/>
  <c r="HV133" i="8"/>
  <c r="HU133" i="8"/>
  <c r="HT133" i="8"/>
  <c r="HS133" i="8"/>
  <c r="HR133" i="8"/>
  <c r="HQ133" i="8"/>
  <c r="HP133" i="8"/>
  <c r="HO133" i="8"/>
  <c r="HN133" i="8"/>
  <c r="HM133" i="8"/>
  <c r="HL133" i="8"/>
  <c r="HK133" i="8"/>
  <c r="HJ133" i="8"/>
  <c r="HI133" i="8"/>
  <c r="HH133" i="8"/>
  <c r="HG133" i="8"/>
  <c r="HF133" i="8"/>
  <c r="HE133" i="8"/>
  <c r="HD133" i="8"/>
  <c r="HC133" i="8"/>
  <c r="HB133" i="8"/>
  <c r="HA133" i="8"/>
  <c r="GZ133" i="8"/>
  <c r="GY133" i="8"/>
  <c r="GX133" i="8"/>
  <c r="GW133" i="8"/>
  <c r="GV133" i="8"/>
  <c r="GU133" i="8"/>
  <c r="GT133" i="8"/>
  <c r="GS133" i="8"/>
  <c r="GR133" i="8"/>
  <c r="GQ133" i="8"/>
  <c r="GP133" i="8"/>
  <c r="GO133" i="8"/>
  <c r="GN133" i="8"/>
  <c r="GM133" i="8"/>
  <c r="GL133" i="8"/>
  <c r="GK133" i="8"/>
  <c r="GJ133" i="8"/>
  <c r="GI133" i="8"/>
  <c r="GH133" i="8"/>
  <c r="GG133" i="8"/>
  <c r="GF133" i="8"/>
  <c r="GE133" i="8"/>
  <c r="GD133" i="8"/>
  <c r="GC133" i="8"/>
  <c r="GB133" i="8"/>
  <c r="GA133" i="8"/>
  <c r="FZ133" i="8"/>
  <c r="FY133" i="8"/>
  <c r="FX133" i="8"/>
  <c r="FW133" i="8"/>
  <c r="FV133" i="8"/>
  <c r="FU133" i="8"/>
  <c r="FT133" i="8"/>
  <c r="FS133" i="8"/>
  <c r="FR133" i="8"/>
  <c r="FQ133" i="8"/>
  <c r="FP133" i="8"/>
  <c r="FO133" i="8"/>
  <c r="FN133" i="8"/>
  <c r="FM133" i="8"/>
  <c r="FL133" i="8"/>
  <c r="FK133" i="8"/>
  <c r="FJ133" i="8"/>
  <c r="FI133" i="8"/>
  <c r="FH133" i="8"/>
  <c r="FG133" i="8"/>
  <c r="FF133" i="8"/>
  <c r="FE133" i="8"/>
  <c r="FD133" i="8"/>
  <c r="FC133" i="8"/>
  <c r="FB133" i="8"/>
  <c r="FA133" i="8"/>
  <c r="EZ133" i="8"/>
  <c r="EY133" i="8"/>
  <c r="EX133" i="8"/>
  <c r="EW133" i="8"/>
  <c r="EV133" i="8"/>
  <c r="EU133" i="8"/>
  <c r="ET133" i="8"/>
  <c r="ES133" i="8"/>
  <c r="ER133" i="8"/>
  <c r="EQ133" i="8"/>
  <c r="EP133" i="8"/>
  <c r="EO133" i="8"/>
  <c r="EN133" i="8"/>
  <c r="EM133" i="8"/>
  <c r="EL133" i="8"/>
  <c r="EK133" i="8"/>
  <c r="EJ133" i="8"/>
  <c r="EI133" i="8"/>
  <c r="EH133" i="8"/>
  <c r="EG133" i="8"/>
  <c r="EF133" i="8"/>
  <c r="EE133" i="8"/>
  <c r="ED133" i="8"/>
  <c r="EC133" i="8"/>
  <c r="EB133" i="8"/>
  <c r="EA133" i="8"/>
  <c r="DZ133" i="8"/>
  <c r="DY133" i="8"/>
  <c r="DX133" i="8"/>
  <c r="DW133" i="8"/>
  <c r="DV133" i="8"/>
  <c r="DU133" i="8"/>
  <c r="DT133" i="8"/>
  <c r="DS133" i="8"/>
  <c r="DR133" i="8"/>
  <c r="DQ133" i="8"/>
  <c r="DP133" i="8"/>
  <c r="DO133" i="8"/>
  <c r="DN133" i="8"/>
  <c r="DM133" i="8"/>
  <c r="DL133" i="8"/>
  <c r="DK133" i="8"/>
  <c r="DJ133" i="8"/>
  <c r="DI133" i="8"/>
  <c r="DH133" i="8"/>
  <c r="DG133" i="8"/>
  <c r="DF133" i="8"/>
  <c r="DE133" i="8"/>
  <c r="DD133" i="8"/>
  <c r="DC133" i="8"/>
  <c r="DB133" i="8"/>
  <c r="DA133" i="8"/>
  <c r="CZ133" i="8"/>
  <c r="CY133" i="8"/>
  <c r="CX133" i="8"/>
  <c r="CW133" i="8"/>
  <c r="CV133" i="8"/>
  <c r="CU133" i="8"/>
  <c r="CT133" i="8"/>
  <c r="CS133" i="8"/>
  <c r="CR133" i="8"/>
  <c r="CQ133" i="8"/>
  <c r="CP133" i="8"/>
  <c r="CO133" i="8"/>
  <c r="CN133" i="8"/>
  <c r="CM133" i="8"/>
  <c r="CL133" i="8"/>
  <c r="CK133" i="8"/>
  <c r="CJ133" i="8"/>
  <c r="CI133" i="8"/>
  <c r="CH133" i="8"/>
  <c r="CG133" i="8"/>
  <c r="CF133" i="8"/>
  <c r="CE133" i="8"/>
  <c r="CD133" i="8"/>
  <c r="CC133" i="8"/>
  <c r="CB133" i="8"/>
  <c r="CA133" i="8"/>
  <c r="BZ133" i="8"/>
  <c r="BY133" i="8"/>
  <c r="BX133" i="8"/>
  <c r="BW133" i="8"/>
  <c r="BV133" i="8"/>
  <c r="BU133" i="8"/>
  <c r="BT133" i="8"/>
  <c r="BS133" i="8"/>
  <c r="BR133" i="8"/>
  <c r="BQ133" i="8"/>
  <c r="BP133" i="8"/>
  <c r="BO133" i="8"/>
  <c r="BN133" i="8"/>
  <c r="BM133" i="8"/>
  <c r="BL133" i="8"/>
  <c r="BK133" i="8"/>
  <c r="BJ133" i="8"/>
  <c r="BI133" i="8"/>
  <c r="BH133" i="8"/>
  <c r="BG133" i="8"/>
  <c r="BF133" i="8"/>
  <c r="BE133" i="8"/>
  <c r="BD133" i="8"/>
  <c r="BC133" i="8"/>
  <c r="BB133" i="8"/>
  <c r="BA133" i="8"/>
  <c r="AZ133" i="8"/>
  <c r="AY133" i="8"/>
  <c r="AX133" i="8"/>
  <c r="AW133" i="8"/>
  <c r="AV133" i="8"/>
  <c r="AU133" i="8"/>
  <c r="AT133" i="8"/>
  <c r="AS133" i="8"/>
  <c r="AR133" i="8"/>
  <c r="AQ133" i="8"/>
  <c r="AP133" i="8"/>
  <c r="AO133" i="8"/>
  <c r="AN133" i="8"/>
  <c r="AM133" i="8"/>
  <c r="AL133" i="8"/>
  <c r="AK133"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XFD132" i="8"/>
  <c r="XFC132" i="8"/>
  <c r="XFB132" i="8"/>
  <c r="XFA132" i="8"/>
  <c r="XEZ132" i="8"/>
  <c r="XEY132" i="8"/>
  <c r="XEX132" i="8"/>
  <c r="XEW132" i="8"/>
  <c r="XEV132" i="8"/>
  <c r="XEU132" i="8"/>
  <c r="XET132" i="8"/>
  <c r="XES132" i="8"/>
  <c r="XER132" i="8"/>
  <c r="XEQ132" i="8"/>
  <c r="XEP132" i="8"/>
  <c r="XEO132" i="8"/>
  <c r="XEN132" i="8"/>
  <c r="XEM132" i="8"/>
  <c r="XEL132" i="8"/>
  <c r="XEK132" i="8"/>
  <c r="XEJ132" i="8"/>
  <c r="XEI132" i="8"/>
  <c r="XEH132" i="8"/>
  <c r="XEG132" i="8"/>
  <c r="XEF132" i="8"/>
  <c r="XEE132" i="8"/>
  <c r="XED132" i="8"/>
  <c r="XEC132" i="8"/>
  <c r="XEB132" i="8"/>
  <c r="XEA132" i="8"/>
  <c r="XDZ132" i="8"/>
  <c r="XDY132" i="8"/>
  <c r="XDX132" i="8"/>
  <c r="XDW132" i="8"/>
  <c r="XDV132" i="8"/>
  <c r="XDU132" i="8"/>
  <c r="XDT132" i="8"/>
  <c r="XDS132" i="8"/>
  <c r="XDR132" i="8"/>
  <c r="XDQ132" i="8"/>
  <c r="XDP132" i="8"/>
  <c r="XDO132" i="8"/>
  <c r="XDN132" i="8"/>
  <c r="XDM132" i="8"/>
  <c r="XDL132" i="8"/>
  <c r="XDK132" i="8"/>
  <c r="XDJ132" i="8"/>
  <c r="XDI132" i="8"/>
  <c r="XDH132" i="8"/>
  <c r="XDG132" i="8"/>
  <c r="XDF132" i="8"/>
  <c r="XDE132" i="8"/>
  <c r="XDD132" i="8"/>
  <c r="XDC132" i="8"/>
  <c r="XDB132" i="8"/>
  <c r="XDA132" i="8"/>
  <c r="XCZ132" i="8"/>
  <c r="XCY132" i="8"/>
  <c r="XCX132" i="8"/>
  <c r="XCW132" i="8"/>
  <c r="XCV132" i="8"/>
  <c r="XCU132" i="8"/>
  <c r="XCT132" i="8"/>
  <c r="XCS132" i="8"/>
  <c r="XCR132" i="8"/>
  <c r="XCQ132" i="8"/>
  <c r="XCP132" i="8"/>
  <c r="XCO132" i="8"/>
  <c r="XCN132" i="8"/>
  <c r="XCM132" i="8"/>
  <c r="XCL132" i="8"/>
  <c r="XCK132" i="8"/>
  <c r="XCJ132" i="8"/>
  <c r="XCI132" i="8"/>
  <c r="XCH132" i="8"/>
  <c r="XCG132" i="8"/>
  <c r="XCF132" i="8"/>
  <c r="XCE132" i="8"/>
  <c r="XCD132" i="8"/>
  <c r="XCC132" i="8"/>
  <c r="XCB132" i="8"/>
  <c r="XCA132" i="8"/>
  <c r="XBZ132" i="8"/>
  <c r="XBY132" i="8"/>
  <c r="XBX132" i="8"/>
  <c r="XBW132" i="8"/>
  <c r="XBV132" i="8"/>
  <c r="XBU132" i="8"/>
  <c r="XBT132" i="8"/>
  <c r="XBS132" i="8"/>
  <c r="XBR132" i="8"/>
  <c r="XBQ132" i="8"/>
  <c r="XBP132" i="8"/>
  <c r="XBO132" i="8"/>
  <c r="XBN132" i="8"/>
  <c r="XBM132" i="8"/>
  <c r="XBL132" i="8"/>
  <c r="XBK132" i="8"/>
  <c r="XBJ132" i="8"/>
  <c r="XBI132" i="8"/>
  <c r="XBH132" i="8"/>
  <c r="XBG132" i="8"/>
  <c r="XBF132" i="8"/>
  <c r="XBE132" i="8"/>
  <c r="XBD132" i="8"/>
  <c r="XBC132" i="8"/>
  <c r="XBB132" i="8"/>
  <c r="XBA132" i="8"/>
  <c r="XAZ132" i="8"/>
  <c r="XAY132" i="8"/>
  <c r="XAX132" i="8"/>
  <c r="XAW132" i="8"/>
  <c r="XAV132" i="8"/>
  <c r="XAU132" i="8"/>
  <c r="XAT132" i="8"/>
  <c r="XAS132" i="8"/>
  <c r="XAR132" i="8"/>
  <c r="XAQ132" i="8"/>
  <c r="XAP132" i="8"/>
  <c r="XAO132" i="8"/>
  <c r="XAN132" i="8"/>
  <c r="XAM132" i="8"/>
  <c r="XAL132" i="8"/>
  <c r="XAK132" i="8"/>
  <c r="XAJ132" i="8"/>
  <c r="XAI132" i="8"/>
  <c r="XAH132" i="8"/>
  <c r="XAG132" i="8"/>
  <c r="XAF132" i="8"/>
  <c r="XAE132" i="8"/>
  <c r="XAD132" i="8"/>
  <c r="XAC132" i="8"/>
  <c r="XAB132" i="8"/>
  <c r="XAA132" i="8"/>
  <c r="WZZ132" i="8"/>
  <c r="WZY132" i="8"/>
  <c r="WZX132" i="8"/>
  <c r="WZW132" i="8"/>
  <c r="WZV132" i="8"/>
  <c r="WZU132" i="8"/>
  <c r="WZT132" i="8"/>
  <c r="WZS132" i="8"/>
  <c r="WZR132" i="8"/>
  <c r="WZQ132" i="8"/>
  <c r="WZP132" i="8"/>
  <c r="WZO132" i="8"/>
  <c r="WZN132" i="8"/>
  <c r="WZM132" i="8"/>
  <c r="WZL132" i="8"/>
  <c r="WZK132" i="8"/>
  <c r="WZJ132" i="8"/>
  <c r="WZI132" i="8"/>
  <c r="WZH132" i="8"/>
  <c r="WZG132" i="8"/>
  <c r="WZF132" i="8"/>
  <c r="WZE132" i="8"/>
  <c r="WZD132" i="8"/>
  <c r="WZC132" i="8"/>
  <c r="WZB132" i="8"/>
  <c r="WZA132" i="8"/>
  <c r="WYZ132" i="8"/>
  <c r="WYY132" i="8"/>
  <c r="WYX132" i="8"/>
  <c r="WYW132" i="8"/>
  <c r="WYV132" i="8"/>
  <c r="WYU132" i="8"/>
  <c r="WYT132" i="8"/>
  <c r="WYS132" i="8"/>
  <c r="WYR132" i="8"/>
  <c r="WYQ132" i="8"/>
  <c r="WYP132" i="8"/>
  <c r="WYO132" i="8"/>
  <c r="WYN132" i="8"/>
  <c r="WYM132" i="8"/>
  <c r="WYL132" i="8"/>
  <c r="WYK132" i="8"/>
  <c r="WYJ132" i="8"/>
  <c r="WYI132" i="8"/>
  <c r="WYH132" i="8"/>
  <c r="WYG132" i="8"/>
  <c r="WYF132" i="8"/>
  <c r="WYE132" i="8"/>
  <c r="WYD132" i="8"/>
  <c r="WYC132" i="8"/>
  <c r="WYB132" i="8"/>
  <c r="WYA132" i="8"/>
  <c r="WXZ132" i="8"/>
  <c r="WXY132" i="8"/>
  <c r="WXX132" i="8"/>
  <c r="WXW132" i="8"/>
  <c r="WXV132" i="8"/>
  <c r="WXU132" i="8"/>
  <c r="WXT132" i="8"/>
  <c r="WXS132" i="8"/>
  <c r="WXR132" i="8"/>
  <c r="WXQ132" i="8"/>
  <c r="WXP132" i="8"/>
  <c r="WXO132" i="8"/>
  <c r="WXN132" i="8"/>
  <c r="WXM132" i="8"/>
  <c r="WXL132" i="8"/>
  <c r="WXK132" i="8"/>
  <c r="WXJ132" i="8"/>
  <c r="WXI132" i="8"/>
  <c r="WXH132" i="8"/>
  <c r="WXG132" i="8"/>
  <c r="WXF132" i="8"/>
  <c r="WXE132" i="8"/>
  <c r="WXD132" i="8"/>
  <c r="WXC132" i="8"/>
  <c r="WXB132" i="8"/>
  <c r="WXA132" i="8"/>
  <c r="WWZ132" i="8"/>
  <c r="WWY132" i="8"/>
  <c r="WWX132" i="8"/>
  <c r="WWW132" i="8"/>
  <c r="WWV132" i="8"/>
  <c r="WWU132" i="8"/>
  <c r="WWT132" i="8"/>
  <c r="WWS132" i="8"/>
  <c r="WWR132" i="8"/>
  <c r="WWQ132" i="8"/>
  <c r="WWP132" i="8"/>
  <c r="WWO132" i="8"/>
  <c r="WWN132" i="8"/>
  <c r="WWM132" i="8"/>
  <c r="WWL132" i="8"/>
  <c r="WWK132" i="8"/>
  <c r="WWJ132" i="8"/>
  <c r="WWI132" i="8"/>
  <c r="WWH132" i="8"/>
  <c r="WWG132" i="8"/>
  <c r="WWF132" i="8"/>
  <c r="WWE132" i="8"/>
  <c r="WWD132" i="8"/>
  <c r="WWC132" i="8"/>
  <c r="WWB132" i="8"/>
  <c r="WWA132" i="8"/>
  <c r="WVZ132" i="8"/>
  <c r="WVY132" i="8"/>
  <c r="WVX132" i="8"/>
  <c r="WVW132" i="8"/>
  <c r="WVV132" i="8"/>
  <c r="WVU132" i="8"/>
  <c r="WVT132" i="8"/>
  <c r="WVS132" i="8"/>
  <c r="WVR132" i="8"/>
  <c r="WVQ132" i="8"/>
  <c r="WVP132" i="8"/>
  <c r="WVO132" i="8"/>
  <c r="WVN132" i="8"/>
  <c r="WVM132" i="8"/>
  <c r="WVL132" i="8"/>
  <c r="WVK132" i="8"/>
  <c r="WVJ132" i="8"/>
  <c r="WVI132" i="8"/>
  <c r="WVH132" i="8"/>
  <c r="WVG132" i="8"/>
  <c r="WVF132" i="8"/>
  <c r="WVE132" i="8"/>
  <c r="WVD132" i="8"/>
  <c r="WVC132" i="8"/>
  <c r="WVB132" i="8"/>
  <c r="WVA132" i="8"/>
  <c r="WUZ132" i="8"/>
  <c r="WUY132" i="8"/>
  <c r="WUX132" i="8"/>
  <c r="WUW132" i="8"/>
  <c r="WUV132" i="8"/>
  <c r="WUU132" i="8"/>
  <c r="WUT132" i="8"/>
  <c r="WUS132" i="8"/>
  <c r="WUR132" i="8"/>
  <c r="WUQ132" i="8"/>
  <c r="WUP132" i="8"/>
  <c r="WUO132" i="8"/>
  <c r="WUN132" i="8"/>
  <c r="WUM132" i="8"/>
  <c r="WUL132" i="8"/>
  <c r="WUK132" i="8"/>
  <c r="WUJ132" i="8"/>
  <c r="WUI132" i="8"/>
  <c r="WUH132" i="8"/>
  <c r="WUG132" i="8"/>
  <c r="WUF132" i="8"/>
  <c r="WUE132" i="8"/>
  <c r="WUD132" i="8"/>
  <c r="WUC132" i="8"/>
  <c r="WUB132" i="8"/>
  <c r="WUA132" i="8"/>
  <c r="WTZ132" i="8"/>
  <c r="WTY132" i="8"/>
  <c r="WTX132" i="8"/>
  <c r="WTW132" i="8"/>
  <c r="WTV132" i="8"/>
  <c r="WTU132" i="8"/>
  <c r="WTT132" i="8"/>
  <c r="WTS132" i="8"/>
  <c r="WTR132" i="8"/>
  <c r="WTQ132" i="8"/>
  <c r="WTP132" i="8"/>
  <c r="WTO132" i="8"/>
  <c r="WTN132" i="8"/>
  <c r="WTM132" i="8"/>
  <c r="WTL132" i="8"/>
  <c r="WTK132" i="8"/>
  <c r="WTJ132" i="8"/>
  <c r="WTI132" i="8"/>
  <c r="WTH132" i="8"/>
  <c r="WTG132" i="8"/>
  <c r="WTF132" i="8"/>
  <c r="WTE132" i="8"/>
  <c r="WTD132" i="8"/>
  <c r="WTC132" i="8"/>
  <c r="WTB132" i="8"/>
  <c r="WTA132" i="8"/>
  <c r="WSZ132" i="8"/>
  <c r="WSY132" i="8"/>
  <c r="WSX132" i="8"/>
  <c r="WSW132" i="8"/>
  <c r="WSV132" i="8"/>
  <c r="WSU132" i="8"/>
  <c r="WST132" i="8"/>
  <c r="WSS132" i="8"/>
  <c r="WSR132" i="8"/>
  <c r="WSQ132" i="8"/>
  <c r="WSP132" i="8"/>
  <c r="WSO132" i="8"/>
  <c r="WSN132" i="8"/>
  <c r="WSM132" i="8"/>
  <c r="WSL132" i="8"/>
  <c r="WSK132" i="8"/>
  <c r="WSJ132" i="8"/>
  <c r="WSI132" i="8"/>
  <c r="WSH132" i="8"/>
  <c r="WSG132" i="8"/>
  <c r="WSF132" i="8"/>
  <c r="WSE132" i="8"/>
  <c r="WSD132" i="8"/>
  <c r="WSC132" i="8"/>
  <c r="WSB132" i="8"/>
  <c r="WSA132" i="8"/>
  <c r="WRZ132" i="8"/>
  <c r="WRY132" i="8"/>
  <c r="WRX132" i="8"/>
  <c r="WRW132" i="8"/>
  <c r="WRV132" i="8"/>
  <c r="WRU132" i="8"/>
  <c r="WRT132" i="8"/>
  <c r="WRS132" i="8"/>
  <c r="WRR132" i="8"/>
  <c r="WRQ132" i="8"/>
  <c r="WRP132" i="8"/>
  <c r="WRO132" i="8"/>
  <c r="WRN132" i="8"/>
  <c r="WRM132" i="8"/>
  <c r="WRL132" i="8"/>
  <c r="WRK132" i="8"/>
  <c r="WRJ132" i="8"/>
  <c r="WRI132" i="8"/>
  <c r="WRH132" i="8"/>
  <c r="WRG132" i="8"/>
  <c r="WRF132" i="8"/>
  <c r="WRE132" i="8"/>
  <c r="WRD132" i="8"/>
  <c r="WRC132" i="8"/>
  <c r="WRB132" i="8"/>
  <c r="WRA132" i="8"/>
  <c r="WQZ132" i="8"/>
  <c r="WQY132" i="8"/>
  <c r="WQX132" i="8"/>
  <c r="WQW132" i="8"/>
  <c r="WQV132" i="8"/>
  <c r="WQU132" i="8"/>
  <c r="WQT132" i="8"/>
  <c r="WQS132" i="8"/>
  <c r="WQR132" i="8"/>
  <c r="WQQ132" i="8"/>
  <c r="WQP132" i="8"/>
  <c r="WQO132" i="8"/>
  <c r="WQN132" i="8"/>
  <c r="WQM132" i="8"/>
  <c r="WQL132" i="8"/>
  <c r="WQK132" i="8"/>
  <c r="WQJ132" i="8"/>
  <c r="WQI132" i="8"/>
  <c r="WQH132" i="8"/>
  <c r="WQG132" i="8"/>
  <c r="WQF132" i="8"/>
  <c r="WQE132" i="8"/>
  <c r="WQD132" i="8"/>
  <c r="WQC132" i="8"/>
  <c r="WQB132" i="8"/>
  <c r="WQA132" i="8"/>
  <c r="WPZ132" i="8"/>
  <c r="WPY132" i="8"/>
  <c r="WPX132" i="8"/>
  <c r="WPW132" i="8"/>
  <c r="WPV132" i="8"/>
  <c r="WPU132" i="8"/>
  <c r="WPT132" i="8"/>
  <c r="WPS132" i="8"/>
  <c r="WPR132" i="8"/>
  <c r="WPQ132" i="8"/>
  <c r="WPP132" i="8"/>
  <c r="WPO132" i="8"/>
  <c r="WPN132" i="8"/>
  <c r="WPM132" i="8"/>
  <c r="WPL132" i="8"/>
  <c r="WPK132" i="8"/>
  <c r="WPJ132" i="8"/>
  <c r="WPI132" i="8"/>
  <c r="WPH132" i="8"/>
  <c r="WPG132" i="8"/>
  <c r="WPF132" i="8"/>
  <c r="WPE132" i="8"/>
  <c r="WPD132" i="8"/>
  <c r="WPC132" i="8"/>
  <c r="WPB132" i="8"/>
  <c r="WPA132" i="8"/>
  <c r="WOZ132" i="8"/>
  <c r="WOY132" i="8"/>
  <c r="WOX132" i="8"/>
  <c r="WOW132" i="8"/>
  <c r="WOV132" i="8"/>
  <c r="WOU132" i="8"/>
  <c r="WOT132" i="8"/>
  <c r="WOS132" i="8"/>
  <c r="WOR132" i="8"/>
  <c r="WOQ132" i="8"/>
  <c r="WOP132" i="8"/>
  <c r="WOO132" i="8"/>
  <c r="WON132" i="8"/>
  <c r="WOM132" i="8"/>
  <c r="WOL132" i="8"/>
  <c r="WOK132" i="8"/>
  <c r="WOJ132" i="8"/>
  <c r="WOI132" i="8"/>
  <c r="WOH132" i="8"/>
  <c r="WOG132" i="8"/>
  <c r="WOF132" i="8"/>
  <c r="WOE132" i="8"/>
  <c r="WOD132" i="8"/>
  <c r="WOC132" i="8"/>
  <c r="WOB132" i="8"/>
  <c r="WOA132" i="8"/>
  <c r="WNZ132" i="8"/>
  <c r="WNY132" i="8"/>
  <c r="WNX132" i="8"/>
  <c r="WNW132" i="8"/>
  <c r="WNV132" i="8"/>
  <c r="WNU132" i="8"/>
  <c r="WNT132" i="8"/>
  <c r="WNS132" i="8"/>
  <c r="WNR132" i="8"/>
  <c r="WNQ132" i="8"/>
  <c r="WNP132" i="8"/>
  <c r="WNO132" i="8"/>
  <c r="WNN132" i="8"/>
  <c r="WNM132" i="8"/>
  <c r="WNL132" i="8"/>
  <c r="WNK132" i="8"/>
  <c r="WNJ132" i="8"/>
  <c r="WNI132" i="8"/>
  <c r="WNH132" i="8"/>
  <c r="WNG132" i="8"/>
  <c r="WNF132" i="8"/>
  <c r="WNE132" i="8"/>
  <c r="WND132" i="8"/>
  <c r="WNC132" i="8"/>
  <c r="WNB132" i="8"/>
  <c r="WNA132" i="8"/>
  <c r="WMZ132" i="8"/>
  <c r="WMY132" i="8"/>
  <c r="WMX132" i="8"/>
  <c r="WMW132" i="8"/>
  <c r="WMV132" i="8"/>
  <c r="WMU132" i="8"/>
  <c r="WMT132" i="8"/>
  <c r="WMS132" i="8"/>
  <c r="WMR132" i="8"/>
  <c r="WMQ132" i="8"/>
  <c r="WMP132" i="8"/>
  <c r="WMO132" i="8"/>
  <c r="WMN132" i="8"/>
  <c r="WMM132" i="8"/>
  <c r="WML132" i="8"/>
  <c r="WMK132" i="8"/>
  <c r="WMJ132" i="8"/>
  <c r="WMI132" i="8"/>
  <c r="WMH132" i="8"/>
  <c r="WMG132" i="8"/>
  <c r="WMF132" i="8"/>
  <c r="WME132" i="8"/>
  <c r="WMD132" i="8"/>
  <c r="WMC132" i="8"/>
  <c r="WMB132" i="8"/>
  <c r="WMA132" i="8"/>
  <c r="WLZ132" i="8"/>
  <c r="WLY132" i="8"/>
  <c r="WLX132" i="8"/>
  <c r="WLW132" i="8"/>
  <c r="WLV132" i="8"/>
  <c r="WLU132" i="8"/>
  <c r="WLT132" i="8"/>
  <c r="WLS132" i="8"/>
  <c r="WLR132" i="8"/>
  <c r="WLQ132" i="8"/>
  <c r="WLP132" i="8"/>
  <c r="WLO132" i="8"/>
  <c r="WLN132" i="8"/>
  <c r="WLM132" i="8"/>
  <c r="WLL132" i="8"/>
  <c r="WLK132" i="8"/>
  <c r="WLJ132" i="8"/>
  <c r="WLI132" i="8"/>
  <c r="WLH132" i="8"/>
  <c r="WLG132" i="8"/>
  <c r="WLF132" i="8"/>
  <c r="WLE132" i="8"/>
  <c r="WLD132" i="8"/>
  <c r="WLC132" i="8"/>
  <c r="WLB132" i="8"/>
  <c r="WLA132" i="8"/>
  <c r="WKZ132" i="8"/>
  <c r="WKY132" i="8"/>
  <c r="WKX132" i="8"/>
  <c r="WKW132" i="8"/>
  <c r="WKV132" i="8"/>
  <c r="WKU132" i="8"/>
  <c r="WKT132" i="8"/>
  <c r="WKS132" i="8"/>
  <c r="WKR132" i="8"/>
  <c r="WKQ132" i="8"/>
  <c r="WKP132" i="8"/>
  <c r="WKO132" i="8"/>
  <c r="WKN132" i="8"/>
  <c r="WKM132" i="8"/>
  <c r="WKL132" i="8"/>
  <c r="WKK132" i="8"/>
  <c r="WKJ132" i="8"/>
  <c r="WKI132" i="8"/>
  <c r="WKH132" i="8"/>
  <c r="WKG132" i="8"/>
  <c r="WKF132" i="8"/>
  <c r="WKE132" i="8"/>
  <c r="WKD132" i="8"/>
  <c r="WKC132" i="8"/>
  <c r="WKB132" i="8"/>
  <c r="WKA132" i="8"/>
  <c r="WJZ132" i="8"/>
  <c r="WJY132" i="8"/>
  <c r="WJX132" i="8"/>
  <c r="WJW132" i="8"/>
  <c r="WJV132" i="8"/>
  <c r="WJU132" i="8"/>
  <c r="WJT132" i="8"/>
  <c r="WJS132" i="8"/>
  <c r="WJR132" i="8"/>
  <c r="WJQ132" i="8"/>
  <c r="WJP132" i="8"/>
  <c r="WJO132" i="8"/>
  <c r="WJN132" i="8"/>
  <c r="WJM132" i="8"/>
  <c r="WJL132" i="8"/>
  <c r="WJK132" i="8"/>
  <c r="WJJ132" i="8"/>
  <c r="WJI132" i="8"/>
  <c r="WJH132" i="8"/>
  <c r="WJG132" i="8"/>
  <c r="WJF132" i="8"/>
  <c r="WJE132" i="8"/>
  <c r="WJD132" i="8"/>
  <c r="WJC132" i="8"/>
  <c r="WJB132" i="8"/>
  <c r="WJA132" i="8"/>
  <c r="WIZ132" i="8"/>
  <c r="WIY132" i="8"/>
  <c r="WIX132" i="8"/>
  <c r="WIW132" i="8"/>
  <c r="WIV132" i="8"/>
  <c r="WIU132" i="8"/>
  <c r="WIT132" i="8"/>
  <c r="WIS132" i="8"/>
  <c r="WIR132" i="8"/>
  <c r="WIQ132" i="8"/>
  <c r="WIP132" i="8"/>
  <c r="WIO132" i="8"/>
  <c r="WIN132" i="8"/>
  <c r="WIM132" i="8"/>
  <c r="WIL132" i="8"/>
  <c r="WIK132" i="8"/>
  <c r="WIJ132" i="8"/>
  <c r="WII132" i="8"/>
  <c r="WIH132" i="8"/>
  <c r="WIG132" i="8"/>
  <c r="WIF132" i="8"/>
  <c r="WIE132" i="8"/>
  <c r="WID132" i="8"/>
  <c r="WIC132" i="8"/>
  <c r="WIB132" i="8"/>
  <c r="WIA132" i="8"/>
  <c r="WHZ132" i="8"/>
  <c r="WHY132" i="8"/>
  <c r="WHX132" i="8"/>
  <c r="WHW132" i="8"/>
  <c r="WHV132" i="8"/>
  <c r="WHU132" i="8"/>
  <c r="WHT132" i="8"/>
  <c r="WHS132" i="8"/>
  <c r="WHR132" i="8"/>
  <c r="WHQ132" i="8"/>
  <c r="WHP132" i="8"/>
  <c r="WHO132" i="8"/>
  <c r="WHN132" i="8"/>
  <c r="WHM132" i="8"/>
  <c r="WHL132" i="8"/>
  <c r="WHK132" i="8"/>
  <c r="WHJ132" i="8"/>
  <c r="WHI132" i="8"/>
  <c r="WHH132" i="8"/>
  <c r="WHG132" i="8"/>
  <c r="WHF132" i="8"/>
  <c r="WHE132" i="8"/>
  <c r="WHD132" i="8"/>
  <c r="WHC132" i="8"/>
  <c r="WHB132" i="8"/>
  <c r="WHA132" i="8"/>
  <c r="WGZ132" i="8"/>
  <c r="WGY132" i="8"/>
  <c r="WGX132" i="8"/>
  <c r="WGW132" i="8"/>
  <c r="WGV132" i="8"/>
  <c r="WGU132" i="8"/>
  <c r="WGT132" i="8"/>
  <c r="WGS132" i="8"/>
  <c r="WGR132" i="8"/>
  <c r="WGQ132" i="8"/>
  <c r="WGP132" i="8"/>
  <c r="WGO132" i="8"/>
  <c r="WGN132" i="8"/>
  <c r="WGM132" i="8"/>
  <c r="WGL132" i="8"/>
  <c r="WGK132" i="8"/>
  <c r="WGJ132" i="8"/>
  <c r="WGI132" i="8"/>
  <c r="WGH132" i="8"/>
  <c r="WGG132" i="8"/>
  <c r="WGF132" i="8"/>
  <c r="WGE132" i="8"/>
  <c r="WGD132" i="8"/>
  <c r="WGC132" i="8"/>
  <c r="WGB132" i="8"/>
  <c r="WGA132" i="8"/>
  <c r="WFZ132" i="8"/>
  <c r="WFY132" i="8"/>
  <c r="WFX132" i="8"/>
  <c r="WFW132" i="8"/>
  <c r="WFV132" i="8"/>
  <c r="WFU132" i="8"/>
  <c r="WFT132" i="8"/>
  <c r="WFS132" i="8"/>
  <c r="WFR132" i="8"/>
  <c r="WFQ132" i="8"/>
  <c r="WFP132" i="8"/>
  <c r="WFO132" i="8"/>
  <c r="WFN132" i="8"/>
  <c r="WFM132" i="8"/>
  <c r="WFL132" i="8"/>
  <c r="WFK132" i="8"/>
  <c r="WFJ132" i="8"/>
  <c r="WFI132" i="8"/>
  <c r="WFH132" i="8"/>
  <c r="WFG132" i="8"/>
  <c r="WFF132" i="8"/>
  <c r="WFE132" i="8"/>
  <c r="WFD132" i="8"/>
  <c r="WFC132" i="8"/>
  <c r="WFB132" i="8"/>
  <c r="WFA132" i="8"/>
  <c r="WEZ132" i="8"/>
  <c r="WEY132" i="8"/>
  <c r="WEX132" i="8"/>
  <c r="WEW132" i="8"/>
  <c r="WEV132" i="8"/>
  <c r="WEU132" i="8"/>
  <c r="WET132" i="8"/>
  <c r="WES132" i="8"/>
  <c r="WER132" i="8"/>
  <c r="WEQ132" i="8"/>
  <c r="WEP132" i="8"/>
  <c r="WEO132" i="8"/>
  <c r="WEN132" i="8"/>
  <c r="WEM132" i="8"/>
  <c r="WEL132" i="8"/>
  <c r="WEK132" i="8"/>
  <c r="WEJ132" i="8"/>
  <c r="WEI132" i="8"/>
  <c r="WEH132" i="8"/>
  <c r="WEG132" i="8"/>
  <c r="WEF132" i="8"/>
  <c r="WEE132" i="8"/>
  <c r="WED132" i="8"/>
  <c r="WEC132" i="8"/>
  <c r="WEB132" i="8"/>
  <c r="WEA132" i="8"/>
  <c r="WDZ132" i="8"/>
  <c r="WDY132" i="8"/>
  <c r="WDX132" i="8"/>
  <c r="WDW132" i="8"/>
  <c r="WDV132" i="8"/>
  <c r="WDU132" i="8"/>
  <c r="WDT132" i="8"/>
  <c r="WDS132" i="8"/>
  <c r="WDR132" i="8"/>
  <c r="WDQ132" i="8"/>
  <c r="WDP132" i="8"/>
  <c r="WDO132" i="8"/>
  <c r="WDN132" i="8"/>
  <c r="WDM132" i="8"/>
  <c r="WDL132" i="8"/>
  <c r="WDK132" i="8"/>
  <c r="WDJ132" i="8"/>
  <c r="WDI132" i="8"/>
  <c r="WDH132" i="8"/>
  <c r="WDG132" i="8"/>
  <c r="WDF132" i="8"/>
  <c r="WDE132" i="8"/>
  <c r="WDD132" i="8"/>
  <c r="WDC132" i="8"/>
  <c r="WDB132" i="8"/>
  <c r="WDA132" i="8"/>
  <c r="WCZ132" i="8"/>
  <c r="WCY132" i="8"/>
  <c r="WCX132" i="8"/>
  <c r="WCW132" i="8"/>
  <c r="WCV132" i="8"/>
  <c r="WCU132" i="8"/>
  <c r="WCT132" i="8"/>
  <c r="WCS132" i="8"/>
  <c r="WCR132" i="8"/>
  <c r="WCQ132" i="8"/>
  <c r="WCP132" i="8"/>
  <c r="WCO132" i="8"/>
  <c r="WCN132" i="8"/>
  <c r="WCM132" i="8"/>
  <c r="WCL132" i="8"/>
  <c r="WCK132" i="8"/>
  <c r="WCJ132" i="8"/>
  <c r="WCI132" i="8"/>
  <c r="WCH132" i="8"/>
  <c r="WCG132" i="8"/>
  <c r="WCF132" i="8"/>
  <c r="WCE132" i="8"/>
  <c r="WCD132" i="8"/>
  <c r="WCC132" i="8"/>
  <c r="WCB132" i="8"/>
  <c r="WCA132" i="8"/>
  <c r="WBZ132" i="8"/>
  <c r="WBY132" i="8"/>
  <c r="WBX132" i="8"/>
  <c r="WBW132" i="8"/>
  <c r="WBV132" i="8"/>
  <c r="WBU132" i="8"/>
  <c r="WBT132" i="8"/>
  <c r="WBS132" i="8"/>
  <c r="WBR132" i="8"/>
  <c r="WBQ132" i="8"/>
  <c r="WBP132" i="8"/>
  <c r="WBO132" i="8"/>
  <c r="WBN132" i="8"/>
  <c r="WBM132" i="8"/>
  <c r="WBL132" i="8"/>
  <c r="WBK132" i="8"/>
  <c r="WBJ132" i="8"/>
  <c r="WBI132" i="8"/>
  <c r="WBH132" i="8"/>
  <c r="WBG132" i="8"/>
  <c r="WBF132" i="8"/>
  <c r="WBE132" i="8"/>
  <c r="WBD132" i="8"/>
  <c r="WBC132" i="8"/>
  <c r="WBB132" i="8"/>
  <c r="WBA132" i="8"/>
  <c r="WAZ132" i="8"/>
  <c r="WAY132" i="8"/>
  <c r="WAX132" i="8"/>
  <c r="WAW132" i="8"/>
  <c r="WAV132" i="8"/>
  <c r="WAU132" i="8"/>
  <c r="WAT132" i="8"/>
  <c r="WAS132" i="8"/>
  <c r="WAR132" i="8"/>
  <c r="WAQ132" i="8"/>
  <c r="WAP132" i="8"/>
  <c r="WAO132" i="8"/>
  <c r="WAN132" i="8"/>
  <c r="WAM132" i="8"/>
  <c r="WAL132" i="8"/>
  <c r="WAK132" i="8"/>
  <c r="WAJ132" i="8"/>
  <c r="WAI132" i="8"/>
  <c r="WAH132" i="8"/>
  <c r="WAG132" i="8"/>
  <c r="WAF132" i="8"/>
  <c r="WAE132" i="8"/>
  <c r="WAD132" i="8"/>
  <c r="WAC132" i="8"/>
  <c r="WAB132" i="8"/>
  <c r="WAA132" i="8"/>
  <c r="VZZ132" i="8"/>
  <c r="VZY132" i="8"/>
  <c r="VZX132" i="8"/>
  <c r="VZW132" i="8"/>
  <c r="VZV132" i="8"/>
  <c r="VZU132" i="8"/>
  <c r="VZT132" i="8"/>
  <c r="VZS132" i="8"/>
  <c r="VZR132" i="8"/>
  <c r="VZQ132" i="8"/>
  <c r="VZP132" i="8"/>
  <c r="VZO132" i="8"/>
  <c r="VZN132" i="8"/>
  <c r="VZM132" i="8"/>
  <c r="VZL132" i="8"/>
  <c r="VZK132" i="8"/>
  <c r="VZJ132" i="8"/>
  <c r="VZI132" i="8"/>
  <c r="VZH132" i="8"/>
  <c r="VZG132" i="8"/>
  <c r="VZF132" i="8"/>
  <c r="VZE132" i="8"/>
  <c r="VZD132" i="8"/>
  <c r="VZC132" i="8"/>
  <c r="VZB132" i="8"/>
  <c r="VZA132" i="8"/>
  <c r="VYZ132" i="8"/>
  <c r="VYY132" i="8"/>
  <c r="VYX132" i="8"/>
  <c r="VYW132" i="8"/>
  <c r="VYV132" i="8"/>
  <c r="VYU132" i="8"/>
  <c r="VYT132" i="8"/>
  <c r="VYS132" i="8"/>
  <c r="VYR132" i="8"/>
  <c r="VYQ132" i="8"/>
  <c r="VYP132" i="8"/>
  <c r="VYO132" i="8"/>
  <c r="VYN132" i="8"/>
  <c r="VYM132" i="8"/>
  <c r="VYL132" i="8"/>
  <c r="VYK132" i="8"/>
  <c r="VYJ132" i="8"/>
  <c r="VYI132" i="8"/>
  <c r="VYH132" i="8"/>
  <c r="VYG132" i="8"/>
  <c r="VYF132" i="8"/>
  <c r="VYE132" i="8"/>
  <c r="VYD132" i="8"/>
  <c r="VYC132" i="8"/>
  <c r="VYB132" i="8"/>
  <c r="VYA132" i="8"/>
  <c r="VXZ132" i="8"/>
  <c r="VXY132" i="8"/>
  <c r="VXX132" i="8"/>
  <c r="VXW132" i="8"/>
  <c r="VXV132" i="8"/>
  <c r="VXU132" i="8"/>
  <c r="VXT132" i="8"/>
  <c r="VXS132" i="8"/>
  <c r="VXR132" i="8"/>
  <c r="VXQ132" i="8"/>
  <c r="VXP132" i="8"/>
  <c r="VXO132" i="8"/>
  <c r="VXN132" i="8"/>
  <c r="VXM132" i="8"/>
  <c r="VXL132" i="8"/>
  <c r="VXK132" i="8"/>
  <c r="VXJ132" i="8"/>
  <c r="VXI132" i="8"/>
  <c r="VXH132" i="8"/>
  <c r="VXG132" i="8"/>
  <c r="VXF132" i="8"/>
  <c r="VXE132" i="8"/>
  <c r="VXD132" i="8"/>
  <c r="VXC132" i="8"/>
  <c r="VXB132" i="8"/>
  <c r="VXA132" i="8"/>
  <c r="VWZ132" i="8"/>
  <c r="VWY132" i="8"/>
  <c r="VWX132" i="8"/>
  <c r="VWW132" i="8"/>
  <c r="VWV132" i="8"/>
  <c r="VWU132" i="8"/>
  <c r="VWT132" i="8"/>
  <c r="VWS132" i="8"/>
  <c r="VWR132" i="8"/>
  <c r="VWQ132" i="8"/>
  <c r="VWP132" i="8"/>
  <c r="VWO132" i="8"/>
  <c r="VWN132" i="8"/>
  <c r="VWM132" i="8"/>
  <c r="VWL132" i="8"/>
  <c r="VWK132" i="8"/>
  <c r="VWJ132" i="8"/>
  <c r="VWI132" i="8"/>
  <c r="VWH132" i="8"/>
  <c r="VWG132" i="8"/>
  <c r="VWF132" i="8"/>
  <c r="VWE132" i="8"/>
  <c r="VWD132" i="8"/>
  <c r="VWC132" i="8"/>
  <c r="VWB132" i="8"/>
  <c r="VWA132" i="8"/>
  <c r="VVZ132" i="8"/>
  <c r="VVY132" i="8"/>
  <c r="VVX132" i="8"/>
  <c r="VVW132" i="8"/>
  <c r="VVV132" i="8"/>
  <c r="VVU132" i="8"/>
  <c r="VVT132" i="8"/>
  <c r="VVS132" i="8"/>
  <c r="VVR132" i="8"/>
  <c r="VVQ132" i="8"/>
  <c r="VVP132" i="8"/>
  <c r="VVO132" i="8"/>
  <c r="VVN132" i="8"/>
  <c r="VVM132" i="8"/>
  <c r="VVL132" i="8"/>
  <c r="VVK132" i="8"/>
  <c r="VVJ132" i="8"/>
  <c r="VVI132" i="8"/>
  <c r="VVH132" i="8"/>
  <c r="VVG132" i="8"/>
  <c r="VVF132" i="8"/>
  <c r="VVE132" i="8"/>
  <c r="VVD132" i="8"/>
  <c r="VVC132" i="8"/>
  <c r="VVB132" i="8"/>
  <c r="VVA132" i="8"/>
  <c r="VUZ132" i="8"/>
  <c r="VUY132" i="8"/>
  <c r="VUX132" i="8"/>
  <c r="VUW132" i="8"/>
  <c r="VUV132" i="8"/>
  <c r="VUU132" i="8"/>
  <c r="VUT132" i="8"/>
  <c r="VUS132" i="8"/>
  <c r="VUR132" i="8"/>
  <c r="VUQ132" i="8"/>
  <c r="VUP132" i="8"/>
  <c r="VUO132" i="8"/>
  <c r="VUN132" i="8"/>
  <c r="VUM132" i="8"/>
  <c r="VUL132" i="8"/>
  <c r="VUK132" i="8"/>
  <c r="VUJ132" i="8"/>
  <c r="VUI132" i="8"/>
  <c r="VUH132" i="8"/>
  <c r="VUG132" i="8"/>
  <c r="VUF132" i="8"/>
  <c r="VUE132" i="8"/>
  <c r="VUD132" i="8"/>
  <c r="VUC132" i="8"/>
  <c r="VUB132" i="8"/>
  <c r="VUA132" i="8"/>
  <c r="VTZ132" i="8"/>
  <c r="VTY132" i="8"/>
  <c r="VTX132" i="8"/>
  <c r="VTW132" i="8"/>
  <c r="VTV132" i="8"/>
  <c r="VTU132" i="8"/>
  <c r="VTT132" i="8"/>
  <c r="VTS132" i="8"/>
  <c r="VTR132" i="8"/>
  <c r="VTQ132" i="8"/>
  <c r="VTP132" i="8"/>
  <c r="VTO132" i="8"/>
  <c r="VTN132" i="8"/>
  <c r="VTM132" i="8"/>
  <c r="VTL132" i="8"/>
  <c r="VTK132" i="8"/>
  <c r="VTJ132" i="8"/>
  <c r="VTI132" i="8"/>
  <c r="VTH132" i="8"/>
  <c r="VTG132" i="8"/>
  <c r="VTF132" i="8"/>
  <c r="VTE132" i="8"/>
  <c r="VTD132" i="8"/>
  <c r="VTC132" i="8"/>
  <c r="VTB132" i="8"/>
  <c r="VTA132" i="8"/>
  <c r="VSZ132" i="8"/>
  <c r="VSY132" i="8"/>
  <c r="VSX132" i="8"/>
  <c r="VSW132" i="8"/>
  <c r="VSV132" i="8"/>
  <c r="VSU132" i="8"/>
  <c r="VST132" i="8"/>
  <c r="VSS132" i="8"/>
  <c r="VSR132" i="8"/>
  <c r="VSQ132" i="8"/>
  <c r="VSP132" i="8"/>
  <c r="VSO132" i="8"/>
  <c r="VSN132" i="8"/>
  <c r="VSM132" i="8"/>
  <c r="VSL132" i="8"/>
  <c r="VSK132" i="8"/>
  <c r="VSJ132" i="8"/>
  <c r="VSI132" i="8"/>
  <c r="VSH132" i="8"/>
  <c r="VSG132" i="8"/>
  <c r="VSF132" i="8"/>
  <c r="VSE132" i="8"/>
  <c r="VSD132" i="8"/>
  <c r="VSC132" i="8"/>
  <c r="VSB132" i="8"/>
  <c r="VSA132" i="8"/>
  <c r="VRZ132" i="8"/>
  <c r="VRY132" i="8"/>
  <c r="VRX132" i="8"/>
  <c r="VRW132" i="8"/>
  <c r="VRV132" i="8"/>
  <c r="VRU132" i="8"/>
  <c r="VRT132" i="8"/>
  <c r="VRS132" i="8"/>
  <c r="VRR132" i="8"/>
  <c r="VRQ132" i="8"/>
  <c r="VRP132" i="8"/>
  <c r="VRO132" i="8"/>
  <c r="VRN132" i="8"/>
  <c r="VRM132" i="8"/>
  <c r="VRL132" i="8"/>
  <c r="VRK132" i="8"/>
  <c r="VRJ132" i="8"/>
  <c r="VRI132" i="8"/>
  <c r="VRH132" i="8"/>
  <c r="VRG132" i="8"/>
  <c r="VRF132" i="8"/>
  <c r="VRE132" i="8"/>
  <c r="VRD132" i="8"/>
  <c r="VRC132" i="8"/>
  <c r="VRB132" i="8"/>
  <c r="VRA132" i="8"/>
  <c r="VQZ132" i="8"/>
  <c r="VQY132" i="8"/>
  <c r="VQX132" i="8"/>
  <c r="VQW132" i="8"/>
  <c r="VQV132" i="8"/>
  <c r="VQU132" i="8"/>
  <c r="VQT132" i="8"/>
  <c r="VQS132" i="8"/>
  <c r="VQR132" i="8"/>
  <c r="VQQ132" i="8"/>
  <c r="VQP132" i="8"/>
  <c r="VQO132" i="8"/>
  <c r="VQN132" i="8"/>
  <c r="VQM132" i="8"/>
  <c r="VQL132" i="8"/>
  <c r="VQK132" i="8"/>
  <c r="VQJ132" i="8"/>
  <c r="VQI132" i="8"/>
  <c r="VQH132" i="8"/>
  <c r="VQG132" i="8"/>
  <c r="VQF132" i="8"/>
  <c r="VQE132" i="8"/>
  <c r="VQD132" i="8"/>
  <c r="VQC132" i="8"/>
  <c r="VQB132" i="8"/>
  <c r="VQA132" i="8"/>
  <c r="VPZ132" i="8"/>
  <c r="VPY132" i="8"/>
  <c r="VPX132" i="8"/>
  <c r="VPW132" i="8"/>
  <c r="VPV132" i="8"/>
  <c r="VPU132" i="8"/>
  <c r="VPT132" i="8"/>
  <c r="VPS132" i="8"/>
  <c r="VPR132" i="8"/>
  <c r="VPQ132" i="8"/>
  <c r="VPP132" i="8"/>
  <c r="VPO132" i="8"/>
  <c r="VPN132" i="8"/>
  <c r="VPM132" i="8"/>
  <c r="VPL132" i="8"/>
  <c r="VPK132" i="8"/>
  <c r="VPJ132" i="8"/>
  <c r="VPI132" i="8"/>
  <c r="VPH132" i="8"/>
  <c r="VPG132" i="8"/>
  <c r="VPF132" i="8"/>
  <c r="VPE132" i="8"/>
  <c r="VPD132" i="8"/>
  <c r="VPC132" i="8"/>
  <c r="VPB132" i="8"/>
  <c r="VPA132" i="8"/>
  <c r="VOZ132" i="8"/>
  <c r="VOY132" i="8"/>
  <c r="VOX132" i="8"/>
  <c r="VOW132" i="8"/>
  <c r="VOV132" i="8"/>
  <c r="VOU132" i="8"/>
  <c r="VOT132" i="8"/>
  <c r="VOS132" i="8"/>
  <c r="VOR132" i="8"/>
  <c r="VOQ132" i="8"/>
  <c r="VOP132" i="8"/>
  <c r="VOO132" i="8"/>
  <c r="VON132" i="8"/>
  <c r="VOM132" i="8"/>
  <c r="VOL132" i="8"/>
  <c r="VOK132" i="8"/>
  <c r="VOJ132" i="8"/>
  <c r="VOI132" i="8"/>
  <c r="VOH132" i="8"/>
  <c r="VOG132" i="8"/>
  <c r="VOF132" i="8"/>
  <c r="VOE132" i="8"/>
  <c r="VOD132" i="8"/>
  <c r="VOC132" i="8"/>
  <c r="VOB132" i="8"/>
  <c r="VOA132" i="8"/>
  <c r="VNZ132" i="8"/>
  <c r="VNY132" i="8"/>
  <c r="VNX132" i="8"/>
  <c r="VNW132" i="8"/>
  <c r="VNV132" i="8"/>
  <c r="VNU132" i="8"/>
  <c r="VNT132" i="8"/>
  <c r="VNS132" i="8"/>
  <c r="VNR132" i="8"/>
  <c r="VNQ132" i="8"/>
  <c r="VNP132" i="8"/>
  <c r="VNO132" i="8"/>
  <c r="VNN132" i="8"/>
  <c r="VNM132" i="8"/>
  <c r="VNL132" i="8"/>
  <c r="VNK132" i="8"/>
  <c r="VNJ132" i="8"/>
  <c r="VNI132" i="8"/>
  <c r="VNH132" i="8"/>
  <c r="VNG132" i="8"/>
  <c r="VNF132" i="8"/>
  <c r="VNE132" i="8"/>
  <c r="VND132" i="8"/>
  <c r="VNC132" i="8"/>
  <c r="VNB132" i="8"/>
  <c r="VNA132" i="8"/>
  <c r="VMZ132" i="8"/>
  <c r="VMY132" i="8"/>
  <c r="VMX132" i="8"/>
  <c r="VMW132" i="8"/>
  <c r="VMV132" i="8"/>
  <c r="VMU132" i="8"/>
  <c r="VMT132" i="8"/>
  <c r="VMS132" i="8"/>
  <c r="VMR132" i="8"/>
  <c r="VMQ132" i="8"/>
  <c r="VMP132" i="8"/>
  <c r="VMO132" i="8"/>
  <c r="VMN132" i="8"/>
  <c r="VMM132" i="8"/>
  <c r="VML132" i="8"/>
  <c r="VMK132" i="8"/>
  <c r="VMJ132" i="8"/>
  <c r="VMI132" i="8"/>
  <c r="VMH132" i="8"/>
  <c r="VMG132" i="8"/>
  <c r="VMF132" i="8"/>
  <c r="VME132" i="8"/>
  <c r="VMD132" i="8"/>
  <c r="VMC132" i="8"/>
  <c r="VMB132" i="8"/>
  <c r="VMA132" i="8"/>
  <c r="VLZ132" i="8"/>
  <c r="VLY132" i="8"/>
  <c r="VLX132" i="8"/>
  <c r="VLW132" i="8"/>
  <c r="VLV132" i="8"/>
  <c r="VLU132" i="8"/>
  <c r="VLT132" i="8"/>
  <c r="VLS132" i="8"/>
  <c r="VLR132" i="8"/>
  <c r="VLQ132" i="8"/>
  <c r="VLP132" i="8"/>
  <c r="VLO132" i="8"/>
  <c r="VLN132" i="8"/>
  <c r="VLM132" i="8"/>
  <c r="VLL132" i="8"/>
  <c r="VLK132" i="8"/>
  <c r="VLJ132" i="8"/>
  <c r="VLI132" i="8"/>
  <c r="VLH132" i="8"/>
  <c r="VLG132" i="8"/>
  <c r="VLF132" i="8"/>
  <c r="VLE132" i="8"/>
  <c r="VLD132" i="8"/>
  <c r="VLC132" i="8"/>
  <c r="VLB132" i="8"/>
  <c r="VLA132" i="8"/>
  <c r="VKZ132" i="8"/>
  <c r="VKY132" i="8"/>
  <c r="VKX132" i="8"/>
  <c r="VKW132" i="8"/>
  <c r="VKV132" i="8"/>
  <c r="VKU132" i="8"/>
  <c r="VKT132" i="8"/>
  <c r="VKS132" i="8"/>
  <c r="VKR132" i="8"/>
  <c r="VKQ132" i="8"/>
  <c r="VKP132" i="8"/>
  <c r="VKO132" i="8"/>
  <c r="VKN132" i="8"/>
  <c r="VKM132" i="8"/>
  <c r="VKL132" i="8"/>
  <c r="VKK132" i="8"/>
  <c r="VKJ132" i="8"/>
  <c r="VKI132" i="8"/>
  <c r="VKH132" i="8"/>
  <c r="VKG132" i="8"/>
  <c r="VKF132" i="8"/>
  <c r="VKE132" i="8"/>
  <c r="VKD132" i="8"/>
  <c r="VKC132" i="8"/>
  <c r="VKB132" i="8"/>
  <c r="VKA132" i="8"/>
  <c r="VJZ132" i="8"/>
  <c r="VJY132" i="8"/>
  <c r="VJX132" i="8"/>
  <c r="VJW132" i="8"/>
  <c r="VJV132" i="8"/>
  <c r="VJU132" i="8"/>
  <c r="VJT132" i="8"/>
  <c r="VJS132" i="8"/>
  <c r="VJR132" i="8"/>
  <c r="VJQ132" i="8"/>
  <c r="VJP132" i="8"/>
  <c r="VJO132" i="8"/>
  <c r="VJN132" i="8"/>
  <c r="VJM132" i="8"/>
  <c r="VJL132" i="8"/>
  <c r="VJK132" i="8"/>
  <c r="VJJ132" i="8"/>
  <c r="VJI132" i="8"/>
  <c r="VJH132" i="8"/>
  <c r="VJG132" i="8"/>
  <c r="VJF132" i="8"/>
  <c r="VJE132" i="8"/>
  <c r="VJD132" i="8"/>
  <c r="VJC132" i="8"/>
  <c r="VJB132" i="8"/>
  <c r="VJA132" i="8"/>
  <c r="VIZ132" i="8"/>
  <c r="VIY132" i="8"/>
  <c r="VIX132" i="8"/>
  <c r="VIW132" i="8"/>
  <c r="VIV132" i="8"/>
  <c r="VIU132" i="8"/>
  <c r="VIT132" i="8"/>
  <c r="VIS132" i="8"/>
  <c r="VIR132" i="8"/>
  <c r="VIQ132" i="8"/>
  <c r="VIP132" i="8"/>
  <c r="VIO132" i="8"/>
  <c r="VIN132" i="8"/>
  <c r="VIM132" i="8"/>
  <c r="VIL132" i="8"/>
  <c r="VIK132" i="8"/>
  <c r="VIJ132" i="8"/>
  <c r="VII132" i="8"/>
  <c r="VIH132" i="8"/>
  <c r="VIG132" i="8"/>
  <c r="VIF132" i="8"/>
  <c r="VIE132" i="8"/>
  <c r="VID132" i="8"/>
  <c r="VIC132" i="8"/>
  <c r="VIB132" i="8"/>
  <c r="VIA132" i="8"/>
  <c r="VHZ132" i="8"/>
  <c r="VHY132" i="8"/>
  <c r="VHX132" i="8"/>
  <c r="VHW132" i="8"/>
  <c r="VHV132" i="8"/>
  <c r="VHU132" i="8"/>
  <c r="VHT132" i="8"/>
  <c r="VHS132" i="8"/>
  <c r="VHR132" i="8"/>
  <c r="VHQ132" i="8"/>
  <c r="VHP132" i="8"/>
  <c r="VHO132" i="8"/>
  <c r="VHN132" i="8"/>
  <c r="VHM132" i="8"/>
  <c r="VHL132" i="8"/>
  <c r="VHK132" i="8"/>
  <c r="VHJ132" i="8"/>
  <c r="VHI132" i="8"/>
  <c r="VHH132" i="8"/>
  <c r="VHG132" i="8"/>
  <c r="VHF132" i="8"/>
  <c r="VHE132" i="8"/>
  <c r="VHD132" i="8"/>
  <c r="VHC132" i="8"/>
  <c r="VHB132" i="8"/>
  <c r="VHA132" i="8"/>
  <c r="VGZ132" i="8"/>
  <c r="VGY132" i="8"/>
  <c r="VGX132" i="8"/>
  <c r="VGW132" i="8"/>
  <c r="VGV132" i="8"/>
  <c r="VGU132" i="8"/>
  <c r="VGT132" i="8"/>
  <c r="VGS132" i="8"/>
  <c r="VGR132" i="8"/>
  <c r="VGQ132" i="8"/>
  <c r="VGP132" i="8"/>
  <c r="VGO132" i="8"/>
  <c r="VGN132" i="8"/>
  <c r="VGM132" i="8"/>
  <c r="VGL132" i="8"/>
  <c r="VGK132" i="8"/>
  <c r="VGJ132" i="8"/>
  <c r="VGI132" i="8"/>
  <c r="VGH132" i="8"/>
  <c r="VGG132" i="8"/>
  <c r="VGF132" i="8"/>
  <c r="VGE132" i="8"/>
  <c r="VGD132" i="8"/>
  <c r="VGC132" i="8"/>
  <c r="VGB132" i="8"/>
  <c r="VGA132" i="8"/>
  <c r="VFZ132" i="8"/>
  <c r="VFY132" i="8"/>
  <c r="VFX132" i="8"/>
  <c r="VFW132" i="8"/>
  <c r="VFV132" i="8"/>
  <c r="VFU132" i="8"/>
  <c r="VFT132" i="8"/>
  <c r="VFS132" i="8"/>
  <c r="VFR132" i="8"/>
  <c r="VFQ132" i="8"/>
  <c r="VFP132" i="8"/>
  <c r="VFO132" i="8"/>
  <c r="VFN132" i="8"/>
  <c r="VFM132" i="8"/>
  <c r="VFL132" i="8"/>
  <c r="VFK132" i="8"/>
  <c r="VFJ132" i="8"/>
  <c r="VFI132" i="8"/>
  <c r="VFH132" i="8"/>
  <c r="VFG132" i="8"/>
  <c r="VFF132" i="8"/>
  <c r="VFE132" i="8"/>
  <c r="VFD132" i="8"/>
  <c r="VFC132" i="8"/>
  <c r="VFB132" i="8"/>
  <c r="VFA132" i="8"/>
  <c r="VEZ132" i="8"/>
  <c r="VEY132" i="8"/>
  <c r="VEX132" i="8"/>
  <c r="VEW132" i="8"/>
  <c r="VEV132" i="8"/>
  <c r="VEU132" i="8"/>
  <c r="VET132" i="8"/>
  <c r="VES132" i="8"/>
  <c r="VER132" i="8"/>
  <c r="VEQ132" i="8"/>
  <c r="VEP132" i="8"/>
  <c r="VEO132" i="8"/>
  <c r="VEN132" i="8"/>
  <c r="VEM132" i="8"/>
  <c r="VEL132" i="8"/>
  <c r="VEK132" i="8"/>
  <c r="VEJ132" i="8"/>
  <c r="VEI132" i="8"/>
  <c r="VEH132" i="8"/>
  <c r="VEG132" i="8"/>
  <c r="VEF132" i="8"/>
  <c r="VEE132" i="8"/>
  <c r="VED132" i="8"/>
  <c r="VEC132" i="8"/>
  <c r="VEB132" i="8"/>
  <c r="VEA132" i="8"/>
  <c r="VDZ132" i="8"/>
  <c r="VDY132" i="8"/>
  <c r="VDX132" i="8"/>
  <c r="VDW132" i="8"/>
  <c r="VDV132" i="8"/>
  <c r="VDU132" i="8"/>
  <c r="VDT132" i="8"/>
  <c r="VDS132" i="8"/>
  <c r="VDR132" i="8"/>
  <c r="VDQ132" i="8"/>
  <c r="VDP132" i="8"/>
  <c r="VDO132" i="8"/>
  <c r="VDN132" i="8"/>
  <c r="VDM132" i="8"/>
  <c r="VDL132" i="8"/>
  <c r="VDK132" i="8"/>
  <c r="VDJ132" i="8"/>
  <c r="VDI132" i="8"/>
  <c r="VDH132" i="8"/>
  <c r="VDG132" i="8"/>
  <c r="VDF132" i="8"/>
  <c r="VDE132" i="8"/>
  <c r="VDD132" i="8"/>
  <c r="VDC132" i="8"/>
  <c r="VDB132" i="8"/>
  <c r="VDA132" i="8"/>
  <c r="VCZ132" i="8"/>
  <c r="VCY132" i="8"/>
  <c r="VCX132" i="8"/>
  <c r="VCW132" i="8"/>
  <c r="VCV132" i="8"/>
  <c r="VCU132" i="8"/>
  <c r="VCT132" i="8"/>
  <c r="VCS132" i="8"/>
  <c r="VCR132" i="8"/>
  <c r="VCQ132" i="8"/>
  <c r="VCP132" i="8"/>
  <c r="VCO132" i="8"/>
  <c r="VCN132" i="8"/>
  <c r="VCM132" i="8"/>
  <c r="VCL132" i="8"/>
  <c r="VCK132" i="8"/>
  <c r="VCJ132" i="8"/>
  <c r="VCI132" i="8"/>
  <c r="VCH132" i="8"/>
  <c r="VCG132" i="8"/>
  <c r="VCF132" i="8"/>
  <c r="VCE132" i="8"/>
  <c r="VCD132" i="8"/>
  <c r="VCC132" i="8"/>
  <c r="VCB132" i="8"/>
  <c r="VCA132" i="8"/>
  <c r="VBZ132" i="8"/>
  <c r="VBY132" i="8"/>
  <c r="VBX132" i="8"/>
  <c r="VBW132" i="8"/>
  <c r="VBV132" i="8"/>
  <c r="VBU132" i="8"/>
  <c r="VBT132" i="8"/>
  <c r="VBS132" i="8"/>
  <c r="VBR132" i="8"/>
  <c r="VBQ132" i="8"/>
  <c r="VBP132" i="8"/>
  <c r="VBO132" i="8"/>
  <c r="VBN132" i="8"/>
  <c r="VBM132" i="8"/>
  <c r="VBL132" i="8"/>
  <c r="VBK132" i="8"/>
  <c r="VBJ132" i="8"/>
  <c r="VBI132" i="8"/>
  <c r="VBH132" i="8"/>
  <c r="VBG132" i="8"/>
  <c r="VBF132" i="8"/>
  <c r="VBE132" i="8"/>
  <c r="VBD132" i="8"/>
  <c r="VBC132" i="8"/>
  <c r="VBB132" i="8"/>
  <c r="VBA132" i="8"/>
  <c r="VAZ132" i="8"/>
  <c r="VAY132" i="8"/>
  <c r="VAX132" i="8"/>
  <c r="VAW132" i="8"/>
  <c r="VAV132" i="8"/>
  <c r="VAU132" i="8"/>
  <c r="VAT132" i="8"/>
  <c r="VAS132" i="8"/>
  <c r="VAR132" i="8"/>
  <c r="VAQ132" i="8"/>
  <c r="VAP132" i="8"/>
  <c r="VAO132" i="8"/>
  <c r="VAN132" i="8"/>
  <c r="VAM132" i="8"/>
  <c r="VAL132" i="8"/>
  <c r="VAK132" i="8"/>
  <c r="VAJ132" i="8"/>
  <c r="VAI132" i="8"/>
  <c r="VAH132" i="8"/>
  <c r="VAG132" i="8"/>
  <c r="VAF132" i="8"/>
  <c r="VAE132" i="8"/>
  <c r="VAD132" i="8"/>
  <c r="VAC132" i="8"/>
  <c r="VAB132" i="8"/>
  <c r="VAA132" i="8"/>
  <c r="UZZ132" i="8"/>
  <c r="UZY132" i="8"/>
  <c r="UZX132" i="8"/>
  <c r="UZW132" i="8"/>
  <c r="UZV132" i="8"/>
  <c r="UZU132" i="8"/>
  <c r="UZT132" i="8"/>
  <c r="UZS132" i="8"/>
  <c r="UZR132" i="8"/>
  <c r="UZQ132" i="8"/>
  <c r="UZP132" i="8"/>
  <c r="UZO132" i="8"/>
  <c r="UZN132" i="8"/>
  <c r="UZM132" i="8"/>
  <c r="UZL132" i="8"/>
  <c r="UZK132" i="8"/>
  <c r="UZJ132" i="8"/>
  <c r="UZI132" i="8"/>
  <c r="UZH132" i="8"/>
  <c r="UZG132" i="8"/>
  <c r="UZF132" i="8"/>
  <c r="UZE132" i="8"/>
  <c r="UZD132" i="8"/>
  <c r="UZC132" i="8"/>
  <c r="UZB132" i="8"/>
  <c r="UZA132" i="8"/>
  <c r="UYZ132" i="8"/>
  <c r="UYY132" i="8"/>
  <c r="UYX132" i="8"/>
  <c r="UYW132" i="8"/>
  <c r="UYV132" i="8"/>
  <c r="UYU132" i="8"/>
  <c r="UYT132" i="8"/>
  <c r="UYS132" i="8"/>
  <c r="UYR132" i="8"/>
  <c r="UYQ132" i="8"/>
  <c r="UYP132" i="8"/>
  <c r="UYO132" i="8"/>
  <c r="UYN132" i="8"/>
  <c r="UYM132" i="8"/>
  <c r="UYL132" i="8"/>
  <c r="UYK132" i="8"/>
  <c r="UYJ132" i="8"/>
  <c r="UYI132" i="8"/>
  <c r="UYH132" i="8"/>
  <c r="UYG132" i="8"/>
  <c r="UYF132" i="8"/>
  <c r="UYE132" i="8"/>
  <c r="UYD132" i="8"/>
  <c r="UYC132" i="8"/>
  <c r="UYB132" i="8"/>
  <c r="UYA132" i="8"/>
  <c r="UXZ132" i="8"/>
  <c r="UXY132" i="8"/>
  <c r="UXX132" i="8"/>
  <c r="UXW132" i="8"/>
  <c r="UXV132" i="8"/>
  <c r="UXU132" i="8"/>
  <c r="UXT132" i="8"/>
  <c r="UXS132" i="8"/>
  <c r="UXR132" i="8"/>
  <c r="UXQ132" i="8"/>
  <c r="UXP132" i="8"/>
  <c r="UXO132" i="8"/>
  <c r="UXN132" i="8"/>
  <c r="UXM132" i="8"/>
  <c r="UXL132" i="8"/>
  <c r="UXK132" i="8"/>
  <c r="UXJ132" i="8"/>
  <c r="UXI132" i="8"/>
  <c r="UXH132" i="8"/>
  <c r="UXG132" i="8"/>
  <c r="UXF132" i="8"/>
  <c r="UXE132" i="8"/>
  <c r="UXD132" i="8"/>
  <c r="UXC132" i="8"/>
  <c r="UXB132" i="8"/>
  <c r="UXA132" i="8"/>
  <c r="UWZ132" i="8"/>
  <c r="UWY132" i="8"/>
  <c r="UWX132" i="8"/>
  <c r="UWW132" i="8"/>
  <c r="UWV132" i="8"/>
  <c r="UWU132" i="8"/>
  <c r="UWT132" i="8"/>
  <c r="UWS132" i="8"/>
  <c r="UWR132" i="8"/>
  <c r="UWQ132" i="8"/>
  <c r="UWP132" i="8"/>
  <c r="UWO132" i="8"/>
  <c r="UWN132" i="8"/>
  <c r="UWM132" i="8"/>
  <c r="UWL132" i="8"/>
  <c r="UWK132" i="8"/>
  <c r="UWJ132" i="8"/>
  <c r="UWI132" i="8"/>
  <c r="UWH132" i="8"/>
  <c r="UWG132" i="8"/>
  <c r="UWF132" i="8"/>
  <c r="UWE132" i="8"/>
  <c r="UWD132" i="8"/>
  <c r="UWC132" i="8"/>
  <c r="UWB132" i="8"/>
  <c r="UWA132" i="8"/>
  <c r="UVZ132" i="8"/>
  <c r="UVY132" i="8"/>
  <c r="UVX132" i="8"/>
  <c r="UVW132" i="8"/>
  <c r="UVV132" i="8"/>
  <c r="UVU132" i="8"/>
  <c r="UVT132" i="8"/>
  <c r="UVS132" i="8"/>
  <c r="UVR132" i="8"/>
  <c r="UVQ132" i="8"/>
  <c r="UVP132" i="8"/>
  <c r="UVO132" i="8"/>
  <c r="UVN132" i="8"/>
  <c r="UVM132" i="8"/>
  <c r="UVL132" i="8"/>
  <c r="UVK132" i="8"/>
  <c r="UVJ132" i="8"/>
  <c r="UVI132" i="8"/>
  <c r="UVH132" i="8"/>
  <c r="UVG132" i="8"/>
  <c r="UVF132" i="8"/>
  <c r="UVE132" i="8"/>
  <c r="UVD132" i="8"/>
  <c r="UVC132" i="8"/>
  <c r="UVB132" i="8"/>
  <c r="UVA132" i="8"/>
  <c r="UUZ132" i="8"/>
  <c r="UUY132" i="8"/>
  <c r="UUX132" i="8"/>
  <c r="UUW132" i="8"/>
  <c r="UUV132" i="8"/>
  <c r="UUU132" i="8"/>
  <c r="UUT132" i="8"/>
  <c r="UUS132" i="8"/>
  <c r="UUR132" i="8"/>
  <c r="UUQ132" i="8"/>
  <c r="UUP132" i="8"/>
  <c r="UUO132" i="8"/>
  <c r="UUN132" i="8"/>
  <c r="UUM132" i="8"/>
  <c r="UUL132" i="8"/>
  <c r="UUK132" i="8"/>
  <c r="UUJ132" i="8"/>
  <c r="UUI132" i="8"/>
  <c r="UUH132" i="8"/>
  <c r="UUG132" i="8"/>
  <c r="UUF132" i="8"/>
  <c r="UUE132" i="8"/>
  <c r="UUD132" i="8"/>
  <c r="UUC132" i="8"/>
  <c r="UUB132" i="8"/>
  <c r="UUA132" i="8"/>
  <c r="UTZ132" i="8"/>
  <c r="UTY132" i="8"/>
  <c r="UTX132" i="8"/>
  <c r="UTW132" i="8"/>
  <c r="UTV132" i="8"/>
  <c r="UTU132" i="8"/>
  <c r="UTT132" i="8"/>
  <c r="UTS132" i="8"/>
  <c r="UTR132" i="8"/>
  <c r="UTQ132" i="8"/>
  <c r="UTP132" i="8"/>
  <c r="UTO132" i="8"/>
  <c r="UTN132" i="8"/>
  <c r="UTM132" i="8"/>
  <c r="UTL132" i="8"/>
  <c r="UTK132" i="8"/>
  <c r="UTJ132" i="8"/>
  <c r="UTI132" i="8"/>
  <c r="UTH132" i="8"/>
  <c r="UTG132" i="8"/>
  <c r="UTF132" i="8"/>
  <c r="UTE132" i="8"/>
  <c r="UTD132" i="8"/>
  <c r="UTC132" i="8"/>
  <c r="UTB132" i="8"/>
  <c r="UTA132" i="8"/>
  <c r="USZ132" i="8"/>
  <c r="USY132" i="8"/>
  <c r="USX132" i="8"/>
  <c r="USW132" i="8"/>
  <c r="USV132" i="8"/>
  <c r="USU132" i="8"/>
  <c r="UST132" i="8"/>
  <c r="USS132" i="8"/>
  <c r="USR132" i="8"/>
  <c r="USQ132" i="8"/>
  <c r="USP132" i="8"/>
  <c r="USO132" i="8"/>
  <c r="USN132" i="8"/>
  <c r="USM132" i="8"/>
  <c r="USL132" i="8"/>
  <c r="USK132" i="8"/>
  <c r="USJ132" i="8"/>
  <c r="USI132" i="8"/>
  <c r="USH132" i="8"/>
  <c r="USG132" i="8"/>
  <c r="USF132" i="8"/>
  <c r="USE132" i="8"/>
  <c r="USD132" i="8"/>
  <c r="USC132" i="8"/>
  <c r="USB132" i="8"/>
  <c r="USA132" i="8"/>
  <c r="URZ132" i="8"/>
  <c r="URY132" i="8"/>
  <c r="URX132" i="8"/>
  <c r="URW132" i="8"/>
  <c r="URV132" i="8"/>
  <c r="URU132" i="8"/>
  <c r="URT132" i="8"/>
  <c r="URS132" i="8"/>
  <c r="URR132" i="8"/>
  <c r="URQ132" i="8"/>
  <c r="URP132" i="8"/>
  <c r="URO132" i="8"/>
  <c r="URN132" i="8"/>
  <c r="URM132" i="8"/>
  <c r="URL132" i="8"/>
  <c r="URK132" i="8"/>
  <c r="URJ132" i="8"/>
  <c r="URI132" i="8"/>
  <c r="URH132" i="8"/>
  <c r="URG132" i="8"/>
  <c r="URF132" i="8"/>
  <c r="URE132" i="8"/>
  <c r="URD132" i="8"/>
  <c r="URC132" i="8"/>
  <c r="URB132" i="8"/>
  <c r="URA132" i="8"/>
  <c r="UQZ132" i="8"/>
  <c r="UQY132" i="8"/>
  <c r="UQX132" i="8"/>
  <c r="UQW132" i="8"/>
  <c r="UQV132" i="8"/>
  <c r="UQU132" i="8"/>
  <c r="UQT132" i="8"/>
  <c r="UQS132" i="8"/>
  <c r="UQR132" i="8"/>
  <c r="UQQ132" i="8"/>
  <c r="UQP132" i="8"/>
  <c r="UQO132" i="8"/>
  <c r="UQN132" i="8"/>
  <c r="UQM132" i="8"/>
  <c r="UQL132" i="8"/>
  <c r="UQK132" i="8"/>
  <c r="UQJ132" i="8"/>
  <c r="UQI132" i="8"/>
  <c r="UQH132" i="8"/>
  <c r="UQG132" i="8"/>
  <c r="UQF132" i="8"/>
  <c r="UQE132" i="8"/>
  <c r="UQD132" i="8"/>
  <c r="UQC132" i="8"/>
  <c r="UQB132" i="8"/>
  <c r="UQA132" i="8"/>
  <c r="UPZ132" i="8"/>
  <c r="UPY132" i="8"/>
  <c r="UPX132" i="8"/>
  <c r="UPW132" i="8"/>
  <c r="UPV132" i="8"/>
  <c r="UPU132" i="8"/>
  <c r="UPT132" i="8"/>
  <c r="UPS132" i="8"/>
  <c r="UPR132" i="8"/>
  <c r="UPQ132" i="8"/>
  <c r="UPP132" i="8"/>
  <c r="UPO132" i="8"/>
  <c r="UPN132" i="8"/>
  <c r="UPM132" i="8"/>
  <c r="UPL132" i="8"/>
  <c r="UPK132" i="8"/>
  <c r="UPJ132" i="8"/>
  <c r="UPI132" i="8"/>
  <c r="UPH132" i="8"/>
  <c r="UPG132" i="8"/>
  <c r="UPF132" i="8"/>
  <c r="UPE132" i="8"/>
  <c r="UPD132" i="8"/>
  <c r="UPC132" i="8"/>
  <c r="UPB132" i="8"/>
  <c r="UPA132" i="8"/>
  <c r="UOZ132" i="8"/>
  <c r="UOY132" i="8"/>
  <c r="UOX132" i="8"/>
  <c r="UOW132" i="8"/>
  <c r="UOV132" i="8"/>
  <c r="UOU132" i="8"/>
  <c r="UOT132" i="8"/>
  <c r="UOS132" i="8"/>
  <c r="UOR132" i="8"/>
  <c r="UOQ132" i="8"/>
  <c r="UOP132" i="8"/>
  <c r="UOO132" i="8"/>
  <c r="UON132" i="8"/>
  <c r="UOM132" i="8"/>
  <c r="UOL132" i="8"/>
  <c r="UOK132" i="8"/>
  <c r="UOJ132" i="8"/>
  <c r="UOI132" i="8"/>
  <c r="UOH132" i="8"/>
  <c r="UOG132" i="8"/>
  <c r="UOF132" i="8"/>
  <c r="UOE132" i="8"/>
  <c r="UOD132" i="8"/>
  <c r="UOC132" i="8"/>
  <c r="UOB132" i="8"/>
  <c r="UOA132" i="8"/>
  <c r="UNZ132" i="8"/>
  <c r="UNY132" i="8"/>
  <c r="UNX132" i="8"/>
  <c r="UNW132" i="8"/>
  <c r="UNV132" i="8"/>
  <c r="UNU132" i="8"/>
  <c r="UNT132" i="8"/>
  <c r="UNS132" i="8"/>
  <c r="UNR132" i="8"/>
  <c r="UNQ132" i="8"/>
  <c r="UNP132" i="8"/>
  <c r="UNO132" i="8"/>
  <c r="UNN132" i="8"/>
  <c r="UNM132" i="8"/>
  <c r="UNL132" i="8"/>
  <c r="UNK132" i="8"/>
  <c r="UNJ132" i="8"/>
  <c r="UNI132" i="8"/>
  <c r="UNH132" i="8"/>
  <c r="UNG132" i="8"/>
  <c r="UNF132" i="8"/>
  <c r="UNE132" i="8"/>
  <c r="UND132" i="8"/>
  <c r="UNC132" i="8"/>
  <c r="UNB132" i="8"/>
  <c r="UNA132" i="8"/>
  <c r="UMZ132" i="8"/>
  <c r="UMY132" i="8"/>
  <c r="UMX132" i="8"/>
  <c r="UMW132" i="8"/>
  <c r="UMV132" i="8"/>
  <c r="UMU132" i="8"/>
  <c r="UMT132" i="8"/>
  <c r="UMS132" i="8"/>
  <c r="UMR132" i="8"/>
  <c r="UMQ132" i="8"/>
  <c r="UMP132" i="8"/>
  <c r="UMO132" i="8"/>
  <c r="UMN132" i="8"/>
  <c r="UMM132" i="8"/>
  <c r="UML132" i="8"/>
  <c r="UMK132" i="8"/>
  <c r="UMJ132" i="8"/>
  <c r="UMI132" i="8"/>
  <c r="UMH132" i="8"/>
  <c r="UMG132" i="8"/>
  <c r="UMF132" i="8"/>
  <c r="UME132" i="8"/>
  <c r="UMD132" i="8"/>
  <c r="UMC132" i="8"/>
  <c r="UMB132" i="8"/>
  <c r="UMA132" i="8"/>
  <c r="ULZ132" i="8"/>
  <c r="ULY132" i="8"/>
  <c r="ULX132" i="8"/>
  <c r="ULW132" i="8"/>
  <c r="ULV132" i="8"/>
  <c r="ULU132" i="8"/>
  <c r="ULT132" i="8"/>
  <c r="ULS132" i="8"/>
  <c r="ULR132" i="8"/>
  <c r="ULQ132" i="8"/>
  <c r="ULP132" i="8"/>
  <c r="ULO132" i="8"/>
  <c r="ULN132" i="8"/>
  <c r="ULM132" i="8"/>
  <c r="ULL132" i="8"/>
  <c r="ULK132" i="8"/>
  <c r="ULJ132" i="8"/>
  <c r="ULI132" i="8"/>
  <c r="ULH132" i="8"/>
  <c r="ULG132" i="8"/>
  <c r="ULF132" i="8"/>
  <c r="ULE132" i="8"/>
  <c r="ULD132" i="8"/>
  <c r="ULC132" i="8"/>
  <c r="ULB132" i="8"/>
  <c r="ULA132" i="8"/>
  <c r="UKZ132" i="8"/>
  <c r="UKY132" i="8"/>
  <c r="UKX132" i="8"/>
  <c r="UKW132" i="8"/>
  <c r="UKV132" i="8"/>
  <c r="UKU132" i="8"/>
  <c r="UKT132" i="8"/>
  <c r="UKS132" i="8"/>
  <c r="UKR132" i="8"/>
  <c r="UKQ132" i="8"/>
  <c r="UKP132" i="8"/>
  <c r="UKO132" i="8"/>
  <c r="UKN132" i="8"/>
  <c r="UKM132" i="8"/>
  <c r="UKL132" i="8"/>
  <c r="UKK132" i="8"/>
  <c r="UKJ132" i="8"/>
  <c r="UKI132" i="8"/>
  <c r="UKH132" i="8"/>
  <c r="UKG132" i="8"/>
  <c r="UKF132" i="8"/>
  <c r="UKE132" i="8"/>
  <c r="UKD132" i="8"/>
  <c r="UKC132" i="8"/>
  <c r="UKB132" i="8"/>
  <c r="UKA132" i="8"/>
  <c r="UJZ132" i="8"/>
  <c r="UJY132" i="8"/>
  <c r="UJX132" i="8"/>
  <c r="UJW132" i="8"/>
  <c r="UJV132" i="8"/>
  <c r="UJU132" i="8"/>
  <c r="UJT132" i="8"/>
  <c r="UJS132" i="8"/>
  <c r="UJR132" i="8"/>
  <c r="UJQ132" i="8"/>
  <c r="UJP132" i="8"/>
  <c r="UJO132" i="8"/>
  <c r="UJN132" i="8"/>
  <c r="UJM132" i="8"/>
  <c r="UJL132" i="8"/>
  <c r="UJK132" i="8"/>
  <c r="UJJ132" i="8"/>
  <c r="UJI132" i="8"/>
  <c r="UJH132" i="8"/>
  <c r="UJG132" i="8"/>
  <c r="UJF132" i="8"/>
  <c r="UJE132" i="8"/>
  <c r="UJD132" i="8"/>
  <c r="UJC132" i="8"/>
  <c r="UJB132" i="8"/>
  <c r="UJA132" i="8"/>
  <c r="UIZ132" i="8"/>
  <c r="UIY132" i="8"/>
  <c r="UIX132" i="8"/>
  <c r="UIW132" i="8"/>
  <c r="UIV132" i="8"/>
  <c r="UIU132" i="8"/>
  <c r="UIT132" i="8"/>
  <c r="UIS132" i="8"/>
  <c r="UIR132" i="8"/>
  <c r="UIQ132" i="8"/>
  <c r="UIP132" i="8"/>
  <c r="UIO132" i="8"/>
  <c r="UIN132" i="8"/>
  <c r="UIM132" i="8"/>
  <c r="UIL132" i="8"/>
  <c r="UIK132" i="8"/>
  <c r="UIJ132" i="8"/>
  <c r="UII132" i="8"/>
  <c r="UIH132" i="8"/>
  <c r="UIG132" i="8"/>
  <c r="UIF132" i="8"/>
  <c r="UIE132" i="8"/>
  <c r="UID132" i="8"/>
  <c r="UIC132" i="8"/>
  <c r="UIB132" i="8"/>
  <c r="UIA132" i="8"/>
  <c r="UHZ132" i="8"/>
  <c r="UHY132" i="8"/>
  <c r="UHX132" i="8"/>
  <c r="UHW132" i="8"/>
  <c r="UHV132" i="8"/>
  <c r="UHU132" i="8"/>
  <c r="UHT132" i="8"/>
  <c r="UHS132" i="8"/>
  <c r="UHR132" i="8"/>
  <c r="UHQ132" i="8"/>
  <c r="UHP132" i="8"/>
  <c r="UHO132" i="8"/>
  <c r="UHN132" i="8"/>
  <c r="UHM132" i="8"/>
  <c r="UHL132" i="8"/>
  <c r="UHK132" i="8"/>
  <c r="UHJ132" i="8"/>
  <c r="UHI132" i="8"/>
  <c r="UHH132" i="8"/>
  <c r="UHG132" i="8"/>
  <c r="UHF132" i="8"/>
  <c r="UHE132" i="8"/>
  <c r="UHD132" i="8"/>
  <c r="UHC132" i="8"/>
  <c r="UHB132" i="8"/>
  <c r="UHA132" i="8"/>
  <c r="UGZ132" i="8"/>
  <c r="UGY132" i="8"/>
  <c r="UGX132" i="8"/>
  <c r="UGW132" i="8"/>
  <c r="UGV132" i="8"/>
  <c r="UGU132" i="8"/>
  <c r="UGT132" i="8"/>
  <c r="UGS132" i="8"/>
  <c r="UGR132" i="8"/>
  <c r="UGQ132" i="8"/>
  <c r="UGP132" i="8"/>
  <c r="UGO132" i="8"/>
  <c r="UGN132" i="8"/>
  <c r="UGM132" i="8"/>
  <c r="UGL132" i="8"/>
  <c r="UGK132" i="8"/>
  <c r="UGJ132" i="8"/>
  <c r="UGI132" i="8"/>
  <c r="UGH132" i="8"/>
  <c r="UGG132" i="8"/>
  <c r="UGF132" i="8"/>
  <c r="UGE132" i="8"/>
  <c r="UGD132" i="8"/>
  <c r="UGC132" i="8"/>
  <c r="UGB132" i="8"/>
  <c r="UGA132" i="8"/>
  <c r="UFZ132" i="8"/>
  <c r="UFY132" i="8"/>
  <c r="UFX132" i="8"/>
  <c r="UFW132" i="8"/>
  <c r="UFV132" i="8"/>
  <c r="UFU132" i="8"/>
  <c r="UFT132" i="8"/>
  <c r="UFS132" i="8"/>
  <c r="UFR132" i="8"/>
  <c r="UFQ132" i="8"/>
  <c r="UFP132" i="8"/>
  <c r="UFO132" i="8"/>
  <c r="UFN132" i="8"/>
  <c r="UFM132" i="8"/>
  <c r="UFL132" i="8"/>
  <c r="UFK132" i="8"/>
  <c r="UFJ132" i="8"/>
  <c r="UFI132" i="8"/>
  <c r="UFH132" i="8"/>
  <c r="UFG132" i="8"/>
  <c r="UFF132" i="8"/>
  <c r="UFE132" i="8"/>
  <c r="UFD132" i="8"/>
  <c r="UFC132" i="8"/>
  <c r="UFB132" i="8"/>
  <c r="UFA132" i="8"/>
  <c r="UEZ132" i="8"/>
  <c r="UEY132" i="8"/>
  <c r="UEX132" i="8"/>
  <c r="UEW132" i="8"/>
  <c r="UEV132" i="8"/>
  <c r="UEU132" i="8"/>
  <c r="UET132" i="8"/>
  <c r="UES132" i="8"/>
  <c r="UER132" i="8"/>
  <c r="UEQ132" i="8"/>
  <c r="UEP132" i="8"/>
  <c r="UEO132" i="8"/>
  <c r="UEN132" i="8"/>
  <c r="UEM132" i="8"/>
  <c r="UEL132" i="8"/>
  <c r="UEK132" i="8"/>
  <c r="UEJ132" i="8"/>
  <c r="UEI132" i="8"/>
  <c r="UEH132" i="8"/>
  <c r="UEG132" i="8"/>
  <c r="UEF132" i="8"/>
  <c r="UEE132" i="8"/>
  <c r="UED132" i="8"/>
  <c r="UEC132" i="8"/>
  <c r="UEB132" i="8"/>
  <c r="UEA132" i="8"/>
  <c r="UDZ132" i="8"/>
  <c r="UDY132" i="8"/>
  <c r="UDX132" i="8"/>
  <c r="UDW132" i="8"/>
  <c r="UDV132" i="8"/>
  <c r="UDU132" i="8"/>
  <c r="UDT132" i="8"/>
  <c r="UDS132" i="8"/>
  <c r="UDR132" i="8"/>
  <c r="UDQ132" i="8"/>
  <c r="UDP132" i="8"/>
  <c r="UDO132" i="8"/>
  <c r="UDN132" i="8"/>
  <c r="UDM132" i="8"/>
  <c r="UDL132" i="8"/>
  <c r="UDK132" i="8"/>
  <c r="UDJ132" i="8"/>
  <c r="UDI132" i="8"/>
  <c r="UDH132" i="8"/>
  <c r="UDG132" i="8"/>
  <c r="UDF132" i="8"/>
  <c r="UDE132" i="8"/>
  <c r="UDD132" i="8"/>
  <c r="UDC132" i="8"/>
  <c r="UDB132" i="8"/>
  <c r="UDA132" i="8"/>
  <c r="UCZ132" i="8"/>
  <c r="UCY132" i="8"/>
  <c r="UCX132" i="8"/>
  <c r="UCW132" i="8"/>
  <c r="UCV132" i="8"/>
  <c r="UCU132" i="8"/>
  <c r="UCT132" i="8"/>
  <c r="UCS132" i="8"/>
  <c r="UCR132" i="8"/>
  <c r="UCQ132" i="8"/>
  <c r="UCP132" i="8"/>
  <c r="UCO132" i="8"/>
  <c r="UCN132" i="8"/>
  <c r="UCM132" i="8"/>
  <c r="UCL132" i="8"/>
  <c r="UCK132" i="8"/>
  <c r="UCJ132" i="8"/>
  <c r="UCI132" i="8"/>
  <c r="UCH132" i="8"/>
  <c r="UCG132" i="8"/>
  <c r="UCF132" i="8"/>
  <c r="UCE132" i="8"/>
  <c r="UCD132" i="8"/>
  <c r="UCC132" i="8"/>
  <c r="UCB132" i="8"/>
  <c r="UCA132" i="8"/>
  <c r="UBZ132" i="8"/>
  <c r="UBY132" i="8"/>
  <c r="UBX132" i="8"/>
  <c r="UBW132" i="8"/>
  <c r="UBV132" i="8"/>
  <c r="UBU132" i="8"/>
  <c r="UBT132" i="8"/>
  <c r="UBS132" i="8"/>
  <c r="UBR132" i="8"/>
  <c r="UBQ132" i="8"/>
  <c r="UBP132" i="8"/>
  <c r="UBO132" i="8"/>
  <c r="UBN132" i="8"/>
  <c r="UBM132" i="8"/>
  <c r="UBL132" i="8"/>
  <c r="UBK132" i="8"/>
  <c r="UBJ132" i="8"/>
  <c r="UBI132" i="8"/>
  <c r="UBH132" i="8"/>
  <c r="UBG132" i="8"/>
  <c r="UBF132" i="8"/>
  <c r="UBE132" i="8"/>
  <c r="UBD132" i="8"/>
  <c r="UBC132" i="8"/>
  <c r="UBB132" i="8"/>
  <c r="UBA132" i="8"/>
  <c r="UAZ132" i="8"/>
  <c r="UAY132" i="8"/>
  <c r="UAX132" i="8"/>
  <c r="UAW132" i="8"/>
  <c r="UAV132" i="8"/>
  <c r="UAU132" i="8"/>
  <c r="UAT132" i="8"/>
  <c r="UAS132" i="8"/>
  <c r="UAR132" i="8"/>
  <c r="UAQ132" i="8"/>
  <c r="UAP132" i="8"/>
  <c r="UAO132" i="8"/>
  <c r="UAN132" i="8"/>
  <c r="UAM132" i="8"/>
  <c r="UAL132" i="8"/>
  <c r="UAK132" i="8"/>
  <c r="UAJ132" i="8"/>
  <c r="UAI132" i="8"/>
  <c r="UAH132" i="8"/>
  <c r="UAG132" i="8"/>
  <c r="UAF132" i="8"/>
  <c r="UAE132" i="8"/>
  <c r="UAD132" i="8"/>
  <c r="UAC132" i="8"/>
  <c r="UAB132" i="8"/>
  <c r="UAA132" i="8"/>
  <c r="TZZ132" i="8"/>
  <c r="TZY132" i="8"/>
  <c r="TZX132" i="8"/>
  <c r="TZW132" i="8"/>
  <c r="TZV132" i="8"/>
  <c r="TZU132" i="8"/>
  <c r="TZT132" i="8"/>
  <c r="TZS132" i="8"/>
  <c r="TZR132" i="8"/>
  <c r="TZQ132" i="8"/>
  <c r="TZP132" i="8"/>
  <c r="TZO132" i="8"/>
  <c r="TZN132" i="8"/>
  <c r="TZM132" i="8"/>
  <c r="TZL132" i="8"/>
  <c r="TZK132" i="8"/>
  <c r="TZJ132" i="8"/>
  <c r="TZI132" i="8"/>
  <c r="TZH132" i="8"/>
  <c r="TZG132" i="8"/>
  <c r="TZF132" i="8"/>
  <c r="TZE132" i="8"/>
  <c r="TZD132" i="8"/>
  <c r="TZC132" i="8"/>
  <c r="TZB132" i="8"/>
  <c r="TZA132" i="8"/>
  <c r="TYZ132" i="8"/>
  <c r="TYY132" i="8"/>
  <c r="TYX132" i="8"/>
  <c r="TYW132" i="8"/>
  <c r="TYV132" i="8"/>
  <c r="TYU132" i="8"/>
  <c r="TYT132" i="8"/>
  <c r="TYS132" i="8"/>
  <c r="TYR132" i="8"/>
  <c r="TYQ132" i="8"/>
  <c r="TYP132" i="8"/>
  <c r="TYO132" i="8"/>
  <c r="TYN132" i="8"/>
  <c r="TYM132" i="8"/>
  <c r="TYL132" i="8"/>
  <c r="TYK132" i="8"/>
  <c r="TYJ132" i="8"/>
  <c r="TYI132" i="8"/>
  <c r="TYH132" i="8"/>
  <c r="TYG132" i="8"/>
  <c r="TYF132" i="8"/>
  <c r="TYE132" i="8"/>
  <c r="TYD132" i="8"/>
  <c r="TYC132" i="8"/>
  <c r="TYB132" i="8"/>
  <c r="TYA132" i="8"/>
  <c r="TXZ132" i="8"/>
  <c r="TXY132" i="8"/>
  <c r="TXX132" i="8"/>
  <c r="TXW132" i="8"/>
  <c r="TXV132" i="8"/>
  <c r="TXU132" i="8"/>
  <c r="TXT132" i="8"/>
  <c r="TXS132" i="8"/>
  <c r="TXR132" i="8"/>
  <c r="TXQ132" i="8"/>
  <c r="TXP132" i="8"/>
  <c r="TXO132" i="8"/>
  <c r="TXN132" i="8"/>
  <c r="TXM132" i="8"/>
  <c r="TXL132" i="8"/>
  <c r="TXK132" i="8"/>
  <c r="TXJ132" i="8"/>
  <c r="TXI132" i="8"/>
  <c r="TXH132" i="8"/>
  <c r="TXG132" i="8"/>
  <c r="TXF132" i="8"/>
  <c r="TXE132" i="8"/>
  <c r="TXD132" i="8"/>
  <c r="TXC132" i="8"/>
  <c r="TXB132" i="8"/>
  <c r="TXA132" i="8"/>
  <c r="TWZ132" i="8"/>
  <c r="TWY132" i="8"/>
  <c r="TWX132" i="8"/>
  <c r="TWW132" i="8"/>
  <c r="TWV132" i="8"/>
  <c r="TWU132" i="8"/>
  <c r="TWT132" i="8"/>
  <c r="TWS132" i="8"/>
  <c r="TWR132" i="8"/>
  <c r="TWQ132" i="8"/>
  <c r="TWP132" i="8"/>
  <c r="TWO132" i="8"/>
  <c r="TWN132" i="8"/>
  <c r="TWM132" i="8"/>
  <c r="TWL132" i="8"/>
  <c r="TWK132" i="8"/>
  <c r="TWJ132" i="8"/>
  <c r="TWI132" i="8"/>
  <c r="TWH132" i="8"/>
  <c r="TWG132" i="8"/>
  <c r="TWF132" i="8"/>
  <c r="TWE132" i="8"/>
  <c r="TWD132" i="8"/>
  <c r="TWC132" i="8"/>
  <c r="TWB132" i="8"/>
  <c r="TWA132" i="8"/>
  <c r="TVZ132" i="8"/>
  <c r="TVY132" i="8"/>
  <c r="TVX132" i="8"/>
  <c r="TVW132" i="8"/>
  <c r="TVV132" i="8"/>
  <c r="TVU132" i="8"/>
  <c r="TVT132" i="8"/>
  <c r="TVS132" i="8"/>
  <c r="TVR132" i="8"/>
  <c r="TVQ132" i="8"/>
  <c r="TVP132" i="8"/>
  <c r="TVO132" i="8"/>
  <c r="TVN132" i="8"/>
  <c r="TVM132" i="8"/>
  <c r="TVL132" i="8"/>
  <c r="TVK132" i="8"/>
  <c r="TVJ132" i="8"/>
  <c r="TVI132" i="8"/>
  <c r="TVH132" i="8"/>
  <c r="TVG132" i="8"/>
  <c r="TVF132" i="8"/>
  <c r="TVE132" i="8"/>
  <c r="TVD132" i="8"/>
  <c r="TVC132" i="8"/>
  <c r="TVB132" i="8"/>
  <c r="TVA132" i="8"/>
  <c r="TUZ132" i="8"/>
  <c r="TUY132" i="8"/>
  <c r="TUX132" i="8"/>
  <c r="TUW132" i="8"/>
  <c r="TUV132" i="8"/>
  <c r="TUU132" i="8"/>
  <c r="TUT132" i="8"/>
  <c r="TUS132" i="8"/>
  <c r="TUR132" i="8"/>
  <c r="TUQ132" i="8"/>
  <c r="TUP132" i="8"/>
  <c r="TUO132" i="8"/>
  <c r="TUN132" i="8"/>
  <c r="TUM132" i="8"/>
  <c r="TUL132" i="8"/>
  <c r="TUK132" i="8"/>
  <c r="TUJ132" i="8"/>
  <c r="TUI132" i="8"/>
  <c r="TUH132" i="8"/>
  <c r="TUG132" i="8"/>
  <c r="TUF132" i="8"/>
  <c r="TUE132" i="8"/>
  <c r="TUD132" i="8"/>
  <c r="TUC132" i="8"/>
  <c r="TUB132" i="8"/>
  <c r="TUA132" i="8"/>
  <c r="TTZ132" i="8"/>
  <c r="TTY132" i="8"/>
  <c r="TTX132" i="8"/>
  <c r="TTW132" i="8"/>
  <c r="TTV132" i="8"/>
  <c r="TTU132" i="8"/>
  <c r="TTT132" i="8"/>
  <c r="TTS132" i="8"/>
  <c r="TTR132" i="8"/>
  <c r="TTQ132" i="8"/>
  <c r="TTP132" i="8"/>
  <c r="TTO132" i="8"/>
  <c r="TTN132" i="8"/>
  <c r="TTM132" i="8"/>
  <c r="TTL132" i="8"/>
  <c r="TTK132" i="8"/>
  <c r="TTJ132" i="8"/>
  <c r="TTI132" i="8"/>
  <c r="TTH132" i="8"/>
  <c r="TTG132" i="8"/>
  <c r="TTF132" i="8"/>
  <c r="TTE132" i="8"/>
  <c r="TTD132" i="8"/>
  <c r="TTC132" i="8"/>
  <c r="TTB132" i="8"/>
  <c r="TTA132" i="8"/>
  <c r="TSZ132" i="8"/>
  <c r="TSY132" i="8"/>
  <c r="TSX132" i="8"/>
  <c r="TSW132" i="8"/>
  <c r="TSV132" i="8"/>
  <c r="TSU132" i="8"/>
  <c r="TST132" i="8"/>
  <c r="TSS132" i="8"/>
  <c r="TSR132" i="8"/>
  <c r="TSQ132" i="8"/>
  <c r="TSP132" i="8"/>
  <c r="TSO132" i="8"/>
  <c r="TSN132" i="8"/>
  <c r="TSM132" i="8"/>
  <c r="TSL132" i="8"/>
  <c r="TSK132" i="8"/>
  <c r="TSJ132" i="8"/>
  <c r="TSI132" i="8"/>
  <c r="TSH132" i="8"/>
  <c r="TSG132" i="8"/>
  <c r="TSF132" i="8"/>
  <c r="TSE132" i="8"/>
  <c r="TSD132" i="8"/>
  <c r="TSC132" i="8"/>
  <c r="TSB132" i="8"/>
  <c r="TSA132" i="8"/>
  <c r="TRZ132" i="8"/>
  <c r="TRY132" i="8"/>
  <c r="TRX132" i="8"/>
  <c r="TRW132" i="8"/>
  <c r="TRV132" i="8"/>
  <c r="TRU132" i="8"/>
  <c r="TRT132" i="8"/>
  <c r="TRS132" i="8"/>
  <c r="TRR132" i="8"/>
  <c r="TRQ132" i="8"/>
  <c r="TRP132" i="8"/>
  <c r="TRO132" i="8"/>
  <c r="TRN132" i="8"/>
  <c r="TRM132" i="8"/>
  <c r="TRL132" i="8"/>
  <c r="TRK132" i="8"/>
  <c r="TRJ132" i="8"/>
  <c r="TRI132" i="8"/>
  <c r="TRH132" i="8"/>
  <c r="TRG132" i="8"/>
  <c r="TRF132" i="8"/>
  <c r="TRE132" i="8"/>
  <c r="TRD132" i="8"/>
  <c r="TRC132" i="8"/>
  <c r="TRB132" i="8"/>
  <c r="TRA132" i="8"/>
  <c r="TQZ132" i="8"/>
  <c r="TQY132" i="8"/>
  <c r="TQX132" i="8"/>
  <c r="TQW132" i="8"/>
  <c r="TQV132" i="8"/>
  <c r="TQU132" i="8"/>
  <c r="TQT132" i="8"/>
  <c r="TQS132" i="8"/>
  <c r="TQR132" i="8"/>
  <c r="TQQ132" i="8"/>
  <c r="TQP132" i="8"/>
  <c r="TQO132" i="8"/>
  <c r="TQN132" i="8"/>
  <c r="TQM132" i="8"/>
  <c r="TQL132" i="8"/>
  <c r="TQK132" i="8"/>
  <c r="TQJ132" i="8"/>
  <c r="TQI132" i="8"/>
  <c r="TQH132" i="8"/>
  <c r="TQG132" i="8"/>
  <c r="TQF132" i="8"/>
  <c r="TQE132" i="8"/>
  <c r="TQD132" i="8"/>
  <c r="TQC132" i="8"/>
  <c r="TQB132" i="8"/>
  <c r="TQA132" i="8"/>
  <c r="TPZ132" i="8"/>
  <c r="TPY132" i="8"/>
  <c r="TPX132" i="8"/>
  <c r="TPW132" i="8"/>
  <c r="TPV132" i="8"/>
  <c r="TPU132" i="8"/>
  <c r="TPT132" i="8"/>
  <c r="TPS132" i="8"/>
  <c r="TPR132" i="8"/>
  <c r="TPQ132" i="8"/>
  <c r="TPP132" i="8"/>
  <c r="TPO132" i="8"/>
  <c r="TPN132" i="8"/>
  <c r="TPM132" i="8"/>
  <c r="TPL132" i="8"/>
  <c r="TPK132" i="8"/>
  <c r="TPJ132" i="8"/>
  <c r="TPI132" i="8"/>
  <c r="TPH132" i="8"/>
  <c r="TPG132" i="8"/>
  <c r="TPF132" i="8"/>
  <c r="TPE132" i="8"/>
  <c r="TPD132" i="8"/>
  <c r="TPC132" i="8"/>
  <c r="TPB132" i="8"/>
  <c r="TPA132" i="8"/>
  <c r="TOZ132" i="8"/>
  <c r="TOY132" i="8"/>
  <c r="TOX132" i="8"/>
  <c r="TOW132" i="8"/>
  <c r="TOV132" i="8"/>
  <c r="TOU132" i="8"/>
  <c r="TOT132" i="8"/>
  <c r="TOS132" i="8"/>
  <c r="TOR132" i="8"/>
  <c r="TOQ132" i="8"/>
  <c r="TOP132" i="8"/>
  <c r="TOO132" i="8"/>
  <c r="TON132" i="8"/>
  <c r="TOM132" i="8"/>
  <c r="TOL132" i="8"/>
  <c r="TOK132" i="8"/>
  <c r="TOJ132" i="8"/>
  <c r="TOI132" i="8"/>
  <c r="TOH132" i="8"/>
  <c r="TOG132" i="8"/>
  <c r="TOF132" i="8"/>
  <c r="TOE132" i="8"/>
  <c r="TOD132" i="8"/>
  <c r="TOC132" i="8"/>
  <c r="TOB132" i="8"/>
  <c r="TOA132" i="8"/>
  <c r="TNZ132" i="8"/>
  <c r="TNY132" i="8"/>
  <c r="TNX132" i="8"/>
  <c r="TNW132" i="8"/>
  <c r="TNV132" i="8"/>
  <c r="TNU132" i="8"/>
  <c r="TNT132" i="8"/>
  <c r="TNS132" i="8"/>
  <c r="TNR132" i="8"/>
  <c r="TNQ132" i="8"/>
  <c r="TNP132" i="8"/>
  <c r="TNO132" i="8"/>
  <c r="TNN132" i="8"/>
  <c r="TNM132" i="8"/>
  <c r="TNL132" i="8"/>
  <c r="TNK132" i="8"/>
  <c r="TNJ132" i="8"/>
  <c r="TNI132" i="8"/>
  <c r="TNH132" i="8"/>
  <c r="TNG132" i="8"/>
  <c r="TNF132" i="8"/>
  <c r="TNE132" i="8"/>
  <c r="TND132" i="8"/>
  <c r="TNC132" i="8"/>
  <c r="TNB132" i="8"/>
  <c r="TNA132" i="8"/>
  <c r="TMZ132" i="8"/>
  <c r="TMY132" i="8"/>
  <c r="TMX132" i="8"/>
  <c r="TMW132" i="8"/>
  <c r="TMV132" i="8"/>
  <c r="TMU132" i="8"/>
  <c r="TMT132" i="8"/>
  <c r="TMS132" i="8"/>
  <c r="TMR132" i="8"/>
  <c r="TMQ132" i="8"/>
  <c r="TMP132" i="8"/>
  <c r="TMO132" i="8"/>
  <c r="TMN132" i="8"/>
  <c r="TMM132" i="8"/>
  <c r="TML132" i="8"/>
  <c r="TMK132" i="8"/>
  <c r="TMJ132" i="8"/>
  <c r="TMI132" i="8"/>
  <c r="TMH132" i="8"/>
  <c r="TMG132" i="8"/>
  <c r="TMF132" i="8"/>
  <c r="TME132" i="8"/>
  <c r="TMD132" i="8"/>
  <c r="TMC132" i="8"/>
  <c r="TMB132" i="8"/>
  <c r="TMA132" i="8"/>
  <c r="TLZ132" i="8"/>
  <c r="TLY132" i="8"/>
  <c r="TLX132" i="8"/>
  <c r="TLW132" i="8"/>
  <c r="TLV132" i="8"/>
  <c r="TLU132" i="8"/>
  <c r="TLT132" i="8"/>
  <c r="TLS132" i="8"/>
  <c r="TLR132" i="8"/>
  <c r="TLQ132" i="8"/>
  <c r="TLP132" i="8"/>
  <c r="TLO132" i="8"/>
  <c r="TLN132" i="8"/>
  <c r="TLM132" i="8"/>
  <c r="TLL132" i="8"/>
  <c r="TLK132" i="8"/>
  <c r="TLJ132" i="8"/>
  <c r="TLI132" i="8"/>
  <c r="TLH132" i="8"/>
  <c r="TLG132" i="8"/>
  <c r="TLF132" i="8"/>
  <c r="TLE132" i="8"/>
  <c r="TLD132" i="8"/>
  <c r="TLC132" i="8"/>
  <c r="TLB132" i="8"/>
  <c r="TLA132" i="8"/>
  <c r="TKZ132" i="8"/>
  <c r="TKY132" i="8"/>
  <c r="TKX132" i="8"/>
  <c r="TKW132" i="8"/>
  <c r="TKV132" i="8"/>
  <c r="TKU132" i="8"/>
  <c r="TKT132" i="8"/>
  <c r="TKS132" i="8"/>
  <c r="TKR132" i="8"/>
  <c r="TKQ132" i="8"/>
  <c r="TKP132" i="8"/>
  <c r="TKO132" i="8"/>
  <c r="TKN132" i="8"/>
  <c r="TKM132" i="8"/>
  <c r="TKL132" i="8"/>
  <c r="TKK132" i="8"/>
  <c r="TKJ132" i="8"/>
  <c r="TKI132" i="8"/>
  <c r="TKH132" i="8"/>
  <c r="TKG132" i="8"/>
  <c r="TKF132" i="8"/>
  <c r="TKE132" i="8"/>
  <c r="TKD132" i="8"/>
  <c r="TKC132" i="8"/>
  <c r="TKB132" i="8"/>
  <c r="TKA132" i="8"/>
  <c r="TJZ132" i="8"/>
  <c r="TJY132" i="8"/>
  <c r="TJX132" i="8"/>
  <c r="TJW132" i="8"/>
  <c r="TJV132" i="8"/>
  <c r="TJU132" i="8"/>
  <c r="TJT132" i="8"/>
  <c r="TJS132" i="8"/>
  <c r="TJR132" i="8"/>
  <c r="TJQ132" i="8"/>
  <c r="TJP132" i="8"/>
  <c r="TJO132" i="8"/>
  <c r="TJN132" i="8"/>
  <c r="TJM132" i="8"/>
  <c r="TJL132" i="8"/>
  <c r="TJK132" i="8"/>
  <c r="TJJ132" i="8"/>
  <c r="TJI132" i="8"/>
  <c r="TJH132" i="8"/>
  <c r="TJG132" i="8"/>
  <c r="TJF132" i="8"/>
  <c r="TJE132" i="8"/>
  <c r="TJD132" i="8"/>
  <c r="TJC132" i="8"/>
  <c r="TJB132" i="8"/>
  <c r="TJA132" i="8"/>
  <c r="TIZ132" i="8"/>
  <c r="TIY132" i="8"/>
  <c r="TIX132" i="8"/>
  <c r="TIW132" i="8"/>
  <c r="TIV132" i="8"/>
  <c r="TIU132" i="8"/>
  <c r="TIT132" i="8"/>
  <c r="TIS132" i="8"/>
  <c r="TIR132" i="8"/>
  <c r="TIQ132" i="8"/>
  <c r="TIP132" i="8"/>
  <c r="TIO132" i="8"/>
  <c r="TIN132" i="8"/>
  <c r="TIM132" i="8"/>
  <c r="TIL132" i="8"/>
  <c r="TIK132" i="8"/>
  <c r="TIJ132" i="8"/>
  <c r="TII132" i="8"/>
  <c r="TIH132" i="8"/>
  <c r="TIG132" i="8"/>
  <c r="TIF132" i="8"/>
  <c r="TIE132" i="8"/>
  <c r="TID132" i="8"/>
  <c r="TIC132" i="8"/>
  <c r="TIB132" i="8"/>
  <c r="TIA132" i="8"/>
  <c r="THZ132" i="8"/>
  <c r="THY132" i="8"/>
  <c r="THX132" i="8"/>
  <c r="THW132" i="8"/>
  <c r="THV132" i="8"/>
  <c r="THU132" i="8"/>
  <c r="THT132" i="8"/>
  <c r="THS132" i="8"/>
  <c r="THR132" i="8"/>
  <c r="THQ132" i="8"/>
  <c r="THP132" i="8"/>
  <c r="THO132" i="8"/>
  <c r="THN132" i="8"/>
  <c r="THM132" i="8"/>
  <c r="THL132" i="8"/>
  <c r="THK132" i="8"/>
  <c r="THJ132" i="8"/>
  <c r="THI132" i="8"/>
  <c r="THH132" i="8"/>
  <c r="THG132" i="8"/>
  <c r="THF132" i="8"/>
  <c r="THE132" i="8"/>
  <c r="THD132" i="8"/>
  <c r="THC132" i="8"/>
  <c r="THB132" i="8"/>
  <c r="THA132" i="8"/>
  <c r="TGZ132" i="8"/>
  <c r="TGY132" i="8"/>
  <c r="TGX132" i="8"/>
  <c r="TGW132" i="8"/>
  <c r="TGV132" i="8"/>
  <c r="TGU132" i="8"/>
  <c r="TGT132" i="8"/>
  <c r="TGS132" i="8"/>
  <c r="TGR132" i="8"/>
  <c r="TGQ132" i="8"/>
  <c r="TGP132" i="8"/>
  <c r="TGO132" i="8"/>
  <c r="TGN132" i="8"/>
  <c r="TGM132" i="8"/>
  <c r="TGL132" i="8"/>
  <c r="TGK132" i="8"/>
  <c r="TGJ132" i="8"/>
  <c r="TGI132" i="8"/>
  <c r="TGH132" i="8"/>
  <c r="TGG132" i="8"/>
  <c r="TGF132" i="8"/>
  <c r="TGE132" i="8"/>
  <c r="TGD132" i="8"/>
  <c r="TGC132" i="8"/>
  <c r="TGB132" i="8"/>
  <c r="TGA132" i="8"/>
  <c r="TFZ132" i="8"/>
  <c r="TFY132" i="8"/>
  <c r="TFX132" i="8"/>
  <c r="TFW132" i="8"/>
  <c r="TFV132" i="8"/>
  <c r="TFU132" i="8"/>
  <c r="TFT132" i="8"/>
  <c r="TFS132" i="8"/>
  <c r="TFR132" i="8"/>
  <c r="TFQ132" i="8"/>
  <c r="TFP132" i="8"/>
  <c r="TFO132" i="8"/>
  <c r="TFN132" i="8"/>
  <c r="TFM132" i="8"/>
  <c r="TFL132" i="8"/>
  <c r="TFK132" i="8"/>
  <c r="TFJ132" i="8"/>
  <c r="TFI132" i="8"/>
  <c r="TFH132" i="8"/>
  <c r="TFG132" i="8"/>
  <c r="TFF132" i="8"/>
  <c r="TFE132" i="8"/>
  <c r="TFD132" i="8"/>
  <c r="TFC132" i="8"/>
  <c r="TFB132" i="8"/>
  <c r="TFA132" i="8"/>
  <c r="TEZ132" i="8"/>
  <c r="TEY132" i="8"/>
  <c r="TEX132" i="8"/>
  <c r="TEW132" i="8"/>
  <c r="TEV132" i="8"/>
  <c r="TEU132" i="8"/>
  <c r="TET132" i="8"/>
  <c r="TES132" i="8"/>
  <c r="TER132" i="8"/>
  <c r="TEQ132" i="8"/>
  <c r="TEP132" i="8"/>
  <c r="TEO132" i="8"/>
  <c r="TEN132" i="8"/>
  <c r="TEM132" i="8"/>
  <c r="TEL132" i="8"/>
  <c r="TEK132" i="8"/>
  <c r="TEJ132" i="8"/>
  <c r="TEI132" i="8"/>
  <c r="TEH132" i="8"/>
  <c r="TEG132" i="8"/>
  <c r="TEF132" i="8"/>
  <c r="TEE132" i="8"/>
  <c r="TED132" i="8"/>
  <c r="TEC132" i="8"/>
  <c r="TEB132" i="8"/>
  <c r="TEA132" i="8"/>
  <c r="TDZ132" i="8"/>
  <c r="TDY132" i="8"/>
  <c r="TDX132" i="8"/>
  <c r="TDW132" i="8"/>
  <c r="TDV132" i="8"/>
  <c r="TDU132" i="8"/>
  <c r="TDT132" i="8"/>
  <c r="TDS132" i="8"/>
  <c r="TDR132" i="8"/>
  <c r="TDQ132" i="8"/>
  <c r="TDP132" i="8"/>
  <c r="TDO132" i="8"/>
  <c r="TDN132" i="8"/>
  <c r="TDM132" i="8"/>
  <c r="TDL132" i="8"/>
  <c r="TDK132" i="8"/>
  <c r="TDJ132" i="8"/>
  <c r="TDI132" i="8"/>
  <c r="TDH132" i="8"/>
  <c r="TDG132" i="8"/>
  <c r="TDF132" i="8"/>
  <c r="TDE132" i="8"/>
  <c r="TDD132" i="8"/>
  <c r="TDC132" i="8"/>
  <c r="TDB132" i="8"/>
  <c r="TDA132" i="8"/>
  <c r="TCZ132" i="8"/>
  <c r="TCY132" i="8"/>
  <c r="TCX132" i="8"/>
  <c r="TCW132" i="8"/>
  <c r="TCV132" i="8"/>
  <c r="TCU132" i="8"/>
  <c r="TCT132" i="8"/>
  <c r="TCS132" i="8"/>
  <c r="TCR132" i="8"/>
  <c r="TCQ132" i="8"/>
  <c r="TCP132" i="8"/>
  <c r="TCO132" i="8"/>
  <c r="TCN132" i="8"/>
  <c r="TCM132" i="8"/>
  <c r="TCL132" i="8"/>
  <c r="TCK132" i="8"/>
  <c r="TCJ132" i="8"/>
  <c r="TCI132" i="8"/>
  <c r="TCH132" i="8"/>
  <c r="TCG132" i="8"/>
  <c r="TCF132" i="8"/>
  <c r="TCE132" i="8"/>
  <c r="TCD132" i="8"/>
  <c r="TCC132" i="8"/>
  <c r="TCB132" i="8"/>
  <c r="TCA132" i="8"/>
  <c r="TBZ132" i="8"/>
  <c r="TBY132" i="8"/>
  <c r="TBX132" i="8"/>
  <c r="TBW132" i="8"/>
  <c r="TBV132" i="8"/>
  <c r="TBU132" i="8"/>
  <c r="TBT132" i="8"/>
  <c r="TBS132" i="8"/>
  <c r="TBR132" i="8"/>
  <c r="TBQ132" i="8"/>
  <c r="TBP132" i="8"/>
  <c r="TBO132" i="8"/>
  <c r="TBN132" i="8"/>
  <c r="TBM132" i="8"/>
  <c r="TBL132" i="8"/>
  <c r="TBK132" i="8"/>
  <c r="TBJ132" i="8"/>
  <c r="TBI132" i="8"/>
  <c r="TBH132" i="8"/>
  <c r="TBG132" i="8"/>
  <c r="TBF132" i="8"/>
  <c r="TBE132" i="8"/>
  <c r="TBD132" i="8"/>
  <c r="TBC132" i="8"/>
  <c r="TBB132" i="8"/>
  <c r="TBA132" i="8"/>
  <c r="TAZ132" i="8"/>
  <c r="TAY132" i="8"/>
  <c r="TAX132" i="8"/>
  <c r="TAW132" i="8"/>
  <c r="TAV132" i="8"/>
  <c r="TAU132" i="8"/>
  <c r="TAT132" i="8"/>
  <c r="TAS132" i="8"/>
  <c r="TAR132" i="8"/>
  <c r="TAQ132" i="8"/>
  <c r="TAP132" i="8"/>
  <c r="TAO132" i="8"/>
  <c r="TAN132" i="8"/>
  <c r="TAM132" i="8"/>
  <c r="TAL132" i="8"/>
  <c r="TAK132" i="8"/>
  <c r="TAJ132" i="8"/>
  <c r="TAI132" i="8"/>
  <c r="TAH132" i="8"/>
  <c r="TAG132" i="8"/>
  <c r="TAF132" i="8"/>
  <c r="TAE132" i="8"/>
  <c r="TAD132" i="8"/>
  <c r="TAC132" i="8"/>
  <c r="TAB132" i="8"/>
  <c r="TAA132" i="8"/>
  <c r="SZZ132" i="8"/>
  <c r="SZY132" i="8"/>
  <c r="SZX132" i="8"/>
  <c r="SZW132" i="8"/>
  <c r="SZV132" i="8"/>
  <c r="SZU132" i="8"/>
  <c r="SZT132" i="8"/>
  <c r="SZS132" i="8"/>
  <c r="SZR132" i="8"/>
  <c r="SZQ132" i="8"/>
  <c r="SZP132" i="8"/>
  <c r="SZO132" i="8"/>
  <c r="SZN132" i="8"/>
  <c r="SZM132" i="8"/>
  <c r="SZL132" i="8"/>
  <c r="SZK132" i="8"/>
  <c r="SZJ132" i="8"/>
  <c r="SZI132" i="8"/>
  <c r="SZH132" i="8"/>
  <c r="SZG132" i="8"/>
  <c r="SZF132" i="8"/>
  <c r="SZE132" i="8"/>
  <c r="SZD132" i="8"/>
  <c r="SZC132" i="8"/>
  <c r="SZB132" i="8"/>
  <c r="SZA132" i="8"/>
  <c r="SYZ132" i="8"/>
  <c r="SYY132" i="8"/>
  <c r="SYX132" i="8"/>
  <c r="SYW132" i="8"/>
  <c r="SYV132" i="8"/>
  <c r="SYU132" i="8"/>
  <c r="SYT132" i="8"/>
  <c r="SYS132" i="8"/>
  <c r="SYR132" i="8"/>
  <c r="SYQ132" i="8"/>
  <c r="SYP132" i="8"/>
  <c r="SYO132" i="8"/>
  <c r="SYN132" i="8"/>
  <c r="SYM132" i="8"/>
  <c r="SYL132" i="8"/>
  <c r="SYK132" i="8"/>
  <c r="SYJ132" i="8"/>
  <c r="SYI132" i="8"/>
  <c r="SYH132" i="8"/>
  <c r="SYG132" i="8"/>
  <c r="SYF132" i="8"/>
  <c r="SYE132" i="8"/>
  <c r="SYD132" i="8"/>
  <c r="SYC132" i="8"/>
  <c r="SYB132" i="8"/>
  <c r="SYA132" i="8"/>
  <c r="SXZ132" i="8"/>
  <c r="SXY132" i="8"/>
  <c r="SXX132" i="8"/>
  <c r="SXW132" i="8"/>
  <c r="SXV132" i="8"/>
  <c r="SXU132" i="8"/>
  <c r="SXT132" i="8"/>
  <c r="SXS132" i="8"/>
  <c r="SXR132" i="8"/>
  <c r="SXQ132" i="8"/>
  <c r="SXP132" i="8"/>
  <c r="SXO132" i="8"/>
  <c r="SXN132" i="8"/>
  <c r="SXM132" i="8"/>
  <c r="SXL132" i="8"/>
  <c r="SXK132" i="8"/>
  <c r="SXJ132" i="8"/>
  <c r="SXI132" i="8"/>
  <c r="SXH132" i="8"/>
  <c r="SXG132" i="8"/>
  <c r="SXF132" i="8"/>
  <c r="SXE132" i="8"/>
  <c r="SXD132" i="8"/>
  <c r="SXC132" i="8"/>
  <c r="SXB132" i="8"/>
  <c r="SXA132" i="8"/>
  <c r="SWZ132" i="8"/>
  <c r="SWY132" i="8"/>
  <c r="SWX132" i="8"/>
  <c r="SWW132" i="8"/>
  <c r="SWV132" i="8"/>
  <c r="SWU132" i="8"/>
  <c r="SWT132" i="8"/>
  <c r="SWS132" i="8"/>
  <c r="SWR132" i="8"/>
  <c r="SWQ132" i="8"/>
  <c r="SWP132" i="8"/>
  <c r="SWO132" i="8"/>
  <c r="SWN132" i="8"/>
  <c r="SWM132" i="8"/>
  <c r="SWL132" i="8"/>
  <c r="SWK132" i="8"/>
  <c r="SWJ132" i="8"/>
  <c r="SWI132" i="8"/>
  <c r="SWH132" i="8"/>
  <c r="SWG132" i="8"/>
  <c r="SWF132" i="8"/>
  <c r="SWE132" i="8"/>
  <c r="SWD132" i="8"/>
  <c r="SWC132" i="8"/>
  <c r="SWB132" i="8"/>
  <c r="SWA132" i="8"/>
  <c r="SVZ132" i="8"/>
  <c r="SVY132" i="8"/>
  <c r="SVX132" i="8"/>
  <c r="SVW132" i="8"/>
  <c r="SVV132" i="8"/>
  <c r="SVU132" i="8"/>
  <c r="SVT132" i="8"/>
  <c r="SVS132" i="8"/>
  <c r="SVR132" i="8"/>
  <c r="SVQ132" i="8"/>
  <c r="SVP132" i="8"/>
  <c r="SVO132" i="8"/>
  <c r="SVN132" i="8"/>
  <c r="SVM132" i="8"/>
  <c r="SVL132" i="8"/>
  <c r="SVK132" i="8"/>
  <c r="SVJ132" i="8"/>
  <c r="SVI132" i="8"/>
  <c r="SVH132" i="8"/>
  <c r="SVG132" i="8"/>
  <c r="SVF132" i="8"/>
  <c r="SVE132" i="8"/>
  <c r="SVD132" i="8"/>
  <c r="SVC132" i="8"/>
  <c r="SVB132" i="8"/>
  <c r="SVA132" i="8"/>
  <c r="SUZ132" i="8"/>
  <c r="SUY132" i="8"/>
  <c r="SUX132" i="8"/>
  <c r="SUW132" i="8"/>
  <c r="SUV132" i="8"/>
  <c r="SUU132" i="8"/>
  <c r="SUT132" i="8"/>
  <c r="SUS132" i="8"/>
  <c r="SUR132" i="8"/>
  <c r="SUQ132" i="8"/>
  <c r="SUP132" i="8"/>
  <c r="SUO132" i="8"/>
  <c r="SUN132" i="8"/>
  <c r="SUM132" i="8"/>
  <c r="SUL132" i="8"/>
  <c r="SUK132" i="8"/>
  <c r="SUJ132" i="8"/>
  <c r="SUI132" i="8"/>
  <c r="SUH132" i="8"/>
  <c r="SUG132" i="8"/>
  <c r="SUF132" i="8"/>
  <c r="SUE132" i="8"/>
  <c r="SUD132" i="8"/>
  <c r="SUC132" i="8"/>
  <c r="SUB132" i="8"/>
  <c r="SUA132" i="8"/>
  <c r="STZ132" i="8"/>
  <c r="STY132" i="8"/>
  <c r="STX132" i="8"/>
  <c r="STW132" i="8"/>
  <c r="STV132" i="8"/>
  <c r="STU132" i="8"/>
  <c r="STT132" i="8"/>
  <c r="STS132" i="8"/>
  <c r="STR132" i="8"/>
  <c r="STQ132" i="8"/>
  <c r="STP132" i="8"/>
  <c r="STO132" i="8"/>
  <c r="STN132" i="8"/>
  <c r="STM132" i="8"/>
  <c r="STL132" i="8"/>
  <c r="STK132" i="8"/>
  <c r="STJ132" i="8"/>
  <c r="STI132" i="8"/>
  <c r="STH132" i="8"/>
  <c r="STG132" i="8"/>
  <c r="STF132" i="8"/>
  <c r="STE132" i="8"/>
  <c r="STD132" i="8"/>
  <c r="STC132" i="8"/>
  <c r="STB132" i="8"/>
  <c r="STA132" i="8"/>
  <c r="SSZ132" i="8"/>
  <c r="SSY132" i="8"/>
  <c r="SSX132" i="8"/>
  <c r="SSW132" i="8"/>
  <c r="SSV132" i="8"/>
  <c r="SSU132" i="8"/>
  <c r="SST132" i="8"/>
  <c r="SSS132" i="8"/>
  <c r="SSR132" i="8"/>
  <c r="SSQ132" i="8"/>
  <c r="SSP132" i="8"/>
  <c r="SSO132" i="8"/>
  <c r="SSN132" i="8"/>
  <c r="SSM132" i="8"/>
  <c r="SSL132" i="8"/>
  <c r="SSK132" i="8"/>
  <c r="SSJ132" i="8"/>
  <c r="SSI132" i="8"/>
  <c r="SSH132" i="8"/>
  <c r="SSG132" i="8"/>
  <c r="SSF132" i="8"/>
  <c r="SSE132" i="8"/>
  <c r="SSD132" i="8"/>
  <c r="SSC132" i="8"/>
  <c r="SSB132" i="8"/>
  <c r="SSA132" i="8"/>
  <c r="SRZ132" i="8"/>
  <c r="SRY132" i="8"/>
  <c r="SRX132" i="8"/>
  <c r="SRW132" i="8"/>
  <c r="SRV132" i="8"/>
  <c r="SRU132" i="8"/>
  <c r="SRT132" i="8"/>
  <c r="SRS132" i="8"/>
  <c r="SRR132" i="8"/>
  <c r="SRQ132" i="8"/>
  <c r="SRP132" i="8"/>
  <c r="SRO132" i="8"/>
  <c r="SRN132" i="8"/>
  <c r="SRM132" i="8"/>
  <c r="SRL132" i="8"/>
  <c r="SRK132" i="8"/>
  <c r="SRJ132" i="8"/>
  <c r="SRI132" i="8"/>
  <c r="SRH132" i="8"/>
  <c r="SRG132" i="8"/>
  <c r="SRF132" i="8"/>
  <c r="SRE132" i="8"/>
  <c r="SRD132" i="8"/>
  <c r="SRC132" i="8"/>
  <c r="SRB132" i="8"/>
  <c r="SRA132" i="8"/>
  <c r="SQZ132" i="8"/>
  <c r="SQY132" i="8"/>
  <c r="SQX132" i="8"/>
  <c r="SQW132" i="8"/>
  <c r="SQV132" i="8"/>
  <c r="SQU132" i="8"/>
  <c r="SQT132" i="8"/>
  <c r="SQS132" i="8"/>
  <c r="SQR132" i="8"/>
  <c r="SQQ132" i="8"/>
  <c r="SQP132" i="8"/>
  <c r="SQO132" i="8"/>
  <c r="SQN132" i="8"/>
  <c r="SQM132" i="8"/>
  <c r="SQL132" i="8"/>
  <c r="SQK132" i="8"/>
  <c r="SQJ132" i="8"/>
  <c r="SQI132" i="8"/>
  <c r="SQH132" i="8"/>
  <c r="SQG132" i="8"/>
  <c r="SQF132" i="8"/>
  <c r="SQE132" i="8"/>
  <c r="SQD132" i="8"/>
  <c r="SQC132" i="8"/>
  <c r="SQB132" i="8"/>
  <c r="SQA132" i="8"/>
  <c r="SPZ132" i="8"/>
  <c r="SPY132" i="8"/>
  <c r="SPX132" i="8"/>
  <c r="SPW132" i="8"/>
  <c r="SPV132" i="8"/>
  <c r="SPU132" i="8"/>
  <c r="SPT132" i="8"/>
  <c r="SPS132" i="8"/>
  <c r="SPR132" i="8"/>
  <c r="SPQ132" i="8"/>
  <c r="SPP132" i="8"/>
  <c r="SPO132" i="8"/>
  <c r="SPN132" i="8"/>
  <c r="SPM132" i="8"/>
  <c r="SPL132" i="8"/>
  <c r="SPK132" i="8"/>
  <c r="SPJ132" i="8"/>
  <c r="SPI132" i="8"/>
  <c r="SPH132" i="8"/>
  <c r="SPG132" i="8"/>
  <c r="SPF132" i="8"/>
  <c r="SPE132" i="8"/>
  <c r="SPD132" i="8"/>
  <c r="SPC132" i="8"/>
  <c r="SPB132" i="8"/>
  <c r="SPA132" i="8"/>
  <c r="SOZ132" i="8"/>
  <c r="SOY132" i="8"/>
  <c r="SOX132" i="8"/>
  <c r="SOW132" i="8"/>
  <c r="SOV132" i="8"/>
  <c r="SOU132" i="8"/>
  <c r="SOT132" i="8"/>
  <c r="SOS132" i="8"/>
  <c r="SOR132" i="8"/>
  <c r="SOQ132" i="8"/>
  <c r="SOP132" i="8"/>
  <c r="SOO132" i="8"/>
  <c r="SON132" i="8"/>
  <c r="SOM132" i="8"/>
  <c r="SOL132" i="8"/>
  <c r="SOK132" i="8"/>
  <c r="SOJ132" i="8"/>
  <c r="SOI132" i="8"/>
  <c r="SOH132" i="8"/>
  <c r="SOG132" i="8"/>
  <c r="SOF132" i="8"/>
  <c r="SOE132" i="8"/>
  <c r="SOD132" i="8"/>
  <c r="SOC132" i="8"/>
  <c r="SOB132" i="8"/>
  <c r="SOA132" i="8"/>
  <c r="SNZ132" i="8"/>
  <c r="SNY132" i="8"/>
  <c r="SNX132" i="8"/>
  <c r="SNW132" i="8"/>
  <c r="SNV132" i="8"/>
  <c r="SNU132" i="8"/>
  <c r="SNT132" i="8"/>
  <c r="SNS132" i="8"/>
  <c r="SNR132" i="8"/>
  <c r="SNQ132" i="8"/>
  <c r="SNP132" i="8"/>
  <c r="SNO132" i="8"/>
  <c r="SNN132" i="8"/>
  <c r="SNM132" i="8"/>
  <c r="SNL132" i="8"/>
  <c r="SNK132" i="8"/>
  <c r="SNJ132" i="8"/>
  <c r="SNI132" i="8"/>
  <c r="SNH132" i="8"/>
  <c r="SNG132" i="8"/>
  <c r="SNF132" i="8"/>
  <c r="SNE132" i="8"/>
  <c r="SND132" i="8"/>
  <c r="SNC132" i="8"/>
  <c r="SNB132" i="8"/>
  <c r="SNA132" i="8"/>
  <c r="SMZ132" i="8"/>
  <c r="SMY132" i="8"/>
  <c r="SMX132" i="8"/>
  <c r="SMW132" i="8"/>
  <c r="SMV132" i="8"/>
  <c r="SMU132" i="8"/>
  <c r="SMT132" i="8"/>
  <c r="SMS132" i="8"/>
  <c r="SMR132" i="8"/>
  <c r="SMQ132" i="8"/>
  <c r="SMP132" i="8"/>
  <c r="SMO132" i="8"/>
  <c r="SMN132" i="8"/>
  <c r="SMM132" i="8"/>
  <c r="SML132" i="8"/>
  <c r="SMK132" i="8"/>
  <c r="SMJ132" i="8"/>
  <c r="SMI132" i="8"/>
  <c r="SMH132" i="8"/>
  <c r="SMG132" i="8"/>
  <c r="SMF132" i="8"/>
  <c r="SME132" i="8"/>
  <c r="SMD132" i="8"/>
  <c r="SMC132" i="8"/>
  <c r="SMB132" i="8"/>
  <c r="SMA132" i="8"/>
  <c r="SLZ132" i="8"/>
  <c r="SLY132" i="8"/>
  <c r="SLX132" i="8"/>
  <c r="SLW132" i="8"/>
  <c r="SLV132" i="8"/>
  <c r="SLU132" i="8"/>
  <c r="SLT132" i="8"/>
  <c r="SLS132" i="8"/>
  <c r="SLR132" i="8"/>
  <c r="SLQ132" i="8"/>
  <c r="SLP132" i="8"/>
  <c r="SLO132" i="8"/>
  <c r="SLN132" i="8"/>
  <c r="SLM132" i="8"/>
  <c r="SLL132" i="8"/>
  <c r="SLK132" i="8"/>
  <c r="SLJ132" i="8"/>
  <c r="SLI132" i="8"/>
  <c r="SLH132" i="8"/>
  <c r="SLG132" i="8"/>
  <c r="SLF132" i="8"/>
  <c r="SLE132" i="8"/>
  <c r="SLD132" i="8"/>
  <c r="SLC132" i="8"/>
  <c r="SLB132" i="8"/>
  <c r="SLA132" i="8"/>
  <c r="SKZ132" i="8"/>
  <c r="SKY132" i="8"/>
  <c r="SKX132" i="8"/>
  <c r="SKW132" i="8"/>
  <c r="SKV132" i="8"/>
  <c r="SKU132" i="8"/>
  <c r="SKT132" i="8"/>
  <c r="SKS132" i="8"/>
  <c r="SKR132" i="8"/>
  <c r="SKQ132" i="8"/>
  <c r="SKP132" i="8"/>
  <c r="SKO132" i="8"/>
  <c r="SKN132" i="8"/>
  <c r="SKM132" i="8"/>
  <c r="SKL132" i="8"/>
  <c r="SKK132" i="8"/>
  <c r="SKJ132" i="8"/>
  <c r="SKI132" i="8"/>
  <c r="SKH132" i="8"/>
  <c r="SKG132" i="8"/>
  <c r="SKF132" i="8"/>
  <c r="SKE132" i="8"/>
  <c r="SKD132" i="8"/>
  <c r="SKC132" i="8"/>
  <c r="SKB132" i="8"/>
  <c r="SKA132" i="8"/>
  <c r="SJZ132" i="8"/>
  <c r="SJY132" i="8"/>
  <c r="SJX132" i="8"/>
  <c r="SJW132" i="8"/>
  <c r="SJV132" i="8"/>
  <c r="SJU132" i="8"/>
  <c r="SJT132" i="8"/>
  <c r="SJS132" i="8"/>
  <c r="SJR132" i="8"/>
  <c r="SJQ132" i="8"/>
  <c r="SJP132" i="8"/>
  <c r="SJO132" i="8"/>
  <c r="SJN132" i="8"/>
  <c r="SJM132" i="8"/>
  <c r="SJL132" i="8"/>
  <c r="SJK132" i="8"/>
  <c r="SJJ132" i="8"/>
  <c r="SJI132" i="8"/>
  <c r="SJH132" i="8"/>
  <c r="SJG132" i="8"/>
  <c r="SJF132" i="8"/>
  <c r="SJE132" i="8"/>
  <c r="SJD132" i="8"/>
  <c r="SJC132" i="8"/>
  <c r="SJB132" i="8"/>
  <c r="SJA132" i="8"/>
  <c r="SIZ132" i="8"/>
  <c r="SIY132" i="8"/>
  <c r="SIX132" i="8"/>
  <c r="SIW132" i="8"/>
  <c r="SIV132" i="8"/>
  <c r="SIU132" i="8"/>
  <c r="SIT132" i="8"/>
  <c r="SIS132" i="8"/>
  <c r="SIR132" i="8"/>
  <c r="SIQ132" i="8"/>
  <c r="SIP132" i="8"/>
  <c r="SIO132" i="8"/>
  <c r="SIN132" i="8"/>
  <c r="SIM132" i="8"/>
  <c r="SIL132" i="8"/>
  <c r="SIK132" i="8"/>
  <c r="SIJ132" i="8"/>
  <c r="SII132" i="8"/>
  <c r="SIH132" i="8"/>
  <c r="SIG132" i="8"/>
  <c r="SIF132" i="8"/>
  <c r="SIE132" i="8"/>
  <c r="SID132" i="8"/>
  <c r="SIC132" i="8"/>
  <c r="SIB132" i="8"/>
  <c r="SIA132" i="8"/>
  <c r="SHZ132" i="8"/>
  <c r="SHY132" i="8"/>
  <c r="SHX132" i="8"/>
  <c r="SHW132" i="8"/>
  <c r="SHV132" i="8"/>
  <c r="SHU132" i="8"/>
  <c r="SHT132" i="8"/>
  <c r="SHS132" i="8"/>
  <c r="SHR132" i="8"/>
  <c r="SHQ132" i="8"/>
  <c r="SHP132" i="8"/>
  <c r="SHO132" i="8"/>
  <c r="SHN132" i="8"/>
  <c r="SHM132" i="8"/>
  <c r="SHL132" i="8"/>
  <c r="SHK132" i="8"/>
  <c r="SHJ132" i="8"/>
  <c r="SHI132" i="8"/>
  <c r="SHH132" i="8"/>
  <c r="SHG132" i="8"/>
  <c r="SHF132" i="8"/>
  <c r="SHE132" i="8"/>
  <c r="SHD132" i="8"/>
  <c r="SHC132" i="8"/>
  <c r="SHB132" i="8"/>
  <c r="SHA132" i="8"/>
  <c r="SGZ132" i="8"/>
  <c r="SGY132" i="8"/>
  <c r="SGX132" i="8"/>
  <c r="SGW132" i="8"/>
  <c r="SGV132" i="8"/>
  <c r="SGU132" i="8"/>
  <c r="SGT132" i="8"/>
  <c r="SGS132" i="8"/>
  <c r="SGR132" i="8"/>
  <c r="SGQ132" i="8"/>
  <c r="SGP132" i="8"/>
  <c r="SGO132" i="8"/>
  <c r="SGN132" i="8"/>
  <c r="SGM132" i="8"/>
  <c r="SGL132" i="8"/>
  <c r="SGK132" i="8"/>
  <c r="SGJ132" i="8"/>
  <c r="SGI132" i="8"/>
  <c r="SGH132" i="8"/>
  <c r="SGG132" i="8"/>
  <c r="SGF132" i="8"/>
  <c r="SGE132" i="8"/>
  <c r="SGD132" i="8"/>
  <c r="SGC132" i="8"/>
  <c r="SGB132" i="8"/>
  <c r="SGA132" i="8"/>
  <c r="SFZ132" i="8"/>
  <c r="SFY132" i="8"/>
  <c r="SFX132" i="8"/>
  <c r="SFW132" i="8"/>
  <c r="SFV132" i="8"/>
  <c r="SFU132" i="8"/>
  <c r="SFT132" i="8"/>
  <c r="SFS132" i="8"/>
  <c r="SFR132" i="8"/>
  <c r="SFQ132" i="8"/>
  <c r="SFP132" i="8"/>
  <c r="SFO132" i="8"/>
  <c r="SFN132" i="8"/>
  <c r="SFM132" i="8"/>
  <c r="SFL132" i="8"/>
  <c r="SFK132" i="8"/>
  <c r="SFJ132" i="8"/>
  <c r="SFI132" i="8"/>
  <c r="SFH132" i="8"/>
  <c r="SFG132" i="8"/>
  <c r="SFF132" i="8"/>
  <c r="SFE132" i="8"/>
  <c r="SFD132" i="8"/>
  <c r="SFC132" i="8"/>
  <c r="SFB132" i="8"/>
  <c r="SFA132" i="8"/>
  <c r="SEZ132" i="8"/>
  <c r="SEY132" i="8"/>
  <c r="SEX132" i="8"/>
  <c r="SEW132" i="8"/>
  <c r="SEV132" i="8"/>
  <c r="SEU132" i="8"/>
  <c r="SET132" i="8"/>
  <c r="SES132" i="8"/>
  <c r="SER132" i="8"/>
  <c r="SEQ132" i="8"/>
  <c r="SEP132" i="8"/>
  <c r="SEO132" i="8"/>
  <c r="SEN132" i="8"/>
  <c r="SEM132" i="8"/>
  <c r="SEL132" i="8"/>
  <c r="SEK132" i="8"/>
  <c r="SEJ132" i="8"/>
  <c r="SEI132" i="8"/>
  <c r="SEH132" i="8"/>
  <c r="SEG132" i="8"/>
  <c r="SEF132" i="8"/>
  <c r="SEE132" i="8"/>
  <c r="SED132" i="8"/>
  <c r="SEC132" i="8"/>
  <c r="SEB132" i="8"/>
  <c r="SEA132" i="8"/>
  <c r="SDZ132" i="8"/>
  <c r="SDY132" i="8"/>
  <c r="SDX132" i="8"/>
  <c r="SDW132" i="8"/>
  <c r="SDV132" i="8"/>
  <c r="SDU132" i="8"/>
  <c r="SDT132" i="8"/>
  <c r="SDS132" i="8"/>
  <c r="SDR132" i="8"/>
  <c r="SDQ132" i="8"/>
  <c r="SDP132" i="8"/>
  <c r="SDO132" i="8"/>
  <c r="SDN132" i="8"/>
  <c r="SDM132" i="8"/>
  <c r="SDL132" i="8"/>
  <c r="SDK132" i="8"/>
  <c r="SDJ132" i="8"/>
  <c r="SDI132" i="8"/>
  <c r="SDH132" i="8"/>
  <c r="SDG132" i="8"/>
  <c r="SDF132" i="8"/>
  <c r="SDE132" i="8"/>
  <c r="SDD132" i="8"/>
  <c r="SDC132" i="8"/>
  <c r="SDB132" i="8"/>
  <c r="SDA132" i="8"/>
  <c r="SCZ132" i="8"/>
  <c r="SCY132" i="8"/>
  <c r="SCX132" i="8"/>
  <c r="SCW132" i="8"/>
  <c r="SCV132" i="8"/>
  <c r="SCU132" i="8"/>
  <c r="SCT132" i="8"/>
  <c r="SCS132" i="8"/>
  <c r="SCR132" i="8"/>
  <c r="SCQ132" i="8"/>
  <c r="SCP132" i="8"/>
  <c r="SCO132" i="8"/>
  <c r="SCN132" i="8"/>
  <c r="SCM132" i="8"/>
  <c r="SCL132" i="8"/>
  <c r="SCK132" i="8"/>
  <c r="SCJ132" i="8"/>
  <c r="SCI132" i="8"/>
  <c r="SCH132" i="8"/>
  <c r="SCG132" i="8"/>
  <c r="SCF132" i="8"/>
  <c r="SCE132" i="8"/>
  <c r="SCD132" i="8"/>
  <c r="SCC132" i="8"/>
  <c r="SCB132" i="8"/>
  <c r="SCA132" i="8"/>
  <c r="SBZ132" i="8"/>
  <c r="SBY132" i="8"/>
  <c r="SBX132" i="8"/>
  <c r="SBW132" i="8"/>
  <c r="SBV132" i="8"/>
  <c r="SBU132" i="8"/>
  <c r="SBT132" i="8"/>
  <c r="SBS132" i="8"/>
  <c r="SBR132" i="8"/>
  <c r="SBQ132" i="8"/>
  <c r="SBP132" i="8"/>
  <c r="SBO132" i="8"/>
  <c r="SBN132" i="8"/>
  <c r="SBM132" i="8"/>
  <c r="SBL132" i="8"/>
  <c r="SBK132" i="8"/>
  <c r="SBJ132" i="8"/>
  <c r="SBI132" i="8"/>
  <c r="SBH132" i="8"/>
  <c r="SBG132" i="8"/>
  <c r="SBF132" i="8"/>
  <c r="SBE132" i="8"/>
  <c r="SBD132" i="8"/>
  <c r="SBC132" i="8"/>
  <c r="SBB132" i="8"/>
  <c r="SBA132" i="8"/>
  <c r="SAZ132" i="8"/>
  <c r="SAY132" i="8"/>
  <c r="SAX132" i="8"/>
  <c r="SAW132" i="8"/>
  <c r="SAV132" i="8"/>
  <c r="SAU132" i="8"/>
  <c r="SAT132" i="8"/>
  <c r="SAS132" i="8"/>
  <c r="SAR132" i="8"/>
  <c r="SAQ132" i="8"/>
  <c r="SAP132" i="8"/>
  <c r="SAO132" i="8"/>
  <c r="SAN132" i="8"/>
  <c r="SAM132" i="8"/>
  <c r="SAL132" i="8"/>
  <c r="SAK132" i="8"/>
  <c r="SAJ132" i="8"/>
  <c r="SAI132" i="8"/>
  <c r="SAH132" i="8"/>
  <c r="SAG132" i="8"/>
  <c r="SAF132" i="8"/>
  <c r="SAE132" i="8"/>
  <c r="SAD132" i="8"/>
  <c r="SAC132" i="8"/>
  <c r="SAB132" i="8"/>
  <c r="SAA132" i="8"/>
  <c r="RZZ132" i="8"/>
  <c r="RZY132" i="8"/>
  <c r="RZX132" i="8"/>
  <c r="RZW132" i="8"/>
  <c r="RZV132" i="8"/>
  <c r="RZU132" i="8"/>
  <c r="RZT132" i="8"/>
  <c r="RZS132" i="8"/>
  <c r="RZR132" i="8"/>
  <c r="RZQ132" i="8"/>
  <c r="RZP132" i="8"/>
  <c r="RZO132" i="8"/>
  <c r="RZN132" i="8"/>
  <c r="RZM132" i="8"/>
  <c r="RZL132" i="8"/>
  <c r="RZK132" i="8"/>
  <c r="RZJ132" i="8"/>
  <c r="RZI132" i="8"/>
  <c r="RZH132" i="8"/>
  <c r="RZG132" i="8"/>
  <c r="RZF132" i="8"/>
  <c r="RZE132" i="8"/>
  <c r="RZD132" i="8"/>
  <c r="RZC132" i="8"/>
  <c r="RZB132" i="8"/>
  <c r="RZA132" i="8"/>
  <c r="RYZ132" i="8"/>
  <c r="RYY132" i="8"/>
  <c r="RYX132" i="8"/>
  <c r="RYW132" i="8"/>
  <c r="RYV132" i="8"/>
  <c r="RYU132" i="8"/>
  <c r="RYT132" i="8"/>
  <c r="RYS132" i="8"/>
  <c r="RYR132" i="8"/>
  <c r="RYQ132" i="8"/>
  <c r="RYP132" i="8"/>
  <c r="RYO132" i="8"/>
  <c r="RYN132" i="8"/>
  <c r="RYM132" i="8"/>
  <c r="RYL132" i="8"/>
  <c r="RYK132" i="8"/>
  <c r="RYJ132" i="8"/>
  <c r="RYI132" i="8"/>
  <c r="RYH132" i="8"/>
  <c r="RYG132" i="8"/>
  <c r="RYF132" i="8"/>
  <c r="RYE132" i="8"/>
  <c r="RYD132" i="8"/>
  <c r="RYC132" i="8"/>
  <c r="RYB132" i="8"/>
  <c r="RYA132" i="8"/>
  <c r="RXZ132" i="8"/>
  <c r="RXY132" i="8"/>
  <c r="RXX132" i="8"/>
  <c r="RXW132" i="8"/>
  <c r="RXV132" i="8"/>
  <c r="RXU132" i="8"/>
  <c r="RXT132" i="8"/>
  <c r="RXS132" i="8"/>
  <c r="RXR132" i="8"/>
  <c r="RXQ132" i="8"/>
  <c r="RXP132" i="8"/>
  <c r="RXO132" i="8"/>
  <c r="RXN132" i="8"/>
  <c r="RXM132" i="8"/>
  <c r="RXL132" i="8"/>
  <c r="RXK132" i="8"/>
  <c r="RXJ132" i="8"/>
  <c r="RXI132" i="8"/>
  <c r="RXH132" i="8"/>
  <c r="RXG132" i="8"/>
  <c r="RXF132" i="8"/>
  <c r="RXE132" i="8"/>
  <c r="RXD132" i="8"/>
  <c r="RXC132" i="8"/>
  <c r="RXB132" i="8"/>
  <c r="RXA132" i="8"/>
  <c r="RWZ132" i="8"/>
  <c r="RWY132" i="8"/>
  <c r="RWX132" i="8"/>
  <c r="RWW132" i="8"/>
  <c r="RWV132" i="8"/>
  <c r="RWU132" i="8"/>
  <c r="RWT132" i="8"/>
  <c r="RWS132" i="8"/>
  <c r="RWR132" i="8"/>
  <c r="RWQ132" i="8"/>
  <c r="RWP132" i="8"/>
  <c r="RWO132" i="8"/>
  <c r="RWN132" i="8"/>
  <c r="RWM132" i="8"/>
  <c r="RWL132" i="8"/>
  <c r="RWK132" i="8"/>
  <c r="RWJ132" i="8"/>
  <c r="RWI132" i="8"/>
  <c r="RWH132" i="8"/>
  <c r="RWG132" i="8"/>
  <c r="RWF132" i="8"/>
  <c r="RWE132" i="8"/>
  <c r="RWD132" i="8"/>
  <c r="RWC132" i="8"/>
  <c r="RWB132" i="8"/>
  <c r="RWA132" i="8"/>
  <c r="RVZ132" i="8"/>
  <c r="RVY132" i="8"/>
  <c r="RVX132" i="8"/>
  <c r="RVW132" i="8"/>
  <c r="RVV132" i="8"/>
  <c r="RVU132" i="8"/>
  <c r="RVT132" i="8"/>
  <c r="RVS132" i="8"/>
  <c r="RVR132" i="8"/>
  <c r="RVQ132" i="8"/>
  <c r="RVP132" i="8"/>
  <c r="RVO132" i="8"/>
  <c r="RVN132" i="8"/>
  <c r="RVM132" i="8"/>
  <c r="RVL132" i="8"/>
  <c r="RVK132" i="8"/>
  <c r="RVJ132" i="8"/>
  <c r="RVI132" i="8"/>
  <c r="RVH132" i="8"/>
  <c r="RVG132" i="8"/>
  <c r="RVF132" i="8"/>
  <c r="RVE132" i="8"/>
  <c r="RVD132" i="8"/>
  <c r="RVC132" i="8"/>
  <c r="RVB132" i="8"/>
  <c r="RVA132" i="8"/>
  <c r="RUZ132" i="8"/>
  <c r="RUY132" i="8"/>
  <c r="RUX132" i="8"/>
  <c r="RUW132" i="8"/>
  <c r="RUV132" i="8"/>
  <c r="RUU132" i="8"/>
  <c r="RUT132" i="8"/>
  <c r="RUS132" i="8"/>
  <c r="RUR132" i="8"/>
  <c r="RUQ132" i="8"/>
  <c r="RUP132" i="8"/>
  <c r="RUO132" i="8"/>
  <c r="RUN132" i="8"/>
  <c r="RUM132" i="8"/>
  <c r="RUL132" i="8"/>
  <c r="RUK132" i="8"/>
  <c r="RUJ132" i="8"/>
  <c r="RUI132" i="8"/>
  <c r="RUH132" i="8"/>
  <c r="RUG132" i="8"/>
  <c r="RUF132" i="8"/>
  <c r="RUE132" i="8"/>
  <c r="RUD132" i="8"/>
  <c r="RUC132" i="8"/>
  <c r="RUB132" i="8"/>
  <c r="RUA132" i="8"/>
  <c r="RTZ132" i="8"/>
  <c r="RTY132" i="8"/>
  <c r="RTX132" i="8"/>
  <c r="RTW132" i="8"/>
  <c r="RTV132" i="8"/>
  <c r="RTU132" i="8"/>
  <c r="RTT132" i="8"/>
  <c r="RTS132" i="8"/>
  <c r="RTR132" i="8"/>
  <c r="RTQ132" i="8"/>
  <c r="RTP132" i="8"/>
  <c r="RTO132" i="8"/>
  <c r="RTN132" i="8"/>
  <c r="RTM132" i="8"/>
  <c r="RTL132" i="8"/>
  <c r="RTK132" i="8"/>
  <c r="RTJ132" i="8"/>
  <c r="RTI132" i="8"/>
  <c r="RTH132" i="8"/>
  <c r="RTG132" i="8"/>
  <c r="RTF132" i="8"/>
  <c r="RTE132" i="8"/>
  <c r="RTD132" i="8"/>
  <c r="RTC132" i="8"/>
  <c r="RTB132" i="8"/>
  <c r="RTA132" i="8"/>
  <c r="RSZ132" i="8"/>
  <c r="RSY132" i="8"/>
  <c r="RSX132" i="8"/>
  <c r="RSW132" i="8"/>
  <c r="RSV132" i="8"/>
  <c r="RSU132" i="8"/>
  <c r="RST132" i="8"/>
  <c r="RSS132" i="8"/>
  <c r="RSR132" i="8"/>
  <c r="RSQ132" i="8"/>
  <c r="RSP132" i="8"/>
  <c r="RSO132" i="8"/>
  <c r="RSN132" i="8"/>
  <c r="RSM132" i="8"/>
  <c r="RSL132" i="8"/>
  <c r="RSK132" i="8"/>
  <c r="RSJ132" i="8"/>
  <c r="RSI132" i="8"/>
  <c r="RSH132" i="8"/>
  <c r="RSG132" i="8"/>
  <c r="RSF132" i="8"/>
  <c r="RSE132" i="8"/>
  <c r="RSD132" i="8"/>
  <c r="RSC132" i="8"/>
  <c r="RSB132" i="8"/>
  <c r="RSA132" i="8"/>
  <c r="RRZ132" i="8"/>
  <c r="RRY132" i="8"/>
  <c r="RRX132" i="8"/>
  <c r="RRW132" i="8"/>
  <c r="RRV132" i="8"/>
  <c r="RRU132" i="8"/>
  <c r="RRT132" i="8"/>
  <c r="RRS132" i="8"/>
  <c r="RRR132" i="8"/>
  <c r="RRQ132" i="8"/>
  <c r="RRP132" i="8"/>
  <c r="RRO132" i="8"/>
  <c r="RRN132" i="8"/>
  <c r="RRM132" i="8"/>
  <c r="RRL132" i="8"/>
  <c r="RRK132" i="8"/>
  <c r="RRJ132" i="8"/>
  <c r="RRI132" i="8"/>
  <c r="RRH132" i="8"/>
  <c r="RRG132" i="8"/>
  <c r="RRF132" i="8"/>
  <c r="RRE132" i="8"/>
  <c r="RRD132" i="8"/>
  <c r="RRC132" i="8"/>
  <c r="RRB132" i="8"/>
  <c r="RRA132" i="8"/>
  <c r="RQZ132" i="8"/>
  <c r="RQY132" i="8"/>
  <c r="RQX132" i="8"/>
  <c r="RQW132" i="8"/>
  <c r="RQV132" i="8"/>
  <c r="RQU132" i="8"/>
  <c r="RQT132" i="8"/>
  <c r="RQS132" i="8"/>
  <c r="RQR132" i="8"/>
  <c r="RQQ132" i="8"/>
  <c r="RQP132" i="8"/>
  <c r="RQO132" i="8"/>
  <c r="RQN132" i="8"/>
  <c r="RQM132" i="8"/>
  <c r="RQL132" i="8"/>
  <c r="RQK132" i="8"/>
  <c r="RQJ132" i="8"/>
  <c r="RQI132" i="8"/>
  <c r="RQH132" i="8"/>
  <c r="RQG132" i="8"/>
  <c r="RQF132" i="8"/>
  <c r="RQE132" i="8"/>
  <c r="RQD132" i="8"/>
  <c r="RQC132" i="8"/>
  <c r="RQB132" i="8"/>
  <c r="RQA132" i="8"/>
  <c r="RPZ132" i="8"/>
  <c r="RPY132" i="8"/>
  <c r="RPX132" i="8"/>
  <c r="RPW132" i="8"/>
  <c r="RPV132" i="8"/>
  <c r="RPU132" i="8"/>
  <c r="RPT132" i="8"/>
  <c r="RPS132" i="8"/>
  <c r="RPR132" i="8"/>
  <c r="RPQ132" i="8"/>
  <c r="RPP132" i="8"/>
  <c r="RPO132" i="8"/>
  <c r="RPN132" i="8"/>
  <c r="RPM132" i="8"/>
  <c r="RPL132" i="8"/>
  <c r="RPK132" i="8"/>
  <c r="RPJ132" i="8"/>
  <c r="RPI132" i="8"/>
  <c r="RPH132" i="8"/>
  <c r="RPG132" i="8"/>
  <c r="RPF132" i="8"/>
  <c r="RPE132" i="8"/>
  <c r="RPD132" i="8"/>
  <c r="RPC132" i="8"/>
  <c r="RPB132" i="8"/>
  <c r="RPA132" i="8"/>
  <c r="ROZ132" i="8"/>
  <c r="ROY132" i="8"/>
  <c r="ROX132" i="8"/>
  <c r="ROW132" i="8"/>
  <c r="ROV132" i="8"/>
  <c r="ROU132" i="8"/>
  <c r="ROT132" i="8"/>
  <c r="ROS132" i="8"/>
  <c r="ROR132" i="8"/>
  <c r="ROQ132" i="8"/>
  <c r="ROP132" i="8"/>
  <c r="ROO132" i="8"/>
  <c r="RON132" i="8"/>
  <c r="ROM132" i="8"/>
  <c r="ROL132" i="8"/>
  <c r="ROK132" i="8"/>
  <c r="ROJ132" i="8"/>
  <c r="ROI132" i="8"/>
  <c r="ROH132" i="8"/>
  <c r="ROG132" i="8"/>
  <c r="ROF132" i="8"/>
  <c r="ROE132" i="8"/>
  <c r="ROD132" i="8"/>
  <c r="ROC132" i="8"/>
  <c r="ROB132" i="8"/>
  <c r="ROA132" i="8"/>
  <c r="RNZ132" i="8"/>
  <c r="RNY132" i="8"/>
  <c r="RNX132" i="8"/>
  <c r="RNW132" i="8"/>
  <c r="RNV132" i="8"/>
  <c r="RNU132" i="8"/>
  <c r="RNT132" i="8"/>
  <c r="RNS132" i="8"/>
  <c r="RNR132" i="8"/>
  <c r="RNQ132" i="8"/>
  <c r="RNP132" i="8"/>
  <c r="RNO132" i="8"/>
  <c r="RNN132" i="8"/>
  <c r="RNM132" i="8"/>
  <c r="RNL132" i="8"/>
  <c r="RNK132" i="8"/>
  <c r="RNJ132" i="8"/>
  <c r="RNI132" i="8"/>
  <c r="RNH132" i="8"/>
  <c r="RNG132" i="8"/>
  <c r="RNF132" i="8"/>
  <c r="RNE132" i="8"/>
  <c r="RND132" i="8"/>
  <c r="RNC132" i="8"/>
  <c r="RNB132" i="8"/>
  <c r="RNA132" i="8"/>
  <c r="RMZ132" i="8"/>
  <c r="RMY132" i="8"/>
  <c r="RMX132" i="8"/>
  <c r="RMW132" i="8"/>
  <c r="RMV132" i="8"/>
  <c r="RMU132" i="8"/>
  <c r="RMT132" i="8"/>
  <c r="RMS132" i="8"/>
  <c r="RMR132" i="8"/>
  <c r="RMQ132" i="8"/>
  <c r="RMP132" i="8"/>
  <c r="RMO132" i="8"/>
  <c r="RMN132" i="8"/>
  <c r="RMM132" i="8"/>
  <c r="RML132" i="8"/>
  <c r="RMK132" i="8"/>
  <c r="RMJ132" i="8"/>
  <c r="RMI132" i="8"/>
  <c r="RMH132" i="8"/>
  <c r="RMG132" i="8"/>
  <c r="RMF132" i="8"/>
  <c r="RME132" i="8"/>
  <c r="RMD132" i="8"/>
  <c r="RMC132" i="8"/>
  <c r="RMB132" i="8"/>
  <c r="RMA132" i="8"/>
  <c r="RLZ132" i="8"/>
  <c r="RLY132" i="8"/>
  <c r="RLX132" i="8"/>
  <c r="RLW132" i="8"/>
  <c r="RLV132" i="8"/>
  <c r="RLU132" i="8"/>
  <c r="RLT132" i="8"/>
  <c r="RLS132" i="8"/>
  <c r="RLR132" i="8"/>
  <c r="RLQ132" i="8"/>
  <c r="RLP132" i="8"/>
  <c r="RLO132" i="8"/>
  <c r="RLN132" i="8"/>
  <c r="RLM132" i="8"/>
  <c r="RLL132" i="8"/>
  <c r="RLK132" i="8"/>
  <c r="RLJ132" i="8"/>
  <c r="RLI132" i="8"/>
  <c r="RLH132" i="8"/>
  <c r="RLG132" i="8"/>
  <c r="RLF132" i="8"/>
  <c r="RLE132" i="8"/>
  <c r="RLD132" i="8"/>
  <c r="RLC132" i="8"/>
  <c r="RLB132" i="8"/>
  <c r="RLA132" i="8"/>
  <c r="RKZ132" i="8"/>
  <c r="RKY132" i="8"/>
  <c r="RKX132" i="8"/>
  <c r="RKW132" i="8"/>
  <c r="RKV132" i="8"/>
  <c r="RKU132" i="8"/>
  <c r="RKT132" i="8"/>
  <c r="RKS132" i="8"/>
  <c r="RKR132" i="8"/>
  <c r="RKQ132" i="8"/>
  <c r="RKP132" i="8"/>
  <c r="RKO132" i="8"/>
  <c r="RKN132" i="8"/>
  <c r="RKM132" i="8"/>
  <c r="RKL132" i="8"/>
  <c r="RKK132" i="8"/>
  <c r="RKJ132" i="8"/>
  <c r="RKI132" i="8"/>
  <c r="RKH132" i="8"/>
  <c r="RKG132" i="8"/>
  <c r="RKF132" i="8"/>
  <c r="RKE132" i="8"/>
  <c r="RKD132" i="8"/>
  <c r="RKC132" i="8"/>
  <c r="RKB132" i="8"/>
  <c r="RKA132" i="8"/>
  <c r="RJZ132" i="8"/>
  <c r="RJY132" i="8"/>
  <c r="RJX132" i="8"/>
  <c r="RJW132" i="8"/>
  <c r="RJV132" i="8"/>
  <c r="RJU132" i="8"/>
  <c r="RJT132" i="8"/>
  <c r="RJS132" i="8"/>
  <c r="RJR132" i="8"/>
  <c r="RJQ132" i="8"/>
  <c r="RJP132" i="8"/>
  <c r="RJO132" i="8"/>
  <c r="RJN132" i="8"/>
  <c r="RJM132" i="8"/>
  <c r="RJL132" i="8"/>
  <c r="RJK132" i="8"/>
  <c r="RJJ132" i="8"/>
  <c r="RJI132" i="8"/>
  <c r="RJH132" i="8"/>
  <c r="RJG132" i="8"/>
  <c r="RJF132" i="8"/>
  <c r="RJE132" i="8"/>
  <c r="RJD132" i="8"/>
  <c r="RJC132" i="8"/>
  <c r="RJB132" i="8"/>
  <c r="RJA132" i="8"/>
  <c r="RIZ132" i="8"/>
  <c r="RIY132" i="8"/>
  <c r="RIX132" i="8"/>
  <c r="RIW132" i="8"/>
  <c r="RIV132" i="8"/>
  <c r="RIU132" i="8"/>
  <c r="RIT132" i="8"/>
  <c r="RIS132" i="8"/>
  <c r="RIR132" i="8"/>
  <c r="RIQ132" i="8"/>
  <c r="RIP132" i="8"/>
  <c r="RIO132" i="8"/>
  <c r="RIN132" i="8"/>
  <c r="RIM132" i="8"/>
  <c r="RIL132" i="8"/>
  <c r="RIK132" i="8"/>
  <c r="RIJ132" i="8"/>
  <c r="RII132" i="8"/>
  <c r="RIH132" i="8"/>
  <c r="RIG132" i="8"/>
  <c r="RIF132" i="8"/>
  <c r="RIE132" i="8"/>
  <c r="RID132" i="8"/>
  <c r="RIC132" i="8"/>
  <c r="RIB132" i="8"/>
  <c r="RIA132" i="8"/>
  <c r="RHZ132" i="8"/>
  <c r="RHY132" i="8"/>
  <c r="RHX132" i="8"/>
  <c r="RHW132" i="8"/>
  <c r="RHV132" i="8"/>
  <c r="RHU132" i="8"/>
  <c r="RHT132" i="8"/>
  <c r="RHS132" i="8"/>
  <c r="RHR132" i="8"/>
  <c r="RHQ132" i="8"/>
  <c r="RHP132" i="8"/>
  <c r="RHO132" i="8"/>
  <c r="RHN132" i="8"/>
  <c r="RHM132" i="8"/>
  <c r="RHL132" i="8"/>
  <c r="RHK132" i="8"/>
  <c r="RHJ132" i="8"/>
  <c r="RHI132" i="8"/>
  <c r="RHH132" i="8"/>
  <c r="RHG132" i="8"/>
  <c r="RHF132" i="8"/>
  <c r="RHE132" i="8"/>
  <c r="RHD132" i="8"/>
  <c r="RHC132" i="8"/>
  <c r="RHB132" i="8"/>
  <c r="RHA132" i="8"/>
  <c r="RGZ132" i="8"/>
  <c r="RGY132" i="8"/>
  <c r="RGX132" i="8"/>
  <c r="RGW132" i="8"/>
  <c r="RGV132" i="8"/>
  <c r="RGU132" i="8"/>
  <c r="RGT132" i="8"/>
  <c r="RGS132" i="8"/>
  <c r="RGR132" i="8"/>
  <c r="RGQ132" i="8"/>
  <c r="RGP132" i="8"/>
  <c r="RGO132" i="8"/>
  <c r="RGN132" i="8"/>
  <c r="RGM132" i="8"/>
  <c r="RGL132" i="8"/>
  <c r="RGK132" i="8"/>
  <c r="RGJ132" i="8"/>
  <c r="RGI132" i="8"/>
  <c r="RGH132" i="8"/>
  <c r="RGG132" i="8"/>
  <c r="RGF132" i="8"/>
  <c r="RGE132" i="8"/>
  <c r="RGD132" i="8"/>
  <c r="RGC132" i="8"/>
  <c r="RGB132" i="8"/>
  <c r="RGA132" i="8"/>
  <c r="RFZ132" i="8"/>
  <c r="RFY132" i="8"/>
  <c r="RFX132" i="8"/>
  <c r="RFW132" i="8"/>
  <c r="RFV132" i="8"/>
  <c r="RFU132" i="8"/>
  <c r="RFT132" i="8"/>
  <c r="RFS132" i="8"/>
  <c r="RFR132" i="8"/>
  <c r="RFQ132" i="8"/>
  <c r="RFP132" i="8"/>
  <c r="RFO132" i="8"/>
  <c r="RFN132" i="8"/>
  <c r="RFM132" i="8"/>
  <c r="RFL132" i="8"/>
  <c r="RFK132" i="8"/>
  <c r="RFJ132" i="8"/>
  <c r="RFI132" i="8"/>
  <c r="RFH132" i="8"/>
  <c r="RFG132" i="8"/>
  <c r="RFF132" i="8"/>
  <c r="RFE132" i="8"/>
  <c r="RFD132" i="8"/>
  <c r="RFC132" i="8"/>
  <c r="RFB132" i="8"/>
  <c r="RFA132" i="8"/>
  <c r="REZ132" i="8"/>
  <c r="REY132" i="8"/>
  <c r="REX132" i="8"/>
  <c r="REW132" i="8"/>
  <c r="REV132" i="8"/>
  <c r="REU132" i="8"/>
  <c r="RET132" i="8"/>
  <c r="RES132" i="8"/>
  <c r="RER132" i="8"/>
  <c r="REQ132" i="8"/>
  <c r="REP132" i="8"/>
  <c r="REO132" i="8"/>
  <c r="REN132" i="8"/>
  <c r="REM132" i="8"/>
  <c r="REL132" i="8"/>
  <c r="REK132" i="8"/>
  <c r="REJ132" i="8"/>
  <c r="REI132" i="8"/>
  <c r="REH132" i="8"/>
  <c r="REG132" i="8"/>
  <c r="REF132" i="8"/>
  <c r="REE132" i="8"/>
  <c r="RED132" i="8"/>
  <c r="REC132" i="8"/>
  <c r="REB132" i="8"/>
  <c r="REA132" i="8"/>
  <c r="RDZ132" i="8"/>
  <c r="RDY132" i="8"/>
  <c r="RDX132" i="8"/>
  <c r="RDW132" i="8"/>
  <c r="RDV132" i="8"/>
  <c r="RDU132" i="8"/>
  <c r="RDT132" i="8"/>
  <c r="RDS132" i="8"/>
  <c r="RDR132" i="8"/>
  <c r="RDQ132" i="8"/>
  <c r="RDP132" i="8"/>
  <c r="RDO132" i="8"/>
  <c r="RDN132" i="8"/>
  <c r="RDM132" i="8"/>
  <c r="RDL132" i="8"/>
  <c r="RDK132" i="8"/>
  <c r="RDJ132" i="8"/>
  <c r="RDI132" i="8"/>
  <c r="RDH132" i="8"/>
  <c r="RDG132" i="8"/>
  <c r="RDF132" i="8"/>
  <c r="RDE132" i="8"/>
  <c r="RDD132" i="8"/>
  <c r="RDC132" i="8"/>
  <c r="RDB132" i="8"/>
  <c r="RDA132" i="8"/>
  <c r="RCZ132" i="8"/>
  <c r="RCY132" i="8"/>
  <c r="RCX132" i="8"/>
  <c r="RCW132" i="8"/>
  <c r="RCV132" i="8"/>
  <c r="RCU132" i="8"/>
  <c r="RCT132" i="8"/>
  <c r="RCS132" i="8"/>
  <c r="RCR132" i="8"/>
  <c r="RCQ132" i="8"/>
  <c r="RCP132" i="8"/>
  <c r="RCO132" i="8"/>
  <c r="RCN132" i="8"/>
  <c r="RCM132" i="8"/>
  <c r="RCL132" i="8"/>
  <c r="RCK132" i="8"/>
  <c r="RCJ132" i="8"/>
  <c r="RCI132" i="8"/>
  <c r="RCH132" i="8"/>
  <c r="RCG132" i="8"/>
  <c r="RCF132" i="8"/>
  <c r="RCE132" i="8"/>
  <c r="RCD132" i="8"/>
  <c r="RCC132" i="8"/>
  <c r="RCB132" i="8"/>
  <c r="RCA132" i="8"/>
  <c r="RBZ132" i="8"/>
  <c r="RBY132" i="8"/>
  <c r="RBX132" i="8"/>
  <c r="RBW132" i="8"/>
  <c r="RBV132" i="8"/>
  <c r="RBU132" i="8"/>
  <c r="RBT132" i="8"/>
  <c r="RBS132" i="8"/>
  <c r="RBR132" i="8"/>
  <c r="RBQ132" i="8"/>
  <c r="RBP132" i="8"/>
  <c r="RBO132" i="8"/>
  <c r="RBN132" i="8"/>
  <c r="RBM132" i="8"/>
  <c r="RBL132" i="8"/>
  <c r="RBK132" i="8"/>
  <c r="RBJ132" i="8"/>
  <c r="RBI132" i="8"/>
  <c r="RBH132" i="8"/>
  <c r="RBG132" i="8"/>
  <c r="RBF132" i="8"/>
  <c r="RBE132" i="8"/>
  <c r="RBD132" i="8"/>
  <c r="RBC132" i="8"/>
  <c r="RBB132" i="8"/>
  <c r="RBA132" i="8"/>
  <c r="RAZ132" i="8"/>
  <c r="RAY132" i="8"/>
  <c r="RAX132" i="8"/>
  <c r="RAW132" i="8"/>
  <c r="RAV132" i="8"/>
  <c r="RAU132" i="8"/>
  <c r="RAT132" i="8"/>
  <c r="RAS132" i="8"/>
  <c r="RAR132" i="8"/>
  <c r="RAQ132" i="8"/>
  <c r="RAP132" i="8"/>
  <c r="RAO132" i="8"/>
  <c r="RAN132" i="8"/>
  <c r="RAM132" i="8"/>
  <c r="RAL132" i="8"/>
  <c r="RAK132" i="8"/>
  <c r="RAJ132" i="8"/>
  <c r="RAI132" i="8"/>
  <c r="RAH132" i="8"/>
  <c r="RAG132" i="8"/>
  <c r="RAF132" i="8"/>
  <c r="RAE132" i="8"/>
  <c r="RAD132" i="8"/>
  <c r="RAC132" i="8"/>
  <c r="RAB132" i="8"/>
  <c r="RAA132" i="8"/>
  <c r="QZZ132" i="8"/>
  <c r="QZY132" i="8"/>
  <c r="QZX132" i="8"/>
  <c r="QZW132" i="8"/>
  <c r="QZV132" i="8"/>
  <c r="QZU132" i="8"/>
  <c r="QZT132" i="8"/>
  <c r="QZS132" i="8"/>
  <c r="QZR132" i="8"/>
  <c r="QZQ132" i="8"/>
  <c r="QZP132" i="8"/>
  <c r="QZO132" i="8"/>
  <c r="QZN132" i="8"/>
  <c r="QZM132" i="8"/>
  <c r="QZL132" i="8"/>
  <c r="QZK132" i="8"/>
  <c r="QZJ132" i="8"/>
  <c r="QZI132" i="8"/>
  <c r="QZH132" i="8"/>
  <c r="QZG132" i="8"/>
  <c r="QZF132" i="8"/>
  <c r="QZE132" i="8"/>
  <c r="QZD132" i="8"/>
  <c r="QZC132" i="8"/>
  <c r="QZB132" i="8"/>
  <c r="QZA132" i="8"/>
  <c r="QYZ132" i="8"/>
  <c r="QYY132" i="8"/>
  <c r="QYX132" i="8"/>
  <c r="QYW132" i="8"/>
  <c r="QYV132" i="8"/>
  <c r="QYU132" i="8"/>
  <c r="QYT132" i="8"/>
  <c r="QYS132" i="8"/>
  <c r="QYR132" i="8"/>
  <c r="QYQ132" i="8"/>
  <c r="QYP132" i="8"/>
  <c r="QYO132" i="8"/>
  <c r="QYN132" i="8"/>
  <c r="QYM132" i="8"/>
  <c r="QYL132" i="8"/>
  <c r="QYK132" i="8"/>
  <c r="QYJ132" i="8"/>
  <c r="QYI132" i="8"/>
  <c r="QYH132" i="8"/>
  <c r="QYG132" i="8"/>
  <c r="QYF132" i="8"/>
  <c r="QYE132" i="8"/>
  <c r="QYD132" i="8"/>
  <c r="QYC132" i="8"/>
  <c r="QYB132" i="8"/>
  <c r="QYA132" i="8"/>
  <c r="QXZ132" i="8"/>
  <c r="QXY132" i="8"/>
  <c r="QXX132" i="8"/>
  <c r="QXW132" i="8"/>
  <c r="QXV132" i="8"/>
  <c r="QXU132" i="8"/>
  <c r="QXT132" i="8"/>
  <c r="QXS132" i="8"/>
  <c r="QXR132" i="8"/>
  <c r="QXQ132" i="8"/>
  <c r="QXP132" i="8"/>
  <c r="QXO132" i="8"/>
  <c r="QXN132" i="8"/>
  <c r="QXM132" i="8"/>
  <c r="QXL132" i="8"/>
  <c r="QXK132" i="8"/>
  <c r="QXJ132" i="8"/>
  <c r="QXI132" i="8"/>
  <c r="QXH132" i="8"/>
  <c r="QXG132" i="8"/>
  <c r="QXF132" i="8"/>
  <c r="QXE132" i="8"/>
  <c r="QXD132" i="8"/>
  <c r="QXC132" i="8"/>
  <c r="QXB132" i="8"/>
  <c r="QXA132" i="8"/>
  <c r="QWZ132" i="8"/>
  <c r="QWY132" i="8"/>
  <c r="QWX132" i="8"/>
  <c r="QWW132" i="8"/>
  <c r="QWV132" i="8"/>
  <c r="QWU132" i="8"/>
  <c r="QWT132" i="8"/>
  <c r="QWS132" i="8"/>
  <c r="QWR132" i="8"/>
  <c r="QWQ132" i="8"/>
  <c r="QWP132" i="8"/>
  <c r="QWO132" i="8"/>
  <c r="QWN132" i="8"/>
  <c r="QWM132" i="8"/>
  <c r="QWL132" i="8"/>
  <c r="QWK132" i="8"/>
  <c r="QWJ132" i="8"/>
  <c r="QWI132" i="8"/>
  <c r="QWH132" i="8"/>
  <c r="QWG132" i="8"/>
  <c r="QWF132" i="8"/>
  <c r="QWE132" i="8"/>
  <c r="QWD132" i="8"/>
  <c r="QWC132" i="8"/>
  <c r="QWB132" i="8"/>
  <c r="QWA132" i="8"/>
  <c r="QVZ132" i="8"/>
  <c r="QVY132" i="8"/>
  <c r="QVX132" i="8"/>
  <c r="QVW132" i="8"/>
  <c r="QVV132" i="8"/>
  <c r="QVU132" i="8"/>
  <c r="QVT132" i="8"/>
  <c r="QVS132" i="8"/>
  <c r="QVR132" i="8"/>
  <c r="QVQ132" i="8"/>
  <c r="QVP132" i="8"/>
  <c r="QVO132" i="8"/>
  <c r="QVN132" i="8"/>
  <c r="QVM132" i="8"/>
  <c r="QVL132" i="8"/>
  <c r="QVK132" i="8"/>
  <c r="QVJ132" i="8"/>
  <c r="QVI132" i="8"/>
  <c r="QVH132" i="8"/>
  <c r="QVG132" i="8"/>
  <c r="QVF132" i="8"/>
  <c r="QVE132" i="8"/>
  <c r="QVD132" i="8"/>
  <c r="QVC132" i="8"/>
  <c r="QVB132" i="8"/>
  <c r="QVA132" i="8"/>
  <c r="QUZ132" i="8"/>
  <c r="QUY132" i="8"/>
  <c r="QUX132" i="8"/>
  <c r="QUW132" i="8"/>
  <c r="QUV132" i="8"/>
  <c r="QUU132" i="8"/>
  <c r="QUT132" i="8"/>
  <c r="QUS132" i="8"/>
  <c r="QUR132" i="8"/>
  <c r="QUQ132" i="8"/>
  <c r="QUP132" i="8"/>
  <c r="QUO132" i="8"/>
  <c r="QUN132" i="8"/>
  <c r="QUM132" i="8"/>
  <c r="QUL132" i="8"/>
  <c r="QUK132" i="8"/>
  <c r="QUJ132" i="8"/>
  <c r="QUI132" i="8"/>
  <c r="QUH132" i="8"/>
  <c r="QUG132" i="8"/>
  <c r="QUF132" i="8"/>
  <c r="QUE132" i="8"/>
  <c r="QUD132" i="8"/>
  <c r="QUC132" i="8"/>
  <c r="QUB132" i="8"/>
  <c r="QUA132" i="8"/>
  <c r="QTZ132" i="8"/>
  <c r="QTY132" i="8"/>
  <c r="QTX132" i="8"/>
  <c r="QTW132" i="8"/>
  <c r="QTV132" i="8"/>
  <c r="QTU132" i="8"/>
  <c r="QTT132" i="8"/>
  <c r="QTS132" i="8"/>
  <c r="QTR132" i="8"/>
  <c r="QTQ132" i="8"/>
  <c r="QTP132" i="8"/>
  <c r="QTO132" i="8"/>
  <c r="QTN132" i="8"/>
  <c r="QTM132" i="8"/>
  <c r="QTL132" i="8"/>
  <c r="QTK132" i="8"/>
  <c r="QTJ132" i="8"/>
  <c r="QTI132" i="8"/>
  <c r="QTH132" i="8"/>
  <c r="QTG132" i="8"/>
  <c r="QTF132" i="8"/>
  <c r="QTE132" i="8"/>
  <c r="QTD132" i="8"/>
  <c r="QTC132" i="8"/>
  <c r="QTB132" i="8"/>
  <c r="QTA132" i="8"/>
  <c r="QSZ132" i="8"/>
  <c r="QSY132" i="8"/>
  <c r="QSX132" i="8"/>
  <c r="QSW132" i="8"/>
  <c r="QSV132" i="8"/>
  <c r="QSU132" i="8"/>
  <c r="QST132" i="8"/>
  <c r="QSS132" i="8"/>
  <c r="QSR132" i="8"/>
  <c r="QSQ132" i="8"/>
  <c r="QSP132" i="8"/>
  <c r="QSO132" i="8"/>
  <c r="QSN132" i="8"/>
  <c r="QSM132" i="8"/>
  <c r="QSL132" i="8"/>
  <c r="QSK132" i="8"/>
  <c r="QSJ132" i="8"/>
  <c r="QSI132" i="8"/>
  <c r="QSH132" i="8"/>
  <c r="QSG132" i="8"/>
  <c r="QSF132" i="8"/>
  <c r="QSE132" i="8"/>
  <c r="QSD132" i="8"/>
  <c r="QSC132" i="8"/>
  <c r="QSB132" i="8"/>
  <c r="QSA132" i="8"/>
  <c r="QRZ132" i="8"/>
  <c r="QRY132" i="8"/>
  <c r="QRX132" i="8"/>
  <c r="QRW132" i="8"/>
  <c r="QRV132" i="8"/>
  <c r="QRU132" i="8"/>
  <c r="QRT132" i="8"/>
  <c r="QRS132" i="8"/>
  <c r="QRR132" i="8"/>
  <c r="QRQ132" i="8"/>
  <c r="QRP132" i="8"/>
  <c r="QRO132" i="8"/>
  <c r="QRN132" i="8"/>
  <c r="QRM132" i="8"/>
  <c r="QRL132" i="8"/>
  <c r="QRK132" i="8"/>
  <c r="QRJ132" i="8"/>
  <c r="QRI132" i="8"/>
  <c r="QRH132" i="8"/>
  <c r="QRG132" i="8"/>
  <c r="QRF132" i="8"/>
  <c r="QRE132" i="8"/>
  <c r="QRD132" i="8"/>
  <c r="QRC132" i="8"/>
  <c r="QRB132" i="8"/>
  <c r="QRA132" i="8"/>
  <c r="QQZ132" i="8"/>
  <c r="QQY132" i="8"/>
  <c r="QQX132" i="8"/>
  <c r="QQW132" i="8"/>
  <c r="QQV132" i="8"/>
  <c r="QQU132" i="8"/>
  <c r="QQT132" i="8"/>
  <c r="QQS132" i="8"/>
  <c r="QQR132" i="8"/>
  <c r="QQQ132" i="8"/>
  <c r="QQP132" i="8"/>
  <c r="QQO132" i="8"/>
  <c r="QQN132" i="8"/>
  <c r="QQM132" i="8"/>
  <c r="QQL132" i="8"/>
  <c r="QQK132" i="8"/>
  <c r="QQJ132" i="8"/>
  <c r="QQI132" i="8"/>
  <c r="QQH132" i="8"/>
  <c r="QQG132" i="8"/>
  <c r="QQF132" i="8"/>
  <c r="QQE132" i="8"/>
  <c r="QQD132" i="8"/>
  <c r="QQC132" i="8"/>
  <c r="QQB132" i="8"/>
  <c r="QQA132" i="8"/>
  <c r="QPZ132" i="8"/>
  <c r="QPY132" i="8"/>
  <c r="QPX132" i="8"/>
  <c r="QPW132" i="8"/>
  <c r="QPV132" i="8"/>
  <c r="QPU132" i="8"/>
  <c r="QPT132" i="8"/>
  <c r="QPS132" i="8"/>
  <c r="QPR132" i="8"/>
  <c r="QPQ132" i="8"/>
  <c r="QPP132" i="8"/>
  <c r="QPO132" i="8"/>
  <c r="QPN132" i="8"/>
  <c r="QPM132" i="8"/>
  <c r="QPL132" i="8"/>
  <c r="QPK132" i="8"/>
  <c r="QPJ132" i="8"/>
  <c r="QPI132" i="8"/>
  <c r="QPH132" i="8"/>
  <c r="QPG132" i="8"/>
  <c r="QPF132" i="8"/>
  <c r="QPE132" i="8"/>
  <c r="QPD132" i="8"/>
  <c r="QPC132" i="8"/>
  <c r="QPB132" i="8"/>
  <c r="QPA132" i="8"/>
  <c r="QOZ132" i="8"/>
  <c r="QOY132" i="8"/>
  <c r="QOX132" i="8"/>
  <c r="QOW132" i="8"/>
  <c r="QOV132" i="8"/>
  <c r="QOU132" i="8"/>
  <c r="QOT132" i="8"/>
  <c r="QOS132" i="8"/>
  <c r="QOR132" i="8"/>
  <c r="QOQ132" i="8"/>
  <c r="QOP132" i="8"/>
  <c r="QOO132" i="8"/>
  <c r="QON132" i="8"/>
  <c r="QOM132" i="8"/>
  <c r="QOL132" i="8"/>
  <c r="QOK132" i="8"/>
  <c r="QOJ132" i="8"/>
  <c r="QOI132" i="8"/>
  <c r="QOH132" i="8"/>
  <c r="QOG132" i="8"/>
  <c r="QOF132" i="8"/>
  <c r="QOE132" i="8"/>
  <c r="QOD132" i="8"/>
  <c r="QOC132" i="8"/>
  <c r="QOB132" i="8"/>
  <c r="QOA132" i="8"/>
  <c r="QNZ132" i="8"/>
  <c r="QNY132" i="8"/>
  <c r="QNX132" i="8"/>
  <c r="QNW132" i="8"/>
  <c r="QNV132" i="8"/>
  <c r="QNU132" i="8"/>
  <c r="QNT132" i="8"/>
  <c r="QNS132" i="8"/>
  <c r="QNR132" i="8"/>
  <c r="QNQ132" i="8"/>
  <c r="QNP132" i="8"/>
  <c r="QNO132" i="8"/>
  <c r="QNN132" i="8"/>
  <c r="QNM132" i="8"/>
  <c r="QNL132" i="8"/>
  <c r="QNK132" i="8"/>
  <c r="QNJ132" i="8"/>
  <c r="QNI132" i="8"/>
  <c r="QNH132" i="8"/>
  <c r="QNG132" i="8"/>
  <c r="QNF132" i="8"/>
  <c r="QNE132" i="8"/>
  <c r="QND132" i="8"/>
  <c r="QNC132" i="8"/>
  <c r="QNB132" i="8"/>
  <c r="QNA132" i="8"/>
  <c r="QMZ132" i="8"/>
  <c r="QMY132" i="8"/>
  <c r="QMX132" i="8"/>
  <c r="QMW132" i="8"/>
  <c r="QMV132" i="8"/>
  <c r="QMU132" i="8"/>
  <c r="QMT132" i="8"/>
  <c r="QMS132" i="8"/>
  <c r="QMR132" i="8"/>
  <c r="QMQ132" i="8"/>
  <c r="QMP132" i="8"/>
  <c r="QMO132" i="8"/>
  <c r="QMN132" i="8"/>
  <c r="QMM132" i="8"/>
  <c r="QML132" i="8"/>
  <c r="QMK132" i="8"/>
  <c r="QMJ132" i="8"/>
  <c r="QMI132" i="8"/>
  <c r="QMH132" i="8"/>
  <c r="QMG132" i="8"/>
  <c r="QMF132" i="8"/>
  <c r="QME132" i="8"/>
  <c r="QMD132" i="8"/>
  <c r="QMC132" i="8"/>
  <c r="QMB132" i="8"/>
  <c r="QMA132" i="8"/>
  <c r="QLZ132" i="8"/>
  <c r="QLY132" i="8"/>
  <c r="QLX132" i="8"/>
  <c r="QLW132" i="8"/>
  <c r="QLV132" i="8"/>
  <c r="QLU132" i="8"/>
  <c r="QLT132" i="8"/>
  <c r="QLS132" i="8"/>
  <c r="QLR132" i="8"/>
  <c r="QLQ132" i="8"/>
  <c r="QLP132" i="8"/>
  <c r="QLO132" i="8"/>
  <c r="QLN132" i="8"/>
  <c r="QLM132" i="8"/>
  <c r="QLL132" i="8"/>
  <c r="QLK132" i="8"/>
  <c r="QLJ132" i="8"/>
  <c r="QLI132" i="8"/>
  <c r="QLH132" i="8"/>
  <c r="QLG132" i="8"/>
  <c r="QLF132" i="8"/>
  <c r="QLE132" i="8"/>
  <c r="QLD132" i="8"/>
  <c r="QLC132" i="8"/>
  <c r="QLB132" i="8"/>
  <c r="QLA132" i="8"/>
  <c r="QKZ132" i="8"/>
  <c r="QKY132" i="8"/>
  <c r="QKX132" i="8"/>
  <c r="QKW132" i="8"/>
  <c r="QKV132" i="8"/>
  <c r="QKU132" i="8"/>
  <c r="QKT132" i="8"/>
  <c r="QKS132" i="8"/>
  <c r="QKR132" i="8"/>
  <c r="QKQ132" i="8"/>
  <c r="QKP132" i="8"/>
  <c r="QKO132" i="8"/>
  <c r="QKN132" i="8"/>
  <c r="QKM132" i="8"/>
  <c r="QKL132" i="8"/>
  <c r="QKK132" i="8"/>
  <c r="QKJ132" i="8"/>
  <c r="QKI132" i="8"/>
  <c r="QKH132" i="8"/>
  <c r="QKG132" i="8"/>
  <c r="QKF132" i="8"/>
  <c r="QKE132" i="8"/>
  <c r="QKD132" i="8"/>
  <c r="QKC132" i="8"/>
  <c r="QKB132" i="8"/>
  <c r="QKA132" i="8"/>
  <c r="QJZ132" i="8"/>
  <c r="QJY132" i="8"/>
  <c r="QJX132" i="8"/>
  <c r="QJW132" i="8"/>
  <c r="QJV132" i="8"/>
  <c r="QJU132" i="8"/>
  <c r="QJT132" i="8"/>
  <c r="QJS132" i="8"/>
  <c r="QJR132" i="8"/>
  <c r="QJQ132" i="8"/>
  <c r="QJP132" i="8"/>
  <c r="QJO132" i="8"/>
  <c r="QJN132" i="8"/>
  <c r="QJM132" i="8"/>
  <c r="QJL132" i="8"/>
  <c r="QJK132" i="8"/>
  <c r="QJJ132" i="8"/>
  <c r="QJI132" i="8"/>
  <c r="QJH132" i="8"/>
  <c r="QJG132" i="8"/>
  <c r="QJF132" i="8"/>
  <c r="QJE132" i="8"/>
  <c r="QJD132" i="8"/>
  <c r="QJC132" i="8"/>
  <c r="QJB132" i="8"/>
  <c r="QJA132" i="8"/>
  <c r="QIZ132" i="8"/>
  <c r="QIY132" i="8"/>
  <c r="QIX132" i="8"/>
  <c r="QIW132" i="8"/>
  <c r="QIV132" i="8"/>
  <c r="QIU132" i="8"/>
  <c r="QIT132" i="8"/>
  <c r="QIS132" i="8"/>
  <c r="QIR132" i="8"/>
  <c r="QIQ132" i="8"/>
  <c r="QIP132" i="8"/>
  <c r="QIO132" i="8"/>
  <c r="QIN132" i="8"/>
  <c r="QIM132" i="8"/>
  <c r="QIL132" i="8"/>
  <c r="QIK132" i="8"/>
  <c r="QIJ132" i="8"/>
  <c r="QII132" i="8"/>
  <c r="QIH132" i="8"/>
  <c r="QIG132" i="8"/>
  <c r="QIF132" i="8"/>
  <c r="QIE132" i="8"/>
  <c r="QID132" i="8"/>
  <c r="QIC132" i="8"/>
  <c r="QIB132" i="8"/>
  <c r="QIA132" i="8"/>
  <c r="QHZ132" i="8"/>
  <c r="QHY132" i="8"/>
  <c r="QHX132" i="8"/>
  <c r="QHW132" i="8"/>
  <c r="QHV132" i="8"/>
  <c r="QHU132" i="8"/>
  <c r="QHT132" i="8"/>
  <c r="QHS132" i="8"/>
  <c r="QHR132" i="8"/>
  <c r="QHQ132" i="8"/>
  <c r="QHP132" i="8"/>
  <c r="QHO132" i="8"/>
  <c r="QHN132" i="8"/>
  <c r="QHM132" i="8"/>
  <c r="QHL132" i="8"/>
  <c r="QHK132" i="8"/>
  <c r="QHJ132" i="8"/>
  <c r="QHI132" i="8"/>
  <c r="QHH132" i="8"/>
  <c r="QHG132" i="8"/>
  <c r="QHF132" i="8"/>
  <c r="QHE132" i="8"/>
  <c r="QHD132" i="8"/>
  <c r="QHC132" i="8"/>
  <c r="QHB132" i="8"/>
  <c r="QHA132" i="8"/>
  <c r="QGZ132" i="8"/>
  <c r="QGY132" i="8"/>
  <c r="QGX132" i="8"/>
  <c r="QGW132" i="8"/>
  <c r="QGV132" i="8"/>
  <c r="QGU132" i="8"/>
  <c r="QGT132" i="8"/>
  <c r="QGS132" i="8"/>
  <c r="QGR132" i="8"/>
  <c r="QGQ132" i="8"/>
  <c r="QGP132" i="8"/>
  <c r="QGO132" i="8"/>
  <c r="QGN132" i="8"/>
  <c r="QGM132" i="8"/>
  <c r="QGL132" i="8"/>
  <c r="QGK132" i="8"/>
  <c r="QGJ132" i="8"/>
  <c r="QGI132" i="8"/>
  <c r="QGH132" i="8"/>
  <c r="QGG132" i="8"/>
  <c r="QGF132" i="8"/>
  <c r="QGE132" i="8"/>
  <c r="QGD132" i="8"/>
  <c r="QGC132" i="8"/>
  <c r="QGB132" i="8"/>
  <c r="QGA132" i="8"/>
  <c r="QFZ132" i="8"/>
  <c r="QFY132" i="8"/>
  <c r="QFX132" i="8"/>
  <c r="QFW132" i="8"/>
  <c r="QFV132" i="8"/>
  <c r="QFU132" i="8"/>
  <c r="QFT132" i="8"/>
  <c r="QFS132" i="8"/>
  <c r="QFR132" i="8"/>
  <c r="QFQ132" i="8"/>
  <c r="QFP132" i="8"/>
  <c r="QFO132" i="8"/>
  <c r="QFN132" i="8"/>
  <c r="QFM132" i="8"/>
  <c r="QFL132" i="8"/>
  <c r="QFK132" i="8"/>
  <c r="QFJ132" i="8"/>
  <c r="QFI132" i="8"/>
  <c r="QFH132" i="8"/>
  <c r="QFG132" i="8"/>
  <c r="QFF132" i="8"/>
  <c r="QFE132" i="8"/>
  <c r="QFD132" i="8"/>
  <c r="QFC132" i="8"/>
  <c r="QFB132" i="8"/>
  <c r="QFA132" i="8"/>
  <c r="QEZ132" i="8"/>
  <c r="QEY132" i="8"/>
  <c r="QEX132" i="8"/>
  <c r="QEW132" i="8"/>
  <c r="QEV132" i="8"/>
  <c r="QEU132" i="8"/>
  <c r="QET132" i="8"/>
  <c r="QES132" i="8"/>
  <c r="QER132" i="8"/>
  <c r="QEQ132" i="8"/>
  <c r="QEP132" i="8"/>
  <c r="QEO132" i="8"/>
  <c r="QEN132" i="8"/>
  <c r="QEM132" i="8"/>
  <c r="QEL132" i="8"/>
  <c r="QEK132" i="8"/>
  <c r="QEJ132" i="8"/>
  <c r="QEI132" i="8"/>
  <c r="QEH132" i="8"/>
  <c r="QEG132" i="8"/>
  <c r="QEF132" i="8"/>
  <c r="QEE132" i="8"/>
  <c r="QED132" i="8"/>
  <c r="QEC132" i="8"/>
  <c r="QEB132" i="8"/>
  <c r="QEA132" i="8"/>
  <c r="QDZ132" i="8"/>
  <c r="QDY132" i="8"/>
  <c r="QDX132" i="8"/>
  <c r="QDW132" i="8"/>
  <c r="QDV132" i="8"/>
  <c r="QDU132" i="8"/>
  <c r="QDT132" i="8"/>
  <c r="QDS132" i="8"/>
  <c r="QDR132" i="8"/>
  <c r="QDQ132" i="8"/>
  <c r="QDP132" i="8"/>
  <c r="QDO132" i="8"/>
  <c r="QDN132" i="8"/>
  <c r="QDM132" i="8"/>
  <c r="QDL132" i="8"/>
  <c r="QDK132" i="8"/>
  <c r="QDJ132" i="8"/>
  <c r="QDI132" i="8"/>
  <c r="QDH132" i="8"/>
  <c r="QDG132" i="8"/>
  <c r="QDF132" i="8"/>
  <c r="QDE132" i="8"/>
  <c r="QDD132" i="8"/>
  <c r="QDC132" i="8"/>
  <c r="QDB132" i="8"/>
  <c r="QDA132" i="8"/>
  <c r="QCZ132" i="8"/>
  <c r="QCY132" i="8"/>
  <c r="QCX132" i="8"/>
  <c r="QCW132" i="8"/>
  <c r="QCV132" i="8"/>
  <c r="QCU132" i="8"/>
  <c r="QCT132" i="8"/>
  <c r="QCS132" i="8"/>
  <c r="QCR132" i="8"/>
  <c r="QCQ132" i="8"/>
  <c r="QCP132" i="8"/>
  <c r="QCO132" i="8"/>
  <c r="QCN132" i="8"/>
  <c r="QCM132" i="8"/>
  <c r="QCL132" i="8"/>
  <c r="QCK132" i="8"/>
  <c r="QCJ132" i="8"/>
  <c r="QCI132" i="8"/>
  <c r="QCH132" i="8"/>
  <c r="QCG132" i="8"/>
  <c r="QCF132" i="8"/>
  <c r="QCE132" i="8"/>
  <c r="QCD132" i="8"/>
  <c r="QCC132" i="8"/>
  <c r="QCB132" i="8"/>
  <c r="QCA132" i="8"/>
  <c r="QBZ132" i="8"/>
  <c r="QBY132" i="8"/>
  <c r="QBX132" i="8"/>
  <c r="QBW132" i="8"/>
  <c r="QBV132" i="8"/>
  <c r="QBU132" i="8"/>
  <c r="QBT132" i="8"/>
  <c r="QBS132" i="8"/>
  <c r="QBR132" i="8"/>
  <c r="QBQ132" i="8"/>
  <c r="QBP132" i="8"/>
  <c r="QBO132" i="8"/>
  <c r="QBN132" i="8"/>
  <c r="QBM132" i="8"/>
  <c r="QBL132" i="8"/>
  <c r="QBK132" i="8"/>
  <c r="QBJ132" i="8"/>
  <c r="QBI132" i="8"/>
  <c r="QBH132" i="8"/>
  <c r="QBG132" i="8"/>
  <c r="QBF132" i="8"/>
  <c r="QBE132" i="8"/>
  <c r="QBD132" i="8"/>
  <c r="QBC132" i="8"/>
  <c r="QBB132" i="8"/>
  <c r="QBA132" i="8"/>
  <c r="QAZ132" i="8"/>
  <c r="QAY132" i="8"/>
  <c r="QAX132" i="8"/>
  <c r="QAW132" i="8"/>
  <c r="QAV132" i="8"/>
  <c r="QAU132" i="8"/>
  <c r="QAT132" i="8"/>
  <c r="QAS132" i="8"/>
  <c r="QAR132" i="8"/>
  <c r="QAQ132" i="8"/>
  <c r="QAP132" i="8"/>
  <c r="QAO132" i="8"/>
  <c r="QAN132" i="8"/>
  <c r="QAM132" i="8"/>
  <c r="QAL132" i="8"/>
  <c r="QAK132" i="8"/>
  <c r="QAJ132" i="8"/>
  <c r="QAI132" i="8"/>
  <c r="QAH132" i="8"/>
  <c r="QAG132" i="8"/>
  <c r="QAF132" i="8"/>
  <c r="QAE132" i="8"/>
  <c r="QAD132" i="8"/>
  <c r="QAC132" i="8"/>
  <c r="QAB132" i="8"/>
  <c r="QAA132" i="8"/>
  <c r="PZZ132" i="8"/>
  <c r="PZY132" i="8"/>
  <c r="PZX132" i="8"/>
  <c r="PZW132" i="8"/>
  <c r="PZV132" i="8"/>
  <c r="PZU132" i="8"/>
  <c r="PZT132" i="8"/>
  <c r="PZS132" i="8"/>
  <c r="PZR132" i="8"/>
  <c r="PZQ132" i="8"/>
  <c r="PZP132" i="8"/>
  <c r="PZO132" i="8"/>
  <c r="PZN132" i="8"/>
  <c r="PZM132" i="8"/>
  <c r="PZL132" i="8"/>
  <c r="PZK132" i="8"/>
  <c r="PZJ132" i="8"/>
  <c r="PZI132" i="8"/>
  <c r="PZH132" i="8"/>
  <c r="PZG132" i="8"/>
  <c r="PZF132" i="8"/>
  <c r="PZE132" i="8"/>
  <c r="PZD132" i="8"/>
  <c r="PZC132" i="8"/>
  <c r="PZB132" i="8"/>
  <c r="PZA132" i="8"/>
  <c r="PYZ132" i="8"/>
  <c r="PYY132" i="8"/>
  <c r="PYX132" i="8"/>
  <c r="PYW132" i="8"/>
  <c r="PYV132" i="8"/>
  <c r="PYU132" i="8"/>
  <c r="PYT132" i="8"/>
  <c r="PYS132" i="8"/>
  <c r="PYR132" i="8"/>
  <c r="PYQ132" i="8"/>
  <c r="PYP132" i="8"/>
  <c r="PYO132" i="8"/>
  <c r="PYN132" i="8"/>
  <c r="PYM132" i="8"/>
  <c r="PYL132" i="8"/>
  <c r="PYK132" i="8"/>
  <c r="PYJ132" i="8"/>
  <c r="PYI132" i="8"/>
  <c r="PYH132" i="8"/>
  <c r="PYG132" i="8"/>
  <c r="PYF132" i="8"/>
  <c r="PYE132" i="8"/>
  <c r="PYD132" i="8"/>
  <c r="PYC132" i="8"/>
  <c r="PYB132" i="8"/>
  <c r="PYA132" i="8"/>
  <c r="PXZ132" i="8"/>
  <c r="PXY132" i="8"/>
  <c r="PXX132" i="8"/>
  <c r="PXW132" i="8"/>
  <c r="PXV132" i="8"/>
  <c r="PXU132" i="8"/>
  <c r="PXT132" i="8"/>
  <c r="PXS132" i="8"/>
  <c r="PXR132" i="8"/>
  <c r="PXQ132" i="8"/>
  <c r="PXP132" i="8"/>
  <c r="PXO132" i="8"/>
  <c r="PXN132" i="8"/>
  <c r="PXM132" i="8"/>
  <c r="PXL132" i="8"/>
  <c r="PXK132" i="8"/>
  <c r="PXJ132" i="8"/>
  <c r="PXI132" i="8"/>
  <c r="PXH132" i="8"/>
  <c r="PXG132" i="8"/>
  <c r="PXF132" i="8"/>
  <c r="PXE132" i="8"/>
  <c r="PXD132" i="8"/>
  <c r="PXC132" i="8"/>
  <c r="PXB132" i="8"/>
  <c r="PXA132" i="8"/>
  <c r="PWZ132" i="8"/>
  <c r="PWY132" i="8"/>
  <c r="PWX132" i="8"/>
  <c r="PWW132" i="8"/>
  <c r="PWV132" i="8"/>
  <c r="PWU132" i="8"/>
  <c r="PWT132" i="8"/>
  <c r="PWS132" i="8"/>
  <c r="PWR132" i="8"/>
  <c r="PWQ132" i="8"/>
  <c r="PWP132" i="8"/>
  <c r="PWO132" i="8"/>
  <c r="PWN132" i="8"/>
  <c r="PWM132" i="8"/>
  <c r="PWL132" i="8"/>
  <c r="PWK132" i="8"/>
  <c r="PWJ132" i="8"/>
  <c r="PWI132" i="8"/>
  <c r="PWH132" i="8"/>
  <c r="PWG132" i="8"/>
  <c r="PWF132" i="8"/>
  <c r="PWE132" i="8"/>
  <c r="PWD132" i="8"/>
  <c r="PWC132" i="8"/>
  <c r="PWB132" i="8"/>
  <c r="PWA132" i="8"/>
  <c r="PVZ132" i="8"/>
  <c r="PVY132" i="8"/>
  <c r="PVX132" i="8"/>
  <c r="PVW132" i="8"/>
  <c r="PVV132" i="8"/>
  <c r="PVU132" i="8"/>
  <c r="PVT132" i="8"/>
  <c r="PVS132" i="8"/>
  <c r="PVR132" i="8"/>
  <c r="PVQ132" i="8"/>
  <c r="PVP132" i="8"/>
  <c r="PVO132" i="8"/>
  <c r="PVN132" i="8"/>
  <c r="PVM132" i="8"/>
  <c r="PVL132" i="8"/>
  <c r="PVK132" i="8"/>
  <c r="PVJ132" i="8"/>
  <c r="PVI132" i="8"/>
  <c r="PVH132" i="8"/>
  <c r="PVG132" i="8"/>
  <c r="PVF132" i="8"/>
  <c r="PVE132" i="8"/>
  <c r="PVD132" i="8"/>
  <c r="PVC132" i="8"/>
  <c r="PVB132" i="8"/>
  <c r="PVA132" i="8"/>
  <c r="PUZ132" i="8"/>
  <c r="PUY132" i="8"/>
  <c r="PUX132" i="8"/>
  <c r="PUW132" i="8"/>
  <c r="PUV132" i="8"/>
  <c r="PUU132" i="8"/>
  <c r="PUT132" i="8"/>
  <c r="PUS132" i="8"/>
  <c r="PUR132" i="8"/>
  <c r="PUQ132" i="8"/>
  <c r="PUP132" i="8"/>
  <c r="PUO132" i="8"/>
  <c r="PUN132" i="8"/>
  <c r="PUM132" i="8"/>
  <c r="PUL132" i="8"/>
  <c r="PUK132" i="8"/>
  <c r="PUJ132" i="8"/>
  <c r="PUI132" i="8"/>
  <c r="PUH132" i="8"/>
  <c r="PUG132" i="8"/>
  <c r="PUF132" i="8"/>
  <c r="PUE132" i="8"/>
  <c r="PUD132" i="8"/>
  <c r="PUC132" i="8"/>
  <c r="PUB132" i="8"/>
  <c r="PUA132" i="8"/>
  <c r="PTZ132" i="8"/>
  <c r="PTY132" i="8"/>
  <c r="PTX132" i="8"/>
  <c r="PTW132" i="8"/>
  <c r="PTV132" i="8"/>
  <c r="PTU132" i="8"/>
  <c r="PTT132" i="8"/>
  <c r="PTS132" i="8"/>
  <c r="PTR132" i="8"/>
  <c r="PTQ132" i="8"/>
  <c r="PTP132" i="8"/>
  <c r="PTO132" i="8"/>
  <c r="PTN132" i="8"/>
  <c r="PTM132" i="8"/>
  <c r="PTL132" i="8"/>
  <c r="PTK132" i="8"/>
  <c r="PTJ132" i="8"/>
  <c r="PTI132" i="8"/>
  <c r="PTH132" i="8"/>
  <c r="PTG132" i="8"/>
  <c r="PTF132" i="8"/>
  <c r="PTE132" i="8"/>
  <c r="PTD132" i="8"/>
  <c r="PTC132" i="8"/>
  <c r="PTB132" i="8"/>
  <c r="PTA132" i="8"/>
  <c r="PSZ132" i="8"/>
  <c r="PSY132" i="8"/>
  <c r="PSX132" i="8"/>
  <c r="PSW132" i="8"/>
  <c r="PSV132" i="8"/>
  <c r="PSU132" i="8"/>
  <c r="PST132" i="8"/>
  <c r="PSS132" i="8"/>
  <c r="PSR132" i="8"/>
  <c r="PSQ132" i="8"/>
  <c r="PSP132" i="8"/>
  <c r="PSO132" i="8"/>
  <c r="PSN132" i="8"/>
  <c r="PSM132" i="8"/>
  <c r="PSL132" i="8"/>
  <c r="PSK132" i="8"/>
  <c r="PSJ132" i="8"/>
  <c r="PSI132" i="8"/>
  <c r="PSH132" i="8"/>
  <c r="PSG132" i="8"/>
  <c r="PSF132" i="8"/>
  <c r="PSE132" i="8"/>
  <c r="PSD132" i="8"/>
  <c r="PSC132" i="8"/>
  <c r="PSB132" i="8"/>
  <c r="PSA132" i="8"/>
  <c r="PRZ132" i="8"/>
  <c r="PRY132" i="8"/>
  <c r="PRX132" i="8"/>
  <c r="PRW132" i="8"/>
  <c r="PRV132" i="8"/>
  <c r="PRU132" i="8"/>
  <c r="PRT132" i="8"/>
  <c r="PRS132" i="8"/>
  <c r="PRR132" i="8"/>
  <c r="PRQ132" i="8"/>
  <c r="PRP132" i="8"/>
  <c r="PRO132" i="8"/>
  <c r="PRN132" i="8"/>
  <c r="PRM132" i="8"/>
  <c r="PRL132" i="8"/>
  <c r="PRK132" i="8"/>
  <c r="PRJ132" i="8"/>
  <c r="PRI132" i="8"/>
  <c r="PRH132" i="8"/>
  <c r="PRG132" i="8"/>
  <c r="PRF132" i="8"/>
  <c r="PRE132" i="8"/>
  <c r="PRD132" i="8"/>
  <c r="PRC132" i="8"/>
  <c r="PRB132" i="8"/>
  <c r="PRA132" i="8"/>
  <c r="PQZ132" i="8"/>
  <c r="PQY132" i="8"/>
  <c r="PQX132" i="8"/>
  <c r="PQW132" i="8"/>
  <c r="PQV132" i="8"/>
  <c r="PQU132" i="8"/>
  <c r="PQT132" i="8"/>
  <c r="PQS132" i="8"/>
  <c r="PQR132" i="8"/>
  <c r="PQQ132" i="8"/>
  <c r="PQP132" i="8"/>
  <c r="PQO132" i="8"/>
  <c r="PQN132" i="8"/>
  <c r="PQM132" i="8"/>
  <c r="PQL132" i="8"/>
  <c r="PQK132" i="8"/>
  <c r="PQJ132" i="8"/>
  <c r="PQI132" i="8"/>
  <c r="PQH132" i="8"/>
  <c r="PQG132" i="8"/>
  <c r="PQF132" i="8"/>
  <c r="PQE132" i="8"/>
  <c r="PQD132" i="8"/>
  <c r="PQC132" i="8"/>
  <c r="PQB132" i="8"/>
  <c r="PQA132" i="8"/>
  <c r="PPZ132" i="8"/>
  <c r="PPY132" i="8"/>
  <c r="PPX132" i="8"/>
  <c r="PPW132" i="8"/>
  <c r="PPV132" i="8"/>
  <c r="PPU132" i="8"/>
  <c r="PPT132" i="8"/>
  <c r="PPS132" i="8"/>
  <c r="PPR132" i="8"/>
  <c r="PPQ132" i="8"/>
  <c r="PPP132" i="8"/>
  <c r="PPO132" i="8"/>
  <c r="PPN132" i="8"/>
  <c r="PPM132" i="8"/>
  <c r="PPL132" i="8"/>
  <c r="PPK132" i="8"/>
  <c r="PPJ132" i="8"/>
  <c r="PPI132" i="8"/>
  <c r="PPH132" i="8"/>
  <c r="PPG132" i="8"/>
  <c r="PPF132" i="8"/>
  <c r="PPE132" i="8"/>
  <c r="PPD132" i="8"/>
  <c r="PPC132" i="8"/>
  <c r="PPB132" i="8"/>
  <c r="PPA132" i="8"/>
  <c r="POZ132" i="8"/>
  <c r="POY132" i="8"/>
  <c r="POX132" i="8"/>
  <c r="POW132" i="8"/>
  <c r="POV132" i="8"/>
  <c r="POU132" i="8"/>
  <c r="POT132" i="8"/>
  <c r="POS132" i="8"/>
  <c r="POR132" i="8"/>
  <c r="POQ132" i="8"/>
  <c r="POP132" i="8"/>
  <c r="POO132" i="8"/>
  <c r="PON132" i="8"/>
  <c r="POM132" i="8"/>
  <c r="POL132" i="8"/>
  <c r="POK132" i="8"/>
  <c r="POJ132" i="8"/>
  <c r="POI132" i="8"/>
  <c r="POH132" i="8"/>
  <c r="POG132" i="8"/>
  <c r="POF132" i="8"/>
  <c r="POE132" i="8"/>
  <c r="POD132" i="8"/>
  <c r="POC132" i="8"/>
  <c r="POB132" i="8"/>
  <c r="POA132" i="8"/>
  <c r="PNZ132" i="8"/>
  <c r="PNY132" i="8"/>
  <c r="PNX132" i="8"/>
  <c r="PNW132" i="8"/>
  <c r="PNV132" i="8"/>
  <c r="PNU132" i="8"/>
  <c r="PNT132" i="8"/>
  <c r="PNS132" i="8"/>
  <c r="PNR132" i="8"/>
  <c r="PNQ132" i="8"/>
  <c r="PNP132" i="8"/>
  <c r="PNO132" i="8"/>
  <c r="PNN132" i="8"/>
  <c r="PNM132" i="8"/>
  <c r="PNL132" i="8"/>
  <c r="PNK132" i="8"/>
  <c r="PNJ132" i="8"/>
  <c r="PNI132" i="8"/>
  <c r="PNH132" i="8"/>
  <c r="PNG132" i="8"/>
  <c r="PNF132" i="8"/>
  <c r="PNE132" i="8"/>
  <c r="PND132" i="8"/>
  <c r="PNC132" i="8"/>
  <c r="PNB132" i="8"/>
  <c r="PNA132" i="8"/>
  <c r="PMZ132" i="8"/>
  <c r="PMY132" i="8"/>
  <c r="PMX132" i="8"/>
  <c r="PMW132" i="8"/>
  <c r="PMV132" i="8"/>
  <c r="PMU132" i="8"/>
  <c r="PMT132" i="8"/>
  <c r="PMS132" i="8"/>
  <c r="PMR132" i="8"/>
  <c r="PMQ132" i="8"/>
  <c r="PMP132" i="8"/>
  <c r="PMO132" i="8"/>
  <c r="PMN132" i="8"/>
  <c r="PMM132" i="8"/>
  <c r="PML132" i="8"/>
  <c r="PMK132" i="8"/>
  <c r="PMJ132" i="8"/>
  <c r="PMI132" i="8"/>
  <c r="PMH132" i="8"/>
  <c r="PMG132" i="8"/>
  <c r="PMF132" i="8"/>
  <c r="PME132" i="8"/>
  <c r="PMD132" i="8"/>
  <c r="PMC132" i="8"/>
  <c r="PMB132" i="8"/>
  <c r="PMA132" i="8"/>
  <c r="PLZ132" i="8"/>
  <c r="PLY132" i="8"/>
  <c r="PLX132" i="8"/>
  <c r="PLW132" i="8"/>
  <c r="PLV132" i="8"/>
  <c r="PLU132" i="8"/>
  <c r="PLT132" i="8"/>
  <c r="PLS132" i="8"/>
  <c r="PLR132" i="8"/>
  <c r="PLQ132" i="8"/>
  <c r="PLP132" i="8"/>
  <c r="PLO132" i="8"/>
  <c r="PLN132" i="8"/>
  <c r="PLM132" i="8"/>
  <c r="PLL132" i="8"/>
  <c r="PLK132" i="8"/>
  <c r="PLJ132" i="8"/>
  <c r="PLI132" i="8"/>
  <c r="PLH132" i="8"/>
  <c r="PLG132" i="8"/>
  <c r="PLF132" i="8"/>
  <c r="PLE132" i="8"/>
  <c r="PLD132" i="8"/>
  <c r="PLC132" i="8"/>
  <c r="PLB132" i="8"/>
  <c r="PLA132" i="8"/>
  <c r="PKZ132" i="8"/>
  <c r="PKY132" i="8"/>
  <c r="PKX132" i="8"/>
  <c r="PKW132" i="8"/>
  <c r="PKV132" i="8"/>
  <c r="PKU132" i="8"/>
  <c r="PKT132" i="8"/>
  <c r="PKS132" i="8"/>
  <c r="PKR132" i="8"/>
  <c r="PKQ132" i="8"/>
  <c r="PKP132" i="8"/>
  <c r="PKO132" i="8"/>
  <c r="PKN132" i="8"/>
  <c r="PKM132" i="8"/>
  <c r="PKL132" i="8"/>
  <c r="PKK132" i="8"/>
  <c r="PKJ132" i="8"/>
  <c r="PKI132" i="8"/>
  <c r="PKH132" i="8"/>
  <c r="PKG132" i="8"/>
  <c r="PKF132" i="8"/>
  <c r="PKE132" i="8"/>
  <c r="PKD132" i="8"/>
  <c r="PKC132" i="8"/>
  <c r="PKB132" i="8"/>
  <c r="PKA132" i="8"/>
  <c r="PJZ132" i="8"/>
  <c r="PJY132" i="8"/>
  <c r="PJX132" i="8"/>
  <c r="PJW132" i="8"/>
  <c r="PJV132" i="8"/>
  <c r="PJU132" i="8"/>
  <c r="PJT132" i="8"/>
  <c r="PJS132" i="8"/>
  <c r="PJR132" i="8"/>
  <c r="PJQ132" i="8"/>
  <c r="PJP132" i="8"/>
  <c r="PJO132" i="8"/>
  <c r="PJN132" i="8"/>
  <c r="PJM132" i="8"/>
  <c r="PJL132" i="8"/>
  <c r="PJK132" i="8"/>
  <c r="PJJ132" i="8"/>
  <c r="PJI132" i="8"/>
  <c r="PJH132" i="8"/>
  <c r="PJG132" i="8"/>
  <c r="PJF132" i="8"/>
  <c r="PJE132" i="8"/>
  <c r="PJD132" i="8"/>
  <c r="PJC132" i="8"/>
  <c r="PJB132" i="8"/>
  <c r="PJA132" i="8"/>
  <c r="PIZ132" i="8"/>
  <c r="PIY132" i="8"/>
  <c r="PIX132" i="8"/>
  <c r="PIW132" i="8"/>
  <c r="PIV132" i="8"/>
  <c r="PIU132" i="8"/>
  <c r="PIT132" i="8"/>
  <c r="PIS132" i="8"/>
  <c r="PIR132" i="8"/>
  <c r="PIQ132" i="8"/>
  <c r="PIP132" i="8"/>
  <c r="PIO132" i="8"/>
  <c r="PIN132" i="8"/>
  <c r="PIM132" i="8"/>
  <c r="PIL132" i="8"/>
  <c r="PIK132" i="8"/>
  <c r="PIJ132" i="8"/>
  <c r="PII132" i="8"/>
  <c r="PIH132" i="8"/>
  <c r="PIG132" i="8"/>
  <c r="PIF132" i="8"/>
  <c r="PIE132" i="8"/>
  <c r="PID132" i="8"/>
  <c r="PIC132" i="8"/>
  <c r="PIB132" i="8"/>
  <c r="PIA132" i="8"/>
  <c r="PHZ132" i="8"/>
  <c r="PHY132" i="8"/>
  <c r="PHX132" i="8"/>
  <c r="PHW132" i="8"/>
  <c r="PHV132" i="8"/>
  <c r="PHU132" i="8"/>
  <c r="PHT132" i="8"/>
  <c r="PHS132" i="8"/>
  <c r="PHR132" i="8"/>
  <c r="PHQ132" i="8"/>
  <c r="PHP132" i="8"/>
  <c r="PHO132" i="8"/>
  <c r="PHN132" i="8"/>
  <c r="PHM132" i="8"/>
  <c r="PHL132" i="8"/>
  <c r="PHK132" i="8"/>
  <c r="PHJ132" i="8"/>
  <c r="PHI132" i="8"/>
  <c r="PHH132" i="8"/>
  <c r="PHG132" i="8"/>
  <c r="PHF132" i="8"/>
  <c r="PHE132" i="8"/>
  <c r="PHD132" i="8"/>
  <c r="PHC132" i="8"/>
  <c r="PHB132" i="8"/>
  <c r="PHA132" i="8"/>
  <c r="PGZ132" i="8"/>
  <c r="PGY132" i="8"/>
  <c r="PGX132" i="8"/>
  <c r="PGW132" i="8"/>
  <c r="PGV132" i="8"/>
  <c r="PGU132" i="8"/>
  <c r="PGT132" i="8"/>
  <c r="PGS132" i="8"/>
  <c r="PGR132" i="8"/>
  <c r="PGQ132" i="8"/>
  <c r="PGP132" i="8"/>
  <c r="PGO132" i="8"/>
  <c r="PGN132" i="8"/>
  <c r="PGM132" i="8"/>
  <c r="PGL132" i="8"/>
  <c r="PGK132" i="8"/>
  <c r="PGJ132" i="8"/>
  <c r="PGI132" i="8"/>
  <c r="PGH132" i="8"/>
  <c r="PGG132" i="8"/>
  <c r="PGF132" i="8"/>
  <c r="PGE132" i="8"/>
  <c r="PGD132" i="8"/>
  <c r="PGC132" i="8"/>
  <c r="PGB132" i="8"/>
  <c r="PGA132" i="8"/>
  <c r="PFZ132" i="8"/>
  <c r="PFY132" i="8"/>
  <c r="PFX132" i="8"/>
  <c r="PFW132" i="8"/>
  <c r="PFV132" i="8"/>
  <c r="PFU132" i="8"/>
  <c r="PFT132" i="8"/>
  <c r="PFS132" i="8"/>
  <c r="PFR132" i="8"/>
  <c r="PFQ132" i="8"/>
  <c r="PFP132" i="8"/>
  <c r="PFO132" i="8"/>
  <c r="PFN132" i="8"/>
  <c r="PFM132" i="8"/>
  <c r="PFL132" i="8"/>
  <c r="PFK132" i="8"/>
  <c r="PFJ132" i="8"/>
  <c r="PFI132" i="8"/>
  <c r="PFH132" i="8"/>
  <c r="PFG132" i="8"/>
  <c r="PFF132" i="8"/>
  <c r="PFE132" i="8"/>
  <c r="PFD132" i="8"/>
  <c r="PFC132" i="8"/>
  <c r="PFB132" i="8"/>
  <c r="PFA132" i="8"/>
  <c r="PEZ132" i="8"/>
  <c r="PEY132" i="8"/>
  <c r="PEX132" i="8"/>
  <c r="PEW132" i="8"/>
  <c r="PEV132" i="8"/>
  <c r="PEU132" i="8"/>
  <c r="PET132" i="8"/>
  <c r="PES132" i="8"/>
  <c r="PER132" i="8"/>
  <c r="PEQ132" i="8"/>
  <c r="PEP132" i="8"/>
  <c r="PEO132" i="8"/>
  <c r="PEN132" i="8"/>
  <c r="PEM132" i="8"/>
  <c r="PEL132" i="8"/>
  <c r="PEK132" i="8"/>
  <c r="PEJ132" i="8"/>
  <c r="PEI132" i="8"/>
  <c r="PEH132" i="8"/>
  <c r="PEG132" i="8"/>
  <c r="PEF132" i="8"/>
  <c r="PEE132" i="8"/>
  <c r="PED132" i="8"/>
  <c r="PEC132" i="8"/>
  <c r="PEB132" i="8"/>
  <c r="PEA132" i="8"/>
  <c r="PDZ132" i="8"/>
  <c r="PDY132" i="8"/>
  <c r="PDX132" i="8"/>
  <c r="PDW132" i="8"/>
  <c r="PDV132" i="8"/>
  <c r="PDU132" i="8"/>
  <c r="PDT132" i="8"/>
  <c r="PDS132" i="8"/>
  <c r="PDR132" i="8"/>
  <c r="PDQ132" i="8"/>
  <c r="PDP132" i="8"/>
  <c r="PDO132" i="8"/>
  <c r="PDN132" i="8"/>
  <c r="PDM132" i="8"/>
  <c r="PDL132" i="8"/>
  <c r="PDK132" i="8"/>
  <c r="PDJ132" i="8"/>
  <c r="PDI132" i="8"/>
  <c r="PDH132" i="8"/>
  <c r="PDG132" i="8"/>
  <c r="PDF132" i="8"/>
  <c r="PDE132" i="8"/>
  <c r="PDD132" i="8"/>
  <c r="PDC132" i="8"/>
  <c r="PDB132" i="8"/>
  <c r="PDA132" i="8"/>
  <c r="PCZ132" i="8"/>
  <c r="PCY132" i="8"/>
  <c r="PCX132" i="8"/>
  <c r="PCW132" i="8"/>
  <c r="PCV132" i="8"/>
  <c r="PCU132" i="8"/>
  <c r="PCT132" i="8"/>
  <c r="PCS132" i="8"/>
  <c r="PCR132" i="8"/>
  <c r="PCQ132" i="8"/>
  <c r="PCP132" i="8"/>
  <c r="PCO132" i="8"/>
  <c r="PCN132" i="8"/>
  <c r="PCM132" i="8"/>
  <c r="PCL132" i="8"/>
  <c r="PCK132" i="8"/>
  <c r="PCJ132" i="8"/>
  <c r="PCI132" i="8"/>
  <c r="PCH132" i="8"/>
  <c r="PCG132" i="8"/>
  <c r="PCF132" i="8"/>
  <c r="PCE132" i="8"/>
  <c r="PCD132" i="8"/>
  <c r="PCC132" i="8"/>
  <c r="PCB132" i="8"/>
  <c r="PCA132" i="8"/>
  <c r="PBZ132" i="8"/>
  <c r="PBY132" i="8"/>
  <c r="PBX132" i="8"/>
  <c r="PBW132" i="8"/>
  <c r="PBV132" i="8"/>
  <c r="PBU132" i="8"/>
  <c r="PBT132" i="8"/>
  <c r="PBS132" i="8"/>
  <c r="PBR132" i="8"/>
  <c r="PBQ132" i="8"/>
  <c r="PBP132" i="8"/>
  <c r="PBO132" i="8"/>
  <c r="PBN132" i="8"/>
  <c r="PBM132" i="8"/>
  <c r="PBL132" i="8"/>
  <c r="PBK132" i="8"/>
  <c r="PBJ132" i="8"/>
  <c r="PBI132" i="8"/>
  <c r="PBH132" i="8"/>
  <c r="PBG132" i="8"/>
  <c r="PBF132" i="8"/>
  <c r="PBE132" i="8"/>
  <c r="PBD132" i="8"/>
  <c r="PBC132" i="8"/>
  <c r="PBB132" i="8"/>
  <c r="PBA132" i="8"/>
  <c r="PAZ132" i="8"/>
  <c r="PAY132" i="8"/>
  <c r="PAX132" i="8"/>
  <c r="PAW132" i="8"/>
  <c r="PAV132" i="8"/>
  <c r="PAU132" i="8"/>
  <c r="PAT132" i="8"/>
  <c r="PAS132" i="8"/>
  <c r="PAR132" i="8"/>
  <c r="PAQ132" i="8"/>
  <c r="PAP132" i="8"/>
  <c r="PAO132" i="8"/>
  <c r="PAN132" i="8"/>
  <c r="PAM132" i="8"/>
  <c r="PAL132" i="8"/>
  <c r="PAK132" i="8"/>
  <c r="PAJ132" i="8"/>
  <c r="PAI132" i="8"/>
  <c r="PAH132" i="8"/>
  <c r="PAG132" i="8"/>
  <c r="PAF132" i="8"/>
  <c r="PAE132" i="8"/>
  <c r="PAD132" i="8"/>
  <c r="PAC132" i="8"/>
  <c r="PAB132" i="8"/>
  <c r="PAA132" i="8"/>
  <c r="OZZ132" i="8"/>
  <c r="OZY132" i="8"/>
  <c r="OZX132" i="8"/>
  <c r="OZW132" i="8"/>
  <c r="OZV132" i="8"/>
  <c r="OZU132" i="8"/>
  <c r="OZT132" i="8"/>
  <c r="OZS132" i="8"/>
  <c r="OZR132" i="8"/>
  <c r="OZQ132" i="8"/>
  <c r="OZP132" i="8"/>
  <c r="OZO132" i="8"/>
  <c r="OZN132" i="8"/>
  <c r="OZM132" i="8"/>
  <c r="OZL132" i="8"/>
  <c r="OZK132" i="8"/>
  <c r="OZJ132" i="8"/>
  <c r="OZI132" i="8"/>
  <c r="OZH132" i="8"/>
  <c r="OZG132" i="8"/>
  <c r="OZF132" i="8"/>
  <c r="OZE132" i="8"/>
  <c r="OZD132" i="8"/>
  <c r="OZC132" i="8"/>
  <c r="OZB132" i="8"/>
  <c r="OZA132" i="8"/>
  <c r="OYZ132" i="8"/>
  <c r="OYY132" i="8"/>
  <c r="OYX132" i="8"/>
  <c r="OYW132" i="8"/>
  <c r="OYV132" i="8"/>
  <c r="OYU132" i="8"/>
  <c r="OYT132" i="8"/>
  <c r="OYS132" i="8"/>
  <c r="OYR132" i="8"/>
  <c r="OYQ132" i="8"/>
  <c r="OYP132" i="8"/>
  <c r="OYO132" i="8"/>
  <c r="OYN132" i="8"/>
  <c r="OYM132" i="8"/>
  <c r="OYL132" i="8"/>
  <c r="OYK132" i="8"/>
  <c r="OYJ132" i="8"/>
  <c r="OYI132" i="8"/>
  <c r="OYH132" i="8"/>
  <c r="OYG132" i="8"/>
  <c r="OYF132" i="8"/>
  <c r="OYE132" i="8"/>
  <c r="OYD132" i="8"/>
  <c r="OYC132" i="8"/>
  <c r="OYB132" i="8"/>
  <c r="OYA132" i="8"/>
  <c r="OXZ132" i="8"/>
  <c r="OXY132" i="8"/>
  <c r="OXX132" i="8"/>
  <c r="OXW132" i="8"/>
  <c r="OXV132" i="8"/>
  <c r="OXU132" i="8"/>
  <c r="OXT132" i="8"/>
  <c r="OXS132" i="8"/>
  <c r="OXR132" i="8"/>
  <c r="OXQ132" i="8"/>
  <c r="OXP132" i="8"/>
  <c r="OXO132" i="8"/>
  <c r="OXN132" i="8"/>
  <c r="OXM132" i="8"/>
  <c r="OXL132" i="8"/>
  <c r="OXK132" i="8"/>
  <c r="OXJ132" i="8"/>
  <c r="OXI132" i="8"/>
  <c r="OXH132" i="8"/>
  <c r="OXG132" i="8"/>
  <c r="OXF132" i="8"/>
  <c r="OXE132" i="8"/>
  <c r="OXD132" i="8"/>
  <c r="OXC132" i="8"/>
  <c r="OXB132" i="8"/>
  <c r="OXA132" i="8"/>
  <c r="OWZ132" i="8"/>
  <c r="OWY132" i="8"/>
  <c r="OWX132" i="8"/>
  <c r="OWW132" i="8"/>
  <c r="OWV132" i="8"/>
  <c r="OWU132" i="8"/>
  <c r="OWT132" i="8"/>
  <c r="OWS132" i="8"/>
  <c r="OWR132" i="8"/>
  <c r="OWQ132" i="8"/>
  <c r="OWP132" i="8"/>
  <c r="OWO132" i="8"/>
  <c r="OWN132" i="8"/>
  <c r="OWM132" i="8"/>
  <c r="OWL132" i="8"/>
  <c r="OWK132" i="8"/>
  <c r="OWJ132" i="8"/>
  <c r="OWI132" i="8"/>
  <c r="OWH132" i="8"/>
  <c r="OWG132" i="8"/>
  <c r="OWF132" i="8"/>
  <c r="OWE132" i="8"/>
  <c r="OWD132" i="8"/>
  <c r="OWC132" i="8"/>
  <c r="OWB132" i="8"/>
  <c r="OWA132" i="8"/>
  <c r="OVZ132" i="8"/>
  <c r="OVY132" i="8"/>
  <c r="OVX132" i="8"/>
  <c r="OVW132" i="8"/>
  <c r="OVV132" i="8"/>
  <c r="OVU132" i="8"/>
  <c r="OVT132" i="8"/>
  <c r="OVS132" i="8"/>
  <c r="OVR132" i="8"/>
  <c r="OVQ132" i="8"/>
  <c r="OVP132" i="8"/>
  <c r="OVO132" i="8"/>
  <c r="OVN132" i="8"/>
  <c r="OVM132" i="8"/>
  <c r="OVL132" i="8"/>
  <c r="OVK132" i="8"/>
  <c r="OVJ132" i="8"/>
  <c r="OVI132" i="8"/>
  <c r="OVH132" i="8"/>
  <c r="OVG132" i="8"/>
  <c r="OVF132" i="8"/>
  <c r="OVE132" i="8"/>
  <c r="OVD132" i="8"/>
  <c r="OVC132" i="8"/>
  <c r="OVB132" i="8"/>
  <c r="OVA132" i="8"/>
  <c r="OUZ132" i="8"/>
  <c r="OUY132" i="8"/>
  <c r="OUX132" i="8"/>
  <c r="OUW132" i="8"/>
  <c r="OUV132" i="8"/>
  <c r="OUU132" i="8"/>
  <c r="OUT132" i="8"/>
  <c r="OUS132" i="8"/>
  <c r="OUR132" i="8"/>
  <c r="OUQ132" i="8"/>
  <c r="OUP132" i="8"/>
  <c r="OUO132" i="8"/>
  <c r="OUN132" i="8"/>
  <c r="OUM132" i="8"/>
  <c r="OUL132" i="8"/>
  <c r="OUK132" i="8"/>
  <c r="OUJ132" i="8"/>
  <c r="OUI132" i="8"/>
  <c r="OUH132" i="8"/>
  <c r="OUG132" i="8"/>
  <c r="OUF132" i="8"/>
  <c r="OUE132" i="8"/>
  <c r="OUD132" i="8"/>
  <c r="OUC132" i="8"/>
  <c r="OUB132" i="8"/>
  <c r="OUA132" i="8"/>
  <c r="OTZ132" i="8"/>
  <c r="OTY132" i="8"/>
  <c r="OTX132" i="8"/>
  <c r="OTW132" i="8"/>
  <c r="OTV132" i="8"/>
  <c r="OTU132" i="8"/>
  <c r="OTT132" i="8"/>
  <c r="OTS132" i="8"/>
  <c r="OTR132" i="8"/>
  <c r="OTQ132" i="8"/>
  <c r="OTP132" i="8"/>
  <c r="OTO132" i="8"/>
  <c r="OTN132" i="8"/>
  <c r="OTM132" i="8"/>
  <c r="OTL132" i="8"/>
  <c r="OTK132" i="8"/>
  <c r="OTJ132" i="8"/>
  <c r="OTI132" i="8"/>
  <c r="OTH132" i="8"/>
  <c r="OTG132" i="8"/>
  <c r="OTF132" i="8"/>
  <c r="OTE132" i="8"/>
  <c r="OTD132" i="8"/>
  <c r="OTC132" i="8"/>
  <c r="OTB132" i="8"/>
  <c r="OTA132" i="8"/>
  <c r="OSZ132" i="8"/>
  <c r="OSY132" i="8"/>
  <c r="OSX132" i="8"/>
  <c r="OSW132" i="8"/>
  <c r="OSV132" i="8"/>
  <c r="OSU132" i="8"/>
  <c r="OST132" i="8"/>
  <c r="OSS132" i="8"/>
  <c r="OSR132" i="8"/>
  <c r="OSQ132" i="8"/>
  <c r="OSP132" i="8"/>
  <c r="OSO132" i="8"/>
  <c r="OSN132" i="8"/>
  <c r="OSM132" i="8"/>
  <c r="OSL132" i="8"/>
  <c r="OSK132" i="8"/>
  <c r="OSJ132" i="8"/>
  <c r="OSI132" i="8"/>
  <c r="OSH132" i="8"/>
  <c r="OSG132" i="8"/>
  <c r="OSF132" i="8"/>
  <c r="OSE132" i="8"/>
  <c r="OSD132" i="8"/>
  <c r="OSC132" i="8"/>
  <c r="OSB132" i="8"/>
  <c r="OSA132" i="8"/>
  <c r="ORZ132" i="8"/>
  <c r="ORY132" i="8"/>
  <c r="ORX132" i="8"/>
  <c r="ORW132" i="8"/>
  <c r="ORV132" i="8"/>
  <c r="ORU132" i="8"/>
  <c r="ORT132" i="8"/>
  <c r="ORS132" i="8"/>
  <c r="ORR132" i="8"/>
  <c r="ORQ132" i="8"/>
  <c r="ORP132" i="8"/>
  <c r="ORO132" i="8"/>
  <c r="ORN132" i="8"/>
  <c r="ORM132" i="8"/>
  <c r="ORL132" i="8"/>
  <c r="ORK132" i="8"/>
  <c r="ORJ132" i="8"/>
  <c r="ORI132" i="8"/>
  <c r="ORH132" i="8"/>
  <c r="ORG132" i="8"/>
  <c r="ORF132" i="8"/>
  <c r="ORE132" i="8"/>
  <c r="ORD132" i="8"/>
  <c r="ORC132" i="8"/>
  <c r="ORB132" i="8"/>
  <c r="ORA132" i="8"/>
  <c r="OQZ132" i="8"/>
  <c r="OQY132" i="8"/>
  <c r="OQX132" i="8"/>
  <c r="OQW132" i="8"/>
  <c r="OQV132" i="8"/>
  <c r="OQU132" i="8"/>
  <c r="OQT132" i="8"/>
  <c r="OQS132" i="8"/>
  <c r="OQR132" i="8"/>
  <c r="OQQ132" i="8"/>
  <c r="OQP132" i="8"/>
  <c r="OQO132" i="8"/>
  <c r="OQN132" i="8"/>
  <c r="OQM132" i="8"/>
  <c r="OQL132" i="8"/>
  <c r="OQK132" i="8"/>
  <c r="OQJ132" i="8"/>
  <c r="OQI132" i="8"/>
  <c r="OQH132" i="8"/>
  <c r="OQG132" i="8"/>
  <c r="OQF132" i="8"/>
  <c r="OQE132" i="8"/>
  <c r="OQD132" i="8"/>
  <c r="OQC132" i="8"/>
  <c r="OQB132" i="8"/>
  <c r="OQA132" i="8"/>
  <c r="OPZ132" i="8"/>
  <c r="OPY132" i="8"/>
  <c r="OPX132" i="8"/>
  <c r="OPW132" i="8"/>
  <c r="OPV132" i="8"/>
  <c r="OPU132" i="8"/>
  <c r="OPT132" i="8"/>
  <c r="OPS132" i="8"/>
  <c r="OPR132" i="8"/>
  <c r="OPQ132" i="8"/>
  <c r="OPP132" i="8"/>
  <c r="OPO132" i="8"/>
  <c r="OPN132" i="8"/>
  <c r="OPM132" i="8"/>
  <c r="OPL132" i="8"/>
  <c r="OPK132" i="8"/>
  <c r="OPJ132" i="8"/>
  <c r="OPI132" i="8"/>
  <c r="OPH132" i="8"/>
  <c r="OPG132" i="8"/>
  <c r="OPF132" i="8"/>
  <c r="OPE132" i="8"/>
  <c r="OPD132" i="8"/>
  <c r="OPC132" i="8"/>
  <c r="OPB132" i="8"/>
  <c r="OPA132" i="8"/>
  <c r="OOZ132" i="8"/>
  <c r="OOY132" i="8"/>
  <c r="OOX132" i="8"/>
  <c r="OOW132" i="8"/>
  <c r="OOV132" i="8"/>
  <c r="OOU132" i="8"/>
  <c r="OOT132" i="8"/>
  <c r="OOS132" i="8"/>
  <c r="OOR132" i="8"/>
  <c r="OOQ132" i="8"/>
  <c r="OOP132" i="8"/>
  <c r="OOO132" i="8"/>
  <c r="OON132" i="8"/>
  <c r="OOM132" i="8"/>
  <c r="OOL132" i="8"/>
  <c r="OOK132" i="8"/>
  <c r="OOJ132" i="8"/>
  <c r="OOI132" i="8"/>
  <c r="OOH132" i="8"/>
  <c r="OOG132" i="8"/>
  <c r="OOF132" i="8"/>
  <c r="OOE132" i="8"/>
  <c r="OOD132" i="8"/>
  <c r="OOC132" i="8"/>
  <c r="OOB132" i="8"/>
  <c r="OOA132" i="8"/>
  <c r="ONZ132" i="8"/>
  <c r="ONY132" i="8"/>
  <c r="ONX132" i="8"/>
  <c r="ONW132" i="8"/>
  <c r="ONV132" i="8"/>
  <c r="ONU132" i="8"/>
  <c r="ONT132" i="8"/>
  <c r="ONS132" i="8"/>
  <c r="ONR132" i="8"/>
  <c r="ONQ132" i="8"/>
  <c r="ONP132" i="8"/>
  <c r="ONO132" i="8"/>
  <c r="ONN132" i="8"/>
  <c r="ONM132" i="8"/>
  <c r="ONL132" i="8"/>
  <c r="ONK132" i="8"/>
  <c r="ONJ132" i="8"/>
  <c r="ONI132" i="8"/>
  <c r="ONH132" i="8"/>
  <c r="ONG132" i="8"/>
  <c r="ONF132" i="8"/>
  <c r="ONE132" i="8"/>
  <c r="OND132" i="8"/>
  <c r="ONC132" i="8"/>
  <c r="ONB132" i="8"/>
  <c r="ONA132" i="8"/>
  <c r="OMZ132" i="8"/>
  <c r="OMY132" i="8"/>
  <c r="OMX132" i="8"/>
  <c r="OMW132" i="8"/>
  <c r="OMV132" i="8"/>
  <c r="OMU132" i="8"/>
  <c r="OMT132" i="8"/>
  <c r="OMS132" i="8"/>
  <c r="OMR132" i="8"/>
  <c r="OMQ132" i="8"/>
  <c r="OMP132" i="8"/>
  <c r="OMO132" i="8"/>
  <c r="OMN132" i="8"/>
  <c r="OMM132" i="8"/>
  <c r="OML132" i="8"/>
  <c r="OMK132" i="8"/>
  <c r="OMJ132" i="8"/>
  <c r="OMI132" i="8"/>
  <c r="OMH132" i="8"/>
  <c r="OMG132" i="8"/>
  <c r="OMF132" i="8"/>
  <c r="OME132" i="8"/>
  <c r="OMD132" i="8"/>
  <c r="OMC132" i="8"/>
  <c r="OMB132" i="8"/>
  <c r="OMA132" i="8"/>
  <c r="OLZ132" i="8"/>
  <c r="OLY132" i="8"/>
  <c r="OLX132" i="8"/>
  <c r="OLW132" i="8"/>
  <c r="OLV132" i="8"/>
  <c r="OLU132" i="8"/>
  <c r="OLT132" i="8"/>
  <c r="OLS132" i="8"/>
  <c r="OLR132" i="8"/>
  <c r="OLQ132" i="8"/>
  <c r="OLP132" i="8"/>
  <c r="OLO132" i="8"/>
  <c r="OLN132" i="8"/>
  <c r="OLM132" i="8"/>
  <c r="OLL132" i="8"/>
  <c r="OLK132" i="8"/>
  <c r="OLJ132" i="8"/>
  <c r="OLI132" i="8"/>
  <c r="OLH132" i="8"/>
  <c r="OLG132" i="8"/>
  <c r="OLF132" i="8"/>
  <c r="OLE132" i="8"/>
  <c r="OLD132" i="8"/>
  <c r="OLC132" i="8"/>
  <c r="OLB132" i="8"/>
  <c r="OLA132" i="8"/>
  <c r="OKZ132" i="8"/>
  <c r="OKY132" i="8"/>
  <c r="OKX132" i="8"/>
  <c r="OKW132" i="8"/>
  <c r="OKV132" i="8"/>
  <c r="OKU132" i="8"/>
  <c r="OKT132" i="8"/>
  <c r="OKS132" i="8"/>
  <c r="OKR132" i="8"/>
  <c r="OKQ132" i="8"/>
  <c r="OKP132" i="8"/>
  <c r="OKO132" i="8"/>
  <c r="OKN132" i="8"/>
  <c r="OKM132" i="8"/>
  <c r="OKL132" i="8"/>
  <c r="OKK132" i="8"/>
  <c r="OKJ132" i="8"/>
  <c r="OKI132" i="8"/>
  <c r="OKH132" i="8"/>
  <c r="OKG132" i="8"/>
  <c r="OKF132" i="8"/>
  <c r="OKE132" i="8"/>
  <c r="OKD132" i="8"/>
  <c r="OKC132" i="8"/>
  <c r="OKB132" i="8"/>
  <c r="OKA132" i="8"/>
  <c r="OJZ132" i="8"/>
  <c r="OJY132" i="8"/>
  <c r="OJX132" i="8"/>
  <c r="OJW132" i="8"/>
  <c r="OJV132" i="8"/>
  <c r="OJU132" i="8"/>
  <c r="OJT132" i="8"/>
  <c r="OJS132" i="8"/>
  <c r="OJR132" i="8"/>
  <c r="OJQ132" i="8"/>
  <c r="OJP132" i="8"/>
  <c r="OJO132" i="8"/>
  <c r="OJN132" i="8"/>
  <c r="OJM132" i="8"/>
  <c r="OJL132" i="8"/>
  <c r="OJK132" i="8"/>
  <c r="OJJ132" i="8"/>
  <c r="OJI132" i="8"/>
  <c r="OJH132" i="8"/>
  <c r="OJG132" i="8"/>
  <c r="OJF132" i="8"/>
  <c r="OJE132" i="8"/>
  <c r="OJD132" i="8"/>
  <c r="OJC132" i="8"/>
  <c r="OJB132" i="8"/>
  <c r="OJA132" i="8"/>
  <c r="OIZ132" i="8"/>
  <c r="OIY132" i="8"/>
  <c r="OIX132" i="8"/>
  <c r="OIW132" i="8"/>
  <c r="OIV132" i="8"/>
  <c r="OIU132" i="8"/>
  <c r="OIT132" i="8"/>
  <c r="OIS132" i="8"/>
  <c r="OIR132" i="8"/>
  <c r="OIQ132" i="8"/>
  <c r="OIP132" i="8"/>
  <c r="OIO132" i="8"/>
  <c r="OIN132" i="8"/>
  <c r="OIM132" i="8"/>
  <c r="OIL132" i="8"/>
  <c r="OIK132" i="8"/>
  <c r="OIJ132" i="8"/>
  <c r="OII132" i="8"/>
  <c r="OIH132" i="8"/>
  <c r="OIG132" i="8"/>
  <c r="OIF132" i="8"/>
  <c r="OIE132" i="8"/>
  <c r="OID132" i="8"/>
  <c r="OIC132" i="8"/>
  <c r="OIB132" i="8"/>
  <c r="OIA132" i="8"/>
  <c r="OHZ132" i="8"/>
  <c r="OHY132" i="8"/>
  <c r="OHX132" i="8"/>
  <c r="OHW132" i="8"/>
  <c r="OHV132" i="8"/>
  <c r="OHU132" i="8"/>
  <c r="OHT132" i="8"/>
  <c r="OHS132" i="8"/>
  <c r="OHR132" i="8"/>
  <c r="OHQ132" i="8"/>
  <c r="OHP132" i="8"/>
  <c r="OHO132" i="8"/>
  <c r="OHN132" i="8"/>
  <c r="OHM132" i="8"/>
  <c r="OHL132" i="8"/>
  <c r="OHK132" i="8"/>
  <c r="OHJ132" i="8"/>
  <c r="OHI132" i="8"/>
  <c r="OHH132" i="8"/>
  <c r="OHG132" i="8"/>
  <c r="OHF132" i="8"/>
  <c r="OHE132" i="8"/>
  <c r="OHD132" i="8"/>
  <c r="OHC132" i="8"/>
  <c r="OHB132" i="8"/>
  <c r="OHA132" i="8"/>
  <c r="OGZ132" i="8"/>
  <c r="OGY132" i="8"/>
  <c r="OGX132" i="8"/>
  <c r="OGW132" i="8"/>
  <c r="OGV132" i="8"/>
  <c r="OGU132" i="8"/>
  <c r="OGT132" i="8"/>
  <c r="OGS132" i="8"/>
  <c r="OGR132" i="8"/>
  <c r="OGQ132" i="8"/>
  <c r="OGP132" i="8"/>
  <c r="OGO132" i="8"/>
  <c r="OGN132" i="8"/>
  <c r="OGM132" i="8"/>
  <c r="OGL132" i="8"/>
  <c r="OGK132" i="8"/>
  <c r="OGJ132" i="8"/>
  <c r="OGI132" i="8"/>
  <c r="OGH132" i="8"/>
  <c r="OGG132" i="8"/>
  <c r="OGF132" i="8"/>
  <c r="OGE132" i="8"/>
  <c r="OGD132" i="8"/>
  <c r="OGC132" i="8"/>
  <c r="OGB132" i="8"/>
  <c r="OGA132" i="8"/>
  <c r="OFZ132" i="8"/>
  <c r="OFY132" i="8"/>
  <c r="OFX132" i="8"/>
  <c r="OFW132" i="8"/>
  <c r="OFV132" i="8"/>
  <c r="OFU132" i="8"/>
  <c r="OFT132" i="8"/>
  <c r="OFS132" i="8"/>
  <c r="OFR132" i="8"/>
  <c r="OFQ132" i="8"/>
  <c r="OFP132" i="8"/>
  <c r="OFO132" i="8"/>
  <c r="OFN132" i="8"/>
  <c r="OFM132" i="8"/>
  <c r="OFL132" i="8"/>
  <c r="OFK132" i="8"/>
  <c r="OFJ132" i="8"/>
  <c r="OFI132" i="8"/>
  <c r="OFH132" i="8"/>
  <c r="OFG132" i="8"/>
  <c r="OFF132" i="8"/>
  <c r="OFE132" i="8"/>
  <c r="OFD132" i="8"/>
  <c r="OFC132" i="8"/>
  <c r="OFB132" i="8"/>
  <c r="OFA132" i="8"/>
  <c r="OEZ132" i="8"/>
  <c r="OEY132" i="8"/>
  <c r="OEX132" i="8"/>
  <c r="OEW132" i="8"/>
  <c r="OEV132" i="8"/>
  <c r="OEU132" i="8"/>
  <c r="OET132" i="8"/>
  <c r="OES132" i="8"/>
  <c r="OER132" i="8"/>
  <c r="OEQ132" i="8"/>
  <c r="OEP132" i="8"/>
  <c r="OEO132" i="8"/>
  <c r="OEN132" i="8"/>
  <c r="OEM132" i="8"/>
  <c r="OEL132" i="8"/>
  <c r="OEK132" i="8"/>
  <c r="OEJ132" i="8"/>
  <c r="OEI132" i="8"/>
  <c r="OEH132" i="8"/>
  <c r="OEG132" i="8"/>
  <c r="OEF132" i="8"/>
  <c r="OEE132" i="8"/>
  <c r="OED132" i="8"/>
  <c r="OEC132" i="8"/>
  <c r="OEB132" i="8"/>
  <c r="OEA132" i="8"/>
  <c r="ODZ132" i="8"/>
  <c r="ODY132" i="8"/>
  <c r="ODX132" i="8"/>
  <c r="ODW132" i="8"/>
  <c r="ODV132" i="8"/>
  <c r="ODU132" i="8"/>
  <c r="ODT132" i="8"/>
  <c r="ODS132" i="8"/>
  <c r="ODR132" i="8"/>
  <c r="ODQ132" i="8"/>
  <c r="ODP132" i="8"/>
  <c r="ODO132" i="8"/>
  <c r="ODN132" i="8"/>
  <c r="ODM132" i="8"/>
  <c r="ODL132" i="8"/>
  <c r="ODK132" i="8"/>
  <c r="ODJ132" i="8"/>
  <c r="ODI132" i="8"/>
  <c r="ODH132" i="8"/>
  <c r="ODG132" i="8"/>
  <c r="ODF132" i="8"/>
  <c r="ODE132" i="8"/>
  <c r="ODD132" i="8"/>
  <c r="ODC132" i="8"/>
  <c r="ODB132" i="8"/>
  <c r="ODA132" i="8"/>
  <c r="OCZ132" i="8"/>
  <c r="OCY132" i="8"/>
  <c r="OCX132" i="8"/>
  <c r="OCW132" i="8"/>
  <c r="OCV132" i="8"/>
  <c r="OCU132" i="8"/>
  <c r="OCT132" i="8"/>
  <c r="OCS132" i="8"/>
  <c r="OCR132" i="8"/>
  <c r="OCQ132" i="8"/>
  <c r="OCP132" i="8"/>
  <c r="OCO132" i="8"/>
  <c r="OCN132" i="8"/>
  <c r="OCM132" i="8"/>
  <c r="OCL132" i="8"/>
  <c r="OCK132" i="8"/>
  <c r="OCJ132" i="8"/>
  <c r="OCI132" i="8"/>
  <c r="OCH132" i="8"/>
  <c r="OCG132" i="8"/>
  <c r="OCF132" i="8"/>
  <c r="OCE132" i="8"/>
  <c r="OCD132" i="8"/>
  <c r="OCC132" i="8"/>
  <c r="OCB132" i="8"/>
  <c r="OCA132" i="8"/>
  <c r="OBZ132" i="8"/>
  <c r="OBY132" i="8"/>
  <c r="OBX132" i="8"/>
  <c r="OBW132" i="8"/>
  <c r="OBV132" i="8"/>
  <c r="OBU132" i="8"/>
  <c r="OBT132" i="8"/>
  <c r="OBS132" i="8"/>
  <c r="OBR132" i="8"/>
  <c r="OBQ132" i="8"/>
  <c r="OBP132" i="8"/>
  <c r="OBO132" i="8"/>
  <c r="OBN132" i="8"/>
  <c r="OBM132" i="8"/>
  <c r="OBL132" i="8"/>
  <c r="OBK132" i="8"/>
  <c r="OBJ132" i="8"/>
  <c r="OBI132" i="8"/>
  <c r="OBH132" i="8"/>
  <c r="OBG132" i="8"/>
  <c r="OBF132" i="8"/>
  <c r="OBE132" i="8"/>
  <c r="OBD132" i="8"/>
  <c r="OBC132" i="8"/>
  <c r="OBB132" i="8"/>
  <c r="OBA132" i="8"/>
  <c r="OAZ132" i="8"/>
  <c r="OAY132" i="8"/>
  <c r="OAX132" i="8"/>
  <c r="OAW132" i="8"/>
  <c r="OAV132" i="8"/>
  <c r="OAU132" i="8"/>
  <c r="OAT132" i="8"/>
  <c r="OAS132" i="8"/>
  <c r="OAR132" i="8"/>
  <c r="OAQ132" i="8"/>
  <c r="OAP132" i="8"/>
  <c r="OAO132" i="8"/>
  <c r="OAN132" i="8"/>
  <c r="OAM132" i="8"/>
  <c r="OAL132" i="8"/>
  <c r="OAK132" i="8"/>
  <c r="OAJ132" i="8"/>
  <c r="OAI132" i="8"/>
  <c r="OAH132" i="8"/>
  <c r="OAG132" i="8"/>
  <c r="OAF132" i="8"/>
  <c r="OAE132" i="8"/>
  <c r="OAD132" i="8"/>
  <c r="OAC132" i="8"/>
  <c r="OAB132" i="8"/>
  <c r="OAA132" i="8"/>
  <c r="NZZ132" i="8"/>
  <c r="NZY132" i="8"/>
  <c r="NZX132" i="8"/>
  <c r="NZW132" i="8"/>
  <c r="NZV132" i="8"/>
  <c r="NZU132" i="8"/>
  <c r="NZT132" i="8"/>
  <c r="NZS132" i="8"/>
  <c r="NZR132" i="8"/>
  <c r="NZQ132" i="8"/>
  <c r="NZP132" i="8"/>
  <c r="NZO132" i="8"/>
  <c r="NZN132" i="8"/>
  <c r="NZM132" i="8"/>
  <c r="NZL132" i="8"/>
  <c r="NZK132" i="8"/>
  <c r="NZJ132" i="8"/>
  <c r="NZI132" i="8"/>
  <c r="NZH132" i="8"/>
  <c r="NZG132" i="8"/>
  <c r="NZF132" i="8"/>
  <c r="NZE132" i="8"/>
  <c r="NZD132" i="8"/>
  <c r="NZC132" i="8"/>
  <c r="NZB132" i="8"/>
  <c r="NZA132" i="8"/>
  <c r="NYZ132" i="8"/>
  <c r="NYY132" i="8"/>
  <c r="NYX132" i="8"/>
  <c r="NYW132" i="8"/>
  <c r="NYV132" i="8"/>
  <c r="NYU132" i="8"/>
  <c r="NYT132" i="8"/>
  <c r="NYS132" i="8"/>
  <c r="NYR132" i="8"/>
  <c r="NYQ132" i="8"/>
  <c r="NYP132" i="8"/>
  <c r="NYO132" i="8"/>
  <c r="NYN132" i="8"/>
  <c r="NYM132" i="8"/>
  <c r="NYL132" i="8"/>
  <c r="NYK132" i="8"/>
  <c r="NYJ132" i="8"/>
  <c r="NYI132" i="8"/>
  <c r="NYH132" i="8"/>
  <c r="NYG132" i="8"/>
  <c r="NYF132" i="8"/>
  <c r="NYE132" i="8"/>
  <c r="NYD132" i="8"/>
  <c r="NYC132" i="8"/>
  <c r="NYB132" i="8"/>
  <c r="NYA132" i="8"/>
  <c r="NXZ132" i="8"/>
  <c r="NXY132" i="8"/>
  <c r="NXX132" i="8"/>
  <c r="NXW132" i="8"/>
  <c r="NXV132" i="8"/>
  <c r="NXU132" i="8"/>
  <c r="NXT132" i="8"/>
  <c r="NXS132" i="8"/>
  <c r="NXR132" i="8"/>
  <c r="NXQ132" i="8"/>
  <c r="NXP132" i="8"/>
  <c r="NXO132" i="8"/>
  <c r="NXN132" i="8"/>
  <c r="NXM132" i="8"/>
  <c r="NXL132" i="8"/>
  <c r="NXK132" i="8"/>
  <c r="NXJ132" i="8"/>
  <c r="NXI132" i="8"/>
  <c r="NXH132" i="8"/>
  <c r="NXG132" i="8"/>
  <c r="NXF132" i="8"/>
  <c r="NXE132" i="8"/>
  <c r="NXD132" i="8"/>
  <c r="NXC132" i="8"/>
  <c r="NXB132" i="8"/>
  <c r="NXA132" i="8"/>
  <c r="NWZ132" i="8"/>
  <c r="NWY132" i="8"/>
  <c r="NWX132" i="8"/>
  <c r="NWW132" i="8"/>
  <c r="NWV132" i="8"/>
  <c r="NWU132" i="8"/>
  <c r="NWT132" i="8"/>
  <c r="NWS132" i="8"/>
  <c r="NWR132" i="8"/>
  <c r="NWQ132" i="8"/>
  <c r="NWP132" i="8"/>
  <c r="NWO132" i="8"/>
  <c r="NWN132" i="8"/>
  <c r="NWM132" i="8"/>
  <c r="NWL132" i="8"/>
  <c r="NWK132" i="8"/>
  <c r="NWJ132" i="8"/>
  <c r="NWI132" i="8"/>
  <c r="NWH132" i="8"/>
  <c r="NWG132" i="8"/>
  <c r="NWF132" i="8"/>
  <c r="NWE132" i="8"/>
  <c r="NWD132" i="8"/>
  <c r="NWC132" i="8"/>
  <c r="NWB132" i="8"/>
  <c r="NWA132" i="8"/>
  <c r="NVZ132" i="8"/>
  <c r="NVY132" i="8"/>
  <c r="NVX132" i="8"/>
  <c r="NVW132" i="8"/>
  <c r="NVV132" i="8"/>
  <c r="NVU132" i="8"/>
  <c r="NVT132" i="8"/>
  <c r="NVS132" i="8"/>
  <c r="NVR132" i="8"/>
  <c r="NVQ132" i="8"/>
  <c r="NVP132" i="8"/>
  <c r="NVO132" i="8"/>
  <c r="NVN132" i="8"/>
  <c r="NVM132" i="8"/>
  <c r="NVL132" i="8"/>
  <c r="NVK132" i="8"/>
  <c r="NVJ132" i="8"/>
  <c r="NVI132" i="8"/>
  <c r="NVH132" i="8"/>
  <c r="NVG132" i="8"/>
  <c r="NVF132" i="8"/>
  <c r="NVE132" i="8"/>
  <c r="NVD132" i="8"/>
  <c r="NVC132" i="8"/>
  <c r="NVB132" i="8"/>
  <c r="NVA132" i="8"/>
  <c r="NUZ132" i="8"/>
  <c r="NUY132" i="8"/>
  <c r="NUX132" i="8"/>
  <c r="NUW132" i="8"/>
  <c r="NUV132" i="8"/>
  <c r="NUU132" i="8"/>
  <c r="NUT132" i="8"/>
  <c r="NUS132" i="8"/>
  <c r="NUR132" i="8"/>
  <c r="NUQ132" i="8"/>
  <c r="NUP132" i="8"/>
  <c r="NUO132" i="8"/>
  <c r="NUN132" i="8"/>
  <c r="NUM132" i="8"/>
  <c r="NUL132" i="8"/>
  <c r="NUK132" i="8"/>
  <c r="NUJ132" i="8"/>
  <c r="NUI132" i="8"/>
  <c r="NUH132" i="8"/>
  <c r="NUG132" i="8"/>
  <c r="NUF132" i="8"/>
  <c r="NUE132" i="8"/>
  <c r="NUD132" i="8"/>
  <c r="NUC132" i="8"/>
  <c r="NUB132" i="8"/>
  <c r="NUA132" i="8"/>
  <c r="NTZ132" i="8"/>
  <c r="NTY132" i="8"/>
  <c r="NTX132" i="8"/>
  <c r="NTW132" i="8"/>
  <c r="NTV132" i="8"/>
  <c r="NTU132" i="8"/>
  <c r="NTT132" i="8"/>
  <c r="NTS132" i="8"/>
  <c r="NTR132" i="8"/>
  <c r="NTQ132" i="8"/>
  <c r="NTP132" i="8"/>
  <c r="NTO132" i="8"/>
  <c r="NTN132" i="8"/>
  <c r="NTM132" i="8"/>
  <c r="NTL132" i="8"/>
  <c r="NTK132" i="8"/>
  <c r="NTJ132" i="8"/>
  <c r="NTI132" i="8"/>
  <c r="NTH132" i="8"/>
  <c r="NTG132" i="8"/>
  <c r="NTF132" i="8"/>
  <c r="NTE132" i="8"/>
  <c r="NTD132" i="8"/>
  <c r="NTC132" i="8"/>
  <c r="NTB132" i="8"/>
  <c r="NTA132" i="8"/>
  <c r="NSZ132" i="8"/>
  <c r="NSY132" i="8"/>
  <c r="NSX132" i="8"/>
  <c r="NSW132" i="8"/>
  <c r="NSV132" i="8"/>
  <c r="NSU132" i="8"/>
  <c r="NST132" i="8"/>
  <c r="NSS132" i="8"/>
  <c r="NSR132" i="8"/>
  <c r="NSQ132" i="8"/>
  <c r="NSP132" i="8"/>
  <c r="NSO132" i="8"/>
  <c r="NSN132" i="8"/>
  <c r="NSM132" i="8"/>
  <c r="NSL132" i="8"/>
  <c r="NSK132" i="8"/>
  <c r="NSJ132" i="8"/>
  <c r="NSI132" i="8"/>
  <c r="NSH132" i="8"/>
  <c r="NSG132" i="8"/>
  <c r="NSF132" i="8"/>
  <c r="NSE132" i="8"/>
  <c r="NSD132" i="8"/>
  <c r="NSC132" i="8"/>
  <c r="NSB132" i="8"/>
  <c r="NSA132" i="8"/>
  <c r="NRZ132" i="8"/>
  <c r="NRY132" i="8"/>
  <c r="NRX132" i="8"/>
  <c r="NRW132" i="8"/>
  <c r="NRV132" i="8"/>
  <c r="NRU132" i="8"/>
  <c r="NRT132" i="8"/>
  <c r="NRS132" i="8"/>
  <c r="NRR132" i="8"/>
  <c r="NRQ132" i="8"/>
  <c r="NRP132" i="8"/>
  <c r="NRO132" i="8"/>
  <c r="NRN132" i="8"/>
  <c r="NRM132" i="8"/>
  <c r="NRL132" i="8"/>
  <c r="NRK132" i="8"/>
  <c r="NRJ132" i="8"/>
  <c r="NRI132" i="8"/>
  <c r="NRH132" i="8"/>
  <c r="NRG132" i="8"/>
  <c r="NRF132" i="8"/>
  <c r="NRE132" i="8"/>
  <c r="NRD132" i="8"/>
  <c r="NRC132" i="8"/>
  <c r="NRB132" i="8"/>
  <c r="NRA132" i="8"/>
  <c r="NQZ132" i="8"/>
  <c r="NQY132" i="8"/>
  <c r="NQX132" i="8"/>
  <c r="NQW132" i="8"/>
  <c r="NQV132" i="8"/>
  <c r="NQU132" i="8"/>
  <c r="NQT132" i="8"/>
  <c r="NQS132" i="8"/>
  <c r="NQR132" i="8"/>
  <c r="NQQ132" i="8"/>
  <c r="NQP132" i="8"/>
  <c r="NQO132" i="8"/>
  <c r="NQN132" i="8"/>
  <c r="NQM132" i="8"/>
  <c r="NQL132" i="8"/>
  <c r="NQK132" i="8"/>
  <c r="NQJ132" i="8"/>
  <c r="NQI132" i="8"/>
  <c r="NQH132" i="8"/>
  <c r="NQG132" i="8"/>
  <c r="NQF132" i="8"/>
  <c r="NQE132" i="8"/>
  <c r="NQD132" i="8"/>
  <c r="NQC132" i="8"/>
  <c r="NQB132" i="8"/>
  <c r="NQA132" i="8"/>
  <c r="NPZ132" i="8"/>
  <c r="NPY132" i="8"/>
  <c r="NPX132" i="8"/>
  <c r="NPW132" i="8"/>
  <c r="NPV132" i="8"/>
  <c r="NPU132" i="8"/>
  <c r="NPT132" i="8"/>
  <c r="NPS132" i="8"/>
  <c r="NPR132" i="8"/>
  <c r="NPQ132" i="8"/>
  <c r="NPP132" i="8"/>
  <c r="NPO132" i="8"/>
  <c r="NPN132" i="8"/>
  <c r="NPM132" i="8"/>
  <c r="NPL132" i="8"/>
  <c r="NPK132" i="8"/>
  <c r="NPJ132" i="8"/>
  <c r="NPI132" i="8"/>
  <c r="NPH132" i="8"/>
  <c r="NPG132" i="8"/>
  <c r="NPF132" i="8"/>
  <c r="NPE132" i="8"/>
  <c r="NPD132" i="8"/>
  <c r="NPC132" i="8"/>
  <c r="NPB132" i="8"/>
  <c r="NPA132" i="8"/>
  <c r="NOZ132" i="8"/>
  <c r="NOY132" i="8"/>
  <c r="NOX132" i="8"/>
  <c r="NOW132" i="8"/>
  <c r="NOV132" i="8"/>
  <c r="NOU132" i="8"/>
  <c r="NOT132" i="8"/>
  <c r="NOS132" i="8"/>
  <c r="NOR132" i="8"/>
  <c r="NOQ132" i="8"/>
  <c r="NOP132" i="8"/>
  <c r="NOO132" i="8"/>
  <c r="NON132" i="8"/>
  <c r="NOM132" i="8"/>
  <c r="NOL132" i="8"/>
  <c r="NOK132" i="8"/>
  <c r="NOJ132" i="8"/>
  <c r="NOI132" i="8"/>
  <c r="NOH132" i="8"/>
  <c r="NOG132" i="8"/>
  <c r="NOF132" i="8"/>
  <c r="NOE132" i="8"/>
  <c r="NOD132" i="8"/>
  <c r="NOC132" i="8"/>
  <c r="NOB132" i="8"/>
  <c r="NOA132" i="8"/>
  <c r="NNZ132" i="8"/>
  <c r="NNY132" i="8"/>
  <c r="NNX132" i="8"/>
  <c r="NNW132" i="8"/>
  <c r="NNV132" i="8"/>
  <c r="NNU132" i="8"/>
  <c r="NNT132" i="8"/>
  <c r="NNS132" i="8"/>
  <c r="NNR132" i="8"/>
  <c r="NNQ132" i="8"/>
  <c r="NNP132" i="8"/>
  <c r="NNO132" i="8"/>
  <c r="NNN132" i="8"/>
  <c r="NNM132" i="8"/>
  <c r="NNL132" i="8"/>
  <c r="NNK132" i="8"/>
  <c r="NNJ132" i="8"/>
  <c r="NNI132" i="8"/>
  <c r="NNH132" i="8"/>
  <c r="NNG132" i="8"/>
  <c r="NNF132" i="8"/>
  <c r="NNE132" i="8"/>
  <c r="NND132" i="8"/>
  <c r="NNC132" i="8"/>
  <c r="NNB132" i="8"/>
  <c r="NNA132" i="8"/>
  <c r="NMZ132" i="8"/>
  <c r="NMY132" i="8"/>
  <c r="NMX132" i="8"/>
  <c r="NMW132" i="8"/>
  <c r="NMV132" i="8"/>
  <c r="NMU132" i="8"/>
  <c r="NMT132" i="8"/>
  <c r="NMS132" i="8"/>
  <c r="NMR132" i="8"/>
  <c r="NMQ132" i="8"/>
  <c r="NMP132" i="8"/>
  <c r="NMO132" i="8"/>
  <c r="NMN132" i="8"/>
  <c r="NMM132" i="8"/>
  <c r="NML132" i="8"/>
  <c r="NMK132" i="8"/>
  <c r="NMJ132" i="8"/>
  <c r="NMI132" i="8"/>
  <c r="NMH132" i="8"/>
  <c r="NMG132" i="8"/>
  <c r="NMF132" i="8"/>
  <c r="NME132" i="8"/>
  <c r="NMD132" i="8"/>
  <c r="NMC132" i="8"/>
  <c r="NMB132" i="8"/>
  <c r="NMA132" i="8"/>
  <c r="NLZ132" i="8"/>
  <c r="NLY132" i="8"/>
  <c r="NLX132" i="8"/>
  <c r="NLW132" i="8"/>
  <c r="NLV132" i="8"/>
  <c r="NLU132" i="8"/>
  <c r="NLT132" i="8"/>
  <c r="NLS132" i="8"/>
  <c r="NLR132" i="8"/>
  <c r="NLQ132" i="8"/>
  <c r="NLP132" i="8"/>
  <c r="NLO132" i="8"/>
  <c r="NLN132" i="8"/>
  <c r="NLM132" i="8"/>
  <c r="NLL132" i="8"/>
  <c r="NLK132" i="8"/>
  <c r="NLJ132" i="8"/>
  <c r="NLI132" i="8"/>
  <c r="NLH132" i="8"/>
  <c r="NLG132" i="8"/>
  <c r="NLF132" i="8"/>
  <c r="NLE132" i="8"/>
  <c r="NLD132" i="8"/>
  <c r="NLC132" i="8"/>
  <c r="NLB132" i="8"/>
  <c r="NLA132" i="8"/>
  <c r="NKZ132" i="8"/>
  <c r="NKY132" i="8"/>
  <c r="NKX132" i="8"/>
  <c r="NKW132" i="8"/>
  <c r="NKV132" i="8"/>
  <c r="NKU132" i="8"/>
  <c r="NKT132" i="8"/>
  <c r="NKS132" i="8"/>
  <c r="NKR132" i="8"/>
  <c r="NKQ132" i="8"/>
  <c r="NKP132" i="8"/>
  <c r="NKO132" i="8"/>
  <c r="NKN132" i="8"/>
  <c r="NKM132" i="8"/>
  <c r="NKL132" i="8"/>
  <c r="NKK132" i="8"/>
  <c r="NKJ132" i="8"/>
  <c r="NKI132" i="8"/>
  <c r="NKH132" i="8"/>
  <c r="NKG132" i="8"/>
  <c r="NKF132" i="8"/>
  <c r="NKE132" i="8"/>
  <c r="NKD132" i="8"/>
  <c r="NKC132" i="8"/>
  <c r="NKB132" i="8"/>
  <c r="NKA132" i="8"/>
  <c r="NJZ132" i="8"/>
  <c r="NJY132" i="8"/>
  <c r="NJX132" i="8"/>
  <c r="NJW132" i="8"/>
  <c r="NJV132" i="8"/>
  <c r="NJU132" i="8"/>
  <c r="NJT132" i="8"/>
  <c r="NJS132" i="8"/>
  <c r="NJR132" i="8"/>
  <c r="NJQ132" i="8"/>
  <c r="NJP132" i="8"/>
  <c r="NJO132" i="8"/>
  <c r="NJN132" i="8"/>
  <c r="NJM132" i="8"/>
  <c r="NJL132" i="8"/>
  <c r="NJK132" i="8"/>
  <c r="NJJ132" i="8"/>
  <c r="NJI132" i="8"/>
  <c r="NJH132" i="8"/>
  <c r="NJG132" i="8"/>
  <c r="NJF132" i="8"/>
  <c r="NJE132" i="8"/>
  <c r="NJD132" i="8"/>
  <c r="NJC132" i="8"/>
  <c r="NJB132" i="8"/>
  <c r="NJA132" i="8"/>
  <c r="NIZ132" i="8"/>
  <c r="NIY132" i="8"/>
  <c r="NIX132" i="8"/>
  <c r="NIW132" i="8"/>
  <c r="NIV132" i="8"/>
  <c r="NIU132" i="8"/>
  <c r="NIT132" i="8"/>
  <c r="NIS132" i="8"/>
  <c r="NIR132" i="8"/>
  <c r="NIQ132" i="8"/>
  <c r="NIP132" i="8"/>
  <c r="NIO132" i="8"/>
  <c r="NIN132" i="8"/>
  <c r="NIM132" i="8"/>
  <c r="NIL132" i="8"/>
  <c r="NIK132" i="8"/>
  <c r="NIJ132" i="8"/>
  <c r="NII132" i="8"/>
  <c r="NIH132" i="8"/>
  <c r="NIG132" i="8"/>
  <c r="NIF132" i="8"/>
  <c r="NIE132" i="8"/>
  <c r="NID132" i="8"/>
  <c r="NIC132" i="8"/>
  <c r="NIB132" i="8"/>
  <c r="NIA132" i="8"/>
  <c r="NHZ132" i="8"/>
  <c r="NHY132" i="8"/>
  <c r="NHX132" i="8"/>
  <c r="NHW132" i="8"/>
  <c r="NHV132" i="8"/>
  <c r="NHU132" i="8"/>
  <c r="NHT132" i="8"/>
  <c r="NHS132" i="8"/>
  <c r="NHR132" i="8"/>
  <c r="NHQ132" i="8"/>
  <c r="NHP132" i="8"/>
  <c r="NHO132" i="8"/>
  <c r="NHN132" i="8"/>
  <c r="NHM132" i="8"/>
  <c r="NHL132" i="8"/>
  <c r="NHK132" i="8"/>
  <c r="NHJ132" i="8"/>
  <c r="NHI132" i="8"/>
  <c r="NHH132" i="8"/>
  <c r="NHG132" i="8"/>
  <c r="NHF132" i="8"/>
  <c r="NHE132" i="8"/>
  <c r="NHD132" i="8"/>
  <c r="NHC132" i="8"/>
  <c r="NHB132" i="8"/>
  <c r="NHA132" i="8"/>
  <c r="NGZ132" i="8"/>
  <c r="NGY132" i="8"/>
  <c r="NGX132" i="8"/>
  <c r="NGW132" i="8"/>
  <c r="NGV132" i="8"/>
  <c r="NGU132" i="8"/>
  <c r="NGT132" i="8"/>
  <c r="NGS132" i="8"/>
  <c r="NGR132" i="8"/>
  <c r="NGQ132" i="8"/>
  <c r="NGP132" i="8"/>
  <c r="NGO132" i="8"/>
  <c r="NGN132" i="8"/>
  <c r="NGM132" i="8"/>
  <c r="NGL132" i="8"/>
  <c r="NGK132" i="8"/>
  <c r="NGJ132" i="8"/>
  <c r="NGI132" i="8"/>
  <c r="NGH132" i="8"/>
  <c r="NGG132" i="8"/>
  <c r="NGF132" i="8"/>
  <c r="NGE132" i="8"/>
  <c r="NGD132" i="8"/>
  <c r="NGC132" i="8"/>
  <c r="NGB132" i="8"/>
  <c r="NGA132" i="8"/>
  <c r="NFZ132" i="8"/>
  <c r="NFY132" i="8"/>
  <c r="NFX132" i="8"/>
  <c r="NFW132" i="8"/>
  <c r="NFV132" i="8"/>
  <c r="NFU132" i="8"/>
  <c r="NFT132" i="8"/>
  <c r="NFS132" i="8"/>
  <c r="NFR132" i="8"/>
  <c r="NFQ132" i="8"/>
  <c r="NFP132" i="8"/>
  <c r="NFO132" i="8"/>
  <c r="NFN132" i="8"/>
  <c r="NFM132" i="8"/>
  <c r="NFL132" i="8"/>
  <c r="NFK132" i="8"/>
  <c r="NFJ132" i="8"/>
  <c r="NFI132" i="8"/>
  <c r="NFH132" i="8"/>
  <c r="NFG132" i="8"/>
  <c r="NFF132" i="8"/>
  <c r="NFE132" i="8"/>
  <c r="NFD132" i="8"/>
  <c r="NFC132" i="8"/>
  <c r="NFB132" i="8"/>
  <c r="NFA132" i="8"/>
  <c r="NEZ132" i="8"/>
  <c r="NEY132" i="8"/>
  <c r="NEX132" i="8"/>
  <c r="NEW132" i="8"/>
  <c r="NEV132" i="8"/>
  <c r="NEU132" i="8"/>
  <c r="NET132" i="8"/>
  <c r="NES132" i="8"/>
  <c r="NER132" i="8"/>
  <c r="NEQ132" i="8"/>
  <c r="NEP132" i="8"/>
  <c r="NEO132" i="8"/>
  <c r="NEN132" i="8"/>
  <c r="NEM132" i="8"/>
  <c r="NEL132" i="8"/>
  <c r="NEK132" i="8"/>
  <c r="NEJ132" i="8"/>
  <c r="NEI132" i="8"/>
  <c r="NEH132" i="8"/>
  <c r="NEG132" i="8"/>
  <c r="NEF132" i="8"/>
  <c r="NEE132" i="8"/>
  <c r="NED132" i="8"/>
  <c r="NEC132" i="8"/>
  <c r="NEB132" i="8"/>
  <c r="NEA132" i="8"/>
  <c r="NDZ132" i="8"/>
  <c r="NDY132" i="8"/>
  <c r="NDX132" i="8"/>
  <c r="NDW132" i="8"/>
  <c r="NDV132" i="8"/>
  <c r="NDU132" i="8"/>
  <c r="NDT132" i="8"/>
  <c r="NDS132" i="8"/>
  <c r="NDR132" i="8"/>
  <c r="NDQ132" i="8"/>
  <c r="NDP132" i="8"/>
  <c r="NDO132" i="8"/>
  <c r="NDN132" i="8"/>
  <c r="NDM132" i="8"/>
  <c r="NDL132" i="8"/>
  <c r="NDK132" i="8"/>
  <c r="NDJ132" i="8"/>
  <c r="NDI132" i="8"/>
  <c r="NDH132" i="8"/>
  <c r="NDG132" i="8"/>
  <c r="NDF132" i="8"/>
  <c r="NDE132" i="8"/>
  <c r="NDD132" i="8"/>
  <c r="NDC132" i="8"/>
  <c r="NDB132" i="8"/>
  <c r="NDA132" i="8"/>
  <c r="NCZ132" i="8"/>
  <c r="NCY132" i="8"/>
  <c r="NCX132" i="8"/>
  <c r="NCW132" i="8"/>
  <c r="NCV132" i="8"/>
  <c r="NCU132" i="8"/>
  <c r="NCT132" i="8"/>
  <c r="NCS132" i="8"/>
  <c r="NCR132" i="8"/>
  <c r="NCQ132" i="8"/>
  <c r="NCP132" i="8"/>
  <c r="NCO132" i="8"/>
  <c r="NCN132" i="8"/>
  <c r="NCM132" i="8"/>
  <c r="NCL132" i="8"/>
  <c r="NCK132" i="8"/>
  <c r="NCJ132" i="8"/>
  <c r="NCI132" i="8"/>
  <c r="NCH132" i="8"/>
  <c r="NCG132" i="8"/>
  <c r="NCF132" i="8"/>
  <c r="NCE132" i="8"/>
  <c r="NCD132" i="8"/>
  <c r="NCC132" i="8"/>
  <c r="NCB132" i="8"/>
  <c r="NCA132" i="8"/>
  <c r="NBZ132" i="8"/>
  <c r="NBY132" i="8"/>
  <c r="NBX132" i="8"/>
  <c r="NBW132" i="8"/>
  <c r="NBV132" i="8"/>
  <c r="NBU132" i="8"/>
  <c r="NBT132" i="8"/>
  <c r="NBS132" i="8"/>
  <c r="NBR132" i="8"/>
  <c r="NBQ132" i="8"/>
  <c r="NBP132" i="8"/>
  <c r="NBO132" i="8"/>
  <c r="NBN132" i="8"/>
  <c r="NBM132" i="8"/>
  <c r="NBL132" i="8"/>
  <c r="NBK132" i="8"/>
  <c r="NBJ132" i="8"/>
  <c r="NBI132" i="8"/>
  <c r="NBH132" i="8"/>
  <c r="NBG132" i="8"/>
  <c r="NBF132" i="8"/>
  <c r="NBE132" i="8"/>
  <c r="NBD132" i="8"/>
  <c r="NBC132" i="8"/>
  <c r="NBB132" i="8"/>
  <c r="NBA132" i="8"/>
  <c r="NAZ132" i="8"/>
  <c r="NAY132" i="8"/>
  <c r="NAX132" i="8"/>
  <c r="NAW132" i="8"/>
  <c r="NAV132" i="8"/>
  <c r="NAU132" i="8"/>
  <c r="NAT132" i="8"/>
  <c r="NAS132" i="8"/>
  <c r="NAR132" i="8"/>
  <c r="NAQ132" i="8"/>
  <c r="NAP132" i="8"/>
  <c r="NAO132" i="8"/>
  <c r="NAN132" i="8"/>
  <c r="NAM132" i="8"/>
  <c r="NAL132" i="8"/>
  <c r="NAK132" i="8"/>
  <c r="NAJ132" i="8"/>
  <c r="NAI132" i="8"/>
  <c r="NAH132" i="8"/>
  <c r="NAG132" i="8"/>
  <c r="NAF132" i="8"/>
  <c r="NAE132" i="8"/>
  <c r="NAD132" i="8"/>
  <c r="NAC132" i="8"/>
  <c r="NAB132" i="8"/>
  <c r="NAA132" i="8"/>
  <c r="MZZ132" i="8"/>
  <c r="MZY132" i="8"/>
  <c r="MZX132" i="8"/>
  <c r="MZW132" i="8"/>
  <c r="MZV132" i="8"/>
  <c r="MZU132" i="8"/>
  <c r="MZT132" i="8"/>
  <c r="MZS132" i="8"/>
  <c r="MZR132" i="8"/>
  <c r="MZQ132" i="8"/>
  <c r="MZP132" i="8"/>
  <c r="MZO132" i="8"/>
  <c r="MZN132" i="8"/>
  <c r="MZM132" i="8"/>
  <c r="MZL132" i="8"/>
  <c r="MZK132" i="8"/>
  <c r="MZJ132" i="8"/>
  <c r="MZI132" i="8"/>
  <c r="MZH132" i="8"/>
  <c r="MZG132" i="8"/>
  <c r="MZF132" i="8"/>
  <c r="MZE132" i="8"/>
  <c r="MZD132" i="8"/>
  <c r="MZC132" i="8"/>
  <c r="MZB132" i="8"/>
  <c r="MZA132" i="8"/>
  <c r="MYZ132" i="8"/>
  <c r="MYY132" i="8"/>
  <c r="MYX132" i="8"/>
  <c r="MYW132" i="8"/>
  <c r="MYV132" i="8"/>
  <c r="MYU132" i="8"/>
  <c r="MYT132" i="8"/>
  <c r="MYS132" i="8"/>
  <c r="MYR132" i="8"/>
  <c r="MYQ132" i="8"/>
  <c r="MYP132" i="8"/>
  <c r="MYO132" i="8"/>
  <c r="MYN132" i="8"/>
  <c r="MYM132" i="8"/>
  <c r="MYL132" i="8"/>
  <c r="MYK132" i="8"/>
  <c r="MYJ132" i="8"/>
  <c r="MYI132" i="8"/>
  <c r="MYH132" i="8"/>
  <c r="MYG132" i="8"/>
  <c r="MYF132" i="8"/>
  <c r="MYE132" i="8"/>
  <c r="MYD132" i="8"/>
  <c r="MYC132" i="8"/>
  <c r="MYB132" i="8"/>
  <c r="MYA132" i="8"/>
  <c r="MXZ132" i="8"/>
  <c r="MXY132" i="8"/>
  <c r="MXX132" i="8"/>
  <c r="MXW132" i="8"/>
  <c r="MXV132" i="8"/>
  <c r="MXU132" i="8"/>
  <c r="MXT132" i="8"/>
  <c r="MXS132" i="8"/>
  <c r="MXR132" i="8"/>
  <c r="MXQ132" i="8"/>
  <c r="MXP132" i="8"/>
  <c r="MXO132" i="8"/>
  <c r="MXN132" i="8"/>
  <c r="MXM132" i="8"/>
  <c r="MXL132" i="8"/>
  <c r="MXK132" i="8"/>
  <c r="MXJ132" i="8"/>
  <c r="MXI132" i="8"/>
  <c r="MXH132" i="8"/>
  <c r="MXG132" i="8"/>
  <c r="MXF132" i="8"/>
  <c r="MXE132" i="8"/>
  <c r="MXD132" i="8"/>
  <c r="MXC132" i="8"/>
  <c r="MXB132" i="8"/>
  <c r="MXA132" i="8"/>
  <c r="MWZ132" i="8"/>
  <c r="MWY132" i="8"/>
  <c r="MWX132" i="8"/>
  <c r="MWW132" i="8"/>
  <c r="MWV132" i="8"/>
  <c r="MWU132" i="8"/>
  <c r="MWT132" i="8"/>
  <c r="MWS132" i="8"/>
  <c r="MWR132" i="8"/>
  <c r="MWQ132" i="8"/>
  <c r="MWP132" i="8"/>
  <c r="MWO132" i="8"/>
  <c r="MWN132" i="8"/>
  <c r="MWM132" i="8"/>
  <c r="MWL132" i="8"/>
  <c r="MWK132" i="8"/>
  <c r="MWJ132" i="8"/>
  <c r="MWI132" i="8"/>
  <c r="MWH132" i="8"/>
  <c r="MWG132" i="8"/>
  <c r="MWF132" i="8"/>
  <c r="MWE132" i="8"/>
  <c r="MWD132" i="8"/>
  <c r="MWC132" i="8"/>
  <c r="MWB132" i="8"/>
  <c r="MWA132" i="8"/>
  <c r="MVZ132" i="8"/>
  <c r="MVY132" i="8"/>
  <c r="MVX132" i="8"/>
  <c r="MVW132" i="8"/>
  <c r="MVV132" i="8"/>
  <c r="MVU132" i="8"/>
  <c r="MVT132" i="8"/>
  <c r="MVS132" i="8"/>
  <c r="MVR132" i="8"/>
  <c r="MVQ132" i="8"/>
  <c r="MVP132" i="8"/>
  <c r="MVO132" i="8"/>
  <c r="MVN132" i="8"/>
  <c r="MVM132" i="8"/>
  <c r="MVL132" i="8"/>
  <c r="MVK132" i="8"/>
  <c r="MVJ132" i="8"/>
  <c r="MVI132" i="8"/>
  <c r="MVH132" i="8"/>
  <c r="MVG132" i="8"/>
  <c r="MVF132" i="8"/>
  <c r="MVE132" i="8"/>
  <c r="MVD132" i="8"/>
  <c r="MVC132" i="8"/>
  <c r="MVB132" i="8"/>
  <c r="MVA132" i="8"/>
  <c r="MUZ132" i="8"/>
  <c r="MUY132" i="8"/>
  <c r="MUX132" i="8"/>
  <c r="MUW132" i="8"/>
  <c r="MUV132" i="8"/>
  <c r="MUU132" i="8"/>
  <c r="MUT132" i="8"/>
  <c r="MUS132" i="8"/>
  <c r="MUR132" i="8"/>
  <c r="MUQ132" i="8"/>
  <c r="MUP132" i="8"/>
  <c r="MUO132" i="8"/>
  <c r="MUN132" i="8"/>
  <c r="MUM132" i="8"/>
  <c r="MUL132" i="8"/>
  <c r="MUK132" i="8"/>
  <c r="MUJ132" i="8"/>
  <c r="MUI132" i="8"/>
  <c r="MUH132" i="8"/>
  <c r="MUG132" i="8"/>
  <c r="MUF132" i="8"/>
  <c r="MUE132" i="8"/>
  <c r="MUD132" i="8"/>
  <c r="MUC132" i="8"/>
  <c r="MUB132" i="8"/>
  <c r="MUA132" i="8"/>
  <c r="MTZ132" i="8"/>
  <c r="MTY132" i="8"/>
  <c r="MTX132" i="8"/>
  <c r="MTW132" i="8"/>
  <c r="MTV132" i="8"/>
  <c r="MTU132" i="8"/>
  <c r="MTT132" i="8"/>
  <c r="MTS132" i="8"/>
  <c r="MTR132" i="8"/>
  <c r="MTQ132" i="8"/>
  <c r="MTP132" i="8"/>
  <c r="MTO132" i="8"/>
  <c r="MTN132" i="8"/>
  <c r="MTM132" i="8"/>
  <c r="MTL132" i="8"/>
  <c r="MTK132" i="8"/>
  <c r="MTJ132" i="8"/>
  <c r="MTI132" i="8"/>
  <c r="MTH132" i="8"/>
  <c r="MTG132" i="8"/>
  <c r="MTF132" i="8"/>
  <c r="MTE132" i="8"/>
  <c r="MTD132" i="8"/>
  <c r="MTC132" i="8"/>
  <c r="MTB132" i="8"/>
  <c r="MTA132" i="8"/>
  <c r="MSZ132" i="8"/>
  <c r="MSY132" i="8"/>
  <c r="MSX132" i="8"/>
  <c r="MSW132" i="8"/>
  <c r="MSV132" i="8"/>
  <c r="MSU132" i="8"/>
  <c r="MST132" i="8"/>
  <c r="MSS132" i="8"/>
  <c r="MSR132" i="8"/>
  <c r="MSQ132" i="8"/>
  <c r="MSP132" i="8"/>
  <c r="MSO132" i="8"/>
  <c r="MSN132" i="8"/>
  <c r="MSM132" i="8"/>
  <c r="MSL132" i="8"/>
  <c r="MSK132" i="8"/>
  <c r="MSJ132" i="8"/>
  <c r="MSI132" i="8"/>
  <c r="MSH132" i="8"/>
  <c r="MSG132" i="8"/>
  <c r="MSF132" i="8"/>
  <c r="MSE132" i="8"/>
  <c r="MSD132" i="8"/>
  <c r="MSC132" i="8"/>
  <c r="MSB132" i="8"/>
  <c r="MSA132" i="8"/>
  <c r="MRZ132" i="8"/>
  <c r="MRY132" i="8"/>
  <c r="MRX132" i="8"/>
  <c r="MRW132" i="8"/>
  <c r="MRV132" i="8"/>
  <c r="MRU132" i="8"/>
  <c r="MRT132" i="8"/>
  <c r="MRS132" i="8"/>
  <c r="MRR132" i="8"/>
  <c r="MRQ132" i="8"/>
  <c r="MRP132" i="8"/>
  <c r="MRO132" i="8"/>
  <c r="MRN132" i="8"/>
  <c r="MRM132" i="8"/>
  <c r="MRL132" i="8"/>
  <c r="MRK132" i="8"/>
  <c r="MRJ132" i="8"/>
  <c r="MRI132" i="8"/>
  <c r="MRH132" i="8"/>
  <c r="MRG132" i="8"/>
  <c r="MRF132" i="8"/>
  <c r="MRE132" i="8"/>
  <c r="MRD132" i="8"/>
  <c r="MRC132" i="8"/>
  <c r="MRB132" i="8"/>
  <c r="MRA132" i="8"/>
  <c r="MQZ132" i="8"/>
  <c r="MQY132" i="8"/>
  <c r="MQX132" i="8"/>
  <c r="MQW132" i="8"/>
  <c r="MQV132" i="8"/>
  <c r="MQU132" i="8"/>
  <c r="MQT132" i="8"/>
  <c r="MQS132" i="8"/>
  <c r="MQR132" i="8"/>
  <c r="MQQ132" i="8"/>
  <c r="MQP132" i="8"/>
  <c r="MQO132" i="8"/>
  <c r="MQN132" i="8"/>
  <c r="MQM132" i="8"/>
  <c r="MQL132" i="8"/>
  <c r="MQK132" i="8"/>
  <c r="MQJ132" i="8"/>
  <c r="MQI132" i="8"/>
  <c r="MQH132" i="8"/>
  <c r="MQG132" i="8"/>
  <c r="MQF132" i="8"/>
  <c r="MQE132" i="8"/>
  <c r="MQD132" i="8"/>
  <c r="MQC132" i="8"/>
  <c r="MQB132" i="8"/>
  <c r="MQA132" i="8"/>
  <c r="MPZ132" i="8"/>
  <c r="MPY132" i="8"/>
  <c r="MPX132" i="8"/>
  <c r="MPW132" i="8"/>
  <c r="MPV132" i="8"/>
  <c r="MPU132" i="8"/>
  <c r="MPT132" i="8"/>
  <c r="MPS132" i="8"/>
  <c r="MPR132" i="8"/>
  <c r="MPQ132" i="8"/>
  <c r="MPP132" i="8"/>
  <c r="MPO132" i="8"/>
  <c r="MPN132" i="8"/>
  <c r="MPM132" i="8"/>
  <c r="MPL132" i="8"/>
  <c r="MPK132" i="8"/>
  <c r="MPJ132" i="8"/>
  <c r="MPI132" i="8"/>
  <c r="MPH132" i="8"/>
  <c r="MPG132" i="8"/>
  <c r="MPF132" i="8"/>
  <c r="MPE132" i="8"/>
  <c r="MPD132" i="8"/>
  <c r="MPC132" i="8"/>
  <c r="MPB132" i="8"/>
  <c r="MPA132" i="8"/>
  <c r="MOZ132" i="8"/>
  <c r="MOY132" i="8"/>
  <c r="MOX132" i="8"/>
  <c r="MOW132" i="8"/>
  <c r="MOV132" i="8"/>
  <c r="MOU132" i="8"/>
  <c r="MOT132" i="8"/>
  <c r="MOS132" i="8"/>
  <c r="MOR132" i="8"/>
  <c r="MOQ132" i="8"/>
  <c r="MOP132" i="8"/>
  <c r="MOO132" i="8"/>
  <c r="MON132" i="8"/>
  <c r="MOM132" i="8"/>
  <c r="MOL132" i="8"/>
  <c r="MOK132" i="8"/>
  <c r="MOJ132" i="8"/>
  <c r="MOI132" i="8"/>
  <c r="MOH132" i="8"/>
  <c r="MOG132" i="8"/>
  <c r="MOF132" i="8"/>
  <c r="MOE132" i="8"/>
  <c r="MOD132" i="8"/>
  <c r="MOC132" i="8"/>
  <c r="MOB132" i="8"/>
  <c r="MOA132" i="8"/>
  <c r="MNZ132" i="8"/>
  <c r="MNY132" i="8"/>
  <c r="MNX132" i="8"/>
  <c r="MNW132" i="8"/>
  <c r="MNV132" i="8"/>
  <c r="MNU132" i="8"/>
  <c r="MNT132" i="8"/>
  <c r="MNS132" i="8"/>
  <c r="MNR132" i="8"/>
  <c r="MNQ132" i="8"/>
  <c r="MNP132" i="8"/>
  <c r="MNO132" i="8"/>
  <c r="MNN132" i="8"/>
  <c r="MNM132" i="8"/>
  <c r="MNL132" i="8"/>
  <c r="MNK132" i="8"/>
  <c r="MNJ132" i="8"/>
  <c r="MNI132" i="8"/>
  <c r="MNH132" i="8"/>
  <c r="MNG132" i="8"/>
  <c r="MNF132" i="8"/>
  <c r="MNE132" i="8"/>
  <c r="MND132" i="8"/>
  <c r="MNC132" i="8"/>
  <c r="MNB132" i="8"/>
  <c r="MNA132" i="8"/>
  <c r="MMZ132" i="8"/>
  <c r="MMY132" i="8"/>
  <c r="MMX132" i="8"/>
  <c r="MMW132" i="8"/>
  <c r="MMV132" i="8"/>
  <c r="MMU132" i="8"/>
  <c r="MMT132" i="8"/>
  <c r="MMS132" i="8"/>
  <c r="MMR132" i="8"/>
  <c r="MMQ132" i="8"/>
  <c r="MMP132" i="8"/>
  <c r="MMO132" i="8"/>
  <c r="MMN132" i="8"/>
  <c r="MMM132" i="8"/>
  <c r="MML132" i="8"/>
  <c r="MMK132" i="8"/>
  <c r="MMJ132" i="8"/>
  <c r="MMI132" i="8"/>
  <c r="MMH132" i="8"/>
  <c r="MMG132" i="8"/>
  <c r="MMF132" i="8"/>
  <c r="MME132" i="8"/>
  <c r="MMD132" i="8"/>
  <c r="MMC132" i="8"/>
  <c r="MMB132" i="8"/>
  <c r="MMA132" i="8"/>
  <c r="MLZ132" i="8"/>
  <c r="MLY132" i="8"/>
  <c r="MLX132" i="8"/>
  <c r="MLW132" i="8"/>
  <c r="MLV132" i="8"/>
  <c r="MLU132" i="8"/>
  <c r="MLT132" i="8"/>
  <c r="MLS132" i="8"/>
  <c r="MLR132" i="8"/>
  <c r="MLQ132" i="8"/>
  <c r="MLP132" i="8"/>
  <c r="MLO132" i="8"/>
  <c r="MLN132" i="8"/>
  <c r="MLM132" i="8"/>
  <c r="MLL132" i="8"/>
  <c r="MLK132" i="8"/>
  <c r="MLJ132" i="8"/>
  <c r="MLI132" i="8"/>
  <c r="MLH132" i="8"/>
  <c r="MLG132" i="8"/>
  <c r="MLF132" i="8"/>
  <c r="MLE132" i="8"/>
  <c r="MLD132" i="8"/>
  <c r="MLC132" i="8"/>
  <c r="MLB132" i="8"/>
  <c r="MLA132" i="8"/>
  <c r="MKZ132" i="8"/>
  <c r="MKY132" i="8"/>
  <c r="MKX132" i="8"/>
  <c r="MKW132" i="8"/>
  <c r="MKV132" i="8"/>
  <c r="MKU132" i="8"/>
  <c r="MKT132" i="8"/>
  <c r="MKS132" i="8"/>
  <c r="MKR132" i="8"/>
  <c r="MKQ132" i="8"/>
  <c r="MKP132" i="8"/>
  <c r="MKO132" i="8"/>
  <c r="MKN132" i="8"/>
  <c r="MKM132" i="8"/>
  <c r="MKL132" i="8"/>
  <c r="MKK132" i="8"/>
  <c r="MKJ132" i="8"/>
  <c r="MKI132" i="8"/>
  <c r="MKH132" i="8"/>
  <c r="MKG132" i="8"/>
  <c r="MKF132" i="8"/>
  <c r="MKE132" i="8"/>
  <c r="MKD132" i="8"/>
  <c r="MKC132" i="8"/>
  <c r="MKB132" i="8"/>
  <c r="MKA132" i="8"/>
  <c r="MJZ132" i="8"/>
  <c r="MJY132" i="8"/>
  <c r="MJX132" i="8"/>
  <c r="MJW132" i="8"/>
  <c r="MJV132" i="8"/>
  <c r="MJU132" i="8"/>
  <c r="MJT132" i="8"/>
  <c r="MJS132" i="8"/>
  <c r="MJR132" i="8"/>
  <c r="MJQ132" i="8"/>
  <c r="MJP132" i="8"/>
  <c r="MJO132" i="8"/>
  <c r="MJN132" i="8"/>
  <c r="MJM132" i="8"/>
  <c r="MJL132" i="8"/>
  <c r="MJK132" i="8"/>
  <c r="MJJ132" i="8"/>
  <c r="MJI132" i="8"/>
  <c r="MJH132" i="8"/>
  <c r="MJG132" i="8"/>
  <c r="MJF132" i="8"/>
  <c r="MJE132" i="8"/>
  <c r="MJD132" i="8"/>
  <c r="MJC132" i="8"/>
  <c r="MJB132" i="8"/>
  <c r="MJA132" i="8"/>
  <c r="MIZ132" i="8"/>
  <c r="MIY132" i="8"/>
  <c r="MIX132" i="8"/>
  <c r="MIW132" i="8"/>
  <c r="MIV132" i="8"/>
  <c r="MIU132" i="8"/>
  <c r="MIT132" i="8"/>
  <c r="MIS132" i="8"/>
  <c r="MIR132" i="8"/>
  <c r="MIQ132" i="8"/>
  <c r="MIP132" i="8"/>
  <c r="MIO132" i="8"/>
  <c r="MIN132" i="8"/>
  <c r="MIM132" i="8"/>
  <c r="MIL132" i="8"/>
  <c r="MIK132" i="8"/>
  <c r="MIJ132" i="8"/>
  <c r="MII132" i="8"/>
  <c r="MIH132" i="8"/>
  <c r="MIG132" i="8"/>
  <c r="MIF132" i="8"/>
  <c r="MIE132" i="8"/>
  <c r="MID132" i="8"/>
  <c r="MIC132" i="8"/>
  <c r="MIB132" i="8"/>
  <c r="MIA132" i="8"/>
  <c r="MHZ132" i="8"/>
  <c r="MHY132" i="8"/>
  <c r="MHX132" i="8"/>
  <c r="MHW132" i="8"/>
  <c r="MHV132" i="8"/>
  <c r="MHU132" i="8"/>
  <c r="MHT132" i="8"/>
  <c r="MHS132" i="8"/>
  <c r="MHR132" i="8"/>
  <c r="MHQ132" i="8"/>
  <c r="MHP132" i="8"/>
  <c r="MHO132" i="8"/>
  <c r="MHN132" i="8"/>
  <c r="MHM132" i="8"/>
  <c r="MHL132" i="8"/>
  <c r="MHK132" i="8"/>
  <c r="MHJ132" i="8"/>
  <c r="MHI132" i="8"/>
  <c r="MHH132" i="8"/>
  <c r="MHG132" i="8"/>
  <c r="MHF132" i="8"/>
  <c r="MHE132" i="8"/>
  <c r="MHD132" i="8"/>
  <c r="MHC132" i="8"/>
  <c r="MHB132" i="8"/>
  <c r="MHA132" i="8"/>
  <c r="MGZ132" i="8"/>
  <c r="MGY132" i="8"/>
  <c r="MGX132" i="8"/>
  <c r="MGW132" i="8"/>
  <c r="MGV132" i="8"/>
  <c r="MGU132" i="8"/>
  <c r="MGT132" i="8"/>
  <c r="MGS132" i="8"/>
  <c r="MGR132" i="8"/>
  <c r="MGQ132" i="8"/>
  <c r="MGP132" i="8"/>
  <c r="MGO132" i="8"/>
  <c r="MGN132" i="8"/>
  <c r="MGM132" i="8"/>
  <c r="MGL132" i="8"/>
  <c r="MGK132" i="8"/>
  <c r="MGJ132" i="8"/>
  <c r="MGI132" i="8"/>
  <c r="MGH132" i="8"/>
  <c r="MGG132" i="8"/>
  <c r="MGF132" i="8"/>
  <c r="MGE132" i="8"/>
  <c r="MGD132" i="8"/>
  <c r="MGC132" i="8"/>
  <c r="MGB132" i="8"/>
  <c r="MGA132" i="8"/>
  <c r="MFZ132" i="8"/>
  <c r="MFY132" i="8"/>
  <c r="MFX132" i="8"/>
  <c r="MFW132" i="8"/>
  <c r="MFV132" i="8"/>
  <c r="MFU132" i="8"/>
  <c r="MFT132" i="8"/>
  <c r="MFS132" i="8"/>
  <c r="MFR132" i="8"/>
  <c r="MFQ132" i="8"/>
  <c r="MFP132" i="8"/>
  <c r="MFO132" i="8"/>
  <c r="MFN132" i="8"/>
  <c r="MFM132" i="8"/>
  <c r="MFL132" i="8"/>
  <c r="MFK132" i="8"/>
  <c r="MFJ132" i="8"/>
  <c r="MFI132" i="8"/>
  <c r="MFH132" i="8"/>
  <c r="MFG132" i="8"/>
  <c r="MFF132" i="8"/>
  <c r="MFE132" i="8"/>
  <c r="MFD132" i="8"/>
  <c r="MFC132" i="8"/>
  <c r="MFB132" i="8"/>
  <c r="MFA132" i="8"/>
  <c r="MEZ132" i="8"/>
  <c r="MEY132" i="8"/>
  <c r="MEX132" i="8"/>
  <c r="MEW132" i="8"/>
  <c r="MEV132" i="8"/>
  <c r="MEU132" i="8"/>
  <c r="MET132" i="8"/>
  <c r="MES132" i="8"/>
  <c r="MER132" i="8"/>
  <c r="MEQ132" i="8"/>
  <c r="MEP132" i="8"/>
  <c r="MEO132" i="8"/>
  <c r="MEN132" i="8"/>
  <c r="MEM132" i="8"/>
  <c r="MEL132" i="8"/>
  <c r="MEK132" i="8"/>
  <c r="MEJ132" i="8"/>
  <c r="MEI132" i="8"/>
  <c r="MEH132" i="8"/>
  <c r="MEG132" i="8"/>
  <c r="MEF132" i="8"/>
  <c r="MEE132" i="8"/>
  <c r="MED132" i="8"/>
  <c r="MEC132" i="8"/>
  <c r="MEB132" i="8"/>
  <c r="MEA132" i="8"/>
  <c r="MDZ132" i="8"/>
  <c r="MDY132" i="8"/>
  <c r="MDX132" i="8"/>
  <c r="MDW132" i="8"/>
  <c r="MDV132" i="8"/>
  <c r="MDU132" i="8"/>
  <c r="MDT132" i="8"/>
  <c r="MDS132" i="8"/>
  <c r="MDR132" i="8"/>
  <c r="MDQ132" i="8"/>
  <c r="MDP132" i="8"/>
  <c r="MDO132" i="8"/>
  <c r="MDN132" i="8"/>
  <c r="MDM132" i="8"/>
  <c r="MDL132" i="8"/>
  <c r="MDK132" i="8"/>
  <c r="MDJ132" i="8"/>
  <c r="MDI132" i="8"/>
  <c r="MDH132" i="8"/>
  <c r="MDG132" i="8"/>
  <c r="MDF132" i="8"/>
  <c r="MDE132" i="8"/>
  <c r="MDD132" i="8"/>
  <c r="MDC132" i="8"/>
  <c r="MDB132" i="8"/>
  <c r="MDA132" i="8"/>
  <c r="MCZ132" i="8"/>
  <c r="MCY132" i="8"/>
  <c r="MCX132" i="8"/>
  <c r="MCW132" i="8"/>
  <c r="MCV132" i="8"/>
  <c r="MCU132" i="8"/>
  <c r="MCT132" i="8"/>
  <c r="MCS132" i="8"/>
  <c r="MCR132" i="8"/>
  <c r="MCQ132" i="8"/>
  <c r="MCP132" i="8"/>
  <c r="MCO132" i="8"/>
  <c r="MCN132" i="8"/>
  <c r="MCM132" i="8"/>
  <c r="MCL132" i="8"/>
  <c r="MCK132" i="8"/>
  <c r="MCJ132" i="8"/>
  <c r="MCI132" i="8"/>
  <c r="MCH132" i="8"/>
  <c r="MCG132" i="8"/>
  <c r="MCF132" i="8"/>
  <c r="MCE132" i="8"/>
  <c r="MCD132" i="8"/>
  <c r="MCC132" i="8"/>
  <c r="MCB132" i="8"/>
  <c r="MCA132" i="8"/>
  <c r="MBZ132" i="8"/>
  <c r="MBY132" i="8"/>
  <c r="MBX132" i="8"/>
  <c r="MBW132" i="8"/>
  <c r="MBV132" i="8"/>
  <c r="MBU132" i="8"/>
  <c r="MBT132" i="8"/>
  <c r="MBS132" i="8"/>
  <c r="MBR132" i="8"/>
  <c r="MBQ132" i="8"/>
  <c r="MBP132" i="8"/>
  <c r="MBO132" i="8"/>
  <c r="MBN132" i="8"/>
  <c r="MBM132" i="8"/>
  <c r="MBL132" i="8"/>
  <c r="MBK132" i="8"/>
  <c r="MBJ132" i="8"/>
  <c r="MBI132" i="8"/>
  <c r="MBH132" i="8"/>
  <c r="MBG132" i="8"/>
  <c r="MBF132" i="8"/>
  <c r="MBE132" i="8"/>
  <c r="MBD132" i="8"/>
  <c r="MBC132" i="8"/>
  <c r="MBB132" i="8"/>
  <c r="MBA132" i="8"/>
  <c r="MAZ132" i="8"/>
  <c r="MAY132" i="8"/>
  <c r="MAX132" i="8"/>
  <c r="MAW132" i="8"/>
  <c r="MAV132" i="8"/>
  <c r="MAU132" i="8"/>
  <c r="MAT132" i="8"/>
  <c r="MAS132" i="8"/>
  <c r="MAR132" i="8"/>
  <c r="MAQ132" i="8"/>
  <c r="MAP132" i="8"/>
  <c r="MAO132" i="8"/>
  <c r="MAN132" i="8"/>
  <c r="MAM132" i="8"/>
  <c r="MAL132" i="8"/>
  <c r="MAK132" i="8"/>
  <c r="MAJ132" i="8"/>
  <c r="MAI132" i="8"/>
  <c r="MAH132" i="8"/>
  <c r="MAG132" i="8"/>
  <c r="MAF132" i="8"/>
  <c r="MAE132" i="8"/>
  <c r="MAD132" i="8"/>
  <c r="MAC132" i="8"/>
  <c r="MAB132" i="8"/>
  <c r="MAA132" i="8"/>
  <c r="LZZ132" i="8"/>
  <c r="LZY132" i="8"/>
  <c r="LZX132" i="8"/>
  <c r="LZW132" i="8"/>
  <c r="LZV132" i="8"/>
  <c r="LZU132" i="8"/>
  <c r="LZT132" i="8"/>
  <c r="LZS132" i="8"/>
  <c r="LZR132" i="8"/>
  <c r="LZQ132" i="8"/>
  <c r="LZP132" i="8"/>
  <c r="LZO132" i="8"/>
  <c r="LZN132" i="8"/>
  <c r="LZM132" i="8"/>
  <c r="LZL132" i="8"/>
  <c r="LZK132" i="8"/>
  <c r="LZJ132" i="8"/>
  <c r="LZI132" i="8"/>
  <c r="LZH132" i="8"/>
  <c r="LZG132" i="8"/>
  <c r="LZF132" i="8"/>
  <c r="LZE132" i="8"/>
  <c r="LZD132" i="8"/>
  <c r="LZC132" i="8"/>
  <c r="LZB132" i="8"/>
  <c r="LZA132" i="8"/>
  <c r="LYZ132" i="8"/>
  <c r="LYY132" i="8"/>
  <c r="LYX132" i="8"/>
  <c r="LYW132" i="8"/>
  <c r="LYV132" i="8"/>
  <c r="LYU132" i="8"/>
  <c r="LYT132" i="8"/>
  <c r="LYS132" i="8"/>
  <c r="LYR132" i="8"/>
  <c r="LYQ132" i="8"/>
  <c r="LYP132" i="8"/>
  <c r="LYO132" i="8"/>
  <c r="LYN132" i="8"/>
  <c r="LYM132" i="8"/>
  <c r="LYL132" i="8"/>
  <c r="LYK132" i="8"/>
  <c r="LYJ132" i="8"/>
  <c r="LYI132" i="8"/>
  <c r="LYH132" i="8"/>
  <c r="LYG132" i="8"/>
  <c r="LYF132" i="8"/>
  <c r="LYE132" i="8"/>
  <c r="LYD132" i="8"/>
  <c r="LYC132" i="8"/>
  <c r="LYB132" i="8"/>
  <c r="LYA132" i="8"/>
  <c r="LXZ132" i="8"/>
  <c r="LXY132" i="8"/>
  <c r="LXX132" i="8"/>
  <c r="LXW132" i="8"/>
  <c r="LXV132" i="8"/>
  <c r="LXU132" i="8"/>
  <c r="LXT132" i="8"/>
  <c r="LXS132" i="8"/>
  <c r="LXR132" i="8"/>
  <c r="LXQ132" i="8"/>
  <c r="LXP132" i="8"/>
  <c r="LXO132" i="8"/>
  <c r="LXN132" i="8"/>
  <c r="LXM132" i="8"/>
  <c r="LXL132" i="8"/>
  <c r="LXK132" i="8"/>
  <c r="LXJ132" i="8"/>
  <c r="LXI132" i="8"/>
  <c r="LXH132" i="8"/>
  <c r="LXG132" i="8"/>
  <c r="LXF132" i="8"/>
  <c r="LXE132" i="8"/>
  <c r="LXD132" i="8"/>
  <c r="LXC132" i="8"/>
  <c r="LXB132" i="8"/>
  <c r="LXA132" i="8"/>
  <c r="LWZ132" i="8"/>
  <c r="LWY132" i="8"/>
  <c r="LWX132" i="8"/>
  <c r="LWW132" i="8"/>
  <c r="LWV132" i="8"/>
  <c r="LWU132" i="8"/>
  <c r="LWT132" i="8"/>
  <c r="LWS132" i="8"/>
  <c r="LWR132" i="8"/>
  <c r="LWQ132" i="8"/>
  <c r="LWP132" i="8"/>
  <c r="LWO132" i="8"/>
  <c r="LWN132" i="8"/>
  <c r="LWM132" i="8"/>
  <c r="LWL132" i="8"/>
  <c r="LWK132" i="8"/>
  <c r="LWJ132" i="8"/>
  <c r="LWI132" i="8"/>
  <c r="LWH132" i="8"/>
  <c r="LWG132" i="8"/>
  <c r="LWF132" i="8"/>
  <c r="LWE132" i="8"/>
  <c r="LWD132" i="8"/>
  <c r="LWC132" i="8"/>
  <c r="LWB132" i="8"/>
  <c r="LWA132" i="8"/>
  <c r="LVZ132" i="8"/>
  <c r="LVY132" i="8"/>
  <c r="LVX132" i="8"/>
  <c r="LVW132" i="8"/>
  <c r="LVV132" i="8"/>
  <c r="LVU132" i="8"/>
  <c r="LVT132" i="8"/>
  <c r="LVS132" i="8"/>
  <c r="LVR132" i="8"/>
  <c r="LVQ132" i="8"/>
  <c r="LVP132" i="8"/>
  <c r="LVO132" i="8"/>
  <c r="LVN132" i="8"/>
  <c r="LVM132" i="8"/>
  <c r="LVL132" i="8"/>
  <c r="LVK132" i="8"/>
  <c r="LVJ132" i="8"/>
  <c r="LVI132" i="8"/>
  <c r="LVH132" i="8"/>
  <c r="LVG132" i="8"/>
  <c r="LVF132" i="8"/>
  <c r="LVE132" i="8"/>
  <c r="LVD132" i="8"/>
  <c r="LVC132" i="8"/>
  <c r="LVB132" i="8"/>
  <c r="LVA132" i="8"/>
  <c r="LUZ132" i="8"/>
  <c r="LUY132" i="8"/>
  <c r="LUX132" i="8"/>
  <c r="LUW132" i="8"/>
  <c r="LUV132" i="8"/>
  <c r="LUU132" i="8"/>
  <c r="LUT132" i="8"/>
  <c r="LUS132" i="8"/>
  <c r="LUR132" i="8"/>
  <c r="LUQ132" i="8"/>
  <c r="LUP132" i="8"/>
  <c r="LUO132" i="8"/>
  <c r="LUN132" i="8"/>
  <c r="LUM132" i="8"/>
  <c r="LUL132" i="8"/>
  <c r="LUK132" i="8"/>
  <c r="LUJ132" i="8"/>
  <c r="LUI132" i="8"/>
  <c r="LUH132" i="8"/>
  <c r="LUG132" i="8"/>
  <c r="LUF132" i="8"/>
  <c r="LUE132" i="8"/>
  <c r="LUD132" i="8"/>
  <c r="LUC132" i="8"/>
  <c r="LUB132" i="8"/>
  <c r="LUA132" i="8"/>
  <c r="LTZ132" i="8"/>
  <c r="LTY132" i="8"/>
  <c r="LTX132" i="8"/>
  <c r="LTW132" i="8"/>
  <c r="LTV132" i="8"/>
  <c r="LTU132" i="8"/>
  <c r="LTT132" i="8"/>
  <c r="LTS132" i="8"/>
  <c r="LTR132" i="8"/>
  <c r="LTQ132" i="8"/>
  <c r="LTP132" i="8"/>
  <c r="LTO132" i="8"/>
  <c r="LTN132" i="8"/>
  <c r="LTM132" i="8"/>
  <c r="LTL132" i="8"/>
  <c r="LTK132" i="8"/>
  <c r="LTJ132" i="8"/>
  <c r="LTI132" i="8"/>
  <c r="LTH132" i="8"/>
  <c r="LTG132" i="8"/>
  <c r="LTF132" i="8"/>
  <c r="LTE132" i="8"/>
  <c r="LTD132" i="8"/>
  <c r="LTC132" i="8"/>
  <c r="LTB132" i="8"/>
  <c r="LTA132" i="8"/>
  <c r="LSZ132" i="8"/>
  <c r="LSY132" i="8"/>
  <c r="LSX132" i="8"/>
  <c r="LSW132" i="8"/>
  <c r="LSV132" i="8"/>
  <c r="LSU132" i="8"/>
  <c r="LST132" i="8"/>
  <c r="LSS132" i="8"/>
  <c r="LSR132" i="8"/>
  <c r="LSQ132" i="8"/>
  <c r="LSP132" i="8"/>
  <c r="LSO132" i="8"/>
  <c r="LSN132" i="8"/>
  <c r="LSM132" i="8"/>
  <c r="LSL132" i="8"/>
  <c r="LSK132" i="8"/>
  <c r="LSJ132" i="8"/>
  <c r="LSI132" i="8"/>
  <c r="LSH132" i="8"/>
  <c r="LSG132" i="8"/>
  <c r="LSF132" i="8"/>
  <c r="LSE132" i="8"/>
  <c r="LSD132" i="8"/>
  <c r="LSC132" i="8"/>
  <c r="LSB132" i="8"/>
  <c r="LSA132" i="8"/>
  <c r="LRZ132" i="8"/>
  <c r="LRY132" i="8"/>
  <c r="LRX132" i="8"/>
  <c r="LRW132" i="8"/>
  <c r="LRV132" i="8"/>
  <c r="LRU132" i="8"/>
  <c r="LRT132" i="8"/>
  <c r="LRS132" i="8"/>
  <c r="LRR132" i="8"/>
  <c r="LRQ132" i="8"/>
  <c r="LRP132" i="8"/>
  <c r="LRO132" i="8"/>
  <c r="LRN132" i="8"/>
  <c r="LRM132" i="8"/>
  <c r="LRL132" i="8"/>
  <c r="LRK132" i="8"/>
  <c r="LRJ132" i="8"/>
  <c r="LRI132" i="8"/>
  <c r="LRH132" i="8"/>
  <c r="LRG132" i="8"/>
  <c r="LRF132" i="8"/>
  <c r="LRE132" i="8"/>
  <c r="LRD132" i="8"/>
  <c r="LRC132" i="8"/>
  <c r="LRB132" i="8"/>
  <c r="LRA132" i="8"/>
  <c r="LQZ132" i="8"/>
  <c r="LQY132" i="8"/>
  <c r="LQX132" i="8"/>
  <c r="LQW132" i="8"/>
  <c r="LQV132" i="8"/>
  <c r="LQU132" i="8"/>
  <c r="LQT132" i="8"/>
  <c r="LQS132" i="8"/>
  <c r="LQR132" i="8"/>
  <c r="LQQ132" i="8"/>
  <c r="LQP132" i="8"/>
  <c r="LQO132" i="8"/>
  <c r="LQN132" i="8"/>
  <c r="LQM132" i="8"/>
  <c r="LQL132" i="8"/>
  <c r="LQK132" i="8"/>
  <c r="LQJ132" i="8"/>
  <c r="LQI132" i="8"/>
  <c r="LQH132" i="8"/>
  <c r="LQG132" i="8"/>
  <c r="LQF132" i="8"/>
  <c r="LQE132" i="8"/>
  <c r="LQD132" i="8"/>
  <c r="LQC132" i="8"/>
  <c r="LQB132" i="8"/>
  <c r="LQA132" i="8"/>
  <c r="LPZ132" i="8"/>
  <c r="LPY132" i="8"/>
  <c r="LPX132" i="8"/>
  <c r="LPW132" i="8"/>
  <c r="LPV132" i="8"/>
  <c r="LPU132" i="8"/>
  <c r="LPT132" i="8"/>
  <c r="LPS132" i="8"/>
  <c r="LPR132" i="8"/>
  <c r="LPQ132" i="8"/>
  <c r="LPP132" i="8"/>
  <c r="LPO132" i="8"/>
  <c r="LPN132" i="8"/>
  <c r="LPM132" i="8"/>
  <c r="LPL132" i="8"/>
  <c r="LPK132" i="8"/>
  <c r="LPJ132" i="8"/>
  <c r="LPI132" i="8"/>
  <c r="LPH132" i="8"/>
  <c r="LPG132" i="8"/>
  <c r="LPF132" i="8"/>
  <c r="LPE132" i="8"/>
  <c r="LPD132" i="8"/>
  <c r="LPC132" i="8"/>
  <c r="LPB132" i="8"/>
  <c r="LPA132" i="8"/>
  <c r="LOZ132" i="8"/>
  <c r="LOY132" i="8"/>
  <c r="LOX132" i="8"/>
  <c r="LOW132" i="8"/>
  <c r="LOV132" i="8"/>
  <c r="LOU132" i="8"/>
  <c r="LOT132" i="8"/>
  <c r="LOS132" i="8"/>
  <c r="LOR132" i="8"/>
  <c r="LOQ132" i="8"/>
  <c r="LOP132" i="8"/>
  <c r="LOO132" i="8"/>
  <c r="LON132" i="8"/>
  <c r="LOM132" i="8"/>
  <c r="LOL132" i="8"/>
  <c r="LOK132" i="8"/>
  <c r="LOJ132" i="8"/>
  <c r="LOI132" i="8"/>
  <c r="LOH132" i="8"/>
  <c r="LOG132" i="8"/>
  <c r="LOF132" i="8"/>
  <c r="LOE132" i="8"/>
  <c r="LOD132" i="8"/>
  <c r="LOC132" i="8"/>
  <c r="LOB132" i="8"/>
  <c r="LOA132" i="8"/>
  <c r="LNZ132" i="8"/>
  <c r="LNY132" i="8"/>
  <c r="LNX132" i="8"/>
  <c r="LNW132" i="8"/>
  <c r="LNV132" i="8"/>
  <c r="LNU132" i="8"/>
  <c r="LNT132" i="8"/>
  <c r="LNS132" i="8"/>
  <c r="LNR132" i="8"/>
  <c r="LNQ132" i="8"/>
  <c r="LNP132" i="8"/>
  <c r="LNO132" i="8"/>
  <c r="LNN132" i="8"/>
  <c r="LNM132" i="8"/>
  <c r="LNL132" i="8"/>
  <c r="LNK132" i="8"/>
  <c r="LNJ132" i="8"/>
  <c r="LNI132" i="8"/>
  <c r="LNH132" i="8"/>
  <c r="LNG132" i="8"/>
  <c r="LNF132" i="8"/>
  <c r="LNE132" i="8"/>
  <c r="LND132" i="8"/>
  <c r="LNC132" i="8"/>
  <c r="LNB132" i="8"/>
  <c r="LNA132" i="8"/>
  <c r="LMZ132" i="8"/>
  <c r="LMY132" i="8"/>
  <c r="LMX132" i="8"/>
  <c r="LMW132" i="8"/>
  <c r="LMV132" i="8"/>
  <c r="LMU132" i="8"/>
  <c r="LMT132" i="8"/>
  <c r="LMS132" i="8"/>
  <c r="LMR132" i="8"/>
  <c r="LMQ132" i="8"/>
  <c r="LMP132" i="8"/>
  <c r="LMO132" i="8"/>
  <c r="LMN132" i="8"/>
  <c r="LMM132" i="8"/>
  <c r="LML132" i="8"/>
  <c r="LMK132" i="8"/>
  <c r="LMJ132" i="8"/>
  <c r="LMI132" i="8"/>
  <c r="LMH132" i="8"/>
  <c r="LMG132" i="8"/>
  <c r="LMF132" i="8"/>
  <c r="LME132" i="8"/>
  <c r="LMD132" i="8"/>
  <c r="LMC132" i="8"/>
  <c r="LMB132" i="8"/>
  <c r="LMA132" i="8"/>
  <c r="LLZ132" i="8"/>
  <c r="LLY132" i="8"/>
  <c r="LLX132" i="8"/>
  <c r="LLW132" i="8"/>
  <c r="LLV132" i="8"/>
  <c r="LLU132" i="8"/>
  <c r="LLT132" i="8"/>
  <c r="LLS132" i="8"/>
  <c r="LLR132" i="8"/>
  <c r="LLQ132" i="8"/>
  <c r="LLP132" i="8"/>
  <c r="LLO132" i="8"/>
  <c r="LLN132" i="8"/>
  <c r="LLM132" i="8"/>
  <c r="LLL132" i="8"/>
  <c r="LLK132" i="8"/>
  <c r="LLJ132" i="8"/>
  <c r="LLI132" i="8"/>
  <c r="LLH132" i="8"/>
  <c r="LLG132" i="8"/>
  <c r="LLF132" i="8"/>
  <c r="LLE132" i="8"/>
  <c r="LLD132" i="8"/>
  <c r="LLC132" i="8"/>
  <c r="LLB132" i="8"/>
  <c r="LLA132" i="8"/>
  <c r="LKZ132" i="8"/>
  <c r="LKY132" i="8"/>
  <c r="LKX132" i="8"/>
  <c r="LKW132" i="8"/>
  <c r="LKV132" i="8"/>
  <c r="LKU132" i="8"/>
  <c r="LKT132" i="8"/>
  <c r="LKS132" i="8"/>
  <c r="LKR132" i="8"/>
  <c r="LKQ132" i="8"/>
  <c r="LKP132" i="8"/>
  <c r="LKO132" i="8"/>
  <c r="LKN132" i="8"/>
  <c r="LKM132" i="8"/>
  <c r="LKL132" i="8"/>
  <c r="LKK132" i="8"/>
  <c r="LKJ132" i="8"/>
  <c r="LKI132" i="8"/>
  <c r="LKH132" i="8"/>
  <c r="LKG132" i="8"/>
  <c r="LKF132" i="8"/>
  <c r="LKE132" i="8"/>
  <c r="LKD132" i="8"/>
  <c r="LKC132" i="8"/>
  <c r="LKB132" i="8"/>
  <c r="LKA132" i="8"/>
  <c r="LJZ132" i="8"/>
  <c r="LJY132" i="8"/>
  <c r="LJX132" i="8"/>
  <c r="LJW132" i="8"/>
  <c r="LJV132" i="8"/>
  <c r="LJU132" i="8"/>
  <c r="LJT132" i="8"/>
  <c r="LJS132" i="8"/>
  <c r="LJR132" i="8"/>
  <c r="LJQ132" i="8"/>
  <c r="LJP132" i="8"/>
  <c r="LJO132" i="8"/>
  <c r="LJN132" i="8"/>
  <c r="LJM132" i="8"/>
  <c r="LJL132" i="8"/>
  <c r="LJK132" i="8"/>
  <c r="LJJ132" i="8"/>
  <c r="LJI132" i="8"/>
  <c r="LJH132" i="8"/>
  <c r="LJG132" i="8"/>
  <c r="LJF132" i="8"/>
  <c r="LJE132" i="8"/>
  <c r="LJD132" i="8"/>
  <c r="LJC132" i="8"/>
  <c r="LJB132" i="8"/>
  <c r="LJA132" i="8"/>
  <c r="LIZ132" i="8"/>
  <c r="LIY132" i="8"/>
  <c r="LIX132" i="8"/>
  <c r="LIW132" i="8"/>
  <c r="LIV132" i="8"/>
  <c r="LIU132" i="8"/>
  <c r="LIT132" i="8"/>
  <c r="LIS132" i="8"/>
  <c r="LIR132" i="8"/>
  <c r="LIQ132" i="8"/>
  <c r="LIP132" i="8"/>
  <c r="LIO132" i="8"/>
  <c r="LIN132" i="8"/>
  <c r="LIM132" i="8"/>
  <c r="LIL132" i="8"/>
  <c r="LIK132" i="8"/>
  <c r="LIJ132" i="8"/>
  <c r="LII132" i="8"/>
  <c r="LIH132" i="8"/>
  <c r="LIG132" i="8"/>
  <c r="LIF132" i="8"/>
  <c r="LIE132" i="8"/>
  <c r="LID132" i="8"/>
  <c r="LIC132" i="8"/>
  <c r="LIB132" i="8"/>
  <c r="LIA132" i="8"/>
  <c r="LHZ132" i="8"/>
  <c r="LHY132" i="8"/>
  <c r="LHX132" i="8"/>
  <c r="LHW132" i="8"/>
  <c r="LHV132" i="8"/>
  <c r="LHU132" i="8"/>
  <c r="LHT132" i="8"/>
  <c r="LHS132" i="8"/>
  <c r="LHR132" i="8"/>
  <c r="LHQ132" i="8"/>
  <c r="LHP132" i="8"/>
  <c r="LHO132" i="8"/>
  <c r="LHN132" i="8"/>
  <c r="LHM132" i="8"/>
  <c r="LHL132" i="8"/>
  <c r="LHK132" i="8"/>
  <c r="LHJ132" i="8"/>
  <c r="LHI132" i="8"/>
  <c r="LHH132" i="8"/>
  <c r="LHG132" i="8"/>
  <c r="LHF132" i="8"/>
  <c r="LHE132" i="8"/>
  <c r="LHD132" i="8"/>
  <c r="LHC132" i="8"/>
  <c r="LHB132" i="8"/>
  <c r="LHA132" i="8"/>
  <c r="LGZ132" i="8"/>
  <c r="LGY132" i="8"/>
  <c r="LGX132" i="8"/>
  <c r="LGW132" i="8"/>
  <c r="LGV132" i="8"/>
  <c r="LGU132" i="8"/>
  <c r="LGT132" i="8"/>
  <c r="LGS132" i="8"/>
  <c r="LGR132" i="8"/>
  <c r="LGQ132" i="8"/>
  <c r="LGP132" i="8"/>
  <c r="LGO132" i="8"/>
  <c r="LGN132" i="8"/>
  <c r="LGM132" i="8"/>
  <c r="LGL132" i="8"/>
  <c r="LGK132" i="8"/>
  <c r="LGJ132" i="8"/>
  <c r="LGI132" i="8"/>
  <c r="LGH132" i="8"/>
  <c r="LGG132" i="8"/>
  <c r="LGF132" i="8"/>
  <c r="LGE132" i="8"/>
  <c r="LGD132" i="8"/>
  <c r="LGC132" i="8"/>
  <c r="LGB132" i="8"/>
  <c r="LGA132" i="8"/>
  <c r="LFZ132" i="8"/>
  <c r="LFY132" i="8"/>
  <c r="LFX132" i="8"/>
  <c r="LFW132" i="8"/>
  <c r="LFV132" i="8"/>
  <c r="LFU132" i="8"/>
  <c r="LFT132" i="8"/>
  <c r="LFS132" i="8"/>
  <c r="LFR132" i="8"/>
  <c r="LFQ132" i="8"/>
  <c r="LFP132" i="8"/>
  <c r="LFO132" i="8"/>
  <c r="LFN132" i="8"/>
  <c r="LFM132" i="8"/>
  <c r="LFL132" i="8"/>
  <c r="LFK132" i="8"/>
  <c r="LFJ132" i="8"/>
  <c r="LFI132" i="8"/>
  <c r="LFH132" i="8"/>
  <c r="LFG132" i="8"/>
  <c r="LFF132" i="8"/>
  <c r="LFE132" i="8"/>
  <c r="LFD132" i="8"/>
  <c r="LFC132" i="8"/>
  <c r="LFB132" i="8"/>
  <c r="LFA132" i="8"/>
  <c r="LEZ132" i="8"/>
  <c r="LEY132" i="8"/>
  <c r="LEX132" i="8"/>
  <c r="LEW132" i="8"/>
  <c r="LEV132" i="8"/>
  <c r="LEU132" i="8"/>
  <c r="LET132" i="8"/>
  <c r="LES132" i="8"/>
  <c r="LER132" i="8"/>
  <c r="LEQ132" i="8"/>
  <c r="LEP132" i="8"/>
  <c r="LEO132" i="8"/>
  <c r="LEN132" i="8"/>
  <c r="LEM132" i="8"/>
  <c r="LEL132" i="8"/>
  <c r="LEK132" i="8"/>
  <c r="LEJ132" i="8"/>
  <c r="LEI132" i="8"/>
  <c r="LEH132" i="8"/>
  <c r="LEG132" i="8"/>
  <c r="LEF132" i="8"/>
  <c r="LEE132" i="8"/>
  <c r="LED132" i="8"/>
  <c r="LEC132" i="8"/>
  <c r="LEB132" i="8"/>
  <c r="LEA132" i="8"/>
  <c r="LDZ132" i="8"/>
  <c r="LDY132" i="8"/>
  <c r="LDX132" i="8"/>
  <c r="LDW132" i="8"/>
  <c r="LDV132" i="8"/>
  <c r="LDU132" i="8"/>
  <c r="LDT132" i="8"/>
  <c r="LDS132" i="8"/>
  <c r="LDR132" i="8"/>
  <c r="LDQ132" i="8"/>
  <c r="LDP132" i="8"/>
  <c r="LDO132" i="8"/>
  <c r="LDN132" i="8"/>
  <c r="LDM132" i="8"/>
  <c r="LDL132" i="8"/>
  <c r="LDK132" i="8"/>
  <c r="LDJ132" i="8"/>
  <c r="LDI132" i="8"/>
  <c r="LDH132" i="8"/>
  <c r="LDG132" i="8"/>
  <c r="LDF132" i="8"/>
  <c r="LDE132" i="8"/>
  <c r="LDD132" i="8"/>
  <c r="LDC132" i="8"/>
  <c r="LDB132" i="8"/>
  <c r="LDA132" i="8"/>
  <c r="LCZ132" i="8"/>
  <c r="LCY132" i="8"/>
  <c r="LCX132" i="8"/>
  <c r="LCW132" i="8"/>
  <c r="LCV132" i="8"/>
  <c r="LCU132" i="8"/>
  <c r="LCT132" i="8"/>
  <c r="LCS132" i="8"/>
  <c r="LCR132" i="8"/>
  <c r="LCQ132" i="8"/>
  <c r="LCP132" i="8"/>
  <c r="LCO132" i="8"/>
  <c r="LCN132" i="8"/>
  <c r="LCM132" i="8"/>
  <c r="LCL132" i="8"/>
  <c r="LCK132" i="8"/>
  <c r="LCJ132" i="8"/>
  <c r="LCI132" i="8"/>
  <c r="LCH132" i="8"/>
  <c r="LCG132" i="8"/>
  <c r="LCF132" i="8"/>
  <c r="LCE132" i="8"/>
  <c r="LCD132" i="8"/>
  <c r="LCC132" i="8"/>
  <c r="LCB132" i="8"/>
  <c r="LCA132" i="8"/>
  <c r="LBZ132" i="8"/>
  <c r="LBY132" i="8"/>
  <c r="LBX132" i="8"/>
  <c r="LBW132" i="8"/>
  <c r="LBV132" i="8"/>
  <c r="LBU132" i="8"/>
  <c r="LBT132" i="8"/>
  <c r="LBS132" i="8"/>
  <c r="LBR132" i="8"/>
  <c r="LBQ132" i="8"/>
  <c r="LBP132" i="8"/>
  <c r="LBO132" i="8"/>
  <c r="LBN132" i="8"/>
  <c r="LBM132" i="8"/>
  <c r="LBL132" i="8"/>
  <c r="LBK132" i="8"/>
  <c r="LBJ132" i="8"/>
  <c r="LBI132" i="8"/>
  <c r="LBH132" i="8"/>
  <c r="LBG132" i="8"/>
  <c r="LBF132" i="8"/>
  <c r="LBE132" i="8"/>
  <c r="LBD132" i="8"/>
  <c r="LBC132" i="8"/>
  <c r="LBB132" i="8"/>
  <c r="LBA132" i="8"/>
  <c r="LAZ132" i="8"/>
  <c r="LAY132" i="8"/>
  <c r="LAX132" i="8"/>
  <c r="LAW132" i="8"/>
  <c r="LAV132" i="8"/>
  <c r="LAU132" i="8"/>
  <c r="LAT132" i="8"/>
  <c r="LAS132" i="8"/>
  <c r="LAR132" i="8"/>
  <c r="LAQ132" i="8"/>
  <c r="LAP132" i="8"/>
  <c r="LAO132" i="8"/>
  <c r="LAN132" i="8"/>
  <c r="LAM132" i="8"/>
  <c r="LAL132" i="8"/>
  <c r="LAK132" i="8"/>
  <c r="LAJ132" i="8"/>
  <c r="LAI132" i="8"/>
  <c r="LAH132" i="8"/>
  <c r="LAG132" i="8"/>
  <c r="LAF132" i="8"/>
  <c r="LAE132" i="8"/>
  <c r="LAD132" i="8"/>
  <c r="LAC132" i="8"/>
  <c r="LAB132" i="8"/>
  <c r="LAA132" i="8"/>
  <c r="KZZ132" i="8"/>
  <c r="KZY132" i="8"/>
  <c r="KZX132" i="8"/>
  <c r="KZW132" i="8"/>
  <c r="KZV132" i="8"/>
  <c r="KZU132" i="8"/>
  <c r="KZT132" i="8"/>
  <c r="KZS132" i="8"/>
  <c r="KZR132" i="8"/>
  <c r="KZQ132" i="8"/>
  <c r="KZP132" i="8"/>
  <c r="KZO132" i="8"/>
  <c r="KZN132" i="8"/>
  <c r="KZM132" i="8"/>
  <c r="KZL132" i="8"/>
  <c r="KZK132" i="8"/>
  <c r="KZJ132" i="8"/>
  <c r="KZI132" i="8"/>
  <c r="KZH132" i="8"/>
  <c r="KZG132" i="8"/>
  <c r="KZF132" i="8"/>
  <c r="KZE132" i="8"/>
  <c r="KZD132" i="8"/>
  <c r="KZC132" i="8"/>
  <c r="KZB132" i="8"/>
  <c r="KZA132" i="8"/>
  <c r="KYZ132" i="8"/>
  <c r="KYY132" i="8"/>
  <c r="KYX132" i="8"/>
  <c r="KYW132" i="8"/>
  <c r="KYV132" i="8"/>
  <c r="KYU132" i="8"/>
  <c r="KYT132" i="8"/>
  <c r="KYS132" i="8"/>
  <c r="KYR132" i="8"/>
  <c r="KYQ132" i="8"/>
  <c r="KYP132" i="8"/>
  <c r="KYO132" i="8"/>
  <c r="KYN132" i="8"/>
  <c r="KYM132" i="8"/>
  <c r="KYL132" i="8"/>
  <c r="KYK132" i="8"/>
  <c r="KYJ132" i="8"/>
  <c r="KYI132" i="8"/>
  <c r="KYH132" i="8"/>
  <c r="KYG132" i="8"/>
  <c r="KYF132" i="8"/>
  <c r="KYE132" i="8"/>
  <c r="KYD132" i="8"/>
  <c r="KYC132" i="8"/>
  <c r="KYB132" i="8"/>
  <c r="KYA132" i="8"/>
  <c r="KXZ132" i="8"/>
  <c r="KXY132" i="8"/>
  <c r="KXX132" i="8"/>
  <c r="KXW132" i="8"/>
  <c r="KXV132" i="8"/>
  <c r="KXU132" i="8"/>
  <c r="KXT132" i="8"/>
  <c r="KXS132" i="8"/>
  <c r="KXR132" i="8"/>
  <c r="KXQ132" i="8"/>
  <c r="KXP132" i="8"/>
  <c r="KXO132" i="8"/>
  <c r="KXN132" i="8"/>
  <c r="KXM132" i="8"/>
  <c r="KXL132" i="8"/>
  <c r="KXK132" i="8"/>
  <c r="KXJ132" i="8"/>
  <c r="KXI132" i="8"/>
  <c r="KXH132" i="8"/>
  <c r="KXG132" i="8"/>
  <c r="KXF132" i="8"/>
  <c r="KXE132" i="8"/>
  <c r="KXD132" i="8"/>
  <c r="KXC132" i="8"/>
  <c r="KXB132" i="8"/>
  <c r="KXA132" i="8"/>
  <c r="KWZ132" i="8"/>
  <c r="KWY132" i="8"/>
  <c r="KWX132" i="8"/>
  <c r="KWW132" i="8"/>
  <c r="KWV132" i="8"/>
  <c r="KWU132" i="8"/>
  <c r="KWT132" i="8"/>
  <c r="KWS132" i="8"/>
  <c r="KWR132" i="8"/>
  <c r="KWQ132" i="8"/>
  <c r="KWP132" i="8"/>
  <c r="KWO132" i="8"/>
  <c r="KWN132" i="8"/>
  <c r="KWM132" i="8"/>
  <c r="KWL132" i="8"/>
  <c r="KWK132" i="8"/>
  <c r="KWJ132" i="8"/>
  <c r="KWI132" i="8"/>
  <c r="KWH132" i="8"/>
  <c r="KWG132" i="8"/>
  <c r="KWF132" i="8"/>
  <c r="KWE132" i="8"/>
  <c r="KWD132" i="8"/>
  <c r="KWC132" i="8"/>
  <c r="KWB132" i="8"/>
  <c r="KWA132" i="8"/>
  <c r="KVZ132" i="8"/>
  <c r="KVY132" i="8"/>
  <c r="KVX132" i="8"/>
  <c r="KVW132" i="8"/>
  <c r="KVV132" i="8"/>
  <c r="KVU132" i="8"/>
  <c r="KVT132" i="8"/>
  <c r="KVS132" i="8"/>
  <c r="KVR132" i="8"/>
  <c r="KVQ132" i="8"/>
  <c r="KVP132" i="8"/>
  <c r="KVO132" i="8"/>
  <c r="KVN132" i="8"/>
  <c r="KVM132" i="8"/>
  <c r="KVL132" i="8"/>
  <c r="KVK132" i="8"/>
  <c r="KVJ132" i="8"/>
  <c r="KVI132" i="8"/>
  <c r="KVH132" i="8"/>
  <c r="KVG132" i="8"/>
  <c r="KVF132" i="8"/>
  <c r="KVE132" i="8"/>
  <c r="KVD132" i="8"/>
  <c r="KVC132" i="8"/>
  <c r="KVB132" i="8"/>
  <c r="KVA132" i="8"/>
  <c r="KUZ132" i="8"/>
  <c r="KUY132" i="8"/>
  <c r="KUX132" i="8"/>
  <c r="KUW132" i="8"/>
  <c r="KUV132" i="8"/>
  <c r="KUU132" i="8"/>
  <c r="KUT132" i="8"/>
  <c r="KUS132" i="8"/>
  <c r="KUR132" i="8"/>
  <c r="KUQ132" i="8"/>
  <c r="KUP132" i="8"/>
  <c r="KUO132" i="8"/>
  <c r="KUN132" i="8"/>
  <c r="KUM132" i="8"/>
  <c r="KUL132" i="8"/>
  <c r="KUK132" i="8"/>
  <c r="KUJ132" i="8"/>
  <c r="KUI132" i="8"/>
  <c r="KUH132" i="8"/>
  <c r="KUG132" i="8"/>
  <c r="KUF132" i="8"/>
  <c r="KUE132" i="8"/>
  <c r="KUD132" i="8"/>
  <c r="KUC132" i="8"/>
  <c r="KUB132" i="8"/>
  <c r="KUA132" i="8"/>
  <c r="KTZ132" i="8"/>
  <c r="KTY132" i="8"/>
  <c r="KTX132" i="8"/>
  <c r="KTW132" i="8"/>
  <c r="KTV132" i="8"/>
  <c r="KTU132" i="8"/>
  <c r="KTT132" i="8"/>
  <c r="KTS132" i="8"/>
  <c r="KTR132" i="8"/>
  <c r="KTQ132" i="8"/>
  <c r="KTP132" i="8"/>
  <c r="KTO132" i="8"/>
  <c r="KTN132" i="8"/>
  <c r="KTM132" i="8"/>
  <c r="KTL132" i="8"/>
  <c r="KTK132" i="8"/>
  <c r="KTJ132" i="8"/>
  <c r="KTI132" i="8"/>
  <c r="KTH132" i="8"/>
  <c r="KTG132" i="8"/>
  <c r="KTF132" i="8"/>
  <c r="KTE132" i="8"/>
  <c r="KTD132" i="8"/>
  <c r="KTC132" i="8"/>
  <c r="KTB132" i="8"/>
  <c r="KTA132" i="8"/>
  <c r="KSZ132" i="8"/>
  <c r="KSY132" i="8"/>
  <c r="KSX132" i="8"/>
  <c r="KSW132" i="8"/>
  <c r="KSV132" i="8"/>
  <c r="KSU132" i="8"/>
  <c r="KST132" i="8"/>
  <c r="KSS132" i="8"/>
  <c r="KSR132" i="8"/>
  <c r="KSQ132" i="8"/>
  <c r="KSP132" i="8"/>
  <c r="KSO132" i="8"/>
  <c r="KSN132" i="8"/>
  <c r="KSM132" i="8"/>
  <c r="KSL132" i="8"/>
  <c r="KSK132" i="8"/>
  <c r="KSJ132" i="8"/>
  <c r="KSI132" i="8"/>
  <c r="KSH132" i="8"/>
  <c r="KSG132" i="8"/>
  <c r="KSF132" i="8"/>
  <c r="KSE132" i="8"/>
  <c r="KSD132" i="8"/>
  <c r="KSC132" i="8"/>
  <c r="KSB132" i="8"/>
  <c r="KSA132" i="8"/>
  <c r="KRZ132" i="8"/>
  <c r="KRY132" i="8"/>
  <c r="KRX132" i="8"/>
  <c r="KRW132" i="8"/>
  <c r="KRV132" i="8"/>
  <c r="KRU132" i="8"/>
  <c r="KRT132" i="8"/>
  <c r="KRS132" i="8"/>
  <c r="KRR132" i="8"/>
  <c r="KRQ132" i="8"/>
  <c r="KRP132" i="8"/>
  <c r="KRO132" i="8"/>
  <c r="KRN132" i="8"/>
  <c r="KRM132" i="8"/>
  <c r="KRL132" i="8"/>
  <c r="KRK132" i="8"/>
  <c r="KRJ132" i="8"/>
  <c r="KRI132" i="8"/>
  <c r="KRH132" i="8"/>
  <c r="KRG132" i="8"/>
  <c r="KRF132" i="8"/>
  <c r="KRE132" i="8"/>
  <c r="KRD132" i="8"/>
  <c r="KRC132" i="8"/>
  <c r="KRB132" i="8"/>
  <c r="KRA132" i="8"/>
  <c r="KQZ132" i="8"/>
  <c r="KQY132" i="8"/>
  <c r="KQX132" i="8"/>
  <c r="KQW132" i="8"/>
  <c r="KQV132" i="8"/>
  <c r="KQU132" i="8"/>
  <c r="KQT132" i="8"/>
  <c r="KQS132" i="8"/>
  <c r="KQR132" i="8"/>
  <c r="KQQ132" i="8"/>
  <c r="KQP132" i="8"/>
  <c r="KQO132" i="8"/>
  <c r="KQN132" i="8"/>
  <c r="KQM132" i="8"/>
  <c r="KQL132" i="8"/>
  <c r="KQK132" i="8"/>
  <c r="KQJ132" i="8"/>
  <c r="KQI132" i="8"/>
  <c r="KQH132" i="8"/>
  <c r="KQG132" i="8"/>
  <c r="KQF132" i="8"/>
  <c r="KQE132" i="8"/>
  <c r="KQD132" i="8"/>
  <c r="KQC132" i="8"/>
  <c r="KQB132" i="8"/>
  <c r="KQA132" i="8"/>
  <c r="KPZ132" i="8"/>
  <c r="KPY132" i="8"/>
  <c r="KPX132" i="8"/>
  <c r="KPW132" i="8"/>
  <c r="KPV132" i="8"/>
  <c r="KPU132" i="8"/>
  <c r="KPT132" i="8"/>
  <c r="KPS132" i="8"/>
  <c r="KPR132" i="8"/>
  <c r="KPQ132" i="8"/>
  <c r="KPP132" i="8"/>
  <c r="KPO132" i="8"/>
  <c r="KPN132" i="8"/>
  <c r="KPM132" i="8"/>
  <c r="KPL132" i="8"/>
  <c r="KPK132" i="8"/>
  <c r="KPJ132" i="8"/>
  <c r="KPI132" i="8"/>
  <c r="KPH132" i="8"/>
  <c r="KPG132" i="8"/>
  <c r="KPF132" i="8"/>
  <c r="KPE132" i="8"/>
  <c r="KPD132" i="8"/>
  <c r="KPC132" i="8"/>
  <c r="KPB132" i="8"/>
  <c r="KPA132" i="8"/>
  <c r="KOZ132" i="8"/>
  <c r="KOY132" i="8"/>
  <c r="KOX132" i="8"/>
  <c r="KOW132" i="8"/>
  <c r="KOV132" i="8"/>
  <c r="KOU132" i="8"/>
  <c r="KOT132" i="8"/>
  <c r="KOS132" i="8"/>
  <c r="KOR132" i="8"/>
  <c r="KOQ132" i="8"/>
  <c r="KOP132" i="8"/>
  <c r="KOO132" i="8"/>
  <c r="KON132" i="8"/>
  <c r="KOM132" i="8"/>
  <c r="KOL132" i="8"/>
  <c r="KOK132" i="8"/>
  <c r="KOJ132" i="8"/>
  <c r="KOI132" i="8"/>
  <c r="KOH132" i="8"/>
  <c r="KOG132" i="8"/>
  <c r="KOF132" i="8"/>
  <c r="KOE132" i="8"/>
  <c r="KOD132" i="8"/>
  <c r="KOC132" i="8"/>
  <c r="KOB132" i="8"/>
  <c r="KOA132" i="8"/>
  <c r="KNZ132" i="8"/>
  <c r="KNY132" i="8"/>
  <c r="KNX132" i="8"/>
  <c r="KNW132" i="8"/>
  <c r="KNV132" i="8"/>
  <c r="KNU132" i="8"/>
  <c r="KNT132" i="8"/>
  <c r="KNS132" i="8"/>
  <c r="KNR132" i="8"/>
  <c r="KNQ132" i="8"/>
  <c r="KNP132" i="8"/>
  <c r="KNO132" i="8"/>
  <c r="KNN132" i="8"/>
  <c r="KNM132" i="8"/>
  <c r="KNL132" i="8"/>
  <c r="KNK132" i="8"/>
  <c r="KNJ132" i="8"/>
  <c r="KNI132" i="8"/>
  <c r="KNH132" i="8"/>
  <c r="KNG132" i="8"/>
  <c r="KNF132" i="8"/>
  <c r="KNE132" i="8"/>
  <c r="KND132" i="8"/>
  <c r="KNC132" i="8"/>
  <c r="KNB132" i="8"/>
  <c r="KNA132" i="8"/>
  <c r="KMZ132" i="8"/>
  <c r="KMY132" i="8"/>
  <c r="KMX132" i="8"/>
  <c r="KMW132" i="8"/>
  <c r="KMV132" i="8"/>
  <c r="KMU132" i="8"/>
  <c r="KMT132" i="8"/>
  <c r="KMS132" i="8"/>
  <c r="KMR132" i="8"/>
  <c r="KMQ132" i="8"/>
  <c r="KMP132" i="8"/>
  <c r="KMO132" i="8"/>
  <c r="KMN132" i="8"/>
  <c r="KMM132" i="8"/>
  <c r="KML132" i="8"/>
  <c r="KMK132" i="8"/>
  <c r="KMJ132" i="8"/>
  <c r="KMI132" i="8"/>
  <c r="KMH132" i="8"/>
  <c r="KMG132" i="8"/>
  <c r="KMF132" i="8"/>
  <c r="KME132" i="8"/>
  <c r="KMD132" i="8"/>
  <c r="KMC132" i="8"/>
  <c r="KMB132" i="8"/>
  <c r="KMA132" i="8"/>
  <c r="KLZ132" i="8"/>
  <c r="KLY132" i="8"/>
  <c r="KLX132" i="8"/>
  <c r="KLW132" i="8"/>
  <c r="KLV132" i="8"/>
  <c r="KLU132" i="8"/>
  <c r="KLT132" i="8"/>
  <c r="KLS132" i="8"/>
  <c r="KLR132" i="8"/>
  <c r="KLQ132" i="8"/>
  <c r="KLP132" i="8"/>
  <c r="KLO132" i="8"/>
  <c r="KLN132" i="8"/>
  <c r="KLM132" i="8"/>
  <c r="KLL132" i="8"/>
  <c r="KLK132" i="8"/>
  <c r="KLJ132" i="8"/>
  <c r="KLI132" i="8"/>
  <c r="KLH132" i="8"/>
  <c r="KLG132" i="8"/>
  <c r="KLF132" i="8"/>
  <c r="KLE132" i="8"/>
  <c r="KLD132" i="8"/>
  <c r="KLC132" i="8"/>
  <c r="KLB132" i="8"/>
  <c r="KLA132" i="8"/>
  <c r="KKZ132" i="8"/>
  <c r="KKY132" i="8"/>
  <c r="KKX132" i="8"/>
  <c r="KKW132" i="8"/>
  <c r="KKV132" i="8"/>
  <c r="KKU132" i="8"/>
  <c r="KKT132" i="8"/>
  <c r="KKS132" i="8"/>
  <c r="KKR132" i="8"/>
  <c r="KKQ132" i="8"/>
  <c r="KKP132" i="8"/>
  <c r="KKO132" i="8"/>
  <c r="KKN132" i="8"/>
  <c r="KKM132" i="8"/>
  <c r="KKL132" i="8"/>
  <c r="KKK132" i="8"/>
  <c r="KKJ132" i="8"/>
  <c r="KKI132" i="8"/>
  <c r="KKH132" i="8"/>
  <c r="KKG132" i="8"/>
  <c r="KKF132" i="8"/>
  <c r="KKE132" i="8"/>
  <c r="KKD132" i="8"/>
  <c r="KKC132" i="8"/>
  <c r="KKB132" i="8"/>
  <c r="KKA132" i="8"/>
  <c r="KJZ132" i="8"/>
  <c r="KJY132" i="8"/>
  <c r="KJX132" i="8"/>
  <c r="KJW132" i="8"/>
  <c r="KJV132" i="8"/>
  <c r="KJU132" i="8"/>
  <c r="KJT132" i="8"/>
  <c r="KJS132" i="8"/>
  <c r="KJR132" i="8"/>
  <c r="KJQ132" i="8"/>
  <c r="KJP132" i="8"/>
  <c r="KJO132" i="8"/>
  <c r="KJN132" i="8"/>
  <c r="KJM132" i="8"/>
  <c r="KJL132" i="8"/>
  <c r="KJK132" i="8"/>
  <c r="KJJ132" i="8"/>
  <c r="KJI132" i="8"/>
  <c r="KJH132" i="8"/>
  <c r="KJG132" i="8"/>
  <c r="KJF132" i="8"/>
  <c r="KJE132" i="8"/>
  <c r="KJD132" i="8"/>
  <c r="KJC132" i="8"/>
  <c r="KJB132" i="8"/>
  <c r="KJA132" i="8"/>
  <c r="KIZ132" i="8"/>
  <c r="KIY132" i="8"/>
  <c r="KIX132" i="8"/>
  <c r="KIW132" i="8"/>
  <c r="KIV132" i="8"/>
  <c r="KIU132" i="8"/>
  <c r="KIT132" i="8"/>
  <c r="KIS132" i="8"/>
  <c r="KIR132" i="8"/>
  <c r="KIQ132" i="8"/>
  <c r="KIP132" i="8"/>
  <c r="KIO132" i="8"/>
  <c r="KIN132" i="8"/>
  <c r="KIM132" i="8"/>
  <c r="KIL132" i="8"/>
  <c r="KIK132" i="8"/>
  <c r="KIJ132" i="8"/>
  <c r="KII132" i="8"/>
  <c r="KIH132" i="8"/>
  <c r="KIG132" i="8"/>
  <c r="KIF132" i="8"/>
  <c r="KIE132" i="8"/>
  <c r="KID132" i="8"/>
  <c r="KIC132" i="8"/>
  <c r="KIB132" i="8"/>
  <c r="KIA132" i="8"/>
  <c r="KHZ132" i="8"/>
  <c r="KHY132" i="8"/>
  <c r="KHX132" i="8"/>
  <c r="KHW132" i="8"/>
  <c r="KHV132" i="8"/>
  <c r="KHU132" i="8"/>
  <c r="KHT132" i="8"/>
  <c r="KHS132" i="8"/>
  <c r="KHR132" i="8"/>
  <c r="KHQ132" i="8"/>
  <c r="KHP132" i="8"/>
  <c r="KHO132" i="8"/>
  <c r="KHN132" i="8"/>
  <c r="KHM132" i="8"/>
  <c r="KHL132" i="8"/>
  <c r="KHK132" i="8"/>
  <c r="KHJ132" i="8"/>
  <c r="KHI132" i="8"/>
  <c r="KHH132" i="8"/>
  <c r="KHG132" i="8"/>
  <c r="KHF132" i="8"/>
  <c r="KHE132" i="8"/>
  <c r="KHD132" i="8"/>
  <c r="KHC132" i="8"/>
  <c r="KHB132" i="8"/>
  <c r="KHA132" i="8"/>
  <c r="KGZ132" i="8"/>
  <c r="KGY132" i="8"/>
  <c r="KGX132" i="8"/>
  <c r="KGW132" i="8"/>
  <c r="KGV132" i="8"/>
  <c r="KGU132" i="8"/>
  <c r="KGT132" i="8"/>
  <c r="KGS132" i="8"/>
  <c r="KGR132" i="8"/>
  <c r="KGQ132" i="8"/>
  <c r="KGP132" i="8"/>
  <c r="KGO132" i="8"/>
  <c r="KGN132" i="8"/>
  <c r="KGM132" i="8"/>
  <c r="KGL132" i="8"/>
  <c r="KGK132" i="8"/>
  <c r="KGJ132" i="8"/>
  <c r="KGI132" i="8"/>
  <c r="KGH132" i="8"/>
  <c r="KGG132" i="8"/>
  <c r="KGF132" i="8"/>
  <c r="KGE132" i="8"/>
  <c r="KGD132" i="8"/>
  <c r="KGC132" i="8"/>
  <c r="KGB132" i="8"/>
  <c r="KGA132" i="8"/>
  <c r="KFZ132" i="8"/>
  <c r="KFY132" i="8"/>
  <c r="KFX132" i="8"/>
  <c r="KFW132" i="8"/>
  <c r="KFV132" i="8"/>
  <c r="KFU132" i="8"/>
  <c r="KFT132" i="8"/>
  <c r="KFS132" i="8"/>
  <c r="KFR132" i="8"/>
  <c r="KFQ132" i="8"/>
  <c r="KFP132" i="8"/>
  <c r="KFO132" i="8"/>
  <c r="KFN132" i="8"/>
  <c r="KFM132" i="8"/>
  <c r="KFL132" i="8"/>
  <c r="KFK132" i="8"/>
  <c r="KFJ132" i="8"/>
  <c r="KFI132" i="8"/>
  <c r="KFH132" i="8"/>
  <c r="KFG132" i="8"/>
  <c r="KFF132" i="8"/>
  <c r="KFE132" i="8"/>
  <c r="KFD132" i="8"/>
  <c r="KFC132" i="8"/>
  <c r="KFB132" i="8"/>
  <c r="KFA132" i="8"/>
  <c r="KEZ132" i="8"/>
  <c r="KEY132" i="8"/>
  <c r="KEX132" i="8"/>
  <c r="KEW132" i="8"/>
  <c r="KEV132" i="8"/>
  <c r="KEU132" i="8"/>
  <c r="KET132" i="8"/>
  <c r="KES132" i="8"/>
  <c r="KER132" i="8"/>
  <c r="KEQ132" i="8"/>
  <c r="KEP132" i="8"/>
  <c r="KEO132" i="8"/>
  <c r="KEN132" i="8"/>
  <c r="KEM132" i="8"/>
  <c r="KEL132" i="8"/>
  <c r="KEK132" i="8"/>
  <c r="KEJ132" i="8"/>
  <c r="KEI132" i="8"/>
  <c r="KEH132" i="8"/>
  <c r="KEG132" i="8"/>
  <c r="KEF132" i="8"/>
  <c r="KEE132" i="8"/>
  <c r="KED132" i="8"/>
  <c r="KEC132" i="8"/>
  <c r="KEB132" i="8"/>
  <c r="KEA132" i="8"/>
  <c r="KDZ132" i="8"/>
  <c r="KDY132" i="8"/>
  <c r="KDX132" i="8"/>
  <c r="KDW132" i="8"/>
  <c r="KDV132" i="8"/>
  <c r="KDU132" i="8"/>
  <c r="KDT132" i="8"/>
  <c r="KDS132" i="8"/>
  <c r="KDR132" i="8"/>
  <c r="KDQ132" i="8"/>
  <c r="KDP132" i="8"/>
  <c r="KDO132" i="8"/>
  <c r="KDN132" i="8"/>
  <c r="KDM132" i="8"/>
  <c r="KDL132" i="8"/>
  <c r="KDK132" i="8"/>
  <c r="KDJ132" i="8"/>
  <c r="KDI132" i="8"/>
  <c r="KDH132" i="8"/>
  <c r="KDG132" i="8"/>
  <c r="KDF132" i="8"/>
  <c r="KDE132" i="8"/>
  <c r="KDD132" i="8"/>
  <c r="KDC132" i="8"/>
  <c r="KDB132" i="8"/>
  <c r="KDA132" i="8"/>
  <c r="KCZ132" i="8"/>
  <c r="KCY132" i="8"/>
  <c r="KCX132" i="8"/>
  <c r="KCW132" i="8"/>
  <c r="KCV132" i="8"/>
  <c r="KCU132" i="8"/>
  <c r="KCT132" i="8"/>
  <c r="KCS132" i="8"/>
  <c r="KCR132" i="8"/>
  <c r="KCQ132" i="8"/>
  <c r="KCP132" i="8"/>
  <c r="KCO132" i="8"/>
  <c r="KCN132" i="8"/>
  <c r="KCM132" i="8"/>
  <c r="KCL132" i="8"/>
  <c r="KCK132" i="8"/>
  <c r="KCJ132" i="8"/>
  <c r="KCI132" i="8"/>
  <c r="KCH132" i="8"/>
  <c r="KCG132" i="8"/>
  <c r="KCF132" i="8"/>
  <c r="KCE132" i="8"/>
  <c r="KCD132" i="8"/>
  <c r="KCC132" i="8"/>
  <c r="KCB132" i="8"/>
  <c r="KCA132" i="8"/>
  <c r="KBZ132" i="8"/>
  <c r="KBY132" i="8"/>
  <c r="KBX132" i="8"/>
  <c r="KBW132" i="8"/>
  <c r="KBV132" i="8"/>
  <c r="KBU132" i="8"/>
  <c r="KBT132" i="8"/>
  <c r="KBS132" i="8"/>
  <c r="KBR132" i="8"/>
  <c r="KBQ132" i="8"/>
  <c r="KBP132" i="8"/>
  <c r="KBO132" i="8"/>
  <c r="KBN132" i="8"/>
  <c r="KBM132" i="8"/>
  <c r="KBL132" i="8"/>
  <c r="KBK132" i="8"/>
  <c r="KBJ132" i="8"/>
  <c r="KBI132" i="8"/>
  <c r="KBH132" i="8"/>
  <c r="KBG132" i="8"/>
  <c r="KBF132" i="8"/>
  <c r="KBE132" i="8"/>
  <c r="KBD132" i="8"/>
  <c r="KBC132" i="8"/>
  <c r="KBB132" i="8"/>
  <c r="KBA132" i="8"/>
  <c r="KAZ132" i="8"/>
  <c r="KAY132" i="8"/>
  <c r="KAX132" i="8"/>
  <c r="KAW132" i="8"/>
  <c r="KAV132" i="8"/>
  <c r="KAU132" i="8"/>
  <c r="KAT132" i="8"/>
  <c r="KAS132" i="8"/>
  <c r="KAR132" i="8"/>
  <c r="KAQ132" i="8"/>
  <c r="KAP132" i="8"/>
  <c r="KAO132" i="8"/>
  <c r="KAN132" i="8"/>
  <c r="KAM132" i="8"/>
  <c r="KAL132" i="8"/>
  <c r="KAK132" i="8"/>
  <c r="KAJ132" i="8"/>
  <c r="KAI132" i="8"/>
  <c r="KAH132" i="8"/>
  <c r="KAG132" i="8"/>
  <c r="KAF132" i="8"/>
  <c r="KAE132" i="8"/>
  <c r="KAD132" i="8"/>
  <c r="KAC132" i="8"/>
  <c r="KAB132" i="8"/>
  <c r="KAA132" i="8"/>
  <c r="JZZ132" i="8"/>
  <c r="JZY132" i="8"/>
  <c r="JZX132" i="8"/>
  <c r="JZW132" i="8"/>
  <c r="JZV132" i="8"/>
  <c r="JZU132" i="8"/>
  <c r="JZT132" i="8"/>
  <c r="JZS132" i="8"/>
  <c r="JZR132" i="8"/>
  <c r="JZQ132" i="8"/>
  <c r="JZP132" i="8"/>
  <c r="JZO132" i="8"/>
  <c r="JZN132" i="8"/>
  <c r="JZM132" i="8"/>
  <c r="JZL132" i="8"/>
  <c r="JZK132" i="8"/>
  <c r="JZJ132" i="8"/>
  <c r="JZI132" i="8"/>
  <c r="JZH132" i="8"/>
  <c r="JZG132" i="8"/>
  <c r="JZF132" i="8"/>
  <c r="JZE132" i="8"/>
  <c r="JZD132" i="8"/>
  <c r="JZC132" i="8"/>
  <c r="JZB132" i="8"/>
  <c r="JZA132" i="8"/>
  <c r="JYZ132" i="8"/>
  <c r="JYY132" i="8"/>
  <c r="JYX132" i="8"/>
  <c r="JYW132" i="8"/>
  <c r="JYV132" i="8"/>
  <c r="JYU132" i="8"/>
  <c r="JYT132" i="8"/>
  <c r="JYS132" i="8"/>
  <c r="JYR132" i="8"/>
  <c r="JYQ132" i="8"/>
  <c r="JYP132" i="8"/>
  <c r="JYO132" i="8"/>
  <c r="JYN132" i="8"/>
  <c r="JYM132" i="8"/>
  <c r="JYL132" i="8"/>
  <c r="JYK132" i="8"/>
  <c r="JYJ132" i="8"/>
  <c r="JYI132" i="8"/>
  <c r="JYH132" i="8"/>
  <c r="JYG132" i="8"/>
  <c r="JYF132" i="8"/>
  <c r="JYE132" i="8"/>
  <c r="JYD132" i="8"/>
  <c r="JYC132" i="8"/>
  <c r="JYB132" i="8"/>
  <c r="JYA132" i="8"/>
  <c r="JXZ132" i="8"/>
  <c r="JXY132" i="8"/>
  <c r="JXX132" i="8"/>
  <c r="JXW132" i="8"/>
  <c r="JXV132" i="8"/>
  <c r="JXU132" i="8"/>
  <c r="JXT132" i="8"/>
  <c r="JXS132" i="8"/>
  <c r="JXR132" i="8"/>
  <c r="JXQ132" i="8"/>
  <c r="JXP132" i="8"/>
  <c r="JXO132" i="8"/>
  <c r="JXN132" i="8"/>
  <c r="JXM132" i="8"/>
  <c r="JXL132" i="8"/>
  <c r="JXK132" i="8"/>
  <c r="JXJ132" i="8"/>
  <c r="JXI132" i="8"/>
  <c r="JXH132" i="8"/>
  <c r="JXG132" i="8"/>
  <c r="JXF132" i="8"/>
  <c r="JXE132" i="8"/>
  <c r="JXD132" i="8"/>
  <c r="JXC132" i="8"/>
  <c r="JXB132" i="8"/>
  <c r="JXA132" i="8"/>
  <c r="JWZ132" i="8"/>
  <c r="JWY132" i="8"/>
  <c r="JWX132" i="8"/>
  <c r="JWW132" i="8"/>
  <c r="JWV132" i="8"/>
  <c r="JWU132" i="8"/>
  <c r="JWT132" i="8"/>
  <c r="JWS132" i="8"/>
  <c r="JWR132" i="8"/>
  <c r="JWQ132" i="8"/>
  <c r="JWP132" i="8"/>
  <c r="JWO132" i="8"/>
  <c r="JWN132" i="8"/>
  <c r="JWM132" i="8"/>
  <c r="JWL132" i="8"/>
  <c r="JWK132" i="8"/>
  <c r="JWJ132" i="8"/>
  <c r="JWI132" i="8"/>
  <c r="JWH132" i="8"/>
  <c r="JWG132" i="8"/>
  <c r="JWF132" i="8"/>
  <c r="JWE132" i="8"/>
  <c r="JWD132" i="8"/>
  <c r="JWC132" i="8"/>
  <c r="JWB132" i="8"/>
  <c r="JWA132" i="8"/>
  <c r="JVZ132" i="8"/>
  <c r="JVY132" i="8"/>
  <c r="JVX132" i="8"/>
  <c r="JVW132" i="8"/>
  <c r="JVV132" i="8"/>
  <c r="JVU132" i="8"/>
  <c r="JVT132" i="8"/>
  <c r="JVS132" i="8"/>
  <c r="JVR132" i="8"/>
  <c r="JVQ132" i="8"/>
  <c r="JVP132" i="8"/>
  <c r="JVO132" i="8"/>
  <c r="JVN132" i="8"/>
  <c r="JVM132" i="8"/>
  <c r="JVL132" i="8"/>
  <c r="JVK132" i="8"/>
  <c r="JVJ132" i="8"/>
  <c r="JVI132" i="8"/>
  <c r="JVH132" i="8"/>
  <c r="JVG132" i="8"/>
  <c r="JVF132" i="8"/>
  <c r="JVE132" i="8"/>
  <c r="JVD132" i="8"/>
  <c r="JVC132" i="8"/>
  <c r="JVB132" i="8"/>
  <c r="JVA132" i="8"/>
  <c r="JUZ132" i="8"/>
  <c r="JUY132" i="8"/>
  <c r="JUX132" i="8"/>
  <c r="JUW132" i="8"/>
  <c r="JUV132" i="8"/>
  <c r="JUU132" i="8"/>
  <c r="JUT132" i="8"/>
  <c r="JUS132" i="8"/>
  <c r="JUR132" i="8"/>
  <c r="JUQ132" i="8"/>
  <c r="JUP132" i="8"/>
  <c r="JUO132" i="8"/>
  <c r="JUN132" i="8"/>
  <c r="JUM132" i="8"/>
  <c r="JUL132" i="8"/>
  <c r="JUK132" i="8"/>
  <c r="JUJ132" i="8"/>
  <c r="JUI132" i="8"/>
  <c r="JUH132" i="8"/>
  <c r="JUG132" i="8"/>
  <c r="JUF132" i="8"/>
  <c r="JUE132" i="8"/>
  <c r="JUD132" i="8"/>
  <c r="JUC132" i="8"/>
  <c r="JUB132" i="8"/>
  <c r="JUA132" i="8"/>
  <c r="JTZ132" i="8"/>
  <c r="JTY132" i="8"/>
  <c r="JTX132" i="8"/>
  <c r="JTW132" i="8"/>
  <c r="JTV132" i="8"/>
  <c r="JTU132" i="8"/>
  <c r="JTT132" i="8"/>
  <c r="JTS132" i="8"/>
  <c r="JTR132" i="8"/>
  <c r="JTQ132" i="8"/>
  <c r="JTP132" i="8"/>
  <c r="JTO132" i="8"/>
  <c r="JTN132" i="8"/>
  <c r="JTM132" i="8"/>
  <c r="JTL132" i="8"/>
  <c r="JTK132" i="8"/>
  <c r="JTJ132" i="8"/>
  <c r="JTI132" i="8"/>
  <c r="JTH132" i="8"/>
  <c r="JTG132" i="8"/>
  <c r="JTF132" i="8"/>
  <c r="JTE132" i="8"/>
  <c r="JTD132" i="8"/>
  <c r="JTC132" i="8"/>
  <c r="JTB132" i="8"/>
  <c r="JTA132" i="8"/>
  <c r="JSZ132" i="8"/>
  <c r="JSY132" i="8"/>
  <c r="JSX132" i="8"/>
  <c r="JSW132" i="8"/>
  <c r="JSV132" i="8"/>
  <c r="JSU132" i="8"/>
  <c r="JST132" i="8"/>
  <c r="JSS132" i="8"/>
  <c r="JSR132" i="8"/>
  <c r="JSQ132" i="8"/>
  <c r="JSP132" i="8"/>
  <c r="JSO132" i="8"/>
  <c r="JSN132" i="8"/>
  <c r="JSM132" i="8"/>
  <c r="JSL132" i="8"/>
  <c r="JSK132" i="8"/>
  <c r="JSJ132" i="8"/>
  <c r="JSI132" i="8"/>
  <c r="JSH132" i="8"/>
  <c r="JSG132" i="8"/>
  <c r="JSF132" i="8"/>
  <c r="JSE132" i="8"/>
  <c r="JSD132" i="8"/>
  <c r="JSC132" i="8"/>
  <c r="JSB132" i="8"/>
  <c r="JSA132" i="8"/>
  <c r="JRZ132" i="8"/>
  <c r="JRY132" i="8"/>
  <c r="JRX132" i="8"/>
  <c r="JRW132" i="8"/>
  <c r="JRV132" i="8"/>
  <c r="JRU132" i="8"/>
  <c r="JRT132" i="8"/>
  <c r="JRS132" i="8"/>
  <c r="JRR132" i="8"/>
  <c r="JRQ132" i="8"/>
  <c r="JRP132" i="8"/>
  <c r="JRO132" i="8"/>
  <c r="JRN132" i="8"/>
  <c r="JRM132" i="8"/>
  <c r="JRL132" i="8"/>
  <c r="JRK132" i="8"/>
  <c r="JRJ132" i="8"/>
  <c r="JRI132" i="8"/>
  <c r="JRH132" i="8"/>
  <c r="JRG132" i="8"/>
  <c r="JRF132" i="8"/>
  <c r="JRE132" i="8"/>
  <c r="JRD132" i="8"/>
  <c r="JRC132" i="8"/>
  <c r="JRB132" i="8"/>
  <c r="JRA132" i="8"/>
  <c r="JQZ132" i="8"/>
  <c r="JQY132" i="8"/>
  <c r="JQX132" i="8"/>
  <c r="JQW132" i="8"/>
  <c r="JQV132" i="8"/>
  <c r="JQU132" i="8"/>
  <c r="JQT132" i="8"/>
  <c r="JQS132" i="8"/>
  <c r="JQR132" i="8"/>
  <c r="JQQ132" i="8"/>
  <c r="JQP132" i="8"/>
  <c r="JQO132" i="8"/>
  <c r="JQN132" i="8"/>
  <c r="JQM132" i="8"/>
  <c r="JQL132" i="8"/>
  <c r="JQK132" i="8"/>
  <c r="JQJ132" i="8"/>
  <c r="JQI132" i="8"/>
  <c r="JQH132" i="8"/>
  <c r="JQG132" i="8"/>
  <c r="JQF132" i="8"/>
  <c r="JQE132" i="8"/>
  <c r="JQD132" i="8"/>
  <c r="JQC132" i="8"/>
  <c r="JQB132" i="8"/>
  <c r="JQA132" i="8"/>
  <c r="JPZ132" i="8"/>
  <c r="JPY132" i="8"/>
  <c r="JPX132" i="8"/>
  <c r="JPW132" i="8"/>
  <c r="JPV132" i="8"/>
  <c r="JPU132" i="8"/>
  <c r="JPT132" i="8"/>
  <c r="JPS132" i="8"/>
  <c r="JPR132" i="8"/>
  <c r="JPQ132" i="8"/>
  <c r="JPP132" i="8"/>
  <c r="JPO132" i="8"/>
  <c r="JPN132" i="8"/>
  <c r="JPM132" i="8"/>
  <c r="JPL132" i="8"/>
  <c r="JPK132" i="8"/>
  <c r="JPJ132" i="8"/>
  <c r="JPI132" i="8"/>
  <c r="JPH132" i="8"/>
  <c r="JPG132" i="8"/>
  <c r="JPF132" i="8"/>
  <c r="JPE132" i="8"/>
  <c r="JPD132" i="8"/>
  <c r="JPC132" i="8"/>
  <c r="JPB132" i="8"/>
  <c r="JPA132" i="8"/>
  <c r="JOZ132" i="8"/>
  <c r="JOY132" i="8"/>
  <c r="JOX132" i="8"/>
  <c r="JOW132" i="8"/>
  <c r="JOV132" i="8"/>
  <c r="JOU132" i="8"/>
  <c r="JOT132" i="8"/>
  <c r="JOS132" i="8"/>
  <c r="JOR132" i="8"/>
  <c r="JOQ132" i="8"/>
  <c r="JOP132" i="8"/>
  <c r="JOO132" i="8"/>
  <c r="JON132" i="8"/>
  <c r="JOM132" i="8"/>
  <c r="JOL132" i="8"/>
  <c r="JOK132" i="8"/>
  <c r="JOJ132" i="8"/>
  <c r="JOI132" i="8"/>
  <c r="JOH132" i="8"/>
  <c r="JOG132" i="8"/>
  <c r="JOF132" i="8"/>
  <c r="JOE132" i="8"/>
  <c r="JOD132" i="8"/>
  <c r="JOC132" i="8"/>
  <c r="JOB132" i="8"/>
  <c r="JOA132" i="8"/>
  <c r="JNZ132" i="8"/>
  <c r="JNY132" i="8"/>
  <c r="JNX132" i="8"/>
  <c r="JNW132" i="8"/>
  <c r="JNV132" i="8"/>
  <c r="JNU132" i="8"/>
  <c r="JNT132" i="8"/>
  <c r="JNS132" i="8"/>
  <c r="JNR132" i="8"/>
  <c r="JNQ132" i="8"/>
  <c r="JNP132" i="8"/>
  <c r="JNO132" i="8"/>
  <c r="JNN132" i="8"/>
  <c r="JNM132" i="8"/>
  <c r="JNL132" i="8"/>
  <c r="JNK132" i="8"/>
  <c r="JNJ132" i="8"/>
  <c r="JNI132" i="8"/>
  <c r="JNH132" i="8"/>
  <c r="JNG132" i="8"/>
  <c r="JNF132" i="8"/>
  <c r="JNE132" i="8"/>
  <c r="JND132" i="8"/>
  <c r="JNC132" i="8"/>
  <c r="JNB132" i="8"/>
  <c r="JNA132" i="8"/>
  <c r="JMZ132" i="8"/>
  <c r="JMY132" i="8"/>
  <c r="JMX132" i="8"/>
  <c r="JMW132" i="8"/>
  <c r="JMV132" i="8"/>
  <c r="JMU132" i="8"/>
  <c r="JMT132" i="8"/>
  <c r="JMS132" i="8"/>
  <c r="JMR132" i="8"/>
  <c r="JMQ132" i="8"/>
  <c r="JMP132" i="8"/>
  <c r="JMO132" i="8"/>
  <c r="JMN132" i="8"/>
  <c r="JMM132" i="8"/>
  <c r="JML132" i="8"/>
  <c r="JMK132" i="8"/>
  <c r="JMJ132" i="8"/>
  <c r="JMI132" i="8"/>
  <c r="JMH132" i="8"/>
  <c r="JMG132" i="8"/>
  <c r="JMF132" i="8"/>
  <c r="JME132" i="8"/>
  <c r="JMD132" i="8"/>
  <c r="JMC132" i="8"/>
  <c r="JMB132" i="8"/>
  <c r="JMA132" i="8"/>
  <c r="JLZ132" i="8"/>
  <c r="JLY132" i="8"/>
  <c r="JLX132" i="8"/>
  <c r="JLW132" i="8"/>
  <c r="JLV132" i="8"/>
  <c r="JLU132" i="8"/>
  <c r="JLT132" i="8"/>
  <c r="JLS132" i="8"/>
  <c r="JLR132" i="8"/>
  <c r="JLQ132" i="8"/>
  <c r="JLP132" i="8"/>
  <c r="JLO132" i="8"/>
  <c r="JLN132" i="8"/>
  <c r="JLM132" i="8"/>
  <c r="JLL132" i="8"/>
  <c r="JLK132" i="8"/>
  <c r="JLJ132" i="8"/>
  <c r="JLI132" i="8"/>
  <c r="JLH132" i="8"/>
  <c r="JLG132" i="8"/>
  <c r="JLF132" i="8"/>
  <c r="JLE132" i="8"/>
  <c r="JLD132" i="8"/>
  <c r="JLC132" i="8"/>
  <c r="JLB132" i="8"/>
  <c r="JLA132" i="8"/>
  <c r="JKZ132" i="8"/>
  <c r="JKY132" i="8"/>
  <c r="JKX132" i="8"/>
  <c r="JKW132" i="8"/>
  <c r="JKV132" i="8"/>
  <c r="JKU132" i="8"/>
  <c r="JKT132" i="8"/>
  <c r="JKS132" i="8"/>
  <c r="JKR132" i="8"/>
  <c r="JKQ132" i="8"/>
  <c r="JKP132" i="8"/>
  <c r="JKO132" i="8"/>
  <c r="JKN132" i="8"/>
  <c r="JKM132" i="8"/>
  <c r="JKL132" i="8"/>
  <c r="JKK132" i="8"/>
  <c r="JKJ132" i="8"/>
  <c r="JKI132" i="8"/>
  <c r="JKH132" i="8"/>
  <c r="JKG132" i="8"/>
  <c r="JKF132" i="8"/>
  <c r="JKE132" i="8"/>
  <c r="JKD132" i="8"/>
  <c r="JKC132" i="8"/>
  <c r="JKB132" i="8"/>
  <c r="JKA132" i="8"/>
  <c r="JJZ132" i="8"/>
  <c r="JJY132" i="8"/>
  <c r="JJX132" i="8"/>
  <c r="JJW132" i="8"/>
  <c r="JJV132" i="8"/>
  <c r="JJU132" i="8"/>
  <c r="JJT132" i="8"/>
  <c r="JJS132" i="8"/>
  <c r="JJR132" i="8"/>
  <c r="JJQ132" i="8"/>
  <c r="JJP132" i="8"/>
  <c r="JJO132" i="8"/>
  <c r="JJN132" i="8"/>
  <c r="JJM132" i="8"/>
  <c r="JJL132" i="8"/>
  <c r="JJK132" i="8"/>
  <c r="JJJ132" i="8"/>
  <c r="JJI132" i="8"/>
  <c r="JJH132" i="8"/>
  <c r="JJG132" i="8"/>
  <c r="JJF132" i="8"/>
  <c r="JJE132" i="8"/>
  <c r="JJD132" i="8"/>
  <c r="JJC132" i="8"/>
  <c r="JJB132" i="8"/>
  <c r="JJA132" i="8"/>
  <c r="JIZ132" i="8"/>
  <c r="JIY132" i="8"/>
  <c r="JIX132" i="8"/>
  <c r="JIW132" i="8"/>
  <c r="JIV132" i="8"/>
  <c r="JIU132" i="8"/>
  <c r="JIT132" i="8"/>
  <c r="JIS132" i="8"/>
  <c r="JIR132" i="8"/>
  <c r="JIQ132" i="8"/>
  <c r="JIP132" i="8"/>
  <c r="JIO132" i="8"/>
  <c r="JIN132" i="8"/>
  <c r="JIM132" i="8"/>
  <c r="JIL132" i="8"/>
  <c r="JIK132" i="8"/>
  <c r="JIJ132" i="8"/>
  <c r="JII132" i="8"/>
  <c r="JIH132" i="8"/>
  <c r="JIG132" i="8"/>
  <c r="JIF132" i="8"/>
  <c r="JIE132" i="8"/>
  <c r="JID132" i="8"/>
  <c r="JIC132" i="8"/>
  <c r="JIB132" i="8"/>
  <c r="JIA132" i="8"/>
  <c r="JHZ132" i="8"/>
  <c r="JHY132" i="8"/>
  <c r="JHX132" i="8"/>
  <c r="JHW132" i="8"/>
  <c r="JHV132" i="8"/>
  <c r="JHU132" i="8"/>
  <c r="JHT132" i="8"/>
  <c r="JHS132" i="8"/>
  <c r="JHR132" i="8"/>
  <c r="JHQ132" i="8"/>
  <c r="JHP132" i="8"/>
  <c r="JHO132" i="8"/>
  <c r="JHN132" i="8"/>
  <c r="JHM132" i="8"/>
  <c r="JHL132" i="8"/>
  <c r="JHK132" i="8"/>
  <c r="JHJ132" i="8"/>
  <c r="JHI132" i="8"/>
  <c r="JHH132" i="8"/>
  <c r="JHG132" i="8"/>
  <c r="JHF132" i="8"/>
  <c r="JHE132" i="8"/>
  <c r="JHD132" i="8"/>
  <c r="JHC132" i="8"/>
  <c r="JHB132" i="8"/>
  <c r="JHA132" i="8"/>
  <c r="JGZ132" i="8"/>
  <c r="JGY132" i="8"/>
  <c r="JGX132" i="8"/>
  <c r="JGW132" i="8"/>
  <c r="JGV132" i="8"/>
  <c r="JGU132" i="8"/>
  <c r="JGT132" i="8"/>
  <c r="JGS132" i="8"/>
  <c r="JGR132" i="8"/>
  <c r="JGQ132" i="8"/>
  <c r="JGP132" i="8"/>
  <c r="JGO132" i="8"/>
  <c r="JGN132" i="8"/>
  <c r="JGM132" i="8"/>
  <c r="JGL132" i="8"/>
  <c r="JGK132" i="8"/>
  <c r="JGJ132" i="8"/>
  <c r="JGI132" i="8"/>
  <c r="JGH132" i="8"/>
  <c r="JGG132" i="8"/>
  <c r="JGF132" i="8"/>
  <c r="JGE132" i="8"/>
  <c r="JGD132" i="8"/>
  <c r="JGC132" i="8"/>
  <c r="JGB132" i="8"/>
  <c r="JGA132" i="8"/>
  <c r="JFZ132" i="8"/>
  <c r="JFY132" i="8"/>
  <c r="JFX132" i="8"/>
  <c r="JFW132" i="8"/>
  <c r="JFV132" i="8"/>
  <c r="JFU132" i="8"/>
  <c r="JFT132" i="8"/>
  <c r="JFS132" i="8"/>
  <c r="JFR132" i="8"/>
  <c r="JFQ132" i="8"/>
  <c r="JFP132" i="8"/>
  <c r="JFO132" i="8"/>
  <c r="JFN132" i="8"/>
  <c r="JFM132" i="8"/>
  <c r="JFL132" i="8"/>
  <c r="JFK132" i="8"/>
  <c r="JFJ132" i="8"/>
  <c r="JFI132" i="8"/>
  <c r="JFH132" i="8"/>
  <c r="JFG132" i="8"/>
  <c r="JFF132" i="8"/>
  <c r="JFE132" i="8"/>
  <c r="JFD132" i="8"/>
  <c r="JFC132" i="8"/>
  <c r="JFB132" i="8"/>
  <c r="JFA132" i="8"/>
  <c r="JEZ132" i="8"/>
  <c r="JEY132" i="8"/>
  <c r="JEX132" i="8"/>
  <c r="JEW132" i="8"/>
  <c r="JEV132" i="8"/>
  <c r="JEU132" i="8"/>
  <c r="JET132" i="8"/>
  <c r="JES132" i="8"/>
  <c r="JER132" i="8"/>
  <c r="JEQ132" i="8"/>
  <c r="JEP132" i="8"/>
  <c r="JEO132" i="8"/>
  <c r="JEN132" i="8"/>
  <c r="JEM132" i="8"/>
  <c r="JEL132" i="8"/>
  <c r="JEK132" i="8"/>
  <c r="JEJ132" i="8"/>
  <c r="JEI132" i="8"/>
  <c r="JEH132" i="8"/>
  <c r="JEG132" i="8"/>
  <c r="JEF132" i="8"/>
  <c r="JEE132" i="8"/>
  <c r="JED132" i="8"/>
  <c r="JEC132" i="8"/>
  <c r="JEB132" i="8"/>
  <c r="JEA132" i="8"/>
  <c r="JDZ132" i="8"/>
  <c r="JDY132" i="8"/>
  <c r="JDX132" i="8"/>
  <c r="JDW132" i="8"/>
  <c r="JDV132" i="8"/>
  <c r="JDU132" i="8"/>
  <c r="JDT132" i="8"/>
  <c r="JDS132" i="8"/>
  <c r="JDR132" i="8"/>
  <c r="JDQ132" i="8"/>
  <c r="JDP132" i="8"/>
  <c r="JDO132" i="8"/>
  <c r="JDN132" i="8"/>
  <c r="JDM132" i="8"/>
  <c r="JDL132" i="8"/>
  <c r="JDK132" i="8"/>
  <c r="JDJ132" i="8"/>
  <c r="JDI132" i="8"/>
  <c r="JDH132" i="8"/>
  <c r="JDG132" i="8"/>
  <c r="JDF132" i="8"/>
  <c r="JDE132" i="8"/>
  <c r="JDD132" i="8"/>
  <c r="JDC132" i="8"/>
  <c r="JDB132" i="8"/>
  <c r="JDA132" i="8"/>
  <c r="JCZ132" i="8"/>
  <c r="JCY132" i="8"/>
  <c r="JCX132" i="8"/>
  <c r="JCW132" i="8"/>
  <c r="JCV132" i="8"/>
  <c r="JCU132" i="8"/>
  <c r="JCT132" i="8"/>
  <c r="JCS132" i="8"/>
  <c r="JCR132" i="8"/>
  <c r="JCQ132" i="8"/>
  <c r="JCP132" i="8"/>
  <c r="JCO132" i="8"/>
  <c r="JCN132" i="8"/>
  <c r="JCM132" i="8"/>
  <c r="JCL132" i="8"/>
  <c r="JCK132" i="8"/>
  <c r="JCJ132" i="8"/>
  <c r="JCI132" i="8"/>
  <c r="JCH132" i="8"/>
  <c r="JCG132" i="8"/>
  <c r="JCF132" i="8"/>
  <c r="JCE132" i="8"/>
  <c r="JCD132" i="8"/>
  <c r="JCC132" i="8"/>
  <c r="JCB132" i="8"/>
  <c r="JCA132" i="8"/>
  <c r="JBZ132" i="8"/>
  <c r="JBY132" i="8"/>
  <c r="JBX132" i="8"/>
  <c r="JBW132" i="8"/>
  <c r="JBV132" i="8"/>
  <c r="JBU132" i="8"/>
  <c r="JBT132" i="8"/>
  <c r="JBS132" i="8"/>
  <c r="JBR132" i="8"/>
  <c r="JBQ132" i="8"/>
  <c r="JBP132" i="8"/>
  <c r="JBO132" i="8"/>
  <c r="JBN132" i="8"/>
  <c r="JBM132" i="8"/>
  <c r="JBL132" i="8"/>
  <c r="JBK132" i="8"/>
  <c r="JBJ132" i="8"/>
  <c r="JBI132" i="8"/>
  <c r="JBH132" i="8"/>
  <c r="JBG132" i="8"/>
  <c r="JBF132" i="8"/>
  <c r="JBE132" i="8"/>
  <c r="JBD132" i="8"/>
  <c r="JBC132" i="8"/>
  <c r="JBB132" i="8"/>
  <c r="JBA132" i="8"/>
  <c r="JAZ132" i="8"/>
  <c r="JAY132" i="8"/>
  <c r="JAX132" i="8"/>
  <c r="JAW132" i="8"/>
  <c r="JAV132" i="8"/>
  <c r="JAU132" i="8"/>
  <c r="JAT132" i="8"/>
  <c r="JAS132" i="8"/>
  <c r="JAR132" i="8"/>
  <c r="JAQ132" i="8"/>
  <c r="JAP132" i="8"/>
  <c r="JAO132" i="8"/>
  <c r="JAN132" i="8"/>
  <c r="JAM132" i="8"/>
  <c r="JAL132" i="8"/>
  <c r="JAK132" i="8"/>
  <c r="JAJ132" i="8"/>
  <c r="JAI132" i="8"/>
  <c r="JAH132" i="8"/>
  <c r="JAG132" i="8"/>
  <c r="JAF132" i="8"/>
  <c r="JAE132" i="8"/>
  <c r="JAD132" i="8"/>
  <c r="JAC132" i="8"/>
  <c r="JAB132" i="8"/>
  <c r="JAA132" i="8"/>
  <c r="IZZ132" i="8"/>
  <c r="IZY132" i="8"/>
  <c r="IZX132" i="8"/>
  <c r="IZW132" i="8"/>
  <c r="IZV132" i="8"/>
  <c r="IZU132" i="8"/>
  <c r="IZT132" i="8"/>
  <c r="IZS132" i="8"/>
  <c r="IZR132" i="8"/>
  <c r="IZQ132" i="8"/>
  <c r="IZP132" i="8"/>
  <c r="IZO132" i="8"/>
  <c r="IZN132" i="8"/>
  <c r="IZM132" i="8"/>
  <c r="IZL132" i="8"/>
  <c r="IZK132" i="8"/>
  <c r="IZJ132" i="8"/>
  <c r="IZI132" i="8"/>
  <c r="IZH132" i="8"/>
  <c r="IZG132" i="8"/>
  <c r="IZF132" i="8"/>
  <c r="IZE132" i="8"/>
  <c r="IZD132" i="8"/>
  <c r="IZC132" i="8"/>
  <c r="IZB132" i="8"/>
  <c r="IZA132" i="8"/>
  <c r="IYZ132" i="8"/>
  <c r="IYY132" i="8"/>
  <c r="IYX132" i="8"/>
  <c r="IYW132" i="8"/>
  <c r="IYV132" i="8"/>
  <c r="IYU132" i="8"/>
  <c r="IYT132" i="8"/>
  <c r="IYS132" i="8"/>
  <c r="IYR132" i="8"/>
  <c r="IYQ132" i="8"/>
  <c r="IYP132" i="8"/>
  <c r="IYO132" i="8"/>
  <c r="IYN132" i="8"/>
  <c r="IYM132" i="8"/>
  <c r="IYL132" i="8"/>
  <c r="IYK132" i="8"/>
  <c r="IYJ132" i="8"/>
  <c r="IYI132" i="8"/>
  <c r="IYH132" i="8"/>
  <c r="IYG132" i="8"/>
  <c r="IYF132" i="8"/>
  <c r="IYE132" i="8"/>
  <c r="IYD132" i="8"/>
  <c r="IYC132" i="8"/>
  <c r="IYB132" i="8"/>
  <c r="IYA132" i="8"/>
  <c r="IXZ132" i="8"/>
  <c r="IXY132" i="8"/>
  <c r="IXX132" i="8"/>
  <c r="IXW132" i="8"/>
  <c r="IXV132" i="8"/>
  <c r="IXU132" i="8"/>
  <c r="IXT132" i="8"/>
  <c r="IXS132" i="8"/>
  <c r="IXR132" i="8"/>
  <c r="IXQ132" i="8"/>
  <c r="IXP132" i="8"/>
  <c r="IXO132" i="8"/>
  <c r="IXN132" i="8"/>
  <c r="IXM132" i="8"/>
  <c r="IXL132" i="8"/>
  <c r="IXK132" i="8"/>
  <c r="IXJ132" i="8"/>
  <c r="IXI132" i="8"/>
  <c r="IXH132" i="8"/>
  <c r="IXG132" i="8"/>
  <c r="IXF132" i="8"/>
  <c r="IXE132" i="8"/>
  <c r="IXD132" i="8"/>
  <c r="IXC132" i="8"/>
  <c r="IXB132" i="8"/>
  <c r="IXA132" i="8"/>
  <c r="IWZ132" i="8"/>
  <c r="IWY132" i="8"/>
  <c r="IWX132" i="8"/>
  <c r="IWW132" i="8"/>
  <c r="IWV132" i="8"/>
  <c r="IWU132" i="8"/>
  <c r="IWT132" i="8"/>
  <c r="IWS132" i="8"/>
  <c r="IWR132" i="8"/>
  <c r="IWQ132" i="8"/>
  <c r="IWP132" i="8"/>
  <c r="IWO132" i="8"/>
  <c r="IWN132" i="8"/>
  <c r="IWM132" i="8"/>
  <c r="IWL132" i="8"/>
  <c r="IWK132" i="8"/>
  <c r="IWJ132" i="8"/>
  <c r="IWI132" i="8"/>
  <c r="IWH132" i="8"/>
  <c r="IWG132" i="8"/>
  <c r="IWF132" i="8"/>
  <c r="IWE132" i="8"/>
  <c r="IWD132" i="8"/>
  <c r="IWC132" i="8"/>
  <c r="IWB132" i="8"/>
  <c r="IWA132" i="8"/>
  <c r="IVZ132" i="8"/>
  <c r="IVY132" i="8"/>
  <c r="IVX132" i="8"/>
  <c r="IVW132" i="8"/>
  <c r="IVV132" i="8"/>
  <c r="IVU132" i="8"/>
  <c r="IVT132" i="8"/>
  <c r="IVS132" i="8"/>
  <c r="IVR132" i="8"/>
  <c r="IVQ132" i="8"/>
  <c r="IVP132" i="8"/>
  <c r="IVO132" i="8"/>
  <c r="IVN132" i="8"/>
  <c r="IVM132" i="8"/>
  <c r="IVL132" i="8"/>
  <c r="IVK132" i="8"/>
  <c r="IVJ132" i="8"/>
  <c r="IVI132" i="8"/>
  <c r="IVH132" i="8"/>
  <c r="IVG132" i="8"/>
  <c r="IVF132" i="8"/>
  <c r="IVE132" i="8"/>
  <c r="IVD132" i="8"/>
  <c r="IVC132" i="8"/>
  <c r="IVB132" i="8"/>
  <c r="IVA132" i="8"/>
  <c r="IUZ132" i="8"/>
  <c r="IUY132" i="8"/>
  <c r="IUX132" i="8"/>
  <c r="IUW132" i="8"/>
  <c r="IUV132" i="8"/>
  <c r="IUU132" i="8"/>
  <c r="IUT132" i="8"/>
  <c r="IUS132" i="8"/>
  <c r="IUR132" i="8"/>
  <c r="IUQ132" i="8"/>
  <c r="IUP132" i="8"/>
  <c r="IUO132" i="8"/>
  <c r="IUN132" i="8"/>
  <c r="IUM132" i="8"/>
  <c r="IUL132" i="8"/>
  <c r="IUK132" i="8"/>
  <c r="IUJ132" i="8"/>
  <c r="IUI132" i="8"/>
  <c r="IUH132" i="8"/>
  <c r="IUG132" i="8"/>
  <c r="IUF132" i="8"/>
  <c r="IUE132" i="8"/>
  <c r="IUD132" i="8"/>
  <c r="IUC132" i="8"/>
  <c r="IUB132" i="8"/>
  <c r="IUA132" i="8"/>
  <c r="ITZ132" i="8"/>
  <c r="ITY132" i="8"/>
  <c r="ITX132" i="8"/>
  <c r="ITW132" i="8"/>
  <c r="ITV132" i="8"/>
  <c r="ITU132" i="8"/>
  <c r="ITT132" i="8"/>
  <c r="ITS132" i="8"/>
  <c r="ITR132" i="8"/>
  <c r="ITQ132" i="8"/>
  <c r="ITP132" i="8"/>
  <c r="ITO132" i="8"/>
  <c r="ITN132" i="8"/>
  <c r="ITM132" i="8"/>
  <c r="ITL132" i="8"/>
  <c r="ITK132" i="8"/>
  <c r="ITJ132" i="8"/>
  <c r="ITI132" i="8"/>
  <c r="ITH132" i="8"/>
  <c r="ITG132" i="8"/>
  <c r="ITF132" i="8"/>
  <c r="ITE132" i="8"/>
  <c r="ITD132" i="8"/>
  <c r="ITC132" i="8"/>
  <c r="ITB132" i="8"/>
  <c r="ITA132" i="8"/>
  <c r="ISZ132" i="8"/>
  <c r="ISY132" i="8"/>
  <c r="ISX132" i="8"/>
  <c r="ISW132" i="8"/>
  <c r="ISV132" i="8"/>
  <c r="ISU132" i="8"/>
  <c r="IST132" i="8"/>
  <c r="ISS132" i="8"/>
  <c r="ISR132" i="8"/>
  <c r="ISQ132" i="8"/>
  <c r="ISP132" i="8"/>
  <c r="ISO132" i="8"/>
  <c r="ISN132" i="8"/>
  <c r="ISM132" i="8"/>
  <c r="ISL132" i="8"/>
  <c r="ISK132" i="8"/>
  <c r="ISJ132" i="8"/>
  <c r="ISI132" i="8"/>
  <c r="ISH132" i="8"/>
  <c r="ISG132" i="8"/>
  <c r="ISF132" i="8"/>
  <c r="ISE132" i="8"/>
  <c r="ISD132" i="8"/>
  <c r="ISC132" i="8"/>
  <c r="ISB132" i="8"/>
  <c r="ISA132" i="8"/>
  <c r="IRZ132" i="8"/>
  <c r="IRY132" i="8"/>
  <c r="IRX132" i="8"/>
  <c r="IRW132" i="8"/>
  <c r="IRV132" i="8"/>
  <c r="IRU132" i="8"/>
  <c r="IRT132" i="8"/>
  <c r="IRS132" i="8"/>
  <c r="IRR132" i="8"/>
  <c r="IRQ132" i="8"/>
  <c r="IRP132" i="8"/>
  <c r="IRO132" i="8"/>
  <c r="IRN132" i="8"/>
  <c r="IRM132" i="8"/>
  <c r="IRL132" i="8"/>
  <c r="IRK132" i="8"/>
  <c r="IRJ132" i="8"/>
  <c r="IRI132" i="8"/>
  <c r="IRH132" i="8"/>
  <c r="IRG132" i="8"/>
  <c r="IRF132" i="8"/>
  <c r="IRE132" i="8"/>
  <c r="IRD132" i="8"/>
  <c r="IRC132" i="8"/>
  <c r="IRB132" i="8"/>
  <c r="IRA132" i="8"/>
  <c r="IQZ132" i="8"/>
  <c r="IQY132" i="8"/>
  <c r="IQX132" i="8"/>
  <c r="IQW132" i="8"/>
  <c r="IQV132" i="8"/>
  <c r="IQU132" i="8"/>
  <c r="IQT132" i="8"/>
  <c r="IQS132" i="8"/>
  <c r="IQR132" i="8"/>
  <c r="IQQ132" i="8"/>
  <c r="IQP132" i="8"/>
  <c r="IQO132" i="8"/>
  <c r="IQN132" i="8"/>
  <c r="IQM132" i="8"/>
  <c r="IQL132" i="8"/>
  <c r="IQK132" i="8"/>
  <c r="IQJ132" i="8"/>
  <c r="IQI132" i="8"/>
  <c r="IQH132" i="8"/>
  <c r="IQG132" i="8"/>
  <c r="IQF132" i="8"/>
  <c r="IQE132" i="8"/>
  <c r="IQD132" i="8"/>
  <c r="IQC132" i="8"/>
  <c r="IQB132" i="8"/>
  <c r="IQA132" i="8"/>
  <c r="IPZ132" i="8"/>
  <c r="IPY132" i="8"/>
  <c r="IPX132" i="8"/>
  <c r="IPW132" i="8"/>
  <c r="IPV132" i="8"/>
  <c r="IPU132" i="8"/>
  <c r="IPT132" i="8"/>
  <c r="IPS132" i="8"/>
  <c r="IPR132" i="8"/>
  <c r="IPQ132" i="8"/>
  <c r="IPP132" i="8"/>
  <c r="IPO132" i="8"/>
  <c r="IPN132" i="8"/>
  <c r="IPM132" i="8"/>
  <c r="IPL132" i="8"/>
  <c r="IPK132" i="8"/>
  <c r="IPJ132" i="8"/>
  <c r="IPI132" i="8"/>
  <c r="IPH132" i="8"/>
  <c r="IPG132" i="8"/>
  <c r="IPF132" i="8"/>
  <c r="IPE132" i="8"/>
  <c r="IPD132" i="8"/>
  <c r="IPC132" i="8"/>
  <c r="IPB132" i="8"/>
  <c r="IPA132" i="8"/>
  <c r="IOZ132" i="8"/>
  <c r="IOY132" i="8"/>
  <c r="IOX132" i="8"/>
  <c r="IOW132" i="8"/>
  <c r="IOV132" i="8"/>
  <c r="IOU132" i="8"/>
  <c r="IOT132" i="8"/>
  <c r="IOS132" i="8"/>
  <c r="IOR132" i="8"/>
  <c r="IOQ132" i="8"/>
  <c r="IOP132" i="8"/>
  <c r="IOO132" i="8"/>
  <c r="ION132" i="8"/>
  <c r="IOM132" i="8"/>
  <c r="IOL132" i="8"/>
  <c r="IOK132" i="8"/>
  <c r="IOJ132" i="8"/>
  <c r="IOI132" i="8"/>
  <c r="IOH132" i="8"/>
  <c r="IOG132" i="8"/>
  <c r="IOF132" i="8"/>
  <c r="IOE132" i="8"/>
  <c r="IOD132" i="8"/>
  <c r="IOC132" i="8"/>
  <c r="IOB132" i="8"/>
  <c r="IOA132" i="8"/>
  <c r="INZ132" i="8"/>
  <c r="INY132" i="8"/>
  <c r="INX132" i="8"/>
  <c r="INW132" i="8"/>
  <c r="INV132" i="8"/>
  <c r="INU132" i="8"/>
  <c r="INT132" i="8"/>
  <c r="INS132" i="8"/>
  <c r="INR132" i="8"/>
  <c r="INQ132" i="8"/>
  <c r="INP132" i="8"/>
  <c r="INO132" i="8"/>
  <c r="INN132" i="8"/>
  <c r="INM132" i="8"/>
  <c r="INL132" i="8"/>
  <c r="INK132" i="8"/>
  <c r="INJ132" i="8"/>
  <c r="INI132" i="8"/>
  <c r="INH132" i="8"/>
  <c r="ING132" i="8"/>
  <c r="INF132" i="8"/>
  <c r="INE132" i="8"/>
  <c r="IND132" i="8"/>
  <c r="INC132" i="8"/>
  <c r="INB132" i="8"/>
  <c r="INA132" i="8"/>
  <c r="IMZ132" i="8"/>
  <c r="IMY132" i="8"/>
  <c r="IMX132" i="8"/>
  <c r="IMW132" i="8"/>
  <c r="IMV132" i="8"/>
  <c r="IMU132" i="8"/>
  <c r="IMT132" i="8"/>
  <c r="IMS132" i="8"/>
  <c r="IMR132" i="8"/>
  <c r="IMQ132" i="8"/>
  <c r="IMP132" i="8"/>
  <c r="IMO132" i="8"/>
  <c r="IMN132" i="8"/>
  <c r="IMM132" i="8"/>
  <c r="IML132" i="8"/>
  <c r="IMK132" i="8"/>
  <c r="IMJ132" i="8"/>
  <c r="IMI132" i="8"/>
  <c r="IMH132" i="8"/>
  <c r="IMG132" i="8"/>
  <c r="IMF132" i="8"/>
  <c r="IME132" i="8"/>
  <c r="IMD132" i="8"/>
  <c r="IMC132" i="8"/>
  <c r="IMB132" i="8"/>
  <c r="IMA132" i="8"/>
  <c r="ILZ132" i="8"/>
  <c r="ILY132" i="8"/>
  <c r="ILX132" i="8"/>
  <c r="ILW132" i="8"/>
  <c r="ILV132" i="8"/>
  <c r="ILU132" i="8"/>
  <c r="ILT132" i="8"/>
  <c r="ILS132" i="8"/>
  <c r="ILR132" i="8"/>
  <c r="ILQ132" i="8"/>
  <c r="ILP132" i="8"/>
  <c r="ILO132" i="8"/>
  <c r="ILN132" i="8"/>
  <c r="ILM132" i="8"/>
  <c r="ILL132" i="8"/>
  <c r="ILK132" i="8"/>
  <c r="ILJ132" i="8"/>
  <c r="ILI132" i="8"/>
  <c r="ILH132" i="8"/>
  <c r="ILG132" i="8"/>
  <c r="ILF132" i="8"/>
  <c r="ILE132" i="8"/>
  <c r="ILD132" i="8"/>
  <c r="ILC132" i="8"/>
  <c r="ILB132" i="8"/>
  <c r="ILA132" i="8"/>
  <c r="IKZ132" i="8"/>
  <c r="IKY132" i="8"/>
  <c r="IKX132" i="8"/>
  <c r="IKW132" i="8"/>
  <c r="IKV132" i="8"/>
  <c r="IKU132" i="8"/>
  <c r="IKT132" i="8"/>
  <c r="IKS132" i="8"/>
  <c r="IKR132" i="8"/>
  <c r="IKQ132" i="8"/>
  <c r="IKP132" i="8"/>
  <c r="IKO132" i="8"/>
  <c r="IKN132" i="8"/>
  <c r="IKM132" i="8"/>
  <c r="IKL132" i="8"/>
  <c r="IKK132" i="8"/>
  <c r="IKJ132" i="8"/>
  <c r="IKI132" i="8"/>
  <c r="IKH132" i="8"/>
  <c r="IKG132" i="8"/>
  <c r="IKF132" i="8"/>
  <c r="IKE132" i="8"/>
  <c r="IKD132" i="8"/>
  <c r="IKC132" i="8"/>
  <c r="IKB132" i="8"/>
  <c r="IKA132" i="8"/>
  <c r="IJZ132" i="8"/>
  <c r="IJY132" i="8"/>
  <c r="IJX132" i="8"/>
  <c r="IJW132" i="8"/>
  <c r="IJV132" i="8"/>
  <c r="IJU132" i="8"/>
  <c r="IJT132" i="8"/>
  <c r="IJS132" i="8"/>
  <c r="IJR132" i="8"/>
  <c r="IJQ132" i="8"/>
  <c r="IJP132" i="8"/>
  <c r="IJO132" i="8"/>
  <c r="IJN132" i="8"/>
  <c r="IJM132" i="8"/>
  <c r="IJL132" i="8"/>
  <c r="IJK132" i="8"/>
  <c r="IJJ132" i="8"/>
  <c r="IJI132" i="8"/>
  <c r="IJH132" i="8"/>
  <c r="IJG132" i="8"/>
  <c r="IJF132" i="8"/>
  <c r="IJE132" i="8"/>
  <c r="IJD132" i="8"/>
  <c r="IJC132" i="8"/>
  <c r="IJB132" i="8"/>
  <c r="IJA132" i="8"/>
  <c r="IIZ132" i="8"/>
  <c r="IIY132" i="8"/>
  <c r="IIX132" i="8"/>
  <c r="IIW132" i="8"/>
  <c r="IIV132" i="8"/>
  <c r="IIU132" i="8"/>
  <c r="IIT132" i="8"/>
  <c r="IIS132" i="8"/>
  <c r="IIR132" i="8"/>
  <c r="IIQ132" i="8"/>
  <c r="IIP132" i="8"/>
  <c r="IIO132" i="8"/>
  <c r="IIN132" i="8"/>
  <c r="IIM132" i="8"/>
  <c r="IIL132" i="8"/>
  <c r="IIK132" i="8"/>
  <c r="IIJ132" i="8"/>
  <c r="III132" i="8"/>
  <c r="IIH132" i="8"/>
  <c r="IIG132" i="8"/>
  <c r="IIF132" i="8"/>
  <c r="IIE132" i="8"/>
  <c r="IID132" i="8"/>
  <c r="IIC132" i="8"/>
  <c r="IIB132" i="8"/>
  <c r="IIA132" i="8"/>
  <c r="IHZ132" i="8"/>
  <c r="IHY132" i="8"/>
  <c r="IHX132" i="8"/>
  <c r="IHW132" i="8"/>
  <c r="IHV132" i="8"/>
  <c r="IHU132" i="8"/>
  <c r="IHT132" i="8"/>
  <c r="IHS132" i="8"/>
  <c r="IHR132" i="8"/>
  <c r="IHQ132" i="8"/>
  <c r="IHP132" i="8"/>
  <c r="IHO132" i="8"/>
  <c r="IHN132" i="8"/>
  <c r="IHM132" i="8"/>
  <c r="IHL132" i="8"/>
  <c r="IHK132" i="8"/>
  <c r="IHJ132" i="8"/>
  <c r="IHI132" i="8"/>
  <c r="IHH132" i="8"/>
  <c r="IHG132" i="8"/>
  <c r="IHF132" i="8"/>
  <c r="IHE132" i="8"/>
  <c r="IHD132" i="8"/>
  <c r="IHC132" i="8"/>
  <c r="IHB132" i="8"/>
  <c r="IHA132" i="8"/>
  <c r="IGZ132" i="8"/>
  <c r="IGY132" i="8"/>
  <c r="IGX132" i="8"/>
  <c r="IGW132" i="8"/>
  <c r="IGV132" i="8"/>
  <c r="IGU132" i="8"/>
  <c r="IGT132" i="8"/>
  <c r="IGS132" i="8"/>
  <c r="IGR132" i="8"/>
  <c r="IGQ132" i="8"/>
  <c r="IGP132" i="8"/>
  <c r="IGO132" i="8"/>
  <c r="IGN132" i="8"/>
  <c r="IGM132" i="8"/>
  <c r="IGL132" i="8"/>
  <c r="IGK132" i="8"/>
  <c r="IGJ132" i="8"/>
  <c r="IGI132" i="8"/>
  <c r="IGH132" i="8"/>
  <c r="IGG132" i="8"/>
  <c r="IGF132" i="8"/>
  <c r="IGE132" i="8"/>
  <c r="IGD132" i="8"/>
  <c r="IGC132" i="8"/>
  <c r="IGB132" i="8"/>
  <c r="IGA132" i="8"/>
  <c r="IFZ132" i="8"/>
  <c r="IFY132" i="8"/>
  <c r="IFX132" i="8"/>
  <c r="IFW132" i="8"/>
  <c r="IFV132" i="8"/>
  <c r="IFU132" i="8"/>
  <c r="IFT132" i="8"/>
  <c r="IFS132" i="8"/>
  <c r="IFR132" i="8"/>
  <c r="IFQ132" i="8"/>
  <c r="IFP132" i="8"/>
  <c r="IFO132" i="8"/>
  <c r="IFN132" i="8"/>
  <c r="IFM132" i="8"/>
  <c r="IFL132" i="8"/>
  <c r="IFK132" i="8"/>
  <c r="IFJ132" i="8"/>
  <c r="IFI132" i="8"/>
  <c r="IFH132" i="8"/>
  <c r="IFG132" i="8"/>
  <c r="IFF132" i="8"/>
  <c r="IFE132" i="8"/>
  <c r="IFD132" i="8"/>
  <c r="IFC132" i="8"/>
  <c r="IFB132" i="8"/>
  <c r="IFA132" i="8"/>
  <c r="IEZ132" i="8"/>
  <c r="IEY132" i="8"/>
  <c r="IEX132" i="8"/>
  <c r="IEW132" i="8"/>
  <c r="IEV132" i="8"/>
  <c r="IEU132" i="8"/>
  <c r="IET132" i="8"/>
  <c r="IES132" i="8"/>
  <c r="IER132" i="8"/>
  <c r="IEQ132" i="8"/>
  <c r="IEP132" i="8"/>
  <c r="IEO132" i="8"/>
  <c r="IEN132" i="8"/>
  <c r="IEM132" i="8"/>
  <c r="IEL132" i="8"/>
  <c r="IEK132" i="8"/>
  <c r="IEJ132" i="8"/>
  <c r="IEI132" i="8"/>
  <c r="IEH132" i="8"/>
  <c r="IEG132" i="8"/>
  <c r="IEF132" i="8"/>
  <c r="IEE132" i="8"/>
  <c r="IED132" i="8"/>
  <c r="IEC132" i="8"/>
  <c r="IEB132" i="8"/>
  <c r="IEA132" i="8"/>
  <c r="IDZ132" i="8"/>
  <c r="IDY132" i="8"/>
  <c r="IDX132" i="8"/>
  <c r="IDW132" i="8"/>
  <c r="IDV132" i="8"/>
  <c r="IDU132" i="8"/>
  <c r="IDT132" i="8"/>
  <c r="IDS132" i="8"/>
  <c r="IDR132" i="8"/>
  <c r="IDQ132" i="8"/>
  <c r="IDP132" i="8"/>
  <c r="IDO132" i="8"/>
  <c r="IDN132" i="8"/>
  <c r="IDM132" i="8"/>
  <c r="IDL132" i="8"/>
  <c r="IDK132" i="8"/>
  <c r="IDJ132" i="8"/>
  <c r="IDI132" i="8"/>
  <c r="IDH132" i="8"/>
  <c r="IDG132" i="8"/>
  <c r="IDF132" i="8"/>
  <c r="IDE132" i="8"/>
  <c r="IDD132" i="8"/>
  <c r="IDC132" i="8"/>
  <c r="IDB132" i="8"/>
  <c r="IDA132" i="8"/>
  <c r="ICZ132" i="8"/>
  <c r="ICY132" i="8"/>
  <c r="ICX132" i="8"/>
  <c r="ICW132" i="8"/>
  <c r="ICV132" i="8"/>
  <c r="ICU132" i="8"/>
  <c r="ICT132" i="8"/>
  <c r="ICS132" i="8"/>
  <c r="ICR132" i="8"/>
  <c r="ICQ132" i="8"/>
  <c r="ICP132" i="8"/>
  <c r="ICO132" i="8"/>
  <c r="ICN132" i="8"/>
  <c r="ICM132" i="8"/>
  <c r="ICL132" i="8"/>
  <c r="ICK132" i="8"/>
  <c r="ICJ132" i="8"/>
  <c r="ICI132" i="8"/>
  <c r="ICH132" i="8"/>
  <c r="ICG132" i="8"/>
  <c r="ICF132" i="8"/>
  <c r="ICE132" i="8"/>
  <c r="ICD132" i="8"/>
  <c r="ICC132" i="8"/>
  <c r="ICB132" i="8"/>
  <c r="ICA132" i="8"/>
  <c r="IBZ132" i="8"/>
  <c r="IBY132" i="8"/>
  <c r="IBX132" i="8"/>
  <c r="IBW132" i="8"/>
  <c r="IBV132" i="8"/>
  <c r="IBU132" i="8"/>
  <c r="IBT132" i="8"/>
  <c r="IBS132" i="8"/>
  <c r="IBR132" i="8"/>
  <c r="IBQ132" i="8"/>
  <c r="IBP132" i="8"/>
  <c r="IBO132" i="8"/>
  <c r="IBN132" i="8"/>
  <c r="IBM132" i="8"/>
  <c r="IBL132" i="8"/>
  <c r="IBK132" i="8"/>
  <c r="IBJ132" i="8"/>
  <c r="IBI132" i="8"/>
  <c r="IBH132" i="8"/>
  <c r="IBG132" i="8"/>
  <c r="IBF132" i="8"/>
  <c r="IBE132" i="8"/>
  <c r="IBD132" i="8"/>
  <c r="IBC132" i="8"/>
  <c r="IBB132" i="8"/>
  <c r="IBA132" i="8"/>
  <c r="IAZ132" i="8"/>
  <c r="IAY132" i="8"/>
  <c r="IAX132" i="8"/>
  <c r="IAW132" i="8"/>
  <c r="IAV132" i="8"/>
  <c r="IAU132" i="8"/>
  <c r="IAT132" i="8"/>
  <c r="IAS132" i="8"/>
  <c r="IAR132" i="8"/>
  <c r="IAQ132" i="8"/>
  <c r="IAP132" i="8"/>
  <c r="IAO132" i="8"/>
  <c r="IAN132" i="8"/>
  <c r="IAM132" i="8"/>
  <c r="IAL132" i="8"/>
  <c r="IAK132" i="8"/>
  <c r="IAJ132" i="8"/>
  <c r="IAI132" i="8"/>
  <c r="IAH132" i="8"/>
  <c r="IAG132" i="8"/>
  <c r="IAF132" i="8"/>
  <c r="IAE132" i="8"/>
  <c r="IAD132" i="8"/>
  <c r="IAC132" i="8"/>
  <c r="IAB132" i="8"/>
  <c r="IAA132" i="8"/>
  <c r="HZZ132" i="8"/>
  <c r="HZY132" i="8"/>
  <c r="HZX132" i="8"/>
  <c r="HZW132" i="8"/>
  <c r="HZV132" i="8"/>
  <c r="HZU132" i="8"/>
  <c r="HZT132" i="8"/>
  <c r="HZS132" i="8"/>
  <c r="HZR132" i="8"/>
  <c r="HZQ132" i="8"/>
  <c r="HZP132" i="8"/>
  <c r="HZO132" i="8"/>
  <c r="HZN132" i="8"/>
  <c r="HZM132" i="8"/>
  <c r="HZL132" i="8"/>
  <c r="HZK132" i="8"/>
  <c r="HZJ132" i="8"/>
  <c r="HZI132" i="8"/>
  <c r="HZH132" i="8"/>
  <c r="HZG132" i="8"/>
  <c r="HZF132" i="8"/>
  <c r="HZE132" i="8"/>
  <c r="HZD132" i="8"/>
  <c r="HZC132" i="8"/>
  <c r="HZB132" i="8"/>
  <c r="HZA132" i="8"/>
  <c r="HYZ132" i="8"/>
  <c r="HYY132" i="8"/>
  <c r="HYX132" i="8"/>
  <c r="HYW132" i="8"/>
  <c r="HYV132" i="8"/>
  <c r="HYU132" i="8"/>
  <c r="HYT132" i="8"/>
  <c r="HYS132" i="8"/>
  <c r="HYR132" i="8"/>
  <c r="HYQ132" i="8"/>
  <c r="HYP132" i="8"/>
  <c r="HYO132" i="8"/>
  <c r="HYN132" i="8"/>
  <c r="HYM132" i="8"/>
  <c r="HYL132" i="8"/>
  <c r="HYK132" i="8"/>
  <c r="HYJ132" i="8"/>
  <c r="HYI132" i="8"/>
  <c r="HYH132" i="8"/>
  <c r="HYG132" i="8"/>
  <c r="HYF132" i="8"/>
  <c r="HYE132" i="8"/>
  <c r="HYD132" i="8"/>
  <c r="HYC132" i="8"/>
  <c r="HYB132" i="8"/>
  <c r="HYA132" i="8"/>
  <c r="HXZ132" i="8"/>
  <c r="HXY132" i="8"/>
  <c r="HXX132" i="8"/>
  <c r="HXW132" i="8"/>
  <c r="HXV132" i="8"/>
  <c r="HXU132" i="8"/>
  <c r="HXT132" i="8"/>
  <c r="HXS132" i="8"/>
  <c r="HXR132" i="8"/>
  <c r="HXQ132" i="8"/>
  <c r="HXP132" i="8"/>
  <c r="HXO132" i="8"/>
  <c r="HXN132" i="8"/>
  <c r="HXM132" i="8"/>
  <c r="HXL132" i="8"/>
  <c r="HXK132" i="8"/>
  <c r="HXJ132" i="8"/>
  <c r="HXI132" i="8"/>
  <c r="HXH132" i="8"/>
  <c r="HXG132" i="8"/>
  <c r="HXF132" i="8"/>
  <c r="HXE132" i="8"/>
  <c r="HXD132" i="8"/>
  <c r="HXC132" i="8"/>
  <c r="HXB132" i="8"/>
  <c r="HXA132" i="8"/>
  <c r="HWZ132" i="8"/>
  <c r="HWY132" i="8"/>
  <c r="HWX132" i="8"/>
  <c r="HWW132" i="8"/>
  <c r="HWV132" i="8"/>
  <c r="HWU132" i="8"/>
  <c r="HWT132" i="8"/>
  <c r="HWS132" i="8"/>
  <c r="HWR132" i="8"/>
  <c r="HWQ132" i="8"/>
  <c r="HWP132" i="8"/>
  <c r="HWO132" i="8"/>
  <c r="HWN132" i="8"/>
  <c r="HWM132" i="8"/>
  <c r="HWL132" i="8"/>
  <c r="HWK132" i="8"/>
  <c r="HWJ132" i="8"/>
  <c r="HWI132" i="8"/>
  <c r="HWH132" i="8"/>
  <c r="HWG132" i="8"/>
  <c r="HWF132" i="8"/>
  <c r="HWE132" i="8"/>
  <c r="HWD132" i="8"/>
  <c r="HWC132" i="8"/>
  <c r="HWB132" i="8"/>
  <c r="HWA132" i="8"/>
  <c r="HVZ132" i="8"/>
  <c r="HVY132" i="8"/>
  <c r="HVX132" i="8"/>
  <c r="HVW132" i="8"/>
  <c r="HVV132" i="8"/>
  <c r="HVU132" i="8"/>
  <c r="HVT132" i="8"/>
  <c r="HVS132" i="8"/>
  <c r="HVR132" i="8"/>
  <c r="HVQ132" i="8"/>
  <c r="HVP132" i="8"/>
  <c r="HVO132" i="8"/>
  <c r="HVN132" i="8"/>
  <c r="HVM132" i="8"/>
  <c r="HVL132" i="8"/>
  <c r="HVK132" i="8"/>
  <c r="HVJ132" i="8"/>
  <c r="HVI132" i="8"/>
  <c r="HVH132" i="8"/>
  <c r="HVG132" i="8"/>
  <c r="HVF132" i="8"/>
  <c r="HVE132" i="8"/>
  <c r="HVD132" i="8"/>
  <c r="HVC132" i="8"/>
  <c r="HVB132" i="8"/>
  <c r="HVA132" i="8"/>
  <c r="HUZ132" i="8"/>
  <c r="HUY132" i="8"/>
  <c r="HUX132" i="8"/>
  <c r="HUW132" i="8"/>
  <c r="HUV132" i="8"/>
  <c r="HUU132" i="8"/>
  <c r="HUT132" i="8"/>
  <c r="HUS132" i="8"/>
  <c r="HUR132" i="8"/>
  <c r="HUQ132" i="8"/>
  <c r="HUP132" i="8"/>
  <c r="HUO132" i="8"/>
  <c r="HUN132" i="8"/>
  <c r="HUM132" i="8"/>
  <c r="HUL132" i="8"/>
  <c r="HUK132" i="8"/>
  <c r="HUJ132" i="8"/>
  <c r="HUI132" i="8"/>
  <c r="HUH132" i="8"/>
  <c r="HUG132" i="8"/>
  <c r="HUF132" i="8"/>
  <c r="HUE132" i="8"/>
  <c r="HUD132" i="8"/>
  <c r="HUC132" i="8"/>
  <c r="HUB132" i="8"/>
  <c r="HUA132" i="8"/>
  <c r="HTZ132" i="8"/>
  <c r="HTY132" i="8"/>
  <c r="HTX132" i="8"/>
  <c r="HTW132" i="8"/>
  <c r="HTV132" i="8"/>
  <c r="HTU132" i="8"/>
  <c r="HTT132" i="8"/>
  <c r="HTS132" i="8"/>
  <c r="HTR132" i="8"/>
  <c r="HTQ132" i="8"/>
  <c r="HTP132" i="8"/>
  <c r="HTO132" i="8"/>
  <c r="HTN132" i="8"/>
  <c r="HTM132" i="8"/>
  <c r="HTL132" i="8"/>
  <c r="HTK132" i="8"/>
  <c r="HTJ132" i="8"/>
  <c r="HTI132" i="8"/>
  <c r="HTH132" i="8"/>
  <c r="HTG132" i="8"/>
  <c r="HTF132" i="8"/>
  <c r="HTE132" i="8"/>
  <c r="HTD132" i="8"/>
  <c r="HTC132" i="8"/>
  <c r="HTB132" i="8"/>
  <c r="HTA132" i="8"/>
  <c r="HSZ132" i="8"/>
  <c r="HSY132" i="8"/>
  <c r="HSX132" i="8"/>
  <c r="HSW132" i="8"/>
  <c r="HSV132" i="8"/>
  <c r="HSU132" i="8"/>
  <c r="HST132" i="8"/>
  <c r="HSS132" i="8"/>
  <c r="HSR132" i="8"/>
  <c r="HSQ132" i="8"/>
  <c r="HSP132" i="8"/>
  <c r="HSO132" i="8"/>
  <c r="HSN132" i="8"/>
  <c r="HSM132" i="8"/>
  <c r="HSL132" i="8"/>
  <c r="HSK132" i="8"/>
  <c r="HSJ132" i="8"/>
  <c r="HSI132" i="8"/>
  <c r="HSH132" i="8"/>
  <c r="HSG132" i="8"/>
  <c r="HSF132" i="8"/>
  <c r="HSE132" i="8"/>
  <c r="HSD132" i="8"/>
  <c r="HSC132" i="8"/>
  <c r="HSB132" i="8"/>
  <c r="HSA132" i="8"/>
  <c r="HRZ132" i="8"/>
  <c r="HRY132" i="8"/>
  <c r="HRX132" i="8"/>
  <c r="HRW132" i="8"/>
  <c r="HRV132" i="8"/>
  <c r="HRU132" i="8"/>
  <c r="HRT132" i="8"/>
  <c r="HRS132" i="8"/>
  <c r="HRR132" i="8"/>
  <c r="HRQ132" i="8"/>
  <c r="HRP132" i="8"/>
  <c r="HRO132" i="8"/>
  <c r="HRN132" i="8"/>
  <c r="HRM132" i="8"/>
  <c r="HRL132" i="8"/>
  <c r="HRK132" i="8"/>
  <c r="HRJ132" i="8"/>
  <c r="HRI132" i="8"/>
  <c r="HRH132" i="8"/>
  <c r="HRG132" i="8"/>
  <c r="HRF132" i="8"/>
  <c r="HRE132" i="8"/>
  <c r="HRD132" i="8"/>
  <c r="HRC132" i="8"/>
  <c r="HRB132" i="8"/>
  <c r="HRA132" i="8"/>
  <c r="HQZ132" i="8"/>
  <c r="HQY132" i="8"/>
  <c r="HQX132" i="8"/>
  <c r="HQW132" i="8"/>
  <c r="HQV132" i="8"/>
  <c r="HQU132" i="8"/>
  <c r="HQT132" i="8"/>
  <c r="HQS132" i="8"/>
  <c r="HQR132" i="8"/>
  <c r="HQQ132" i="8"/>
  <c r="HQP132" i="8"/>
  <c r="HQO132" i="8"/>
  <c r="HQN132" i="8"/>
  <c r="HQM132" i="8"/>
  <c r="HQL132" i="8"/>
  <c r="HQK132" i="8"/>
  <c r="HQJ132" i="8"/>
  <c r="HQI132" i="8"/>
  <c r="HQH132" i="8"/>
  <c r="HQG132" i="8"/>
  <c r="HQF132" i="8"/>
  <c r="HQE132" i="8"/>
  <c r="HQD132" i="8"/>
  <c r="HQC132" i="8"/>
  <c r="HQB132" i="8"/>
  <c r="HQA132" i="8"/>
  <c r="HPZ132" i="8"/>
  <c r="HPY132" i="8"/>
  <c r="HPX132" i="8"/>
  <c r="HPW132" i="8"/>
  <c r="HPV132" i="8"/>
  <c r="HPU132" i="8"/>
  <c r="HPT132" i="8"/>
  <c r="HPS132" i="8"/>
  <c r="HPR132" i="8"/>
  <c r="HPQ132" i="8"/>
  <c r="HPP132" i="8"/>
  <c r="HPO132" i="8"/>
  <c r="HPN132" i="8"/>
  <c r="HPM132" i="8"/>
  <c r="HPL132" i="8"/>
  <c r="HPK132" i="8"/>
  <c r="HPJ132" i="8"/>
  <c r="HPI132" i="8"/>
  <c r="HPH132" i="8"/>
  <c r="HPG132" i="8"/>
  <c r="HPF132" i="8"/>
  <c r="HPE132" i="8"/>
  <c r="HPD132" i="8"/>
  <c r="HPC132" i="8"/>
  <c r="HPB132" i="8"/>
  <c r="HPA132" i="8"/>
  <c r="HOZ132" i="8"/>
  <c r="HOY132" i="8"/>
  <c r="HOX132" i="8"/>
  <c r="HOW132" i="8"/>
  <c r="HOV132" i="8"/>
  <c r="HOU132" i="8"/>
  <c r="HOT132" i="8"/>
  <c r="HOS132" i="8"/>
  <c r="HOR132" i="8"/>
  <c r="HOQ132" i="8"/>
  <c r="HOP132" i="8"/>
  <c r="HOO132" i="8"/>
  <c r="HON132" i="8"/>
  <c r="HOM132" i="8"/>
  <c r="HOL132" i="8"/>
  <c r="HOK132" i="8"/>
  <c r="HOJ132" i="8"/>
  <c r="HOI132" i="8"/>
  <c r="HOH132" i="8"/>
  <c r="HOG132" i="8"/>
  <c r="HOF132" i="8"/>
  <c r="HOE132" i="8"/>
  <c r="HOD132" i="8"/>
  <c r="HOC132" i="8"/>
  <c r="HOB132" i="8"/>
  <c r="HOA132" i="8"/>
  <c r="HNZ132" i="8"/>
  <c r="HNY132" i="8"/>
  <c r="HNX132" i="8"/>
  <c r="HNW132" i="8"/>
  <c r="HNV132" i="8"/>
  <c r="HNU132" i="8"/>
  <c r="HNT132" i="8"/>
  <c r="HNS132" i="8"/>
  <c r="HNR132" i="8"/>
  <c r="HNQ132" i="8"/>
  <c r="HNP132" i="8"/>
  <c r="HNO132" i="8"/>
  <c r="HNN132" i="8"/>
  <c r="HNM132" i="8"/>
  <c r="HNL132" i="8"/>
  <c r="HNK132" i="8"/>
  <c r="HNJ132" i="8"/>
  <c r="HNI132" i="8"/>
  <c r="HNH132" i="8"/>
  <c r="HNG132" i="8"/>
  <c r="HNF132" i="8"/>
  <c r="HNE132" i="8"/>
  <c r="HND132" i="8"/>
  <c r="HNC132" i="8"/>
  <c r="HNB132" i="8"/>
  <c r="HNA132" i="8"/>
  <c r="HMZ132" i="8"/>
  <c r="HMY132" i="8"/>
  <c r="HMX132" i="8"/>
  <c r="HMW132" i="8"/>
  <c r="HMV132" i="8"/>
  <c r="HMU132" i="8"/>
  <c r="HMT132" i="8"/>
  <c r="HMS132" i="8"/>
  <c r="HMR132" i="8"/>
  <c r="HMQ132" i="8"/>
  <c r="HMP132" i="8"/>
  <c r="HMO132" i="8"/>
  <c r="HMN132" i="8"/>
  <c r="HMM132" i="8"/>
  <c r="HML132" i="8"/>
  <c r="HMK132" i="8"/>
  <c r="HMJ132" i="8"/>
  <c r="HMI132" i="8"/>
  <c r="HMH132" i="8"/>
  <c r="HMG132" i="8"/>
  <c r="HMF132" i="8"/>
  <c r="HME132" i="8"/>
  <c r="HMD132" i="8"/>
  <c r="HMC132" i="8"/>
  <c r="HMB132" i="8"/>
  <c r="HMA132" i="8"/>
  <c r="HLZ132" i="8"/>
  <c r="HLY132" i="8"/>
  <c r="HLX132" i="8"/>
  <c r="HLW132" i="8"/>
  <c r="HLV132" i="8"/>
  <c r="HLU132" i="8"/>
  <c r="HLT132" i="8"/>
  <c r="HLS132" i="8"/>
  <c r="HLR132" i="8"/>
  <c r="HLQ132" i="8"/>
  <c r="HLP132" i="8"/>
  <c r="HLO132" i="8"/>
  <c r="HLN132" i="8"/>
  <c r="HLM132" i="8"/>
  <c r="HLL132" i="8"/>
  <c r="HLK132" i="8"/>
  <c r="HLJ132" i="8"/>
  <c r="HLI132" i="8"/>
  <c r="HLH132" i="8"/>
  <c r="HLG132" i="8"/>
  <c r="HLF132" i="8"/>
  <c r="HLE132" i="8"/>
  <c r="HLD132" i="8"/>
  <c r="HLC132" i="8"/>
  <c r="HLB132" i="8"/>
  <c r="HLA132" i="8"/>
  <c r="HKZ132" i="8"/>
  <c r="HKY132" i="8"/>
  <c r="HKX132" i="8"/>
  <c r="HKW132" i="8"/>
  <c r="HKV132" i="8"/>
  <c r="HKU132" i="8"/>
  <c r="HKT132" i="8"/>
  <c r="HKS132" i="8"/>
  <c r="HKR132" i="8"/>
  <c r="HKQ132" i="8"/>
  <c r="HKP132" i="8"/>
  <c r="HKO132" i="8"/>
  <c r="HKN132" i="8"/>
  <c r="HKM132" i="8"/>
  <c r="HKL132" i="8"/>
  <c r="HKK132" i="8"/>
  <c r="HKJ132" i="8"/>
  <c r="HKI132" i="8"/>
  <c r="HKH132" i="8"/>
  <c r="HKG132" i="8"/>
  <c r="HKF132" i="8"/>
  <c r="HKE132" i="8"/>
  <c r="HKD132" i="8"/>
  <c r="HKC132" i="8"/>
  <c r="HKB132" i="8"/>
  <c r="HKA132" i="8"/>
  <c r="HJZ132" i="8"/>
  <c r="HJY132" i="8"/>
  <c r="HJX132" i="8"/>
  <c r="HJW132" i="8"/>
  <c r="HJV132" i="8"/>
  <c r="HJU132" i="8"/>
  <c r="HJT132" i="8"/>
  <c r="HJS132" i="8"/>
  <c r="HJR132" i="8"/>
  <c r="HJQ132" i="8"/>
  <c r="HJP132" i="8"/>
  <c r="HJO132" i="8"/>
  <c r="HJN132" i="8"/>
  <c r="HJM132" i="8"/>
  <c r="HJL132" i="8"/>
  <c r="HJK132" i="8"/>
  <c r="HJJ132" i="8"/>
  <c r="HJI132" i="8"/>
  <c r="HJH132" i="8"/>
  <c r="HJG132" i="8"/>
  <c r="HJF132" i="8"/>
  <c r="HJE132" i="8"/>
  <c r="HJD132" i="8"/>
  <c r="HJC132" i="8"/>
  <c r="HJB132" i="8"/>
  <c r="HJA132" i="8"/>
  <c r="HIZ132" i="8"/>
  <c r="HIY132" i="8"/>
  <c r="HIX132" i="8"/>
  <c r="HIW132" i="8"/>
  <c r="HIV132" i="8"/>
  <c r="HIU132" i="8"/>
  <c r="HIT132" i="8"/>
  <c r="HIS132" i="8"/>
  <c r="HIR132" i="8"/>
  <c r="HIQ132" i="8"/>
  <c r="HIP132" i="8"/>
  <c r="HIO132" i="8"/>
  <c r="HIN132" i="8"/>
  <c r="HIM132" i="8"/>
  <c r="HIL132" i="8"/>
  <c r="HIK132" i="8"/>
  <c r="HIJ132" i="8"/>
  <c r="HII132" i="8"/>
  <c r="HIH132" i="8"/>
  <c r="HIG132" i="8"/>
  <c r="HIF132" i="8"/>
  <c r="HIE132" i="8"/>
  <c r="HID132" i="8"/>
  <c r="HIC132" i="8"/>
  <c r="HIB132" i="8"/>
  <c r="HIA132" i="8"/>
  <c r="HHZ132" i="8"/>
  <c r="HHY132" i="8"/>
  <c r="HHX132" i="8"/>
  <c r="HHW132" i="8"/>
  <c r="HHV132" i="8"/>
  <c r="HHU132" i="8"/>
  <c r="HHT132" i="8"/>
  <c r="HHS132" i="8"/>
  <c r="HHR132" i="8"/>
  <c r="HHQ132" i="8"/>
  <c r="HHP132" i="8"/>
  <c r="HHO132" i="8"/>
  <c r="HHN132" i="8"/>
  <c r="HHM132" i="8"/>
  <c r="HHL132" i="8"/>
  <c r="HHK132" i="8"/>
  <c r="HHJ132" i="8"/>
  <c r="HHI132" i="8"/>
  <c r="HHH132" i="8"/>
  <c r="HHG132" i="8"/>
  <c r="HHF132" i="8"/>
  <c r="HHE132" i="8"/>
  <c r="HHD132" i="8"/>
  <c r="HHC132" i="8"/>
  <c r="HHB132" i="8"/>
  <c r="HHA132" i="8"/>
  <c r="HGZ132" i="8"/>
  <c r="HGY132" i="8"/>
  <c r="HGX132" i="8"/>
  <c r="HGW132" i="8"/>
  <c r="HGV132" i="8"/>
  <c r="HGU132" i="8"/>
  <c r="HGT132" i="8"/>
  <c r="HGS132" i="8"/>
  <c r="HGR132" i="8"/>
  <c r="HGQ132" i="8"/>
  <c r="HGP132" i="8"/>
  <c r="HGO132" i="8"/>
  <c r="HGN132" i="8"/>
  <c r="HGM132" i="8"/>
  <c r="HGL132" i="8"/>
  <c r="HGK132" i="8"/>
  <c r="HGJ132" i="8"/>
  <c r="HGI132" i="8"/>
  <c r="HGH132" i="8"/>
  <c r="HGG132" i="8"/>
  <c r="HGF132" i="8"/>
  <c r="HGE132" i="8"/>
  <c r="HGD132" i="8"/>
  <c r="HGC132" i="8"/>
  <c r="HGB132" i="8"/>
  <c r="HGA132" i="8"/>
  <c r="HFZ132" i="8"/>
  <c r="HFY132" i="8"/>
  <c r="HFX132" i="8"/>
  <c r="HFW132" i="8"/>
  <c r="HFV132" i="8"/>
  <c r="HFU132" i="8"/>
  <c r="HFT132" i="8"/>
  <c r="HFS132" i="8"/>
  <c r="HFR132" i="8"/>
  <c r="HFQ132" i="8"/>
  <c r="HFP132" i="8"/>
  <c r="HFO132" i="8"/>
  <c r="HFN132" i="8"/>
  <c r="HFM132" i="8"/>
  <c r="HFL132" i="8"/>
  <c r="HFK132" i="8"/>
  <c r="HFJ132" i="8"/>
  <c r="HFI132" i="8"/>
  <c r="HFH132" i="8"/>
  <c r="HFG132" i="8"/>
  <c r="HFF132" i="8"/>
  <c r="HFE132" i="8"/>
  <c r="HFD132" i="8"/>
  <c r="HFC132" i="8"/>
  <c r="HFB132" i="8"/>
  <c r="HFA132" i="8"/>
  <c r="HEZ132" i="8"/>
  <c r="HEY132" i="8"/>
  <c r="HEX132" i="8"/>
  <c r="HEW132" i="8"/>
  <c r="HEV132" i="8"/>
  <c r="HEU132" i="8"/>
  <c r="HET132" i="8"/>
  <c r="HES132" i="8"/>
  <c r="HER132" i="8"/>
  <c r="HEQ132" i="8"/>
  <c r="HEP132" i="8"/>
  <c r="HEO132" i="8"/>
  <c r="HEN132" i="8"/>
  <c r="HEM132" i="8"/>
  <c r="HEL132" i="8"/>
  <c r="HEK132" i="8"/>
  <c r="HEJ132" i="8"/>
  <c r="HEI132" i="8"/>
  <c r="HEH132" i="8"/>
  <c r="HEG132" i="8"/>
  <c r="HEF132" i="8"/>
  <c r="HEE132" i="8"/>
  <c r="HED132" i="8"/>
  <c r="HEC132" i="8"/>
  <c r="HEB132" i="8"/>
  <c r="HEA132" i="8"/>
  <c r="HDZ132" i="8"/>
  <c r="HDY132" i="8"/>
  <c r="HDX132" i="8"/>
  <c r="HDW132" i="8"/>
  <c r="HDV132" i="8"/>
  <c r="HDU132" i="8"/>
  <c r="HDT132" i="8"/>
  <c r="HDS132" i="8"/>
  <c r="HDR132" i="8"/>
  <c r="HDQ132" i="8"/>
  <c r="HDP132" i="8"/>
  <c r="HDO132" i="8"/>
  <c r="HDN132" i="8"/>
  <c r="HDM132" i="8"/>
  <c r="HDL132" i="8"/>
  <c r="HDK132" i="8"/>
  <c r="HDJ132" i="8"/>
  <c r="HDI132" i="8"/>
  <c r="HDH132" i="8"/>
  <c r="HDG132" i="8"/>
  <c r="HDF132" i="8"/>
  <c r="HDE132" i="8"/>
  <c r="HDD132" i="8"/>
  <c r="HDC132" i="8"/>
  <c r="HDB132" i="8"/>
  <c r="HDA132" i="8"/>
  <c r="HCZ132" i="8"/>
  <c r="HCY132" i="8"/>
  <c r="HCX132" i="8"/>
  <c r="HCW132" i="8"/>
  <c r="HCV132" i="8"/>
  <c r="HCU132" i="8"/>
  <c r="HCT132" i="8"/>
  <c r="HCS132" i="8"/>
  <c r="HCR132" i="8"/>
  <c r="HCQ132" i="8"/>
  <c r="HCP132" i="8"/>
  <c r="HCO132" i="8"/>
  <c r="HCN132" i="8"/>
  <c r="HCM132" i="8"/>
  <c r="HCL132" i="8"/>
  <c r="HCK132" i="8"/>
  <c r="HCJ132" i="8"/>
  <c r="HCI132" i="8"/>
  <c r="HCH132" i="8"/>
  <c r="HCG132" i="8"/>
  <c r="HCF132" i="8"/>
  <c r="HCE132" i="8"/>
  <c r="HCD132" i="8"/>
  <c r="HCC132" i="8"/>
  <c r="HCB132" i="8"/>
  <c r="HCA132" i="8"/>
  <c r="HBZ132" i="8"/>
  <c r="HBY132" i="8"/>
  <c r="HBX132" i="8"/>
  <c r="HBW132" i="8"/>
  <c r="HBV132" i="8"/>
  <c r="HBU132" i="8"/>
  <c r="HBT132" i="8"/>
  <c r="HBS132" i="8"/>
  <c r="HBR132" i="8"/>
  <c r="HBQ132" i="8"/>
  <c r="HBP132" i="8"/>
  <c r="HBO132" i="8"/>
  <c r="HBN132" i="8"/>
  <c r="HBM132" i="8"/>
  <c r="HBL132" i="8"/>
  <c r="HBK132" i="8"/>
  <c r="HBJ132" i="8"/>
  <c r="HBI132" i="8"/>
  <c r="HBH132" i="8"/>
  <c r="HBG132" i="8"/>
  <c r="HBF132" i="8"/>
  <c r="HBE132" i="8"/>
  <c r="HBD132" i="8"/>
  <c r="HBC132" i="8"/>
  <c r="HBB132" i="8"/>
  <c r="HBA132" i="8"/>
  <c r="HAZ132" i="8"/>
  <c r="HAY132" i="8"/>
  <c r="HAX132" i="8"/>
  <c r="HAW132" i="8"/>
  <c r="HAV132" i="8"/>
  <c r="HAU132" i="8"/>
  <c r="HAT132" i="8"/>
  <c r="HAS132" i="8"/>
  <c r="HAR132" i="8"/>
  <c r="HAQ132" i="8"/>
  <c r="HAP132" i="8"/>
  <c r="HAO132" i="8"/>
  <c r="HAN132" i="8"/>
  <c r="HAM132" i="8"/>
  <c r="HAL132" i="8"/>
  <c r="HAK132" i="8"/>
  <c r="HAJ132" i="8"/>
  <c r="HAI132" i="8"/>
  <c r="HAH132" i="8"/>
  <c r="HAG132" i="8"/>
  <c r="HAF132" i="8"/>
  <c r="HAE132" i="8"/>
  <c r="HAD132" i="8"/>
  <c r="HAC132" i="8"/>
  <c r="HAB132" i="8"/>
  <c r="HAA132" i="8"/>
  <c r="GZZ132" i="8"/>
  <c r="GZY132" i="8"/>
  <c r="GZX132" i="8"/>
  <c r="GZW132" i="8"/>
  <c r="GZV132" i="8"/>
  <c r="GZU132" i="8"/>
  <c r="GZT132" i="8"/>
  <c r="GZS132" i="8"/>
  <c r="GZR132" i="8"/>
  <c r="GZQ132" i="8"/>
  <c r="GZP132" i="8"/>
  <c r="GZO132" i="8"/>
  <c r="GZN132" i="8"/>
  <c r="GZM132" i="8"/>
  <c r="GZL132" i="8"/>
  <c r="GZK132" i="8"/>
  <c r="GZJ132" i="8"/>
  <c r="GZI132" i="8"/>
  <c r="GZH132" i="8"/>
  <c r="GZG132" i="8"/>
  <c r="GZF132" i="8"/>
  <c r="GZE132" i="8"/>
  <c r="GZD132" i="8"/>
  <c r="GZC132" i="8"/>
  <c r="GZB132" i="8"/>
  <c r="GZA132" i="8"/>
  <c r="GYZ132" i="8"/>
  <c r="GYY132" i="8"/>
  <c r="GYX132" i="8"/>
  <c r="GYW132" i="8"/>
  <c r="GYV132" i="8"/>
  <c r="GYU132" i="8"/>
  <c r="GYT132" i="8"/>
  <c r="GYS132" i="8"/>
  <c r="GYR132" i="8"/>
  <c r="GYQ132" i="8"/>
  <c r="GYP132" i="8"/>
  <c r="GYO132" i="8"/>
  <c r="GYN132" i="8"/>
  <c r="GYM132" i="8"/>
  <c r="GYL132" i="8"/>
  <c r="GYK132" i="8"/>
  <c r="GYJ132" i="8"/>
  <c r="GYI132" i="8"/>
  <c r="GYH132" i="8"/>
  <c r="GYG132" i="8"/>
  <c r="GYF132" i="8"/>
  <c r="GYE132" i="8"/>
  <c r="GYD132" i="8"/>
  <c r="GYC132" i="8"/>
  <c r="GYB132" i="8"/>
  <c r="GYA132" i="8"/>
  <c r="GXZ132" i="8"/>
  <c r="GXY132" i="8"/>
  <c r="GXX132" i="8"/>
  <c r="GXW132" i="8"/>
  <c r="GXV132" i="8"/>
  <c r="GXU132" i="8"/>
  <c r="GXT132" i="8"/>
  <c r="GXS132" i="8"/>
  <c r="GXR132" i="8"/>
  <c r="GXQ132" i="8"/>
  <c r="GXP132" i="8"/>
  <c r="GXO132" i="8"/>
  <c r="GXN132" i="8"/>
  <c r="GXM132" i="8"/>
  <c r="GXL132" i="8"/>
  <c r="GXK132" i="8"/>
  <c r="GXJ132" i="8"/>
  <c r="GXI132" i="8"/>
  <c r="GXH132" i="8"/>
  <c r="GXG132" i="8"/>
  <c r="GXF132" i="8"/>
  <c r="GXE132" i="8"/>
  <c r="GXD132" i="8"/>
  <c r="GXC132" i="8"/>
  <c r="GXB132" i="8"/>
  <c r="GXA132" i="8"/>
  <c r="GWZ132" i="8"/>
  <c r="GWY132" i="8"/>
  <c r="GWX132" i="8"/>
  <c r="GWW132" i="8"/>
  <c r="GWV132" i="8"/>
  <c r="GWU132" i="8"/>
  <c r="GWT132" i="8"/>
  <c r="GWS132" i="8"/>
  <c r="GWR132" i="8"/>
  <c r="GWQ132" i="8"/>
  <c r="GWP132" i="8"/>
  <c r="GWO132" i="8"/>
  <c r="GWN132" i="8"/>
  <c r="GWM132" i="8"/>
  <c r="GWL132" i="8"/>
  <c r="GWK132" i="8"/>
  <c r="GWJ132" i="8"/>
  <c r="GWI132" i="8"/>
  <c r="GWH132" i="8"/>
  <c r="GWG132" i="8"/>
  <c r="GWF132" i="8"/>
  <c r="GWE132" i="8"/>
  <c r="GWD132" i="8"/>
  <c r="GWC132" i="8"/>
  <c r="GWB132" i="8"/>
  <c r="GWA132" i="8"/>
  <c r="GVZ132" i="8"/>
  <c r="GVY132" i="8"/>
  <c r="GVX132" i="8"/>
  <c r="GVW132" i="8"/>
  <c r="GVV132" i="8"/>
  <c r="GVU132" i="8"/>
  <c r="GVT132" i="8"/>
  <c r="GVS132" i="8"/>
  <c r="GVR132" i="8"/>
  <c r="GVQ132" i="8"/>
  <c r="GVP132" i="8"/>
  <c r="GVO132" i="8"/>
  <c r="GVN132" i="8"/>
  <c r="GVM132" i="8"/>
  <c r="GVL132" i="8"/>
  <c r="GVK132" i="8"/>
  <c r="GVJ132" i="8"/>
  <c r="GVI132" i="8"/>
  <c r="GVH132" i="8"/>
  <c r="GVG132" i="8"/>
  <c r="GVF132" i="8"/>
  <c r="GVE132" i="8"/>
  <c r="GVD132" i="8"/>
  <c r="GVC132" i="8"/>
  <c r="GVB132" i="8"/>
  <c r="GVA132" i="8"/>
  <c r="GUZ132" i="8"/>
  <c r="GUY132" i="8"/>
  <c r="GUX132" i="8"/>
  <c r="GUW132" i="8"/>
  <c r="GUV132" i="8"/>
  <c r="GUU132" i="8"/>
  <c r="GUT132" i="8"/>
  <c r="GUS132" i="8"/>
  <c r="GUR132" i="8"/>
  <c r="GUQ132" i="8"/>
  <c r="GUP132" i="8"/>
  <c r="GUO132" i="8"/>
  <c r="GUN132" i="8"/>
  <c r="GUM132" i="8"/>
  <c r="GUL132" i="8"/>
  <c r="GUK132" i="8"/>
  <c r="GUJ132" i="8"/>
  <c r="GUI132" i="8"/>
  <c r="GUH132" i="8"/>
  <c r="GUG132" i="8"/>
  <c r="GUF132" i="8"/>
  <c r="GUE132" i="8"/>
  <c r="GUD132" i="8"/>
  <c r="GUC132" i="8"/>
  <c r="GUB132" i="8"/>
  <c r="GUA132" i="8"/>
  <c r="GTZ132" i="8"/>
  <c r="GTY132" i="8"/>
  <c r="GTX132" i="8"/>
  <c r="GTW132" i="8"/>
  <c r="GTV132" i="8"/>
  <c r="GTU132" i="8"/>
  <c r="GTT132" i="8"/>
  <c r="GTS132" i="8"/>
  <c r="GTR132" i="8"/>
  <c r="GTQ132" i="8"/>
  <c r="GTP132" i="8"/>
  <c r="GTO132" i="8"/>
  <c r="GTN132" i="8"/>
  <c r="GTM132" i="8"/>
  <c r="GTL132" i="8"/>
  <c r="GTK132" i="8"/>
  <c r="GTJ132" i="8"/>
  <c r="GTI132" i="8"/>
  <c r="GTH132" i="8"/>
  <c r="GTG132" i="8"/>
  <c r="GTF132" i="8"/>
  <c r="GTE132" i="8"/>
  <c r="GTD132" i="8"/>
  <c r="GTC132" i="8"/>
  <c r="GTB132" i="8"/>
  <c r="GTA132" i="8"/>
  <c r="GSZ132" i="8"/>
  <c r="GSY132" i="8"/>
  <c r="GSX132" i="8"/>
  <c r="GSW132" i="8"/>
  <c r="GSV132" i="8"/>
  <c r="GSU132" i="8"/>
  <c r="GST132" i="8"/>
  <c r="GSS132" i="8"/>
  <c r="GSR132" i="8"/>
  <c r="GSQ132" i="8"/>
  <c r="GSP132" i="8"/>
  <c r="GSO132" i="8"/>
  <c r="GSN132" i="8"/>
  <c r="GSM132" i="8"/>
  <c r="GSL132" i="8"/>
  <c r="GSK132" i="8"/>
  <c r="GSJ132" i="8"/>
  <c r="GSI132" i="8"/>
  <c r="GSH132" i="8"/>
  <c r="GSG132" i="8"/>
  <c r="GSF132" i="8"/>
  <c r="GSE132" i="8"/>
  <c r="GSD132" i="8"/>
  <c r="GSC132" i="8"/>
  <c r="GSB132" i="8"/>
  <c r="GSA132" i="8"/>
  <c r="GRZ132" i="8"/>
  <c r="GRY132" i="8"/>
  <c r="GRX132" i="8"/>
  <c r="GRW132" i="8"/>
  <c r="GRV132" i="8"/>
  <c r="GRU132" i="8"/>
  <c r="GRT132" i="8"/>
  <c r="GRS132" i="8"/>
  <c r="GRR132" i="8"/>
  <c r="GRQ132" i="8"/>
  <c r="GRP132" i="8"/>
  <c r="GRO132" i="8"/>
  <c r="GRN132" i="8"/>
  <c r="GRM132" i="8"/>
  <c r="GRL132" i="8"/>
  <c r="GRK132" i="8"/>
  <c r="GRJ132" i="8"/>
  <c r="GRI132" i="8"/>
  <c r="GRH132" i="8"/>
  <c r="GRG132" i="8"/>
  <c r="GRF132" i="8"/>
  <c r="GRE132" i="8"/>
  <c r="GRD132" i="8"/>
  <c r="GRC132" i="8"/>
  <c r="GRB132" i="8"/>
  <c r="GRA132" i="8"/>
  <c r="GQZ132" i="8"/>
  <c r="GQY132" i="8"/>
  <c r="GQX132" i="8"/>
  <c r="GQW132" i="8"/>
  <c r="GQV132" i="8"/>
  <c r="GQU132" i="8"/>
  <c r="GQT132" i="8"/>
  <c r="GQS132" i="8"/>
  <c r="GQR132" i="8"/>
  <c r="GQQ132" i="8"/>
  <c r="GQP132" i="8"/>
  <c r="GQO132" i="8"/>
  <c r="GQN132" i="8"/>
  <c r="GQM132" i="8"/>
  <c r="GQL132" i="8"/>
  <c r="GQK132" i="8"/>
  <c r="GQJ132" i="8"/>
  <c r="GQI132" i="8"/>
  <c r="GQH132" i="8"/>
  <c r="GQG132" i="8"/>
  <c r="GQF132" i="8"/>
  <c r="GQE132" i="8"/>
  <c r="GQD132" i="8"/>
  <c r="GQC132" i="8"/>
  <c r="GQB132" i="8"/>
  <c r="GQA132" i="8"/>
  <c r="GPZ132" i="8"/>
  <c r="GPY132" i="8"/>
  <c r="GPX132" i="8"/>
  <c r="GPW132" i="8"/>
  <c r="GPV132" i="8"/>
  <c r="GPU132" i="8"/>
  <c r="GPT132" i="8"/>
  <c r="GPS132" i="8"/>
  <c r="GPR132" i="8"/>
  <c r="GPQ132" i="8"/>
  <c r="GPP132" i="8"/>
  <c r="GPO132" i="8"/>
  <c r="GPN132" i="8"/>
  <c r="GPM132" i="8"/>
  <c r="GPL132" i="8"/>
  <c r="GPK132" i="8"/>
  <c r="GPJ132" i="8"/>
  <c r="GPI132" i="8"/>
  <c r="GPH132" i="8"/>
  <c r="GPG132" i="8"/>
  <c r="GPF132" i="8"/>
  <c r="GPE132" i="8"/>
  <c r="GPD132" i="8"/>
  <c r="GPC132" i="8"/>
  <c r="GPB132" i="8"/>
  <c r="GPA132" i="8"/>
  <c r="GOZ132" i="8"/>
  <c r="GOY132" i="8"/>
  <c r="GOX132" i="8"/>
  <c r="GOW132" i="8"/>
  <c r="GOV132" i="8"/>
  <c r="GOU132" i="8"/>
  <c r="GOT132" i="8"/>
  <c r="GOS132" i="8"/>
  <c r="GOR132" i="8"/>
  <c r="GOQ132" i="8"/>
  <c r="GOP132" i="8"/>
  <c r="GOO132" i="8"/>
  <c r="GON132" i="8"/>
  <c r="GOM132" i="8"/>
  <c r="GOL132" i="8"/>
  <c r="GOK132" i="8"/>
  <c r="GOJ132" i="8"/>
  <c r="GOI132" i="8"/>
  <c r="GOH132" i="8"/>
  <c r="GOG132" i="8"/>
  <c r="GOF132" i="8"/>
  <c r="GOE132" i="8"/>
  <c r="GOD132" i="8"/>
  <c r="GOC132" i="8"/>
  <c r="GOB132" i="8"/>
  <c r="GOA132" i="8"/>
  <c r="GNZ132" i="8"/>
  <c r="GNY132" i="8"/>
  <c r="GNX132" i="8"/>
  <c r="GNW132" i="8"/>
  <c r="GNV132" i="8"/>
  <c r="GNU132" i="8"/>
  <c r="GNT132" i="8"/>
  <c r="GNS132" i="8"/>
  <c r="GNR132" i="8"/>
  <c r="GNQ132" i="8"/>
  <c r="GNP132" i="8"/>
  <c r="GNO132" i="8"/>
  <c r="GNN132" i="8"/>
  <c r="GNM132" i="8"/>
  <c r="GNL132" i="8"/>
  <c r="GNK132" i="8"/>
  <c r="GNJ132" i="8"/>
  <c r="GNI132" i="8"/>
  <c r="GNH132" i="8"/>
  <c r="GNG132" i="8"/>
  <c r="GNF132" i="8"/>
  <c r="GNE132" i="8"/>
  <c r="GND132" i="8"/>
  <c r="GNC132" i="8"/>
  <c r="GNB132" i="8"/>
  <c r="GNA132" i="8"/>
  <c r="GMZ132" i="8"/>
  <c r="GMY132" i="8"/>
  <c r="GMX132" i="8"/>
  <c r="GMW132" i="8"/>
  <c r="GMV132" i="8"/>
  <c r="GMU132" i="8"/>
  <c r="GMT132" i="8"/>
  <c r="GMS132" i="8"/>
  <c r="GMR132" i="8"/>
  <c r="GMQ132" i="8"/>
  <c r="GMP132" i="8"/>
  <c r="GMO132" i="8"/>
  <c r="GMN132" i="8"/>
  <c r="GMM132" i="8"/>
  <c r="GML132" i="8"/>
  <c r="GMK132" i="8"/>
  <c r="GMJ132" i="8"/>
  <c r="GMI132" i="8"/>
  <c r="GMH132" i="8"/>
  <c r="GMG132" i="8"/>
  <c r="GMF132" i="8"/>
  <c r="GME132" i="8"/>
  <c r="GMD132" i="8"/>
  <c r="GMC132" i="8"/>
  <c r="GMB132" i="8"/>
  <c r="GMA132" i="8"/>
  <c r="GLZ132" i="8"/>
  <c r="GLY132" i="8"/>
  <c r="GLX132" i="8"/>
  <c r="GLW132" i="8"/>
  <c r="GLV132" i="8"/>
  <c r="GLU132" i="8"/>
  <c r="GLT132" i="8"/>
  <c r="GLS132" i="8"/>
  <c r="GLR132" i="8"/>
  <c r="GLQ132" i="8"/>
  <c r="GLP132" i="8"/>
  <c r="GLO132" i="8"/>
  <c r="GLN132" i="8"/>
  <c r="GLM132" i="8"/>
  <c r="GLL132" i="8"/>
  <c r="GLK132" i="8"/>
  <c r="GLJ132" i="8"/>
  <c r="GLI132" i="8"/>
  <c r="GLH132" i="8"/>
  <c r="GLG132" i="8"/>
  <c r="GLF132" i="8"/>
  <c r="GLE132" i="8"/>
  <c r="GLD132" i="8"/>
  <c r="GLC132" i="8"/>
  <c r="GLB132" i="8"/>
  <c r="GLA132" i="8"/>
  <c r="GKZ132" i="8"/>
  <c r="GKY132" i="8"/>
  <c r="GKX132" i="8"/>
  <c r="GKW132" i="8"/>
  <c r="GKV132" i="8"/>
  <c r="GKU132" i="8"/>
  <c r="GKT132" i="8"/>
  <c r="GKS132" i="8"/>
  <c r="GKR132" i="8"/>
  <c r="GKQ132" i="8"/>
  <c r="GKP132" i="8"/>
  <c r="GKO132" i="8"/>
  <c r="GKN132" i="8"/>
  <c r="GKM132" i="8"/>
  <c r="GKL132" i="8"/>
  <c r="GKK132" i="8"/>
  <c r="GKJ132" i="8"/>
  <c r="GKI132" i="8"/>
  <c r="GKH132" i="8"/>
  <c r="GKG132" i="8"/>
  <c r="GKF132" i="8"/>
  <c r="GKE132" i="8"/>
  <c r="GKD132" i="8"/>
  <c r="GKC132" i="8"/>
  <c r="GKB132" i="8"/>
  <c r="GKA132" i="8"/>
  <c r="GJZ132" i="8"/>
  <c r="GJY132" i="8"/>
  <c r="GJX132" i="8"/>
  <c r="GJW132" i="8"/>
  <c r="GJV132" i="8"/>
  <c r="GJU132" i="8"/>
  <c r="GJT132" i="8"/>
  <c r="GJS132" i="8"/>
  <c r="GJR132" i="8"/>
  <c r="GJQ132" i="8"/>
  <c r="GJP132" i="8"/>
  <c r="GJO132" i="8"/>
  <c r="GJN132" i="8"/>
  <c r="GJM132" i="8"/>
  <c r="GJL132" i="8"/>
  <c r="GJK132" i="8"/>
  <c r="GJJ132" i="8"/>
  <c r="GJI132" i="8"/>
  <c r="GJH132" i="8"/>
  <c r="GJG132" i="8"/>
  <c r="GJF132" i="8"/>
  <c r="GJE132" i="8"/>
  <c r="GJD132" i="8"/>
  <c r="GJC132" i="8"/>
  <c r="GJB132" i="8"/>
  <c r="GJA132" i="8"/>
  <c r="GIZ132" i="8"/>
  <c r="GIY132" i="8"/>
  <c r="GIX132" i="8"/>
  <c r="GIW132" i="8"/>
  <c r="GIV132" i="8"/>
  <c r="GIU132" i="8"/>
  <c r="GIT132" i="8"/>
  <c r="GIS132" i="8"/>
  <c r="GIR132" i="8"/>
  <c r="GIQ132" i="8"/>
  <c r="GIP132" i="8"/>
  <c r="GIO132" i="8"/>
  <c r="GIN132" i="8"/>
  <c r="GIM132" i="8"/>
  <c r="GIL132" i="8"/>
  <c r="GIK132" i="8"/>
  <c r="GIJ132" i="8"/>
  <c r="GII132" i="8"/>
  <c r="GIH132" i="8"/>
  <c r="GIG132" i="8"/>
  <c r="GIF132" i="8"/>
  <c r="GIE132" i="8"/>
  <c r="GID132" i="8"/>
  <c r="GIC132" i="8"/>
  <c r="GIB132" i="8"/>
  <c r="GIA132" i="8"/>
  <c r="GHZ132" i="8"/>
  <c r="GHY132" i="8"/>
  <c r="GHX132" i="8"/>
  <c r="GHW132" i="8"/>
  <c r="GHV132" i="8"/>
  <c r="GHU132" i="8"/>
  <c r="GHT132" i="8"/>
  <c r="GHS132" i="8"/>
  <c r="GHR132" i="8"/>
  <c r="GHQ132" i="8"/>
  <c r="GHP132" i="8"/>
  <c r="GHO132" i="8"/>
  <c r="GHN132" i="8"/>
  <c r="GHM132" i="8"/>
  <c r="GHL132" i="8"/>
  <c r="GHK132" i="8"/>
  <c r="GHJ132" i="8"/>
  <c r="GHI132" i="8"/>
  <c r="GHH132" i="8"/>
  <c r="GHG132" i="8"/>
  <c r="GHF132" i="8"/>
  <c r="GHE132" i="8"/>
  <c r="GHD132" i="8"/>
  <c r="GHC132" i="8"/>
  <c r="GHB132" i="8"/>
  <c r="GHA132" i="8"/>
  <c r="GGZ132" i="8"/>
  <c r="GGY132" i="8"/>
  <c r="GGX132" i="8"/>
  <c r="GGW132" i="8"/>
  <c r="GGV132" i="8"/>
  <c r="GGU132" i="8"/>
  <c r="GGT132" i="8"/>
  <c r="GGS132" i="8"/>
  <c r="GGR132" i="8"/>
  <c r="GGQ132" i="8"/>
  <c r="GGP132" i="8"/>
  <c r="GGO132" i="8"/>
  <c r="GGN132" i="8"/>
  <c r="GGM132" i="8"/>
  <c r="GGL132" i="8"/>
  <c r="GGK132" i="8"/>
  <c r="GGJ132" i="8"/>
  <c r="GGI132" i="8"/>
  <c r="GGH132" i="8"/>
  <c r="GGG132" i="8"/>
  <c r="GGF132" i="8"/>
  <c r="GGE132" i="8"/>
  <c r="GGD132" i="8"/>
  <c r="GGC132" i="8"/>
  <c r="GGB132" i="8"/>
  <c r="GGA132" i="8"/>
  <c r="GFZ132" i="8"/>
  <c r="GFY132" i="8"/>
  <c r="GFX132" i="8"/>
  <c r="GFW132" i="8"/>
  <c r="GFV132" i="8"/>
  <c r="GFU132" i="8"/>
  <c r="GFT132" i="8"/>
  <c r="GFS132" i="8"/>
  <c r="GFR132" i="8"/>
  <c r="GFQ132" i="8"/>
  <c r="GFP132" i="8"/>
  <c r="GFO132" i="8"/>
  <c r="GFN132" i="8"/>
  <c r="GFM132" i="8"/>
  <c r="GFL132" i="8"/>
  <c r="GFK132" i="8"/>
  <c r="GFJ132" i="8"/>
  <c r="GFI132" i="8"/>
  <c r="GFH132" i="8"/>
  <c r="GFG132" i="8"/>
  <c r="GFF132" i="8"/>
  <c r="GFE132" i="8"/>
  <c r="GFD132" i="8"/>
  <c r="GFC132" i="8"/>
  <c r="GFB132" i="8"/>
  <c r="GFA132" i="8"/>
  <c r="GEZ132" i="8"/>
  <c r="GEY132" i="8"/>
  <c r="GEX132" i="8"/>
  <c r="GEW132" i="8"/>
  <c r="GEV132" i="8"/>
  <c r="GEU132" i="8"/>
  <c r="GET132" i="8"/>
  <c r="GES132" i="8"/>
  <c r="GER132" i="8"/>
  <c r="GEQ132" i="8"/>
  <c r="GEP132" i="8"/>
  <c r="GEO132" i="8"/>
  <c r="GEN132" i="8"/>
  <c r="GEM132" i="8"/>
  <c r="GEL132" i="8"/>
  <c r="GEK132" i="8"/>
  <c r="GEJ132" i="8"/>
  <c r="GEI132" i="8"/>
  <c r="GEH132" i="8"/>
  <c r="GEG132" i="8"/>
  <c r="GEF132" i="8"/>
  <c r="GEE132" i="8"/>
  <c r="GED132" i="8"/>
  <c r="GEC132" i="8"/>
  <c r="GEB132" i="8"/>
  <c r="GEA132" i="8"/>
  <c r="GDZ132" i="8"/>
  <c r="GDY132" i="8"/>
  <c r="GDX132" i="8"/>
  <c r="GDW132" i="8"/>
  <c r="GDV132" i="8"/>
  <c r="GDU132" i="8"/>
  <c r="GDT132" i="8"/>
  <c r="GDS132" i="8"/>
  <c r="GDR132" i="8"/>
  <c r="GDQ132" i="8"/>
  <c r="GDP132" i="8"/>
  <c r="GDO132" i="8"/>
  <c r="GDN132" i="8"/>
  <c r="GDM132" i="8"/>
  <c r="GDL132" i="8"/>
  <c r="GDK132" i="8"/>
  <c r="GDJ132" i="8"/>
  <c r="GDI132" i="8"/>
  <c r="GDH132" i="8"/>
  <c r="GDG132" i="8"/>
  <c r="GDF132" i="8"/>
  <c r="GDE132" i="8"/>
  <c r="GDD132" i="8"/>
  <c r="GDC132" i="8"/>
  <c r="GDB132" i="8"/>
  <c r="GDA132" i="8"/>
  <c r="GCZ132" i="8"/>
  <c r="GCY132" i="8"/>
  <c r="GCX132" i="8"/>
  <c r="GCW132" i="8"/>
  <c r="GCV132" i="8"/>
  <c r="GCU132" i="8"/>
  <c r="GCT132" i="8"/>
  <c r="GCS132" i="8"/>
  <c r="GCR132" i="8"/>
  <c r="GCQ132" i="8"/>
  <c r="GCP132" i="8"/>
  <c r="GCO132" i="8"/>
  <c r="GCN132" i="8"/>
  <c r="GCM132" i="8"/>
  <c r="GCL132" i="8"/>
  <c r="GCK132" i="8"/>
  <c r="GCJ132" i="8"/>
  <c r="GCI132" i="8"/>
  <c r="GCH132" i="8"/>
  <c r="GCG132" i="8"/>
  <c r="GCF132" i="8"/>
  <c r="GCE132" i="8"/>
  <c r="GCD132" i="8"/>
  <c r="GCC132" i="8"/>
  <c r="GCB132" i="8"/>
  <c r="GCA132" i="8"/>
  <c r="GBZ132" i="8"/>
  <c r="GBY132" i="8"/>
  <c r="GBX132" i="8"/>
  <c r="GBW132" i="8"/>
  <c r="GBV132" i="8"/>
  <c r="GBU132" i="8"/>
  <c r="GBT132" i="8"/>
  <c r="GBS132" i="8"/>
  <c r="GBR132" i="8"/>
  <c r="GBQ132" i="8"/>
  <c r="GBP132" i="8"/>
  <c r="GBO132" i="8"/>
  <c r="GBN132" i="8"/>
  <c r="GBM132" i="8"/>
  <c r="GBL132" i="8"/>
  <c r="GBK132" i="8"/>
  <c r="GBJ132" i="8"/>
  <c r="GBI132" i="8"/>
  <c r="GBH132" i="8"/>
  <c r="GBG132" i="8"/>
  <c r="GBF132" i="8"/>
  <c r="GBE132" i="8"/>
  <c r="GBD132" i="8"/>
  <c r="GBC132" i="8"/>
  <c r="GBB132" i="8"/>
  <c r="GBA132" i="8"/>
  <c r="GAZ132" i="8"/>
  <c r="GAY132" i="8"/>
  <c r="GAX132" i="8"/>
  <c r="GAW132" i="8"/>
  <c r="GAV132" i="8"/>
  <c r="GAU132" i="8"/>
  <c r="GAT132" i="8"/>
  <c r="GAS132" i="8"/>
  <c r="GAR132" i="8"/>
  <c r="GAQ132" i="8"/>
  <c r="GAP132" i="8"/>
  <c r="GAO132" i="8"/>
  <c r="GAN132" i="8"/>
  <c r="GAM132" i="8"/>
  <c r="GAL132" i="8"/>
  <c r="GAK132" i="8"/>
  <c r="GAJ132" i="8"/>
  <c r="GAI132" i="8"/>
  <c r="GAH132" i="8"/>
  <c r="GAG132" i="8"/>
  <c r="GAF132" i="8"/>
  <c r="GAE132" i="8"/>
  <c r="GAD132" i="8"/>
  <c r="GAC132" i="8"/>
  <c r="GAB132" i="8"/>
  <c r="GAA132" i="8"/>
  <c r="FZZ132" i="8"/>
  <c r="FZY132" i="8"/>
  <c r="FZX132" i="8"/>
  <c r="FZW132" i="8"/>
  <c r="FZV132" i="8"/>
  <c r="FZU132" i="8"/>
  <c r="FZT132" i="8"/>
  <c r="FZS132" i="8"/>
  <c r="FZR132" i="8"/>
  <c r="FZQ132" i="8"/>
  <c r="FZP132" i="8"/>
  <c r="FZO132" i="8"/>
  <c r="FZN132" i="8"/>
  <c r="FZM132" i="8"/>
  <c r="FZL132" i="8"/>
  <c r="FZK132" i="8"/>
  <c r="FZJ132" i="8"/>
  <c r="FZI132" i="8"/>
  <c r="FZH132" i="8"/>
  <c r="FZG132" i="8"/>
  <c r="FZF132" i="8"/>
  <c r="FZE132" i="8"/>
  <c r="FZD132" i="8"/>
  <c r="FZC132" i="8"/>
  <c r="FZB132" i="8"/>
  <c r="FZA132" i="8"/>
  <c r="FYZ132" i="8"/>
  <c r="FYY132" i="8"/>
  <c r="FYX132" i="8"/>
  <c r="FYW132" i="8"/>
  <c r="FYV132" i="8"/>
  <c r="FYU132" i="8"/>
  <c r="FYT132" i="8"/>
  <c r="FYS132" i="8"/>
  <c r="FYR132" i="8"/>
  <c r="FYQ132" i="8"/>
  <c r="FYP132" i="8"/>
  <c r="FYO132" i="8"/>
  <c r="FYN132" i="8"/>
  <c r="FYM132" i="8"/>
  <c r="FYL132" i="8"/>
  <c r="FYK132" i="8"/>
  <c r="FYJ132" i="8"/>
  <c r="FYI132" i="8"/>
  <c r="FYH132" i="8"/>
  <c r="FYG132" i="8"/>
  <c r="FYF132" i="8"/>
  <c r="FYE132" i="8"/>
  <c r="FYD132" i="8"/>
  <c r="FYC132" i="8"/>
  <c r="FYB132" i="8"/>
  <c r="FYA132" i="8"/>
  <c r="FXZ132" i="8"/>
  <c r="FXY132" i="8"/>
  <c r="FXX132" i="8"/>
  <c r="FXW132" i="8"/>
  <c r="FXV132" i="8"/>
  <c r="FXU132" i="8"/>
  <c r="FXT132" i="8"/>
  <c r="FXS132" i="8"/>
  <c r="FXR132" i="8"/>
  <c r="FXQ132" i="8"/>
  <c r="FXP132" i="8"/>
  <c r="FXO132" i="8"/>
  <c r="FXN132" i="8"/>
  <c r="FXM132" i="8"/>
  <c r="FXL132" i="8"/>
  <c r="FXK132" i="8"/>
  <c r="FXJ132" i="8"/>
  <c r="FXI132" i="8"/>
  <c r="FXH132" i="8"/>
  <c r="FXG132" i="8"/>
  <c r="FXF132" i="8"/>
  <c r="FXE132" i="8"/>
  <c r="FXD132" i="8"/>
  <c r="FXC132" i="8"/>
  <c r="FXB132" i="8"/>
  <c r="FXA132" i="8"/>
  <c r="FWZ132" i="8"/>
  <c r="FWY132" i="8"/>
  <c r="FWX132" i="8"/>
  <c r="FWW132" i="8"/>
  <c r="FWV132" i="8"/>
  <c r="FWU132" i="8"/>
  <c r="FWT132" i="8"/>
  <c r="FWS132" i="8"/>
  <c r="FWR132" i="8"/>
  <c r="FWQ132" i="8"/>
  <c r="FWP132" i="8"/>
  <c r="FWO132" i="8"/>
  <c r="FWN132" i="8"/>
  <c r="FWM132" i="8"/>
  <c r="FWL132" i="8"/>
  <c r="FWK132" i="8"/>
  <c r="FWJ132" i="8"/>
  <c r="FWI132" i="8"/>
  <c r="FWH132" i="8"/>
  <c r="FWG132" i="8"/>
  <c r="FWF132" i="8"/>
  <c r="FWE132" i="8"/>
  <c r="FWD132" i="8"/>
  <c r="FWC132" i="8"/>
  <c r="FWB132" i="8"/>
  <c r="FWA132" i="8"/>
  <c r="FVZ132" i="8"/>
  <c r="FVY132" i="8"/>
  <c r="FVX132" i="8"/>
  <c r="FVW132" i="8"/>
  <c r="FVV132" i="8"/>
  <c r="FVU132" i="8"/>
  <c r="FVT132" i="8"/>
  <c r="FVS132" i="8"/>
  <c r="FVR132" i="8"/>
  <c r="FVQ132" i="8"/>
  <c r="FVP132" i="8"/>
  <c r="FVO132" i="8"/>
  <c r="FVN132" i="8"/>
  <c r="FVM132" i="8"/>
  <c r="FVL132" i="8"/>
  <c r="FVK132" i="8"/>
  <c r="FVJ132" i="8"/>
  <c r="FVI132" i="8"/>
  <c r="FVH132" i="8"/>
  <c r="FVG132" i="8"/>
  <c r="FVF132" i="8"/>
  <c r="FVE132" i="8"/>
  <c r="FVD132" i="8"/>
  <c r="FVC132" i="8"/>
  <c r="FVB132" i="8"/>
  <c r="FVA132" i="8"/>
  <c r="FUZ132" i="8"/>
  <c r="FUY132" i="8"/>
  <c r="FUX132" i="8"/>
  <c r="FUW132" i="8"/>
  <c r="FUV132" i="8"/>
  <c r="FUU132" i="8"/>
  <c r="FUT132" i="8"/>
  <c r="FUS132" i="8"/>
  <c r="FUR132" i="8"/>
  <c r="FUQ132" i="8"/>
  <c r="FUP132" i="8"/>
  <c r="FUO132" i="8"/>
  <c r="FUN132" i="8"/>
  <c r="FUM132" i="8"/>
  <c r="FUL132" i="8"/>
  <c r="FUK132" i="8"/>
  <c r="FUJ132" i="8"/>
  <c r="FUI132" i="8"/>
  <c r="FUH132" i="8"/>
  <c r="FUG132" i="8"/>
  <c r="FUF132" i="8"/>
  <c r="FUE132" i="8"/>
  <c r="FUD132" i="8"/>
  <c r="FUC132" i="8"/>
  <c r="FUB132" i="8"/>
  <c r="FUA132" i="8"/>
  <c r="FTZ132" i="8"/>
  <c r="FTY132" i="8"/>
  <c r="FTX132" i="8"/>
  <c r="FTW132" i="8"/>
  <c r="FTV132" i="8"/>
  <c r="FTU132" i="8"/>
  <c r="FTT132" i="8"/>
  <c r="FTS132" i="8"/>
  <c r="FTR132" i="8"/>
  <c r="FTQ132" i="8"/>
  <c r="FTP132" i="8"/>
  <c r="FTO132" i="8"/>
  <c r="FTN132" i="8"/>
  <c r="FTM132" i="8"/>
  <c r="FTL132" i="8"/>
  <c r="FTK132" i="8"/>
  <c r="FTJ132" i="8"/>
  <c r="FTI132" i="8"/>
  <c r="FTH132" i="8"/>
  <c r="FTG132" i="8"/>
  <c r="FTF132" i="8"/>
  <c r="FTE132" i="8"/>
  <c r="FTD132" i="8"/>
  <c r="FTC132" i="8"/>
  <c r="FTB132" i="8"/>
  <c r="FTA132" i="8"/>
  <c r="FSZ132" i="8"/>
  <c r="FSY132" i="8"/>
  <c r="FSX132" i="8"/>
  <c r="FSW132" i="8"/>
  <c r="FSV132" i="8"/>
  <c r="FSU132" i="8"/>
  <c r="FST132" i="8"/>
  <c r="FSS132" i="8"/>
  <c r="FSR132" i="8"/>
  <c r="FSQ132" i="8"/>
  <c r="FSP132" i="8"/>
  <c r="FSO132" i="8"/>
  <c r="FSN132" i="8"/>
  <c r="FSM132" i="8"/>
  <c r="FSL132" i="8"/>
  <c r="FSK132" i="8"/>
  <c r="FSJ132" i="8"/>
  <c r="FSI132" i="8"/>
  <c r="FSH132" i="8"/>
  <c r="FSG132" i="8"/>
  <c r="FSF132" i="8"/>
  <c r="FSE132" i="8"/>
  <c r="FSD132" i="8"/>
  <c r="FSC132" i="8"/>
  <c r="FSB132" i="8"/>
  <c r="FSA132" i="8"/>
  <c r="FRZ132" i="8"/>
  <c r="FRY132" i="8"/>
  <c r="FRX132" i="8"/>
  <c r="FRW132" i="8"/>
  <c r="FRV132" i="8"/>
  <c r="FRU132" i="8"/>
  <c r="FRT132" i="8"/>
  <c r="FRS132" i="8"/>
  <c r="FRR132" i="8"/>
  <c r="FRQ132" i="8"/>
  <c r="FRP132" i="8"/>
  <c r="FRO132" i="8"/>
  <c r="FRN132" i="8"/>
  <c r="FRM132" i="8"/>
  <c r="FRL132" i="8"/>
  <c r="FRK132" i="8"/>
  <c r="FRJ132" i="8"/>
  <c r="FRI132" i="8"/>
  <c r="FRH132" i="8"/>
  <c r="FRG132" i="8"/>
  <c r="FRF132" i="8"/>
  <c r="FRE132" i="8"/>
  <c r="FRD132" i="8"/>
  <c r="FRC132" i="8"/>
  <c r="FRB132" i="8"/>
  <c r="FRA132" i="8"/>
  <c r="FQZ132" i="8"/>
  <c r="FQY132" i="8"/>
  <c r="FQX132" i="8"/>
  <c r="FQW132" i="8"/>
  <c r="FQV132" i="8"/>
  <c r="FQU132" i="8"/>
  <c r="FQT132" i="8"/>
  <c r="FQS132" i="8"/>
  <c r="FQR132" i="8"/>
  <c r="FQQ132" i="8"/>
  <c r="FQP132" i="8"/>
  <c r="FQO132" i="8"/>
  <c r="FQN132" i="8"/>
  <c r="FQM132" i="8"/>
  <c r="FQL132" i="8"/>
  <c r="FQK132" i="8"/>
  <c r="FQJ132" i="8"/>
  <c r="FQI132" i="8"/>
  <c r="FQH132" i="8"/>
  <c r="FQG132" i="8"/>
  <c r="FQF132" i="8"/>
  <c r="FQE132" i="8"/>
  <c r="FQD132" i="8"/>
  <c r="FQC132" i="8"/>
  <c r="FQB132" i="8"/>
  <c r="FQA132" i="8"/>
  <c r="FPZ132" i="8"/>
  <c r="FPY132" i="8"/>
  <c r="FPX132" i="8"/>
  <c r="FPW132" i="8"/>
  <c r="FPV132" i="8"/>
  <c r="FPU132" i="8"/>
  <c r="FPT132" i="8"/>
  <c r="FPS132" i="8"/>
  <c r="FPR132" i="8"/>
  <c r="FPQ132" i="8"/>
  <c r="FPP132" i="8"/>
  <c r="FPO132" i="8"/>
  <c r="FPN132" i="8"/>
  <c r="FPM132" i="8"/>
  <c r="FPL132" i="8"/>
  <c r="FPK132" i="8"/>
  <c r="FPJ132" i="8"/>
  <c r="FPI132" i="8"/>
  <c r="FPH132" i="8"/>
  <c r="FPG132" i="8"/>
  <c r="FPF132" i="8"/>
  <c r="FPE132" i="8"/>
  <c r="FPD132" i="8"/>
  <c r="FPC132" i="8"/>
  <c r="FPB132" i="8"/>
  <c r="FPA132" i="8"/>
  <c r="FOZ132" i="8"/>
  <c r="FOY132" i="8"/>
  <c r="FOX132" i="8"/>
  <c r="FOW132" i="8"/>
  <c r="FOV132" i="8"/>
  <c r="FOU132" i="8"/>
  <c r="FOT132" i="8"/>
  <c r="FOS132" i="8"/>
  <c r="FOR132" i="8"/>
  <c r="FOQ132" i="8"/>
  <c r="FOP132" i="8"/>
  <c r="FOO132" i="8"/>
  <c r="FON132" i="8"/>
  <c r="FOM132" i="8"/>
  <c r="FOL132" i="8"/>
  <c r="FOK132" i="8"/>
  <c r="FOJ132" i="8"/>
  <c r="FOI132" i="8"/>
  <c r="FOH132" i="8"/>
  <c r="FOG132" i="8"/>
  <c r="FOF132" i="8"/>
  <c r="FOE132" i="8"/>
  <c r="FOD132" i="8"/>
  <c r="FOC132" i="8"/>
  <c r="FOB132" i="8"/>
  <c r="FOA132" i="8"/>
  <c r="FNZ132" i="8"/>
  <c r="FNY132" i="8"/>
  <c r="FNX132" i="8"/>
  <c r="FNW132" i="8"/>
  <c r="FNV132" i="8"/>
  <c r="FNU132" i="8"/>
  <c r="FNT132" i="8"/>
  <c r="FNS132" i="8"/>
  <c r="FNR132" i="8"/>
  <c r="FNQ132" i="8"/>
  <c r="FNP132" i="8"/>
  <c r="FNO132" i="8"/>
  <c r="FNN132" i="8"/>
  <c r="FNM132" i="8"/>
  <c r="FNL132" i="8"/>
  <c r="FNK132" i="8"/>
  <c r="FNJ132" i="8"/>
  <c r="FNI132" i="8"/>
  <c r="FNH132" i="8"/>
  <c r="FNG132" i="8"/>
  <c r="FNF132" i="8"/>
  <c r="FNE132" i="8"/>
  <c r="FND132" i="8"/>
  <c r="FNC132" i="8"/>
  <c r="FNB132" i="8"/>
  <c r="FNA132" i="8"/>
  <c r="FMZ132" i="8"/>
  <c r="FMY132" i="8"/>
  <c r="FMX132" i="8"/>
  <c r="FMW132" i="8"/>
  <c r="FMV132" i="8"/>
  <c r="FMU132" i="8"/>
  <c r="FMT132" i="8"/>
  <c r="FMS132" i="8"/>
  <c r="FMR132" i="8"/>
  <c r="FMQ132" i="8"/>
  <c r="FMP132" i="8"/>
  <c r="FMO132" i="8"/>
  <c r="FMN132" i="8"/>
  <c r="FMM132" i="8"/>
  <c r="FML132" i="8"/>
  <c r="FMK132" i="8"/>
  <c r="FMJ132" i="8"/>
  <c r="FMI132" i="8"/>
  <c r="FMH132" i="8"/>
  <c r="FMG132" i="8"/>
  <c r="FMF132" i="8"/>
  <c r="FME132" i="8"/>
  <c r="FMD132" i="8"/>
  <c r="FMC132" i="8"/>
  <c r="FMB132" i="8"/>
  <c r="FMA132" i="8"/>
  <c r="FLZ132" i="8"/>
  <c r="FLY132" i="8"/>
  <c r="FLX132" i="8"/>
  <c r="FLW132" i="8"/>
  <c r="FLV132" i="8"/>
  <c r="FLU132" i="8"/>
  <c r="FLT132" i="8"/>
  <c r="FLS132" i="8"/>
  <c r="FLR132" i="8"/>
  <c r="FLQ132" i="8"/>
  <c r="FLP132" i="8"/>
  <c r="FLO132" i="8"/>
  <c r="FLN132" i="8"/>
  <c r="FLM132" i="8"/>
  <c r="FLL132" i="8"/>
  <c r="FLK132" i="8"/>
  <c r="FLJ132" i="8"/>
  <c r="FLI132" i="8"/>
  <c r="FLH132" i="8"/>
  <c r="FLG132" i="8"/>
  <c r="FLF132" i="8"/>
  <c r="FLE132" i="8"/>
  <c r="FLD132" i="8"/>
  <c r="FLC132" i="8"/>
  <c r="FLB132" i="8"/>
  <c r="FLA132" i="8"/>
  <c r="FKZ132" i="8"/>
  <c r="FKY132" i="8"/>
  <c r="FKX132" i="8"/>
  <c r="FKW132" i="8"/>
  <c r="FKV132" i="8"/>
  <c r="FKU132" i="8"/>
  <c r="FKT132" i="8"/>
  <c r="FKS132" i="8"/>
  <c r="FKR132" i="8"/>
  <c r="FKQ132" i="8"/>
  <c r="FKP132" i="8"/>
  <c r="FKO132" i="8"/>
  <c r="FKN132" i="8"/>
  <c r="FKM132" i="8"/>
  <c r="FKL132" i="8"/>
  <c r="FKK132" i="8"/>
  <c r="FKJ132" i="8"/>
  <c r="FKI132" i="8"/>
  <c r="FKH132" i="8"/>
  <c r="FKG132" i="8"/>
  <c r="FKF132" i="8"/>
  <c r="FKE132" i="8"/>
  <c r="FKD132" i="8"/>
  <c r="FKC132" i="8"/>
  <c r="FKB132" i="8"/>
  <c r="FKA132" i="8"/>
  <c r="FJZ132" i="8"/>
  <c r="FJY132" i="8"/>
  <c r="FJX132" i="8"/>
  <c r="FJW132" i="8"/>
  <c r="FJV132" i="8"/>
  <c r="FJU132" i="8"/>
  <c r="FJT132" i="8"/>
  <c r="FJS132" i="8"/>
  <c r="FJR132" i="8"/>
  <c r="FJQ132" i="8"/>
  <c r="FJP132" i="8"/>
  <c r="FJO132" i="8"/>
  <c r="FJN132" i="8"/>
  <c r="FJM132" i="8"/>
  <c r="FJL132" i="8"/>
  <c r="FJK132" i="8"/>
  <c r="FJJ132" i="8"/>
  <c r="FJI132" i="8"/>
  <c r="FJH132" i="8"/>
  <c r="FJG132" i="8"/>
  <c r="FJF132" i="8"/>
  <c r="FJE132" i="8"/>
  <c r="FJD132" i="8"/>
  <c r="FJC132" i="8"/>
  <c r="FJB132" i="8"/>
  <c r="FJA132" i="8"/>
  <c r="FIZ132" i="8"/>
  <c r="FIY132" i="8"/>
  <c r="FIX132" i="8"/>
  <c r="FIW132" i="8"/>
  <c r="FIV132" i="8"/>
  <c r="FIU132" i="8"/>
  <c r="FIT132" i="8"/>
  <c r="FIS132" i="8"/>
  <c r="FIR132" i="8"/>
  <c r="FIQ132" i="8"/>
  <c r="FIP132" i="8"/>
  <c r="FIO132" i="8"/>
  <c r="FIN132" i="8"/>
  <c r="FIM132" i="8"/>
  <c r="FIL132" i="8"/>
  <c r="FIK132" i="8"/>
  <c r="FIJ132" i="8"/>
  <c r="FII132" i="8"/>
  <c r="FIH132" i="8"/>
  <c r="FIG132" i="8"/>
  <c r="FIF132" i="8"/>
  <c r="FIE132" i="8"/>
  <c r="FID132" i="8"/>
  <c r="FIC132" i="8"/>
  <c r="FIB132" i="8"/>
  <c r="FIA132" i="8"/>
  <c r="FHZ132" i="8"/>
  <c r="FHY132" i="8"/>
  <c r="FHX132" i="8"/>
  <c r="FHW132" i="8"/>
  <c r="FHV132" i="8"/>
  <c r="FHU132" i="8"/>
  <c r="FHT132" i="8"/>
  <c r="FHS132" i="8"/>
  <c r="FHR132" i="8"/>
  <c r="FHQ132" i="8"/>
  <c r="FHP132" i="8"/>
  <c r="FHO132" i="8"/>
  <c r="FHN132" i="8"/>
  <c r="FHM132" i="8"/>
  <c r="FHL132" i="8"/>
  <c r="FHK132" i="8"/>
  <c r="FHJ132" i="8"/>
  <c r="FHI132" i="8"/>
  <c r="FHH132" i="8"/>
  <c r="FHG132" i="8"/>
  <c r="FHF132" i="8"/>
  <c r="FHE132" i="8"/>
  <c r="FHD132" i="8"/>
  <c r="FHC132" i="8"/>
  <c r="FHB132" i="8"/>
  <c r="FHA132" i="8"/>
  <c r="FGZ132" i="8"/>
  <c r="FGY132" i="8"/>
  <c r="FGX132" i="8"/>
  <c r="FGW132" i="8"/>
  <c r="FGV132" i="8"/>
  <c r="FGU132" i="8"/>
  <c r="FGT132" i="8"/>
  <c r="FGS132" i="8"/>
  <c r="FGR132" i="8"/>
  <c r="FGQ132" i="8"/>
  <c r="FGP132" i="8"/>
  <c r="FGO132" i="8"/>
  <c r="FGN132" i="8"/>
  <c r="FGM132" i="8"/>
  <c r="FGL132" i="8"/>
  <c r="FGK132" i="8"/>
  <c r="FGJ132" i="8"/>
  <c r="FGI132" i="8"/>
  <c r="FGH132" i="8"/>
  <c r="FGG132" i="8"/>
  <c r="FGF132" i="8"/>
  <c r="FGE132" i="8"/>
  <c r="FGD132" i="8"/>
  <c r="FGC132" i="8"/>
  <c r="FGB132" i="8"/>
  <c r="FGA132" i="8"/>
  <c r="FFZ132" i="8"/>
  <c r="FFY132" i="8"/>
  <c r="FFX132" i="8"/>
  <c r="FFW132" i="8"/>
  <c r="FFV132" i="8"/>
  <c r="FFU132" i="8"/>
  <c r="FFT132" i="8"/>
  <c r="FFS132" i="8"/>
  <c r="FFR132" i="8"/>
  <c r="FFQ132" i="8"/>
  <c r="FFP132" i="8"/>
  <c r="FFO132" i="8"/>
  <c r="FFN132" i="8"/>
  <c r="FFM132" i="8"/>
  <c r="FFL132" i="8"/>
  <c r="FFK132" i="8"/>
  <c r="FFJ132" i="8"/>
  <c r="FFI132" i="8"/>
  <c r="FFH132" i="8"/>
  <c r="FFG132" i="8"/>
  <c r="FFF132" i="8"/>
  <c r="FFE132" i="8"/>
  <c r="FFD132" i="8"/>
  <c r="FFC132" i="8"/>
  <c r="FFB132" i="8"/>
  <c r="FFA132" i="8"/>
  <c r="FEZ132" i="8"/>
  <c r="FEY132" i="8"/>
  <c r="FEX132" i="8"/>
  <c r="FEW132" i="8"/>
  <c r="FEV132" i="8"/>
  <c r="FEU132" i="8"/>
  <c r="FET132" i="8"/>
  <c r="FES132" i="8"/>
  <c r="FER132" i="8"/>
  <c r="FEQ132" i="8"/>
  <c r="FEP132" i="8"/>
  <c r="FEO132" i="8"/>
  <c r="FEN132" i="8"/>
  <c r="FEM132" i="8"/>
  <c r="FEL132" i="8"/>
  <c r="FEK132" i="8"/>
  <c r="FEJ132" i="8"/>
  <c r="FEI132" i="8"/>
  <c r="FEH132" i="8"/>
  <c r="FEG132" i="8"/>
  <c r="FEF132" i="8"/>
  <c r="FEE132" i="8"/>
  <c r="FED132" i="8"/>
  <c r="FEC132" i="8"/>
  <c r="FEB132" i="8"/>
  <c r="FEA132" i="8"/>
  <c r="FDZ132" i="8"/>
  <c r="FDY132" i="8"/>
  <c r="FDX132" i="8"/>
  <c r="FDW132" i="8"/>
  <c r="FDV132" i="8"/>
  <c r="FDU132" i="8"/>
  <c r="FDT132" i="8"/>
  <c r="FDS132" i="8"/>
  <c r="FDR132" i="8"/>
  <c r="FDQ132" i="8"/>
  <c r="FDP132" i="8"/>
  <c r="FDO132" i="8"/>
  <c r="FDN132" i="8"/>
  <c r="FDM132" i="8"/>
  <c r="FDL132" i="8"/>
  <c r="FDK132" i="8"/>
  <c r="FDJ132" i="8"/>
  <c r="FDI132" i="8"/>
  <c r="FDH132" i="8"/>
  <c r="FDG132" i="8"/>
  <c r="FDF132" i="8"/>
  <c r="FDE132" i="8"/>
  <c r="FDD132" i="8"/>
  <c r="FDC132" i="8"/>
  <c r="FDB132" i="8"/>
  <c r="FDA132" i="8"/>
  <c r="FCZ132" i="8"/>
  <c r="FCY132" i="8"/>
  <c r="FCX132" i="8"/>
  <c r="FCW132" i="8"/>
  <c r="FCV132" i="8"/>
  <c r="FCU132" i="8"/>
  <c r="FCT132" i="8"/>
  <c r="FCS132" i="8"/>
  <c r="FCR132" i="8"/>
  <c r="FCQ132" i="8"/>
  <c r="FCP132" i="8"/>
  <c r="FCO132" i="8"/>
  <c r="FCN132" i="8"/>
  <c r="FCM132" i="8"/>
  <c r="FCL132" i="8"/>
  <c r="FCK132" i="8"/>
  <c r="FCJ132" i="8"/>
  <c r="FCI132" i="8"/>
  <c r="FCH132" i="8"/>
  <c r="FCG132" i="8"/>
  <c r="FCF132" i="8"/>
  <c r="FCE132" i="8"/>
  <c r="FCD132" i="8"/>
  <c r="FCC132" i="8"/>
  <c r="FCB132" i="8"/>
  <c r="FCA132" i="8"/>
  <c r="FBZ132" i="8"/>
  <c r="FBY132" i="8"/>
  <c r="FBX132" i="8"/>
  <c r="FBW132" i="8"/>
  <c r="FBV132" i="8"/>
  <c r="FBU132" i="8"/>
  <c r="FBT132" i="8"/>
  <c r="FBS132" i="8"/>
  <c r="FBR132" i="8"/>
  <c r="FBQ132" i="8"/>
  <c r="FBP132" i="8"/>
  <c r="FBO132" i="8"/>
  <c r="FBN132" i="8"/>
  <c r="FBM132" i="8"/>
  <c r="FBL132" i="8"/>
  <c r="FBK132" i="8"/>
  <c r="FBJ132" i="8"/>
  <c r="FBI132" i="8"/>
  <c r="FBH132" i="8"/>
  <c r="FBG132" i="8"/>
  <c r="FBF132" i="8"/>
  <c r="FBE132" i="8"/>
  <c r="FBD132" i="8"/>
  <c r="FBC132" i="8"/>
  <c r="FBB132" i="8"/>
  <c r="FBA132" i="8"/>
  <c r="FAZ132" i="8"/>
  <c r="FAY132" i="8"/>
  <c r="FAX132" i="8"/>
  <c r="FAW132" i="8"/>
  <c r="FAV132" i="8"/>
  <c r="FAU132" i="8"/>
  <c r="FAT132" i="8"/>
  <c r="FAS132" i="8"/>
  <c r="FAR132" i="8"/>
  <c r="FAQ132" i="8"/>
  <c r="FAP132" i="8"/>
  <c r="FAO132" i="8"/>
  <c r="FAN132" i="8"/>
  <c r="FAM132" i="8"/>
  <c r="FAL132" i="8"/>
  <c r="FAK132" i="8"/>
  <c r="FAJ132" i="8"/>
  <c r="FAI132" i="8"/>
  <c r="FAH132" i="8"/>
  <c r="FAG132" i="8"/>
  <c r="FAF132" i="8"/>
  <c r="FAE132" i="8"/>
  <c r="FAD132" i="8"/>
  <c r="FAC132" i="8"/>
  <c r="FAB132" i="8"/>
  <c r="FAA132" i="8"/>
  <c r="EZZ132" i="8"/>
  <c r="EZY132" i="8"/>
  <c r="EZX132" i="8"/>
  <c r="EZW132" i="8"/>
  <c r="EZV132" i="8"/>
  <c r="EZU132" i="8"/>
  <c r="EZT132" i="8"/>
  <c r="EZS132" i="8"/>
  <c r="EZR132" i="8"/>
  <c r="EZQ132" i="8"/>
  <c r="EZP132" i="8"/>
  <c r="EZO132" i="8"/>
  <c r="EZN132" i="8"/>
  <c r="EZM132" i="8"/>
  <c r="EZL132" i="8"/>
  <c r="EZK132" i="8"/>
  <c r="EZJ132" i="8"/>
  <c r="EZI132" i="8"/>
  <c r="EZH132" i="8"/>
  <c r="EZG132" i="8"/>
  <c r="EZF132" i="8"/>
  <c r="EZE132" i="8"/>
  <c r="EZD132" i="8"/>
  <c r="EZC132" i="8"/>
  <c r="EZB132" i="8"/>
  <c r="EZA132" i="8"/>
  <c r="EYZ132" i="8"/>
  <c r="EYY132" i="8"/>
  <c r="EYX132" i="8"/>
  <c r="EYW132" i="8"/>
  <c r="EYV132" i="8"/>
  <c r="EYU132" i="8"/>
  <c r="EYT132" i="8"/>
  <c r="EYS132" i="8"/>
  <c r="EYR132" i="8"/>
  <c r="EYQ132" i="8"/>
  <c r="EYP132" i="8"/>
  <c r="EYO132" i="8"/>
  <c r="EYN132" i="8"/>
  <c r="EYM132" i="8"/>
  <c r="EYL132" i="8"/>
  <c r="EYK132" i="8"/>
  <c r="EYJ132" i="8"/>
  <c r="EYI132" i="8"/>
  <c r="EYH132" i="8"/>
  <c r="EYG132" i="8"/>
  <c r="EYF132" i="8"/>
  <c r="EYE132" i="8"/>
  <c r="EYD132" i="8"/>
  <c r="EYC132" i="8"/>
  <c r="EYB132" i="8"/>
  <c r="EYA132" i="8"/>
  <c r="EXZ132" i="8"/>
  <c r="EXY132" i="8"/>
  <c r="EXX132" i="8"/>
  <c r="EXW132" i="8"/>
  <c r="EXV132" i="8"/>
  <c r="EXU132" i="8"/>
  <c r="EXT132" i="8"/>
  <c r="EXS132" i="8"/>
  <c r="EXR132" i="8"/>
  <c r="EXQ132" i="8"/>
  <c r="EXP132" i="8"/>
  <c r="EXO132" i="8"/>
  <c r="EXN132" i="8"/>
  <c r="EXM132" i="8"/>
  <c r="EXL132" i="8"/>
  <c r="EXK132" i="8"/>
  <c r="EXJ132" i="8"/>
  <c r="EXI132" i="8"/>
  <c r="EXH132" i="8"/>
  <c r="EXG132" i="8"/>
  <c r="EXF132" i="8"/>
  <c r="EXE132" i="8"/>
  <c r="EXD132" i="8"/>
  <c r="EXC132" i="8"/>
  <c r="EXB132" i="8"/>
  <c r="EXA132" i="8"/>
  <c r="EWZ132" i="8"/>
  <c r="EWY132" i="8"/>
  <c r="EWX132" i="8"/>
  <c r="EWW132" i="8"/>
  <c r="EWV132" i="8"/>
  <c r="EWU132" i="8"/>
  <c r="EWT132" i="8"/>
  <c r="EWS132" i="8"/>
  <c r="EWR132" i="8"/>
  <c r="EWQ132" i="8"/>
  <c r="EWP132" i="8"/>
  <c r="EWO132" i="8"/>
  <c r="EWN132" i="8"/>
  <c r="EWM132" i="8"/>
  <c r="EWL132" i="8"/>
  <c r="EWK132" i="8"/>
  <c r="EWJ132" i="8"/>
  <c r="EWI132" i="8"/>
  <c r="EWH132" i="8"/>
  <c r="EWG132" i="8"/>
  <c r="EWF132" i="8"/>
  <c r="EWE132" i="8"/>
  <c r="EWD132" i="8"/>
  <c r="EWC132" i="8"/>
  <c r="EWB132" i="8"/>
  <c r="EWA132" i="8"/>
  <c r="EVZ132" i="8"/>
  <c r="EVY132" i="8"/>
  <c r="EVX132" i="8"/>
  <c r="EVW132" i="8"/>
  <c r="EVV132" i="8"/>
  <c r="EVU132" i="8"/>
  <c r="EVT132" i="8"/>
  <c r="EVS132" i="8"/>
  <c r="EVR132" i="8"/>
  <c r="EVQ132" i="8"/>
  <c r="EVP132" i="8"/>
  <c r="EVO132" i="8"/>
  <c r="EVN132" i="8"/>
  <c r="EVM132" i="8"/>
  <c r="EVL132" i="8"/>
  <c r="EVK132" i="8"/>
  <c r="EVJ132" i="8"/>
  <c r="EVI132" i="8"/>
  <c r="EVH132" i="8"/>
  <c r="EVG132" i="8"/>
  <c r="EVF132" i="8"/>
  <c r="EVE132" i="8"/>
  <c r="EVD132" i="8"/>
  <c r="EVC132" i="8"/>
  <c r="EVB132" i="8"/>
  <c r="EVA132" i="8"/>
  <c r="EUZ132" i="8"/>
  <c r="EUY132" i="8"/>
  <c r="EUX132" i="8"/>
  <c r="EUW132" i="8"/>
  <c r="EUV132" i="8"/>
  <c r="EUU132" i="8"/>
  <c r="EUT132" i="8"/>
  <c r="EUS132" i="8"/>
  <c r="EUR132" i="8"/>
  <c r="EUQ132" i="8"/>
  <c r="EUP132" i="8"/>
  <c r="EUO132" i="8"/>
  <c r="EUN132" i="8"/>
  <c r="EUM132" i="8"/>
  <c r="EUL132" i="8"/>
  <c r="EUK132" i="8"/>
  <c r="EUJ132" i="8"/>
  <c r="EUI132" i="8"/>
  <c r="EUH132" i="8"/>
  <c r="EUG132" i="8"/>
  <c r="EUF132" i="8"/>
  <c r="EUE132" i="8"/>
  <c r="EUD132" i="8"/>
  <c r="EUC132" i="8"/>
  <c r="EUB132" i="8"/>
  <c r="EUA132" i="8"/>
  <c r="ETZ132" i="8"/>
  <c r="ETY132" i="8"/>
  <c r="ETX132" i="8"/>
  <c r="ETW132" i="8"/>
  <c r="ETV132" i="8"/>
  <c r="ETU132" i="8"/>
  <c r="ETT132" i="8"/>
  <c r="ETS132" i="8"/>
  <c r="ETR132" i="8"/>
  <c r="ETQ132" i="8"/>
  <c r="ETP132" i="8"/>
  <c r="ETO132" i="8"/>
  <c r="ETN132" i="8"/>
  <c r="ETM132" i="8"/>
  <c r="ETL132" i="8"/>
  <c r="ETK132" i="8"/>
  <c r="ETJ132" i="8"/>
  <c r="ETI132" i="8"/>
  <c r="ETH132" i="8"/>
  <c r="ETG132" i="8"/>
  <c r="ETF132" i="8"/>
  <c r="ETE132" i="8"/>
  <c r="ETD132" i="8"/>
  <c r="ETC132" i="8"/>
  <c r="ETB132" i="8"/>
  <c r="ETA132" i="8"/>
  <c r="ESZ132" i="8"/>
  <c r="ESY132" i="8"/>
  <c r="ESX132" i="8"/>
  <c r="ESW132" i="8"/>
  <c r="ESV132" i="8"/>
  <c r="ESU132" i="8"/>
  <c r="EST132" i="8"/>
  <c r="ESS132" i="8"/>
  <c r="ESR132" i="8"/>
  <c r="ESQ132" i="8"/>
  <c r="ESP132" i="8"/>
  <c r="ESO132" i="8"/>
  <c r="ESN132" i="8"/>
  <c r="ESM132" i="8"/>
  <c r="ESL132" i="8"/>
  <c r="ESK132" i="8"/>
  <c r="ESJ132" i="8"/>
  <c r="ESI132" i="8"/>
  <c r="ESH132" i="8"/>
  <c r="ESG132" i="8"/>
  <c r="ESF132" i="8"/>
  <c r="ESE132" i="8"/>
  <c r="ESD132" i="8"/>
  <c r="ESC132" i="8"/>
  <c r="ESB132" i="8"/>
  <c r="ESA132" i="8"/>
  <c r="ERZ132" i="8"/>
  <c r="ERY132" i="8"/>
  <c r="ERX132" i="8"/>
  <c r="ERW132" i="8"/>
  <c r="ERV132" i="8"/>
  <c r="ERU132" i="8"/>
  <c r="ERT132" i="8"/>
  <c r="ERS132" i="8"/>
  <c r="ERR132" i="8"/>
  <c r="ERQ132" i="8"/>
  <c r="ERP132" i="8"/>
  <c r="ERO132" i="8"/>
  <c r="ERN132" i="8"/>
  <c r="ERM132" i="8"/>
  <c r="ERL132" i="8"/>
  <c r="ERK132" i="8"/>
  <c r="ERJ132" i="8"/>
  <c r="ERI132" i="8"/>
  <c r="ERH132" i="8"/>
  <c r="ERG132" i="8"/>
  <c r="ERF132" i="8"/>
  <c r="ERE132" i="8"/>
  <c r="ERD132" i="8"/>
  <c r="ERC132" i="8"/>
  <c r="ERB132" i="8"/>
  <c r="ERA132" i="8"/>
  <c r="EQZ132" i="8"/>
  <c r="EQY132" i="8"/>
  <c r="EQX132" i="8"/>
  <c r="EQW132" i="8"/>
  <c r="EQV132" i="8"/>
  <c r="EQU132" i="8"/>
  <c r="EQT132" i="8"/>
  <c r="EQS132" i="8"/>
  <c r="EQR132" i="8"/>
  <c r="EQQ132" i="8"/>
  <c r="EQP132" i="8"/>
  <c r="EQO132" i="8"/>
  <c r="EQN132" i="8"/>
  <c r="EQM132" i="8"/>
  <c r="EQL132" i="8"/>
  <c r="EQK132" i="8"/>
  <c r="EQJ132" i="8"/>
  <c r="EQI132" i="8"/>
  <c r="EQH132" i="8"/>
  <c r="EQG132" i="8"/>
  <c r="EQF132" i="8"/>
  <c r="EQE132" i="8"/>
  <c r="EQD132" i="8"/>
  <c r="EQC132" i="8"/>
  <c r="EQB132" i="8"/>
  <c r="EQA132" i="8"/>
  <c r="EPZ132" i="8"/>
  <c r="EPY132" i="8"/>
  <c r="EPX132" i="8"/>
  <c r="EPW132" i="8"/>
  <c r="EPV132" i="8"/>
  <c r="EPU132" i="8"/>
  <c r="EPT132" i="8"/>
  <c r="EPS132" i="8"/>
  <c r="EPR132" i="8"/>
  <c r="EPQ132" i="8"/>
  <c r="EPP132" i="8"/>
  <c r="EPO132" i="8"/>
  <c r="EPN132" i="8"/>
  <c r="EPM132" i="8"/>
  <c r="EPL132" i="8"/>
  <c r="EPK132" i="8"/>
  <c r="EPJ132" i="8"/>
  <c r="EPI132" i="8"/>
  <c r="EPH132" i="8"/>
  <c r="EPG132" i="8"/>
  <c r="EPF132" i="8"/>
  <c r="EPE132" i="8"/>
  <c r="EPD132" i="8"/>
  <c r="EPC132" i="8"/>
  <c r="EPB132" i="8"/>
  <c r="EPA132" i="8"/>
  <c r="EOZ132" i="8"/>
  <c r="EOY132" i="8"/>
  <c r="EOX132" i="8"/>
  <c r="EOW132" i="8"/>
  <c r="EOV132" i="8"/>
  <c r="EOU132" i="8"/>
  <c r="EOT132" i="8"/>
  <c r="EOS132" i="8"/>
  <c r="EOR132" i="8"/>
  <c r="EOQ132" i="8"/>
  <c r="EOP132" i="8"/>
  <c r="EOO132" i="8"/>
  <c r="EON132" i="8"/>
  <c r="EOM132" i="8"/>
  <c r="EOL132" i="8"/>
  <c r="EOK132" i="8"/>
  <c r="EOJ132" i="8"/>
  <c r="EOI132" i="8"/>
  <c r="EOH132" i="8"/>
  <c r="EOG132" i="8"/>
  <c r="EOF132" i="8"/>
  <c r="EOE132" i="8"/>
  <c r="EOD132" i="8"/>
  <c r="EOC132" i="8"/>
  <c r="EOB132" i="8"/>
  <c r="EOA132" i="8"/>
  <c r="ENZ132" i="8"/>
  <c r="ENY132" i="8"/>
  <c r="ENX132" i="8"/>
  <c r="ENW132" i="8"/>
  <c r="ENV132" i="8"/>
  <c r="ENU132" i="8"/>
  <c r="ENT132" i="8"/>
  <c r="ENS132" i="8"/>
  <c r="ENR132" i="8"/>
  <c r="ENQ132" i="8"/>
  <c r="ENP132" i="8"/>
  <c r="ENO132" i="8"/>
  <c r="ENN132" i="8"/>
  <c r="ENM132" i="8"/>
  <c r="ENL132" i="8"/>
  <c r="ENK132" i="8"/>
  <c r="ENJ132" i="8"/>
  <c r="ENI132" i="8"/>
  <c r="ENH132" i="8"/>
  <c r="ENG132" i="8"/>
  <c r="ENF132" i="8"/>
  <c r="ENE132" i="8"/>
  <c r="END132" i="8"/>
  <c r="ENC132" i="8"/>
  <c r="ENB132" i="8"/>
  <c r="ENA132" i="8"/>
  <c r="EMZ132" i="8"/>
  <c r="EMY132" i="8"/>
  <c r="EMX132" i="8"/>
  <c r="EMW132" i="8"/>
  <c r="EMV132" i="8"/>
  <c r="EMU132" i="8"/>
  <c r="EMT132" i="8"/>
  <c r="EMS132" i="8"/>
  <c r="EMR132" i="8"/>
  <c r="EMQ132" i="8"/>
  <c r="EMP132" i="8"/>
  <c r="EMO132" i="8"/>
  <c r="EMN132" i="8"/>
  <c r="EMM132" i="8"/>
  <c r="EML132" i="8"/>
  <c r="EMK132" i="8"/>
  <c r="EMJ132" i="8"/>
  <c r="EMI132" i="8"/>
  <c r="EMH132" i="8"/>
  <c r="EMG132" i="8"/>
  <c r="EMF132" i="8"/>
  <c r="EME132" i="8"/>
  <c r="EMD132" i="8"/>
  <c r="EMC132" i="8"/>
  <c r="EMB132" i="8"/>
  <c r="EMA132" i="8"/>
  <c r="ELZ132" i="8"/>
  <c r="ELY132" i="8"/>
  <c r="ELX132" i="8"/>
  <c r="ELW132" i="8"/>
  <c r="ELV132" i="8"/>
  <c r="ELU132" i="8"/>
  <c r="ELT132" i="8"/>
  <c r="ELS132" i="8"/>
  <c r="ELR132" i="8"/>
  <c r="ELQ132" i="8"/>
  <c r="ELP132" i="8"/>
  <c r="ELO132" i="8"/>
  <c r="ELN132" i="8"/>
  <c r="ELM132" i="8"/>
  <c r="ELL132" i="8"/>
  <c r="ELK132" i="8"/>
  <c r="ELJ132" i="8"/>
  <c r="ELI132" i="8"/>
  <c r="ELH132" i="8"/>
  <c r="ELG132" i="8"/>
  <c r="ELF132" i="8"/>
  <c r="ELE132" i="8"/>
  <c r="ELD132" i="8"/>
  <c r="ELC132" i="8"/>
  <c r="ELB132" i="8"/>
  <c r="ELA132" i="8"/>
  <c r="EKZ132" i="8"/>
  <c r="EKY132" i="8"/>
  <c r="EKX132" i="8"/>
  <c r="EKW132" i="8"/>
  <c r="EKV132" i="8"/>
  <c r="EKU132" i="8"/>
  <c r="EKT132" i="8"/>
  <c r="EKS132" i="8"/>
  <c r="EKR132" i="8"/>
  <c r="EKQ132" i="8"/>
  <c r="EKP132" i="8"/>
  <c r="EKO132" i="8"/>
  <c r="EKN132" i="8"/>
  <c r="EKM132" i="8"/>
  <c r="EKL132" i="8"/>
  <c r="EKK132" i="8"/>
  <c r="EKJ132" i="8"/>
  <c r="EKI132" i="8"/>
  <c r="EKH132" i="8"/>
  <c r="EKG132" i="8"/>
  <c r="EKF132" i="8"/>
  <c r="EKE132" i="8"/>
  <c r="EKD132" i="8"/>
  <c r="EKC132" i="8"/>
  <c r="EKB132" i="8"/>
  <c r="EKA132" i="8"/>
  <c r="EJZ132" i="8"/>
  <c r="EJY132" i="8"/>
  <c r="EJX132" i="8"/>
  <c r="EJW132" i="8"/>
  <c r="EJV132" i="8"/>
  <c r="EJU132" i="8"/>
  <c r="EJT132" i="8"/>
  <c r="EJS132" i="8"/>
  <c r="EJR132" i="8"/>
  <c r="EJQ132" i="8"/>
  <c r="EJP132" i="8"/>
  <c r="EJO132" i="8"/>
  <c r="EJN132" i="8"/>
  <c r="EJM132" i="8"/>
  <c r="EJL132" i="8"/>
  <c r="EJK132" i="8"/>
  <c r="EJJ132" i="8"/>
  <c r="EJI132" i="8"/>
  <c r="EJH132" i="8"/>
  <c r="EJG132" i="8"/>
  <c r="EJF132" i="8"/>
  <c r="EJE132" i="8"/>
  <c r="EJD132" i="8"/>
  <c r="EJC132" i="8"/>
  <c r="EJB132" i="8"/>
  <c r="EJA132" i="8"/>
  <c r="EIZ132" i="8"/>
  <c r="EIY132" i="8"/>
  <c r="EIX132" i="8"/>
  <c r="EIW132" i="8"/>
  <c r="EIV132" i="8"/>
  <c r="EIU132" i="8"/>
  <c r="EIT132" i="8"/>
  <c r="EIS132" i="8"/>
  <c r="EIR132" i="8"/>
  <c r="EIQ132" i="8"/>
  <c r="EIP132" i="8"/>
  <c r="EIO132" i="8"/>
  <c r="EIN132" i="8"/>
  <c r="EIM132" i="8"/>
  <c r="EIL132" i="8"/>
  <c r="EIK132" i="8"/>
  <c r="EIJ132" i="8"/>
  <c r="EII132" i="8"/>
  <c r="EIH132" i="8"/>
  <c r="EIG132" i="8"/>
  <c r="EIF132" i="8"/>
  <c r="EIE132" i="8"/>
  <c r="EID132" i="8"/>
  <c r="EIC132" i="8"/>
  <c r="EIB132" i="8"/>
  <c r="EIA132" i="8"/>
  <c r="EHZ132" i="8"/>
  <c r="EHY132" i="8"/>
  <c r="EHX132" i="8"/>
  <c r="EHW132" i="8"/>
  <c r="EHV132" i="8"/>
  <c r="EHU132" i="8"/>
  <c r="EHT132" i="8"/>
  <c r="EHS132" i="8"/>
  <c r="EHR132" i="8"/>
  <c r="EHQ132" i="8"/>
  <c r="EHP132" i="8"/>
  <c r="EHO132" i="8"/>
  <c r="EHN132" i="8"/>
  <c r="EHM132" i="8"/>
  <c r="EHL132" i="8"/>
  <c r="EHK132" i="8"/>
  <c r="EHJ132" i="8"/>
  <c r="EHI132" i="8"/>
  <c r="EHH132" i="8"/>
  <c r="EHG132" i="8"/>
  <c r="EHF132" i="8"/>
  <c r="EHE132" i="8"/>
  <c r="EHD132" i="8"/>
  <c r="EHC132" i="8"/>
  <c r="EHB132" i="8"/>
  <c r="EHA132" i="8"/>
  <c r="EGZ132" i="8"/>
  <c r="EGY132" i="8"/>
  <c r="EGX132" i="8"/>
  <c r="EGW132" i="8"/>
  <c r="EGV132" i="8"/>
  <c r="EGU132" i="8"/>
  <c r="EGT132" i="8"/>
  <c r="EGS132" i="8"/>
  <c r="EGR132" i="8"/>
  <c r="EGQ132" i="8"/>
  <c r="EGP132" i="8"/>
  <c r="EGO132" i="8"/>
  <c r="EGN132" i="8"/>
  <c r="EGM132" i="8"/>
  <c r="EGL132" i="8"/>
  <c r="EGK132" i="8"/>
  <c r="EGJ132" i="8"/>
  <c r="EGI132" i="8"/>
  <c r="EGH132" i="8"/>
  <c r="EGG132" i="8"/>
  <c r="EGF132" i="8"/>
  <c r="EGE132" i="8"/>
  <c r="EGD132" i="8"/>
  <c r="EGC132" i="8"/>
  <c r="EGB132" i="8"/>
  <c r="EGA132" i="8"/>
  <c r="EFZ132" i="8"/>
  <c r="EFY132" i="8"/>
  <c r="EFX132" i="8"/>
  <c r="EFW132" i="8"/>
  <c r="EFV132" i="8"/>
  <c r="EFU132" i="8"/>
  <c r="EFT132" i="8"/>
  <c r="EFS132" i="8"/>
  <c r="EFR132" i="8"/>
  <c r="EFQ132" i="8"/>
  <c r="EFP132" i="8"/>
  <c r="EFO132" i="8"/>
  <c r="EFN132" i="8"/>
  <c r="EFM132" i="8"/>
  <c r="EFL132" i="8"/>
  <c r="EFK132" i="8"/>
  <c r="EFJ132" i="8"/>
  <c r="EFI132" i="8"/>
  <c r="EFH132" i="8"/>
  <c r="EFG132" i="8"/>
  <c r="EFF132" i="8"/>
  <c r="EFE132" i="8"/>
  <c r="EFD132" i="8"/>
  <c r="EFC132" i="8"/>
  <c r="EFB132" i="8"/>
  <c r="EFA132" i="8"/>
  <c r="EEZ132" i="8"/>
  <c r="EEY132" i="8"/>
  <c r="EEX132" i="8"/>
  <c r="EEW132" i="8"/>
  <c r="EEV132" i="8"/>
  <c r="EEU132" i="8"/>
  <c r="EET132" i="8"/>
  <c r="EES132" i="8"/>
  <c r="EER132" i="8"/>
  <c r="EEQ132" i="8"/>
  <c r="EEP132" i="8"/>
  <c r="EEO132" i="8"/>
  <c r="EEN132" i="8"/>
  <c r="EEM132" i="8"/>
  <c r="EEL132" i="8"/>
  <c r="EEK132" i="8"/>
  <c r="EEJ132" i="8"/>
  <c r="EEI132" i="8"/>
  <c r="EEH132" i="8"/>
  <c r="EEG132" i="8"/>
  <c r="EEF132" i="8"/>
  <c r="EEE132" i="8"/>
  <c r="EED132" i="8"/>
  <c r="EEC132" i="8"/>
  <c r="EEB132" i="8"/>
  <c r="EEA132" i="8"/>
  <c r="EDZ132" i="8"/>
  <c r="EDY132" i="8"/>
  <c r="EDX132" i="8"/>
  <c r="EDW132" i="8"/>
  <c r="EDV132" i="8"/>
  <c r="EDU132" i="8"/>
  <c r="EDT132" i="8"/>
  <c r="EDS132" i="8"/>
  <c r="EDR132" i="8"/>
  <c r="EDQ132" i="8"/>
  <c r="EDP132" i="8"/>
  <c r="EDO132" i="8"/>
  <c r="EDN132" i="8"/>
  <c r="EDM132" i="8"/>
  <c r="EDL132" i="8"/>
  <c r="EDK132" i="8"/>
  <c r="EDJ132" i="8"/>
  <c r="EDI132" i="8"/>
  <c r="EDH132" i="8"/>
  <c r="EDG132" i="8"/>
  <c r="EDF132" i="8"/>
  <c r="EDE132" i="8"/>
  <c r="EDD132" i="8"/>
  <c r="EDC132" i="8"/>
  <c r="EDB132" i="8"/>
  <c r="EDA132" i="8"/>
  <c r="ECZ132" i="8"/>
  <c r="ECY132" i="8"/>
  <c r="ECX132" i="8"/>
  <c r="ECW132" i="8"/>
  <c r="ECV132" i="8"/>
  <c r="ECU132" i="8"/>
  <c r="ECT132" i="8"/>
  <c r="ECS132" i="8"/>
  <c r="ECR132" i="8"/>
  <c r="ECQ132" i="8"/>
  <c r="ECP132" i="8"/>
  <c r="ECO132" i="8"/>
  <c r="ECN132" i="8"/>
  <c r="ECM132" i="8"/>
  <c r="ECL132" i="8"/>
  <c r="ECK132" i="8"/>
  <c r="ECJ132" i="8"/>
  <c r="ECI132" i="8"/>
  <c r="ECH132" i="8"/>
  <c r="ECG132" i="8"/>
  <c r="ECF132" i="8"/>
  <c r="ECE132" i="8"/>
  <c r="ECD132" i="8"/>
  <c r="ECC132" i="8"/>
  <c r="ECB132" i="8"/>
  <c r="ECA132" i="8"/>
  <c r="EBZ132" i="8"/>
  <c r="EBY132" i="8"/>
  <c r="EBX132" i="8"/>
  <c r="EBW132" i="8"/>
  <c r="EBV132" i="8"/>
  <c r="EBU132" i="8"/>
  <c r="EBT132" i="8"/>
  <c r="EBS132" i="8"/>
  <c r="EBR132" i="8"/>
  <c r="EBQ132" i="8"/>
  <c r="EBP132" i="8"/>
  <c r="EBO132" i="8"/>
  <c r="EBN132" i="8"/>
  <c r="EBM132" i="8"/>
  <c r="EBL132" i="8"/>
  <c r="EBK132" i="8"/>
  <c r="EBJ132" i="8"/>
  <c r="EBI132" i="8"/>
  <c r="EBH132" i="8"/>
  <c r="EBG132" i="8"/>
  <c r="EBF132" i="8"/>
  <c r="EBE132" i="8"/>
  <c r="EBD132" i="8"/>
  <c r="EBC132" i="8"/>
  <c r="EBB132" i="8"/>
  <c r="EBA132" i="8"/>
  <c r="EAZ132" i="8"/>
  <c r="EAY132" i="8"/>
  <c r="EAX132" i="8"/>
  <c r="EAW132" i="8"/>
  <c r="EAV132" i="8"/>
  <c r="EAU132" i="8"/>
  <c r="EAT132" i="8"/>
  <c r="EAS132" i="8"/>
  <c r="EAR132" i="8"/>
  <c r="EAQ132" i="8"/>
  <c r="EAP132" i="8"/>
  <c r="EAO132" i="8"/>
  <c r="EAN132" i="8"/>
  <c r="EAM132" i="8"/>
  <c r="EAL132" i="8"/>
  <c r="EAK132" i="8"/>
  <c r="EAJ132" i="8"/>
  <c r="EAI132" i="8"/>
  <c r="EAH132" i="8"/>
  <c r="EAG132" i="8"/>
  <c r="EAF132" i="8"/>
  <c r="EAE132" i="8"/>
  <c r="EAD132" i="8"/>
  <c r="EAC132" i="8"/>
  <c r="EAB132" i="8"/>
  <c r="EAA132" i="8"/>
  <c r="DZZ132" i="8"/>
  <c r="DZY132" i="8"/>
  <c r="DZX132" i="8"/>
  <c r="DZW132" i="8"/>
  <c r="DZV132" i="8"/>
  <c r="DZU132" i="8"/>
  <c r="DZT132" i="8"/>
  <c r="DZS132" i="8"/>
  <c r="DZR132" i="8"/>
  <c r="DZQ132" i="8"/>
  <c r="DZP132" i="8"/>
  <c r="DZO132" i="8"/>
  <c r="DZN132" i="8"/>
  <c r="DZM132" i="8"/>
  <c r="DZL132" i="8"/>
  <c r="DZK132" i="8"/>
  <c r="DZJ132" i="8"/>
  <c r="DZI132" i="8"/>
  <c r="DZH132" i="8"/>
  <c r="DZG132" i="8"/>
  <c r="DZF132" i="8"/>
  <c r="DZE132" i="8"/>
  <c r="DZD132" i="8"/>
  <c r="DZC132" i="8"/>
  <c r="DZB132" i="8"/>
  <c r="DZA132" i="8"/>
  <c r="DYZ132" i="8"/>
  <c r="DYY132" i="8"/>
  <c r="DYX132" i="8"/>
  <c r="DYW132" i="8"/>
  <c r="DYV132" i="8"/>
  <c r="DYU132" i="8"/>
  <c r="DYT132" i="8"/>
  <c r="DYS132" i="8"/>
  <c r="DYR132" i="8"/>
  <c r="DYQ132" i="8"/>
  <c r="DYP132" i="8"/>
  <c r="DYO132" i="8"/>
  <c r="DYN132" i="8"/>
  <c r="DYM132" i="8"/>
  <c r="DYL132" i="8"/>
  <c r="DYK132" i="8"/>
  <c r="DYJ132" i="8"/>
  <c r="DYI132" i="8"/>
  <c r="DYH132" i="8"/>
  <c r="DYG132" i="8"/>
  <c r="DYF132" i="8"/>
  <c r="DYE132" i="8"/>
  <c r="DYD132" i="8"/>
  <c r="DYC132" i="8"/>
  <c r="DYB132" i="8"/>
  <c r="DYA132" i="8"/>
  <c r="DXZ132" i="8"/>
  <c r="DXY132" i="8"/>
  <c r="DXX132" i="8"/>
  <c r="DXW132" i="8"/>
  <c r="DXV132" i="8"/>
  <c r="DXU132" i="8"/>
  <c r="DXT132" i="8"/>
  <c r="DXS132" i="8"/>
  <c r="DXR132" i="8"/>
  <c r="DXQ132" i="8"/>
  <c r="DXP132" i="8"/>
  <c r="DXO132" i="8"/>
  <c r="DXN132" i="8"/>
  <c r="DXM132" i="8"/>
  <c r="DXL132" i="8"/>
  <c r="DXK132" i="8"/>
  <c r="DXJ132" i="8"/>
  <c r="DXI132" i="8"/>
  <c r="DXH132" i="8"/>
  <c r="DXG132" i="8"/>
  <c r="DXF132" i="8"/>
  <c r="DXE132" i="8"/>
  <c r="DXD132" i="8"/>
  <c r="DXC132" i="8"/>
  <c r="DXB132" i="8"/>
  <c r="DXA132" i="8"/>
  <c r="DWZ132" i="8"/>
  <c r="DWY132" i="8"/>
  <c r="DWX132" i="8"/>
  <c r="DWW132" i="8"/>
  <c r="DWV132" i="8"/>
  <c r="DWU132" i="8"/>
  <c r="DWT132" i="8"/>
  <c r="DWS132" i="8"/>
  <c r="DWR132" i="8"/>
  <c r="DWQ132" i="8"/>
  <c r="DWP132" i="8"/>
  <c r="DWO132" i="8"/>
  <c r="DWN132" i="8"/>
  <c r="DWM132" i="8"/>
  <c r="DWL132" i="8"/>
  <c r="DWK132" i="8"/>
  <c r="DWJ132" i="8"/>
  <c r="DWI132" i="8"/>
  <c r="DWH132" i="8"/>
  <c r="DWG132" i="8"/>
  <c r="DWF132" i="8"/>
  <c r="DWE132" i="8"/>
  <c r="DWD132" i="8"/>
  <c r="DWC132" i="8"/>
  <c r="DWB132" i="8"/>
  <c r="DWA132" i="8"/>
  <c r="DVZ132" i="8"/>
  <c r="DVY132" i="8"/>
  <c r="DVX132" i="8"/>
  <c r="DVW132" i="8"/>
  <c r="DVV132" i="8"/>
  <c r="DVU132" i="8"/>
  <c r="DVT132" i="8"/>
  <c r="DVS132" i="8"/>
  <c r="DVR132" i="8"/>
  <c r="DVQ132" i="8"/>
  <c r="DVP132" i="8"/>
  <c r="DVO132" i="8"/>
  <c r="DVN132" i="8"/>
  <c r="DVM132" i="8"/>
  <c r="DVL132" i="8"/>
  <c r="DVK132" i="8"/>
  <c r="DVJ132" i="8"/>
  <c r="DVI132" i="8"/>
  <c r="DVH132" i="8"/>
  <c r="DVG132" i="8"/>
  <c r="DVF132" i="8"/>
  <c r="DVE132" i="8"/>
  <c r="DVD132" i="8"/>
  <c r="DVC132" i="8"/>
  <c r="DVB132" i="8"/>
  <c r="DVA132" i="8"/>
  <c r="DUZ132" i="8"/>
  <c r="DUY132" i="8"/>
  <c r="DUX132" i="8"/>
  <c r="DUW132" i="8"/>
  <c r="DUV132" i="8"/>
  <c r="DUU132" i="8"/>
  <c r="DUT132" i="8"/>
  <c r="DUS132" i="8"/>
  <c r="DUR132" i="8"/>
  <c r="DUQ132" i="8"/>
  <c r="DUP132" i="8"/>
  <c r="DUO132" i="8"/>
  <c r="DUN132" i="8"/>
  <c r="DUM132" i="8"/>
  <c r="DUL132" i="8"/>
  <c r="DUK132" i="8"/>
  <c r="DUJ132" i="8"/>
  <c r="DUI132" i="8"/>
  <c r="DUH132" i="8"/>
  <c r="DUG132" i="8"/>
  <c r="DUF132" i="8"/>
  <c r="DUE132" i="8"/>
  <c r="DUD132" i="8"/>
  <c r="DUC132" i="8"/>
  <c r="DUB132" i="8"/>
  <c r="DUA132" i="8"/>
  <c r="DTZ132" i="8"/>
  <c r="DTY132" i="8"/>
  <c r="DTX132" i="8"/>
  <c r="DTW132" i="8"/>
  <c r="DTV132" i="8"/>
  <c r="DTU132" i="8"/>
  <c r="DTT132" i="8"/>
  <c r="DTS132" i="8"/>
  <c r="DTR132" i="8"/>
  <c r="DTQ132" i="8"/>
  <c r="DTP132" i="8"/>
  <c r="DTO132" i="8"/>
  <c r="DTN132" i="8"/>
  <c r="DTM132" i="8"/>
  <c r="DTL132" i="8"/>
  <c r="DTK132" i="8"/>
  <c r="DTJ132" i="8"/>
  <c r="DTI132" i="8"/>
  <c r="DTH132" i="8"/>
  <c r="DTG132" i="8"/>
  <c r="DTF132" i="8"/>
  <c r="DTE132" i="8"/>
  <c r="DTD132" i="8"/>
  <c r="DTC132" i="8"/>
  <c r="DTB132" i="8"/>
  <c r="DTA132" i="8"/>
  <c r="DSZ132" i="8"/>
  <c r="DSY132" i="8"/>
  <c r="DSX132" i="8"/>
  <c r="DSW132" i="8"/>
  <c r="DSV132" i="8"/>
  <c r="DSU132" i="8"/>
  <c r="DST132" i="8"/>
  <c r="DSS132" i="8"/>
  <c r="DSR132" i="8"/>
  <c r="DSQ132" i="8"/>
  <c r="DSP132" i="8"/>
  <c r="DSO132" i="8"/>
  <c r="DSN132" i="8"/>
  <c r="DSM132" i="8"/>
  <c r="DSL132" i="8"/>
  <c r="DSK132" i="8"/>
  <c r="DSJ132" i="8"/>
  <c r="DSI132" i="8"/>
  <c r="DSH132" i="8"/>
  <c r="DSG132" i="8"/>
  <c r="DSF132" i="8"/>
  <c r="DSE132" i="8"/>
  <c r="DSD132" i="8"/>
  <c r="DSC132" i="8"/>
  <c r="DSB132" i="8"/>
  <c r="DSA132" i="8"/>
  <c r="DRZ132" i="8"/>
  <c r="DRY132" i="8"/>
  <c r="DRX132" i="8"/>
  <c r="DRW132" i="8"/>
  <c r="DRV132" i="8"/>
  <c r="DRU132" i="8"/>
  <c r="DRT132" i="8"/>
  <c r="DRS132" i="8"/>
  <c r="DRR132" i="8"/>
  <c r="DRQ132" i="8"/>
  <c r="DRP132" i="8"/>
  <c r="DRO132" i="8"/>
  <c r="DRN132" i="8"/>
  <c r="DRM132" i="8"/>
  <c r="DRL132" i="8"/>
  <c r="DRK132" i="8"/>
  <c r="DRJ132" i="8"/>
  <c r="DRI132" i="8"/>
  <c r="DRH132" i="8"/>
  <c r="DRG132" i="8"/>
  <c r="DRF132" i="8"/>
  <c r="DRE132" i="8"/>
  <c r="DRD132" i="8"/>
  <c r="DRC132" i="8"/>
  <c r="DRB132" i="8"/>
  <c r="DRA132" i="8"/>
  <c r="DQZ132" i="8"/>
  <c r="DQY132" i="8"/>
  <c r="DQX132" i="8"/>
  <c r="DQW132" i="8"/>
  <c r="DQV132" i="8"/>
  <c r="DQU132" i="8"/>
  <c r="DQT132" i="8"/>
  <c r="DQS132" i="8"/>
  <c r="DQR132" i="8"/>
  <c r="DQQ132" i="8"/>
  <c r="DQP132" i="8"/>
  <c r="DQO132" i="8"/>
  <c r="DQN132" i="8"/>
  <c r="DQM132" i="8"/>
  <c r="DQL132" i="8"/>
  <c r="DQK132" i="8"/>
  <c r="DQJ132" i="8"/>
  <c r="DQI132" i="8"/>
  <c r="DQH132" i="8"/>
  <c r="DQG132" i="8"/>
  <c r="DQF132" i="8"/>
  <c r="DQE132" i="8"/>
  <c r="DQD132" i="8"/>
  <c r="DQC132" i="8"/>
  <c r="DQB132" i="8"/>
  <c r="DQA132" i="8"/>
  <c r="DPZ132" i="8"/>
  <c r="DPY132" i="8"/>
  <c r="DPX132" i="8"/>
  <c r="DPW132" i="8"/>
  <c r="DPV132" i="8"/>
  <c r="DPU132" i="8"/>
  <c r="DPT132" i="8"/>
  <c r="DPS132" i="8"/>
  <c r="DPR132" i="8"/>
  <c r="DPQ132" i="8"/>
  <c r="DPP132" i="8"/>
  <c r="DPO132" i="8"/>
  <c r="DPN132" i="8"/>
  <c r="DPM132" i="8"/>
  <c r="DPL132" i="8"/>
  <c r="DPK132" i="8"/>
  <c r="DPJ132" i="8"/>
  <c r="DPI132" i="8"/>
  <c r="DPH132" i="8"/>
  <c r="DPG132" i="8"/>
  <c r="DPF132" i="8"/>
  <c r="DPE132" i="8"/>
  <c r="DPD132" i="8"/>
  <c r="DPC132" i="8"/>
  <c r="DPB132" i="8"/>
  <c r="DPA132" i="8"/>
  <c r="DOZ132" i="8"/>
  <c r="DOY132" i="8"/>
  <c r="DOX132" i="8"/>
  <c r="DOW132" i="8"/>
  <c r="DOV132" i="8"/>
  <c r="DOU132" i="8"/>
  <c r="DOT132" i="8"/>
  <c r="DOS132" i="8"/>
  <c r="DOR132" i="8"/>
  <c r="DOQ132" i="8"/>
  <c r="DOP132" i="8"/>
  <c r="DOO132" i="8"/>
  <c r="DON132" i="8"/>
  <c r="DOM132" i="8"/>
  <c r="DOL132" i="8"/>
  <c r="DOK132" i="8"/>
  <c r="DOJ132" i="8"/>
  <c r="DOI132" i="8"/>
  <c r="DOH132" i="8"/>
  <c r="DOG132" i="8"/>
  <c r="DOF132" i="8"/>
  <c r="DOE132" i="8"/>
  <c r="DOD132" i="8"/>
  <c r="DOC132" i="8"/>
  <c r="DOB132" i="8"/>
  <c r="DOA132" i="8"/>
  <c r="DNZ132" i="8"/>
  <c r="DNY132" i="8"/>
  <c r="DNX132" i="8"/>
  <c r="DNW132" i="8"/>
  <c r="DNV132" i="8"/>
  <c r="DNU132" i="8"/>
  <c r="DNT132" i="8"/>
  <c r="DNS132" i="8"/>
  <c r="DNR132" i="8"/>
  <c r="DNQ132" i="8"/>
  <c r="DNP132" i="8"/>
  <c r="DNO132" i="8"/>
  <c r="DNN132" i="8"/>
  <c r="DNM132" i="8"/>
  <c r="DNL132" i="8"/>
  <c r="DNK132" i="8"/>
  <c r="DNJ132" i="8"/>
  <c r="DNI132" i="8"/>
  <c r="DNH132" i="8"/>
  <c r="DNG132" i="8"/>
  <c r="DNF132" i="8"/>
  <c r="DNE132" i="8"/>
  <c r="DND132" i="8"/>
  <c r="DNC132" i="8"/>
  <c r="DNB132" i="8"/>
  <c r="DNA132" i="8"/>
  <c r="DMZ132" i="8"/>
  <c r="DMY132" i="8"/>
  <c r="DMX132" i="8"/>
  <c r="DMW132" i="8"/>
  <c r="DMV132" i="8"/>
  <c r="DMU132" i="8"/>
  <c r="DMT132" i="8"/>
  <c r="DMS132" i="8"/>
  <c r="DMR132" i="8"/>
  <c r="DMQ132" i="8"/>
  <c r="DMP132" i="8"/>
  <c r="DMO132" i="8"/>
  <c r="DMN132" i="8"/>
  <c r="DMM132" i="8"/>
  <c r="DML132" i="8"/>
  <c r="DMK132" i="8"/>
  <c r="DMJ132" i="8"/>
  <c r="DMI132" i="8"/>
  <c r="DMH132" i="8"/>
  <c r="DMG132" i="8"/>
  <c r="DMF132" i="8"/>
  <c r="DME132" i="8"/>
  <c r="DMD132" i="8"/>
  <c r="DMC132" i="8"/>
  <c r="DMB132" i="8"/>
  <c r="DMA132" i="8"/>
  <c r="DLZ132" i="8"/>
  <c r="DLY132" i="8"/>
  <c r="DLX132" i="8"/>
  <c r="DLW132" i="8"/>
  <c r="DLV132" i="8"/>
  <c r="DLU132" i="8"/>
  <c r="DLT132" i="8"/>
  <c r="DLS132" i="8"/>
  <c r="DLR132" i="8"/>
  <c r="DLQ132" i="8"/>
  <c r="DLP132" i="8"/>
  <c r="DLO132" i="8"/>
  <c r="DLN132" i="8"/>
  <c r="DLM132" i="8"/>
  <c r="DLL132" i="8"/>
  <c r="DLK132" i="8"/>
  <c r="DLJ132" i="8"/>
  <c r="DLI132" i="8"/>
  <c r="DLH132" i="8"/>
  <c r="DLG132" i="8"/>
  <c r="DLF132" i="8"/>
  <c r="DLE132" i="8"/>
  <c r="DLD132" i="8"/>
  <c r="DLC132" i="8"/>
  <c r="DLB132" i="8"/>
  <c r="DLA132" i="8"/>
  <c r="DKZ132" i="8"/>
  <c r="DKY132" i="8"/>
  <c r="DKX132" i="8"/>
  <c r="DKW132" i="8"/>
  <c r="DKV132" i="8"/>
  <c r="DKU132" i="8"/>
  <c r="DKT132" i="8"/>
  <c r="DKS132" i="8"/>
  <c r="DKR132" i="8"/>
  <c r="DKQ132" i="8"/>
  <c r="DKP132" i="8"/>
  <c r="DKO132" i="8"/>
  <c r="DKN132" i="8"/>
  <c r="DKM132" i="8"/>
  <c r="DKL132" i="8"/>
  <c r="DKK132" i="8"/>
  <c r="DKJ132" i="8"/>
  <c r="DKI132" i="8"/>
  <c r="DKH132" i="8"/>
  <c r="DKG132" i="8"/>
  <c r="DKF132" i="8"/>
  <c r="DKE132" i="8"/>
  <c r="DKD132" i="8"/>
  <c r="DKC132" i="8"/>
  <c r="DKB132" i="8"/>
  <c r="DKA132" i="8"/>
  <c r="DJZ132" i="8"/>
  <c r="DJY132" i="8"/>
  <c r="DJX132" i="8"/>
  <c r="DJW132" i="8"/>
  <c r="DJV132" i="8"/>
  <c r="DJU132" i="8"/>
  <c r="DJT132" i="8"/>
  <c r="DJS132" i="8"/>
  <c r="DJR132" i="8"/>
  <c r="DJQ132" i="8"/>
  <c r="DJP132" i="8"/>
  <c r="DJO132" i="8"/>
  <c r="DJN132" i="8"/>
  <c r="DJM132" i="8"/>
  <c r="DJL132" i="8"/>
  <c r="DJK132" i="8"/>
  <c r="DJJ132" i="8"/>
  <c r="DJI132" i="8"/>
  <c r="DJH132" i="8"/>
  <c r="DJG132" i="8"/>
  <c r="DJF132" i="8"/>
  <c r="DJE132" i="8"/>
  <c r="DJD132" i="8"/>
  <c r="DJC132" i="8"/>
  <c r="DJB132" i="8"/>
  <c r="DJA132" i="8"/>
  <c r="DIZ132" i="8"/>
  <c r="DIY132" i="8"/>
  <c r="DIX132" i="8"/>
  <c r="DIW132" i="8"/>
  <c r="DIV132" i="8"/>
  <c r="DIU132" i="8"/>
  <c r="DIT132" i="8"/>
  <c r="DIS132" i="8"/>
  <c r="DIR132" i="8"/>
  <c r="DIQ132" i="8"/>
  <c r="DIP132" i="8"/>
  <c r="DIO132" i="8"/>
  <c r="DIN132" i="8"/>
  <c r="DIM132" i="8"/>
  <c r="DIL132" i="8"/>
  <c r="DIK132" i="8"/>
  <c r="DIJ132" i="8"/>
  <c r="DII132" i="8"/>
  <c r="DIH132" i="8"/>
  <c r="DIG132" i="8"/>
  <c r="DIF132" i="8"/>
  <c r="DIE132" i="8"/>
  <c r="DID132" i="8"/>
  <c r="DIC132" i="8"/>
  <c r="DIB132" i="8"/>
  <c r="DIA132" i="8"/>
  <c r="DHZ132" i="8"/>
  <c r="DHY132" i="8"/>
  <c r="DHX132" i="8"/>
  <c r="DHW132" i="8"/>
  <c r="DHV132" i="8"/>
  <c r="DHU132" i="8"/>
  <c r="DHT132" i="8"/>
  <c r="DHS132" i="8"/>
  <c r="DHR132" i="8"/>
  <c r="DHQ132" i="8"/>
  <c r="DHP132" i="8"/>
  <c r="DHO132" i="8"/>
  <c r="DHN132" i="8"/>
  <c r="DHM132" i="8"/>
  <c r="DHL132" i="8"/>
  <c r="DHK132" i="8"/>
  <c r="DHJ132" i="8"/>
  <c r="DHI132" i="8"/>
  <c r="DHH132" i="8"/>
  <c r="DHG132" i="8"/>
  <c r="DHF132" i="8"/>
  <c r="DHE132" i="8"/>
  <c r="DHD132" i="8"/>
  <c r="DHC132" i="8"/>
  <c r="DHB132" i="8"/>
  <c r="DHA132" i="8"/>
  <c r="DGZ132" i="8"/>
  <c r="DGY132" i="8"/>
  <c r="DGX132" i="8"/>
  <c r="DGW132" i="8"/>
  <c r="DGV132" i="8"/>
  <c r="DGU132" i="8"/>
  <c r="DGT132" i="8"/>
  <c r="DGS132" i="8"/>
  <c r="DGR132" i="8"/>
  <c r="DGQ132" i="8"/>
  <c r="DGP132" i="8"/>
  <c r="DGO132" i="8"/>
  <c r="DGN132" i="8"/>
  <c r="DGM132" i="8"/>
  <c r="DGL132" i="8"/>
  <c r="DGK132" i="8"/>
  <c r="DGJ132" i="8"/>
  <c r="DGI132" i="8"/>
  <c r="DGH132" i="8"/>
  <c r="DGG132" i="8"/>
  <c r="DGF132" i="8"/>
  <c r="DGE132" i="8"/>
  <c r="DGD132" i="8"/>
  <c r="DGC132" i="8"/>
  <c r="DGB132" i="8"/>
  <c r="DGA132" i="8"/>
  <c r="DFZ132" i="8"/>
  <c r="DFY132" i="8"/>
  <c r="DFX132" i="8"/>
  <c r="DFW132" i="8"/>
  <c r="DFV132" i="8"/>
  <c r="DFU132" i="8"/>
  <c r="DFT132" i="8"/>
  <c r="DFS132" i="8"/>
  <c r="DFR132" i="8"/>
  <c r="DFQ132" i="8"/>
  <c r="DFP132" i="8"/>
  <c r="DFO132" i="8"/>
  <c r="DFN132" i="8"/>
  <c r="DFM132" i="8"/>
  <c r="DFL132" i="8"/>
  <c r="DFK132" i="8"/>
  <c r="DFJ132" i="8"/>
  <c r="DFI132" i="8"/>
  <c r="DFH132" i="8"/>
  <c r="DFG132" i="8"/>
  <c r="DFF132" i="8"/>
  <c r="DFE132" i="8"/>
  <c r="DFD132" i="8"/>
  <c r="DFC132" i="8"/>
  <c r="DFB132" i="8"/>
  <c r="DFA132" i="8"/>
  <c r="DEZ132" i="8"/>
  <c r="DEY132" i="8"/>
  <c r="DEX132" i="8"/>
  <c r="DEW132" i="8"/>
  <c r="DEV132" i="8"/>
  <c r="DEU132" i="8"/>
  <c r="DET132" i="8"/>
  <c r="DES132" i="8"/>
  <c r="DER132" i="8"/>
  <c r="DEQ132" i="8"/>
  <c r="DEP132" i="8"/>
  <c r="DEO132" i="8"/>
  <c r="DEN132" i="8"/>
  <c r="DEM132" i="8"/>
  <c r="DEL132" i="8"/>
  <c r="DEK132" i="8"/>
  <c r="DEJ132" i="8"/>
  <c r="DEI132" i="8"/>
  <c r="DEH132" i="8"/>
  <c r="DEG132" i="8"/>
  <c r="DEF132" i="8"/>
  <c r="DEE132" i="8"/>
  <c r="DED132" i="8"/>
  <c r="DEC132" i="8"/>
  <c r="DEB132" i="8"/>
  <c r="DEA132" i="8"/>
  <c r="DDZ132" i="8"/>
  <c r="DDY132" i="8"/>
  <c r="DDX132" i="8"/>
  <c r="DDW132" i="8"/>
  <c r="DDV132" i="8"/>
  <c r="DDU132" i="8"/>
  <c r="DDT132" i="8"/>
  <c r="DDS132" i="8"/>
  <c r="DDR132" i="8"/>
  <c r="DDQ132" i="8"/>
  <c r="DDP132" i="8"/>
  <c r="DDO132" i="8"/>
  <c r="DDN132" i="8"/>
  <c r="DDM132" i="8"/>
  <c r="DDL132" i="8"/>
  <c r="DDK132" i="8"/>
  <c r="DDJ132" i="8"/>
  <c r="DDI132" i="8"/>
  <c r="DDH132" i="8"/>
  <c r="DDG132" i="8"/>
  <c r="DDF132" i="8"/>
  <c r="DDE132" i="8"/>
  <c r="DDD132" i="8"/>
  <c r="DDC132" i="8"/>
  <c r="DDB132" i="8"/>
  <c r="DDA132" i="8"/>
  <c r="DCZ132" i="8"/>
  <c r="DCY132" i="8"/>
  <c r="DCX132" i="8"/>
  <c r="DCW132" i="8"/>
  <c r="DCV132" i="8"/>
  <c r="DCU132" i="8"/>
  <c r="DCT132" i="8"/>
  <c r="DCS132" i="8"/>
  <c r="DCR132" i="8"/>
  <c r="DCQ132" i="8"/>
  <c r="DCP132" i="8"/>
  <c r="DCO132" i="8"/>
  <c r="DCN132" i="8"/>
  <c r="DCM132" i="8"/>
  <c r="DCL132" i="8"/>
  <c r="DCK132" i="8"/>
  <c r="DCJ132" i="8"/>
  <c r="DCI132" i="8"/>
  <c r="DCH132" i="8"/>
  <c r="DCG132" i="8"/>
  <c r="DCF132" i="8"/>
  <c r="DCE132" i="8"/>
  <c r="DCD132" i="8"/>
  <c r="DCC132" i="8"/>
  <c r="DCB132" i="8"/>
  <c r="DCA132" i="8"/>
  <c r="DBZ132" i="8"/>
  <c r="DBY132" i="8"/>
  <c r="DBX132" i="8"/>
  <c r="DBW132" i="8"/>
  <c r="DBV132" i="8"/>
  <c r="DBU132" i="8"/>
  <c r="DBT132" i="8"/>
  <c r="DBS132" i="8"/>
  <c r="DBR132" i="8"/>
  <c r="DBQ132" i="8"/>
  <c r="DBP132" i="8"/>
  <c r="DBO132" i="8"/>
  <c r="DBN132" i="8"/>
  <c r="DBM132" i="8"/>
  <c r="DBL132" i="8"/>
  <c r="DBK132" i="8"/>
  <c r="DBJ132" i="8"/>
  <c r="DBI132" i="8"/>
  <c r="DBH132" i="8"/>
  <c r="DBG132" i="8"/>
  <c r="DBF132" i="8"/>
  <c r="DBE132" i="8"/>
  <c r="DBD132" i="8"/>
  <c r="DBC132" i="8"/>
  <c r="DBB132" i="8"/>
  <c r="DBA132" i="8"/>
  <c r="DAZ132" i="8"/>
  <c r="DAY132" i="8"/>
  <c r="DAX132" i="8"/>
  <c r="DAW132" i="8"/>
  <c r="DAV132" i="8"/>
  <c r="DAU132" i="8"/>
  <c r="DAT132" i="8"/>
  <c r="DAS132" i="8"/>
  <c r="DAR132" i="8"/>
  <c r="DAQ132" i="8"/>
  <c r="DAP132" i="8"/>
  <c r="DAO132" i="8"/>
  <c r="DAN132" i="8"/>
  <c r="DAM132" i="8"/>
  <c r="DAL132" i="8"/>
  <c r="DAK132" i="8"/>
  <c r="DAJ132" i="8"/>
  <c r="DAI132" i="8"/>
  <c r="DAH132" i="8"/>
  <c r="DAG132" i="8"/>
  <c r="DAF132" i="8"/>
  <c r="DAE132" i="8"/>
  <c r="DAD132" i="8"/>
  <c r="DAC132" i="8"/>
  <c r="DAB132" i="8"/>
  <c r="DAA132" i="8"/>
  <c r="CZZ132" i="8"/>
  <c r="CZY132" i="8"/>
  <c r="CZX132" i="8"/>
  <c r="CZW132" i="8"/>
  <c r="CZV132" i="8"/>
  <c r="CZU132" i="8"/>
  <c r="CZT132" i="8"/>
  <c r="CZS132" i="8"/>
  <c r="CZR132" i="8"/>
  <c r="CZQ132" i="8"/>
  <c r="CZP132" i="8"/>
  <c r="CZO132" i="8"/>
  <c r="CZN132" i="8"/>
  <c r="CZM132" i="8"/>
  <c r="CZL132" i="8"/>
  <c r="CZK132" i="8"/>
  <c r="CZJ132" i="8"/>
  <c r="CZI132" i="8"/>
  <c r="CZH132" i="8"/>
  <c r="CZG132" i="8"/>
  <c r="CZF132" i="8"/>
  <c r="CZE132" i="8"/>
  <c r="CZD132" i="8"/>
  <c r="CZC132" i="8"/>
  <c r="CZB132" i="8"/>
  <c r="CZA132" i="8"/>
  <c r="CYZ132" i="8"/>
  <c r="CYY132" i="8"/>
  <c r="CYX132" i="8"/>
  <c r="CYW132" i="8"/>
  <c r="CYV132" i="8"/>
  <c r="CYU132" i="8"/>
  <c r="CYT132" i="8"/>
  <c r="CYS132" i="8"/>
  <c r="CYR132" i="8"/>
  <c r="CYQ132" i="8"/>
  <c r="CYP132" i="8"/>
  <c r="CYO132" i="8"/>
  <c r="CYN132" i="8"/>
  <c r="CYM132" i="8"/>
  <c r="CYL132" i="8"/>
  <c r="CYK132" i="8"/>
  <c r="CYJ132" i="8"/>
  <c r="CYI132" i="8"/>
  <c r="CYH132" i="8"/>
  <c r="CYG132" i="8"/>
  <c r="CYF132" i="8"/>
  <c r="CYE132" i="8"/>
  <c r="CYD132" i="8"/>
  <c r="CYC132" i="8"/>
  <c r="CYB132" i="8"/>
  <c r="CYA132" i="8"/>
  <c r="CXZ132" i="8"/>
  <c r="CXY132" i="8"/>
  <c r="CXX132" i="8"/>
  <c r="CXW132" i="8"/>
  <c r="CXV132" i="8"/>
  <c r="CXU132" i="8"/>
  <c r="CXT132" i="8"/>
  <c r="CXS132" i="8"/>
  <c r="CXR132" i="8"/>
  <c r="CXQ132" i="8"/>
  <c r="CXP132" i="8"/>
  <c r="CXO132" i="8"/>
  <c r="CXN132" i="8"/>
  <c r="CXM132" i="8"/>
  <c r="CXL132" i="8"/>
  <c r="CXK132" i="8"/>
  <c r="CXJ132" i="8"/>
  <c r="CXI132" i="8"/>
  <c r="CXH132" i="8"/>
  <c r="CXG132" i="8"/>
  <c r="CXF132" i="8"/>
  <c r="CXE132" i="8"/>
  <c r="CXD132" i="8"/>
  <c r="CXC132" i="8"/>
  <c r="CXB132" i="8"/>
  <c r="CXA132" i="8"/>
  <c r="CWZ132" i="8"/>
  <c r="CWY132" i="8"/>
  <c r="CWX132" i="8"/>
  <c r="CWW132" i="8"/>
  <c r="CWV132" i="8"/>
  <c r="CWU132" i="8"/>
  <c r="CWT132" i="8"/>
  <c r="CWS132" i="8"/>
  <c r="CWR132" i="8"/>
  <c r="CWQ132" i="8"/>
  <c r="CWP132" i="8"/>
  <c r="CWO132" i="8"/>
  <c r="CWN132" i="8"/>
  <c r="CWM132" i="8"/>
  <c r="CWL132" i="8"/>
  <c r="CWK132" i="8"/>
  <c r="CWJ132" i="8"/>
  <c r="CWI132" i="8"/>
  <c r="CWH132" i="8"/>
  <c r="CWG132" i="8"/>
  <c r="CWF132" i="8"/>
  <c r="CWE132" i="8"/>
  <c r="CWD132" i="8"/>
  <c r="CWC132" i="8"/>
  <c r="CWB132" i="8"/>
  <c r="CWA132" i="8"/>
  <c r="CVZ132" i="8"/>
  <c r="CVY132" i="8"/>
  <c r="CVX132" i="8"/>
  <c r="CVW132" i="8"/>
  <c r="CVV132" i="8"/>
  <c r="CVU132" i="8"/>
  <c r="CVT132" i="8"/>
  <c r="CVS132" i="8"/>
  <c r="CVR132" i="8"/>
  <c r="CVQ132" i="8"/>
  <c r="CVP132" i="8"/>
  <c r="CVO132" i="8"/>
  <c r="CVN132" i="8"/>
  <c r="CVM132" i="8"/>
  <c r="CVL132" i="8"/>
  <c r="CVK132" i="8"/>
  <c r="CVJ132" i="8"/>
  <c r="CVI132" i="8"/>
  <c r="CVH132" i="8"/>
  <c r="CVG132" i="8"/>
  <c r="CVF132" i="8"/>
  <c r="CVE132" i="8"/>
  <c r="CVD132" i="8"/>
  <c r="CVC132" i="8"/>
  <c r="CVB132" i="8"/>
  <c r="CVA132" i="8"/>
  <c r="CUZ132" i="8"/>
  <c r="CUY132" i="8"/>
  <c r="CUX132" i="8"/>
  <c r="CUW132" i="8"/>
  <c r="CUV132" i="8"/>
  <c r="CUU132" i="8"/>
  <c r="CUT132" i="8"/>
  <c r="CUS132" i="8"/>
  <c r="CUR132" i="8"/>
  <c r="CUQ132" i="8"/>
  <c r="CUP132" i="8"/>
  <c r="CUO132" i="8"/>
  <c r="CUN132" i="8"/>
  <c r="CUM132" i="8"/>
  <c r="CUL132" i="8"/>
  <c r="CUK132" i="8"/>
  <c r="CUJ132" i="8"/>
  <c r="CUI132" i="8"/>
  <c r="CUH132" i="8"/>
  <c r="CUG132" i="8"/>
  <c r="CUF132" i="8"/>
  <c r="CUE132" i="8"/>
  <c r="CUD132" i="8"/>
  <c r="CUC132" i="8"/>
  <c r="CUB132" i="8"/>
  <c r="CUA132" i="8"/>
  <c r="CTZ132" i="8"/>
  <c r="CTY132" i="8"/>
  <c r="CTX132" i="8"/>
  <c r="CTW132" i="8"/>
  <c r="CTV132" i="8"/>
  <c r="CTU132" i="8"/>
  <c r="CTT132" i="8"/>
  <c r="CTS132" i="8"/>
  <c r="CTR132" i="8"/>
  <c r="CTQ132" i="8"/>
  <c r="CTP132" i="8"/>
  <c r="CTO132" i="8"/>
  <c r="CTN132" i="8"/>
  <c r="CTM132" i="8"/>
  <c r="CTL132" i="8"/>
  <c r="CTK132" i="8"/>
  <c r="CTJ132" i="8"/>
  <c r="CTI132" i="8"/>
  <c r="CTH132" i="8"/>
  <c r="CTG132" i="8"/>
  <c r="CTF132" i="8"/>
  <c r="CTE132" i="8"/>
  <c r="CTD132" i="8"/>
  <c r="CTC132" i="8"/>
  <c r="CTB132" i="8"/>
  <c r="CTA132" i="8"/>
  <c r="CSZ132" i="8"/>
  <c r="CSY132" i="8"/>
  <c r="CSX132" i="8"/>
  <c r="CSW132" i="8"/>
  <c r="CSV132" i="8"/>
  <c r="CSU132" i="8"/>
  <c r="CST132" i="8"/>
  <c r="CSS132" i="8"/>
  <c r="CSR132" i="8"/>
  <c r="CSQ132" i="8"/>
  <c r="CSP132" i="8"/>
  <c r="CSO132" i="8"/>
  <c r="CSN132" i="8"/>
  <c r="CSM132" i="8"/>
  <c r="CSL132" i="8"/>
  <c r="CSK132" i="8"/>
  <c r="CSJ132" i="8"/>
  <c r="CSI132" i="8"/>
  <c r="CSH132" i="8"/>
  <c r="CSG132" i="8"/>
  <c r="CSF132" i="8"/>
  <c r="CSE132" i="8"/>
  <c r="CSD132" i="8"/>
  <c r="CSC132" i="8"/>
  <c r="CSB132" i="8"/>
  <c r="CSA132" i="8"/>
  <c r="CRZ132" i="8"/>
  <c r="CRY132" i="8"/>
  <c r="CRX132" i="8"/>
  <c r="CRW132" i="8"/>
  <c r="CRV132" i="8"/>
  <c r="CRU132" i="8"/>
  <c r="CRT132" i="8"/>
  <c r="CRS132" i="8"/>
  <c r="CRR132" i="8"/>
  <c r="CRQ132" i="8"/>
  <c r="CRP132" i="8"/>
  <c r="CRO132" i="8"/>
  <c r="CRN132" i="8"/>
  <c r="CRM132" i="8"/>
  <c r="CRL132" i="8"/>
  <c r="CRK132" i="8"/>
  <c r="CRJ132" i="8"/>
  <c r="CRI132" i="8"/>
  <c r="CRH132" i="8"/>
  <c r="CRG132" i="8"/>
  <c r="CRF132" i="8"/>
  <c r="CRE132" i="8"/>
  <c r="CRD132" i="8"/>
  <c r="CRC132" i="8"/>
  <c r="CRB132" i="8"/>
  <c r="CRA132" i="8"/>
  <c r="CQZ132" i="8"/>
  <c r="CQY132" i="8"/>
  <c r="CQX132" i="8"/>
  <c r="CQW132" i="8"/>
  <c r="CQV132" i="8"/>
  <c r="CQU132" i="8"/>
  <c r="CQT132" i="8"/>
  <c r="CQS132" i="8"/>
  <c r="CQR132" i="8"/>
  <c r="CQQ132" i="8"/>
  <c r="CQP132" i="8"/>
  <c r="CQO132" i="8"/>
  <c r="CQN132" i="8"/>
  <c r="CQM132" i="8"/>
  <c r="CQL132" i="8"/>
  <c r="CQK132" i="8"/>
  <c r="CQJ132" i="8"/>
  <c r="CQI132" i="8"/>
  <c r="CQH132" i="8"/>
  <c r="CQG132" i="8"/>
  <c r="CQF132" i="8"/>
  <c r="CQE132" i="8"/>
  <c r="CQD132" i="8"/>
  <c r="CQC132" i="8"/>
  <c r="CQB132" i="8"/>
  <c r="CQA132" i="8"/>
  <c r="CPZ132" i="8"/>
  <c r="CPY132" i="8"/>
  <c r="CPX132" i="8"/>
  <c r="CPW132" i="8"/>
  <c r="CPV132" i="8"/>
  <c r="CPU132" i="8"/>
  <c r="CPT132" i="8"/>
  <c r="CPS132" i="8"/>
  <c r="CPR132" i="8"/>
  <c r="CPQ132" i="8"/>
  <c r="CPP132" i="8"/>
  <c r="CPO132" i="8"/>
  <c r="CPN132" i="8"/>
  <c r="CPM132" i="8"/>
  <c r="CPL132" i="8"/>
  <c r="CPK132" i="8"/>
  <c r="CPJ132" i="8"/>
  <c r="CPI132" i="8"/>
  <c r="CPH132" i="8"/>
  <c r="CPG132" i="8"/>
  <c r="CPF132" i="8"/>
  <c r="CPE132" i="8"/>
  <c r="CPD132" i="8"/>
  <c r="CPC132" i="8"/>
  <c r="CPB132" i="8"/>
  <c r="CPA132" i="8"/>
  <c r="COZ132" i="8"/>
  <c r="COY132" i="8"/>
  <c r="COX132" i="8"/>
  <c r="COW132" i="8"/>
  <c r="COV132" i="8"/>
  <c r="COU132" i="8"/>
  <c r="COT132" i="8"/>
  <c r="COS132" i="8"/>
  <c r="COR132" i="8"/>
  <c r="COQ132" i="8"/>
  <c r="COP132" i="8"/>
  <c r="COO132" i="8"/>
  <c r="CON132" i="8"/>
  <c r="COM132" i="8"/>
  <c r="COL132" i="8"/>
  <c r="COK132" i="8"/>
  <c r="COJ132" i="8"/>
  <c r="COI132" i="8"/>
  <c r="COH132" i="8"/>
  <c r="COG132" i="8"/>
  <c r="COF132" i="8"/>
  <c r="COE132" i="8"/>
  <c r="COD132" i="8"/>
  <c r="COC132" i="8"/>
  <c r="COB132" i="8"/>
  <c r="COA132" i="8"/>
  <c r="CNZ132" i="8"/>
  <c r="CNY132" i="8"/>
  <c r="CNX132" i="8"/>
  <c r="CNW132" i="8"/>
  <c r="CNV132" i="8"/>
  <c r="CNU132" i="8"/>
  <c r="CNT132" i="8"/>
  <c r="CNS132" i="8"/>
  <c r="CNR132" i="8"/>
  <c r="CNQ132" i="8"/>
  <c r="CNP132" i="8"/>
  <c r="CNO132" i="8"/>
  <c r="CNN132" i="8"/>
  <c r="CNM132" i="8"/>
  <c r="CNL132" i="8"/>
  <c r="CNK132" i="8"/>
  <c r="CNJ132" i="8"/>
  <c r="CNI132" i="8"/>
  <c r="CNH132" i="8"/>
  <c r="CNG132" i="8"/>
  <c r="CNF132" i="8"/>
  <c r="CNE132" i="8"/>
  <c r="CND132" i="8"/>
  <c r="CNC132" i="8"/>
  <c r="CNB132" i="8"/>
  <c r="CNA132" i="8"/>
  <c r="CMZ132" i="8"/>
  <c r="CMY132" i="8"/>
  <c r="CMX132" i="8"/>
  <c r="CMW132" i="8"/>
  <c r="CMV132" i="8"/>
  <c r="CMU132" i="8"/>
  <c r="CMT132" i="8"/>
  <c r="CMS132" i="8"/>
  <c r="CMR132" i="8"/>
  <c r="CMQ132" i="8"/>
  <c r="CMP132" i="8"/>
  <c r="CMO132" i="8"/>
  <c r="CMN132" i="8"/>
  <c r="CMM132" i="8"/>
  <c r="CML132" i="8"/>
  <c r="CMK132" i="8"/>
  <c r="CMJ132" i="8"/>
  <c r="CMI132" i="8"/>
  <c r="CMH132" i="8"/>
  <c r="CMG132" i="8"/>
  <c r="CMF132" i="8"/>
  <c r="CME132" i="8"/>
  <c r="CMD132" i="8"/>
  <c r="CMC132" i="8"/>
  <c r="CMB132" i="8"/>
  <c r="CMA132" i="8"/>
  <c r="CLZ132" i="8"/>
  <c r="CLY132" i="8"/>
  <c r="CLX132" i="8"/>
  <c r="CLW132" i="8"/>
  <c r="CLV132" i="8"/>
  <c r="CLU132" i="8"/>
  <c r="CLT132" i="8"/>
  <c r="CLS132" i="8"/>
  <c r="CLR132" i="8"/>
  <c r="CLQ132" i="8"/>
  <c r="CLP132" i="8"/>
  <c r="CLO132" i="8"/>
  <c r="CLN132" i="8"/>
  <c r="CLM132" i="8"/>
  <c r="CLL132" i="8"/>
  <c r="CLK132" i="8"/>
  <c r="CLJ132" i="8"/>
  <c r="CLI132" i="8"/>
  <c r="CLH132" i="8"/>
  <c r="CLG132" i="8"/>
  <c r="CLF132" i="8"/>
  <c r="CLE132" i="8"/>
  <c r="CLD132" i="8"/>
  <c r="CLC132" i="8"/>
  <c r="CLB132" i="8"/>
  <c r="CLA132" i="8"/>
  <c r="CKZ132" i="8"/>
  <c r="CKY132" i="8"/>
  <c r="CKX132" i="8"/>
  <c r="CKW132" i="8"/>
  <c r="CKV132" i="8"/>
  <c r="CKU132" i="8"/>
  <c r="CKT132" i="8"/>
  <c r="CKS132" i="8"/>
  <c r="CKR132" i="8"/>
  <c r="CKQ132" i="8"/>
  <c r="CKP132" i="8"/>
  <c r="CKO132" i="8"/>
  <c r="CKN132" i="8"/>
  <c r="CKM132" i="8"/>
  <c r="CKL132" i="8"/>
  <c r="CKK132" i="8"/>
  <c r="CKJ132" i="8"/>
  <c r="CKI132" i="8"/>
  <c r="CKH132" i="8"/>
  <c r="CKG132" i="8"/>
  <c r="CKF132" i="8"/>
  <c r="CKE132" i="8"/>
  <c r="CKD132" i="8"/>
  <c r="CKC132" i="8"/>
  <c r="CKB132" i="8"/>
  <c r="CKA132" i="8"/>
  <c r="CJZ132" i="8"/>
  <c r="CJY132" i="8"/>
  <c r="CJX132" i="8"/>
  <c r="CJW132" i="8"/>
  <c r="CJV132" i="8"/>
  <c r="CJU132" i="8"/>
  <c r="CJT132" i="8"/>
  <c r="CJS132" i="8"/>
  <c r="CJR132" i="8"/>
  <c r="CJQ132" i="8"/>
  <c r="CJP132" i="8"/>
  <c r="CJO132" i="8"/>
  <c r="CJN132" i="8"/>
  <c r="CJM132" i="8"/>
  <c r="CJL132" i="8"/>
  <c r="CJK132" i="8"/>
  <c r="CJJ132" i="8"/>
  <c r="CJI132" i="8"/>
  <c r="CJH132" i="8"/>
  <c r="CJG132" i="8"/>
  <c r="CJF132" i="8"/>
  <c r="CJE132" i="8"/>
  <c r="CJD132" i="8"/>
  <c r="CJC132" i="8"/>
  <c r="CJB132" i="8"/>
  <c r="CJA132" i="8"/>
  <c r="CIZ132" i="8"/>
  <c r="CIY132" i="8"/>
  <c r="CIX132" i="8"/>
  <c r="CIW132" i="8"/>
  <c r="CIV132" i="8"/>
  <c r="CIU132" i="8"/>
  <c r="CIT132" i="8"/>
  <c r="CIS132" i="8"/>
  <c r="CIR132" i="8"/>
  <c r="CIQ132" i="8"/>
  <c r="CIP132" i="8"/>
  <c r="CIO132" i="8"/>
  <c r="CIN132" i="8"/>
  <c r="CIM132" i="8"/>
  <c r="CIL132" i="8"/>
  <c r="CIK132" i="8"/>
  <c r="CIJ132" i="8"/>
  <c r="CII132" i="8"/>
  <c r="CIH132" i="8"/>
  <c r="CIG132" i="8"/>
  <c r="CIF132" i="8"/>
  <c r="CIE132" i="8"/>
  <c r="CID132" i="8"/>
  <c r="CIC132" i="8"/>
  <c r="CIB132" i="8"/>
  <c r="CIA132" i="8"/>
  <c r="CHZ132" i="8"/>
  <c r="CHY132" i="8"/>
  <c r="CHX132" i="8"/>
  <c r="CHW132" i="8"/>
  <c r="CHV132" i="8"/>
  <c r="CHU132" i="8"/>
  <c r="CHT132" i="8"/>
  <c r="CHS132" i="8"/>
  <c r="CHR132" i="8"/>
  <c r="CHQ132" i="8"/>
  <c r="CHP132" i="8"/>
  <c r="CHO132" i="8"/>
  <c r="CHN132" i="8"/>
  <c r="CHM132" i="8"/>
  <c r="CHL132" i="8"/>
  <c r="CHK132" i="8"/>
  <c r="CHJ132" i="8"/>
  <c r="CHI132" i="8"/>
  <c r="CHH132" i="8"/>
  <c r="CHG132" i="8"/>
  <c r="CHF132" i="8"/>
  <c r="CHE132" i="8"/>
  <c r="CHD132" i="8"/>
  <c r="CHC132" i="8"/>
  <c r="CHB132" i="8"/>
  <c r="CHA132" i="8"/>
  <c r="CGZ132" i="8"/>
  <c r="CGY132" i="8"/>
  <c r="CGX132" i="8"/>
  <c r="CGW132" i="8"/>
  <c r="CGV132" i="8"/>
  <c r="CGU132" i="8"/>
  <c r="CGT132" i="8"/>
  <c r="CGS132" i="8"/>
  <c r="CGR132" i="8"/>
  <c r="CGQ132" i="8"/>
  <c r="CGP132" i="8"/>
  <c r="CGO132" i="8"/>
  <c r="CGN132" i="8"/>
  <c r="CGM132" i="8"/>
  <c r="CGL132" i="8"/>
  <c r="CGK132" i="8"/>
  <c r="CGJ132" i="8"/>
  <c r="CGI132" i="8"/>
  <c r="CGH132" i="8"/>
  <c r="CGG132" i="8"/>
  <c r="CGF132" i="8"/>
  <c r="CGE132" i="8"/>
  <c r="CGD132" i="8"/>
  <c r="CGC132" i="8"/>
  <c r="CGB132" i="8"/>
  <c r="CGA132" i="8"/>
  <c r="CFZ132" i="8"/>
  <c r="CFY132" i="8"/>
  <c r="CFX132" i="8"/>
  <c r="CFW132" i="8"/>
  <c r="CFV132" i="8"/>
  <c r="CFU132" i="8"/>
  <c r="CFT132" i="8"/>
  <c r="CFS132" i="8"/>
  <c r="CFR132" i="8"/>
  <c r="CFQ132" i="8"/>
  <c r="CFP132" i="8"/>
  <c r="CFO132" i="8"/>
  <c r="CFN132" i="8"/>
  <c r="CFM132" i="8"/>
  <c r="CFL132" i="8"/>
  <c r="CFK132" i="8"/>
  <c r="CFJ132" i="8"/>
  <c r="CFI132" i="8"/>
  <c r="CFH132" i="8"/>
  <c r="CFG132" i="8"/>
  <c r="CFF132" i="8"/>
  <c r="CFE132" i="8"/>
  <c r="CFD132" i="8"/>
  <c r="CFC132" i="8"/>
  <c r="CFB132" i="8"/>
  <c r="CFA132" i="8"/>
  <c r="CEZ132" i="8"/>
  <c r="CEY132" i="8"/>
  <c r="CEX132" i="8"/>
  <c r="CEW132" i="8"/>
  <c r="CEV132" i="8"/>
  <c r="CEU132" i="8"/>
  <c r="CET132" i="8"/>
  <c r="CES132" i="8"/>
  <c r="CER132" i="8"/>
  <c r="CEQ132" i="8"/>
  <c r="CEP132" i="8"/>
  <c r="CEO132" i="8"/>
  <c r="CEN132" i="8"/>
  <c r="CEM132" i="8"/>
  <c r="CEL132" i="8"/>
  <c r="CEK132" i="8"/>
  <c r="CEJ132" i="8"/>
  <c r="CEI132" i="8"/>
  <c r="CEH132" i="8"/>
  <c r="CEG132" i="8"/>
  <c r="CEF132" i="8"/>
  <c r="CEE132" i="8"/>
  <c r="CED132" i="8"/>
  <c r="CEC132" i="8"/>
  <c r="CEB132" i="8"/>
  <c r="CEA132" i="8"/>
  <c r="CDZ132" i="8"/>
  <c r="CDY132" i="8"/>
  <c r="CDX132" i="8"/>
  <c r="CDW132" i="8"/>
  <c r="CDV132" i="8"/>
  <c r="CDU132" i="8"/>
  <c r="CDT132" i="8"/>
  <c r="CDS132" i="8"/>
  <c r="CDR132" i="8"/>
  <c r="CDQ132" i="8"/>
  <c r="CDP132" i="8"/>
  <c r="CDO132" i="8"/>
  <c r="CDN132" i="8"/>
  <c r="CDM132" i="8"/>
  <c r="CDL132" i="8"/>
  <c r="CDK132" i="8"/>
  <c r="CDJ132" i="8"/>
  <c r="CDI132" i="8"/>
  <c r="CDH132" i="8"/>
  <c r="CDG132" i="8"/>
  <c r="CDF132" i="8"/>
  <c r="CDE132" i="8"/>
  <c r="CDD132" i="8"/>
  <c r="CDC132" i="8"/>
  <c r="CDB132" i="8"/>
  <c r="CDA132" i="8"/>
  <c r="CCZ132" i="8"/>
  <c r="CCY132" i="8"/>
  <c r="CCX132" i="8"/>
  <c r="CCW132" i="8"/>
  <c r="CCV132" i="8"/>
  <c r="CCU132" i="8"/>
  <c r="CCT132" i="8"/>
  <c r="CCS132" i="8"/>
  <c r="CCR132" i="8"/>
  <c r="CCQ132" i="8"/>
  <c r="CCP132" i="8"/>
  <c r="CCO132" i="8"/>
  <c r="CCN132" i="8"/>
  <c r="CCM132" i="8"/>
  <c r="CCL132" i="8"/>
  <c r="CCK132" i="8"/>
  <c r="CCJ132" i="8"/>
  <c r="CCI132" i="8"/>
  <c r="CCH132" i="8"/>
  <c r="CCG132" i="8"/>
  <c r="CCF132" i="8"/>
  <c r="CCE132" i="8"/>
  <c r="CCD132" i="8"/>
  <c r="CCC132" i="8"/>
  <c r="CCB132" i="8"/>
  <c r="CCA132" i="8"/>
  <c r="CBZ132" i="8"/>
  <c r="CBY132" i="8"/>
  <c r="CBX132" i="8"/>
  <c r="CBW132" i="8"/>
  <c r="CBV132" i="8"/>
  <c r="CBU132" i="8"/>
  <c r="CBT132" i="8"/>
  <c r="CBS132" i="8"/>
  <c r="CBR132" i="8"/>
  <c r="CBQ132" i="8"/>
  <c r="CBP132" i="8"/>
  <c r="CBO132" i="8"/>
  <c r="CBN132" i="8"/>
  <c r="CBM132" i="8"/>
  <c r="CBL132" i="8"/>
  <c r="CBK132" i="8"/>
  <c r="CBJ132" i="8"/>
  <c r="CBI132" i="8"/>
  <c r="CBH132" i="8"/>
  <c r="CBG132" i="8"/>
  <c r="CBF132" i="8"/>
  <c r="CBE132" i="8"/>
  <c r="CBD132" i="8"/>
  <c r="CBC132" i="8"/>
  <c r="CBB132" i="8"/>
  <c r="CBA132" i="8"/>
  <c r="CAZ132" i="8"/>
  <c r="CAY132" i="8"/>
  <c r="CAX132" i="8"/>
  <c r="CAW132" i="8"/>
  <c r="CAV132" i="8"/>
  <c r="CAU132" i="8"/>
  <c r="CAT132" i="8"/>
  <c r="CAS132" i="8"/>
  <c r="CAR132" i="8"/>
  <c r="CAQ132" i="8"/>
  <c r="CAP132" i="8"/>
  <c r="CAO132" i="8"/>
  <c r="CAN132" i="8"/>
  <c r="CAM132" i="8"/>
  <c r="CAL132" i="8"/>
  <c r="CAK132" i="8"/>
  <c r="CAJ132" i="8"/>
  <c r="CAI132" i="8"/>
  <c r="CAH132" i="8"/>
  <c r="CAG132" i="8"/>
  <c r="CAF132" i="8"/>
  <c r="CAE132" i="8"/>
  <c r="CAD132" i="8"/>
  <c r="CAC132" i="8"/>
  <c r="CAB132" i="8"/>
  <c r="CAA132" i="8"/>
  <c r="BZZ132" i="8"/>
  <c r="BZY132" i="8"/>
  <c r="BZX132" i="8"/>
  <c r="BZW132" i="8"/>
  <c r="BZV132" i="8"/>
  <c r="BZU132" i="8"/>
  <c r="BZT132" i="8"/>
  <c r="BZS132" i="8"/>
  <c r="BZR132" i="8"/>
  <c r="BZQ132" i="8"/>
  <c r="BZP132" i="8"/>
  <c r="BZO132" i="8"/>
  <c r="BZN132" i="8"/>
  <c r="BZM132" i="8"/>
  <c r="BZL132" i="8"/>
  <c r="BZK132" i="8"/>
  <c r="BZJ132" i="8"/>
  <c r="BZI132" i="8"/>
  <c r="BZH132" i="8"/>
  <c r="BZG132" i="8"/>
  <c r="BZF132" i="8"/>
  <c r="BZE132" i="8"/>
  <c r="BZD132" i="8"/>
  <c r="BZC132" i="8"/>
  <c r="BZB132" i="8"/>
  <c r="BZA132" i="8"/>
  <c r="BYZ132" i="8"/>
  <c r="BYY132" i="8"/>
  <c r="BYX132" i="8"/>
  <c r="BYW132" i="8"/>
  <c r="BYV132" i="8"/>
  <c r="BYU132" i="8"/>
  <c r="BYT132" i="8"/>
  <c r="BYS132" i="8"/>
  <c r="BYR132" i="8"/>
  <c r="BYQ132" i="8"/>
  <c r="BYP132" i="8"/>
  <c r="BYO132" i="8"/>
  <c r="BYN132" i="8"/>
  <c r="BYM132" i="8"/>
  <c r="BYL132" i="8"/>
  <c r="BYK132" i="8"/>
  <c r="BYJ132" i="8"/>
  <c r="BYI132" i="8"/>
  <c r="BYH132" i="8"/>
  <c r="BYG132" i="8"/>
  <c r="BYF132" i="8"/>
  <c r="BYE132" i="8"/>
  <c r="BYD132" i="8"/>
  <c r="BYC132" i="8"/>
  <c r="BYB132" i="8"/>
  <c r="BYA132" i="8"/>
  <c r="BXZ132" i="8"/>
  <c r="BXY132" i="8"/>
  <c r="BXX132" i="8"/>
  <c r="BXW132" i="8"/>
  <c r="BXV132" i="8"/>
  <c r="BXU132" i="8"/>
  <c r="BXT132" i="8"/>
  <c r="BXS132" i="8"/>
  <c r="BXR132" i="8"/>
  <c r="BXQ132" i="8"/>
  <c r="BXP132" i="8"/>
  <c r="BXO132" i="8"/>
  <c r="BXN132" i="8"/>
  <c r="BXM132" i="8"/>
  <c r="BXL132" i="8"/>
  <c r="BXK132" i="8"/>
  <c r="BXJ132" i="8"/>
  <c r="BXI132" i="8"/>
  <c r="BXH132" i="8"/>
  <c r="BXG132" i="8"/>
  <c r="BXF132" i="8"/>
  <c r="BXE132" i="8"/>
  <c r="BXD132" i="8"/>
  <c r="BXC132" i="8"/>
  <c r="BXB132" i="8"/>
  <c r="BXA132" i="8"/>
  <c r="BWZ132" i="8"/>
  <c r="BWY132" i="8"/>
  <c r="BWX132" i="8"/>
  <c r="BWW132" i="8"/>
  <c r="BWV132" i="8"/>
  <c r="BWU132" i="8"/>
  <c r="BWT132" i="8"/>
  <c r="BWS132" i="8"/>
  <c r="BWR132" i="8"/>
  <c r="BWQ132" i="8"/>
  <c r="BWP132" i="8"/>
  <c r="BWO132" i="8"/>
  <c r="BWN132" i="8"/>
  <c r="BWM132" i="8"/>
  <c r="BWL132" i="8"/>
  <c r="BWK132" i="8"/>
  <c r="BWJ132" i="8"/>
  <c r="BWI132" i="8"/>
  <c r="BWH132" i="8"/>
  <c r="BWG132" i="8"/>
  <c r="BWF132" i="8"/>
  <c r="BWE132" i="8"/>
  <c r="BWD132" i="8"/>
  <c r="BWC132" i="8"/>
  <c r="BWB132" i="8"/>
  <c r="BWA132" i="8"/>
  <c r="BVZ132" i="8"/>
  <c r="BVY132" i="8"/>
  <c r="BVX132" i="8"/>
  <c r="BVW132" i="8"/>
  <c r="BVV132" i="8"/>
  <c r="BVU132" i="8"/>
  <c r="BVT132" i="8"/>
  <c r="BVS132" i="8"/>
  <c r="BVR132" i="8"/>
  <c r="BVQ132" i="8"/>
  <c r="BVP132" i="8"/>
  <c r="BVO132" i="8"/>
  <c r="BVN132" i="8"/>
  <c r="BVM132" i="8"/>
  <c r="BVL132" i="8"/>
  <c r="BVK132" i="8"/>
  <c r="BVJ132" i="8"/>
  <c r="BVI132" i="8"/>
  <c r="BVH132" i="8"/>
  <c r="BVG132" i="8"/>
  <c r="BVF132" i="8"/>
  <c r="BVE132" i="8"/>
  <c r="BVD132" i="8"/>
  <c r="BVC132" i="8"/>
  <c r="BVB132" i="8"/>
  <c r="BVA132" i="8"/>
  <c r="BUZ132" i="8"/>
  <c r="BUY132" i="8"/>
  <c r="BUX132" i="8"/>
  <c r="BUW132" i="8"/>
  <c r="BUV132" i="8"/>
  <c r="BUU132" i="8"/>
  <c r="BUT132" i="8"/>
  <c r="BUS132" i="8"/>
  <c r="BUR132" i="8"/>
  <c r="BUQ132" i="8"/>
  <c r="BUP132" i="8"/>
  <c r="BUO132" i="8"/>
  <c r="BUN132" i="8"/>
  <c r="BUM132" i="8"/>
  <c r="BUL132" i="8"/>
  <c r="BUK132" i="8"/>
  <c r="BUJ132" i="8"/>
  <c r="BUI132" i="8"/>
  <c r="BUH132" i="8"/>
  <c r="BUG132" i="8"/>
  <c r="BUF132" i="8"/>
  <c r="BUE132" i="8"/>
  <c r="BUD132" i="8"/>
  <c r="BUC132" i="8"/>
  <c r="BUB132" i="8"/>
  <c r="BUA132" i="8"/>
  <c r="BTZ132" i="8"/>
  <c r="BTY132" i="8"/>
  <c r="BTX132" i="8"/>
  <c r="BTW132" i="8"/>
  <c r="BTV132" i="8"/>
  <c r="BTU132" i="8"/>
  <c r="BTT132" i="8"/>
  <c r="BTS132" i="8"/>
  <c r="BTR132" i="8"/>
  <c r="BTQ132" i="8"/>
  <c r="BTP132" i="8"/>
  <c r="BTO132" i="8"/>
  <c r="BTN132" i="8"/>
  <c r="BTM132" i="8"/>
  <c r="BTL132" i="8"/>
  <c r="BTK132" i="8"/>
  <c r="BTJ132" i="8"/>
  <c r="BTI132" i="8"/>
  <c r="BTH132" i="8"/>
  <c r="BTG132" i="8"/>
  <c r="BTF132" i="8"/>
  <c r="BTE132" i="8"/>
  <c r="BTD132" i="8"/>
  <c r="BTC132" i="8"/>
  <c r="BTB132" i="8"/>
  <c r="BTA132" i="8"/>
  <c r="BSZ132" i="8"/>
  <c r="BSY132" i="8"/>
  <c r="BSX132" i="8"/>
  <c r="BSW132" i="8"/>
  <c r="BSV132" i="8"/>
  <c r="BSU132" i="8"/>
  <c r="BST132" i="8"/>
  <c r="BSS132" i="8"/>
  <c r="BSR132" i="8"/>
  <c r="BSQ132" i="8"/>
  <c r="BSP132" i="8"/>
  <c r="BSO132" i="8"/>
  <c r="BSN132" i="8"/>
  <c r="BSM132" i="8"/>
  <c r="BSL132" i="8"/>
  <c r="BSK132" i="8"/>
  <c r="BSJ132" i="8"/>
  <c r="BSI132" i="8"/>
  <c r="BSH132" i="8"/>
  <c r="BSG132" i="8"/>
  <c r="BSF132" i="8"/>
  <c r="BSE132" i="8"/>
  <c r="BSD132" i="8"/>
  <c r="BSC132" i="8"/>
  <c r="BSB132" i="8"/>
  <c r="BSA132" i="8"/>
  <c r="BRZ132" i="8"/>
  <c r="BRY132" i="8"/>
  <c r="BRX132" i="8"/>
  <c r="BRW132" i="8"/>
  <c r="BRV132" i="8"/>
  <c r="BRU132" i="8"/>
  <c r="BRT132" i="8"/>
  <c r="BRS132" i="8"/>
  <c r="BRR132" i="8"/>
  <c r="BRQ132" i="8"/>
  <c r="BRP132" i="8"/>
  <c r="BRO132" i="8"/>
  <c r="BRN132" i="8"/>
  <c r="BRM132" i="8"/>
  <c r="BRL132" i="8"/>
  <c r="BRK132" i="8"/>
  <c r="BRJ132" i="8"/>
  <c r="BRI132" i="8"/>
  <c r="BRH132" i="8"/>
  <c r="BRG132" i="8"/>
  <c r="BRF132" i="8"/>
  <c r="BRE132" i="8"/>
  <c r="BRD132" i="8"/>
  <c r="BRC132" i="8"/>
  <c r="BRB132" i="8"/>
  <c r="BRA132" i="8"/>
  <c r="BQZ132" i="8"/>
  <c r="BQY132" i="8"/>
  <c r="BQX132" i="8"/>
  <c r="BQW132" i="8"/>
  <c r="BQV132" i="8"/>
  <c r="BQU132" i="8"/>
  <c r="BQT132" i="8"/>
  <c r="BQS132" i="8"/>
  <c r="BQR132" i="8"/>
  <c r="BQQ132" i="8"/>
  <c r="BQP132" i="8"/>
  <c r="BQO132" i="8"/>
  <c r="BQN132" i="8"/>
  <c r="BQM132" i="8"/>
  <c r="BQL132" i="8"/>
  <c r="BQK132" i="8"/>
  <c r="BQJ132" i="8"/>
  <c r="BQI132" i="8"/>
  <c r="BQH132" i="8"/>
  <c r="BQG132" i="8"/>
  <c r="BQF132" i="8"/>
  <c r="BQE132" i="8"/>
  <c r="BQD132" i="8"/>
  <c r="BQC132" i="8"/>
  <c r="BQB132" i="8"/>
  <c r="BQA132" i="8"/>
  <c r="BPZ132" i="8"/>
  <c r="BPY132" i="8"/>
  <c r="BPX132" i="8"/>
  <c r="BPW132" i="8"/>
  <c r="BPV132" i="8"/>
  <c r="BPU132" i="8"/>
  <c r="BPT132" i="8"/>
  <c r="BPS132" i="8"/>
  <c r="BPR132" i="8"/>
  <c r="BPQ132" i="8"/>
  <c r="BPP132" i="8"/>
  <c r="BPO132" i="8"/>
  <c r="BPN132" i="8"/>
  <c r="BPM132" i="8"/>
  <c r="BPL132" i="8"/>
  <c r="BPK132" i="8"/>
  <c r="BPJ132" i="8"/>
  <c r="BPI132" i="8"/>
  <c r="BPH132" i="8"/>
  <c r="BPG132" i="8"/>
  <c r="BPF132" i="8"/>
  <c r="BPE132" i="8"/>
  <c r="BPD132" i="8"/>
  <c r="BPC132" i="8"/>
  <c r="BPB132" i="8"/>
  <c r="BPA132" i="8"/>
  <c r="BOZ132" i="8"/>
  <c r="BOY132" i="8"/>
  <c r="BOX132" i="8"/>
  <c r="BOW132" i="8"/>
  <c r="BOV132" i="8"/>
  <c r="BOU132" i="8"/>
  <c r="BOT132" i="8"/>
  <c r="BOS132" i="8"/>
  <c r="BOR132" i="8"/>
  <c r="BOQ132" i="8"/>
  <c r="BOP132" i="8"/>
  <c r="BOO132" i="8"/>
  <c r="BON132" i="8"/>
  <c r="BOM132" i="8"/>
  <c r="BOL132" i="8"/>
  <c r="BOK132" i="8"/>
  <c r="BOJ132" i="8"/>
  <c r="BOI132" i="8"/>
  <c r="BOH132" i="8"/>
  <c r="BOG132" i="8"/>
  <c r="BOF132" i="8"/>
  <c r="BOE132" i="8"/>
  <c r="BOD132" i="8"/>
  <c r="BOC132" i="8"/>
  <c r="BOB132" i="8"/>
  <c r="BOA132" i="8"/>
  <c r="BNZ132" i="8"/>
  <c r="BNY132" i="8"/>
  <c r="BNX132" i="8"/>
  <c r="BNW132" i="8"/>
  <c r="BNV132" i="8"/>
  <c r="BNU132" i="8"/>
  <c r="BNT132" i="8"/>
  <c r="BNS132" i="8"/>
  <c r="BNR132" i="8"/>
  <c r="BNQ132" i="8"/>
  <c r="BNP132" i="8"/>
  <c r="BNO132" i="8"/>
  <c r="BNN132" i="8"/>
  <c r="BNM132" i="8"/>
  <c r="BNL132" i="8"/>
  <c r="BNK132" i="8"/>
  <c r="BNJ132" i="8"/>
  <c r="BNI132" i="8"/>
  <c r="BNH132" i="8"/>
  <c r="BNG132" i="8"/>
  <c r="BNF132" i="8"/>
  <c r="BNE132" i="8"/>
  <c r="BND132" i="8"/>
  <c r="BNC132" i="8"/>
  <c r="BNB132" i="8"/>
  <c r="BNA132" i="8"/>
  <c r="BMZ132" i="8"/>
  <c r="BMY132" i="8"/>
  <c r="BMX132" i="8"/>
  <c r="BMW132" i="8"/>
  <c r="BMV132" i="8"/>
  <c r="BMU132" i="8"/>
  <c r="BMT132" i="8"/>
  <c r="BMS132" i="8"/>
  <c r="BMR132" i="8"/>
  <c r="BMQ132" i="8"/>
  <c r="BMP132" i="8"/>
  <c r="BMO132" i="8"/>
  <c r="BMN132" i="8"/>
  <c r="BMM132" i="8"/>
  <c r="BML132" i="8"/>
  <c r="BMK132" i="8"/>
  <c r="BMJ132" i="8"/>
  <c r="BMI132" i="8"/>
  <c r="BMH132" i="8"/>
  <c r="BMG132" i="8"/>
  <c r="BMF132" i="8"/>
  <c r="BME132" i="8"/>
  <c r="BMD132" i="8"/>
  <c r="BMC132" i="8"/>
  <c r="BMB132" i="8"/>
  <c r="BMA132" i="8"/>
  <c r="BLZ132" i="8"/>
  <c r="BLY132" i="8"/>
  <c r="BLX132" i="8"/>
  <c r="BLW132" i="8"/>
  <c r="BLV132" i="8"/>
  <c r="BLU132" i="8"/>
  <c r="BLT132" i="8"/>
  <c r="BLS132" i="8"/>
  <c r="BLR132" i="8"/>
  <c r="BLQ132" i="8"/>
  <c r="BLP132" i="8"/>
  <c r="BLO132" i="8"/>
  <c r="BLN132" i="8"/>
  <c r="BLM132" i="8"/>
  <c r="BLL132" i="8"/>
  <c r="BLK132" i="8"/>
  <c r="BLJ132" i="8"/>
  <c r="BLI132" i="8"/>
  <c r="BLH132" i="8"/>
  <c r="BLG132" i="8"/>
  <c r="BLF132" i="8"/>
  <c r="BLE132" i="8"/>
  <c r="BLD132" i="8"/>
  <c r="BLC132" i="8"/>
  <c r="BLB132" i="8"/>
  <c r="BLA132" i="8"/>
  <c r="BKZ132" i="8"/>
  <c r="BKY132" i="8"/>
  <c r="BKX132" i="8"/>
  <c r="BKW132" i="8"/>
  <c r="BKV132" i="8"/>
  <c r="BKU132" i="8"/>
  <c r="BKT132" i="8"/>
  <c r="BKS132" i="8"/>
  <c r="BKR132" i="8"/>
  <c r="BKQ132" i="8"/>
  <c r="BKP132" i="8"/>
  <c r="BKO132" i="8"/>
  <c r="BKN132" i="8"/>
  <c r="BKM132" i="8"/>
  <c r="BKL132" i="8"/>
  <c r="BKK132" i="8"/>
  <c r="BKJ132" i="8"/>
  <c r="BKI132" i="8"/>
  <c r="BKH132" i="8"/>
  <c r="BKG132" i="8"/>
  <c r="BKF132" i="8"/>
  <c r="BKE132" i="8"/>
  <c r="BKD132" i="8"/>
  <c r="BKC132" i="8"/>
  <c r="BKB132" i="8"/>
  <c r="BKA132" i="8"/>
  <c r="BJZ132" i="8"/>
  <c r="BJY132" i="8"/>
  <c r="BJX132" i="8"/>
  <c r="BJW132" i="8"/>
  <c r="BJV132" i="8"/>
  <c r="BJU132" i="8"/>
  <c r="BJT132" i="8"/>
  <c r="BJS132" i="8"/>
  <c r="BJR132" i="8"/>
  <c r="BJQ132" i="8"/>
  <c r="BJP132" i="8"/>
  <c r="BJO132" i="8"/>
  <c r="BJN132" i="8"/>
  <c r="BJM132" i="8"/>
  <c r="BJL132" i="8"/>
  <c r="BJK132" i="8"/>
  <c r="BJJ132" i="8"/>
  <c r="BJI132" i="8"/>
  <c r="BJH132" i="8"/>
  <c r="BJG132" i="8"/>
  <c r="BJF132" i="8"/>
  <c r="BJE132" i="8"/>
  <c r="BJD132" i="8"/>
  <c r="BJC132" i="8"/>
  <c r="BJB132" i="8"/>
  <c r="BJA132" i="8"/>
  <c r="BIZ132" i="8"/>
  <c r="BIY132" i="8"/>
  <c r="BIX132" i="8"/>
  <c r="BIW132" i="8"/>
  <c r="BIV132" i="8"/>
  <c r="BIU132" i="8"/>
  <c r="BIT132" i="8"/>
  <c r="BIS132" i="8"/>
  <c r="BIR132" i="8"/>
  <c r="BIQ132" i="8"/>
  <c r="BIP132" i="8"/>
  <c r="BIO132" i="8"/>
  <c r="BIN132" i="8"/>
  <c r="BIM132" i="8"/>
  <c r="BIL132" i="8"/>
  <c r="BIK132" i="8"/>
  <c r="BIJ132" i="8"/>
  <c r="BII132" i="8"/>
  <c r="BIH132" i="8"/>
  <c r="BIG132" i="8"/>
  <c r="BIF132" i="8"/>
  <c r="BIE132" i="8"/>
  <c r="BID132" i="8"/>
  <c r="BIC132" i="8"/>
  <c r="BIB132" i="8"/>
  <c r="BIA132" i="8"/>
  <c r="BHZ132" i="8"/>
  <c r="BHY132" i="8"/>
  <c r="BHX132" i="8"/>
  <c r="BHW132" i="8"/>
  <c r="BHV132" i="8"/>
  <c r="BHU132" i="8"/>
  <c r="BHT132" i="8"/>
  <c r="BHS132" i="8"/>
  <c r="BHR132" i="8"/>
  <c r="BHQ132" i="8"/>
  <c r="BHP132" i="8"/>
  <c r="BHO132" i="8"/>
  <c r="BHN132" i="8"/>
  <c r="BHM132" i="8"/>
  <c r="BHL132" i="8"/>
  <c r="BHK132" i="8"/>
  <c r="BHJ132" i="8"/>
  <c r="BHI132" i="8"/>
  <c r="BHH132" i="8"/>
  <c r="BHG132" i="8"/>
  <c r="BHF132" i="8"/>
  <c r="BHE132" i="8"/>
  <c r="BHD132" i="8"/>
  <c r="BHC132" i="8"/>
  <c r="BHB132" i="8"/>
  <c r="BHA132" i="8"/>
  <c r="BGZ132" i="8"/>
  <c r="BGY132" i="8"/>
  <c r="BGX132" i="8"/>
  <c r="BGW132" i="8"/>
  <c r="BGV132" i="8"/>
  <c r="BGU132" i="8"/>
  <c r="BGT132" i="8"/>
  <c r="BGS132" i="8"/>
  <c r="BGR132" i="8"/>
  <c r="BGQ132" i="8"/>
  <c r="BGP132" i="8"/>
  <c r="BGO132" i="8"/>
  <c r="BGN132" i="8"/>
  <c r="BGM132" i="8"/>
  <c r="BGL132" i="8"/>
  <c r="BGK132" i="8"/>
  <c r="BGJ132" i="8"/>
  <c r="BGI132" i="8"/>
  <c r="BGH132" i="8"/>
  <c r="BGG132" i="8"/>
  <c r="BGF132" i="8"/>
  <c r="BGE132" i="8"/>
  <c r="BGD132" i="8"/>
  <c r="BGC132" i="8"/>
  <c r="BGB132" i="8"/>
  <c r="BGA132" i="8"/>
  <c r="BFZ132" i="8"/>
  <c r="BFY132" i="8"/>
  <c r="BFX132" i="8"/>
  <c r="BFW132" i="8"/>
  <c r="BFV132" i="8"/>
  <c r="BFU132" i="8"/>
  <c r="BFT132" i="8"/>
  <c r="BFS132" i="8"/>
  <c r="BFR132" i="8"/>
  <c r="BFQ132" i="8"/>
  <c r="BFP132" i="8"/>
  <c r="BFO132" i="8"/>
  <c r="BFN132" i="8"/>
  <c r="BFM132" i="8"/>
  <c r="BFL132" i="8"/>
  <c r="BFK132" i="8"/>
  <c r="BFJ132" i="8"/>
  <c r="BFI132" i="8"/>
  <c r="BFH132" i="8"/>
  <c r="BFG132" i="8"/>
  <c r="BFF132" i="8"/>
  <c r="BFE132" i="8"/>
  <c r="BFD132" i="8"/>
  <c r="BFC132" i="8"/>
  <c r="BFB132" i="8"/>
  <c r="BFA132" i="8"/>
  <c r="BEZ132" i="8"/>
  <c r="BEY132" i="8"/>
  <c r="BEX132" i="8"/>
  <c r="BEW132" i="8"/>
  <c r="BEV132" i="8"/>
  <c r="BEU132" i="8"/>
  <c r="BET132" i="8"/>
  <c r="BES132" i="8"/>
  <c r="BER132" i="8"/>
  <c r="BEQ132" i="8"/>
  <c r="BEP132" i="8"/>
  <c r="BEO132" i="8"/>
  <c r="BEN132" i="8"/>
  <c r="BEM132" i="8"/>
  <c r="BEL132" i="8"/>
  <c r="BEK132" i="8"/>
  <c r="BEJ132" i="8"/>
  <c r="BEI132" i="8"/>
  <c r="BEH132" i="8"/>
  <c r="BEG132" i="8"/>
  <c r="BEF132" i="8"/>
  <c r="BEE132" i="8"/>
  <c r="BED132" i="8"/>
  <c r="BEC132" i="8"/>
  <c r="BEB132" i="8"/>
  <c r="BEA132" i="8"/>
  <c r="BDZ132" i="8"/>
  <c r="BDY132" i="8"/>
  <c r="BDX132" i="8"/>
  <c r="BDW132" i="8"/>
  <c r="BDV132" i="8"/>
  <c r="BDU132" i="8"/>
  <c r="BDT132" i="8"/>
  <c r="BDS132" i="8"/>
  <c r="BDR132" i="8"/>
  <c r="BDQ132" i="8"/>
  <c r="BDP132" i="8"/>
  <c r="BDO132" i="8"/>
  <c r="BDN132" i="8"/>
  <c r="BDM132" i="8"/>
  <c r="BDL132" i="8"/>
  <c r="BDK132" i="8"/>
  <c r="BDJ132" i="8"/>
  <c r="BDI132" i="8"/>
  <c r="BDH132" i="8"/>
  <c r="BDG132" i="8"/>
  <c r="BDF132" i="8"/>
  <c r="BDE132" i="8"/>
  <c r="BDD132" i="8"/>
  <c r="BDC132" i="8"/>
  <c r="BDB132" i="8"/>
  <c r="BDA132" i="8"/>
  <c r="BCZ132" i="8"/>
  <c r="BCY132" i="8"/>
  <c r="BCX132" i="8"/>
  <c r="BCW132" i="8"/>
  <c r="BCV132" i="8"/>
  <c r="BCU132" i="8"/>
  <c r="BCT132" i="8"/>
  <c r="BCS132" i="8"/>
  <c r="BCR132" i="8"/>
  <c r="BCQ132" i="8"/>
  <c r="BCP132" i="8"/>
  <c r="BCO132" i="8"/>
  <c r="BCN132" i="8"/>
  <c r="BCM132" i="8"/>
  <c r="BCL132" i="8"/>
  <c r="BCK132" i="8"/>
  <c r="BCJ132" i="8"/>
  <c r="BCI132" i="8"/>
  <c r="BCH132" i="8"/>
  <c r="BCG132" i="8"/>
  <c r="BCF132" i="8"/>
  <c r="BCE132" i="8"/>
  <c r="BCD132" i="8"/>
  <c r="BCC132" i="8"/>
  <c r="BCB132" i="8"/>
  <c r="BCA132" i="8"/>
  <c r="BBZ132" i="8"/>
  <c r="BBY132" i="8"/>
  <c r="BBX132" i="8"/>
  <c r="BBW132" i="8"/>
  <c r="BBV132" i="8"/>
  <c r="BBU132" i="8"/>
  <c r="BBT132" i="8"/>
  <c r="BBS132" i="8"/>
  <c r="BBR132" i="8"/>
  <c r="BBQ132" i="8"/>
  <c r="BBP132" i="8"/>
  <c r="BBO132" i="8"/>
  <c r="BBN132" i="8"/>
  <c r="BBM132" i="8"/>
  <c r="BBL132" i="8"/>
  <c r="BBK132" i="8"/>
  <c r="BBJ132" i="8"/>
  <c r="BBI132" i="8"/>
  <c r="BBH132" i="8"/>
  <c r="BBG132" i="8"/>
  <c r="BBF132" i="8"/>
  <c r="BBE132" i="8"/>
  <c r="BBD132" i="8"/>
  <c r="BBC132" i="8"/>
  <c r="BBB132" i="8"/>
  <c r="BBA132" i="8"/>
  <c r="BAZ132" i="8"/>
  <c r="BAY132" i="8"/>
  <c r="BAX132" i="8"/>
  <c r="BAW132" i="8"/>
  <c r="BAV132" i="8"/>
  <c r="BAU132" i="8"/>
  <c r="BAT132" i="8"/>
  <c r="BAS132" i="8"/>
  <c r="BAR132" i="8"/>
  <c r="BAQ132" i="8"/>
  <c r="BAP132" i="8"/>
  <c r="BAO132" i="8"/>
  <c r="BAN132" i="8"/>
  <c r="BAM132" i="8"/>
  <c r="BAL132" i="8"/>
  <c r="BAK132" i="8"/>
  <c r="BAJ132" i="8"/>
  <c r="BAI132" i="8"/>
  <c r="BAH132" i="8"/>
  <c r="BAG132" i="8"/>
  <c r="BAF132" i="8"/>
  <c r="BAE132" i="8"/>
  <c r="BAD132" i="8"/>
  <c r="BAC132" i="8"/>
  <c r="BAB132" i="8"/>
  <c r="BAA132" i="8"/>
  <c r="AZZ132" i="8"/>
  <c r="AZY132" i="8"/>
  <c r="AZX132" i="8"/>
  <c r="AZW132" i="8"/>
  <c r="AZV132" i="8"/>
  <c r="AZU132" i="8"/>
  <c r="AZT132" i="8"/>
  <c r="AZS132" i="8"/>
  <c r="AZR132" i="8"/>
  <c r="AZQ132" i="8"/>
  <c r="AZP132" i="8"/>
  <c r="AZO132" i="8"/>
  <c r="AZN132" i="8"/>
  <c r="AZM132" i="8"/>
  <c r="AZL132" i="8"/>
  <c r="AZK132" i="8"/>
  <c r="AZJ132" i="8"/>
  <c r="AZI132" i="8"/>
  <c r="AZH132" i="8"/>
  <c r="AZG132" i="8"/>
  <c r="AZF132" i="8"/>
  <c r="AZE132" i="8"/>
  <c r="AZD132" i="8"/>
  <c r="AZC132" i="8"/>
  <c r="AZB132" i="8"/>
  <c r="AZA132" i="8"/>
  <c r="AYZ132" i="8"/>
  <c r="AYY132" i="8"/>
  <c r="AYX132" i="8"/>
  <c r="AYW132" i="8"/>
  <c r="AYV132" i="8"/>
  <c r="AYU132" i="8"/>
  <c r="AYT132" i="8"/>
  <c r="AYS132" i="8"/>
  <c r="AYR132" i="8"/>
  <c r="AYQ132" i="8"/>
  <c r="AYP132" i="8"/>
  <c r="AYO132" i="8"/>
  <c r="AYN132" i="8"/>
  <c r="AYM132" i="8"/>
  <c r="AYL132" i="8"/>
  <c r="AYK132" i="8"/>
  <c r="AYJ132" i="8"/>
  <c r="AYI132" i="8"/>
  <c r="AYH132" i="8"/>
  <c r="AYG132" i="8"/>
  <c r="AYF132" i="8"/>
  <c r="AYE132" i="8"/>
  <c r="AYD132" i="8"/>
  <c r="AYC132" i="8"/>
  <c r="AYB132" i="8"/>
  <c r="AYA132" i="8"/>
  <c r="AXZ132" i="8"/>
  <c r="AXY132" i="8"/>
  <c r="AXX132" i="8"/>
  <c r="AXW132" i="8"/>
  <c r="AXV132" i="8"/>
  <c r="AXU132" i="8"/>
  <c r="AXT132" i="8"/>
  <c r="AXS132" i="8"/>
  <c r="AXR132" i="8"/>
  <c r="AXQ132" i="8"/>
  <c r="AXP132" i="8"/>
  <c r="AXO132" i="8"/>
  <c r="AXN132" i="8"/>
  <c r="AXM132" i="8"/>
  <c r="AXL132" i="8"/>
  <c r="AXK132" i="8"/>
  <c r="AXJ132" i="8"/>
  <c r="AXI132" i="8"/>
  <c r="AXH132" i="8"/>
  <c r="AXG132" i="8"/>
  <c r="AXF132" i="8"/>
  <c r="AXE132" i="8"/>
  <c r="AXD132" i="8"/>
  <c r="AXC132" i="8"/>
  <c r="AXB132" i="8"/>
  <c r="AXA132" i="8"/>
  <c r="AWZ132" i="8"/>
  <c r="AWY132" i="8"/>
  <c r="AWX132" i="8"/>
  <c r="AWW132" i="8"/>
  <c r="AWV132" i="8"/>
  <c r="AWU132" i="8"/>
  <c r="AWT132" i="8"/>
  <c r="AWS132" i="8"/>
  <c r="AWR132" i="8"/>
  <c r="AWQ132" i="8"/>
  <c r="AWP132" i="8"/>
  <c r="AWO132" i="8"/>
  <c r="AWN132" i="8"/>
  <c r="AWM132" i="8"/>
  <c r="AWL132" i="8"/>
  <c r="AWK132" i="8"/>
  <c r="AWJ132" i="8"/>
  <c r="AWI132" i="8"/>
  <c r="AWH132" i="8"/>
  <c r="AWG132" i="8"/>
  <c r="AWF132" i="8"/>
  <c r="AWE132" i="8"/>
  <c r="AWD132" i="8"/>
  <c r="AWC132" i="8"/>
  <c r="AWB132" i="8"/>
  <c r="AWA132" i="8"/>
  <c r="AVZ132" i="8"/>
  <c r="AVY132" i="8"/>
  <c r="AVX132" i="8"/>
  <c r="AVW132" i="8"/>
  <c r="AVV132" i="8"/>
  <c r="AVU132" i="8"/>
  <c r="AVT132" i="8"/>
  <c r="AVS132" i="8"/>
  <c r="AVR132" i="8"/>
  <c r="AVQ132" i="8"/>
  <c r="AVP132" i="8"/>
  <c r="AVO132" i="8"/>
  <c r="AVN132" i="8"/>
  <c r="AVM132" i="8"/>
  <c r="AVL132" i="8"/>
  <c r="AVK132" i="8"/>
  <c r="AVJ132" i="8"/>
  <c r="AVI132" i="8"/>
  <c r="AVH132" i="8"/>
  <c r="AVG132" i="8"/>
  <c r="AVF132" i="8"/>
  <c r="AVE132" i="8"/>
  <c r="AVD132" i="8"/>
  <c r="AVC132" i="8"/>
  <c r="AVB132" i="8"/>
  <c r="AVA132" i="8"/>
  <c r="AUZ132" i="8"/>
  <c r="AUY132" i="8"/>
  <c r="AUX132" i="8"/>
  <c r="AUW132" i="8"/>
  <c r="AUV132" i="8"/>
  <c r="AUU132" i="8"/>
  <c r="AUT132" i="8"/>
  <c r="AUS132" i="8"/>
  <c r="AUR132" i="8"/>
  <c r="AUQ132" i="8"/>
  <c r="AUP132" i="8"/>
  <c r="AUO132" i="8"/>
  <c r="AUN132" i="8"/>
  <c r="AUM132" i="8"/>
  <c r="AUL132" i="8"/>
  <c r="AUK132" i="8"/>
  <c r="AUJ132" i="8"/>
  <c r="AUI132" i="8"/>
  <c r="AUH132" i="8"/>
  <c r="AUG132" i="8"/>
  <c r="AUF132" i="8"/>
  <c r="AUE132" i="8"/>
  <c r="AUD132" i="8"/>
  <c r="AUC132" i="8"/>
  <c r="AUB132" i="8"/>
  <c r="AUA132" i="8"/>
  <c r="ATZ132" i="8"/>
  <c r="ATY132" i="8"/>
  <c r="ATX132" i="8"/>
  <c r="ATW132" i="8"/>
  <c r="ATV132" i="8"/>
  <c r="ATU132" i="8"/>
  <c r="ATT132" i="8"/>
  <c r="ATS132" i="8"/>
  <c r="ATR132" i="8"/>
  <c r="ATQ132" i="8"/>
  <c r="ATP132" i="8"/>
  <c r="ATO132" i="8"/>
  <c r="ATN132" i="8"/>
  <c r="ATM132" i="8"/>
  <c r="ATL132" i="8"/>
  <c r="ATK132" i="8"/>
  <c r="ATJ132" i="8"/>
  <c r="ATI132" i="8"/>
  <c r="ATH132" i="8"/>
  <c r="ATG132" i="8"/>
  <c r="ATF132" i="8"/>
  <c r="ATE132" i="8"/>
  <c r="ATD132" i="8"/>
  <c r="ATC132" i="8"/>
  <c r="ATB132" i="8"/>
  <c r="ATA132" i="8"/>
  <c r="ASZ132" i="8"/>
  <c r="ASY132" i="8"/>
  <c r="ASX132" i="8"/>
  <c r="ASW132" i="8"/>
  <c r="ASV132" i="8"/>
  <c r="ASU132" i="8"/>
  <c r="AST132" i="8"/>
  <c r="ASS132" i="8"/>
  <c r="ASR132" i="8"/>
  <c r="ASQ132" i="8"/>
  <c r="ASP132" i="8"/>
  <c r="ASO132" i="8"/>
  <c r="ASN132" i="8"/>
  <c r="ASM132" i="8"/>
  <c r="ASL132" i="8"/>
  <c r="ASK132" i="8"/>
  <c r="ASJ132" i="8"/>
  <c r="ASI132" i="8"/>
  <c r="ASH132" i="8"/>
  <c r="ASG132" i="8"/>
  <c r="ASF132" i="8"/>
  <c r="ASE132" i="8"/>
  <c r="ASD132" i="8"/>
  <c r="ASC132" i="8"/>
  <c r="ASB132" i="8"/>
  <c r="ASA132" i="8"/>
  <c r="ARZ132" i="8"/>
  <c r="ARY132" i="8"/>
  <c r="ARX132" i="8"/>
  <c r="ARW132" i="8"/>
  <c r="ARV132" i="8"/>
  <c r="ARU132" i="8"/>
  <c r="ART132" i="8"/>
  <c r="ARS132" i="8"/>
  <c r="ARR132" i="8"/>
  <c r="ARQ132" i="8"/>
  <c r="ARP132" i="8"/>
  <c r="ARO132" i="8"/>
  <c r="ARN132" i="8"/>
  <c r="ARM132" i="8"/>
  <c r="ARL132" i="8"/>
  <c r="ARK132" i="8"/>
  <c r="ARJ132" i="8"/>
  <c r="ARI132" i="8"/>
  <c r="ARH132" i="8"/>
  <c r="ARG132" i="8"/>
  <c r="ARF132" i="8"/>
  <c r="ARE132" i="8"/>
  <c r="ARD132" i="8"/>
  <c r="ARC132" i="8"/>
  <c r="ARB132" i="8"/>
  <c r="ARA132" i="8"/>
  <c r="AQZ132" i="8"/>
  <c r="AQY132" i="8"/>
  <c r="AQX132" i="8"/>
  <c r="AQW132" i="8"/>
  <c r="AQV132" i="8"/>
  <c r="AQU132" i="8"/>
  <c r="AQT132" i="8"/>
  <c r="AQS132" i="8"/>
  <c r="AQR132" i="8"/>
  <c r="AQQ132" i="8"/>
  <c r="AQP132" i="8"/>
  <c r="AQO132" i="8"/>
  <c r="AQN132" i="8"/>
  <c r="AQM132" i="8"/>
  <c r="AQL132" i="8"/>
  <c r="AQK132" i="8"/>
  <c r="AQJ132" i="8"/>
  <c r="AQI132" i="8"/>
  <c r="AQH132" i="8"/>
  <c r="AQG132" i="8"/>
  <c r="AQF132" i="8"/>
  <c r="AQE132" i="8"/>
  <c r="AQD132" i="8"/>
  <c r="AQC132" i="8"/>
  <c r="AQB132" i="8"/>
  <c r="AQA132" i="8"/>
  <c r="APZ132" i="8"/>
  <c r="APY132" i="8"/>
  <c r="APX132" i="8"/>
  <c r="APW132" i="8"/>
  <c r="APV132" i="8"/>
  <c r="APU132" i="8"/>
  <c r="APT132" i="8"/>
  <c r="APS132" i="8"/>
  <c r="APR132" i="8"/>
  <c r="APQ132" i="8"/>
  <c r="APP132" i="8"/>
  <c r="APO132" i="8"/>
  <c r="APN132" i="8"/>
  <c r="APM132" i="8"/>
  <c r="APL132" i="8"/>
  <c r="APK132" i="8"/>
  <c r="APJ132" i="8"/>
  <c r="API132" i="8"/>
  <c r="APH132" i="8"/>
  <c r="APG132" i="8"/>
  <c r="APF132" i="8"/>
  <c r="APE132" i="8"/>
  <c r="APD132" i="8"/>
  <c r="APC132" i="8"/>
  <c r="APB132" i="8"/>
  <c r="APA132" i="8"/>
  <c r="AOZ132" i="8"/>
  <c r="AOY132" i="8"/>
  <c r="AOX132" i="8"/>
  <c r="AOW132" i="8"/>
  <c r="AOV132" i="8"/>
  <c r="AOU132" i="8"/>
  <c r="AOT132" i="8"/>
  <c r="AOS132" i="8"/>
  <c r="AOR132" i="8"/>
  <c r="AOQ132" i="8"/>
  <c r="AOP132" i="8"/>
  <c r="AOO132" i="8"/>
  <c r="AON132" i="8"/>
  <c r="AOM132" i="8"/>
  <c r="AOL132" i="8"/>
  <c r="AOK132" i="8"/>
  <c r="AOJ132" i="8"/>
  <c r="AOI132" i="8"/>
  <c r="AOH132" i="8"/>
  <c r="AOG132" i="8"/>
  <c r="AOF132" i="8"/>
  <c r="AOE132" i="8"/>
  <c r="AOD132" i="8"/>
  <c r="AOC132" i="8"/>
  <c r="AOB132" i="8"/>
  <c r="AOA132" i="8"/>
  <c r="ANZ132" i="8"/>
  <c r="ANY132" i="8"/>
  <c r="ANX132" i="8"/>
  <c r="ANW132" i="8"/>
  <c r="ANV132" i="8"/>
  <c r="ANU132" i="8"/>
  <c r="ANT132" i="8"/>
  <c r="ANS132" i="8"/>
  <c r="ANR132" i="8"/>
  <c r="ANQ132" i="8"/>
  <c r="ANP132" i="8"/>
  <c r="ANO132" i="8"/>
  <c r="ANN132" i="8"/>
  <c r="ANM132" i="8"/>
  <c r="ANL132" i="8"/>
  <c r="ANK132" i="8"/>
  <c r="ANJ132" i="8"/>
  <c r="ANI132" i="8"/>
  <c r="ANH132" i="8"/>
  <c r="ANG132" i="8"/>
  <c r="ANF132" i="8"/>
  <c r="ANE132" i="8"/>
  <c r="AND132" i="8"/>
  <c r="ANC132" i="8"/>
  <c r="ANB132" i="8"/>
  <c r="ANA132" i="8"/>
  <c r="AMZ132" i="8"/>
  <c r="AMY132" i="8"/>
  <c r="AMX132" i="8"/>
  <c r="AMW132" i="8"/>
  <c r="AMV132" i="8"/>
  <c r="AMU132" i="8"/>
  <c r="AMT132" i="8"/>
  <c r="AMS132" i="8"/>
  <c r="AMR132" i="8"/>
  <c r="AMQ132" i="8"/>
  <c r="AMP132" i="8"/>
  <c r="AMO132" i="8"/>
  <c r="AMN132" i="8"/>
  <c r="AMM132" i="8"/>
  <c r="AML132" i="8"/>
  <c r="AMK132" i="8"/>
  <c r="AMJ132" i="8"/>
  <c r="AMI132" i="8"/>
  <c r="AMH132" i="8"/>
  <c r="AMG132" i="8"/>
  <c r="AMF132" i="8"/>
  <c r="AME132" i="8"/>
  <c r="AMD132" i="8"/>
  <c r="AMC132" i="8"/>
  <c r="AMB132" i="8"/>
  <c r="AMA132" i="8"/>
  <c r="ALZ132" i="8"/>
  <c r="ALY132" i="8"/>
  <c r="ALX132" i="8"/>
  <c r="ALW132" i="8"/>
  <c r="ALV132" i="8"/>
  <c r="ALU132" i="8"/>
  <c r="ALT132" i="8"/>
  <c r="ALS132" i="8"/>
  <c r="ALR132" i="8"/>
  <c r="ALQ132" i="8"/>
  <c r="ALP132" i="8"/>
  <c r="ALO132" i="8"/>
  <c r="ALN132" i="8"/>
  <c r="ALM132" i="8"/>
  <c r="ALL132" i="8"/>
  <c r="ALK132" i="8"/>
  <c r="ALJ132" i="8"/>
  <c r="ALI132" i="8"/>
  <c r="ALH132" i="8"/>
  <c r="ALG132" i="8"/>
  <c r="ALF132" i="8"/>
  <c r="ALE132" i="8"/>
  <c r="ALD132" i="8"/>
  <c r="ALC132" i="8"/>
  <c r="ALB132" i="8"/>
  <c r="ALA132" i="8"/>
  <c r="AKZ132" i="8"/>
  <c r="AKY132" i="8"/>
  <c r="AKX132" i="8"/>
  <c r="AKW132" i="8"/>
  <c r="AKV132" i="8"/>
  <c r="AKU132" i="8"/>
  <c r="AKT132" i="8"/>
  <c r="AKS132" i="8"/>
  <c r="AKR132" i="8"/>
  <c r="AKQ132" i="8"/>
  <c r="AKP132" i="8"/>
  <c r="AKO132" i="8"/>
  <c r="AKN132" i="8"/>
  <c r="AKM132" i="8"/>
  <c r="AKL132" i="8"/>
  <c r="AKK132" i="8"/>
  <c r="AKJ132" i="8"/>
  <c r="AKI132" i="8"/>
  <c r="AKH132" i="8"/>
  <c r="AKG132" i="8"/>
  <c r="AKF132" i="8"/>
  <c r="AKE132" i="8"/>
  <c r="AKD132" i="8"/>
  <c r="AKC132" i="8"/>
  <c r="AKB132" i="8"/>
  <c r="AKA132" i="8"/>
  <c r="AJZ132" i="8"/>
  <c r="AJY132" i="8"/>
  <c r="AJX132" i="8"/>
  <c r="AJW132" i="8"/>
  <c r="AJV132" i="8"/>
  <c r="AJU132" i="8"/>
  <c r="AJT132" i="8"/>
  <c r="AJS132" i="8"/>
  <c r="AJR132" i="8"/>
  <c r="AJQ132" i="8"/>
  <c r="AJP132" i="8"/>
  <c r="AJO132" i="8"/>
  <c r="AJN132" i="8"/>
  <c r="AJM132" i="8"/>
  <c r="AJL132" i="8"/>
  <c r="AJK132" i="8"/>
  <c r="AJJ132" i="8"/>
  <c r="AJI132" i="8"/>
  <c r="AJH132" i="8"/>
  <c r="AJG132" i="8"/>
  <c r="AJF132" i="8"/>
  <c r="AJE132" i="8"/>
  <c r="AJD132" i="8"/>
  <c r="AJC132" i="8"/>
  <c r="AJB132" i="8"/>
  <c r="AJA132" i="8"/>
  <c r="AIZ132" i="8"/>
  <c r="AIY132" i="8"/>
  <c r="AIX132" i="8"/>
  <c r="AIW132" i="8"/>
  <c r="AIV132" i="8"/>
  <c r="AIU132" i="8"/>
  <c r="AIT132" i="8"/>
  <c r="AIS132" i="8"/>
  <c r="AIR132" i="8"/>
  <c r="AIQ132" i="8"/>
  <c r="AIP132" i="8"/>
  <c r="AIO132" i="8"/>
  <c r="AIN132" i="8"/>
  <c r="AIM132" i="8"/>
  <c r="AIL132" i="8"/>
  <c r="AIK132" i="8"/>
  <c r="AIJ132" i="8"/>
  <c r="AII132" i="8"/>
  <c r="AIH132" i="8"/>
  <c r="AIG132" i="8"/>
  <c r="AIF132" i="8"/>
  <c r="AIE132" i="8"/>
  <c r="AID132" i="8"/>
  <c r="AIC132" i="8"/>
  <c r="AIB132" i="8"/>
  <c r="AIA132" i="8"/>
  <c r="AHZ132" i="8"/>
  <c r="AHY132" i="8"/>
  <c r="AHX132" i="8"/>
  <c r="AHW132" i="8"/>
  <c r="AHV132" i="8"/>
  <c r="AHU132" i="8"/>
  <c r="AHT132" i="8"/>
  <c r="AHS132" i="8"/>
  <c r="AHR132" i="8"/>
  <c r="AHQ132" i="8"/>
  <c r="AHP132" i="8"/>
  <c r="AHO132" i="8"/>
  <c r="AHN132" i="8"/>
  <c r="AHM132" i="8"/>
  <c r="AHL132" i="8"/>
  <c r="AHK132" i="8"/>
  <c r="AHJ132" i="8"/>
  <c r="AHI132" i="8"/>
  <c r="AHH132" i="8"/>
  <c r="AHG132" i="8"/>
  <c r="AHF132" i="8"/>
  <c r="AHE132" i="8"/>
  <c r="AHD132" i="8"/>
  <c r="AHC132" i="8"/>
  <c r="AHB132" i="8"/>
  <c r="AHA132" i="8"/>
  <c r="AGZ132" i="8"/>
  <c r="AGY132" i="8"/>
  <c r="AGX132" i="8"/>
  <c r="AGW132" i="8"/>
  <c r="AGV132" i="8"/>
  <c r="AGU132" i="8"/>
  <c r="AGT132" i="8"/>
  <c r="AGS132" i="8"/>
  <c r="AGR132" i="8"/>
  <c r="AGQ132" i="8"/>
  <c r="AGP132" i="8"/>
  <c r="AGO132" i="8"/>
  <c r="AGN132" i="8"/>
  <c r="AGM132" i="8"/>
  <c r="AGL132" i="8"/>
  <c r="AGK132" i="8"/>
  <c r="AGJ132" i="8"/>
  <c r="AGI132" i="8"/>
  <c r="AGH132" i="8"/>
  <c r="AGG132" i="8"/>
  <c r="AGF132" i="8"/>
  <c r="AGE132" i="8"/>
  <c r="AGD132" i="8"/>
  <c r="AGC132" i="8"/>
  <c r="AGB132" i="8"/>
  <c r="AGA132" i="8"/>
  <c r="AFZ132" i="8"/>
  <c r="AFY132" i="8"/>
  <c r="AFX132" i="8"/>
  <c r="AFW132" i="8"/>
  <c r="AFV132" i="8"/>
  <c r="AFU132" i="8"/>
  <c r="AFT132" i="8"/>
  <c r="AFS132" i="8"/>
  <c r="AFR132" i="8"/>
  <c r="AFQ132" i="8"/>
  <c r="AFP132" i="8"/>
  <c r="AFO132" i="8"/>
  <c r="AFN132" i="8"/>
  <c r="AFM132" i="8"/>
  <c r="AFL132" i="8"/>
  <c r="AFK132" i="8"/>
  <c r="AFJ132" i="8"/>
  <c r="AFI132" i="8"/>
  <c r="AFH132" i="8"/>
  <c r="AFG132" i="8"/>
  <c r="AFF132" i="8"/>
  <c r="AFE132" i="8"/>
  <c r="AFD132" i="8"/>
  <c r="AFC132" i="8"/>
  <c r="AFB132" i="8"/>
  <c r="AFA132" i="8"/>
  <c r="AEZ132" i="8"/>
  <c r="AEY132" i="8"/>
  <c r="AEX132" i="8"/>
  <c r="AEW132" i="8"/>
  <c r="AEV132" i="8"/>
  <c r="AEU132" i="8"/>
  <c r="AET132" i="8"/>
  <c r="AES132" i="8"/>
  <c r="AER132" i="8"/>
  <c r="AEQ132" i="8"/>
  <c r="AEP132" i="8"/>
  <c r="AEO132" i="8"/>
  <c r="AEN132" i="8"/>
  <c r="AEM132" i="8"/>
  <c r="AEL132" i="8"/>
  <c r="AEK132" i="8"/>
  <c r="AEJ132" i="8"/>
  <c r="AEI132" i="8"/>
  <c r="AEH132" i="8"/>
  <c r="AEG132" i="8"/>
  <c r="AEF132" i="8"/>
  <c r="AEE132" i="8"/>
  <c r="AED132" i="8"/>
  <c r="AEC132" i="8"/>
  <c r="AEB132" i="8"/>
  <c r="AEA132" i="8"/>
  <c r="ADZ132" i="8"/>
  <c r="ADY132" i="8"/>
  <c r="ADX132" i="8"/>
  <c r="ADW132" i="8"/>
  <c r="ADV132" i="8"/>
  <c r="ADU132" i="8"/>
  <c r="ADT132" i="8"/>
  <c r="ADS132" i="8"/>
  <c r="ADR132" i="8"/>
  <c r="ADQ132" i="8"/>
  <c r="ADP132" i="8"/>
  <c r="ADO132" i="8"/>
  <c r="ADN132" i="8"/>
  <c r="ADM132" i="8"/>
  <c r="ADL132" i="8"/>
  <c r="ADK132" i="8"/>
  <c r="ADJ132" i="8"/>
  <c r="ADI132" i="8"/>
  <c r="ADH132" i="8"/>
  <c r="ADG132" i="8"/>
  <c r="ADF132" i="8"/>
  <c r="ADE132" i="8"/>
  <c r="ADD132" i="8"/>
  <c r="ADC132" i="8"/>
  <c r="ADB132" i="8"/>
  <c r="ADA132" i="8"/>
  <c r="ACZ132" i="8"/>
  <c r="ACY132" i="8"/>
  <c r="ACX132" i="8"/>
  <c r="ACW132" i="8"/>
  <c r="ACV132" i="8"/>
  <c r="ACU132" i="8"/>
  <c r="ACT132" i="8"/>
  <c r="ACS132" i="8"/>
  <c r="ACR132" i="8"/>
  <c r="ACQ132" i="8"/>
  <c r="ACP132" i="8"/>
  <c r="ACO132" i="8"/>
  <c r="ACN132" i="8"/>
  <c r="ACM132" i="8"/>
  <c r="ACL132" i="8"/>
  <c r="ACK132" i="8"/>
  <c r="ACJ132" i="8"/>
  <c r="ACI132" i="8"/>
  <c r="ACH132" i="8"/>
  <c r="ACG132" i="8"/>
  <c r="ACF132" i="8"/>
  <c r="ACE132" i="8"/>
  <c r="ACD132" i="8"/>
  <c r="ACC132" i="8"/>
  <c r="ACB132" i="8"/>
  <c r="ACA132" i="8"/>
  <c r="ABZ132" i="8"/>
  <c r="ABY132" i="8"/>
  <c r="ABX132" i="8"/>
  <c r="ABW132" i="8"/>
  <c r="ABV132" i="8"/>
  <c r="ABU132" i="8"/>
  <c r="ABT132" i="8"/>
  <c r="ABS132" i="8"/>
  <c r="ABR132" i="8"/>
  <c r="ABQ132" i="8"/>
  <c r="ABP132" i="8"/>
  <c r="ABO132" i="8"/>
  <c r="ABN132" i="8"/>
  <c r="ABM132" i="8"/>
  <c r="ABL132" i="8"/>
  <c r="ABK132" i="8"/>
  <c r="ABJ132" i="8"/>
  <c r="ABI132" i="8"/>
  <c r="ABH132" i="8"/>
  <c r="ABG132" i="8"/>
  <c r="ABF132" i="8"/>
  <c r="ABE132" i="8"/>
  <c r="ABD132" i="8"/>
  <c r="ABC132" i="8"/>
  <c r="ABB132" i="8"/>
  <c r="ABA132" i="8"/>
  <c r="AAZ132" i="8"/>
  <c r="AAY132" i="8"/>
  <c r="AAX132" i="8"/>
  <c r="AAW132" i="8"/>
  <c r="AAV132" i="8"/>
  <c r="AAU132" i="8"/>
  <c r="AAT132" i="8"/>
  <c r="AAS132" i="8"/>
  <c r="AAR132" i="8"/>
  <c r="AAQ132" i="8"/>
  <c r="AAP132" i="8"/>
  <c r="AAO132" i="8"/>
  <c r="AAN132" i="8"/>
  <c r="AAM132" i="8"/>
  <c r="AAL132" i="8"/>
  <c r="AAK132" i="8"/>
  <c r="AAJ132" i="8"/>
  <c r="AAI132" i="8"/>
  <c r="AAH132" i="8"/>
  <c r="AAG132" i="8"/>
  <c r="AAF132" i="8"/>
  <c r="AAE132" i="8"/>
  <c r="AAD132" i="8"/>
  <c r="AAC132" i="8"/>
  <c r="AAB132" i="8"/>
  <c r="AAA132" i="8"/>
  <c r="ZZ132" i="8"/>
  <c r="ZY132" i="8"/>
  <c r="ZX132" i="8"/>
  <c r="ZW132" i="8"/>
  <c r="ZV132" i="8"/>
  <c r="ZU132" i="8"/>
  <c r="ZT132" i="8"/>
  <c r="ZS132" i="8"/>
  <c r="ZR132" i="8"/>
  <c r="ZQ132" i="8"/>
  <c r="ZP132" i="8"/>
  <c r="ZO132" i="8"/>
  <c r="ZN132" i="8"/>
  <c r="ZM132" i="8"/>
  <c r="ZL132" i="8"/>
  <c r="ZK132" i="8"/>
  <c r="ZJ132" i="8"/>
  <c r="ZI132" i="8"/>
  <c r="ZH132" i="8"/>
  <c r="ZG132" i="8"/>
  <c r="ZF132" i="8"/>
  <c r="ZE132" i="8"/>
  <c r="ZD132" i="8"/>
  <c r="ZC132" i="8"/>
  <c r="ZB132" i="8"/>
  <c r="ZA132" i="8"/>
  <c r="YZ132" i="8"/>
  <c r="YY132" i="8"/>
  <c r="YX132" i="8"/>
  <c r="YW132" i="8"/>
  <c r="YV132" i="8"/>
  <c r="YU132" i="8"/>
  <c r="YT132" i="8"/>
  <c r="YS132" i="8"/>
  <c r="YR132" i="8"/>
  <c r="YQ132" i="8"/>
  <c r="YP132" i="8"/>
  <c r="YO132" i="8"/>
  <c r="YN132" i="8"/>
  <c r="YM132" i="8"/>
  <c r="YL132" i="8"/>
  <c r="YK132" i="8"/>
  <c r="YJ132" i="8"/>
  <c r="YI132" i="8"/>
  <c r="YH132" i="8"/>
  <c r="YG132" i="8"/>
  <c r="YF132" i="8"/>
  <c r="YE132" i="8"/>
  <c r="YD132" i="8"/>
  <c r="YC132" i="8"/>
  <c r="YB132" i="8"/>
  <c r="YA132" i="8"/>
  <c r="XZ132" i="8"/>
  <c r="XY132" i="8"/>
  <c r="XX132" i="8"/>
  <c r="XW132" i="8"/>
  <c r="XV132" i="8"/>
  <c r="XU132" i="8"/>
  <c r="XT132" i="8"/>
  <c r="XS132" i="8"/>
  <c r="XR132" i="8"/>
  <c r="XQ132" i="8"/>
  <c r="XP132" i="8"/>
  <c r="XO132" i="8"/>
  <c r="XN132" i="8"/>
  <c r="XM132" i="8"/>
  <c r="XL132" i="8"/>
  <c r="XK132" i="8"/>
  <c r="XJ132" i="8"/>
  <c r="XI132" i="8"/>
  <c r="XH132" i="8"/>
  <c r="XG132" i="8"/>
  <c r="XF132" i="8"/>
  <c r="XE132" i="8"/>
  <c r="XD132" i="8"/>
  <c r="XC132" i="8"/>
  <c r="XB132" i="8"/>
  <c r="XA132" i="8"/>
  <c r="WZ132" i="8"/>
  <c r="WY132" i="8"/>
  <c r="WX132" i="8"/>
  <c r="WW132" i="8"/>
  <c r="WV132" i="8"/>
  <c r="WU132" i="8"/>
  <c r="WT132" i="8"/>
  <c r="WS132" i="8"/>
  <c r="WR132" i="8"/>
  <c r="WQ132" i="8"/>
  <c r="WP132" i="8"/>
  <c r="WO132" i="8"/>
  <c r="WN132" i="8"/>
  <c r="WM132" i="8"/>
  <c r="WL132" i="8"/>
  <c r="WK132" i="8"/>
  <c r="WJ132" i="8"/>
  <c r="WI132" i="8"/>
  <c r="WH132" i="8"/>
  <c r="WG132" i="8"/>
  <c r="WF132" i="8"/>
  <c r="WE132" i="8"/>
  <c r="WD132" i="8"/>
  <c r="WC132" i="8"/>
  <c r="WB132" i="8"/>
  <c r="WA132" i="8"/>
  <c r="VZ132" i="8"/>
  <c r="VY132" i="8"/>
  <c r="VX132" i="8"/>
  <c r="VW132" i="8"/>
  <c r="VV132" i="8"/>
  <c r="VU132" i="8"/>
  <c r="VT132" i="8"/>
  <c r="VS132" i="8"/>
  <c r="VR132" i="8"/>
  <c r="VQ132" i="8"/>
  <c r="VP132" i="8"/>
  <c r="VO132" i="8"/>
  <c r="VN132" i="8"/>
  <c r="VM132" i="8"/>
  <c r="VL132" i="8"/>
  <c r="VK132" i="8"/>
  <c r="VJ132" i="8"/>
  <c r="VI132" i="8"/>
  <c r="VH132" i="8"/>
  <c r="VG132" i="8"/>
  <c r="VF132" i="8"/>
  <c r="VE132" i="8"/>
  <c r="VD132" i="8"/>
  <c r="VC132" i="8"/>
  <c r="VB132" i="8"/>
  <c r="VA132" i="8"/>
  <c r="UZ132" i="8"/>
  <c r="UY132" i="8"/>
  <c r="UX132" i="8"/>
  <c r="UW132" i="8"/>
  <c r="UV132" i="8"/>
  <c r="UU132" i="8"/>
  <c r="UT132" i="8"/>
  <c r="US132" i="8"/>
  <c r="UR132" i="8"/>
  <c r="UQ132" i="8"/>
  <c r="UP132" i="8"/>
  <c r="UO132" i="8"/>
  <c r="UN132" i="8"/>
  <c r="UM132" i="8"/>
  <c r="UL132" i="8"/>
  <c r="UK132" i="8"/>
  <c r="UJ132" i="8"/>
  <c r="UI132" i="8"/>
  <c r="UH132" i="8"/>
  <c r="UG132" i="8"/>
  <c r="UF132" i="8"/>
  <c r="UE132" i="8"/>
  <c r="UD132" i="8"/>
  <c r="UC132" i="8"/>
  <c r="UB132" i="8"/>
  <c r="UA132" i="8"/>
  <c r="TZ132" i="8"/>
  <c r="TY132" i="8"/>
  <c r="TX132" i="8"/>
  <c r="TW132" i="8"/>
  <c r="TV132" i="8"/>
  <c r="TU132" i="8"/>
  <c r="TT132" i="8"/>
  <c r="TS132" i="8"/>
  <c r="TR132" i="8"/>
  <c r="TQ132" i="8"/>
  <c r="TP132" i="8"/>
  <c r="TO132" i="8"/>
  <c r="TN132" i="8"/>
  <c r="TM132" i="8"/>
  <c r="TL132" i="8"/>
  <c r="TK132" i="8"/>
  <c r="TJ132" i="8"/>
  <c r="TI132" i="8"/>
  <c r="TH132" i="8"/>
  <c r="TG132" i="8"/>
  <c r="TF132" i="8"/>
  <c r="TE132" i="8"/>
  <c r="TD132" i="8"/>
  <c r="TC132" i="8"/>
  <c r="TB132" i="8"/>
  <c r="TA132" i="8"/>
  <c r="SZ132" i="8"/>
  <c r="SY132" i="8"/>
  <c r="SX132" i="8"/>
  <c r="SW132" i="8"/>
  <c r="SV132" i="8"/>
  <c r="SU132" i="8"/>
  <c r="ST132" i="8"/>
  <c r="SS132" i="8"/>
  <c r="SR132" i="8"/>
  <c r="SQ132" i="8"/>
  <c r="SP132" i="8"/>
  <c r="SO132" i="8"/>
  <c r="SN132" i="8"/>
  <c r="SM132" i="8"/>
  <c r="SL132" i="8"/>
  <c r="SK132" i="8"/>
  <c r="SJ132" i="8"/>
  <c r="SI132" i="8"/>
  <c r="SH132" i="8"/>
  <c r="SG132" i="8"/>
  <c r="SF132" i="8"/>
  <c r="SE132" i="8"/>
  <c r="SD132" i="8"/>
  <c r="SC132" i="8"/>
  <c r="SB132" i="8"/>
  <c r="SA132" i="8"/>
  <c r="RZ132" i="8"/>
  <c r="RY132" i="8"/>
  <c r="RX132" i="8"/>
  <c r="RW132" i="8"/>
  <c r="RV132" i="8"/>
  <c r="RU132" i="8"/>
  <c r="RT132" i="8"/>
  <c r="RS132" i="8"/>
  <c r="RR132" i="8"/>
  <c r="RQ132" i="8"/>
  <c r="RP132" i="8"/>
  <c r="RO132" i="8"/>
  <c r="RN132" i="8"/>
  <c r="RM132" i="8"/>
  <c r="RL132" i="8"/>
  <c r="RK132" i="8"/>
  <c r="RJ132" i="8"/>
  <c r="RI132" i="8"/>
  <c r="RH132" i="8"/>
  <c r="RG132" i="8"/>
  <c r="RF132" i="8"/>
  <c r="RE132" i="8"/>
  <c r="RD132" i="8"/>
  <c r="RC132" i="8"/>
  <c r="RB132" i="8"/>
  <c r="RA132" i="8"/>
  <c r="QZ132" i="8"/>
  <c r="QY132" i="8"/>
  <c r="QX132" i="8"/>
  <c r="QW132" i="8"/>
  <c r="QV132" i="8"/>
  <c r="QU132" i="8"/>
  <c r="QT132" i="8"/>
  <c r="QS132" i="8"/>
  <c r="QR132" i="8"/>
  <c r="QQ132" i="8"/>
  <c r="QP132" i="8"/>
  <c r="QO132" i="8"/>
  <c r="QN132" i="8"/>
  <c r="QM132" i="8"/>
  <c r="QL132" i="8"/>
  <c r="QK132" i="8"/>
  <c r="QJ132" i="8"/>
  <c r="QI132" i="8"/>
  <c r="QH132" i="8"/>
  <c r="QG132" i="8"/>
  <c r="QF132" i="8"/>
  <c r="QE132" i="8"/>
  <c r="QD132" i="8"/>
  <c r="QC132" i="8"/>
  <c r="QB132" i="8"/>
  <c r="QA132" i="8"/>
  <c r="PZ132" i="8"/>
  <c r="PY132" i="8"/>
  <c r="PX132" i="8"/>
  <c r="PW132" i="8"/>
  <c r="PV132" i="8"/>
  <c r="PU132" i="8"/>
  <c r="PT132" i="8"/>
  <c r="PS132" i="8"/>
  <c r="PR132" i="8"/>
  <c r="PQ132" i="8"/>
  <c r="PP132" i="8"/>
  <c r="PO132" i="8"/>
  <c r="PN132" i="8"/>
  <c r="PM132" i="8"/>
  <c r="PL132" i="8"/>
  <c r="PK132" i="8"/>
  <c r="PJ132" i="8"/>
  <c r="PI132" i="8"/>
  <c r="PH132" i="8"/>
  <c r="PG132" i="8"/>
  <c r="PF132" i="8"/>
  <c r="PE132" i="8"/>
  <c r="PD132" i="8"/>
  <c r="PC132" i="8"/>
  <c r="PB132" i="8"/>
  <c r="PA132" i="8"/>
  <c r="OZ132" i="8"/>
  <c r="OY132" i="8"/>
  <c r="OX132" i="8"/>
  <c r="OW132" i="8"/>
  <c r="OV132" i="8"/>
  <c r="OU132" i="8"/>
  <c r="OT132" i="8"/>
  <c r="OS132" i="8"/>
  <c r="OR132" i="8"/>
  <c r="OQ132" i="8"/>
  <c r="OP132" i="8"/>
  <c r="OO132" i="8"/>
  <c r="ON132" i="8"/>
  <c r="OM132" i="8"/>
  <c r="OL132" i="8"/>
  <c r="OK132" i="8"/>
  <c r="OJ132" i="8"/>
  <c r="OI132" i="8"/>
  <c r="OH132" i="8"/>
  <c r="OG132" i="8"/>
  <c r="OF132" i="8"/>
  <c r="OE132" i="8"/>
  <c r="OD132" i="8"/>
  <c r="OC132" i="8"/>
  <c r="OB132" i="8"/>
  <c r="OA132" i="8"/>
  <c r="NZ132" i="8"/>
  <c r="NY132" i="8"/>
  <c r="NX132" i="8"/>
  <c r="NW132" i="8"/>
  <c r="NV132" i="8"/>
  <c r="NU132" i="8"/>
  <c r="NT132" i="8"/>
  <c r="NS132" i="8"/>
  <c r="NR132" i="8"/>
  <c r="NQ132" i="8"/>
  <c r="NP132" i="8"/>
  <c r="NO132" i="8"/>
  <c r="NN132" i="8"/>
  <c r="NM132" i="8"/>
  <c r="NL132" i="8"/>
  <c r="NK132" i="8"/>
  <c r="NJ132" i="8"/>
  <c r="NI132" i="8"/>
  <c r="NH132" i="8"/>
  <c r="NG132" i="8"/>
  <c r="NF132" i="8"/>
  <c r="NE132" i="8"/>
  <c r="ND132" i="8"/>
  <c r="NC132" i="8"/>
  <c r="NB132" i="8"/>
  <c r="NA132" i="8"/>
  <c r="MZ132" i="8"/>
  <c r="MY132" i="8"/>
  <c r="MX132" i="8"/>
  <c r="MW132" i="8"/>
  <c r="MV132" i="8"/>
  <c r="MU132" i="8"/>
  <c r="MT132" i="8"/>
  <c r="MS132" i="8"/>
  <c r="MR132" i="8"/>
  <c r="MQ132" i="8"/>
  <c r="MP132" i="8"/>
  <c r="MO132" i="8"/>
  <c r="MN132" i="8"/>
  <c r="MM132" i="8"/>
  <c r="ML132" i="8"/>
  <c r="MK132" i="8"/>
  <c r="MJ132" i="8"/>
  <c r="MI132" i="8"/>
  <c r="MH132" i="8"/>
  <c r="MG132" i="8"/>
  <c r="MF132" i="8"/>
  <c r="ME132" i="8"/>
  <c r="MD132" i="8"/>
  <c r="MC132" i="8"/>
  <c r="MB132" i="8"/>
  <c r="MA132" i="8"/>
  <c r="LZ132" i="8"/>
  <c r="LY132" i="8"/>
  <c r="LX132" i="8"/>
  <c r="LW132" i="8"/>
  <c r="LV132" i="8"/>
  <c r="LU132" i="8"/>
  <c r="LT132" i="8"/>
  <c r="LS132" i="8"/>
  <c r="LR132" i="8"/>
  <c r="LQ132" i="8"/>
  <c r="LP132" i="8"/>
  <c r="LO132" i="8"/>
  <c r="LN132" i="8"/>
  <c r="LM132" i="8"/>
  <c r="LL132" i="8"/>
  <c r="LK132" i="8"/>
  <c r="LJ132" i="8"/>
  <c r="LI132" i="8"/>
  <c r="LH132" i="8"/>
  <c r="LG132" i="8"/>
  <c r="LF132" i="8"/>
  <c r="LE132" i="8"/>
  <c r="LD132" i="8"/>
  <c r="LC132" i="8"/>
  <c r="LB132" i="8"/>
  <c r="LA132" i="8"/>
  <c r="KZ132" i="8"/>
  <c r="KY132" i="8"/>
  <c r="KX132" i="8"/>
  <c r="KW132" i="8"/>
  <c r="KV132" i="8"/>
  <c r="KU132" i="8"/>
  <c r="KT132" i="8"/>
  <c r="KS132" i="8"/>
  <c r="KR132" i="8"/>
  <c r="KQ132" i="8"/>
  <c r="KP132" i="8"/>
  <c r="KO132" i="8"/>
  <c r="KN132" i="8"/>
  <c r="KM132" i="8"/>
  <c r="KL132" i="8"/>
  <c r="KK132" i="8"/>
  <c r="KJ132" i="8"/>
  <c r="KI132" i="8"/>
  <c r="KH132" i="8"/>
  <c r="KG132" i="8"/>
  <c r="KF132" i="8"/>
  <c r="KE132" i="8"/>
  <c r="KD132" i="8"/>
  <c r="KC132" i="8"/>
  <c r="KB132" i="8"/>
  <c r="KA132" i="8"/>
  <c r="JZ132" i="8"/>
  <c r="JY132" i="8"/>
  <c r="JX132" i="8"/>
  <c r="JW132" i="8"/>
  <c r="JV132" i="8"/>
  <c r="JU132" i="8"/>
  <c r="JT132" i="8"/>
  <c r="JS132" i="8"/>
  <c r="JR132" i="8"/>
  <c r="JQ132" i="8"/>
  <c r="JP132" i="8"/>
  <c r="JO132" i="8"/>
  <c r="JN132" i="8"/>
  <c r="JM132" i="8"/>
  <c r="JL132" i="8"/>
  <c r="JK132" i="8"/>
  <c r="JJ132" i="8"/>
  <c r="JI132" i="8"/>
  <c r="JH132" i="8"/>
  <c r="JG132" i="8"/>
  <c r="JF132" i="8"/>
  <c r="JE132" i="8"/>
  <c r="JD132" i="8"/>
  <c r="JC132" i="8"/>
  <c r="JB132" i="8"/>
  <c r="JA132" i="8"/>
  <c r="IZ132" i="8"/>
  <c r="IY132" i="8"/>
  <c r="IX132" i="8"/>
  <c r="IW132" i="8"/>
  <c r="IV132" i="8"/>
  <c r="IU132" i="8"/>
  <c r="IT132" i="8"/>
  <c r="IS132" i="8"/>
  <c r="IR132" i="8"/>
  <c r="IQ132" i="8"/>
  <c r="IP132" i="8"/>
  <c r="IO132" i="8"/>
  <c r="IN132" i="8"/>
  <c r="IM132" i="8"/>
  <c r="IL132" i="8"/>
  <c r="IK132" i="8"/>
  <c r="IJ132" i="8"/>
  <c r="II132" i="8"/>
  <c r="IH132" i="8"/>
  <c r="IG132" i="8"/>
  <c r="IF132" i="8"/>
  <c r="IE132" i="8"/>
  <c r="ID132" i="8"/>
  <c r="IC132" i="8"/>
  <c r="IB132" i="8"/>
  <c r="IA132" i="8"/>
  <c r="HZ132" i="8"/>
  <c r="HY132" i="8"/>
  <c r="HX132" i="8"/>
  <c r="HW132" i="8"/>
  <c r="HV132" i="8"/>
  <c r="HU132" i="8"/>
  <c r="HT132" i="8"/>
  <c r="HS132" i="8"/>
  <c r="HR132" i="8"/>
  <c r="HQ132" i="8"/>
  <c r="HP132" i="8"/>
  <c r="HO132" i="8"/>
  <c r="HN132" i="8"/>
  <c r="HM132" i="8"/>
  <c r="HL132" i="8"/>
  <c r="HK132" i="8"/>
  <c r="HJ132" i="8"/>
  <c r="HI132" i="8"/>
  <c r="HH132" i="8"/>
  <c r="HG132" i="8"/>
  <c r="HF132" i="8"/>
  <c r="HE132" i="8"/>
  <c r="HD132" i="8"/>
  <c r="HC132" i="8"/>
  <c r="HB132" i="8"/>
  <c r="HA132" i="8"/>
  <c r="GZ132" i="8"/>
  <c r="GY132" i="8"/>
  <c r="GX132" i="8"/>
  <c r="GW132" i="8"/>
  <c r="GV132" i="8"/>
  <c r="GU132" i="8"/>
  <c r="GT132" i="8"/>
  <c r="GS132" i="8"/>
  <c r="GR132" i="8"/>
  <c r="GQ132" i="8"/>
  <c r="GP132" i="8"/>
  <c r="GO132" i="8"/>
  <c r="GN132" i="8"/>
  <c r="GM132" i="8"/>
  <c r="GL132" i="8"/>
  <c r="GK132" i="8"/>
  <c r="GJ132" i="8"/>
  <c r="GI132" i="8"/>
  <c r="GH132" i="8"/>
  <c r="GG132" i="8"/>
  <c r="GF132" i="8"/>
  <c r="GE132" i="8"/>
  <c r="GD132" i="8"/>
  <c r="GC132" i="8"/>
  <c r="GB132" i="8"/>
  <c r="GA132" i="8"/>
  <c r="FZ132" i="8"/>
  <c r="FY132" i="8"/>
  <c r="FX132" i="8"/>
  <c r="FW132" i="8"/>
  <c r="FV132" i="8"/>
  <c r="FU132" i="8"/>
  <c r="FT132" i="8"/>
  <c r="FS132" i="8"/>
  <c r="FR132" i="8"/>
  <c r="FQ132" i="8"/>
  <c r="FP132" i="8"/>
  <c r="FO132" i="8"/>
  <c r="FN132" i="8"/>
  <c r="FM132" i="8"/>
  <c r="FL132" i="8"/>
  <c r="FK132" i="8"/>
  <c r="FJ132" i="8"/>
  <c r="FI132" i="8"/>
  <c r="FH132" i="8"/>
  <c r="FG132" i="8"/>
  <c r="FF132" i="8"/>
  <c r="FE132" i="8"/>
  <c r="FD132" i="8"/>
  <c r="FC132" i="8"/>
  <c r="FB132" i="8"/>
  <c r="FA132" i="8"/>
  <c r="EZ132" i="8"/>
  <c r="EY132" i="8"/>
  <c r="EX132" i="8"/>
  <c r="EW132" i="8"/>
  <c r="EV132" i="8"/>
  <c r="EU132" i="8"/>
  <c r="ET132" i="8"/>
  <c r="ES132" i="8"/>
  <c r="ER132" i="8"/>
  <c r="EQ132" i="8"/>
  <c r="EP132" i="8"/>
  <c r="EO132" i="8"/>
  <c r="EN132" i="8"/>
  <c r="EM132" i="8"/>
  <c r="EL132" i="8"/>
  <c r="EK132" i="8"/>
  <c r="EJ132" i="8"/>
  <c r="EI132" i="8"/>
  <c r="EH132" i="8"/>
  <c r="EG132" i="8"/>
  <c r="EF132" i="8"/>
  <c r="EE132" i="8"/>
  <c r="ED132" i="8"/>
  <c r="EC132" i="8"/>
  <c r="EB132" i="8"/>
  <c r="EA132" i="8"/>
  <c r="DZ132" i="8"/>
  <c r="DY132" i="8"/>
  <c r="DX132" i="8"/>
  <c r="DW132" i="8"/>
  <c r="DV132" i="8"/>
  <c r="DU132" i="8"/>
  <c r="DT132" i="8"/>
  <c r="DS132" i="8"/>
  <c r="DR132" i="8"/>
  <c r="DQ132" i="8"/>
  <c r="DP132" i="8"/>
  <c r="DO132" i="8"/>
  <c r="DN132" i="8"/>
  <c r="DM132" i="8"/>
  <c r="DL132" i="8"/>
  <c r="DK132" i="8"/>
  <c r="DJ132" i="8"/>
  <c r="DI132" i="8"/>
  <c r="DH132" i="8"/>
  <c r="DG132" i="8"/>
  <c r="DF132" i="8"/>
  <c r="DE132" i="8"/>
  <c r="DD132" i="8"/>
  <c r="DC132" i="8"/>
  <c r="DB132" i="8"/>
  <c r="DA132" i="8"/>
  <c r="CZ132" i="8"/>
  <c r="CY132" i="8"/>
  <c r="CX132" i="8"/>
  <c r="CW132" i="8"/>
  <c r="CV132" i="8"/>
  <c r="CU132" i="8"/>
  <c r="CT132" i="8"/>
  <c r="CS132" i="8"/>
  <c r="CR132" i="8"/>
  <c r="CQ132" i="8"/>
  <c r="CP132" i="8"/>
  <c r="CO132" i="8"/>
  <c r="CN132" i="8"/>
  <c r="CM132" i="8"/>
  <c r="CL132" i="8"/>
  <c r="CK132" i="8"/>
  <c r="CJ132" i="8"/>
  <c r="CI132" i="8"/>
  <c r="CH132" i="8"/>
  <c r="CG132" i="8"/>
  <c r="CF132" i="8"/>
  <c r="CE132" i="8"/>
  <c r="CD132" i="8"/>
  <c r="CC132" i="8"/>
  <c r="CB132" i="8"/>
  <c r="CA132" i="8"/>
  <c r="BZ132" i="8"/>
  <c r="BY132" i="8"/>
  <c r="BX132" i="8"/>
  <c r="BW132" i="8"/>
  <c r="BV132" i="8"/>
  <c r="BU132" i="8"/>
  <c r="BT132" i="8"/>
  <c r="BS132" i="8"/>
  <c r="BR132" i="8"/>
  <c r="BQ132" i="8"/>
  <c r="BP132" i="8"/>
  <c r="BO132" i="8"/>
  <c r="BN132" i="8"/>
  <c r="BM132" i="8"/>
  <c r="BL132" i="8"/>
  <c r="BK132" i="8"/>
  <c r="BJ132" i="8"/>
  <c r="BI132" i="8"/>
  <c r="BH132" i="8"/>
  <c r="BG132" i="8"/>
  <c r="BF132" i="8"/>
  <c r="BE132" i="8"/>
  <c r="BD132" i="8"/>
  <c r="BC132" i="8"/>
  <c r="BB132" i="8"/>
  <c r="BA132" i="8"/>
  <c r="AZ132" i="8"/>
  <c r="AY132" i="8"/>
  <c r="AX132" i="8"/>
  <c r="AW132" i="8"/>
  <c r="AV132" i="8"/>
  <c r="AU132" i="8"/>
  <c r="AT132" i="8"/>
  <c r="AS132" i="8"/>
  <c r="AR132" i="8"/>
  <c r="AQ132" i="8"/>
  <c r="AP132" i="8"/>
  <c r="AO132" i="8"/>
  <c r="AN132" i="8"/>
  <c r="AM132" i="8"/>
  <c r="AL132" i="8"/>
  <c r="AK132"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94" i="8"/>
  <c r="F93" i="8"/>
  <c r="E93" i="8"/>
  <c r="B93" i="8"/>
  <c r="F92" i="8"/>
  <c r="B92" i="8"/>
  <c r="F91" i="8"/>
  <c r="B91" i="8"/>
  <c r="F90" i="8"/>
  <c r="F89" i="8"/>
  <c r="B89" i="8"/>
  <c r="F88" i="8"/>
  <c r="B88" i="8"/>
  <c r="B87" i="8"/>
  <c r="F86" i="8"/>
  <c r="B86" i="8"/>
  <c r="B85" i="8"/>
  <c r="D82" i="8"/>
  <c r="D81" i="8"/>
  <c r="D78" i="8"/>
  <c r="D77" i="8"/>
  <c r="IQ66" i="8"/>
  <c r="IP66" i="8"/>
  <c r="IO66" i="8"/>
  <c r="IN66" i="8"/>
  <c r="IM66" i="8"/>
  <c r="IL66" i="8"/>
  <c r="IK66" i="8"/>
  <c r="IJ66" i="8"/>
  <c r="II66" i="8"/>
  <c r="IH66" i="8"/>
  <c r="IG66" i="8"/>
  <c r="IF66" i="8"/>
  <c r="IE66" i="8"/>
  <c r="ID66" i="8"/>
  <c r="IC66" i="8"/>
  <c r="IB66" i="8"/>
  <c r="IA66" i="8"/>
  <c r="HZ66" i="8"/>
  <c r="HY66" i="8"/>
  <c r="HX66" i="8"/>
  <c r="HW66" i="8"/>
  <c r="HV66" i="8"/>
  <c r="HU66" i="8"/>
  <c r="HT66" i="8"/>
  <c r="HS66" i="8"/>
  <c r="HR66" i="8"/>
  <c r="HQ66" i="8"/>
  <c r="HP66" i="8"/>
  <c r="HO66" i="8"/>
  <c r="HN66" i="8"/>
  <c r="HM66" i="8"/>
  <c r="HL66" i="8"/>
  <c r="HK66" i="8"/>
  <c r="HJ66" i="8"/>
  <c r="HI66" i="8"/>
  <c r="HH66" i="8"/>
  <c r="HG66" i="8"/>
  <c r="HF66" i="8"/>
  <c r="HE66" i="8"/>
  <c r="HD66" i="8"/>
  <c r="HC66" i="8"/>
  <c r="HB66" i="8"/>
  <c r="HA66" i="8"/>
  <c r="GZ66" i="8"/>
  <c r="GY66" i="8"/>
  <c r="GX66" i="8"/>
  <c r="GW66" i="8"/>
  <c r="GV66" i="8"/>
  <c r="GU66" i="8"/>
  <c r="GT66" i="8"/>
  <c r="GS66" i="8"/>
  <c r="GR66" i="8"/>
  <c r="GQ66" i="8"/>
  <c r="GP66" i="8"/>
  <c r="GO66" i="8"/>
  <c r="GN66" i="8"/>
  <c r="GM66" i="8"/>
  <c r="GL66" i="8"/>
  <c r="GK66" i="8"/>
  <c r="GJ66" i="8"/>
  <c r="GI66" i="8"/>
  <c r="GH66" i="8"/>
  <c r="GG66" i="8"/>
  <c r="GF66" i="8"/>
  <c r="GE66" i="8"/>
  <c r="GD66" i="8"/>
  <c r="GC66" i="8"/>
  <c r="GB66" i="8"/>
  <c r="GA66" i="8"/>
  <c r="FZ66" i="8"/>
  <c r="FY66" i="8"/>
  <c r="FX66" i="8"/>
  <c r="FW66" i="8"/>
  <c r="FV66" i="8"/>
  <c r="FU66" i="8"/>
  <c r="FT66" i="8"/>
  <c r="FS66" i="8"/>
  <c r="FR66" i="8"/>
  <c r="FQ66" i="8"/>
  <c r="FP66" i="8"/>
  <c r="FO66" i="8"/>
  <c r="FN66" i="8"/>
  <c r="FM66" i="8"/>
  <c r="FL66" i="8"/>
  <c r="FK66" i="8"/>
  <c r="FJ66" i="8"/>
  <c r="FI66" i="8"/>
  <c r="FH66" i="8"/>
  <c r="FG66" i="8"/>
  <c r="FF66" i="8"/>
  <c r="FE66" i="8"/>
  <c r="FD66" i="8"/>
  <c r="FC66" i="8"/>
  <c r="FB66" i="8"/>
  <c r="FA66" i="8"/>
  <c r="EZ66" i="8"/>
  <c r="EY66" i="8"/>
  <c r="EX66" i="8"/>
  <c r="EW66" i="8"/>
  <c r="EV66" i="8"/>
  <c r="EU66" i="8"/>
  <c r="ET66" i="8"/>
  <c r="ES66" i="8"/>
  <c r="ER66" i="8"/>
  <c r="EQ66" i="8"/>
  <c r="EP66" i="8"/>
  <c r="EO66" i="8"/>
  <c r="EN66" i="8"/>
  <c r="EM66" i="8"/>
  <c r="EL66" i="8"/>
  <c r="EK66" i="8"/>
  <c r="EJ66" i="8"/>
  <c r="EI66" i="8"/>
  <c r="EH66" i="8"/>
  <c r="EG66" i="8"/>
  <c r="EF66" i="8"/>
  <c r="EE66" i="8"/>
  <c r="ED66" i="8"/>
  <c r="EC66" i="8"/>
  <c r="EB66" i="8"/>
  <c r="EA66" i="8"/>
  <c r="DZ66" i="8"/>
  <c r="DY66" i="8"/>
  <c r="DX66" i="8"/>
  <c r="DW66" i="8"/>
  <c r="DV66" i="8"/>
  <c r="DU66" i="8"/>
  <c r="DT66" i="8"/>
  <c r="DS66" i="8"/>
  <c r="DR66" i="8"/>
  <c r="DQ66" i="8"/>
  <c r="DP66" i="8"/>
  <c r="DO66" i="8"/>
  <c r="DN66" i="8"/>
  <c r="DM66" i="8"/>
  <c r="DL66" i="8"/>
  <c r="DK66" i="8"/>
  <c r="DJ66" i="8"/>
  <c r="DI66" i="8"/>
  <c r="DH66" i="8"/>
  <c r="DG66" i="8"/>
  <c r="DF66" i="8"/>
  <c r="DE66" i="8"/>
  <c r="DD66" i="8"/>
  <c r="DC66" i="8"/>
  <c r="DB66" i="8"/>
  <c r="DA66" i="8"/>
  <c r="CZ66" i="8"/>
  <c r="CY66" i="8"/>
  <c r="CX66" i="8"/>
  <c r="CW66" i="8"/>
  <c r="CV66" i="8"/>
  <c r="CU66" i="8"/>
  <c r="CT66" i="8"/>
  <c r="CS66" i="8"/>
  <c r="CR66" i="8"/>
  <c r="CQ66" i="8"/>
  <c r="CP66" i="8"/>
  <c r="CO66" i="8"/>
  <c r="CN66" i="8"/>
  <c r="CM66" i="8"/>
  <c r="CL66" i="8"/>
  <c r="CK66" i="8"/>
  <c r="CJ66" i="8"/>
  <c r="CI66" i="8"/>
  <c r="CH66" i="8"/>
  <c r="CG66" i="8"/>
  <c r="CF66" i="8"/>
  <c r="CE66" i="8"/>
  <c r="CD66" i="8"/>
  <c r="CC66" i="8"/>
  <c r="CB66" i="8"/>
  <c r="CA66" i="8"/>
  <c r="BZ66" i="8"/>
  <c r="BY66" i="8"/>
  <c r="BX66" i="8"/>
  <c r="BW66" i="8"/>
  <c r="BV66" i="8"/>
  <c r="BU66" i="8"/>
  <c r="BT66" i="8"/>
  <c r="BS66" i="8"/>
  <c r="BR66" i="8"/>
  <c r="BQ66" i="8"/>
  <c r="BP66" i="8"/>
  <c r="BO66" i="8"/>
  <c r="BN66" i="8"/>
  <c r="BM66" i="8"/>
  <c r="BL66" i="8"/>
  <c r="BK66" i="8"/>
  <c r="BJ66" i="8"/>
  <c r="BI66" i="8"/>
  <c r="BH66" i="8"/>
  <c r="BG66" i="8"/>
  <c r="BF66" i="8"/>
  <c r="BE66" i="8"/>
  <c r="BD66" i="8"/>
  <c r="BC66" i="8"/>
  <c r="BB66" i="8"/>
  <c r="BA66" i="8"/>
  <c r="AZ66" i="8"/>
  <c r="AY66" i="8"/>
  <c r="AX66" i="8"/>
  <c r="AW66" i="8"/>
  <c r="AV66" i="8"/>
  <c r="AU66" i="8"/>
  <c r="AT66" i="8"/>
  <c r="AS66" i="8"/>
  <c r="AR66" i="8"/>
  <c r="AQ66" i="8"/>
  <c r="AP66" i="8"/>
  <c r="AO66" i="8"/>
  <c r="AN66" i="8"/>
  <c r="AM66" i="8"/>
  <c r="AL66" i="8"/>
  <c r="AK66" i="8"/>
  <c r="AJ66" i="8"/>
  <c r="AI66" i="8"/>
  <c r="AH66" i="8"/>
  <c r="AG66" i="8"/>
  <c r="AF66" i="8"/>
  <c r="AE66" i="8"/>
  <c r="AD66" i="8"/>
  <c r="AC66" i="8"/>
  <c r="AB66" i="8"/>
  <c r="AA66" i="8"/>
  <c r="Z66" i="8"/>
  <c r="Y66" i="8"/>
  <c r="X66" i="8"/>
  <c r="W66" i="8"/>
  <c r="V66" i="8"/>
  <c r="U66" i="8"/>
  <c r="T66" i="8"/>
  <c r="S66" i="8"/>
  <c r="R66" i="8"/>
  <c r="Q66" i="8"/>
  <c r="P66" i="8"/>
  <c r="O66" i="8"/>
  <c r="N66" i="8"/>
  <c r="M66" i="8"/>
  <c r="L66" i="8"/>
  <c r="K66" i="8"/>
  <c r="J66" i="8"/>
  <c r="I66" i="8"/>
  <c r="H66" i="8"/>
  <c r="G66" i="8"/>
  <c r="D66" i="8"/>
  <c r="D65" i="8"/>
  <c r="F56" i="8"/>
  <c r="F25" i="18" s="1"/>
  <c r="F55" i="8"/>
  <c r="F24" i="18" s="1"/>
  <c r="B35" i="8"/>
  <c r="F34" i="8"/>
  <c r="B21" i="8"/>
  <c r="F20" i="8"/>
  <c r="B19" i="8"/>
  <c r="F12" i="8"/>
  <c r="E12" i="8"/>
  <c r="F11" i="8"/>
  <c r="F9" i="8"/>
  <c r="C4" i="8"/>
  <c r="A3" i="8"/>
  <c r="A2" i="8"/>
  <c r="F76" i="7"/>
  <c r="F75" i="7"/>
  <c r="E75" i="7"/>
  <c r="F74" i="7"/>
  <c r="E74" i="7"/>
  <c r="F73" i="7"/>
  <c r="F72" i="7"/>
  <c r="F71" i="7"/>
  <c r="F66" i="7"/>
  <c r="B63" i="7"/>
  <c r="F60" i="7"/>
  <c r="F59" i="7"/>
  <c r="B59" i="7"/>
  <c r="F56" i="7"/>
  <c r="F55" i="7"/>
  <c r="B55" i="7"/>
  <c r="F51" i="7"/>
  <c r="B51" i="7"/>
  <c r="F50" i="7"/>
  <c r="B50" i="7"/>
  <c r="F49" i="7"/>
  <c r="B49" i="7"/>
  <c r="F48" i="7"/>
  <c r="B48" i="7"/>
  <c r="F47" i="7"/>
  <c r="B47" i="7"/>
  <c r="B46" i="7"/>
  <c r="F43" i="7"/>
  <c r="F42" i="7"/>
  <c r="F41" i="7"/>
  <c r="F54" i="8" s="1"/>
  <c r="F23" i="18" s="1"/>
  <c r="F38" i="7"/>
  <c r="F35" i="8" s="1"/>
  <c r="B38" i="7"/>
  <c r="F37" i="7"/>
  <c r="B37" i="7"/>
  <c r="B34" i="8" s="1"/>
  <c r="XFD36" i="7"/>
  <c r="XFC36" i="7"/>
  <c r="XFB36" i="7"/>
  <c r="XFA36" i="7"/>
  <c r="XEZ36" i="7"/>
  <c r="XEY36" i="7"/>
  <c r="XEX36" i="7"/>
  <c r="XEW36" i="7"/>
  <c r="XEV36" i="7"/>
  <c r="XEU36" i="7"/>
  <c r="XET36" i="7"/>
  <c r="XES36" i="7"/>
  <c r="XER36" i="7"/>
  <c r="XEQ36" i="7"/>
  <c r="XEP36" i="7"/>
  <c r="XEO36" i="7"/>
  <c r="XEN36" i="7"/>
  <c r="XEM36" i="7"/>
  <c r="XEL36" i="7"/>
  <c r="XEK36" i="7"/>
  <c r="XEJ36" i="7"/>
  <c r="XEI36" i="7"/>
  <c r="XEH36" i="7"/>
  <c r="XEG36" i="7"/>
  <c r="XEF36" i="7"/>
  <c r="XEE36" i="7"/>
  <c r="XED36" i="7"/>
  <c r="XEC36" i="7"/>
  <c r="XEB36" i="7"/>
  <c r="XEA36" i="7"/>
  <c r="XDZ36" i="7"/>
  <c r="XDY36" i="7"/>
  <c r="XDX36" i="7"/>
  <c r="XDW36" i="7"/>
  <c r="XDV36" i="7"/>
  <c r="XDU36" i="7"/>
  <c r="XDT36" i="7"/>
  <c r="XDS36" i="7"/>
  <c r="XDR36" i="7"/>
  <c r="XDQ36" i="7"/>
  <c r="XDP36" i="7"/>
  <c r="XDO36" i="7"/>
  <c r="XDN36" i="7"/>
  <c r="XDM36" i="7"/>
  <c r="XDL36" i="7"/>
  <c r="XDK36" i="7"/>
  <c r="XDJ36" i="7"/>
  <c r="XDI36" i="7"/>
  <c r="XDH36" i="7"/>
  <c r="XDG36" i="7"/>
  <c r="XDF36" i="7"/>
  <c r="XDE36" i="7"/>
  <c r="XDD36" i="7"/>
  <c r="XDC36" i="7"/>
  <c r="XDB36" i="7"/>
  <c r="XDA36" i="7"/>
  <c r="XCZ36" i="7"/>
  <c r="XCY36" i="7"/>
  <c r="XCX36" i="7"/>
  <c r="XCW36" i="7"/>
  <c r="XCV36" i="7"/>
  <c r="XCU36" i="7"/>
  <c r="XCT36" i="7"/>
  <c r="XCS36" i="7"/>
  <c r="XCR36" i="7"/>
  <c r="XCQ36" i="7"/>
  <c r="XCP36" i="7"/>
  <c r="XCO36" i="7"/>
  <c r="XCN36" i="7"/>
  <c r="XCM36" i="7"/>
  <c r="XCL36" i="7"/>
  <c r="XCK36" i="7"/>
  <c r="XCJ36" i="7"/>
  <c r="XCI36" i="7"/>
  <c r="XCH36" i="7"/>
  <c r="XCG36" i="7"/>
  <c r="XCF36" i="7"/>
  <c r="XCE36" i="7"/>
  <c r="XCD36" i="7"/>
  <c r="XCC36" i="7"/>
  <c r="XCB36" i="7"/>
  <c r="XCA36" i="7"/>
  <c r="XBZ36" i="7"/>
  <c r="XBY36" i="7"/>
  <c r="XBX36" i="7"/>
  <c r="XBW36" i="7"/>
  <c r="XBV36" i="7"/>
  <c r="XBU36" i="7"/>
  <c r="XBT36" i="7"/>
  <c r="XBS36" i="7"/>
  <c r="XBR36" i="7"/>
  <c r="XBQ36" i="7"/>
  <c r="XBP36" i="7"/>
  <c r="XBO36" i="7"/>
  <c r="XBN36" i="7"/>
  <c r="XBM36" i="7"/>
  <c r="XBL36" i="7"/>
  <c r="XBK36" i="7"/>
  <c r="XBJ36" i="7"/>
  <c r="XBI36" i="7"/>
  <c r="XBH36" i="7"/>
  <c r="XBG36" i="7"/>
  <c r="XBF36" i="7"/>
  <c r="XBE36" i="7"/>
  <c r="XBD36" i="7"/>
  <c r="XBC36" i="7"/>
  <c r="XBB36" i="7"/>
  <c r="XBA36" i="7"/>
  <c r="XAZ36" i="7"/>
  <c r="XAY36" i="7"/>
  <c r="XAX36" i="7"/>
  <c r="XAW36" i="7"/>
  <c r="XAV36" i="7"/>
  <c r="XAU36" i="7"/>
  <c r="XAT36" i="7"/>
  <c r="XAS36" i="7"/>
  <c r="XAR36" i="7"/>
  <c r="XAQ36" i="7"/>
  <c r="XAP36" i="7"/>
  <c r="XAO36" i="7"/>
  <c r="XAN36" i="7"/>
  <c r="XAM36" i="7"/>
  <c r="XAL36" i="7"/>
  <c r="XAK36" i="7"/>
  <c r="XAJ36" i="7"/>
  <c r="XAI36" i="7"/>
  <c r="XAH36" i="7"/>
  <c r="XAG36" i="7"/>
  <c r="XAF36" i="7"/>
  <c r="XAE36" i="7"/>
  <c r="XAD36" i="7"/>
  <c r="XAC36" i="7"/>
  <c r="XAB36" i="7"/>
  <c r="XAA36" i="7"/>
  <c r="WZZ36" i="7"/>
  <c r="WZY36" i="7"/>
  <c r="WZX36" i="7"/>
  <c r="WZW36" i="7"/>
  <c r="WZV36" i="7"/>
  <c r="WZU36" i="7"/>
  <c r="WZT36" i="7"/>
  <c r="WZS36" i="7"/>
  <c r="WZR36" i="7"/>
  <c r="WZQ36" i="7"/>
  <c r="WZP36" i="7"/>
  <c r="WZO36" i="7"/>
  <c r="WZN36" i="7"/>
  <c r="WZM36" i="7"/>
  <c r="WZL36" i="7"/>
  <c r="WZK36" i="7"/>
  <c r="WZJ36" i="7"/>
  <c r="WZI36" i="7"/>
  <c r="WZH36" i="7"/>
  <c r="WZG36" i="7"/>
  <c r="WZF36" i="7"/>
  <c r="WZE36" i="7"/>
  <c r="WZD36" i="7"/>
  <c r="WZC36" i="7"/>
  <c r="WZB36" i="7"/>
  <c r="WZA36" i="7"/>
  <c r="WYZ36" i="7"/>
  <c r="WYY36" i="7"/>
  <c r="WYX36" i="7"/>
  <c r="WYW36" i="7"/>
  <c r="WYV36" i="7"/>
  <c r="WYU36" i="7"/>
  <c r="WYT36" i="7"/>
  <c r="WYS36" i="7"/>
  <c r="WYR36" i="7"/>
  <c r="WYQ36" i="7"/>
  <c r="WYP36" i="7"/>
  <c r="WYO36" i="7"/>
  <c r="WYN36" i="7"/>
  <c r="WYM36" i="7"/>
  <c r="WYL36" i="7"/>
  <c r="WYK36" i="7"/>
  <c r="WYJ36" i="7"/>
  <c r="WYI36" i="7"/>
  <c r="WYH36" i="7"/>
  <c r="WYG36" i="7"/>
  <c r="WYF36" i="7"/>
  <c r="WYE36" i="7"/>
  <c r="WYD36" i="7"/>
  <c r="WYC36" i="7"/>
  <c r="WYB36" i="7"/>
  <c r="WYA36" i="7"/>
  <c r="WXZ36" i="7"/>
  <c r="WXY36" i="7"/>
  <c r="WXX36" i="7"/>
  <c r="WXW36" i="7"/>
  <c r="WXV36" i="7"/>
  <c r="WXU36" i="7"/>
  <c r="WXT36" i="7"/>
  <c r="WXS36" i="7"/>
  <c r="WXR36" i="7"/>
  <c r="WXQ36" i="7"/>
  <c r="WXP36" i="7"/>
  <c r="WXO36" i="7"/>
  <c r="WXN36" i="7"/>
  <c r="WXM36" i="7"/>
  <c r="WXL36" i="7"/>
  <c r="WXK36" i="7"/>
  <c r="WXJ36" i="7"/>
  <c r="WXI36" i="7"/>
  <c r="WXH36" i="7"/>
  <c r="WXG36" i="7"/>
  <c r="WXF36" i="7"/>
  <c r="WXE36" i="7"/>
  <c r="WXD36" i="7"/>
  <c r="WXC36" i="7"/>
  <c r="WXB36" i="7"/>
  <c r="WXA36" i="7"/>
  <c r="WWZ36" i="7"/>
  <c r="WWY36" i="7"/>
  <c r="WWX36" i="7"/>
  <c r="WWW36" i="7"/>
  <c r="WWV36" i="7"/>
  <c r="WWU36" i="7"/>
  <c r="WWT36" i="7"/>
  <c r="WWS36" i="7"/>
  <c r="WWR36" i="7"/>
  <c r="WWQ36" i="7"/>
  <c r="WWP36" i="7"/>
  <c r="WWO36" i="7"/>
  <c r="WWN36" i="7"/>
  <c r="WWM36" i="7"/>
  <c r="WWL36" i="7"/>
  <c r="WWK36" i="7"/>
  <c r="WWJ36" i="7"/>
  <c r="WWI36" i="7"/>
  <c r="WWH36" i="7"/>
  <c r="WWG36" i="7"/>
  <c r="WWF36" i="7"/>
  <c r="WWE36" i="7"/>
  <c r="WWD36" i="7"/>
  <c r="WWC36" i="7"/>
  <c r="WWB36" i="7"/>
  <c r="WWA36" i="7"/>
  <c r="WVZ36" i="7"/>
  <c r="WVY36" i="7"/>
  <c r="WVX36" i="7"/>
  <c r="WVW36" i="7"/>
  <c r="WVV36" i="7"/>
  <c r="WVU36" i="7"/>
  <c r="WVT36" i="7"/>
  <c r="WVS36" i="7"/>
  <c r="WVR36" i="7"/>
  <c r="WVQ36" i="7"/>
  <c r="WVP36" i="7"/>
  <c r="WVO36" i="7"/>
  <c r="WVN36" i="7"/>
  <c r="WVM36" i="7"/>
  <c r="WVL36" i="7"/>
  <c r="WVK36" i="7"/>
  <c r="WVJ36" i="7"/>
  <c r="WVI36" i="7"/>
  <c r="WVH36" i="7"/>
  <c r="WVG36" i="7"/>
  <c r="WVF36" i="7"/>
  <c r="WVE36" i="7"/>
  <c r="WVD36" i="7"/>
  <c r="WVC36" i="7"/>
  <c r="WVB36" i="7"/>
  <c r="WVA36" i="7"/>
  <c r="WUZ36" i="7"/>
  <c r="WUY36" i="7"/>
  <c r="WUX36" i="7"/>
  <c r="WUW36" i="7"/>
  <c r="WUV36" i="7"/>
  <c r="WUU36" i="7"/>
  <c r="WUT36" i="7"/>
  <c r="WUS36" i="7"/>
  <c r="WUR36" i="7"/>
  <c r="WUQ36" i="7"/>
  <c r="WUP36" i="7"/>
  <c r="WUO36" i="7"/>
  <c r="WUN36" i="7"/>
  <c r="WUM36" i="7"/>
  <c r="WUL36" i="7"/>
  <c r="WUK36" i="7"/>
  <c r="WUJ36" i="7"/>
  <c r="WUI36" i="7"/>
  <c r="WUH36" i="7"/>
  <c r="WUG36" i="7"/>
  <c r="WUF36" i="7"/>
  <c r="WUE36" i="7"/>
  <c r="WUD36" i="7"/>
  <c r="WUC36" i="7"/>
  <c r="WUB36" i="7"/>
  <c r="WUA36" i="7"/>
  <c r="WTZ36" i="7"/>
  <c r="WTY36" i="7"/>
  <c r="WTX36" i="7"/>
  <c r="WTW36" i="7"/>
  <c r="WTV36" i="7"/>
  <c r="WTU36" i="7"/>
  <c r="WTT36" i="7"/>
  <c r="WTS36" i="7"/>
  <c r="WTR36" i="7"/>
  <c r="WTQ36" i="7"/>
  <c r="WTP36" i="7"/>
  <c r="WTO36" i="7"/>
  <c r="WTN36" i="7"/>
  <c r="WTM36" i="7"/>
  <c r="WTL36" i="7"/>
  <c r="WTK36" i="7"/>
  <c r="WTJ36" i="7"/>
  <c r="WTI36" i="7"/>
  <c r="WTH36" i="7"/>
  <c r="WTG36" i="7"/>
  <c r="WTF36" i="7"/>
  <c r="WTE36" i="7"/>
  <c r="WTD36" i="7"/>
  <c r="WTC36" i="7"/>
  <c r="WTB36" i="7"/>
  <c r="WTA36" i="7"/>
  <c r="WSZ36" i="7"/>
  <c r="WSY36" i="7"/>
  <c r="WSX36" i="7"/>
  <c r="WSW36" i="7"/>
  <c r="WSV36" i="7"/>
  <c r="WSU36" i="7"/>
  <c r="WST36" i="7"/>
  <c r="WSS36" i="7"/>
  <c r="WSR36" i="7"/>
  <c r="WSQ36" i="7"/>
  <c r="WSP36" i="7"/>
  <c r="WSO36" i="7"/>
  <c r="WSN36" i="7"/>
  <c r="WSM36" i="7"/>
  <c r="WSL36" i="7"/>
  <c r="WSK36" i="7"/>
  <c r="WSJ36" i="7"/>
  <c r="WSI36" i="7"/>
  <c r="WSH36" i="7"/>
  <c r="WSG36" i="7"/>
  <c r="WSF36" i="7"/>
  <c r="WSE36" i="7"/>
  <c r="WSD36" i="7"/>
  <c r="WSC36" i="7"/>
  <c r="WSB36" i="7"/>
  <c r="WSA36" i="7"/>
  <c r="WRZ36" i="7"/>
  <c r="WRY36" i="7"/>
  <c r="WRX36" i="7"/>
  <c r="WRW36" i="7"/>
  <c r="WRV36" i="7"/>
  <c r="WRU36" i="7"/>
  <c r="WRT36" i="7"/>
  <c r="WRS36" i="7"/>
  <c r="WRR36" i="7"/>
  <c r="WRQ36" i="7"/>
  <c r="WRP36" i="7"/>
  <c r="WRO36" i="7"/>
  <c r="WRN36" i="7"/>
  <c r="WRM36" i="7"/>
  <c r="WRL36" i="7"/>
  <c r="WRK36" i="7"/>
  <c r="WRJ36" i="7"/>
  <c r="WRI36" i="7"/>
  <c r="WRH36" i="7"/>
  <c r="WRG36" i="7"/>
  <c r="WRF36" i="7"/>
  <c r="WRE36" i="7"/>
  <c r="WRD36" i="7"/>
  <c r="WRC36" i="7"/>
  <c r="WRB36" i="7"/>
  <c r="WRA36" i="7"/>
  <c r="WQZ36" i="7"/>
  <c r="WQY36" i="7"/>
  <c r="WQX36" i="7"/>
  <c r="WQW36" i="7"/>
  <c r="WQV36" i="7"/>
  <c r="WQU36" i="7"/>
  <c r="WQT36" i="7"/>
  <c r="WQS36" i="7"/>
  <c r="WQR36" i="7"/>
  <c r="WQQ36" i="7"/>
  <c r="WQP36" i="7"/>
  <c r="WQO36" i="7"/>
  <c r="WQN36" i="7"/>
  <c r="WQM36" i="7"/>
  <c r="WQL36" i="7"/>
  <c r="WQK36" i="7"/>
  <c r="WQJ36" i="7"/>
  <c r="WQI36" i="7"/>
  <c r="WQH36" i="7"/>
  <c r="WQG36" i="7"/>
  <c r="WQF36" i="7"/>
  <c r="WQE36" i="7"/>
  <c r="WQD36" i="7"/>
  <c r="WQC36" i="7"/>
  <c r="WQB36" i="7"/>
  <c r="WQA36" i="7"/>
  <c r="WPZ36" i="7"/>
  <c r="WPY36" i="7"/>
  <c r="WPX36" i="7"/>
  <c r="WPW36" i="7"/>
  <c r="WPV36" i="7"/>
  <c r="WPU36" i="7"/>
  <c r="WPT36" i="7"/>
  <c r="WPS36" i="7"/>
  <c r="WPR36" i="7"/>
  <c r="WPQ36" i="7"/>
  <c r="WPP36" i="7"/>
  <c r="WPO36" i="7"/>
  <c r="WPN36" i="7"/>
  <c r="WPM36" i="7"/>
  <c r="WPL36" i="7"/>
  <c r="WPK36" i="7"/>
  <c r="WPJ36" i="7"/>
  <c r="WPI36" i="7"/>
  <c r="WPH36" i="7"/>
  <c r="WPG36" i="7"/>
  <c r="WPF36" i="7"/>
  <c r="WPE36" i="7"/>
  <c r="WPD36" i="7"/>
  <c r="WPC36" i="7"/>
  <c r="WPB36" i="7"/>
  <c r="WPA36" i="7"/>
  <c r="WOZ36" i="7"/>
  <c r="WOY36" i="7"/>
  <c r="WOX36" i="7"/>
  <c r="WOW36" i="7"/>
  <c r="WOV36" i="7"/>
  <c r="WOU36" i="7"/>
  <c r="WOT36" i="7"/>
  <c r="WOS36" i="7"/>
  <c r="WOR36" i="7"/>
  <c r="WOQ36" i="7"/>
  <c r="WOP36" i="7"/>
  <c r="WOO36" i="7"/>
  <c r="WON36" i="7"/>
  <c r="WOM36" i="7"/>
  <c r="WOL36" i="7"/>
  <c r="WOK36" i="7"/>
  <c r="WOJ36" i="7"/>
  <c r="WOI36" i="7"/>
  <c r="WOH36" i="7"/>
  <c r="WOG36" i="7"/>
  <c r="WOF36" i="7"/>
  <c r="WOE36" i="7"/>
  <c r="WOD36" i="7"/>
  <c r="WOC36" i="7"/>
  <c r="WOB36" i="7"/>
  <c r="WOA36" i="7"/>
  <c r="WNZ36" i="7"/>
  <c r="WNY36" i="7"/>
  <c r="WNX36" i="7"/>
  <c r="WNW36" i="7"/>
  <c r="WNV36" i="7"/>
  <c r="WNU36" i="7"/>
  <c r="WNT36" i="7"/>
  <c r="WNS36" i="7"/>
  <c r="WNR36" i="7"/>
  <c r="WNQ36" i="7"/>
  <c r="WNP36" i="7"/>
  <c r="WNO36" i="7"/>
  <c r="WNN36" i="7"/>
  <c r="WNM36" i="7"/>
  <c r="WNL36" i="7"/>
  <c r="WNK36" i="7"/>
  <c r="WNJ36" i="7"/>
  <c r="WNI36" i="7"/>
  <c r="WNH36" i="7"/>
  <c r="WNG36" i="7"/>
  <c r="WNF36" i="7"/>
  <c r="WNE36" i="7"/>
  <c r="WND36" i="7"/>
  <c r="WNC36" i="7"/>
  <c r="WNB36" i="7"/>
  <c r="WNA36" i="7"/>
  <c r="WMZ36" i="7"/>
  <c r="WMY36" i="7"/>
  <c r="WMX36" i="7"/>
  <c r="WMW36" i="7"/>
  <c r="WMV36" i="7"/>
  <c r="WMU36" i="7"/>
  <c r="WMT36" i="7"/>
  <c r="WMS36" i="7"/>
  <c r="WMR36" i="7"/>
  <c r="WMQ36" i="7"/>
  <c r="WMP36" i="7"/>
  <c r="WMO36" i="7"/>
  <c r="WMN36" i="7"/>
  <c r="WMM36" i="7"/>
  <c r="WML36" i="7"/>
  <c r="WMK36" i="7"/>
  <c r="WMJ36" i="7"/>
  <c r="WMI36" i="7"/>
  <c r="WMH36" i="7"/>
  <c r="WMG36" i="7"/>
  <c r="WMF36" i="7"/>
  <c r="WME36" i="7"/>
  <c r="WMD36" i="7"/>
  <c r="WMC36" i="7"/>
  <c r="WMB36" i="7"/>
  <c r="WMA36" i="7"/>
  <c r="WLZ36" i="7"/>
  <c r="WLY36" i="7"/>
  <c r="WLX36" i="7"/>
  <c r="WLW36" i="7"/>
  <c r="WLV36" i="7"/>
  <c r="WLU36" i="7"/>
  <c r="WLT36" i="7"/>
  <c r="WLS36" i="7"/>
  <c r="WLR36" i="7"/>
  <c r="WLQ36" i="7"/>
  <c r="WLP36" i="7"/>
  <c r="WLO36" i="7"/>
  <c r="WLN36" i="7"/>
  <c r="WLM36" i="7"/>
  <c r="WLL36" i="7"/>
  <c r="WLK36" i="7"/>
  <c r="WLJ36" i="7"/>
  <c r="WLI36" i="7"/>
  <c r="WLH36" i="7"/>
  <c r="WLG36" i="7"/>
  <c r="WLF36" i="7"/>
  <c r="WLE36" i="7"/>
  <c r="WLD36" i="7"/>
  <c r="WLC36" i="7"/>
  <c r="WLB36" i="7"/>
  <c r="WLA36" i="7"/>
  <c r="WKZ36" i="7"/>
  <c r="WKY36" i="7"/>
  <c r="WKX36" i="7"/>
  <c r="WKW36" i="7"/>
  <c r="WKV36" i="7"/>
  <c r="WKU36" i="7"/>
  <c r="WKT36" i="7"/>
  <c r="WKS36" i="7"/>
  <c r="WKR36" i="7"/>
  <c r="WKQ36" i="7"/>
  <c r="WKP36" i="7"/>
  <c r="WKO36" i="7"/>
  <c r="WKN36" i="7"/>
  <c r="WKM36" i="7"/>
  <c r="WKL36" i="7"/>
  <c r="WKK36" i="7"/>
  <c r="WKJ36" i="7"/>
  <c r="WKI36" i="7"/>
  <c r="WKH36" i="7"/>
  <c r="WKG36" i="7"/>
  <c r="WKF36" i="7"/>
  <c r="WKE36" i="7"/>
  <c r="WKD36" i="7"/>
  <c r="WKC36" i="7"/>
  <c r="WKB36" i="7"/>
  <c r="WKA36" i="7"/>
  <c r="WJZ36" i="7"/>
  <c r="WJY36" i="7"/>
  <c r="WJX36" i="7"/>
  <c r="WJW36" i="7"/>
  <c r="WJV36" i="7"/>
  <c r="WJU36" i="7"/>
  <c r="WJT36" i="7"/>
  <c r="WJS36" i="7"/>
  <c r="WJR36" i="7"/>
  <c r="WJQ36" i="7"/>
  <c r="WJP36" i="7"/>
  <c r="WJO36" i="7"/>
  <c r="WJN36" i="7"/>
  <c r="WJM36" i="7"/>
  <c r="WJL36" i="7"/>
  <c r="WJK36" i="7"/>
  <c r="WJJ36" i="7"/>
  <c r="WJI36" i="7"/>
  <c r="WJH36" i="7"/>
  <c r="WJG36" i="7"/>
  <c r="WJF36" i="7"/>
  <c r="WJE36" i="7"/>
  <c r="WJD36" i="7"/>
  <c r="WJC36" i="7"/>
  <c r="WJB36" i="7"/>
  <c r="WJA36" i="7"/>
  <c r="WIZ36" i="7"/>
  <c r="WIY36" i="7"/>
  <c r="WIX36" i="7"/>
  <c r="WIW36" i="7"/>
  <c r="WIV36" i="7"/>
  <c r="WIU36" i="7"/>
  <c r="WIT36" i="7"/>
  <c r="WIS36" i="7"/>
  <c r="WIR36" i="7"/>
  <c r="WIQ36" i="7"/>
  <c r="WIP36" i="7"/>
  <c r="WIO36" i="7"/>
  <c r="WIN36" i="7"/>
  <c r="WIM36" i="7"/>
  <c r="WIL36" i="7"/>
  <c r="WIK36" i="7"/>
  <c r="WIJ36" i="7"/>
  <c r="WII36" i="7"/>
  <c r="WIH36" i="7"/>
  <c r="WIG36" i="7"/>
  <c r="WIF36" i="7"/>
  <c r="WIE36" i="7"/>
  <c r="WID36" i="7"/>
  <c r="WIC36" i="7"/>
  <c r="WIB36" i="7"/>
  <c r="WIA36" i="7"/>
  <c r="WHZ36" i="7"/>
  <c r="WHY36" i="7"/>
  <c r="WHX36" i="7"/>
  <c r="WHW36" i="7"/>
  <c r="WHV36" i="7"/>
  <c r="WHU36" i="7"/>
  <c r="WHT36" i="7"/>
  <c r="WHS36" i="7"/>
  <c r="WHR36" i="7"/>
  <c r="WHQ36" i="7"/>
  <c r="WHP36" i="7"/>
  <c r="WHO36" i="7"/>
  <c r="WHN36" i="7"/>
  <c r="WHM36" i="7"/>
  <c r="WHL36" i="7"/>
  <c r="WHK36" i="7"/>
  <c r="WHJ36" i="7"/>
  <c r="WHI36" i="7"/>
  <c r="WHH36" i="7"/>
  <c r="WHG36" i="7"/>
  <c r="WHF36" i="7"/>
  <c r="WHE36" i="7"/>
  <c r="WHD36" i="7"/>
  <c r="WHC36" i="7"/>
  <c r="WHB36" i="7"/>
  <c r="WHA36" i="7"/>
  <c r="WGZ36" i="7"/>
  <c r="WGY36" i="7"/>
  <c r="WGX36" i="7"/>
  <c r="WGW36" i="7"/>
  <c r="WGV36" i="7"/>
  <c r="WGU36" i="7"/>
  <c r="WGT36" i="7"/>
  <c r="WGS36" i="7"/>
  <c r="WGR36" i="7"/>
  <c r="WGQ36" i="7"/>
  <c r="WGP36" i="7"/>
  <c r="WGO36" i="7"/>
  <c r="WGN36" i="7"/>
  <c r="WGM36" i="7"/>
  <c r="WGL36" i="7"/>
  <c r="WGK36" i="7"/>
  <c r="WGJ36" i="7"/>
  <c r="WGI36" i="7"/>
  <c r="WGH36" i="7"/>
  <c r="WGG36" i="7"/>
  <c r="WGF36" i="7"/>
  <c r="WGE36" i="7"/>
  <c r="WGD36" i="7"/>
  <c r="WGC36" i="7"/>
  <c r="WGB36" i="7"/>
  <c r="WGA36" i="7"/>
  <c r="WFZ36" i="7"/>
  <c r="WFY36" i="7"/>
  <c r="WFX36" i="7"/>
  <c r="WFW36" i="7"/>
  <c r="WFV36" i="7"/>
  <c r="WFU36" i="7"/>
  <c r="WFT36" i="7"/>
  <c r="WFS36" i="7"/>
  <c r="WFR36" i="7"/>
  <c r="WFQ36" i="7"/>
  <c r="WFP36" i="7"/>
  <c r="WFO36" i="7"/>
  <c r="WFN36" i="7"/>
  <c r="WFM36" i="7"/>
  <c r="WFL36" i="7"/>
  <c r="WFK36" i="7"/>
  <c r="WFJ36" i="7"/>
  <c r="WFI36" i="7"/>
  <c r="WFH36" i="7"/>
  <c r="WFG36" i="7"/>
  <c r="WFF36" i="7"/>
  <c r="WFE36" i="7"/>
  <c r="WFD36" i="7"/>
  <c r="WFC36" i="7"/>
  <c r="WFB36" i="7"/>
  <c r="WFA36" i="7"/>
  <c r="WEZ36" i="7"/>
  <c r="WEY36" i="7"/>
  <c r="WEX36" i="7"/>
  <c r="WEW36" i="7"/>
  <c r="WEV36" i="7"/>
  <c r="WEU36" i="7"/>
  <c r="WET36" i="7"/>
  <c r="WES36" i="7"/>
  <c r="WER36" i="7"/>
  <c r="WEQ36" i="7"/>
  <c r="WEP36" i="7"/>
  <c r="WEO36" i="7"/>
  <c r="WEN36" i="7"/>
  <c r="WEM36" i="7"/>
  <c r="WEL36" i="7"/>
  <c r="WEK36" i="7"/>
  <c r="WEJ36" i="7"/>
  <c r="WEI36" i="7"/>
  <c r="WEH36" i="7"/>
  <c r="WEG36" i="7"/>
  <c r="WEF36" i="7"/>
  <c r="WEE36" i="7"/>
  <c r="WED36" i="7"/>
  <c r="WEC36" i="7"/>
  <c r="WEB36" i="7"/>
  <c r="WEA36" i="7"/>
  <c r="WDZ36" i="7"/>
  <c r="WDY36" i="7"/>
  <c r="WDX36" i="7"/>
  <c r="WDW36" i="7"/>
  <c r="WDV36" i="7"/>
  <c r="WDU36" i="7"/>
  <c r="WDT36" i="7"/>
  <c r="WDS36" i="7"/>
  <c r="WDR36" i="7"/>
  <c r="WDQ36" i="7"/>
  <c r="WDP36" i="7"/>
  <c r="WDO36" i="7"/>
  <c r="WDN36" i="7"/>
  <c r="WDM36" i="7"/>
  <c r="WDL36" i="7"/>
  <c r="WDK36" i="7"/>
  <c r="WDJ36" i="7"/>
  <c r="WDI36" i="7"/>
  <c r="WDH36" i="7"/>
  <c r="WDG36" i="7"/>
  <c r="WDF36" i="7"/>
  <c r="WDE36" i="7"/>
  <c r="WDD36" i="7"/>
  <c r="WDC36" i="7"/>
  <c r="WDB36" i="7"/>
  <c r="WDA36" i="7"/>
  <c r="WCZ36" i="7"/>
  <c r="WCY36" i="7"/>
  <c r="WCX36" i="7"/>
  <c r="WCW36" i="7"/>
  <c r="WCV36" i="7"/>
  <c r="WCU36" i="7"/>
  <c r="WCT36" i="7"/>
  <c r="WCS36" i="7"/>
  <c r="WCR36" i="7"/>
  <c r="WCQ36" i="7"/>
  <c r="WCP36" i="7"/>
  <c r="WCO36" i="7"/>
  <c r="WCN36" i="7"/>
  <c r="WCM36" i="7"/>
  <c r="WCL36" i="7"/>
  <c r="WCK36" i="7"/>
  <c r="WCJ36" i="7"/>
  <c r="WCI36" i="7"/>
  <c r="WCH36" i="7"/>
  <c r="WCG36" i="7"/>
  <c r="WCF36" i="7"/>
  <c r="WCE36" i="7"/>
  <c r="WCD36" i="7"/>
  <c r="WCC36" i="7"/>
  <c r="WCB36" i="7"/>
  <c r="WCA36" i="7"/>
  <c r="WBZ36" i="7"/>
  <c r="WBY36" i="7"/>
  <c r="WBX36" i="7"/>
  <c r="WBW36" i="7"/>
  <c r="WBV36" i="7"/>
  <c r="WBU36" i="7"/>
  <c r="WBT36" i="7"/>
  <c r="WBS36" i="7"/>
  <c r="WBR36" i="7"/>
  <c r="WBQ36" i="7"/>
  <c r="WBP36" i="7"/>
  <c r="WBO36" i="7"/>
  <c r="WBN36" i="7"/>
  <c r="WBM36" i="7"/>
  <c r="WBL36" i="7"/>
  <c r="WBK36" i="7"/>
  <c r="WBJ36" i="7"/>
  <c r="WBI36" i="7"/>
  <c r="WBH36" i="7"/>
  <c r="WBG36" i="7"/>
  <c r="WBF36" i="7"/>
  <c r="WBE36" i="7"/>
  <c r="WBD36" i="7"/>
  <c r="WBC36" i="7"/>
  <c r="WBB36" i="7"/>
  <c r="WBA36" i="7"/>
  <c r="WAZ36" i="7"/>
  <c r="WAY36" i="7"/>
  <c r="WAX36" i="7"/>
  <c r="WAW36" i="7"/>
  <c r="WAV36" i="7"/>
  <c r="WAU36" i="7"/>
  <c r="WAT36" i="7"/>
  <c r="WAS36" i="7"/>
  <c r="WAR36" i="7"/>
  <c r="WAQ36" i="7"/>
  <c r="WAP36" i="7"/>
  <c r="WAO36" i="7"/>
  <c r="WAN36" i="7"/>
  <c r="WAM36" i="7"/>
  <c r="WAL36" i="7"/>
  <c r="WAK36" i="7"/>
  <c r="WAJ36" i="7"/>
  <c r="WAI36" i="7"/>
  <c r="WAH36" i="7"/>
  <c r="WAG36" i="7"/>
  <c r="WAF36" i="7"/>
  <c r="WAE36" i="7"/>
  <c r="WAD36" i="7"/>
  <c r="WAC36" i="7"/>
  <c r="WAB36" i="7"/>
  <c r="WAA36" i="7"/>
  <c r="VZZ36" i="7"/>
  <c r="VZY36" i="7"/>
  <c r="VZX36" i="7"/>
  <c r="VZW36" i="7"/>
  <c r="VZV36" i="7"/>
  <c r="VZU36" i="7"/>
  <c r="VZT36" i="7"/>
  <c r="VZS36" i="7"/>
  <c r="VZR36" i="7"/>
  <c r="VZQ36" i="7"/>
  <c r="VZP36" i="7"/>
  <c r="VZO36" i="7"/>
  <c r="VZN36" i="7"/>
  <c r="VZM36" i="7"/>
  <c r="VZL36" i="7"/>
  <c r="VZK36" i="7"/>
  <c r="VZJ36" i="7"/>
  <c r="VZI36" i="7"/>
  <c r="VZH36" i="7"/>
  <c r="VZG36" i="7"/>
  <c r="VZF36" i="7"/>
  <c r="VZE36" i="7"/>
  <c r="VZD36" i="7"/>
  <c r="VZC36" i="7"/>
  <c r="VZB36" i="7"/>
  <c r="VZA36" i="7"/>
  <c r="VYZ36" i="7"/>
  <c r="VYY36" i="7"/>
  <c r="VYX36" i="7"/>
  <c r="VYW36" i="7"/>
  <c r="VYV36" i="7"/>
  <c r="VYU36" i="7"/>
  <c r="VYT36" i="7"/>
  <c r="VYS36" i="7"/>
  <c r="VYR36" i="7"/>
  <c r="VYQ36" i="7"/>
  <c r="VYP36" i="7"/>
  <c r="VYO36" i="7"/>
  <c r="VYN36" i="7"/>
  <c r="VYM36" i="7"/>
  <c r="VYL36" i="7"/>
  <c r="VYK36" i="7"/>
  <c r="VYJ36" i="7"/>
  <c r="VYI36" i="7"/>
  <c r="VYH36" i="7"/>
  <c r="VYG36" i="7"/>
  <c r="VYF36" i="7"/>
  <c r="VYE36" i="7"/>
  <c r="VYD36" i="7"/>
  <c r="VYC36" i="7"/>
  <c r="VYB36" i="7"/>
  <c r="VYA36" i="7"/>
  <c r="VXZ36" i="7"/>
  <c r="VXY36" i="7"/>
  <c r="VXX36" i="7"/>
  <c r="VXW36" i="7"/>
  <c r="VXV36" i="7"/>
  <c r="VXU36" i="7"/>
  <c r="VXT36" i="7"/>
  <c r="VXS36" i="7"/>
  <c r="VXR36" i="7"/>
  <c r="VXQ36" i="7"/>
  <c r="VXP36" i="7"/>
  <c r="VXO36" i="7"/>
  <c r="VXN36" i="7"/>
  <c r="VXM36" i="7"/>
  <c r="VXL36" i="7"/>
  <c r="VXK36" i="7"/>
  <c r="VXJ36" i="7"/>
  <c r="VXI36" i="7"/>
  <c r="VXH36" i="7"/>
  <c r="VXG36" i="7"/>
  <c r="VXF36" i="7"/>
  <c r="VXE36" i="7"/>
  <c r="VXD36" i="7"/>
  <c r="VXC36" i="7"/>
  <c r="VXB36" i="7"/>
  <c r="VXA36" i="7"/>
  <c r="VWZ36" i="7"/>
  <c r="VWY36" i="7"/>
  <c r="VWX36" i="7"/>
  <c r="VWW36" i="7"/>
  <c r="VWV36" i="7"/>
  <c r="VWU36" i="7"/>
  <c r="VWT36" i="7"/>
  <c r="VWS36" i="7"/>
  <c r="VWR36" i="7"/>
  <c r="VWQ36" i="7"/>
  <c r="VWP36" i="7"/>
  <c r="VWO36" i="7"/>
  <c r="VWN36" i="7"/>
  <c r="VWM36" i="7"/>
  <c r="VWL36" i="7"/>
  <c r="VWK36" i="7"/>
  <c r="VWJ36" i="7"/>
  <c r="VWI36" i="7"/>
  <c r="VWH36" i="7"/>
  <c r="VWG36" i="7"/>
  <c r="VWF36" i="7"/>
  <c r="VWE36" i="7"/>
  <c r="VWD36" i="7"/>
  <c r="VWC36" i="7"/>
  <c r="VWB36" i="7"/>
  <c r="VWA36" i="7"/>
  <c r="VVZ36" i="7"/>
  <c r="VVY36" i="7"/>
  <c r="VVX36" i="7"/>
  <c r="VVW36" i="7"/>
  <c r="VVV36" i="7"/>
  <c r="VVU36" i="7"/>
  <c r="VVT36" i="7"/>
  <c r="VVS36" i="7"/>
  <c r="VVR36" i="7"/>
  <c r="VVQ36" i="7"/>
  <c r="VVP36" i="7"/>
  <c r="VVO36" i="7"/>
  <c r="VVN36" i="7"/>
  <c r="VVM36" i="7"/>
  <c r="VVL36" i="7"/>
  <c r="VVK36" i="7"/>
  <c r="VVJ36" i="7"/>
  <c r="VVI36" i="7"/>
  <c r="VVH36" i="7"/>
  <c r="VVG36" i="7"/>
  <c r="VVF36" i="7"/>
  <c r="VVE36" i="7"/>
  <c r="VVD36" i="7"/>
  <c r="VVC36" i="7"/>
  <c r="VVB36" i="7"/>
  <c r="VVA36" i="7"/>
  <c r="VUZ36" i="7"/>
  <c r="VUY36" i="7"/>
  <c r="VUX36" i="7"/>
  <c r="VUW36" i="7"/>
  <c r="VUV36" i="7"/>
  <c r="VUU36" i="7"/>
  <c r="VUT36" i="7"/>
  <c r="VUS36" i="7"/>
  <c r="VUR36" i="7"/>
  <c r="VUQ36" i="7"/>
  <c r="VUP36" i="7"/>
  <c r="VUO36" i="7"/>
  <c r="VUN36" i="7"/>
  <c r="VUM36" i="7"/>
  <c r="VUL36" i="7"/>
  <c r="VUK36" i="7"/>
  <c r="VUJ36" i="7"/>
  <c r="VUI36" i="7"/>
  <c r="VUH36" i="7"/>
  <c r="VUG36" i="7"/>
  <c r="VUF36" i="7"/>
  <c r="VUE36" i="7"/>
  <c r="VUD36" i="7"/>
  <c r="VUC36" i="7"/>
  <c r="VUB36" i="7"/>
  <c r="VUA36" i="7"/>
  <c r="VTZ36" i="7"/>
  <c r="VTY36" i="7"/>
  <c r="VTX36" i="7"/>
  <c r="VTW36" i="7"/>
  <c r="VTV36" i="7"/>
  <c r="VTU36" i="7"/>
  <c r="VTT36" i="7"/>
  <c r="VTS36" i="7"/>
  <c r="VTR36" i="7"/>
  <c r="VTQ36" i="7"/>
  <c r="VTP36" i="7"/>
  <c r="VTO36" i="7"/>
  <c r="VTN36" i="7"/>
  <c r="VTM36" i="7"/>
  <c r="VTL36" i="7"/>
  <c r="VTK36" i="7"/>
  <c r="VTJ36" i="7"/>
  <c r="VTI36" i="7"/>
  <c r="VTH36" i="7"/>
  <c r="VTG36" i="7"/>
  <c r="VTF36" i="7"/>
  <c r="VTE36" i="7"/>
  <c r="VTD36" i="7"/>
  <c r="VTC36" i="7"/>
  <c r="VTB36" i="7"/>
  <c r="VTA36" i="7"/>
  <c r="VSZ36" i="7"/>
  <c r="VSY36" i="7"/>
  <c r="VSX36" i="7"/>
  <c r="VSW36" i="7"/>
  <c r="VSV36" i="7"/>
  <c r="VSU36" i="7"/>
  <c r="VST36" i="7"/>
  <c r="VSS36" i="7"/>
  <c r="VSR36" i="7"/>
  <c r="VSQ36" i="7"/>
  <c r="VSP36" i="7"/>
  <c r="VSO36" i="7"/>
  <c r="VSN36" i="7"/>
  <c r="VSM36" i="7"/>
  <c r="VSL36" i="7"/>
  <c r="VSK36" i="7"/>
  <c r="VSJ36" i="7"/>
  <c r="VSI36" i="7"/>
  <c r="VSH36" i="7"/>
  <c r="VSG36" i="7"/>
  <c r="VSF36" i="7"/>
  <c r="VSE36" i="7"/>
  <c r="VSD36" i="7"/>
  <c r="VSC36" i="7"/>
  <c r="VSB36" i="7"/>
  <c r="VSA36" i="7"/>
  <c r="VRZ36" i="7"/>
  <c r="VRY36" i="7"/>
  <c r="VRX36" i="7"/>
  <c r="VRW36" i="7"/>
  <c r="VRV36" i="7"/>
  <c r="VRU36" i="7"/>
  <c r="VRT36" i="7"/>
  <c r="VRS36" i="7"/>
  <c r="VRR36" i="7"/>
  <c r="VRQ36" i="7"/>
  <c r="VRP36" i="7"/>
  <c r="VRO36" i="7"/>
  <c r="VRN36" i="7"/>
  <c r="VRM36" i="7"/>
  <c r="VRL36" i="7"/>
  <c r="VRK36" i="7"/>
  <c r="VRJ36" i="7"/>
  <c r="VRI36" i="7"/>
  <c r="VRH36" i="7"/>
  <c r="VRG36" i="7"/>
  <c r="VRF36" i="7"/>
  <c r="VRE36" i="7"/>
  <c r="VRD36" i="7"/>
  <c r="VRC36" i="7"/>
  <c r="VRB36" i="7"/>
  <c r="VRA36" i="7"/>
  <c r="VQZ36" i="7"/>
  <c r="VQY36" i="7"/>
  <c r="VQX36" i="7"/>
  <c r="VQW36" i="7"/>
  <c r="VQV36" i="7"/>
  <c r="VQU36" i="7"/>
  <c r="VQT36" i="7"/>
  <c r="VQS36" i="7"/>
  <c r="VQR36" i="7"/>
  <c r="VQQ36" i="7"/>
  <c r="VQP36" i="7"/>
  <c r="VQO36" i="7"/>
  <c r="VQN36" i="7"/>
  <c r="VQM36" i="7"/>
  <c r="VQL36" i="7"/>
  <c r="VQK36" i="7"/>
  <c r="VQJ36" i="7"/>
  <c r="VQI36" i="7"/>
  <c r="VQH36" i="7"/>
  <c r="VQG36" i="7"/>
  <c r="VQF36" i="7"/>
  <c r="VQE36" i="7"/>
  <c r="VQD36" i="7"/>
  <c r="VQC36" i="7"/>
  <c r="VQB36" i="7"/>
  <c r="VQA36" i="7"/>
  <c r="VPZ36" i="7"/>
  <c r="VPY36" i="7"/>
  <c r="VPX36" i="7"/>
  <c r="VPW36" i="7"/>
  <c r="VPV36" i="7"/>
  <c r="VPU36" i="7"/>
  <c r="VPT36" i="7"/>
  <c r="VPS36" i="7"/>
  <c r="VPR36" i="7"/>
  <c r="VPQ36" i="7"/>
  <c r="VPP36" i="7"/>
  <c r="VPO36" i="7"/>
  <c r="VPN36" i="7"/>
  <c r="VPM36" i="7"/>
  <c r="VPL36" i="7"/>
  <c r="VPK36" i="7"/>
  <c r="VPJ36" i="7"/>
  <c r="VPI36" i="7"/>
  <c r="VPH36" i="7"/>
  <c r="VPG36" i="7"/>
  <c r="VPF36" i="7"/>
  <c r="VPE36" i="7"/>
  <c r="VPD36" i="7"/>
  <c r="VPC36" i="7"/>
  <c r="VPB36" i="7"/>
  <c r="VPA36" i="7"/>
  <c r="VOZ36" i="7"/>
  <c r="VOY36" i="7"/>
  <c r="VOX36" i="7"/>
  <c r="VOW36" i="7"/>
  <c r="VOV36" i="7"/>
  <c r="VOU36" i="7"/>
  <c r="VOT36" i="7"/>
  <c r="VOS36" i="7"/>
  <c r="VOR36" i="7"/>
  <c r="VOQ36" i="7"/>
  <c r="VOP36" i="7"/>
  <c r="VOO36" i="7"/>
  <c r="VON36" i="7"/>
  <c r="VOM36" i="7"/>
  <c r="VOL36" i="7"/>
  <c r="VOK36" i="7"/>
  <c r="VOJ36" i="7"/>
  <c r="VOI36" i="7"/>
  <c r="VOH36" i="7"/>
  <c r="VOG36" i="7"/>
  <c r="VOF36" i="7"/>
  <c r="VOE36" i="7"/>
  <c r="VOD36" i="7"/>
  <c r="VOC36" i="7"/>
  <c r="VOB36" i="7"/>
  <c r="VOA36" i="7"/>
  <c r="VNZ36" i="7"/>
  <c r="VNY36" i="7"/>
  <c r="VNX36" i="7"/>
  <c r="VNW36" i="7"/>
  <c r="VNV36" i="7"/>
  <c r="VNU36" i="7"/>
  <c r="VNT36" i="7"/>
  <c r="VNS36" i="7"/>
  <c r="VNR36" i="7"/>
  <c r="VNQ36" i="7"/>
  <c r="VNP36" i="7"/>
  <c r="VNO36" i="7"/>
  <c r="VNN36" i="7"/>
  <c r="VNM36" i="7"/>
  <c r="VNL36" i="7"/>
  <c r="VNK36" i="7"/>
  <c r="VNJ36" i="7"/>
  <c r="VNI36" i="7"/>
  <c r="VNH36" i="7"/>
  <c r="VNG36" i="7"/>
  <c r="VNF36" i="7"/>
  <c r="VNE36" i="7"/>
  <c r="VND36" i="7"/>
  <c r="VNC36" i="7"/>
  <c r="VNB36" i="7"/>
  <c r="VNA36" i="7"/>
  <c r="VMZ36" i="7"/>
  <c r="VMY36" i="7"/>
  <c r="VMX36" i="7"/>
  <c r="VMW36" i="7"/>
  <c r="VMV36" i="7"/>
  <c r="VMU36" i="7"/>
  <c r="VMT36" i="7"/>
  <c r="VMS36" i="7"/>
  <c r="VMR36" i="7"/>
  <c r="VMQ36" i="7"/>
  <c r="VMP36" i="7"/>
  <c r="VMO36" i="7"/>
  <c r="VMN36" i="7"/>
  <c r="VMM36" i="7"/>
  <c r="VML36" i="7"/>
  <c r="VMK36" i="7"/>
  <c r="VMJ36" i="7"/>
  <c r="VMI36" i="7"/>
  <c r="VMH36" i="7"/>
  <c r="VMG36" i="7"/>
  <c r="VMF36" i="7"/>
  <c r="VME36" i="7"/>
  <c r="VMD36" i="7"/>
  <c r="VMC36" i="7"/>
  <c r="VMB36" i="7"/>
  <c r="VMA36" i="7"/>
  <c r="VLZ36" i="7"/>
  <c r="VLY36" i="7"/>
  <c r="VLX36" i="7"/>
  <c r="VLW36" i="7"/>
  <c r="VLV36" i="7"/>
  <c r="VLU36" i="7"/>
  <c r="VLT36" i="7"/>
  <c r="VLS36" i="7"/>
  <c r="VLR36" i="7"/>
  <c r="VLQ36" i="7"/>
  <c r="VLP36" i="7"/>
  <c r="VLO36" i="7"/>
  <c r="VLN36" i="7"/>
  <c r="VLM36" i="7"/>
  <c r="VLL36" i="7"/>
  <c r="VLK36" i="7"/>
  <c r="VLJ36" i="7"/>
  <c r="VLI36" i="7"/>
  <c r="VLH36" i="7"/>
  <c r="VLG36" i="7"/>
  <c r="VLF36" i="7"/>
  <c r="VLE36" i="7"/>
  <c r="VLD36" i="7"/>
  <c r="VLC36" i="7"/>
  <c r="VLB36" i="7"/>
  <c r="VLA36" i="7"/>
  <c r="VKZ36" i="7"/>
  <c r="VKY36" i="7"/>
  <c r="VKX36" i="7"/>
  <c r="VKW36" i="7"/>
  <c r="VKV36" i="7"/>
  <c r="VKU36" i="7"/>
  <c r="VKT36" i="7"/>
  <c r="VKS36" i="7"/>
  <c r="VKR36" i="7"/>
  <c r="VKQ36" i="7"/>
  <c r="VKP36" i="7"/>
  <c r="VKO36" i="7"/>
  <c r="VKN36" i="7"/>
  <c r="VKM36" i="7"/>
  <c r="VKL36" i="7"/>
  <c r="VKK36" i="7"/>
  <c r="VKJ36" i="7"/>
  <c r="VKI36" i="7"/>
  <c r="VKH36" i="7"/>
  <c r="VKG36" i="7"/>
  <c r="VKF36" i="7"/>
  <c r="VKE36" i="7"/>
  <c r="VKD36" i="7"/>
  <c r="VKC36" i="7"/>
  <c r="VKB36" i="7"/>
  <c r="VKA36" i="7"/>
  <c r="VJZ36" i="7"/>
  <c r="VJY36" i="7"/>
  <c r="VJX36" i="7"/>
  <c r="VJW36" i="7"/>
  <c r="VJV36" i="7"/>
  <c r="VJU36" i="7"/>
  <c r="VJT36" i="7"/>
  <c r="VJS36" i="7"/>
  <c r="VJR36" i="7"/>
  <c r="VJQ36" i="7"/>
  <c r="VJP36" i="7"/>
  <c r="VJO36" i="7"/>
  <c r="VJN36" i="7"/>
  <c r="VJM36" i="7"/>
  <c r="VJL36" i="7"/>
  <c r="VJK36" i="7"/>
  <c r="VJJ36" i="7"/>
  <c r="VJI36" i="7"/>
  <c r="VJH36" i="7"/>
  <c r="VJG36" i="7"/>
  <c r="VJF36" i="7"/>
  <c r="VJE36" i="7"/>
  <c r="VJD36" i="7"/>
  <c r="VJC36" i="7"/>
  <c r="VJB36" i="7"/>
  <c r="VJA36" i="7"/>
  <c r="VIZ36" i="7"/>
  <c r="VIY36" i="7"/>
  <c r="VIX36" i="7"/>
  <c r="VIW36" i="7"/>
  <c r="VIV36" i="7"/>
  <c r="VIU36" i="7"/>
  <c r="VIT36" i="7"/>
  <c r="VIS36" i="7"/>
  <c r="VIR36" i="7"/>
  <c r="VIQ36" i="7"/>
  <c r="VIP36" i="7"/>
  <c r="VIO36" i="7"/>
  <c r="VIN36" i="7"/>
  <c r="VIM36" i="7"/>
  <c r="VIL36" i="7"/>
  <c r="VIK36" i="7"/>
  <c r="VIJ36" i="7"/>
  <c r="VII36" i="7"/>
  <c r="VIH36" i="7"/>
  <c r="VIG36" i="7"/>
  <c r="VIF36" i="7"/>
  <c r="VIE36" i="7"/>
  <c r="VID36" i="7"/>
  <c r="VIC36" i="7"/>
  <c r="VIB36" i="7"/>
  <c r="VIA36" i="7"/>
  <c r="VHZ36" i="7"/>
  <c r="VHY36" i="7"/>
  <c r="VHX36" i="7"/>
  <c r="VHW36" i="7"/>
  <c r="VHV36" i="7"/>
  <c r="VHU36" i="7"/>
  <c r="VHT36" i="7"/>
  <c r="VHS36" i="7"/>
  <c r="VHR36" i="7"/>
  <c r="VHQ36" i="7"/>
  <c r="VHP36" i="7"/>
  <c r="VHO36" i="7"/>
  <c r="VHN36" i="7"/>
  <c r="VHM36" i="7"/>
  <c r="VHL36" i="7"/>
  <c r="VHK36" i="7"/>
  <c r="VHJ36" i="7"/>
  <c r="VHI36" i="7"/>
  <c r="VHH36" i="7"/>
  <c r="VHG36" i="7"/>
  <c r="VHF36" i="7"/>
  <c r="VHE36" i="7"/>
  <c r="VHD36" i="7"/>
  <c r="VHC36" i="7"/>
  <c r="VHB36" i="7"/>
  <c r="VHA36" i="7"/>
  <c r="VGZ36" i="7"/>
  <c r="VGY36" i="7"/>
  <c r="VGX36" i="7"/>
  <c r="VGW36" i="7"/>
  <c r="VGV36" i="7"/>
  <c r="VGU36" i="7"/>
  <c r="VGT36" i="7"/>
  <c r="VGS36" i="7"/>
  <c r="VGR36" i="7"/>
  <c r="VGQ36" i="7"/>
  <c r="VGP36" i="7"/>
  <c r="VGO36" i="7"/>
  <c r="VGN36" i="7"/>
  <c r="VGM36" i="7"/>
  <c r="VGL36" i="7"/>
  <c r="VGK36" i="7"/>
  <c r="VGJ36" i="7"/>
  <c r="VGI36" i="7"/>
  <c r="VGH36" i="7"/>
  <c r="VGG36" i="7"/>
  <c r="VGF36" i="7"/>
  <c r="VGE36" i="7"/>
  <c r="VGD36" i="7"/>
  <c r="VGC36" i="7"/>
  <c r="VGB36" i="7"/>
  <c r="VGA36" i="7"/>
  <c r="VFZ36" i="7"/>
  <c r="VFY36" i="7"/>
  <c r="VFX36" i="7"/>
  <c r="VFW36" i="7"/>
  <c r="VFV36" i="7"/>
  <c r="VFU36" i="7"/>
  <c r="VFT36" i="7"/>
  <c r="VFS36" i="7"/>
  <c r="VFR36" i="7"/>
  <c r="VFQ36" i="7"/>
  <c r="VFP36" i="7"/>
  <c r="VFO36" i="7"/>
  <c r="VFN36" i="7"/>
  <c r="VFM36" i="7"/>
  <c r="VFL36" i="7"/>
  <c r="VFK36" i="7"/>
  <c r="VFJ36" i="7"/>
  <c r="VFI36" i="7"/>
  <c r="VFH36" i="7"/>
  <c r="VFG36" i="7"/>
  <c r="VFF36" i="7"/>
  <c r="VFE36" i="7"/>
  <c r="VFD36" i="7"/>
  <c r="VFC36" i="7"/>
  <c r="VFB36" i="7"/>
  <c r="VFA36" i="7"/>
  <c r="VEZ36" i="7"/>
  <c r="VEY36" i="7"/>
  <c r="VEX36" i="7"/>
  <c r="VEW36" i="7"/>
  <c r="VEV36" i="7"/>
  <c r="VEU36" i="7"/>
  <c r="VET36" i="7"/>
  <c r="VES36" i="7"/>
  <c r="VER36" i="7"/>
  <c r="VEQ36" i="7"/>
  <c r="VEP36" i="7"/>
  <c r="VEO36" i="7"/>
  <c r="VEN36" i="7"/>
  <c r="VEM36" i="7"/>
  <c r="VEL36" i="7"/>
  <c r="VEK36" i="7"/>
  <c r="VEJ36" i="7"/>
  <c r="VEI36" i="7"/>
  <c r="VEH36" i="7"/>
  <c r="VEG36" i="7"/>
  <c r="VEF36" i="7"/>
  <c r="VEE36" i="7"/>
  <c r="VED36" i="7"/>
  <c r="VEC36" i="7"/>
  <c r="VEB36" i="7"/>
  <c r="VEA36" i="7"/>
  <c r="VDZ36" i="7"/>
  <c r="VDY36" i="7"/>
  <c r="VDX36" i="7"/>
  <c r="VDW36" i="7"/>
  <c r="VDV36" i="7"/>
  <c r="VDU36" i="7"/>
  <c r="VDT36" i="7"/>
  <c r="VDS36" i="7"/>
  <c r="VDR36" i="7"/>
  <c r="VDQ36" i="7"/>
  <c r="VDP36" i="7"/>
  <c r="VDO36" i="7"/>
  <c r="VDN36" i="7"/>
  <c r="VDM36" i="7"/>
  <c r="VDL36" i="7"/>
  <c r="VDK36" i="7"/>
  <c r="VDJ36" i="7"/>
  <c r="VDI36" i="7"/>
  <c r="VDH36" i="7"/>
  <c r="VDG36" i="7"/>
  <c r="VDF36" i="7"/>
  <c r="VDE36" i="7"/>
  <c r="VDD36" i="7"/>
  <c r="VDC36" i="7"/>
  <c r="VDB36" i="7"/>
  <c r="VDA36" i="7"/>
  <c r="VCZ36" i="7"/>
  <c r="VCY36" i="7"/>
  <c r="VCX36" i="7"/>
  <c r="VCW36" i="7"/>
  <c r="VCV36" i="7"/>
  <c r="VCU36" i="7"/>
  <c r="VCT36" i="7"/>
  <c r="VCS36" i="7"/>
  <c r="VCR36" i="7"/>
  <c r="VCQ36" i="7"/>
  <c r="VCP36" i="7"/>
  <c r="VCO36" i="7"/>
  <c r="VCN36" i="7"/>
  <c r="VCM36" i="7"/>
  <c r="VCL36" i="7"/>
  <c r="VCK36" i="7"/>
  <c r="VCJ36" i="7"/>
  <c r="VCI36" i="7"/>
  <c r="VCH36" i="7"/>
  <c r="VCG36" i="7"/>
  <c r="VCF36" i="7"/>
  <c r="VCE36" i="7"/>
  <c r="VCD36" i="7"/>
  <c r="VCC36" i="7"/>
  <c r="VCB36" i="7"/>
  <c r="VCA36" i="7"/>
  <c r="VBZ36" i="7"/>
  <c r="VBY36" i="7"/>
  <c r="VBX36" i="7"/>
  <c r="VBW36" i="7"/>
  <c r="VBV36" i="7"/>
  <c r="VBU36" i="7"/>
  <c r="VBT36" i="7"/>
  <c r="VBS36" i="7"/>
  <c r="VBR36" i="7"/>
  <c r="VBQ36" i="7"/>
  <c r="VBP36" i="7"/>
  <c r="VBO36" i="7"/>
  <c r="VBN36" i="7"/>
  <c r="VBM36" i="7"/>
  <c r="VBL36" i="7"/>
  <c r="VBK36" i="7"/>
  <c r="VBJ36" i="7"/>
  <c r="VBI36" i="7"/>
  <c r="VBH36" i="7"/>
  <c r="VBG36" i="7"/>
  <c r="VBF36" i="7"/>
  <c r="VBE36" i="7"/>
  <c r="VBD36" i="7"/>
  <c r="VBC36" i="7"/>
  <c r="VBB36" i="7"/>
  <c r="VBA36" i="7"/>
  <c r="VAZ36" i="7"/>
  <c r="VAY36" i="7"/>
  <c r="VAX36" i="7"/>
  <c r="VAW36" i="7"/>
  <c r="VAV36" i="7"/>
  <c r="VAU36" i="7"/>
  <c r="VAT36" i="7"/>
  <c r="VAS36" i="7"/>
  <c r="VAR36" i="7"/>
  <c r="VAQ36" i="7"/>
  <c r="VAP36" i="7"/>
  <c r="VAO36" i="7"/>
  <c r="VAN36" i="7"/>
  <c r="VAM36" i="7"/>
  <c r="VAL36" i="7"/>
  <c r="VAK36" i="7"/>
  <c r="VAJ36" i="7"/>
  <c r="VAI36" i="7"/>
  <c r="VAH36" i="7"/>
  <c r="VAG36" i="7"/>
  <c r="VAF36" i="7"/>
  <c r="VAE36" i="7"/>
  <c r="VAD36" i="7"/>
  <c r="VAC36" i="7"/>
  <c r="VAB36" i="7"/>
  <c r="VAA36" i="7"/>
  <c r="UZZ36" i="7"/>
  <c r="UZY36" i="7"/>
  <c r="UZX36" i="7"/>
  <c r="UZW36" i="7"/>
  <c r="UZV36" i="7"/>
  <c r="UZU36" i="7"/>
  <c r="UZT36" i="7"/>
  <c r="UZS36" i="7"/>
  <c r="UZR36" i="7"/>
  <c r="UZQ36" i="7"/>
  <c r="UZP36" i="7"/>
  <c r="UZO36" i="7"/>
  <c r="UZN36" i="7"/>
  <c r="UZM36" i="7"/>
  <c r="UZL36" i="7"/>
  <c r="UZK36" i="7"/>
  <c r="UZJ36" i="7"/>
  <c r="UZI36" i="7"/>
  <c r="UZH36" i="7"/>
  <c r="UZG36" i="7"/>
  <c r="UZF36" i="7"/>
  <c r="UZE36" i="7"/>
  <c r="UZD36" i="7"/>
  <c r="UZC36" i="7"/>
  <c r="UZB36" i="7"/>
  <c r="UZA36" i="7"/>
  <c r="UYZ36" i="7"/>
  <c r="UYY36" i="7"/>
  <c r="UYX36" i="7"/>
  <c r="UYW36" i="7"/>
  <c r="UYV36" i="7"/>
  <c r="UYU36" i="7"/>
  <c r="UYT36" i="7"/>
  <c r="UYS36" i="7"/>
  <c r="UYR36" i="7"/>
  <c r="UYQ36" i="7"/>
  <c r="UYP36" i="7"/>
  <c r="UYO36" i="7"/>
  <c r="UYN36" i="7"/>
  <c r="UYM36" i="7"/>
  <c r="UYL36" i="7"/>
  <c r="UYK36" i="7"/>
  <c r="UYJ36" i="7"/>
  <c r="UYI36" i="7"/>
  <c r="UYH36" i="7"/>
  <c r="UYG36" i="7"/>
  <c r="UYF36" i="7"/>
  <c r="UYE36" i="7"/>
  <c r="UYD36" i="7"/>
  <c r="UYC36" i="7"/>
  <c r="UYB36" i="7"/>
  <c r="UYA36" i="7"/>
  <c r="UXZ36" i="7"/>
  <c r="UXY36" i="7"/>
  <c r="UXX36" i="7"/>
  <c r="UXW36" i="7"/>
  <c r="UXV36" i="7"/>
  <c r="UXU36" i="7"/>
  <c r="UXT36" i="7"/>
  <c r="UXS36" i="7"/>
  <c r="UXR36" i="7"/>
  <c r="UXQ36" i="7"/>
  <c r="UXP36" i="7"/>
  <c r="UXO36" i="7"/>
  <c r="UXN36" i="7"/>
  <c r="UXM36" i="7"/>
  <c r="UXL36" i="7"/>
  <c r="UXK36" i="7"/>
  <c r="UXJ36" i="7"/>
  <c r="UXI36" i="7"/>
  <c r="UXH36" i="7"/>
  <c r="UXG36" i="7"/>
  <c r="UXF36" i="7"/>
  <c r="UXE36" i="7"/>
  <c r="UXD36" i="7"/>
  <c r="UXC36" i="7"/>
  <c r="UXB36" i="7"/>
  <c r="UXA36" i="7"/>
  <c r="UWZ36" i="7"/>
  <c r="UWY36" i="7"/>
  <c r="UWX36" i="7"/>
  <c r="UWW36" i="7"/>
  <c r="UWV36" i="7"/>
  <c r="UWU36" i="7"/>
  <c r="UWT36" i="7"/>
  <c r="UWS36" i="7"/>
  <c r="UWR36" i="7"/>
  <c r="UWQ36" i="7"/>
  <c r="UWP36" i="7"/>
  <c r="UWO36" i="7"/>
  <c r="UWN36" i="7"/>
  <c r="UWM36" i="7"/>
  <c r="UWL36" i="7"/>
  <c r="UWK36" i="7"/>
  <c r="UWJ36" i="7"/>
  <c r="UWI36" i="7"/>
  <c r="UWH36" i="7"/>
  <c r="UWG36" i="7"/>
  <c r="UWF36" i="7"/>
  <c r="UWE36" i="7"/>
  <c r="UWD36" i="7"/>
  <c r="UWC36" i="7"/>
  <c r="UWB36" i="7"/>
  <c r="UWA36" i="7"/>
  <c r="UVZ36" i="7"/>
  <c r="UVY36" i="7"/>
  <c r="UVX36" i="7"/>
  <c r="UVW36" i="7"/>
  <c r="UVV36" i="7"/>
  <c r="UVU36" i="7"/>
  <c r="UVT36" i="7"/>
  <c r="UVS36" i="7"/>
  <c r="UVR36" i="7"/>
  <c r="UVQ36" i="7"/>
  <c r="UVP36" i="7"/>
  <c r="UVO36" i="7"/>
  <c r="UVN36" i="7"/>
  <c r="UVM36" i="7"/>
  <c r="UVL36" i="7"/>
  <c r="UVK36" i="7"/>
  <c r="UVJ36" i="7"/>
  <c r="UVI36" i="7"/>
  <c r="UVH36" i="7"/>
  <c r="UVG36" i="7"/>
  <c r="UVF36" i="7"/>
  <c r="UVE36" i="7"/>
  <c r="UVD36" i="7"/>
  <c r="UVC36" i="7"/>
  <c r="UVB36" i="7"/>
  <c r="UVA36" i="7"/>
  <c r="UUZ36" i="7"/>
  <c r="UUY36" i="7"/>
  <c r="UUX36" i="7"/>
  <c r="UUW36" i="7"/>
  <c r="UUV36" i="7"/>
  <c r="UUU36" i="7"/>
  <c r="UUT36" i="7"/>
  <c r="UUS36" i="7"/>
  <c r="UUR36" i="7"/>
  <c r="UUQ36" i="7"/>
  <c r="UUP36" i="7"/>
  <c r="UUO36" i="7"/>
  <c r="UUN36" i="7"/>
  <c r="UUM36" i="7"/>
  <c r="UUL36" i="7"/>
  <c r="UUK36" i="7"/>
  <c r="UUJ36" i="7"/>
  <c r="UUI36" i="7"/>
  <c r="UUH36" i="7"/>
  <c r="UUG36" i="7"/>
  <c r="UUF36" i="7"/>
  <c r="UUE36" i="7"/>
  <c r="UUD36" i="7"/>
  <c r="UUC36" i="7"/>
  <c r="UUB36" i="7"/>
  <c r="UUA36" i="7"/>
  <c r="UTZ36" i="7"/>
  <c r="UTY36" i="7"/>
  <c r="UTX36" i="7"/>
  <c r="UTW36" i="7"/>
  <c r="UTV36" i="7"/>
  <c r="UTU36" i="7"/>
  <c r="UTT36" i="7"/>
  <c r="UTS36" i="7"/>
  <c r="UTR36" i="7"/>
  <c r="UTQ36" i="7"/>
  <c r="UTP36" i="7"/>
  <c r="UTO36" i="7"/>
  <c r="UTN36" i="7"/>
  <c r="UTM36" i="7"/>
  <c r="UTL36" i="7"/>
  <c r="UTK36" i="7"/>
  <c r="UTJ36" i="7"/>
  <c r="UTI36" i="7"/>
  <c r="UTH36" i="7"/>
  <c r="UTG36" i="7"/>
  <c r="UTF36" i="7"/>
  <c r="UTE36" i="7"/>
  <c r="UTD36" i="7"/>
  <c r="UTC36" i="7"/>
  <c r="UTB36" i="7"/>
  <c r="UTA36" i="7"/>
  <c r="USZ36" i="7"/>
  <c r="USY36" i="7"/>
  <c r="USX36" i="7"/>
  <c r="USW36" i="7"/>
  <c r="USV36" i="7"/>
  <c r="USU36" i="7"/>
  <c r="UST36" i="7"/>
  <c r="USS36" i="7"/>
  <c r="USR36" i="7"/>
  <c r="USQ36" i="7"/>
  <c r="USP36" i="7"/>
  <c r="USO36" i="7"/>
  <c r="USN36" i="7"/>
  <c r="USM36" i="7"/>
  <c r="USL36" i="7"/>
  <c r="USK36" i="7"/>
  <c r="USJ36" i="7"/>
  <c r="USI36" i="7"/>
  <c r="USH36" i="7"/>
  <c r="USG36" i="7"/>
  <c r="USF36" i="7"/>
  <c r="USE36" i="7"/>
  <c r="USD36" i="7"/>
  <c r="USC36" i="7"/>
  <c r="USB36" i="7"/>
  <c r="USA36" i="7"/>
  <c r="URZ36" i="7"/>
  <c r="URY36" i="7"/>
  <c r="URX36" i="7"/>
  <c r="URW36" i="7"/>
  <c r="URV36" i="7"/>
  <c r="URU36" i="7"/>
  <c r="URT36" i="7"/>
  <c r="URS36" i="7"/>
  <c r="URR36" i="7"/>
  <c r="URQ36" i="7"/>
  <c r="URP36" i="7"/>
  <c r="URO36" i="7"/>
  <c r="URN36" i="7"/>
  <c r="URM36" i="7"/>
  <c r="URL36" i="7"/>
  <c r="URK36" i="7"/>
  <c r="URJ36" i="7"/>
  <c r="URI36" i="7"/>
  <c r="URH36" i="7"/>
  <c r="URG36" i="7"/>
  <c r="URF36" i="7"/>
  <c r="URE36" i="7"/>
  <c r="URD36" i="7"/>
  <c r="URC36" i="7"/>
  <c r="URB36" i="7"/>
  <c r="URA36" i="7"/>
  <c r="UQZ36" i="7"/>
  <c r="UQY36" i="7"/>
  <c r="UQX36" i="7"/>
  <c r="UQW36" i="7"/>
  <c r="UQV36" i="7"/>
  <c r="UQU36" i="7"/>
  <c r="UQT36" i="7"/>
  <c r="UQS36" i="7"/>
  <c r="UQR36" i="7"/>
  <c r="UQQ36" i="7"/>
  <c r="UQP36" i="7"/>
  <c r="UQO36" i="7"/>
  <c r="UQN36" i="7"/>
  <c r="UQM36" i="7"/>
  <c r="UQL36" i="7"/>
  <c r="UQK36" i="7"/>
  <c r="UQJ36" i="7"/>
  <c r="UQI36" i="7"/>
  <c r="UQH36" i="7"/>
  <c r="UQG36" i="7"/>
  <c r="UQF36" i="7"/>
  <c r="UQE36" i="7"/>
  <c r="UQD36" i="7"/>
  <c r="UQC36" i="7"/>
  <c r="UQB36" i="7"/>
  <c r="UQA36" i="7"/>
  <c r="UPZ36" i="7"/>
  <c r="UPY36" i="7"/>
  <c r="UPX36" i="7"/>
  <c r="UPW36" i="7"/>
  <c r="UPV36" i="7"/>
  <c r="UPU36" i="7"/>
  <c r="UPT36" i="7"/>
  <c r="UPS36" i="7"/>
  <c r="UPR36" i="7"/>
  <c r="UPQ36" i="7"/>
  <c r="UPP36" i="7"/>
  <c r="UPO36" i="7"/>
  <c r="UPN36" i="7"/>
  <c r="UPM36" i="7"/>
  <c r="UPL36" i="7"/>
  <c r="UPK36" i="7"/>
  <c r="UPJ36" i="7"/>
  <c r="UPI36" i="7"/>
  <c r="UPH36" i="7"/>
  <c r="UPG36" i="7"/>
  <c r="UPF36" i="7"/>
  <c r="UPE36" i="7"/>
  <c r="UPD36" i="7"/>
  <c r="UPC36" i="7"/>
  <c r="UPB36" i="7"/>
  <c r="UPA36" i="7"/>
  <c r="UOZ36" i="7"/>
  <c r="UOY36" i="7"/>
  <c r="UOX36" i="7"/>
  <c r="UOW36" i="7"/>
  <c r="UOV36" i="7"/>
  <c r="UOU36" i="7"/>
  <c r="UOT36" i="7"/>
  <c r="UOS36" i="7"/>
  <c r="UOR36" i="7"/>
  <c r="UOQ36" i="7"/>
  <c r="UOP36" i="7"/>
  <c r="UOO36" i="7"/>
  <c r="UON36" i="7"/>
  <c r="UOM36" i="7"/>
  <c r="UOL36" i="7"/>
  <c r="UOK36" i="7"/>
  <c r="UOJ36" i="7"/>
  <c r="UOI36" i="7"/>
  <c r="UOH36" i="7"/>
  <c r="UOG36" i="7"/>
  <c r="UOF36" i="7"/>
  <c r="UOE36" i="7"/>
  <c r="UOD36" i="7"/>
  <c r="UOC36" i="7"/>
  <c r="UOB36" i="7"/>
  <c r="UOA36" i="7"/>
  <c r="UNZ36" i="7"/>
  <c r="UNY36" i="7"/>
  <c r="UNX36" i="7"/>
  <c r="UNW36" i="7"/>
  <c r="UNV36" i="7"/>
  <c r="UNU36" i="7"/>
  <c r="UNT36" i="7"/>
  <c r="UNS36" i="7"/>
  <c r="UNR36" i="7"/>
  <c r="UNQ36" i="7"/>
  <c r="UNP36" i="7"/>
  <c r="UNO36" i="7"/>
  <c r="UNN36" i="7"/>
  <c r="UNM36" i="7"/>
  <c r="UNL36" i="7"/>
  <c r="UNK36" i="7"/>
  <c r="UNJ36" i="7"/>
  <c r="UNI36" i="7"/>
  <c r="UNH36" i="7"/>
  <c r="UNG36" i="7"/>
  <c r="UNF36" i="7"/>
  <c r="UNE36" i="7"/>
  <c r="UND36" i="7"/>
  <c r="UNC36" i="7"/>
  <c r="UNB36" i="7"/>
  <c r="UNA36" i="7"/>
  <c r="UMZ36" i="7"/>
  <c r="UMY36" i="7"/>
  <c r="UMX36" i="7"/>
  <c r="UMW36" i="7"/>
  <c r="UMV36" i="7"/>
  <c r="UMU36" i="7"/>
  <c r="UMT36" i="7"/>
  <c r="UMS36" i="7"/>
  <c r="UMR36" i="7"/>
  <c r="UMQ36" i="7"/>
  <c r="UMP36" i="7"/>
  <c r="UMO36" i="7"/>
  <c r="UMN36" i="7"/>
  <c r="UMM36" i="7"/>
  <c r="UML36" i="7"/>
  <c r="UMK36" i="7"/>
  <c r="UMJ36" i="7"/>
  <c r="UMI36" i="7"/>
  <c r="UMH36" i="7"/>
  <c r="UMG36" i="7"/>
  <c r="UMF36" i="7"/>
  <c r="UME36" i="7"/>
  <c r="UMD36" i="7"/>
  <c r="UMC36" i="7"/>
  <c r="UMB36" i="7"/>
  <c r="UMA36" i="7"/>
  <c r="ULZ36" i="7"/>
  <c r="ULY36" i="7"/>
  <c r="ULX36" i="7"/>
  <c r="ULW36" i="7"/>
  <c r="ULV36" i="7"/>
  <c r="ULU36" i="7"/>
  <c r="ULT36" i="7"/>
  <c r="ULS36" i="7"/>
  <c r="ULR36" i="7"/>
  <c r="ULQ36" i="7"/>
  <c r="ULP36" i="7"/>
  <c r="ULO36" i="7"/>
  <c r="ULN36" i="7"/>
  <c r="ULM36" i="7"/>
  <c r="ULL36" i="7"/>
  <c r="ULK36" i="7"/>
  <c r="ULJ36" i="7"/>
  <c r="ULI36" i="7"/>
  <c r="ULH36" i="7"/>
  <c r="ULG36" i="7"/>
  <c r="ULF36" i="7"/>
  <c r="ULE36" i="7"/>
  <c r="ULD36" i="7"/>
  <c r="ULC36" i="7"/>
  <c r="ULB36" i="7"/>
  <c r="ULA36" i="7"/>
  <c r="UKZ36" i="7"/>
  <c r="UKY36" i="7"/>
  <c r="UKX36" i="7"/>
  <c r="UKW36" i="7"/>
  <c r="UKV36" i="7"/>
  <c r="UKU36" i="7"/>
  <c r="UKT36" i="7"/>
  <c r="UKS36" i="7"/>
  <c r="UKR36" i="7"/>
  <c r="UKQ36" i="7"/>
  <c r="UKP36" i="7"/>
  <c r="UKO36" i="7"/>
  <c r="UKN36" i="7"/>
  <c r="UKM36" i="7"/>
  <c r="UKL36" i="7"/>
  <c r="UKK36" i="7"/>
  <c r="UKJ36" i="7"/>
  <c r="UKI36" i="7"/>
  <c r="UKH36" i="7"/>
  <c r="UKG36" i="7"/>
  <c r="UKF36" i="7"/>
  <c r="UKE36" i="7"/>
  <c r="UKD36" i="7"/>
  <c r="UKC36" i="7"/>
  <c r="UKB36" i="7"/>
  <c r="UKA36" i="7"/>
  <c r="UJZ36" i="7"/>
  <c r="UJY36" i="7"/>
  <c r="UJX36" i="7"/>
  <c r="UJW36" i="7"/>
  <c r="UJV36" i="7"/>
  <c r="UJU36" i="7"/>
  <c r="UJT36" i="7"/>
  <c r="UJS36" i="7"/>
  <c r="UJR36" i="7"/>
  <c r="UJQ36" i="7"/>
  <c r="UJP36" i="7"/>
  <c r="UJO36" i="7"/>
  <c r="UJN36" i="7"/>
  <c r="UJM36" i="7"/>
  <c r="UJL36" i="7"/>
  <c r="UJK36" i="7"/>
  <c r="UJJ36" i="7"/>
  <c r="UJI36" i="7"/>
  <c r="UJH36" i="7"/>
  <c r="UJG36" i="7"/>
  <c r="UJF36" i="7"/>
  <c r="UJE36" i="7"/>
  <c r="UJD36" i="7"/>
  <c r="UJC36" i="7"/>
  <c r="UJB36" i="7"/>
  <c r="UJA36" i="7"/>
  <c r="UIZ36" i="7"/>
  <c r="UIY36" i="7"/>
  <c r="UIX36" i="7"/>
  <c r="UIW36" i="7"/>
  <c r="UIV36" i="7"/>
  <c r="UIU36" i="7"/>
  <c r="UIT36" i="7"/>
  <c r="UIS36" i="7"/>
  <c r="UIR36" i="7"/>
  <c r="UIQ36" i="7"/>
  <c r="UIP36" i="7"/>
  <c r="UIO36" i="7"/>
  <c r="UIN36" i="7"/>
  <c r="UIM36" i="7"/>
  <c r="UIL36" i="7"/>
  <c r="UIK36" i="7"/>
  <c r="UIJ36" i="7"/>
  <c r="UII36" i="7"/>
  <c r="UIH36" i="7"/>
  <c r="UIG36" i="7"/>
  <c r="UIF36" i="7"/>
  <c r="UIE36" i="7"/>
  <c r="UID36" i="7"/>
  <c r="UIC36" i="7"/>
  <c r="UIB36" i="7"/>
  <c r="UIA36" i="7"/>
  <c r="UHZ36" i="7"/>
  <c r="UHY36" i="7"/>
  <c r="UHX36" i="7"/>
  <c r="UHW36" i="7"/>
  <c r="UHV36" i="7"/>
  <c r="UHU36" i="7"/>
  <c r="UHT36" i="7"/>
  <c r="UHS36" i="7"/>
  <c r="UHR36" i="7"/>
  <c r="UHQ36" i="7"/>
  <c r="UHP36" i="7"/>
  <c r="UHO36" i="7"/>
  <c r="UHN36" i="7"/>
  <c r="UHM36" i="7"/>
  <c r="UHL36" i="7"/>
  <c r="UHK36" i="7"/>
  <c r="UHJ36" i="7"/>
  <c r="UHI36" i="7"/>
  <c r="UHH36" i="7"/>
  <c r="UHG36" i="7"/>
  <c r="UHF36" i="7"/>
  <c r="UHE36" i="7"/>
  <c r="UHD36" i="7"/>
  <c r="UHC36" i="7"/>
  <c r="UHB36" i="7"/>
  <c r="UHA36" i="7"/>
  <c r="UGZ36" i="7"/>
  <c r="UGY36" i="7"/>
  <c r="UGX36" i="7"/>
  <c r="UGW36" i="7"/>
  <c r="UGV36" i="7"/>
  <c r="UGU36" i="7"/>
  <c r="UGT36" i="7"/>
  <c r="UGS36" i="7"/>
  <c r="UGR36" i="7"/>
  <c r="UGQ36" i="7"/>
  <c r="UGP36" i="7"/>
  <c r="UGO36" i="7"/>
  <c r="UGN36" i="7"/>
  <c r="UGM36" i="7"/>
  <c r="UGL36" i="7"/>
  <c r="UGK36" i="7"/>
  <c r="UGJ36" i="7"/>
  <c r="UGI36" i="7"/>
  <c r="UGH36" i="7"/>
  <c r="UGG36" i="7"/>
  <c r="UGF36" i="7"/>
  <c r="UGE36" i="7"/>
  <c r="UGD36" i="7"/>
  <c r="UGC36" i="7"/>
  <c r="UGB36" i="7"/>
  <c r="UGA36" i="7"/>
  <c r="UFZ36" i="7"/>
  <c r="UFY36" i="7"/>
  <c r="UFX36" i="7"/>
  <c r="UFW36" i="7"/>
  <c r="UFV36" i="7"/>
  <c r="UFU36" i="7"/>
  <c r="UFT36" i="7"/>
  <c r="UFS36" i="7"/>
  <c r="UFR36" i="7"/>
  <c r="UFQ36" i="7"/>
  <c r="UFP36" i="7"/>
  <c r="UFO36" i="7"/>
  <c r="UFN36" i="7"/>
  <c r="UFM36" i="7"/>
  <c r="UFL36" i="7"/>
  <c r="UFK36" i="7"/>
  <c r="UFJ36" i="7"/>
  <c r="UFI36" i="7"/>
  <c r="UFH36" i="7"/>
  <c r="UFG36" i="7"/>
  <c r="UFF36" i="7"/>
  <c r="UFE36" i="7"/>
  <c r="UFD36" i="7"/>
  <c r="UFC36" i="7"/>
  <c r="UFB36" i="7"/>
  <c r="UFA36" i="7"/>
  <c r="UEZ36" i="7"/>
  <c r="UEY36" i="7"/>
  <c r="UEX36" i="7"/>
  <c r="UEW36" i="7"/>
  <c r="UEV36" i="7"/>
  <c r="UEU36" i="7"/>
  <c r="UET36" i="7"/>
  <c r="UES36" i="7"/>
  <c r="UER36" i="7"/>
  <c r="UEQ36" i="7"/>
  <c r="UEP36" i="7"/>
  <c r="UEO36" i="7"/>
  <c r="UEN36" i="7"/>
  <c r="UEM36" i="7"/>
  <c r="UEL36" i="7"/>
  <c r="UEK36" i="7"/>
  <c r="UEJ36" i="7"/>
  <c r="UEI36" i="7"/>
  <c r="UEH36" i="7"/>
  <c r="UEG36" i="7"/>
  <c r="UEF36" i="7"/>
  <c r="UEE36" i="7"/>
  <c r="UED36" i="7"/>
  <c r="UEC36" i="7"/>
  <c r="UEB36" i="7"/>
  <c r="UEA36" i="7"/>
  <c r="UDZ36" i="7"/>
  <c r="UDY36" i="7"/>
  <c r="UDX36" i="7"/>
  <c r="UDW36" i="7"/>
  <c r="UDV36" i="7"/>
  <c r="UDU36" i="7"/>
  <c r="UDT36" i="7"/>
  <c r="UDS36" i="7"/>
  <c r="UDR36" i="7"/>
  <c r="UDQ36" i="7"/>
  <c r="UDP36" i="7"/>
  <c r="UDO36" i="7"/>
  <c r="UDN36" i="7"/>
  <c r="UDM36" i="7"/>
  <c r="UDL36" i="7"/>
  <c r="UDK36" i="7"/>
  <c r="UDJ36" i="7"/>
  <c r="UDI36" i="7"/>
  <c r="UDH36" i="7"/>
  <c r="UDG36" i="7"/>
  <c r="UDF36" i="7"/>
  <c r="UDE36" i="7"/>
  <c r="UDD36" i="7"/>
  <c r="UDC36" i="7"/>
  <c r="UDB36" i="7"/>
  <c r="UDA36" i="7"/>
  <c r="UCZ36" i="7"/>
  <c r="UCY36" i="7"/>
  <c r="UCX36" i="7"/>
  <c r="UCW36" i="7"/>
  <c r="UCV36" i="7"/>
  <c r="UCU36" i="7"/>
  <c r="UCT36" i="7"/>
  <c r="UCS36" i="7"/>
  <c r="UCR36" i="7"/>
  <c r="UCQ36" i="7"/>
  <c r="UCP36" i="7"/>
  <c r="UCO36" i="7"/>
  <c r="UCN36" i="7"/>
  <c r="UCM36" i="7"/>
  <c r="UCL36" i="7"/>
  <c r="UCK36" i="7"/>
  <c r="UCJ36" i="7"/>
  <c r="UCI36" i="7"/>
  <c r="UCH36" i="7"/>
  <c r="UCG36" i="7"/>
  <c r="UCF36" i="7"/>
  <c r="UCE36" i="7"/>
  <c r="UCD36" i="7"/>
  <c r="UCC36" i="7"/>
  <c r="UCB36" i="7"/>
  <c r="UCA36" i="7"/>
  <c r="UBZ36" i="7"/>
  <c r="UBY36" i="7"/>
  <c r="UBX36" i="7"/>
  <c r="UBW36" i="7"/>
  <c r="UBV36" i="7"/>
  <c r="UBU36" i="7"/>
  <c r="UBT36" i="7"/>
  <c r="UBS36" i="7"/>
  <c r="UBR36" i="7"/>
  <c r="UBQ36" i="7"/>
  <c r="UBP36" i="7"/>
  <c r="UBO36" i="7"/>
  <c r="UBN36" i="7"/>
  <c r="UBM36" i="7"/>
  <c r="UBL36" i="7"/>
  <c r="UBK36" i="7"/>
  <c r="UBJ36" i="7"/>
  <c r="UBI36" i="7"/>
  <c r="UBH36" i="7"/>
  <c r="UBG36" i="7"/>
  <c r="UBF36" i="7"/>
  <c r="UBE36" i="7"/>
  <c r="UBD36" i="7"/>
  <c r="UBC36" i="7"/>
  <c r="UBB36" i="7"/>
  <c r="UBA36" i="7"/>
  <c r="UAZ36" i="7"/>
  <c r="UAY36" i="7"/>
  <c r="UAX36" i="7"/>
  <c r="UAW36" i="7"/>
  <c r="UAV36" i="7"/>
  <c r="UAU36" i="7"/>
  <c r="UAT36" i="7"/>
  <c r="UAS36" i="7"/>
  <c r="UAR36" i="7"/>
  <c r="UAQ36" i="7"/>
  <c r="UAP36" i="7"/>
  <c r="UAO36" i="7"/>
  <c r="UAN36" i="7"/>
  <c r="UAM36" i="7"/>
  <c r="UAL36" i="7"/>
  <c r="UAK36" i="7"/>
  <c r="UAJ36" i="7"/>
  <c r="UAI36" i="7"/>
  <c r="UAH36" i="7"/>
  <c r="UAG36" i="7"/>
  <c r="UAF36" i="7"/>
  <c r="UAE36" i="7"/>
  <c r="UAD36" i="7"/>
  <c r="UAC36" i="7"/>
  <c r="UAB36" i="7"/>
  <c r="UAA36" i="7"/>
  <c r="TZZ36" i="7"/>
  <c r="TZY36" i="7"/>
  <c r="TZX36" i="7"/>
  <c r="TZW36" i="7"/>
  <c r="TZV36" i="7"/>
  <c r="TZU36" i="7"/>
  <c r="TZT36" i="7"/>
  <c r="TZS36" i="7"/>
  <c r="TZR36" i="7"/>
  <c r="TZQ36" i="7"/>
  <c r="TZP36" i="7"/>
  <c r="TZO36" i="7"/>
  <c r="TZN36" i="7"/>
  <c r="TZM36" i="7"/>
  <c r="TZL36" i="7"/>
  <c r="TZK36" i="7"/>
  <c r="TZJ36" i="7"/>
  <c r="TZI36" i="7"/>
  <c r="TZH36" i="7"/>
  <c r="TZG36" i="7"/>
  <c r="TZF36" i="7"/>
  <c r="TZE36" i="7"/>
  <c r="TZD36" i="7"/>
  <c r="TZC36" i="7"/>
  <c r="TZB36" i="7"/>
  <c r="TZA36" i="7"/>
  <c r="TYZ36" i="7"/>
  <c r="TYY36" i="7"/>
  <c r="TYX36" i="7"/>
  <c r="TYW36" i="7"/>
  <c r="TYV36" i="7"/>
  <c r="TYU36" i="7"/>
  <c r="TYT36" i="7"/>
  <c r="TYS36" i="7"/>
  <c r="TYR36" i="7"/>
  <c r="TYQ36" i="7"/>
  <c r="TYP36" i="7"/>
  <c r="TYO36" i="7"/>
  <c r="TYN36" i="7"/>
  <c r="TYM36" i="7"/>
  <c r="TYL36" i="7"/>
  <c r="TYK36" i="7"/>
  <c r="TYJ36" i="7"/>
  <c r="TYI36" i="7"/>
  <c r="TYH36" i="7"/>
  <c r="TYG36" i="7"/>
  <c r="TYF36" i="7"/>
  <c r="TYE36" i="7"/>
  <c r="TYD36" i="7"/>
  <c r="TYC36" i="7"/>
  <c r="TYB36" i="7"/>
  <c r="TYA36" i="7"/>
  <c r="TXZ36" i="7"/>
  <c r="TXY36" i="7"/>
  <c r="TXX36" i="7"/>
  <c r="TXW36" i="7"/>
  <c r="TXV36" i="7"/>
  <c r="TXU36" i="7"/>
  <c r="TXT36" i="7"/>
  <c r="TXS36" i="7"/>
  <c r="TXR36" i="7"/>
  <c r="TXQ36" i="7"/>
  <c r="TXP36" i="7"/>
  <c r="TXO36" i="7"/>
  <c r="TXN36" i="7"/>
  <c r="TXM36" i="7"/>
  <c r="TXL36" i="7"/>
  <c r="TXK36" i="7"/>
  <c r="TXJ36" i="7"/>
  <c r="TXI36" i="7"/>
  <c r="TXH36" i="7"/>
  <c r="TXG36" i="7"/>
  <c r="TXF36" i="7"/>
  <c r="TXE36" i="7"/>
  <c r="TXD36" i="7"/>
  <c r="TXC36" i="7"/>
  <c r="TXB36" i="7"/>
  <c r="TXA36" i="7"/>
  <c r="TWZ36" i="7"/>
  <c r="TWY36" i="7"/>
  <c r="TWX36" i="7"/>
  <c r="TWW36" i="7"/>
  <c r="TWV36" i="7"/>
  <c r="TWU36" i="7"/>
  <c r="TWT36" i="7"/>
  <c r="TWS36" i="7"/>
  <c r="TWR36" i="7"/>
  <c r="TWQ36" i="7"/>
  <c r="TWP36" i="7"/>
  <c r="TWO36" i="7"/>
  <c r="TWN36" i="7"/>
  <c r="TWM36" i="7"/>
  <c r="TWL36" i="7"/>
  <c r="TWK36" i="7"/>
  <c r="TWJ36" i="7"/>
  <c r="TWI36" i="7"/>
  <c r="TWH36" i="7"/>
  <c r="TWG36" i="7"/>
  <c r="TWF36" i="7"/>
  <c r="TWE36" i="7"/>
  <c r="TWD36" i="7"/>
  <c r="TWC36" i="7"/>
  <c r="TWB36" i="7"/>
  <c r="TWA36" i="7"/>
  <c r="TVZ36" i="7"/>
  <c r="TVY36" i="7"/>
  <c r="TVX36" i="7"/>
  <c r="TVW36" i="7"/>
  <c r="TVV36" i="7"/>
  <c r="TVU36" i="7"/>
  <c r="TVT36" i="7"/>
  <c r="TVS36" i="7"/>
  <c r="TVR36" i="7"/>
  <c r="TVQ36" i="7"/>
  <c r="TVP36" i="7"/>
  <c r="TVO36" i="7"/>
  <c r="TVN36" i="7"/>
  <c r="TVM36" i="7"/>
  <c r="TVL36" i="7"/>
  <c r="TVK36" i="7"/>
  <c r="TVJ36" i="7"/>
  <c r="TVI36" i="7"/>
  <c r="TVH36" i="7"/>
  <c r="TVG36" i="7"/>
  <c r="TVF36" i="7"/>
  <c r="TVE36" i="7"/>
  <c r="TVD36" i="7"/>
  <c r="TVC36" i="7"/>
  <c r="TVB36" i="7"/>
  <c r="TVA36" i="7"/>
  <c r="TUZ36" i="7"/>
  <c r="TUY36" i="7"/>
  <c r="TUX36" i="7"/>
  <c r="TUW36" i="7"/>
  <c r="TUV36" i="7"/>
  <c r="TUU36" i="7"/>
  <c r="TUT36" i="7"/>
  <c r="TUS36" i="7"/>
  <c r="TUR36" i="7"/>
  <c r="TUQ36" i="7"/>
  <c r="TUP36" i="7"/>
  <c r="TUO36" i="7"/>
  <c r="TUN36" i="7"/>
  <c r="TUM36" i="7"/>
  <c r="TUL36" i="7"/>
  <c r="TUK36" i="7"/>
  <c r="TUJ36" i="7"/>
  <c r="TUI36" i="7"/>
  <c r="TUH36" i="7"/>
  <c r="TUG36" i="7"/>
  <c r="TUF36" i="7"/>
  <c r="TUE36" i="7"/>
  <c r="TUD36" i="7"/>
  <c r="TUC36" i="7"/>
  <c r="TUB36" i="7"/>
  <c r="TUA36" i="7"/>
  <c r="TTZ36" i="7"/>
  <c r="TTY36" i="7"/>
  <c r="TTX36" i="7"/>
  <c r="TTW36" i="7"/>
  <c r="TTV36" i="7"/>
  <c r="TTU36" i="7"/>
  <c r="TTT36" i="7"/>
  <c r="TTS36" i="7"/>
  <c r="TTR36" i="7"/>
  <c r="TTQ36" i="7"/>
  <c r="TTP36" i="7"/>
  <c r="TTO36" i="7"/>
  <c r="TTN36" i="7"/>
  <c r="TTM36" i="7"/>
  <c r="TTL36" i="7"/>
  <c r="TTK36" i="7"/>
  <c r="TTJ36" i="7"/>
  <c r="TTI36" i="7"/>
  <c r="TTH36" i="7"/>
  <c r="TTG36" i="7"/>
  <c r="TTF36" i="7"/>
  <c r="TTE36" i="7"/>
  <c r="TTD36" i="7"/>
  <c r="TTC36" i="7"/>
  <c r="TTB36" i="7"/>
  <c r="TTA36" i="7"/>
  <c r="TSZ36" i="7"/>
  <c r="TSY36" i="7"/>
  <c r="TSX36" i="7"/>
  <c r="TSW36" i="7"/>
  <c r="TSV36" i="7"/>
  <c r="TSU36" i="7"/>
  <c r="TST36" i="7"/>
  <c r="TSS36" i="7"/>
  <c r="TSR36" i="7"/>
  <c r="TSQ36" i="7"/>
  <c r="TSP36" i="7"/>
  <c r="TSO36" i="7"/>
  <c r="TSN36" i="7"/>
  <c r="TSM36" i="7"/>
  <c r="TSL36" i="7"/>
  <c r="TSK36" i="7"/>
  <c r="TSJ36" i="7"/>
  <c r="TSI36" i="7"/>
  <c r="TSH36" i="7"/>
  <c r="TSG36" i="7"/>
  <c r="TSF36" i="7"/>
  <c r="TSE36" i="7"/>
  <c r="TSD36" i="7"/>
  <c r="TSC36" i="7"/>
  <c r="TSB36" i="7"/>
  <c r="TSA36" i="7"/>
  <c r="TRZ36" i="7"/>
  <c r="TRY36" i="7"/>
  <c r="TRX36" i="7"/>
  <c r="TRW36" i="7"/>
  <c r="TRV36" i="7"/>
  <c r="TRU36" i="7"/>
  <c r="TRT36" i="7"/>
  <c r="TRS36" i="7"/>
  <c r="TRR36" i="7"/>
  <c r="TRQ36" i="7"/>
  <c r="TRP36" i="7"/>
  <c r="TRO36" i="7"/>
  <c r="TRN36" i="7"/>
  <c r="TRM36" i="7"/>
  <c r="TRL36" i="7"/>
  <c r="TRK36" i="7"/>
  <c r="TRJ36" i="7"/>
  <c r="TRI36" i="7"/>
  <c r="TRH36" i="7"/>
  <c r="TRG36" i="7"/>
  <c r="TRF36" i="7"/>
  <c r="TRE36" i="7"/>
  <c r="TRD36" i="7"/>
  <c r="TRC36" i="7"/>
  <c r="TRB36" i="7"/>
  <c r="TRA36" i="7"/>
  <c r="TQZ36" i="7"/>
  <c r="TQY36" i="7"/>
  <c r="TQX36" i="7"/>
  <c r="TQW36" i="7"/>
  <c r="TQV36" i="7"/>
  <c r="TQU36" i="7"/>
  <c r="TQT36" i="7"/>
  <c r="TQS36" i="7"/>
  <c r="TQR36" i="7"/>
  <c r="TQQ36" i="7"/>
  <c r="TQP36" i="7"/>
  <c r="TQO36" i="7"/>
  <c r="TQN36" i="7"/>
  <c r="TQM36" i="7"/>
  <c r="TQL36" i="7"/>
  <c r="TQK36" i="7"/>
  <c r="TQJ36" i="7"/>
  <c r="TQI36" i="7"/>
  <c r="TQH36" i="7"/>
  <c r="TQG36" i="7"/>
  <c r="TQF36" i="7"/>
  <c r="TQE36" i="7"/>
  <c r="TQD36" i="7"/>
  <c r="TQC36" i="7"/>
  <c r="TQB36" i="7"/>
  <c r="TQA36" i="7"/>
  <c r="TPZ36" i="7"/>
  <c r="TPY36" i="7"/>
  <c r="TPX36" i="7"/>
  <c r="TPW36" i="7"/>
  <c r="TPV36" i="7"/>
  <c r="TPU36" i="7"/>
  <c r="TPT36" i="7"/>
  <c r="TPS36" i="7"/>
  <c r="TPR36" i="7"/>
  <c r="TPQ36" i="7"/>
  <c r="TPP36" i="7"/>
  <c r="TPO36" i="7"/>
  <c r="TPN36" i="7"/>
  <c r="TPM36" i="7"/>
  <c r="TPL36" i="7"/>
  <c r="TPK36" i="7"/>
  <c r="TPJ36" i="7"/>
  <c r="TPI36" i="7"/>
  <c r="TPH36" i="7"/>
  <c r="TPG36" i="7"/>
  <c r="TPF36" i="7"/>
  <c r="TPE36" i="7"/>
  <c r="TPD36" i="7"/>
  <c r="TPC36" i="7"/>
  <c r="TPB36" i="7"/>
  <c r="TPA36" i="7"/>
  <c r="TOZ36" i="7"/>
  <c r="TOY36" i="7"/>
  <c r="TOX36" i="7"/>
  <c r="TOW36" i="7"/>
  <c r="TOV36" i="7"/>
  <c r="TOU36" i="7"/>
  <c r="TOT36" i="7"/>
  <c r="TOS36" i="7"/>
  <c r="TOR36" i="7"/>
  <c r="TOQ36" i="7"/>
  <c r="TOP36" i="7"/>
  <c r="TOO36" i="7"/>
  <c r="TON36" i="7"/>
  <c r="TOM36" i="7"/>
  <c r="TOL36" i="7"/>
  <c r="TOK36" i="7"/>
  <c r="TOJ36" i="7"/>
  <c r="TOI36" i="7"/>
  <c r="TOH36" i="7"/>
  <c r="TOG36" i="7"/>
  <c r="TOF36" i="7"/>
  <c r="TOE36" i="7"/>
  <c r="TOD36" i="7"/>
  <c r="TOC36" i="7"/>
  <c r="TOB36" i="7"/>
  <c r="TOA36" i="7"/>
  <c r="TNZ36" i="7"/>
  <c r="TNY36" i="7"/>
  <c r="TNX36" i="7"/>
  <c r="TNW36" i="7"/>
  <c r="TNV36" i="7"/>
  <c r="TNU36" i="7"/>
  <c r="TNT36" i="7"/>
  <c r="TNS36" i="7"/>
  <c r="TNR36" i="7"/>
  <c r="TNQ36" i="7"/>
  <c r="TNP36" i="7"/>
  <c r="TNO36" i="7"/>
  <c r="TNN36" i="7"/>
  <c r="TNM36" i="7"/>
  <c r="TNL36" i="7"/>
  <c r="TNK36" i="7"/>
  <c r="TNJ36" i="7"/>
  <c r="TNI36" i="7"/>
  <c r="TNH36" i="7"/>
  <c r="TNG36" i="7"/>
  <c r="TNF36" i="7"/>
  <c r="TNE36" i="7"/>
  <c r="TND36" i="7"/>
  <c r="TNC36" i="7"/>
  <c r="TNB36" i="7"/>
  <c r="TNA36" i="7"/>
  <c r="TMZ36" i="7"/>
  <c r="TMY36" i="7"/>
  <c r="TMX36" i="7"/>
  <c r="TMW36" i="7"/>
  <c r="TMV36" i="7"/>
  <c r="TMU36" i="7"/>
  <c r="TMT36" i="7"/>
  <c r="TMS36" i="7"/>
  <c r="TMR36" i="7"/>
  <c r="TMQ36" i="7"/>
  <c r="TMP36" i="7"/>
  <c r="TMO36" i="7"/>
  <c r="TMN36" i="7"/>
  <c r="TMM36" i="7"/>
  <c r="TML36" i="7"/>
  <c r="TMK36" i="7"/>
  <c r="TMJ36" i="7"/>
  <c r="TMI36" i="7"/>
  <c r="TMH36" i="7"/>
  <c r="TMG36" i="7"/>
  <c r="TMF36" i="7"/>
  <c r="TME36" i="7"/>
  <c r="TMD36" i="7"/>
  <c r="TMC36" i="7"/>
  <c r="TMB36" i="7"/>
  <c r="TMA36" i="7"/>
  <c r="TLZ36" i="7"/>
  <c r="TLY36" i="7"/>
  <c r="TLX36" i="7"/>
  <c r="TLW36" i="7"/>
  <c r="TLV36" i="7"/>
  <c r="TLU36" i="7"/>
  <c r="TLT36" i="7"/>
  <c r="TLS36" i="7"/>
  <c r="TLR36" i="7"/>
  <c r="TLQ36" i="7"/>
  <c r="TLP36" i="7"/>
  <c r="TLO36" i="7"/>
  <c r="TLN36" i="7"/>
  <c r="TLM36" i="7"/>
  <c r="TLL36" i="7"/>
  <c r="TLK36" i="7"/>
  <c r="TLJ36" i="7"/>
  <c r="TLI36" i="7"/>
  <c r="TLH36" i="7"/>
  <c r="TLG36" i="7"/>
  <c r="TLF36" i="7"/>
  <c r="TLE36" i="7"/>
  <c r="TLD36" i="7"/>
  <c r="TLC36" i="7"/>
  <c r="TLB36" i="7"/>
  <c r="TLA36" i="7"/>
  <c r="TKZ36" i="7"/>
  <c r="TKY36" i="7"/>
  <c r="TKX36" i="7"/>
  <c r="TKW36" i="7"/>
  <c r="TKV36" i="7"/>
  <c r="TKU36" i="7"/>
  <c r="TKT36" i="7"/>
  <c r="TKS36" i="7"/>
  <c r="TKR36" i="7"/>
  <c r="TKQ36" i="7"/>
  <c r="TKP36" i="7"/>
  <c r="TKO36" i="7"/>
  <c r="TKN36" i="7"/>
  <c r="TKM36" i="7"/>
  <c r="TKL36" i="7"/>
  <c r="TKK36" i="7"/>
  <c r="TKJ36" i="7"/>
  <c r="TKI36" i="7"/>
  <c r="TKH36" i="7"/>
  <c r="TKG36" i="7"/>
  <c r="TKF36" i="7"/>
  <c r="TKE36" i="7"/>
  <c r="TKD36" i="7"/>
  <c r="TKC36" i="7"/>
  <c r="TKB36" i="7"/>
  <c r="TKA36" i="7"/>
  <c r="TJZ36" i="7"/>
  <c r="TJY36" i="7"/>
  <c r="TJX36" i="7"/>
  <c r="TJW36" i="7"/>
  <c r="TJV36" i="7"/>
  <c r="TJU36" i="7"/>
  <c r="TJT36" i="7"/>
  <c r="TJS36" i="7"/>
  <c r="TJR36" i="7"/>
  <c r="TJQ36" i="7"/>
  <c r="TJP36" i="7"/>
  <c r="TJO36" i="7"/>
  <c r="TJN36" i="7"/>
  <c r="TJM36" i="7"/>
  <c r="TJL36" i="7"/>
  <c r="TJK36" i="7"/>
  <c r="TJJ36" i="7"/>
  <c r="TJI36" i="7"/>
  <c r="TJH36" i="7"/>
  <c r="TJG36" i="7"/>
  <c r="TJF36" i="7"/>
  <c r="TJE36" i="7"/>
  <c r="TJD36" i="7"/>
  <c r="TJC36" i="7"/>
  <c r="TJB36" i="7"/>
  <c r="TJA36" i="7"/>
  <c r="TIZ36" i="7"/>
  <c r="TIY36" i="7"/>
  <c r="TIX36" i="7"/>
  <c r="TIW36" i="7"/>
  <c r="TIV36" i="7"/>
  <c r="TIU36" i="7"/>
  <c r="TIT36" i="7"/>
  <c r="TIS36" i="7"/>
  <c r="TIR36" i="7"/>
  <c r="TIQ36" i="7"/>
  <c r="TIP36" i="7"/>
  <c r="TIO36" i="7"/>
  <c r="TIN36" i="7"/>
  <c r="TIM36" i="7"/>
  <c r="TIL36" i="7"/>
  <c r="TIK36" i="7"/>
  <c r="TIJ36" i="7"/>
  <c r="TII36" i="7"/>
  <c r="TIH36" i="7"/>
  <c r="TIG36" i="7"/>
  <c r="TIF36" i="7"/>
  <c r="TIE36" i="7"/>
  <c r="TID36" i="7"/>
  <c r="TIC36" i="7"/>
  <c r="TIB36" i="7"/>
  <c r="TIA36" i="7"/>
  <c r="THZ36" i="7"/>
  <c r="THY36" i="7"/>
  <c r="THX36" i="7"/>
  <c r="THW36" i="7"/>
  <c r="THV36" i="7"/>
  <c r="THU36" i="7"/>
  <c r="THT36" i="7"/>
  <c r="THS36" i="7"/>
  <c r="THR36" i="7"/>
  <c r="THQ36" i="7"/>
  <c r="THP36" i="7"/>
  <c r="THO36" i="7"/>
  <c r="THN36" i="7"/>
  <c r="THM36" i="7"/>
  <c r="THL36" i="7"/>
  <c r="THK36" i="7"/>
  <c r="THJ36" i="7"/>
  <c r="THI36" i="7"/>
  <c r="THH36" i="7"/>
  <c r="THG36" i="7"/>
  <c r="THF36" i="7"/>
  <c r="THE36" i="7"/>
  <c r="THD36" i="7"/>
  <c r="THC36" i="7"/>
  <c r="THB36" i="7"/>
  <c r="THA36" i="7"/>
  <c r="TGZ36" i="7"/>
  <c r="TGY36" i="7"/>
  <c r="TGX36" i="7"/>
  <c r="TGW36" i="7"/>
  <c r="TGV36" i="7"/>
  <c r="TGU36" i="7"/>
  <c r="TGT36" i="7"/>
  <c r="TGS36" i="7"/>
  <c r="TGR36" i="7"/>
  <c r="TGQ36" i="7"/>
  <c r="TGP36" i="7"/>
  <c r="TGO36" i="7"/>
  <c r="TGN36" i="7"/>
  <c r="TGM36" i="7"/>
  <c r="TGL36" i="7"/>
  <c r="TGK36" i="7"/>
  <c r="TGJ36" i="7"/>
  <c r="TGI36" i="7"/>
  <c r="TGH36" i="7"/>
  <c r="TGG36" i="7"/>
  <c r="TGF36" i="7"/>
  <c r="TGE36" i="7"/>
  <c r="TGD36" i="7"/>
  <c r="TGC36" i="7"/>
  <c r="TGB36" i="7"/>
  <c r="TGA36" i="7"/>
  <c r="TFZ36" i="7"/>
  <c r="TFY36" i="7"/>
  <c r="TFX36" i="7"/>
  <c r="TFW36" i="7"/>
  <c r="TFV36" i="7"/>
  <c r="TFU36" i="7"/>
  <c r="TFT36" i="7"/>
  <c r="TFS36" i="7"/>
  <c r="TFR36" i="7"/>
  <c r="TFQ36" i="7"/>
  <c r="TFP36" i="7"/>
  <c r="TFO36" i="7"/>
  <c r="TFN36" i="7"/>
  <c r="TFM36" i="7"/>
  <c r="TFL36" i="7"/>
  <c r="TFK36" i="7"/>
  <c r="TFJ36" i="7"/>
  <c r="TFI36" i="7"/>
  <c r="TFH36" i="7"/>
  <c r="TFG36" i="7"/>
  <c r="TFF36" i="7"/>
  <c r="TFE36" i="7"/>
  <c r="TFD36" i="7"/>
  <c r="TFC36" i="7"/>
  <c r="TFB36" i="7"/>
  <c r="TFA36" i="7"/>
  <c r="TEZ36" i="7"/>
  <c r="TEY36" i="7"/>
  <c r="TEX36" i="7"/>
  <c r="TEW36" i="7"/>
  <c r="TEV36" i="7"/>
  <c r="TEU36" i="7"/>
  <c r="TET36" i="7"/>
  <c r="TES36" i="7"/>
  <c r="TER36" i="7"/>
  <c r="TEQ36" i="7"/>
  <c r="TEP36" i="7"/>
  <c r="TEO36" i="7"/>
  <c r="TEN36" i="7"/>
  <c r="TEM36" i="7"/>
  <c r="TEL36" i="7"/>
  <c r="TEK36" i="7"/>
  <c r="TEJ36" i="7"/>
  <c r="TEI36" i="7"/>
  <c r="TEH36" i="7"/>
  <c r="TEG36" i="7"/>
  <c r="TEF36" i="7"/>
  <c r="TEE36" i="7"/>
  <c r="TED36" i="7"/>
  <c r="TEC36" i="7"/>
  <c r="TEB36" i="7"/>
  <c r="TEA36" i="7"/>
  <c r="TDZ36" i="7"/>
  <c r="TDY36" i="7"/>
  <c r="TDX36" i="7"/>
  <c r="TDW36" i="7"/>
  <c r="TDV36" i="7"/>
  <c r="TDU36" i="7"/>
  <c r="TDT36" i="7"/>
  <c r="TDS36" i="7"/>
  <c r="TDR36" i="7"/>
  <c r="TDQ36" i="7"/>
  <c r="TDP36" i="7"/>
  <c r="TDO36" i="7"/>
  <c r="TDN36" i="7"/>
  <c r="TDM36" i="7"/>
  <c r="TDL36" i="7"/>
  <c r="TDK36" i="7"/>
  <c r="TDJ36" i="7"/>
  <c r="TDI36" i="7"/>
  <c r="TDH36" i="7"/>
  <c r="TDG36" i="7"/>
  <c r="TDF36" i="7"/>
  <c r="TDE36" i="7"/>
  <c r="TDD36" i="7"/>
  <c r="TDC36" i="7"/>
  <c r="TDB36" i="7"/>
  <c r="TDA36" i="7"/>
  <c r="TCZ36" i="7"/>
  <c r="TCY36" i="7"/>
  <c r="TCX36" i="7"/>
  <c r="TCW36" i="7"/>
  <c r="TCV36" i="7"/>
  <c r="TCU36" i="7"/>
  <c r="TCT36" i="7"/>
  <c r="TCS36" i="7"/>
  <c r="TCR36" i="7"/>
  <c r="TCQ36" i="7"/>
  <c r="TCP36" i="7"/>
  <c r="TCO36" i="7"/>
  <c r="TCN36" i="7"/>
  <c r="TCM36" i="7"/>
  <c r="TCL36" i="7"/>
  <c r="TCK36" i="7"/>
  <c r="TCJ36" i="7"/>
  <c r="TCI36" i="7"/>
  <c r="TCH36" i="7"/>
  <c r="TCG36" i="7"/>
  <c r="TCF36" i="7"/>
  <c r="TCE36" i="7"/>
  <c r="TCD36" i="7"/>
  <c r="TCC36" i="7"/>
  <c r="TCB36" i="7"/>
  <c r="TCA36" i="7"/>
  <c r="TBZ36" i="7"/>
  <c r="TBY36" i="7"/>
  <c r="TBX36" i="7"/>
  <c r="TBW36" i="7"/>
  <c r="TBV36" i="7"/>
  <c r="TBU36" i="7"/>
  <c r="TBT36" i="7"/>
  <c r="TBS36" i="7"/>
  <c r="TBR36" i="7"/>
  <c r="TBQ36" i="7"/>
  <c r="TBP36" i="7"/>
  <c r="TBO36" i="7"/>
  <c r="TBN36" i="7"/>
  <c r="TBM36" i="7"/>
  <c r="TBL36" i="7"/>
  <c r="TBK36" i="7"/>
  <c r="TBJ36" i="7"/>
  <c r="TBI36" i="7"/>
  <c r="TBH36" i="7"/>
  <c r="TBG36" i="7"/>
  <c r="TBF36" i="7"/>
  <c r="TBE36" i="7"/>
  <c r="TBD36" i="7"/>
  <c r="TBC36" i="7"/>
  <c r="TBB36" i="7"/>
  <c r="TBA36" i="7"/>
  <c r="TAZ36" i="7"/>
  <c r="TAY36" i="7"/>
  <c r="TAX36" i="7"/>
  <c r="TAW36" i="7"/>
  <c r="TAV36" i="7"/>
  <c r="TAU36" i="7"/>
  <c r="TAT36" i="7"/>
  <c r="TAS36" i="7"/>
  <c r="TAR36" i="7"/>
  <c r="TAQ36" i="7"/>
  <c r="TAP36" i="7"/>
  <c r="TAO36" i="7"/>
  <c r="TAN36" i="7"/>
  <c r="TAM36" i="7"/>
  <c r="TAL36" i="7"/>
  <c r="TAK36" i="7"/>
  <c r="TAJ36" i="7"/>
  <c r="TAI36" i="7"/>
  <c r="TAH36" i="7"/>
  <c r="TAG36" i="7"/>
  <c r="TAF36" i="7"/>
  <c r="TAE36" i="7"/>
  <c r="TAD36" i="7"/>
  <c r="TAC36" i="7"/>
  <c r="TAB36" i="7"/>
  <c r="TAA36" i="7"/>
  <c r="SZZ36" i="7"/>
  <c r="SZY36" i="7"/>
  <c r="SZX36" i="7"/>
  <c r="SZW36" i="7"/>
  <c r="SZV36" i="7"/>
  <c r="SZU36" i="7"/>
  <c r="SZT36" i="7"/>
  <c r="SZS36" i="7"/>
  <c r="SZR36" i="7"/>
  <c r="SZQ36" i="7"/>
  <c r="SZP36" i="7"/>
  <c r="SZO36" i="7"/>
  <c r="SZN36" i="7"/>
  <c r="SZM36" i="7"/>
  <c r="SZL36" i="7"/>
  <c r="SZK36" i="7"/>
  <c r="SZJ36" i="7"/>
  <c r="SZI36" i="7"/>
  <c r="SZH36" i="7"/>
  <c r="SZG36" i="7"/>
  <c r="SZF36" i="7"/>
  <c r="SZE36" i="7"/>
  <c r="SZD36" i="7"/>
  <c r="SZC36" i="7"/>
  <c r="SZB36" i="7"/>
  <c r="SZA36" i="7"/>
  <c r="SYZ36" i="7"/>
  <c r="SYY36" i="7"/>
  <c r="SYX36" i="7"/>
  <c r="SYW36" i="7"/>
  <c r="SYV36" i="7"/>
  <c r="SYU36" i="7"/>
  <c r="SYT36" i="7"/>
  <c r="SYS36" i="7"/>
  <c r="SYR36" i="7"/>
  <c r="SYQ36" i="7"/>
  <c r="SYP36" i="7"/>
  <c r="SYO36" i="7"/>
  <c r="SYN36" i="7"/>
  <c r="SYM36" i="7"/>
  <c r="SYL36" i="7"/>
  <c r="SYK36" i="7"/>
  <c r="SYJ36" i="7"/>
  <c r="SYI36" i="7"/>
  <c r="SYH36" i="7"/>
  <c r="SYG36" i="7"/>
  <c r="SYF36" i="7"/>
  <c r="SYE36" i="7"/>
  <c r="SYD36" i="7"/>
  <c r="SYC36" i="7"/>
  <c r="SYB36" i="7"/>
  <c r="SYA36" i="7"/>
  <c r="SXZ36" i="7"/>
  <c r="SXY36" i="7"/>
  <c r="SXX36" i="7"/>
  <c r="SXW36" i="7"/>
  <c r="SXV36" i="7"/>
  <c r="SXU36" i="7"/>
  <c r="SXT36" i="7"/>
  <c r="SXS36" i="7"/>
  <c r="SXR36" i="7"/>
  <c r="SXQ36" i="7"/>
  <c r="SXP36" i="7"/>
  <c r="SXO36" i="7"/>
  <c r="SXN36" i="7"/>
  <c r="SXM36" i="7"/>
  <c r="SXL36" i="7"/>
  <c r="SXK36" i="7"/>
  <c r="SXJ36" i="7"/>
  <c r="SXI36" i="7"/>
  <c r="SXH36" i="7"/>
  <c r="SXG36" i="7"/>
  <c r="SXF36" i="7"/>
  <c r="SXE36" i="7"/>
  <c r="SXD36" i="7"/>
  <c r="SXC36" i="7"/>
  <c r="SXB36" i="7"/>
  <c r="SXA36" i="7"/>
  <c r="SWZ36" i="7"/>
  <c r="SWY36" i="7"/>
  <c r="SWX36" i="7"/>
  <c r="SWW36" i="7"/>
  <c r="SWV36" i="7"/>
  <c r="SWU36" i="7"/>
  <c r="SWT36" i="7"/>
  <c r="SWS36" i="7"/>
  <c r="SWR36" i="7"/>
  <c r="SWQ36" i="7"/>
  <c r="SWP36" i="7"/>
  <c r="SWO36" i="7"/>
  <c r="SWN36" i="7"/>
  <c r="SWM36" i="7"/>
  <c r="SWL36" i="7"/>
  <c r="SWK36" i="7"/>
  <c r="SWJ36" i="7"/>
  <c r="SWI36" i="7"/>
  <c r="SWH36" i="7"/>
  <c r="SWG36" i="7"/>
  <c r="SWF36" i="7"/>
  <c r="SWE36" i="7"/>
  <c r="SWD36" i="7"/>
  <c r="SWC36" i="7"/>
  <c r="SWB36" i="7"/>
  <c r="SWA36" i="7"/>
  <c r="SVZ36" i="7"/>
  <c r="SVY36" i="7"/>
  <c r="SVX36" i="7"/>
  <c r="SVW36" i="7"/>
  <c r="SVV36" i="7"/>
  <c r="SVU36" i="7"/>
  <c r="SVT36" i="7"/>
  <c r="SVS36" i="7"/>
  <c r="SVR36" i="7"/>
  <c r="SVQ36" i="7"/>
  <c r="SVP36" i="7"/>
  <c r="SVO36" i="7"/>
  <c r="SVN36" i="7"/>
  <c r="SVM36" i="7"/>
  <c r="SVL36" i="7"/>
  <c r="SVK36" i="7"/>
  <c r="SVJ36" i="7"/>
  <c r="SVI36" i="7"/>
  <c r="SVH36" i="7"/>
  <c r="SVG36" i="7"/>
  <c r="SVF36" i="7"/>
  <c r="SVE36" i="7"/>
  <c r="SVD36" i="7"/>
  <c r="SVC36" i="7"/>
  <c r="SVB36" i="7"/>
  <c r="SVA36" i="7"/>
  <c r="SUZ36" i="7"/>
  <c r="SUY36" i="7"/>
  <c r="SUX36" i="7"/>
  <c r="SUW36" i="7"/>
  <c r="SUV36" i="7"/>
  <c r="SUU36" i="7"/>
  <c r="SUT36" i="7"/>
  <c r="SUS36" i="7"/>
  <c r="SUR36" i="7"/>
  <c r="SUQ36" i="7"/>
  <c r="SUP36" i="7"/>
  <c r="SUO36" i="7"/>
  <c r="SUN36" i="7"/>
  <c r="SUM36" i="7"/>
  <c r="SUL36" i="7"/>
  <c r="SUK36" i="7"/>
  <c r="SUJ36" i="7"/>
  <c r="SUI36" i="7"/>
  <c r="SUH36" i="7"/>
  <c r="SUG36" i="7"/>
  <c r="SUF36" i="7"/>
  <c r="SUE36" i="7"/>
  <c r="SUD36" i="7"/>
  <c r="SUC36" i="7"/>
  <c r="SUB36" i="7"/>
  <c r="SUA36" i="7"/>
  <c r="STZ36" i="7"/>
  <c r="STY36" i="7"/>
  <c r="STX36" i="7"/>
  <c r="STW36" i="7"/>
  <c r="STV36" i="7"/>
  <c r="STU36" i="7"/>
  <c r="STT36" i="7"/>
  <c r="STS36" i="7"/>
  <c r="STR36" i="7"/>
  <c r="STQ36" i="7"/>
  <c r="STP36" i="7"/>
  <c r="STO36" i="7"/>
  <c r="STN36" i="7"/>
  <c r="STM36" i="7"/>
  <c r="STL36" i="7"/>
  <c r="STK36" i="7"/>
  <c r="STJ36" i="7"/>
  <c r="STI36" i="7"/>
  <c r="STH36" i="7"/>
  <c r="STG36" i="7"/>
  <c r="STF36" i="7"/>
  <c r="STE36" i="7"/>
  <c r="STD36" i="7"/>
  <c r="STC36" i="7"/>
  <c r="STB36" i="7"/>
  <c r="STA36" i="7"/>
  <c r="SSZ36" i="7"/>
  <c r="SSY36" i="7"/>
  <c r="SSX36" i="7"/>
  <c r="SSW36" i="7"/>
  <c r="SSV36" i="7"/>
  <c r="SSU36" i="7"/>
  <c r="SST36" i="7"/>
  <c r="SSS36" i="7"/>
  <c r="SSR36" i="7"/>
  <c r="SSQ36" i="7"/>
  <c r="SSP36" i="7"/>
  <c r="SSO36" i="7"/>
  <c r="SSN36" i="7"/>
  <c r="SSM36" i="7"/>
  <c r="SSL36" i="7"/>
  <c r="SSK36" i="7"/>
  <c r="SSJ36" i="7"/>
  <c r="SSI36" i="7"/>
  <c r="SSH36" i="7"/>
  <c r="SSG36" i="7"/>
  <c r="SSF36" i="7"/>
  <c r="SSE36" i="7"/>
  <c r="SSD36" i="7"/>
  <c r="SSC36" i="7"/>
  <c r="SSB36" i="7"/>
  <c r="SSA36" i="7"/>
  <c r="SRZ36" i="7"/>
  <c r="SRY36" i="7"/>
  <c r="SRX36" i="7"/>
  <c r="SRW36" i="7"/>
  <c r="SRV36" i="7"/>
  <c r="SRU36" i="7"/>
  <c r="SRT36" i="7"/>
  <c r="SRS36" i="7"/>
  <c r="SRR36" i="7"/>
  <c r="SRQ36" i="7"/>
  <c r="SRP36" i="7"/>
  <c r="SRO36" i="7"/>
  <c r="SRN36" i="7"/>
  <c r="SRM36" i="7"/>
  <c r="SRL36" i="7"/>
  <c r="SRK36" i="7"/>
  <c r="SRJ36" i="7"/>
  <c r="SRI36" i="7"/>
  <c r="SRH36" i="7"/>
  <c r="SRG36" i="7"/>
  <c r="SRF36" i="7"/>
  <c r="SRE36" i="7"/>
  <c r="SRD36" i="7"/>
  <c r="SRC36" i="7"/>
  <c r="SRB36" i="7"/>
  <c r="SRA36" i="7"/>
  <c r="SQZ36" i="7"/>
  <c r="SQY36" i="7"/>
  <c r="SQX36" i="7"/>
  <c r="SQW36" i="7"/>
  <c r="SQV36" i="7"/>
  <c r="SQU36" i="7"/>
  <c r="SQT36" i="7"/>
  <c r="SQS36" i="7"/>
  <c r="SQR36" i="7"/>
  <c r="SQQ36" i="7"/>
  <c r="SQP36" i="7"/>
  <c r="SQO36" i="7"/>
  <c r="SQN36" i="7"/>
  <c r="SQM36" i="7"/>
  <c r="SQL36" i="7"/>
  <c r="SQK36" i="7"/>
  <c r="SQJ36" i="7"/>
  <c r="SQI36" i="7"/>
  <c r="SQH36" i="7"/>
  <c r="SQG36" i="7"/>
  <c r="SQF36" i="7"/>
  <c r="SQE36" i="7"/>
  <c r="SQD36" i="7"/>
  <c r="SQC36" i="7"/>
  <c r="SQB36" i="7"/>
  <c r="SQA36" i="7"/>
  <c r="SPZ36" i="7"/>
  <c r="SPY36" i="7"/>
  <c r="SPX36" i="7"/>
  <c r="SPW36" i="7"/>
  <c r="SPV36" i="7"/>
  <c r="SPU36" i="7"/>
  <c r="SPT36" i="7"/>
  <c r="SPS36" i="7"/>
  <c r="SPR36" i="7"/>
  <c r="SPQ36" i="7"/>
  <c r="SPP36" i="7"/>
  <c r="SPO36" i="7"/>
  <c r="SPN36" i="7"/>
  <c r="SPM36" i="7"/>
  <c r="SPL36" i="7"/>
  <c r="SPK36" i="7"/>
  <c r="SPJ36" i="7"/>
  <c r="SPI36" i="7"/>
  <c r="SPH36" i="7"/>
  <c r="SPG36" i="7"/>
  <c r="SPF36" i="7"/>
  <c r="SPE36" i="7"/>
  <c r="SPD36" i="7"/>
  <c r="SPC36" i="7"/>
  <c r="SPB36" i="7"/>
  <c r="SPA36" i="7"/>
  <c r="SOZ36" i="7"/>
  <c r="SOY36" i="7"/>
  <c r="SOX36" i="7"/>
  <c r="SOW36" i="7"/>
  <c r="SOV36" i="7"/>
  <c r="SOU36" i="7"/>
  <c r="SOT36" i="7"/>
  <c r="SOS36" i="7"/>
  <c r="SOR36" i="7"/>
  <c r="SOQ36" i="7"/>
  <c r="SOP36" i="7"/>
  <c r="SOO36" i="7"/>
  <c r="SON36" i="7"/>
  <c r="SOM36" i="7"/>
  <c r="SOL36" i="7"/>
  <c r="SOK36" i="7"/>
  <c r="SOJ36" i="7"/>
  <c r="SOI36" i="7"/>
  <c r="SOH36" i="7"/>
  <c r="SOG36" i="7"/>
  <c r="SOF36" i="7"/>
  <c r="SOE36" i="7"/>
  <c r="SOD36" i="7"/>
  <c r="SOC36" i="7"/>
  <c r="SOB36" i="7"/>
  <c r="SOA36" i="7"/>
  <c r="SNZ36" i="7"/>
  <c r="SNY36" i="7"/>
  <c r="SNX36" i="7"/>
  <c r="SNW36" i="7"/>
  <c r="SNV36" i="7"/>
  <c r="SNU36" i="7"/>
  <c r="SNT36" i="7"/>
  <c r="SNS36" i="7"/>
  <c r="SNR36" i="7"/>
  <c r="SNQ36" i="7"/>
  <c r="SNP36" i="7"/>
  <c r="SNO36" i="7"/>
  <c r="SNN36" i="7"/>
  <c r="SNM36" i="7"/>
  <c r="SNL36" i="7"/>
  <c r="SNK36" i="7"/>
  <c r="SNJ36" i="7"/>
  <c r="SNI36" i="7"/>
  <c r="SNH36" i="7"/>
  <c r="SNG36" i="7"/>
  <c r="SNF36" i="7"/>
  <c r="SNE36" i="7"/>
  <c r="SND36" i="7"/>
  <c r="SNC36" i="7"/>
  <c r="SNB36" i="7"/>
  <c r="SNA36" i="7"/>
  <c r="SMZ36" i="7"/>
  <c r="SMY36" i="7"/>
  <c r="SMX36" i="7"/>
  <c r="SMW36" i="7"/>
  <c r="SMV36" i="7"/>
  <c r="SMU36" i="7"/>
  <c r="SMT36" i="7"/>
  <c r="SMS36" i="7"/>
  <c r="SMR36" i="7"/>
  <c r="SMQ36" i="7"/>
  <c r="SMP36" i="7"/>
  <c r="SMO36" i="7"/>
  <c r="SMN36" i="7"/>
  <c r="SMM36" i="7"/>
  <c r="SML36" i="7"/>
  <c r="SMK36" i="7"/>
  <c r="SMJ36" i="7"/>
  <c r="SMI36" i="7"/>
  <c r="SMH36" i="7"/>
  <c r="SMG36" i="7"/>
  <c r="SMF36" i="7"/>
  <c r="SME36" i="7"/>
  <c r="SMD36" i="7"/>
  <c r="SMC36" i="7"/>
  <c r="SMB36" i="7"/>
  <c r="SMA36" i="7"/>
  <c r="SLZ36" i="7"/>
  <c r="SLY36" i="7"/>
  <c r="SLX36" i="7"/>
  <c r="SLW36" i="7"/>
  <c r="SLV36" i="7"/>
  <c r="SLU36" i="7"/>
  <c r="SLT36" i="7"/>
  <c r="SLS36" i="7"/>
  <c r="SLR36" i="7"/>
  <c r="SLQ36" i="7"/>
  <c r="SLP36" i="7"/>
  <c r="SLO36" i="7"/>
  <c r="SLN36" i="7"/>
  <c r="SLM36" i="7"/>
  <c r="SLL36" i="7"/>
  <c r="SLK36" i="7"/>
  <c r="SLJ36" i="7"/>
  <c r="SLI36" i="7"/>
  <c r="SLH36" i="7"/>
  <c r="SLG36" i="7"/>
  <c r="SLF36" i="7"/>
  <c r="SLE36" i="7"/>
  <c r="SLD36" i="7"/>
  <c r="SLC36" i="7"/>
  <c r="SLB36" i="7"/>
  <c r="SLA36" i="7"/>
  <c r="SKZ36" i="7"/>
  <c r="SKY36" i="7"/>
  <c r="SKX36" i="7"/>
  <c r="SKW36" i="7"/>
  <c r="SKV36" i="7"/>
  <c r="SKU36" i="7"/>
  <c r="SKT36" i="7"/>
  <c r="SKS36" i="7"/>
  <c r="SKR36" i="7"/>
  <c r="SKQ36" i="7"/>
  <c r="SKP36" i="7"/>
  <c r="SKO36" i="7"/>
  <c r="SKN36" i="7"/>
  <c r="SKM36" i="7"/>
  <c r="SKL36" i="7"/>
  <c r="SKK36" i="7"/>
  <c r="SKJ36" i="7"/>
  <c r="SKI36" i="7"/>
  <c r="SKH36" i="7"/>
  <c r="SKG36" i="7"/>
  <c r="SKF36" i="7"/>
  <c r="SKE36" i="7"/>
  <c r="SKD36" i="7"/>
  <c r="SKC36" i="7"/>
  <c r="SKB36" i="7"/>
  <c r="SKA36" i="7"/>
  <c r="SJZ36" i="7"/>
  <c r="SJY36" i="7"/>
  <c r="SJX36" i="7"/>
  <c r="SJW36" i="7"/>
  <c r="SJV36" i="7"/>
  <c r="SJU36" i="7"/>
  <c r="SJT36" i="7"/>
  <c r="SJS36" i="7"/>
  <c r="SJR36" i="7"/>
  <c r="SJQ36" i="7"/>
  <c r="SJP36" i="7"/>
  <c r="SJO36" i="7"/>
  <c r="SJN36" i="7"/>
  <c r="SJM36" i="7"/>
  <c r="SJL36" i="7"/>
  <c r="SJK36" i="7"/>
  <c r="SJJ36" i="7"/>
  <c r="SJI36" i="7"/>
  <c r="SJH36" i="7"/>
  <c r="SJG36" i="7"/>
  <c r="SJF36" i="7"/>
  <c r="SJE36" i="7"/>
  <c r="SJD36" i="7"/>
  <c r="SJC36" i="7"/>
  <c r="SJB36" i="7"/>
  <c r="SJA36" i="7"/>
  <c r="SIZ36" i="7"/>
  <c r="SIY36" i="7"/>
  <c r="SIX36" i="7"/>
  <c r="SIW36" i="7"/>
  <c r="SIV36" i="7"/>
  <c r="SIU36" i="7"/>
  <c r="SIT36" i="7"/>
  <c r="SIS36" i="7"/>
  <c r="SIR36" i="7"/>
  <c r="SIQ36" i="7"/>
  <c r="SIP36" i="7"/>
  <c r="SIO36" i="7"/>
  <c r="SIN36" i="7"/>
  <c r="SIM36" i="7"/>
  <c r="SIL36" i="7"/>
  <c r="SIK36" i="7"/>
  <c r="SIJ36" i="7"/>
  <c r="SII36" i="7"/>
  <c r="SIH36" i="7"/>
  <c r="SIG36" i="7"/>
  <c r="SIF36" i="7"/>
  <c r="SIE36" i="7"/>
  <c r="SID36" i="7"/>
  <c r="SIC36" i="7"/>
  <c r="SIB36" i="7"/>
  <c r="SIA36" i="7"/>
  <c r="SHZ36" i="7"/>
  <c r="SHY36" i="7"/>
  <c r="SHX36" i="7"/>
  <c r="SHW36" i="7"/>
  <c r="SHV36" i="7"/>
  <c r="SHU36" i="7"/>
  <c r="SHT36" i="7"/>
  <c r="SHS36" i="7"/>
  <c r="SHR36" i="7"/>
  <c r="SHQ36" i="7"/>
  <c r="SHP36" i="7"/>
  <c r="SHO36" i="7"/>
  <c r="SHN36" i="7"/>
  <c r="SHM36" i="7"/>
  <c r="SHL36" i="7"/>
  <c r="SHK36" i="7"/>
  <c r="SHJ36" i="7"/>
  <c r="SHI36" i="7"/>
  <c r="SHH36" i="7"/>
  <c r="SHG36" i="7"/>
  <c r="SHF36" i="7"/>
  <c r="SHE36" i="7"/>
  <c r="SHD36" i="7"/>
  <c r="SHC36" i="7"/>
  <c r="SHB36" i="7"/>
  <c r="SHA36" i="7"/>
  <c r="SGZ36" i="7"/>
  <c r="SGY36" i="7"/>
  <c r="SGX36" i="7"/>
  <c r="SGW36" i="7"/>
  <c r="SGV36" i="7"/>
  <c r="SGU36" i="7"/>
  <c r="SGT36" i="7"/>
  <c r="SGS36" i="7"/>
  <c r="SGR36" i="7"/>
  <c r="SGQ36" i="7"/>
  <c r="SGP36" i="7"/>
  <c r="SGO36" i="7"/>
  <c r="SGN36" i="7"/>
  <c r="SGM36" i="7"/>
  <c r="SGL36" i="7"/>
  <c r="SGK36" i="7"/>
  <c r="SGJ36" i="7"/>
  <c r="SGI36" i="7"/>
  <c r="SGH36" i="7"/>
  <c r="SGG36" i="7"/>
  <c r="SGF36" i="7"/>
  <c r="SGE36" i="7"/>
  <c r="SGD36" i="7"/>
  <c r="SGC36" i="7"/>
  <c r="SGB36" i="7"/>
  <c r="SGA36" i="7"/>
  <c r="SFZ36" i="7"/>
  <c r="SFY36" i="7"/>
  <c r="SFX36" i="7"/>
  <c r="SFW36" i="7"/>
  <c r="SFV36" i="7"/>
  <c r="SFU36" i="7"/>
  <c r="SFT36" i="7"/>
  <c r="SFS36" i="7"/>
  <c r="SFR36" i="7"/>
  <c r="SFQ36" i="7"/>
  <c r="SFP36" i="7"/>
  <c r="SFO36" i="7"/>
  <c r="SFN36" i="7"/>
  <c r="SFM36" i="7"/>
  <c r="SFL36" i="7"/>
  <c r="SFK36" i="7"/>
  <c r="SFJ36" i="7"/>
  <c r="SFI36" i="7"/>
  <c r="SFH36" i="7"/>
  <c r="SFG36" i="7"/>
  <c r="SFF36" i="7"/>
  <c r="SFE36" i="7"/>
  <c r="SFD36" i="7"/>
  <c r="SFC36" i="7"/>
  <c r="SFB36" i="7"/>
  <c r="SFA36" i="7"/>
  <c r="SEZ36" i="7"/>
  <c r="SEY36" i="7"/>
  <c r="SEX36" i="7"/>
  <c r="SEW36" i="7"/>
  <c r="SEV36" i="7"/>
  <c r="SEU36" i="7"/>
  <c r="SET36" i="7"/>
  <c r="SES36" i="7"/>
  <c r="SER36" i="7"/>
  <c r="SEQ36" i="7"/>
  <c r="SEP36" i="7"/>
  <c r="SEO36" i="7"/>
  <c r="SEN36" i="7"/>
  <c r="SEM36" i="7"/>
  <c r="SEL36" i="7"/>
  <c r="SEK36" i="7"/>
  <c r="SEJ36" i="7"/>
  <c r="SEI36" i="7"/>
  <c r="SEH36" i="7"/>
  <c r="SEG36" i="7"/>
  <c r="SEF36" i="7"/>
  <c r="SEE36" i="7"/>
  <c r="SED36" i="7"/>
  <c r="SEC36" i="7"/>
  <c r="SEB36" i="7"/>
  <c r="SEA36" i="7"/>
  <c r="SDZ36" i="7"/>
  <c r="SDY36" i="7"/>
  <c r="SDX36" i="7"/>
  <c r="SDW36" i="7"/>
  <c r="SDV36" i="7"/>
  <c r="SDU36" i="7"/>
  <c r="SDT36" i="7"/>
  <c r="SDS36" i="7"/>
  <c r="SDR36" i="7"/>
  <c r="SDQ36" i="7"/>
  <c r="SDP36" i="7"/>
  <c r="SDO36" i="7"/>
  <c r="SDN36" i="7"/>
  <c r="SDM36" i="7"/>
  <c r="SDL36" i="7"/>
  <c r="SDK36" i="7"/>
  <c r="SDJ36" i="7"/>
  <c r="SDI36" i="7"/>
  <c r="SDH36" i="7"/>
  <c r="SDG36" i="7"/>
  <c r="SDF36" i="7"/>
  <c r="SDE36" i="7"/>
  <c r="SDD36" i="7"/>
  <c r="SDC36" i="7"/>
  <c r="SDB36" i="7"/>
  <c r="SDA36" i="7"/>
  <c r="SCZ36" i="7"/>
  <c r="SCY36" i="7"/>
  <c r="SCX36" i="7"/>
  <c r="SCW36" i="7"/>
  <c r="SCV36" i="7"/>
  <c r="SCU36" i="7"/>
  <c r="SCT36" i="7"/>
  <c r="SCS36" i="7"/>
  <c r="SCR36" i="7"/>
  <c r="SCQ36" i="7"/>
  <c r="SCP36" i="7"/>
  <c r="SCO36" i="7"/>
  <c r="SCN36" i="7"/>
  <c r="SCM36" i="7"/>
  <c r="SCL36" i="7"/>
  <c r="SCK36" i="7"/>
  <c r="SCJ36" i="7"/>
  <c r="SCI36" i="7"/>
  <c r="SCH36" i="7"/>
  <c r="SCG36" i="7"/>
  <c r="SCF36" i="7"/>
  <c r="SCE36" i="7"/>
  <c r="SCD36" i="7"/>
  <c r="SCC36" i="7"/>
  <c r="SCB36" i="7"/>
  <c r="SCA36" i="7"/>
  <c r="SBZ36" i="7"/>
  <c r="SBY36" i="7"/>
  <c r="SBX36" i="7"/>
  <c r="SBW36" i="7"/>
  <c r="SBV36" i="7"/>
  <c r="SBU36" i="7"/>
  <c r="SBT36" i="7"/>
  <c r="SBS36" i="7"/>
  <c r="SBR36" i="7"/>
  <c r="SBQ36" i="7"/>
  <c r="SBP36" i="7"/>
  <c r="SBO36" i="7"/>
  <c r="SBN36" i="7"/>
  <c r="SBM36" i="7"/>
  <c r="SBL36" i="7"/>
  <c r="SBK36" i="7"/>
  <c r="SBJ36" i="7"/>
  <c r="SBI36" i="7"/>
  <c r="SBH36" i="7"/>
  <c r="SBG36" i="7"/>
  <c r="SBF36" i="7"/>
  <c r="SBE36" i="7"/>
  <c r="SBD36" i="7"/>
  <c r="SBC36" i="7"/>
  <c r="SBB36" i="7"/>
  <c r="SBA36" i="7"/>
  <c r="SAZ36" i="7"/>
  <c r="SAY36" i="7"/>
  <c r="SAX36" i="7"/>
  <c r="SAW36" i="7"/>
  <c r="SAV36" i="7"/>
  <c r="SAU36" i="7"/>
  <c r="SAT36" i="7"/>
  <c r="SAS36" i="7"/>
  <c r="SAR36" i="7"/>
  <c r="SAQ36" i="7"/>
  <c r="SAP36" i="7"/>
  <c r="SAO36" i="7"/>
  <c r="SAN36" i="7"/>
  <c r="SAM36" i="7"/>
  <c r="SAL36" i="7"/>
  <c r="SAK36" i="7"/>
  <c r="SAJ36" i="7"/>
  <c r="SAI36" i="7"/>
  <c r="SAH36" i="7"/>
  <c r="SAG36" i="7"/>
  <c r="SAF36" i="7"/>
  <c r="SAE36" i="7"/>
  <c r="SAD36" i="7"/>
  <c r="SAC36" i="7"/>
  <c r="SAB36" i="7"/>
  <c r="SAA36" i="7"/>
  <c r="RZZ36" i="7"/>
  <c r="RZY36" i="7"/>
  <c r="RZX36" i="7"/>
  <c r="RZW36" i="7"/>
  <c r="RZV36" i="7"/>
  <c r="RZU36" i="7"/>
  <c r="RZT36" i="7"/>
  <c r="RZS36" i="7"/>
  <c r="RZR36" i="7"/>
  <c r="RZQ36" i="7"/>
  <c r="RZP36" i="7"/>
  <c r="RZO36" i="7"/>
  <c r="RZN36" i="7"/>
  <c r="RZM36" i="7"/>
  <c r="RZL36" i="7"/>
  <c r="RZK36" i="7"/>
  <c r="RZJ36" i="7"/>
  <c r="RZI36" i="7"/>
  <c r="RZH36" i="7"/>
  <c r="RZG36" i="7"/>
  <c r="RZF36" i="7"/>
  <c r="RZE36" i="7"/>
  <c r="RZD36" i="7"/>
  <c r="RZC36" i="7"/>
  <c r="RZB36" i="7"/>
  <c r="RZA36" i="7"/>
  <c r="RYZ36" i="7"/>
  <c r="RYY36" i="7"/>
  <c r="RYX36" i="7"/>
  <c r="RYW36" i="7"/>
  <c r="RYV36" i="7"/>
  <c r="RYU36" i="7"/>
  <c r="RYT36" i="7"/>
  <c r="RYS36" i="7"/>
  <c r="RYR36" i="7"/>
  <c r="RYQ36" i="7"/>
  <c r="RYP36" i="7"/>
  <c r="RYO36" i="7"/>
  <c r="RYN36" i="7"/>
  <c r="RYM36" i="7"/>
  <c r="RYL36" i="7"/>
  <c r="RYK36" i="7"/>
  <c r="RYJ36" i="7"/>
  <c r="RYI36" i="7"/>
  <c r="RYH36" i="7"/>
  <c r="RYG36" i="7"/>
  <c r="RYF36" i="7"/>
  <c r="RYE36" i="7"/>
  <c r="RYD36" i="7"/>
  <c r="RYC36" i="7"/>
  <c r="RYB36" i="7"/>
  <c r="RYA36" i="7"/>
  <c r="RXZ36" i="7"/>
  <c r="RXY36" i="7"/>
  <c r="RXX36" i="7"/>
  <c r="RXW36" i="7"/>
  <c r="RXV36" i="7"/>
  <c r="RXU36" i="7"/>
  <c r="RXT36" i="7"/>
  <c r="RXS36" i="7"/>
  <c r="RXR36" i="7"/>
  <c r="RXQ36" i="7"/>
  <c r="RXP36" i="7"/>
  <c r="RXO36" i="7"/>
  <c r="RXN36" i="7"/>
  <c r="RXM36" i="7"/>
  <c r="RXL36" i="7"/>
  <c r="RXK36" i="7"/>
  <c r="RXJ36" i="7"/>
  <c r="RXI36" i="7"/>
  <c r="RXH36" i="7"/>
  <c r="RXG36" i="7"/>
  <c r="RXF36" i="7"/>
  <c r="RXE36" i="7"/>
  <c r="RXD36" i="7"/>
  <c r="RXC36" i="7"/>
  <c r="RXB36" i="7"/>
  <c r="RXA36" i="7"/>
  <c r="RWZ36" i="7"/>
  <c r="RWY36" i="7"/>
  <c r="RWX36" i="7"/>
  <c r="RWW36" i="7"/>
  <c r="RWV36" i="7"/>
  <c r="RWU36" i="7"/>
  <c r="RWT36" i="7"/>
  <c r="RWS36" i="7"/>
  <c r="RWR36" i="7"/>
  <c r="RWQ36" i="7"/>
  <c r="RWP36" i="7"/>
  <c r="RWO36" i="7"/>
  <c r="RWN36" i="7"/>
  <c r="RWM36" i="7"/>
  <c r="RWL36" i="7"/>
  <c r="RWK36" i="7"/>
  <c r="RWJ36" i="7"/>
  <c r="RWI36" i="7"/>
  <c r="RWH36" i="7"/>
  <c r="RWG36" i="7"/>
  <c r="RWF36" i="7"/>
  <c r="RWE36" i="7"/>
  <c r="RWD36" i="7"/>
  <c r="RWC36" i="7"/>
  <c r="RWB36" i="7"/>
  <c r="RWA36" i="7"/>
  <c r="RVZ36" i="7"/>
  <c r="RVY36" i="7"/>
  <c r="RVX36" i="7"/>
  <c r="RVW36" i="7"/>
  <c r="RVV36" i="7"/>
  <c r="RVU36" i="7"/>
  <c r="RVT36" i="7"/>
  <c r="RVS36" i="7"/>
  <c r="RVR36" i="7"/>
  <c r="RVQ36" i="7"/>
  <c r="RVP36" i="7"/>
  <c r="RVO36" i="7"/>
  <c r="RVN36" i="7"/>
  <c r="RVM36" i="7"/>
  <c r="RVL36" i="7"/>
  <c r="RVK36" i="7"/>
  <c r="RVJ36" i="7"/>
  <c r="RVI36" i="7"/>
  <c r="RVH36" i="7"/>
  <c r="RVG36" i="7"/>
  <c r="RVF36" i="7"/>
  <c r="RVE36" i="7"/>
  <c r="RVD36" i="7"/>
  <c r="RVC36" i="7"/>
  <c r="RVB36" i="7"/>
  <c r="RVA36" i="7"/>
  <c r="RUZ36" i="7"/>
  <c r="RUY36" i="7"/>
  <c r="RUX36" i="7"/>
  <c r="RUW36" i="7"/>
  <c r="RUV36" i="7"/>
  <c r="RUU36" i="7"/>
  <c r="RUT36" i="7"/>
  <c r="RUS36" i="7"/>
  <c r="RUR36" i="7"/>
  <c r="RUQ36" i="7"/>
  <c r="RUP36" i="7"/>
  <c r="RUO36" i="7"/>
  <c r="RUN36" i="7"/>
  <c r="RUM36" i="7"/>
  <c r="RUL36" i="7"/>
  <c r="RUK36" i="7"/>
  <c r="RUJ36" i="7"/>
  <c r="RUI36" i="7"/>
  <c r="RUH36" i="7"/>
  <c r="RUG36" i="7"/>
  <c r="RUF36" i="7"/>
  <c r="RUE36" i="7"/>
  <c r="RUD36" i="7"/>
  <c r="RUC36" i="7"/>
  <c r="RUB36" i="7"/>
  <c r="RUA36" i="7"/>
  <c r="RTZ36" i="7"/>
  <c r="RTY36" i="7"/>
  <c r="RTX36" i="7"/>
  <c r="RTW36" i="7"/>
  <c r="RTV36" i="7"/>
  <c r="RTU36" i="7"/>
  <c r="RTT36" i="7"/>
  <c r="RTS36" i="7"/>
  <c r="RTR36" i="7"/>
  <c r="RTQ36" i="7"/>
  <c r="RTP36" i="7"/>
  <c r="RTO36" i="7"/>
  <c r="RTN36" i="7"/>
  <c r="RTM36" i="7"/>
  <c r="RTL36" i="7"/>
  <c r="RTK36" i="7"/>
  <c r="RTJ36" i="7"/>
  <c r="RTI36" i="7"/>
  <c r="RTH36" i="7"/>
  <c r="RTG36" i="7"/>
  <c r="RTF36" i="7"/>
  <c r="RTE36" i="7"/>
  <c r="RTD36" i="7"/>
  <c r="RTC36" i="7"/>
  <c r="RTB36" i="7"/>
  <c r="RTA36" i="7"/>
  <c r="RSZ36" i="7"/>
  <c r="RSY36" i="7"/>
  <c r="RSX36" i="7"/>
  <c r="RSW36" i="7"/>
  <c r="RSV36" i="7"/>
  <c r="RSU36" i="7"/>
  <c r="RST36" i="7"/>
  <c r="RSS36" i="7"/>
  <c r="RSR36" i="7"/>
  <c r="RSQ36" i="7"/>
  <c r="RSP36" i="7"/>
  <c r="RSO36" i="7"/>
  <c r="RSN36" i="7"/>
  <c r="RSM36" i="7"/>
  <c r="RSL36" i="7"/>
  <c r="RSK36" i="7"/>
  <c r="RSJ36" i="7"/>
  <c r="RSI36" i="7"/>
  <c r="RSH36" i="7"/>
  <c r="RSG36" i="7"/>
  <c r="RSF36" i="7"/>
  <c r="RSE36" i="7"/>
  <c r="RSD36" i="7"/>
  <c r="RSC36" i="7"/>
  <c r="RSB36" i="7"/>
  <c r="RSA36" i="7"/>
  <c r="RRZ36" i="7"/>
  <c r="RRY36" i="7"/>
  <c r="RRX36" i="7"/>
  <c r="RRW36" i="7"/>
  <c r="RRV36" i="7"/>
  <c r="RRU36" i="7"/>
  <c r="RRT36" i="7"/>
  <c r="RRS36" i="7"/>
  <c r="RRR36" i="7"/>
  <c r="RRQ36" i="7"/>
  <c r="RRP36" i="7"/>
  <c r="RRO36" i="7"/>
  <c r="RRN36" i="7"/>
  <c r="RRM36" i="7"/>
  <c r="RRL36" i="7"/>
  <c r="RRK36" i="7"/>
  <c r="RRJ36" i="7"/>
  <c r="RRI36" i="7"/>
  <c r="RRH36" i="7"/>
  <c r="RRG36" i="7"/>
  <c r="RRF36" i="7"/>
  <c r="RRE36" i="7"/>
  <c r="RRD36" i="7"/>
  <c r="RRC36" i="7"/>
  <c r="RRB36" i="7"/>
  <c r="RRA36" i="7"/>
  <c r="RQZ36" i="7"/>
  <c r="RQY36" i="7"/>
  <c r="RQX36" i="7"/>
  <c r="RQW36" i="7"/>
  <c r="RQV36" i="7"/>
  <c r="RQU36" i="7"/>
  <c r="RQT36" i="7"/>
  <c r="RQS36" i="7"/>
  <c r="RQR36" i="7"/>
  <c r="RQQ36" i="7"/>
  <c r="RQP36" i="7"/>
  <c r="RQO36" i="7"/>
  <c r="RQN36" i="7"/>
  <c r="RQM36" i="7"/>
  <c r="RQL36" i="7"/>
  <c r="RQK36" i="7"/>
  <c r="RQJ36" i="7"/>
  <c r="RQI36" i="7"/>
  <c r="RQH36" i="7"/>
  <c r="RQG36" i="7"/>
  <c r="RQF36" i="7"/>
  <c r="RQE36" i="7"/>
  <c r="RQD36" i="7"/>
  <c r="RQC36" i="7"/>
  <c r="RQB36" i="7"/>
  <c r="RQA36" i="7"/>
  <c r="RPZ36" i="7"/>
  <c r="RPY36" i="7"/>
  <c r="RPX36" i="7"/>
  <c r="RPW36" i="7"/>
  <c r="RPV36" i="7"/>
  <c r="RPU36" i="7"/>
  <c r="RPT36" i="7"/>
  <c r="RPS36" i="7"/>
  <c r="RPR36" i="7"/>
  <c r="RPQ36" i="7"/>
  <c r="RPP36" i="7"/>
  <c r="RPO36" i="7"/>
  <c r="RPN36" i="7"/>
  <c r="RPM36" i="7"/>
  <c r="RPL36" i="7"/>
  <c r="RPK36" i="7"/>
  <c r="RPJ36" i="7"/>
  <c r="RPI36" i="7"/>
  <c r="RPH36" i="7"/>
  <c r="RPG36" i="7"/>
  <c r="RPF36" i="7"/>
  <c r="RPE36" i="7"/>
  <c r="RPD36" i="7"/>
  <c r="RPC36" i="7"/>
  <c r="RPB36" i="7"/>
  <c r="RPA36" i="7"/>
  <c r="ROZ36" i="7"/>
  <c r="ROY36" i="7"/>
  <c r="ROX36" i="7"/>
  <c r="ROW36" i="7"/>
  <c r="ROV36" i="7"/>
  <c r="ROU36" i="7"/>
  <c r="ROT36" i="7"/>
  <c r="ROS36" i="7"/>
  <c r="ROR36" i="7"/>
  <c r="ROQ36" i="7"/>
  <c r="ROP36" i="7"/>
  <c r="ROO36" i="7"/>
  <c r="RON36" i="7"/>
  <c r="ROM36" i="7"/>
  <c r="ROL36" i="7"/>
  <c r="ROK36" i="7"/>
  <c r="ROJ36" i="7"/>
  <c r="ROI36" i="7"/>
  <c r="ROH36" i="7"/>
  <c r="ROG36" i="7"/>
  <c r="ROF36" i="7"/>
  <c r="ROE36" i="7"/>
  <c r="ROD36" i="7"/>
  <c r="ROC36" i="7"/>
  <c r="ROB36" i="7"/>
  <c r="ROA36" i="7"/>
  <c r="RNZ36" i="7"/>
  <c r="RNY36" i="7"/>
  <c r="RNX36" i="7"/>
  <c r="RNW36" i="7"/>
  <c r="RNV36" i="7"/>
  <c r="RNU36" i="7"/>
  <c r="RNT36" i="7"/>
  <c r="RNS36" i="7"/>
  <c r="RNR36" i="7"/>
  <c r="RNQ36" i="7"/>
  <c r="RNP36" i="7"/>
  <c r="RNO36" i="7"/>
  <c r="RNN36" i="7"/>
  <c r="RNM36" i="7"/>
  <c r="RNL36" i="7"/>
  <c r="RNK36" i="7"/>
  <c r="RNJ36" i="7"/>
  <c r="RNI36" i="7"/>
  <c r="RNH36" i="7"/>
  <c r="RNG36" i="7"/>
  <c r="RNF36" i="7"/>
  <c r="RNE36" i="7"/>
  <c r="RND36" i="7"/>
  <c r="RNC36" i="7"/>
  <c r="RNB36" i="7"/>
  <c r="RNA36" i="7"/>
  <c r="RMZ36" i="7"/>
  <c r="RMY36" i="7"/>
  <c r="RMX36" i="7"/>
  <c r="RMW36" i="7"/>
  <c r="RMV36" i="7"/>
  <c r="RMU36" i="7"/>
  <c r="RMT36" i="7"/>
  <c r="RMS36" i="7"/>
  <c r="RMR36" i="7"/>
  <c r="RMQ36" i="7"/>
  <c r="RMP36" i="7"/>
  <c r="RMO36" i="7"/>
  <c r="RMN36" i="7"/>
  <c r="RMM36" i="7"/>
  <c r="RML36" i="7"/>
  <c r="RMK36" i="7"/>
  <c r="RMJ36" i="7"/>
  <c r="RMI36" i="7"/>
  <c r="RMH36" i="7"/>
  <c r="RMG36" i="7"/>
  <c r="RMF36" i="7"/>
  <c r="RME36" i="7"/>
  <c r="RMD36" i="7"/>
  <c r="RMC36" i="7"/>
  <c r="RMB36" i="7"/>
  <c r="RMA36" i="7"/>
  <c r="RLZ36" i="7"/>
  <c r="RLY36" i="7"/>
  <c r="RLX36" i="7"/>
  <c r="RLW36" i="7"/>
  <c r="RLV36" i="7"/>
  <c r="RLU36" i="7"/>
  <c r="RLT36" i="7"/>
  <c r="RLS36" i="7"/>
  <c r="RLR36" i="7"/>
  <c r="RLQ36" i="7"/>
  <c r="RLP36" i="7"/>
  <c r="RLO36" i="7"/>
  <c r="RLN36" i="7"/>
  <c r="RLM36" i="7"/>
  <c r="RLL36" i="7"/>
  <c r="RLK36" i="7"/>
  <c r="RLJ36" i="7"/>
  <c r="RLI36" i="7"/>
  <c r="RLH36" i="7"/>
  <c r="RLG36" i="7"/>
  <c r="RLF36" i="7"/>
  <c r="RLE36" i="7"/>
  <c r="RLD36" i="7"/>
  <c r="RLC36" i="7"/>
  <c r="RLB36" i="7"/>
  <c r="RLA36" i="7"/>
  <c r="RKZ36" i="7"/>
  <c r="RKY36" i="7"/>
  <c r="RKX36" i="7"/>
  <c r="RKW36" i="7"/>
  <c r="RKV36" i="7"/>
  <c r="RKU36" i="7"/>
  <c r="RKT36" i="7"/>
  <c r="RKS36" i="7"/>
  <c r="RKR36" i="7"/>
  <c r="RKQ36" i="7"/>
  <c r="RKP36" i="7"/>
  <c r="RKO36" i="7"/>
  <c r="RKN36" i="7"/>
  <c r="RKM36" i="7"/>
  <c r="RKL36" i="7"/>
  <c r="RKK36" i="7"/>
  <c r="RKJ36" i="7"/>
  <c r="RKI36" i="7"/>
  <c r="RKH36" i="7"/>
  <c r="RKG36" i="7"/>
  <c r="RKF36" i="7"/>
  <c r="RKE36" i="7"/>
  <c r="RKD36" i="7"/>
  <c r="RKC36" i="7"/>
  <c r="RKB36" i="7"/>
  <c r="RKA36" i="7"/>
  <c r="RJZ36" i="7"/>
  <c r="RJY36" i="7"/>
  <c r="RJX36" i="7"/>
  <c r="RJW36" i="7"/>
  <c r="RJV36" i="7"/>
  <c r="RJU36" i="7"/>
  <c r="RJT36" i="7"/>
  <c r="RJS36" i="7"/>
  <c r="RJR36" i="7"/>
  <c r="RJQ36" i="7"/>
  <c r="RJP36" i="7"/>
  <c r="RJO36" i="7"/>
  <c r="RJN36" i="7"/>
  <c r="RJM36" i="7"/>
  <c r="RJL36" i="7"/>
  <c r="RJK36" i="7"/>
  <c r="RJJ36" i="7"/>
  <c r="RJI36" i="7"/>
  <c r="RJH36" i="7"/>
  <c r="RJG36" i="7"/>
  <c r="RJF36" i="7"/>
  <c r="RJE36" i="7"/>
  <c r="RJD36" i="7"/>
  <c r="RJC36" i="7"/>
  <c r="RJB36" i="7"/>
  <c r="RJA36" i="7"/>
  <c r="RIZ36" i="7"/>
  <c r="RIY36" i="7"/>
  <c r="RIX36" i="7"/>
  <c r="RIW36" i="7"/>
  <c r="RIV36" i="7"/>
  <c r="RIU36" i="7"/>
  <c r="RIT36" i="7"/>
  <c r="RIS36" i="7"/>
  <c r="RIR36" i="7"/>
  <c r="RIQ36" i="7"/>
  <c r="RIP36" i="7"/>
  <c r="RIO36" i="7"/>
  <c r="RIN36" i="7"/>
  <c r="RIM36" i="7"/>
  <c r="RIL36" i="7"/>
  <c r="RIK36" i="7"/>
  <c r="RIJ36" i="7"/>
  <c r="RII36" i="7"/>
  <c r="RIH36" i="7"/>
  <c r="RIG36" i="7"/>
  <c r="RIF36" i="7"/>
  <c r="RIE36" i="7"/>
  <c r="RID36" i="7"/>
  <c r="RIC36" i="7"/>
  <c r="RIB36" i="7"/>
  <c r="RIA36" i="7"/>
  <c r="RHZ36" i="7"/>
  <c r="RHY36" i="7"/>
  <c r="RHX36" i="7"/>
  <c r="RHW36" i="7"/>
  <c r="RHV36" i="7"/>
  <c r="RHU36" i="7"/>
  <c r="RHT36" i="7"/>
  <c r="RHS36" i="7"/>
  <c r="RHR36" i="7"/>
  <c r="RHQ36" i="7"/>
  <c r="RHP36" i="7"/>
  <c r="RHO36" i="7"/>
  <c r="RHN36" i="7"/>
  <c r="RHM36" i="7"/>
  <c r="RHL36" i="7"/>
  <c r="RHK36" i="7"/>
  <c r="RHJ36" i="7"/>
  <c r="RHI36" i="7"/>
  <c r="RHH36" i="7"/>
  <c r="RHG36" i="7"/>
  <c r="RHF36" i="7"/>
  <c r="RHE36" i="7"/>
  <c r="RHD36" i="7"/>
  <c r="RHC36" i="7"/>
  <c r="RHB36" i="7"/>
  <c r="RHA36" i="7"/>
  <c r="RGZ36" i="7"/>
  <c r="RGY36" i="7"/>
  <c r="RGX36" i="7"/>
  <c r="RGW36" i="7"/>
  <c r="RGV36" i="7"/>
  <c r="RGU36" i="7"/>
  <c r="RGT36" i="7"/>
  <c r="RGS36" i="7"/>
  <c r="RGR36" i="7"/>
  <c r="RGQ36" i="7"/>
  <c r="RGP36" i="7"/>
  <c r="RGO36" i="7"/>
  <c r="RGN36" i="7"/>
  <c r="RGM36" i="7"/>
  <c r="RGL36" i="7"/>
  <c r="RGK36" i="7"/>
  <c r="RGJ36" i="7"/>
  <c r="RGI36" i="7"/>
  <c r="RGH36" i="7"/>
  <c r="RGG36" i="7"/>
  <c r="RGF36" i="7"/>
  <c r="RGE36" i="7"/>
  <c r="RGD36" i="7"/>
  <c r="RGC36" i="7"/>
  <c r="RGB36" i="7"/>
  <c r="RGA36" i="7"/>
  <c r="RFZ36" i="7"/>
  <c r="RFY36" i="7"/>
  <c r="RFX36" i="7"/>
  <c r="RFW36" i="7"/>
  <c r="RFV36" i="7"/>
  <c r="RFU36" i="7"/>
  <c r="RFT36" i="7"/>
  <c r="RFS36" i="7"/>
  <c r="RFR36" i="7"/>
  <c r="RFQ36" i="7"/>
  <c r="RFP36" i="7"/>
  <c r="RFO36" i="7"/>
  <c r="RFN36" i="7"/>
  <c r="RFM36" i="7"/>
  <c r="RFL36" i="7"/>
  <c r="RFK36" i="7"/>
  <c r="RFJ36" i="7"/>
  <c r="RFI36" i="7"/>
  <c r="RFH36" i="7"/>
  <c r="RFG36" i="7"/>
  <c r="RFF36" i="7"/>
  <c r="RFE36" i="7"/>
  <c r="RFD36" i="7"/>
  <c r="RFC36" i="7"/>
  <c r="RFB36" i="7"/>
  <c r="RFA36" i="7"/>
  <c r="REZ36" i="7"/>
  <c r="REY36" i="7"/>
  <c r="REX36" i="7"/>
  <c r="REW36" i="7"/>
  <c r="REV36" i="7"/>
  <c r="REU36" i="7"/>
  <c r="RET36" i="7"/>
  <c r="RES36" i="7"/>
  <c r="RER36" i="7"/>
  <c r="REQ36" i="7"/>
  <c r="REP36" i="7"/>
  <c r="REO36" i="7"/>
  <c r="REN36" i="7"/>
  <c r="REM36" i="7"/>
  <c r="REL36" i="7"/>
  <c r="REK36" i="7"/>
  <c r="REJ36" i="7"/>
  <c r="REI36" i="7"/>
  <c r="REH36" i="7"/>
  <c r="REG36" i="7"/>
  <c r="REF36" i="7"/>
  <c r="REE36" i="7"/>
  <c r="RED36" i="7"/>
  <c r="REC36" i="7"/>
  <c r="REB36" i="7"/>
  <c r="REA36" i="7"/>
  <c r="RDZ36" i="7"/>
  <c r="RDY36" i="7"/>
  <c r="RDX36" i="7"/>
  <c r="RDW36" i="7"/>
  <c r="RDV36" i="7"/>
  <c r="RDU36" i="7"/>
  <c r="RDT36" i="7"/>
  <c r="RDS36" i="7"/>
  <c r="RDR36" i="7"/>
  <c r="RDQ36" i="7"/>
  <c r="RDP36" i="7"/>
  <c r="RDO36" i="7"/>
  <c r="RDN36" i="7"/>
  <c r="RDM36" i="7"/>
  <c r="RDL36" i="7"/>
  <c r="RDK36" i="7"/>
  <c r="RDJ36" i="7"/>
  <c r="RDI36" i="7"/>
  <c r="RDH36" i="7"/>
  <c r="RDG36" i="7"/>
  <c r="RDF36" i="7"/>
  <c r="RDE36" i="7"/>
  <c r="RDD36" i="7"/>
  <c r="RDC36" i="7"/>
  <c r="RDB36" i="7"/>
  <c r="RDA36" i="7"/>
  <c r="RCZ36" i="7"/>
  <c r="RCY36" i="7"/>
  <c r="RCX36" i="7"/>
  <c r="RCW36" i="7"/>
  <c r="RCV36" i="7"/>
  <c r="RCU36" i="7"/>
  <c r="RCT36" i="7"/>
  <c r="RCS36" i="7"/>
  <c r="RCR36" i="7"/>
  <c r="RCQ36" i="7"/>
  <c r="RCP36" i="7"/>
  <c r="RCO36" i="7"/>
  <c r="RCN36" i="7"/>
  <c r="RCM36" i="7"/>
  <c r="RCL36" i="7"/>
  <c r="RCK36" i="7"/>
  <c r="RCJ36" i="7"/>
  <c r="RCI36" i="7"/>
  <c r="RCH36" i="7"/>
  <c r="RCG36" i="7"/>
  <c r="RCF36" i="7"/>
  <c r="RCE36" i="7"/>
  <c r="RCD36" i="7"/>
  <c r="RCC36" i="7"/>
  <c r="RCB36" i="7"/>
  <c r="RCA36" i="7"/>
  <c r="RBZ36" i="7"/>
  <c r="RBY36" i="7"/>
  <c r="RBX36" i="7"/>
  <c r="RBW36" i="7"/>
  <c r="RBV36" i="7"/>
  <c r="RBU36" i="7"/>
  <c r="RBT36" i="7"/>
  <c r="RBS36" i="7"/>
  <c r="RBR36" i="7"/>
  <c r="RBQ36" i="7"/>
  <c r="RBP36" i="7"/>
  <c r="RBO36" i="7"/>
  <c r="RBN36" i="7"/>
  <c r="RBM36" i="7"/>
  <c r="RBL36" i="7"/>
  <c r="RBK36" i="7"/>
  <c r="RBJ36" i="7"/>
  <c r="RBI36" i="7"/>
  <c r="RBH36" i="7"/>
  <c r="RBG36" i="7"/>
  <c r="RBF36" i="7"/>
  <c r="RBE36" i="7"/>
  <c r="RBD36" i="7"/>
  <c r="RBC36" i="7"/>
  <c r="RBB36" i="7"/>
  <c r="RBA36" i="7"/>
  <c r="RAZ36" i="7"/>
  <c r="RAY36" i="7"/>
  <c r="RAX36" i="7"/>
  <c r="RAW36" i="7"/>
  <c r="RAV36" i="7"/>
  <c r="RAU36" i="7"/>
  <c r="RAT36" i="7"/>
  <c r="RAS36" i="7"/>
  <c r="RAR36" i="7"/>
  <c r="RAQ36" i="7"/>
  <c r="RAP36" i="7"/>
  <c r="RAO36" i="7"/>
  <c r="RAN36" i="7"/>
  <c r="RAM36" i="7"/>
  <c r="RAL36" i="7"/>
  <c r="RAK36" i="7"/>
  <c r="RAJ36" i="7"/>
  <c r="RAI36" i="7"/>
  <c r="RAH36" i="7"/>
  <c r="RAG36" i="7"/>
  <c r="RAF36" i="7"/>
  <c r="RAE36" i="7"/>
  <c r="RAD36" i="7"/>
  <c r="RAC36" i="7"/>
  <c r="RAB36" i="7"/>
  <c r="RAA36" i="7"/>
  <c r="QZZ36" i="7"/>
  <c r="QZY36" i="7"/>
  <c r="QZX36" i="7"/>
  <c r="QZW36" i="7"/>
  <c r="QZV36" i="7"/>
  <c r="QZU36" i="7"/>
  <c r="QZT36" i="7"/>
  <c r="QZS36" i="7"/>
  <c r="QZR36" i="7"/>
  <c r="QZQ36" i="7"/>
  <c r="QZP36" i="7"/>
  <c r="QZO36" i="7"/>
  <c r="QZN36" i="7"/>
  <c r="QZM36" i="7"/>
  <c r="QZL36" i="7"/>
  <c r="QZK36" i="7"/>
  <c r="QZJ36" i="7"/>
  <c r="QZI36" i="7"/>
  <c r="QZH36" i="7"/>
  <c r="QZG36" i="7"/>
  <c r="QZF36" i="7"/>
  <c r="QZE36" i="7"/>
  <c r="QZD36" i="7"/>
  <c r="QZC36" i="7"/>
  <c r="QZB36" i="7"/>
  <c r="QZA36" i="7"/>
  <c r="QYZ36" i="7"/>
  <c r="QYY36" i="7"/>
  <c r="QYX36" i="7"/>
  <c r="QYW36" i="7"/>
  <c r="QYV36" i="7"/>
  <c r="QYU36" i="7"/>
  <c r="QYT36" i="7"/>
  <c r="QYS36" i="7"/>
  <c r="QYR36" i="7"/>
  <c r="QYQ36" i="7"/>
  <c r="QYP36" i="7"/>
  <c r="QYO36" i="7"/>
  <c r="QYN36" i="7"/>
  <c r="QYM36" i="7"/>
  <c r="QYL36" i="7"/>
  <c r="QYK36" i="7"/>
  <c r="QYJ36" i="7"/>
  <c r="QYI36" i="7"/>
  <c r="QYH36" i="7"/>
  <c r="QYG36" i="7"/>
  <c r="QYF36" i="7"/>
  <c r="QYE36" i="7"/>
  <c r="QYD36" i="7"/>
  <c r="QYC36" i="7"/>
  <c r="QYB36" i="7"/>
  <c r="QYA36" i="7"/>
  <c r="QXZ36" i="7"/>
  <c r="QXY36" i="7"/>
  <c r="QXX36" i="7"/>
  <c r="QXW36" i="7"/>
  <c r="QXV36" i="7"/>
  <c r="QXU36" i="7"/>
  <c r="QXT36" i="7"/>
  <c r="QXS36" i="7"/>
  <c r="QXR36" i="7"/>
  <c r="QXQ36" i="7"/>
  <c r="QXP36" i="7"/>
  <c r="QXO36" i="7"/>
  <c r="QXN36" i="7"/>
  <c r="QXM36" i="7"/>
  <c r="QXL36" i="7"/>
  <c r="QXK36" i="7"/>
  <c r="QXJ36" i="7"/>
  <c r="QXI36" i="7"/>
  <c r="QXH36" i="7"/>
  <c r="QXG36" i="7"/>
  <c r="QXF36" i="7"/>
  <c r="QXE36" i="7"/>
  <c r="QXD36" i="7"/>
  <c r="QXC36" i="7"/>
  <c r="QXB36" i="7"/>
  <c r="QXA36" i="7"/>
  <c r="QWZ36" i="7"/>
  <c r="QWY36" i="7"/>
  <c r="QWX36" i="7"/>
  <c r="QWW36" i="7"/>
  <c r="QWV36" i="7"/>
  <c r="QWU36" i="7"/>
  <c r="QWT36" i="7"/>
  <c r="QWS36" i="7"/>
  <c r="QWR36" i="7"/>
  <c r="QWQ36" i="7"/>
  <c r="QWP36" i="7"/>
  <c r="QWO36" i="7"/>
  <c r="QWN36" i="7"/>
  <c r="QWM36" i="7"/>
  <c r="QWL36" i="7"/>
  <c r="QWK36" i="7"/>
  <c r="QWJ36" i="7"/>
  <c r="QWI36" i="7"/>
  <c r="QWH36" i="7"/>
  <c r="QWG36" i="7"/>
  <c r="QWF36" i="7"/>
  <c r="QWE36" i="7"/>
  <c r="QWD36" i="7"/>
  <c r="QWC36" i="7"/>
  <c r="QWB36" i="7"/>
  <c r="QWA36" i="7"/>
  <c r="QVZ36" i="7"/>
  <c r="QVY36" i="7"/>
  <c r="QVX36" i="7"/>
  <c r="QVW36" i="7"/>
  <c r="QVV36" i="7"/>
  <c r="QVU36" i="7"/>
  <c r="QVT36" i="7"/>
  <c r="QVS36" i="7"/>
  <c r="QVR36" i="7"/>
  <c r="QVQ36" i="7"/>
  <c r="QVP36" i="7"/>
  <c r="QVO36" i="7"/>
  <c r="QVN36" i="7"/>
  <c r="QVM36" i="7"/>
  <c r="QVL36" i="7"/>
  <c r="QVK36" i="7"/>
  <c r="QVJ36" i="7"/>
  <c r="QVI36" i="7"/>
  <c r="QVH36" i="7"/>
  <c r="QVG36" i="7"/>
  <c r="QVF36" i="7"/>
  <c r="QVE36" i="7"/>
  <c r="QVD36" i="7"/>
  <c r="QVC36" i="7"/>
  <c r="QVB36" i="7"/>
  <c r="QVA36" i="7"/>
  <c r="QUZ36" i="7"/>
  <c r="QUY36" i="7"/>
  <c r="QUX36" i="7"/>
  <c r="QUW36" i="7"/>
  <c r="QUV36" i="7"/>
  <c r="QUU36" i="7"/>
  <c r="QUT36" i="7"/>
  <c r="QUS36" i="7"/>
  <c r="QUR36" i="7"/>
  <c r="QUQ36" i="7"/>
  <c r="QUP36" i="7"/>
  <c r="QUO36" i="7"/>
  <c r="QUN36" i="7"/>
  <c r="QUM36" i="7"/>
  <c r="QUL36" i="7"/>
  <c r="QUK36" i="7"/>
  <c r="QUJ36" i="7"/>
  <c r="QUI36" i="7"/>
  <c r="QUH36" i="7"/>
  <c r="QUG36" i="7"/>
  <c r="QUF36" i="7"/>
  <c r="QUE36" i="7"/>
  <c r="QUD36" i="7"/>
  <c r="QUC36" i="7"/>
  <c r="QUB36" i="7"/>
  <c r="QUA36" i="7"/>
  <c r="QTZ36" i="7"/>
  <c r="QTY36" i="7"/>
  <c r="QTX36" i="7"/>
  <c r="QTW36" i="7"/>
  <c r="QTV36" i="7"/>
  <c r="QTU36" i="7"/>
  <c r="QTT36" i="7"/>
  <c r="QTS36" i="7"/>
  <c r="QTR36" i="7"/>
  <c r="QTQ36" i="7"/>
  <c r="QTP36" i="7"/>
  <c r="QTO36" i="7"/>
  <c r="QTN36" i="7"/>
  <c r="QTM36" i="7"/>
  <c r="QTL36" i="7"/>
  <c r="QTK36" i="7"/>
  <c r="QTJ36" i="7"/>
  <c r="QTI36" i="7"/>
  <c r="QTH36" i="7"/>
  <c r="QTG36" i="7"/>
  <c r="QTF36" i="7"/>
  <c r="QTE36" i="7"/>
  <c r="QTD36" i="7"/>
  <c r="QTC36" i="7"/>
  <c r="QTB36" i="7"/>
  <c r="QTA36" i="7"/>
  <c r="QSZ36" i="7"/>
  <c r="QSY36" i="7"/>
  <c r="QSX36" i="7"/>
  <c r="QSW36" i="7"/>
  <c r="QSV36" i="7"/>
  <c r="QSU36" i="7"/>
  <c r="QST36" i="7"/>
  <c r="QSS36" i="7"/>
  <c r="QSR36" i="7"/>
  <c r="QSQ36" i="7"/>
  <c r="QSP36" i="7"/>
  <c r="QSO36" i="7"/>
  <c r="QSN36" i="7"/>
  <c r="QSM36" i="7"/>
  <c r="QSL36" i="7"/>
  <c r="QSK36" i="7"/>
  <c r="QSJ36" i="7"/>
  <c r="QSI36" i="7"/>
  <c r="QSH36" i="7"/>
  <c r="QSG36" i="7"/>
  <c r="QSF36" i="7"/>
  <c r="QSE36" i="7"/>
  <c r="QSD36" i="7"/>
  <c r="QSC36" i="7"/>
  <c r="QSB36" i="7"/>
  <c r="QSA36" i="7"/>
  <c r="QRZ36" i="7"/>
  <c r="QRY36" i="7"/>
  <c r="QRX36" i="7"/>
  <c r="QRW36" i="7"/>
  <c r="QRV36" i="7"/>
  <c r="QRU36" i="7"/>
  <c r="QRT36" i="7"/>
  <c r="QRS36" i="7"/>
  <c r="QRR36" i="7"/>
  <c r="QRQ36" i="7"/>
  <c r="QRP36" i="7"/>
  <c r="QRO36" i="7"/>
  <c r="QRN36" i="7"/>
  <c r="QRM36" i="7"/>
  <c r="QRL36" i="7"/>
  <c r="QRK36" i="7"/>
  <c r="QRJ36" i="7"/>
  <c r="QRI36" i="7"/>
  <c r="QRH36" i="7"/>
  <c r="QRG36" i="7"/>
  <c r="QRF36" i="7"/>
  <c r="QRE36" i="7"/>
  <c r="QRD36" i="7"/>
  <c r="QRC36" i="7"/>
  <c r="QRB36" i="7"/>
  <c r="QRA36" i="7"/>
  <c r="QQZ36" i="7"/>
  <c r="QQY36" i="7"/>
  <c r="QQX36" i="7"/>
  <c r="QQW36" i="7"/>
  <c r="QQV36" i="7"/>
  <c r="QQU36" i="7"/>
  <c r="QQT36" i="7"/>
  <c r="QQS36" i="7"/>
  <c r="QQR36" i="7"/>
  <c r="QQQ36" i="7"/>
  <c r="QQP36" i="7"/>
  <c r="QQO36" i="7"/>
  <c r="QQN36" i="7"/>
  <c r="QQM36" i="7"/>
  <c r="QQL36" i="7"/>
  <c r="QQK36" i="7"/>
  <c r="QQJ36" i="7"/>
  <c r="QQI36" i="7"/>
  <c r="QQH36" i="7"/>
  <c r="QQG36" i="7"/>
  <c r="QQF36" i="7"/>
  <c r="QQE36" i="7"/>
  <c r="QQD36" i="7"/>
  <c r="QQC36" i="7"/>
  <c r="QQB36" i="7"/>
  <c r="QQA36" i="7"/>
  <c r="QPZ36" i="7"/>
  <c r="QPY36" i="7"/>
  <c r="QPX36" i="7"/>
  <c r="QPW36" i="7"/>
  <c r="QPV36" i="7"/>
  <c r="QPU36" i="7"/>
  <c r="QPT36" i="7"/>
  <c r="QPS36" i="7"/>
  <c r="QPR36" i="7"/>
  <c r="QPQ36" i="7"/>
  <c r="QPP36" i="7"/>
  <c r="QPO36" i="7"/>
  <c r="QPN36" i="7"/>
  <c r="QPM36" i="7"/>
  <c r="QPL36" i="7"/>
  <c r="QPK36" i="7"/>
  <c r="QPJ36" i="7"/>
  <c r="QPI36" i="7"/>
  <c r="QPH36" i="7"/>
  <c r="QPG36" i="7"/>
  <c r="QPF36" i="7"/>
  <c r="QPE36" i="7"/>
  <c r="QPD36" i="7"/>
  <c r="QPC36" i="7"/>
  <c r="QPB36" i="7"/>
  <c r="QPA36" i="7"/>
  <c r="QOZ36" i="7"/>
  <c r="QOY36" i="7"/>
  <c r="QOX36" i="7"/>
  <c r="QOW36" i="7"/>
  <c r="QOV36" i="7"/>
  <c r="QOU36" i="7"/>
  <c r="QOT36" i="7"/>
  <c r="QOS36" i="7"/>
  <c r="QOR36" i="7"/>
  <c r="QOQ36" i="7"/>
  <c r="QOP36" i="7"/>
  <c r="QOO36" i="7"/>
  <c r="QON36" i="7"/>
  <c r="QOM36" i="7"/>
  <c r="QOL36" i="7"/>
  <c r="QOK36" i="7"/>
  <c r="QOJ36" i="7"/>
  <c r="QOI36" i="7"/>
  <c r="QOH36" i="7"/>
  <c r="QOG36" i="7"/>
  <c r="QOF36" i="7"/>
  <c r="QOE36" i="7"/>
  <c r="QOD36" i="7"/>
  <c r="QOC36" i="7"/>
  <c r="QOB36" i="7"/>
  <c r="QOA36" i="7"/>
  <c r="QNZ36" i="7"/>
  <c r="QNY36" i="7"/>
  <c r="QNX36" i="7"/>
  <c r="QNW36" i="7"/>
  <c r="QNV36" i="7"/>
  <c r="QNU36" i="7"/>
  <c r="QNT36" i="7"/>
  <c r="QNS36" i="7"/>
  <c r="QNR36" i="7"/>
  <c r="QNQ36" i="7"/>
  <c r="QNP36" i="7"/>
  <c r="QNO36" i="7"/>
  <c r="QNN36" i="7"/>
  <c r="QNM36" i="7"/>
  <c r="QNL36" i="7"/>
  <c r="QNK36" i="7"/>
  <c r="QNJ36" i="7"/>
  <c r="QNI36" i="7"/>
  <c r="QNH36" i="7"/>
  <c r="QNG36" i="7"/>
  <c r="QNF36" i="7"/>
  <c r="QNE36" i="7"/>
  <c r="QND36" i="7"/>
  <c r="QNC36" i="7"/>
  <c r="QNB36" i="7"/>
  <c r="QNA36" i="7"/>
  <c r="QMZ36" i="7"/>
  <c r="QMY36" i="7"/>
  <c r="QMX36" i="7"/>
  <c r="QMW36" i="7"/>
  <c r="QMV36" i="7"/>
  <c r="QMU36" i="7"/>
  <c r="QMT36" i="7"/>
  <c r="QMS36" i="7"/>
  <c r="QMR36" i="7"/>
  <c r="QMQ36" i="7"/>
  <c r="QMP36" i="7"/>
  <c r="QMO36" i="7"/>
  <c r="QMN36" i="7"/>
  <c r="QMM36" i="7"/>
  <c r="QML36" i="7"/>
  <c r="QMK36" i="7"/>
  <c r="QMJ36" i="7"/>
  <c r="QMI36" i="7"/>
  <c r="QMH36" i="7"/>
  <c r="QMG36" i="7"/>
  <c r="QMF36" i="7"/>
  <c r="QME36" i="7"/>
  <c r="QMD36" i="7"/>
  <c r="QMC36" i="7"/>
  <c r="QMB36" i="7"/>
  <c r="QMA36" i="7"/>
  <c r="QLZ36" i="7"/>
  <c r="QLY36" i="7"/>
  <c r="QLX36" i="7"/>
  <c r="QLW36" i="7"/>
  <c r="QLV36" i="7"/>
  <c r="QLU36" i="7"/>
  <c r="QLT36" i="7"/>
  <c r="QLS36" i="7"/>
  <c r="QLR36" i="7"/>
  <c r="QLQ36" i="7"/>
  <c r="QLP36" i="7"/>
  <c r="QLO36" i="7"/>
  <c r="QLN36" i="7"/>
  <c r="QLM36" i="7"/>
  <c r="QLL36" i="7"/>
  <c r="QLK36" i="7"/>
  <c r="QLJ36" i="7"/>
  <c r="QLI36" i="7"/>
  <c r="QLH36" i="7"/>
  <c r="QLG36" i="7"/>
  <c r="QLF36" i="7"/>
  <c r="QLE36" i="7"/>
  <c r="QLD36" i="7"/>
  <c r="QLC36" i="7"/>
  <c r="QLB36" i="7"/>
  <c r="QLA36" i="7"/>
  <c r="QKZ36" i="7"/>
  <c r="QKY36" i="7"/>
  <c r="QKX36" i="7"/>
  <c r="QKW36" i="7"/>
  <c r="QKV36" i="7"/>
  <c r="QKU36" i="7"/>
  <c r="QKT36" i="7"/>
  <c r="QKS36" i="7"/>
  <c r="QKR36" i="7"/>
  <c r="QKQ36" i="7"/>
  <c r="QKP36" i="7"/>
  <c r="QKO36" i="7"/>
  <c r="QKN36" i="7"/>
  <c r="QKM36" i="7"/>
  <c r="QKL36" i="7"/>
  <c r="QKK36" i="7"/>
  <c r="QKJ36" i="7"/>
  <c r="QKI36" i="7"/>
  <c r="QKH36" i="7"/>
  <c r="QKG36" i="7"/>
  <c r="QKF36" i="7"/>
  <c r="QKE36" i="7"/>
  <c r="QKD36" i="7"/>
  <c r="QKC36" i="7"/>
  <c r="QKB36" i="7"/>
  <c r="QKA36" i="7"/>
  <c r="QJZ36" i="7"/>
  <c r="QJY36" i="7"/>
  <c r="QJX36" i="7"/>
  <c r="QJW36" i="7"/>
  <c r="QJV36" i="7"/>
  <c r="QJU36" i="7"/>
  <c r="QJT36" i="7"/>
  <c r="QJS36" i="7"/>
  <c r="QJR36" i="7"/>
  <c r="QJQ36" i="7"/>
  <c r="QJP36" i="7"/>
  <c r="QJO36" i="7"/>
  <c r="QJN36" i="7"/>
  <c r="QJM36" i="7"/>
  <c r="QJL36" i="7"/>
  <c r="QJK36" i="7"/>
  <c r="QJJ36" i="7"/>
  <c r="QJI36" i="7"/>
  <c r="QJH36" i="7"/>
  <c r="QJG36" i="7"/>
  <c r="QJF36" i="7"/>
  <c r="QJE36" i="7"/>
  <c r="QJD36" i="7"/>
  <c r="QJC36" i="7"/>
  <c r="QJB36" i="7"/>
  <c r="QJA36" i="7"/>
  <c r="QIZ36" i="7"/>
  <c r="QIY36" i="7"/>
  <c r="QIX36" i="7"/>
  <c r="QIW36" i="7"/>
  <c r="QIV36" i="7"/>
  <c r="QIU36" i="7"/>
  <c r="QIT36" i="7"/>
  <c r="QIS36" i="7"/>
  <c r="QIR36" i="7"/>
  <c r="QIQ36" i="7"/>
  <c r="QIP36" i="7"/>
  <c r="QIO36" i="7"/>
  <c r="QIN36" i="7"/>
  <c r="QIM36" i="7"/>
  <c r="QIL36" i="7"/>
  <c r="QIK36" i="7"/>
  <c r="QIJ36" i="7"/>
  <c r="QII36" i="7"/>
  <c r="QIH36" i="7"/>
  <c r="QIG36" i="7"/>
  <c r="QIF36" i="7"/>
  <c r="QIE36" i="7"/>
  <c r="QID36" i="7"/>
  <c r="QIC36" i="7"/>
  <c r="QIB36" i="7"/>
  <c r="QIA36" i="7"/>
  <c r="QHZ36" i="7"/>
  <c r="QHY36" i="7"/>
  <c r="QHX36" i="7"/>
  <c r="QHW36" i="7"/>
  <c r="QHV36" i="7"/>
  <c r="QHU36" i="7"/>
  <c r="QHT36" i="7"/>
  <c r="QHS36" i="7"/>
  <c r="QHR36" i="7"/>
  <c r="QHQ36" i="7"/>
  <c r="QHP36" i="7"/>
  <c r="QHO36" i="7"/>
  <c r="QHN36" i="7"/>
  <c r="QHM36" i="7"/>
  <c r="QHL36" i="7"/>
  <c r="QHK36" i="7"/>
  <c r="QHJ36" i="7"/>
  <c r="QHI36" i="7"/>
  <c r="QHH36" i="7"/>
  <c r="QHG36" i="7"/>
  <c r="QHF36" i="7"/>
  <c r="QHE36" i="7"/>
  <c r="QHD36" i="7"/>
  <c r="QHC36" i="7"/>
  <c r="QHB36" i="7"/>
  <c r="QHA36" i="7"/>
  <c r="QGZ36" i="7"/>
  <c r="QGY36" i="7"/>
  <c r="QGX36" i="7"/>
  <c r="QGW36" i="7"/>
  <c r="QGV36" i="7"/>
  <c r="QGU36" i="7"/>
  <c r="QGT36" i="7"/>
  <c r="QGS36" i="7"/>
  <c r="QGR36" i="7"/>
  <c r="QGQ36" i="7"/>
  <c r="QGP36" i="7"/>
  <c r="QGO36" i="7"/>
  <c r="QGN36" i="7"/>
  <c r="QGM36" i="7"/>
  <c r="QGL36" i="7"/>
  <c r="QGK36" i="7"/>
  <c r="QGJ36" i="7"/>
  <c r="QGI36" i="7"/>
  <c r="QGH36" i="7"/>
  <c r="QGG36" i="7"/>
  <c r="QGF36" i="7"/>
  <c r="QGE36" i="7"/>
  <c r="QGD36" i="7"/>
  <c r="QGC36" i="7"/>
  <c r="QGB36" i="7"/>
  <c r="QGA36" i="7"/>
  <c r="QFZ36" i="7"/>
  <c r="QFY36" i="7"/>
  <c r="QFX36" i="7"/>
  <c r="QFW36" i="7"/>
  <c r="QFV36" i="7"/>
  <c r="QFU36" i="7"/>
  <c r="QFT36" i="7"/>
  <c r="QFS36" i="7"/>
  <c r="QFR36" i="7"/>
  <c r="QFQ36" i="7"/>
  <c r="QFP36" i="7"/>
  <c r="QFO36" i="7"/>
  <c r="QFN36" i="7"/>
  <c r="QFM36" i="7"/>
  <c r="QFL36" i="7"/>
  <c r="QFK36" i="7"/>
  <c r="QFJ36" i="7"/>
  <c r="QFI36" i="7"/>
  <c r="QFH36" i="7"/>
  <c r="QFG36" i="7"/>
  <c r="QFF36" i="7"/>
  <c r="QFE36" i="7"/>
  <c r="QFD36" i="7"/>
  <c r="QFC36" i="7"/>
  <c r="QFB36" i="7"/>
  <c r="QFA36" i="7"/>
  <c r="QEZ36" i="7"/>
  <c r="QEY36" i="7"/>
  <c r="QEX36" i="7"/>
  <c r="QEW36" i="7"/>
  <c r="QEV36" i="7"/>
  <c r="QEU36" i="7"/>
  <c r="QET36" i="7"/>
  <c r="QES36" i="7"/>
  <c r="QER36" i="7"/>
  <c r="QEQ36" i="7"/>
  <c r="QEP36" i="7"/>
  <c r="QEO36" i="7"/>
  <c r="QEN36" i="7"/>
  <c r="QEM36" i="7"/>
  <c r="QEL36" i="7"/>
  <c r="QEK36" i="7"/>
  <c r="QEJ36" i="7"/>
  <c r="QEI36" i="7"/>
  <c r="QEH36" i="7"/>
  <c r="QEG36" i="7"/>
  <c r="QEF36" i="7"/>
  <c r="QEE36" i="7"/>
  <c r="QED36" i="7"/>
  <c r="QEC36" i="7"/>
  <c r="QEB36" i="7"/>
  <c r="QEA36" i="7"/>
  <c r="QDZ36" i="7"/>
  <c r="QDY36" i="7"/>
  <c r="QDX36" i="7"/>
  <c r="QDW36" i="7"/>
  <c r="QDV36" i="7"/>
  <c r="QDU36" i="7"/>
  <c r="QDT36" i="7"/>
  <c r="QDS36" i="7"/>
  <c r="QDR36" i="7"/>
  <c r="QDQ36" i="7"/>
  <c r="QDP36" i="7"/>
  <c r="QDO36" i="7"/>
  <c r="QDN36" i="7"/>
  <c r="QDM36" i="7"/>
  <c r="QDL36" i="7"/>
  <c r="QDK36" i="7"/>
  <c r="QDJ36" i="7"/>
  <c r="QDI36" i="7"/>
  <c r="QDH36" i="7"/>
  <c r="QDG36" i="7"/>
  <c r="QDF36" i="7"/>
  <c r="QDE36" i="7"/>
  <c r="QDD36" i="7"/>
  <c r="QDC36" i="7"/>
  <c r="QDB36" i="7"/>
  <c r="QDA36" i="7"/>
  <c r="QCZ36" i="7"/>
  <c r="QCY36" i="7"/>
  <c r="QCX36" i="7"/>
  <c r="QCW36" i="7"/>
  <c r="QCV36" i="7"/>
  <c r="QCU36" i="7"/>
  <c r="QCT36" i="7"/>
  <c r="QCS36" i="7"/>
  <c r="QCR36" i="7"/>
  <c r="QCQ36" i="7"/>
  <c r="QCP36" i="7"/>
  <c r="QCO36" i="7"/>
  <c r="QCN36" i="7"/>
  <c r="QCM36" i="7"/>
  <c r="QCL36" i="7"/>
  <c r="QCK36" i="7"/>
  <c r="QCJ36" i="7"/>
  <c r="QCI36" i="7"/>
  <c r="QCH36" i="7"/>
  <c r="QCG36" i="7"/>
  <c r="QCF36" i="7"/>
  <c r="QCE36" i="7"/>
  <c r="QCD36" i="7"/>
  <c r="QCC36" i="7"/>
  <c r="QCB36" i="7"/>
  <c r="QCA36" i="7"/>
  <c r="QBZ36" i="7"/>
  <c r="QBY36" i="7"/>
  <c r="QBX36" i="7"/>
  <c r="QBW36" i="7"/>
  <c r="QBV36" i="7"/>
  <c r="QBU36" i="7"/>
  <c r="QBT36" i="7"/>
  <c r="QBS36" i="7"/>
  <c r="QBR36" i="7"/>
  <c r="QBQ36" i="7"/>
  <c r="QBP36" i="7"/>
  <c r="QBO36" i="7"/>
  <c r="QBN36" i="7"/>
  <c r="QBM36" i="7"/>
  <c r="QBL36" i="7"/>
  <c r="QBK36" i="7"/>
  <c r="QBJ36" i="7"/>
  <c r="QBI36" i="7"/>
  <c r="QBH36" i="7"/>
  <c r="QBG36" i="7"/>
  <c r="QBF36" i="7"/>
  <c r="QBE36" i="7"/>
  <c r="QBD36" i="7"/>
  <c r="QBC36" i="7"/>
  <c r="QBB36" i="7"/>
  <c r="QBA36" i="7"/>
  <c r="QAZ36" i="7"/>
  <c r="QAY36" i="7"/>
  <c r="QAX36" i="7"/>
  <c r="QAW36" i="7"/>
  <c r="QAV36" i="7"/>
  <c r="QAU36" i="7"/>
  <c r="QAT36" i="7"/>
  <c r="QAS36" i="7"/>
  <c r="QAR36" i="7"/>
  <c r="QAQ36" i="7"/>
  <c r="QAP36" i="7"/>
  <c r="QAO36" i="7"/>
  <c r="QAN36" i="7"/>
  <c r="QAM36" i="7"/>
  <c r="QAL36" i="7"/>
  <c r="QAK36" i="7"/>
  <c r="QAJ36" i="7"/>
  <c r="QAI36" i="7"/>
  <c r="QAH36" i="7"/>
  <c r="QAG36" i="7"/>
  <c r="QAF36" i="7"/>
  <c r="QAE36" i="7"/>
  <c r="QAD36" i="7"/>
  <c r="QAC36" i="7"/>
  <c r="QAB36" i="7"/>
  <c r="QAA36" i="7"/>
  <c r="PZZ36" i="7"/>
  <c r="PZY36" i="7"/>
  <c r="PZX36" i="7"/>
  <c r="PZW36" i="7"/>
  <c r="PZV36" i="7"/>
  <c r="PZU36" i="7"/>
  <c r="PZT36" i="7"/>
  <c r="PZS36" i="7"/>
  <c r="PZR36" i="7"/>
  <c r="PZQ36" i="7"/>
  <c r="PZP36" i="7"/>
  <c r="PZO36" i="7"/>
  <c r="PZN36" i="7"/>
  <c r="PZM36" i="7"/>
  <c r="PZL36" i="7"/>
  <c r="PZK36" i="7"/>
  <c r="PZJ36" i="7"/>
  <c r="PZI36" i="7"/>
  <c r="PZH36" i="7"/>
  <c r="PZG36" i="7"/>
  <c r="PZF36" i="7"/>
  <c r="PZE36" i="7"/>
  <c r="PZD36" i="7"/>
  <c r="PZC36" i="7"/>
  <c r="PZB36" i="7"/>
  <c r="PZA36" i="7"/>
  <c r="PYZ36" i="7"/>
  <c r="PYY36" i="7"/>
  <c r="PYX36" i="7"/>
  <c r="PYW36" i="7"/>
  <c r="PYV36" i="7"/>
  <c r="PYU36" i="7"/>
  <c r="PYT36" i="7"/>
  <c r="PYS36" i="7"/>
  <c r="PYR36" i="7"/>
  <c r="PYQ36" i="7"/>
  <c r="PYP36" i="7"/>
  <c r="PYO36" i="7"/>
  <c r="PYN36" i="7"/>
  <c r="PYM36" i="7"/>
  <c r="PYL36" i="7"/>
  <c r="PYK36" i="7"/>
  <c r="PYJ36" i="7"/>
  <c r="PYI36" i="7"/>
  <c r="PYH36" i="7"/>
  <c r="PYG36" i="7"/>
  <c r="PYF36" i="7"/>
  <c r="PYE36" i="7"/>
  <c r="PYD36" i="7"/>
  <c r="PYC36" i="7"/>
  <c r="PYB36" i="7"/>
  <c r="PYA36" i="7"/>
  <c r="PXZ36" i="7"/>
  <c r="PXY36" i="7"/>
  <c r="PXX36" i="7"/>
  <c r="PXW36" i="7"/>
  <c r="PXV36" i="7"/>
  <c r="PXU36" i="7"/>
  <c r="PXT36" i="7"/>
  <c r="PXS36" i="7"/>
  <c r="PXR36" i="7"/>
  <c r="PXQ36" i="7"/>
  <c r="PXP36" i="7"/>
  <c r="PXO36" i="7"/>
  <c r="PXN36" i="7"/>
  <c r="PXM36" i="7"/>
  <c r="PXL36" i="7"/>
  <c r="PXK36" i="7"/>
  <c r="PXJ36" i="7"/>
  <c r="PXI36" i="7"/>
  <c r="PXH36" i="7"/>
  <c r="PXG36" i="7"/>
  <c r="PXF36" i="7"/>
  <c r="PXE36" i="7"/>
  <c r="PXD36" i="7"/>
  <c r="PXC36" i="7"/>
  <c r="PXB36" i="7"/>
  <c r="PXA36" i="7"/>
  <c r="PWZ36" i="7"/>
  <c r="PWY36" i="7"/>
  <c r="PWX36" i="7"/>
  <c r="PWW36" i="7"/>
  <c r="PWV36" i="7"/>
  <c r="PWU36" i="7"/>
  <c r="PWT36" i="7"/>
  <c r="PWS36" i="7"/>
  <c r="PWR36" i="7"/>
  <c r="PWQ36" i="7"/>
  <c r="PWP36" i="7"/>
  <c r="PWO36" i="7"/>
  <c r="PWN36" i="7"/>
  <c r="PWM36" i="7"/>
  <c r="PWL36" i="7"/>
  <c r="PWK36" i="7"/>
  <c r="PWJ36" i="7"/>
  <c r="PWI36" i="7"/>
  <c r="PWH36" i="7"/>
  <c r="PWG36" i="7"/>
  <c r="PWF36" i="7"/>
  <c r="PWE36" i="7"/>
  <c r="PWD36" i="7"/>
  <c r="PWC36" i="7"/>
  <c r="PWB36" i="7"/>
  <c r="PWA36" i="7"/>
  <c r="PVZ36" i="7"/>
  <c r="PVY36" i="7"/>
  <c r="PVX36" i="7"/>
  <c r="PVW36" i="7"/>
  <c r="PVV36" i="7"/>
  <c r="PVU36" i="7"/>
  <c r="PVT36" i="7"/>
  <c r="PVS36" i="7"/>
  <c r="PVR36" i="7"/>
  <c r="PVQ36" i="7"/>
  <c r="PVP36" i="7"/>
  <c r="PVO36" i="7"/>
  <c r="PVN36" i="7"/>
  <c r="PVM36" i="7"/>
  <c r="PVL36" i="7"/>
  <c r="PVK36" i="7"/>
  <c r="PVJ36" i="7"/>
  <c r="PVI36" i="7"/>
  <c r="PVH36" i="7"/>
  <c r="PVG36" i="7"/>
  <c r="PVF36" i="7"/>
  <c r="PVE36" i="7"/>
  <c r="PVD36" i="7"/>
  <c r="PVC36" i="7"/>
  <c r="PVB36" i="7"/>
  <c r="PVA36" i="7"/>
  <c r="PUZ36" i="7"/>
  <c r="PUY36" i="7"/>
  <c r="PUX36" i="7"/>
  <c r="PUW36" i="7"/>
  <c r="PUV36" i="7"/>
  <c r="PUU36" i="7"/>
  <c r="PUT36" i="7"/>
  <c r="PUS36" i="7"/>
  <c r="PUR36" i="7"/>
  <c r="PUQ36" i="7"/>
  <c r="PUP36" i="7"/>
  <c r="PUO36" i="7"/>
  <c r="PUN36" i="7"/>
  <c r="PUM36" i="7"/>
  <c r="PUL36" i="7"/>
  <c r="PUK36" i="7"/>
  <c r="PUJ36" i="7"/>
  <c r="PUI36" i="7"/>
  <c r="PUH36" i="7"/>
  <c r="PUG36" i="7"/>
  <c r="PUF36" i="7"/>
  <c r="PUE36" i="7"/>
  <c r="PUD36" i="7"/>
  <c r="PUC36" i="7"/>
  <c r="PUB36" i="7"/>
  <c r="PUA36" i="7"/>
  <c r="PTZ36" i="7"/>
  <c r="PTY36" i="7"/>
  <c r="PTX36" i="7"/>
  <c r="PTW36" i="7"/>
  <c r="PTV36" i="7"/>
  <c r="PTU36" i="7"/>
  <c r="PTT36" i="7"/>
  <c r="PTS36" i="7"/>
  <c r="PTR36" i="7"/>
  <c r="PTQ36" i="7"/>
  <c r="PTP36" i="7"/>
  <c r="PTO36" i="7"/>
  <c r="PTN36" i="7"/>
  <c r="PTM36" i="7"/>
  <c r="PTL36" i="7"/>
  <c r="PTK36" i="7"/>
  <c r="PTJ36" i="7"/>
  <c r="PTI36" i="7"/>
  <c r="PTH36" i="7"/>
  <c r="PTG36" i="7"/>
  <c r="PTF36" i="7"/>
  <c r="PTE36" i="7"/>
  <c r="PTD36" i="7"/>
  <c r="PTC36" i="7"/>
  <c r="PTB36" i="7"/>
  <c r="PTA36" i="7"/>
  <c r="PSZ36" i="7"/>
  <c r="PSY36" i="7"/>
  <c r="PSX36" i="7"/>
  <c r="PSW36" i="7"/>
  <c r="PSV36" i="7"/>
  <c r="PSU36" i="7"/>
  <c r="PST36" i="7"/>
  <c r="PSS36" i="7"/>
  <c r="PSR36" i="7"/>
  <c r="PSQ36" i="7"/>
  <c r="PSP36" i="7"/>
  <c r="PSO36" i="7"/>
  <c r="PSN36" i="7"/>
  <c r="PSM36" i="7"/>
  <c r="PSL36" i="7"/>
  <c r="PSK36" i="7"/>
  <c r="PSJ36" i="7"/>
  <c r="PSI36" i="7"/>
  <c r="PSH36" i="7"/>
  <c r="PSG36" i="7"/>
  <c r="PSF36" i="7"/>
  <c r="PSE36" i="7"/>
  <c r="PSD36" i="7"/>
  <c r="PSC36" i="7"/>
  <c r="PSB36" i="7"/>
  <c r="PSA36" i="7"/>
  <c r="PRZ36" i="7"/>
  <c r="PRY36" i="7"/>
  <c r="PRX36" i="7"/>
  <c r="PRW36" i="7"/>
  <c r="PRV36" i="7"/>
  <c r="PRU36" i="7"/>
  <c r="PRT36" i="7"/>
  <c r="PRS36" i="7"/>
  <c r="PRR36" i="7"/>
  <c r="PRQ36" i="7"/>
  <c r="PRP36" i="7"/>
  <c r="PRO36" i="7"/>
  <c r="PRN36" i="7"/>
  <c r="PRM36" i="7"/>
  <c r="PRL36" i="7"/>
  <c r="PRK36" i="7"/>
  <c r="PRJ36" i="7"/>
  <c r="PRI36" i="7"/>
  <c r="PRH36" i="7"/>
  <c r="PRG36" i="7"/>
  <c r="PRF36" i="7"/>
  <c r="PRE36" i="7"/>
  <c r="PRD36" i="7"/>
  <c r="PRC36" i="7"/>
  <c r="PRB36" i="7"/>
  <c r="PRA36" i="7"/>
  <c r="PQZ36" i="7"/>
  <c r="PQY36" i="7"/>
  <c r="PQX36" i="7"/>
  <c r="PQW36" i="7"/>
  <c r="PQV36" i="7"/>
  <c r="PQU36" i="7"/>
  <c r="PQT36" i="7"/>
  <c r="PQS36" i="7"/>
  <c r="PQR36" i="7"/>
  <c r="PQQ36" i="7"/>
  <c r="PQP36" i="7"/>
  <c r="PQO36" i="7"/>
  <c r="PQN36" i="7"/>
  <c r="PQM36" i="7"/>
  <c r="PQL36" i="7"/>
  <c r="PQK36" i="7"/>
  <c r="PQJ36" i="7"/>
  <c r="PQI36" i="7"/>
  <c r="PQH36" i="7"/>
  <c r="PQG36" i="7"/>
  <c r="PQF36" i="7"/>
  <c r="PQE36" i="7"/>
  <c r="PQD36" i="7"/>
  <c r="PQC36" i="7"/>
  <c r="PQB36" i="7"/>
  <c r="PQA36" i="7"/>
  <c r="PPZ36" i="7"/>
  <c r="PPY36" i="7"/>
  <c r="PPX36" i="7"/>
  <c r="PPW36" i="7"/>
  <c r="PPV36" i="7"/>
  <c r="PPU36" i="7"/>
  <c r="PPT36" i="7"/>
  <c r="PPS36" i="7"/>
  <c r="PPR36" i="7"/>
  <c r="PPQ36" i="7"/>
  <c r="PPP36" i="7"/>
  <c r="PPO36" i="7"/>
  <c r="PPN36" i="7"/>
  <c r="PPM36" i="7"/>
  <c r="PPL36" i="7"/>
  <c r="PPK36" i="7"/>
  <c r="PPJ36" i="7"/>
  <c r="PPI36" i="7"/>
  <c r="PPH36" i="7"/>
  <c r="PPG36" i="7"/>
  <c r="PPF36" i="7"/>
  <c r="PPE36" i="7"/>
  <c r="PPD36" i="7"/>
  <c r="PPC36" i="7"/>
  <c r="PPB36" i="7"/>
  <c r="PPA36" i="7"/>
  <c r="POZ36" i="7"/>
  <c r="POY36" i="7"/>
  <c r="POX36" i="7"/>
  <c r="POW36" i="7"/>
  <c r="POV36" i="7"/>
  <c r="POU36" i="7"/>
  <c r="POT36" i="7"/>
  <c r="POS36" i="7"/>
  <c r="POR36" i="7"/>
  <c r="POQ36" i="7"/>
  <c r="POP36" i="7"/>
  <c r="POO36" i="7"/>
  <c r="PON36" i="7"/>
  <c r="POM36" i="7"/>
  <c r="POL36" i="7"/>
  <c r="POK36" i="7"/>
  <c r="POJ36" i="7"/>
  <c r="POI36" i="7"/>
  <c r="POH36" i="7"/>
  <c r="POG36" i="7"/>
  <c r="POF36" i="7"/>
  <c r="POE36" i="7"/>
  <c r="POD36" i="7"/>
  <c r="POC36" i="7"/>
  <c r="POB36" i="7"/>
  <c r="POA36" i="7"/>
  <c r="PNZ36" i="7"/>
  <c r="PNY36" i="7"/>
  <c r="PNX36" i="7"/>
  <c r="PNW36" i="7"/>
  <c r="PNV36" i="7"/>
  <c r="PNU36" i="7"/>
  <c r="PNT36" i="7"/>
  <c r="PNS36" i="7"/>
  <c r="PNR36" i="7"/>
  <c r="PNQ36" i="7"/>
  <c r="PNP36" i="7"/>
  <c r="PNO36" i="7"/>
  <c r="PNN36" i="7"/>
  <c r="PNM36" i="7"/>
  <c r="PNL36" i="7"/>
  <c r="PNK36" i="7"/>
  <c r="PNJ36" i="7"/>
  <c r="PNI36" i="7"/>
  <c r="PNH36" i="7"/>
  <c r="PNG36" i="7"/>
  <c r="PNF36" i="7"/>
  <c r="PNE36" i="7"/>
  <c r="PND36" i="7"/>
  <c r="PNC36" i="7"/>
  <c r="PNB36" i="7"/>
  <c r="PNA36" i="7"/>
  <c r="PMZ36" i="7"/>
  <c r="PMY36" i="7"/>
  <c r="PMX36" i="7"/>
  <c r="PMW36" i="7"/>
  <c r="PMV36" i="7"/>
  <c r="PMU36" i="7"/>
  <c r="PMT36" i="7"/>
  <c r="PMS36" i="7"/>
  <c r="PMR36" i="7"/>
  <c r="PMQ36" i="7"/>
  <c r="PMP36" i="7"/>
  <c r="PMO36" i="7"/>
  <c r="PMN36" i="7"/>
  <c r="PMM36" i="7"/>
  <c r="PML36" i="7"/>
  <c r="PMK36" i="7"/>
  <c r="PMJ36" i="7"/>
  <c r="PMI36" i="7"/>
  <c r="PMH36" i="7"/>
  <c r="PMG36" i="7"/>
  <c r="PMF36" i="7"/>
  <c r="PME36" i="7"/>
  <c r="PMD36" i="7"/>
  <c r="PMC36" i="7"/>
  <c r="PMB36" i="7"/>
  <c r="PMA36" i="7"/>
  <c r="PLZ36" i="7"/>
  <c r="PLY36" i="7"/>
  <c r="PLX36" i="7"/>
  <c r="PLW36" i="7"/>
  <c r="PLV36" i="7"/>
  <c r="PLU36" i="7"/>
  <c r="PLT36" i="7"/>
  <c r="PLS36" i="7"/>
  <c r="PLR36" i="7"/>
  <c r="PLQ36" i="7"/>
  <c r="PLP36" i="7"/>
  <c r="PLO36" i="7"/>
  <c r="PLN36" i="7"/>
  <c r="PLM36" i="7"/>
  <c r="PLL36" i="7"/>
  <c r="PLK36" i="7"/>
  <c r="PLJ36" i="7"/>
  <c r="PLI36" i="7"/>
  <c r="PLH36" i="7"/>
  <c r="PLG36" i="7"/>
  <c r="PLF36" i="7"/>
  <c r="PLE36" i="7"/>
  <c r="PLD36" i="7"/>
  <c r="PLC36" i="7"/>
  <c r="PLB36" i="7"/>
  <c r="PLA36" i="7"/>
  <c r="PKZ36" i="7"/>
  <c r="PKY36" i="7"/>
  <c r="PKX36" i="7"/>
  <c r="PKW36" i="7"/>
  <c r="PKV36" i="7"/>
  <c r="PKU36" i="7"/>
  <c r="PKT36" i="7"/>
  <c r="PKS36" i="7"/>
  <c r="PKR36" i="7"/>
  <c r="PKQ36" i="7"/>
  <c r="PKP36" i="7"/>
  <c r="PKO36" i="7"/>
  <c r="PKN36" i="7"/>
  <c r="PKM36" i="7"/>
  <c r="PKL36" i="7"/>
  <c r="PKK36" i="7"/>
  <c r="PKJ36" i="7"/>
  <c r="PKI36" i="7"/>
  <c r="PKH36" i="7"/>
  <c r="PKG36" i="7"/>
  <c r="PKF36" i="7"/>
  <c r="PKE36" i="7"/>
  <c r="PKD36" i="7"/>
  <c r="PKC36" i="7"/>
  <c r="PKB36" i="7"/>
  <c r="PKA36" i="7"/>
  <c r="PJZ36" i="7"/>
  <c r="PJY36" i="7"/>
  <c r="PJX36" i="7"/>
  <c r="PJW36" i="7"/>
  <c r="PJV36" i="7"/>
  <c r="PJU36" i="7"/>
  <c r="PJT36" i="7"/>
  <c r="PJS36" i="7"/>
  <c r="PJR36" i="7"/>
  <c r="PJQ36" i="7"/>
  <c r="PJP36" i="7"/>
  <c r="PJO36" i="7"/>
  <c r="PJN36" i="7"/>
  <c r="PJM36" i="7"/>
  <c r="PJL36" i="7"/>
  <c r="PJK36" i="7"/>
  <c r="PJJ36" i="7"/>
  <c r="PJI36" i="7"/>
  <c r="PJH36" i="7"/>
  <c r="PJG36" i="7"/>
  <c r="PJF36" i="7"/>
  <c r="PJE36" i="7"/>
  <c r="PJD36" i="7"/>
  <c r="PJC36" i="7"/>
  <c r="PJB36" i="7"/>
  <c r="PJA36" i="7"/>
  <c r="PIZ36" i="7"/>
  <c r="PIY36" i="7"/>
  <c r="PIX36" i="7"/>
  <c r="PIW36" i="7"/>
  <c r="PIV36" i="7"/>
  <c r="PIU36" i="7"/>
  <c r="PIT36" i="7"/>
  <c r="PIS36" i="7"/>
  <c r="PIR36" i="7"/>
  <c r="PIQ36" i="7"/>
  <c r="PIP36" i="7"/>
  <c r="PIO36" i="7"/>
  <c r="PIN36" i="7"/>
  <c r="PIM36" i="7"/>
  <c r="PIL36" i="7"/>
  <c r="PIK36" i="7"/>
  <c r="PIJ36" i="7"/>
  <c r="PII36" i="7"/>
  <c r="PIH36" i="7"/>
  <c r="PIG36" i="7"/>
  <c r="PIF36" i="7"/>
  <c r="PIE36" i="7"/>
  <c r="PID36" i="7"/>
  <c r="PIC36" i="7"/>
  <c r="PIB36" i="7"/>
  <c r="PIA36" i="7"/>
  <c r="PHZ36" i="7"/>
  <c r="PHY36" i="7"/>
  <c r="PHX36" i="7"/>
  <c r="PHW36" i="7"/>
  <c r="PHV36" i="7"/>
  <c r="PHU36" i="7"/>
  <c r="PHT36" i="7"/>
  <c r="PHS36" i="7"/>
  <c r="PHR36" i="7"/>
  <c r="PHQ36" i="7"/>
  <c r="PHP36" i="7"/>
  <c r="PHO36" i="7"/>
  <c r="PHN36" i="7"/>
  <c r="PHM36" i="7"/>
  <c r="PHL36" i="7"/>
  <c r="PHK36" i="7"/>
  <c r="PHJ36" i="7"/>
  <c r="PHI36" i="7"/>
  <c r="PHH36" i="7"/>
  <c r="PHG36" i="7"/>
  <c r="PHF36" i="7"/>
  <c r="PHE36" i="7"/>
  <c r="PHD36" i="7"/>
  <c r="PHC36" i="7"/>
  <c r="PHB36" i="7"/>
  <c r="PHA36" i="7"/>
  <c r="PGZ36" i="7"/>
  <c r="PGY36" i="7"/>
  <c r="PGX36" i="7"/>
  <c r="PGW36" i="7"/>
  <c r="PGV36" i="7"/>
  <c r="PGU36" i="7"/>
  <c r="PGT36" i="7"/>
  <c r="PGS36" i="7"/>
  <c r="PGR36" i="7"/>
  <c r="PGQ36" i="7"/>
  <c r="PGP36" i="7"/>
  <c r="PGO36" i="7"/>
  <c r="PGN36" i="7"/>
  <c r="PGM36" i="7"/>
  <c r="PGL36" i="7"/>
  <c r="PGK36" i="7"/>
  <c r="PGJ36" i="7"/>
  <c r="PGI36" i="7"/>
  <c r="PGH36" i="7"/>
  <c r="PGG36" i="7"/>
  <c r="PGF36" i="7"/>
  <c r="PGE36" i="7"/>
  <c r="PGD36" i="7"/>
  <c r="PGC36" i="7"/>
  <c r="PGB36" i="7"/>
  <c r="PGA36" i="7"/>
  <c r="PFZ36" i="7"/>
  <c r="PFY36" i="7"/>
  <c r="PFX36" i="7"/>
  <c r="PFW36" i="7"/>
  <c r="PFV36" i="7"/>
  <c r="PFU36" i="7"/>
  <c r="PFT36" i="7"/>
  <c r="PFS36" i="7"/>
  <c r="PFR36" i="7"/>
  <c r="PFQ36" i="7"/>
  <c r="PFP36" i="7"/>
  <c r="PFO36" i="7"/>
  <c r="PFN36" i="7"/>
  <c r="PFM36" i="7"/>
  <c r="PFL36" i="7"/>
  <c r="PFK36" i="7"/>
  <c r="PFJ36" i="7"/>
  <c r="PFI36" i="7"/>
  <c r="PFH36" i="7"/>
  <c r="PFG36" i="7"/>
  <c r="PFF36" i="7"/>
  <c r="PFE36" i="7"/>
  <c r="PFD36" i="7"/>
  <c r="PFC36" i="7"/>
  <c r="PFB36" i="7"/>
  <c r="PFA36" i="7"/>
  <c r="PEZ36" i="7"/>
  <c r="PEY36" i="7"/>
  <c r="PEX36" i="7"/>
  <c r="PEW36" i="7"/>
  <c r="PEV36" i="7"/>
  <c r="PEU36" i="7"/>
  <c r="PET36" i="7"/>
  <c r="PES36" i="7"/>
  <c r="PER36" i="7"/>
  <c r="PEQ36" i="7"/>
  <c r="PEP36" i="7"/>
  <c r="PEO36" i="7"/>
  <c r="PEN36" i="7"/>
  <c r="PEM36" i="7"/>
  <c r="PEL36" i="7"/>
  <c r="PEK36" i="7"/>
  <c r="PEJ36" i="7"/>
  <c r="PEI36" i="7"/>
  <c r="PEH36" i="7"/>
  <c r="PEG36" i="7"/>
  <c r="PEF36" i="7"/>
  <c r="PEE36" i="7"/>
  <c r="PED36" i="7"/>
  <c r="PEC36" i="7"/>
  <c r="PEB36" i="7"/>
  <c r="PEA36" i="7"/>
  <c r="PDZ36" i="7"/>
  <c r="PDY36" i="7"/>
  <c r="PDX36" i="7"/>
  <c r="PDW36" i="7"/>
  <c r="PDV36" i="7"/>
  <c r="PDU36" i="7"/>
  <c r="PDT36" i="7"/>
  <c r="PDS36" i="7"/>
  <c r="PDR36" i="7"/>
  <c r="PDQ36" i="7"/>
  <c r="PDP36" i="7"/>
  <c r="PDO36" i="7"/>
  <c r="PDN36" i="7"/>
  <c r="PDM36" i="7"/>
  <c r="PDL36" i="7"/>
  <c r="PDK36" i="7"/>
  <c r="PDJ36" i="7"/>
  <c r="PDI36" i="7"/>
  <c r="PDH36" i="7"/>
  <c r="PDG36" i="7"/>
  <c r="PDF36" i="7"/>
  <c r="PDE36" i="7"/>
  <c r="PDD36" i="7"/>
  <c r="PDC36" i="7"/>
  <c r="PDB36" i="7"/>
  <c r="PDA36" i="7"/>
  <c r="PCZ36" i="7"/>
  <c r="PCY36" i="7"/>
  <c r="PCX36" i="7"/>
  <c r="PCW36" i="7"/>
  <c r="PCV36" i="7"/>
  <c r="PCU36" i="7"/>
  <c r="PCT36" i="7"/>
  <c r="PCS36" i="7"/>
  <c r="PCR36" i="7"/>
  <c r="PCQ36" i="7"/>
  <c r="PCP36" i="7"/>
  <c r="PCO36" i="7"/>
  <c r="PCN36" i="7"/>
  <c r="PCM36" i="7"/>
  <c r="PCL36" i="7"/>
  <c r="PCK36" i="7"/>
  <c r="PCJ36" i="7"/>
  <c r="PCI36" i="7"/>
  <c r="PCH36" i="7"/>
  <c r="PCG36" i="7"/>
  <c r="PCF36" i="7"/>
  <c r="PCE36" i="7"/>
  <c r="PCD36" i="7"/>
  <c r="PCC36" i="7"/>
  <c r="PCB36" i="7"/>
  <c r="PCA36" i="7"/>
  <c r="PBZ36" i="7"/>
  <c r="PBY36" i="7"/>
  <c r="PBX36" i="7"/>
  <c r="PBW36" i="7"/>
  <c r="PBV36" i="7"/>
  <c r="PBU36" i="7"/>
  <c r="PBT36" i="7"/>
  <c r="PBS36" i="7"/>
  <c r="PBR36" i="7"/>
  <c r="PBQ36" i="7"/>
  <c r="PBP36" i="7"/>
  <c r="PBO36" i="7"/>
  <c r="PBN36" i="7"/>
  <c r="PBM36" i="7"/>
  <c r="PBL36" i="7"/>
  <c r="PBK36" i="7"/>
  <c r="PBJ36" i="7"/>
  <c r="PBI36" i="7"/>
  <c r="PBH36" i="7"/>
  <c r="PBG36" i="7"/>
  <c r="PBF36" i="7"/>
  <c r="PBE36" i="7"/>
  <c r="PBD36" i="7"/>
  <c r="PBC36" i="7"/>
  <c r="PBB36" i="7"/>
  <c r="PBA36" i="7"/>
  <c r="PAZ36" i="7"/>
  <c r="PAY36" i="7"/>
  <c r="PAX36" i="7"/>
  <c r="PAW36" i="7"/>
  <c r="PAV36" i="7"/>
  <c r="PAU36" i="7"/>
  <c r="PAT36" i="7"/>
  <c r="PAS36" i="7"/>
  <c r="PAR36" i="7"/>
  <c r="PAQ36" i="7"/>
  <c r="PAP36" i="7"/>
  <c r="PAO36" i="7"/>
  <c r="PAN36" i="7"/>
  <c r="PAM36" i="7"/>
  <c r="PAL36" i="7"/>
  <c r="PAK36" i="7"/>
  <c r="PAJ36" i="7"/>
  <c r="PAI36" i="7"/>
  <c r="PAH36" i="7"/>
  <c r="PAG36" i="7"/>
  <c r="PAF36" i="7"/>
  <c r="PAE36" i="7"/>
  <c r="PAD36" i="7"/>
  <c r="PAC36" i="7"/>
  <c r="PAB36" i="7"/>
  <c r="PAA36" i="7"/>
  <c r="OZZ36" i="7"/>
  <c r="OZY36" i="7"/>
  <c r="OZX36" i="7"/>
  <c r="OZW36" i="7"/>
  <c r="OZV36" i="7"/>
  <c r="OZU36" i="7"/>
  <c r="OZT36" i="7"/>
  <c r="OZS36" i="7"/>
  <c r="OZR36" i="7"/>
  <c r="OZQ36" i="7"/>
  <c r="OZP36" i="7"/>
  <c r="OZO36" i="7"/>
  <c r="OZN36" i="7"/>
  <c r="OZM36" i="7"/>
  <c r="OZL36" i="7"/>
  <c r="OZK36" i="7"/>
  <c r="OZJ36" i="7"/>
  <c r="OZI36" i="7"/>
  <c r="OZH36" i="7"/>
  <c r="OZG36" i="7"/>
  <c r="OZF36" i="7"/>
  <c r="OZE36" i="7"/>
  <c r="OZD36" i="7"/>
  <c r="OZC36" i="7"/>
  <c r="OZB36" i="7"/>
  <c r="OZA36" i="7"/>
  <c r="OYZ36" i="7"/>
  <c r="OYY36" i="7"/>
  <c r="OYX36" i="7"/>
  <c r="OYW36" i="7"/>
  <c r="OYV36" i="7"/>
  <c r="OYU36" i="7"/>
  <c r="OYT36" i="7"/>
  <c r="OYS36" i="7"/>
  <c r="OYR36" i="7"/>
  <c r="OYQ36" i="7"/>
  <c r="OYP36" i="7"/>
  <c r="OYO36" i="7"/>
  <c r="OYN36" i="7"/>
  <c r="OYM36" i="7"/>
  <c r="OYL36" i="7"/>
  <c r="OYK36" i="7"/>
  <c r="OYJ36" i="7"/>
  <c r="OYI36" i="7"/>
  <c r="OYH36" i="7"/>
  <c r="OYG36" i="7"/>
  <c r="OYF36" i="7"/>
  <c r="OYE36" i="7"/>
  <c r="OYD36" i="7"/>
  <c r="OYC36" i="7"/>
  <c r="OYB36" i="7"/>
  <c r="OYA36" i="7"/>
  <c r="OXZ36" i="7"/>
  <c r="OXY36" i="7"/>
  <c r="OXX36" i="7"/>
  <c r="OXW36" i="7"/>
  <c r="OXV36" i="7"/>
  <c r="OXU36" i="7"/>
  <c r="OXT36" i="7"/>
  <c r="OXS36" i="7"/>
  <c r="OXR36" i="7"/>
  <c r="OXQ36" i="7"/>
  <c r="OXP36" i="7"/>
  <c r="OXO36" i="7"/>
  <c r="OXN36" i="7"/>
  <c r="OXM36" i="7"/>
  <c r="OXL36" i="7"/>
  <c r="OXK36" i="7"/>
  <c r="OXJ36" i="7"/>
  <c r="OXI36" i="7"/>
  <c r="OXH36" i="7"/>
  <c r="OXG36" i="7"/>
  <c r="OXF36" i="7"/>
  <c r="OXE36" i="7"/>
  <c r="OXD36" i="7"/>
  <c r="OXC36" i="7"/>
  <c r="OXB36" i="7"/>
  <c r="OXA36" i="7"/>
  <c r="OWZ36" i="7"/>
  <c r="OWY36" i="7"/>
  <c r="OWX36" i="7"/>
  <c r="OWW36" i="7"/>
  <c r="OWV36" i="7"/>
  <c r="OWU36" i="7"/>
  <c r="OWT36" i="7"/>
  <c r="OWS36" i="7"/>
  <c r="OWR36" i="7"/>
  <c r="OWQ36" i="7"/>
  <c r="OWP36" i="7"/>
  <c r="OWO36" i="7"/>
  <c r="OWN36" i="7"/>
  <c r="OWM36" i="7"/>
  <c r="OWL36" i="7"/>
  <c r="OWK36" i="7"/>
  <c r="OWJ36" i="7"/>
  <c r="OWI36" i="7"/>
  <c r="OWH36" i="7"/>
  <c r="OWG36" i="7"/>
  <c r="OWF36" i="7"/>
  <c r="OWE36" i="7"/>
  <c r="OWD36" i="7"/>
  <c r="OWC36" i="7"/>
  <c r="OWB36" i="7"/>
  <c r="OWA36" i="7"/>
  <c r="OVZ36" i="7"/>
  <c r="OVY36" i="7"/>
  <c r="OVX36" i="7"/>
  <c r="OVW36" i="7"/>
  <c r="OVV36" i="7"/>
  <c r="OVU36" i="7"/>
  <c r="OVT36" i="7"/>
  <c r="OVS36" i="7"/>
  <c r="OVR36" i="7"/>
  <c r="OVQ36" i="7"/>
  <c r="OVP36" i="7"/>
  <c r="OVO36" i="7"/>
  <c r="OVN36" i="7"/>
  <c r="OVM36" i="7"/>
  <c r="OVL36" i="7"/>
  <c r="OVK36" i="7"/>
  <c r="OVJ36" i="7"/>
  <c r="OVI36" i="7"/>
  <c r="OVH36" i="7"/>
  <c r="OVG36" i="7"/>
  <c r="OVF36" i="7"/>
  <c r="OVE36" i="7"/>
  <c r="OVD36" i="7"/>
  <c r="OVC36" i="7"/>
  <c r="OVB36" i="7"/>
  <c r="OVA36" i="7"/>
  <c r="OUZ36" i="7"/>
  <c r="OUY36" i="7"/>
  <c r="OUX36" i="7"/>
  <c r="OUW36" i="7"/>
  <c r="OUV36" i="7"/>
  <c r="OUU36" i="7"/>
  <c r="OUT36" i="7"/>
  <c r="OUS36" i="7"/>
  <c r="OUR36" i="7"/>
  <c r="OUQ36" i="7"/>
  <c r="OUP36" i="7"/>
  <c r="OUO36" i="7"/>
  <c r="OUN36" i="7"/>
  <c r="OUM36" i="7"/>
  <c r="OUL36" i="7"/>
  <c r="OUK36" i="7"/>
  <c r="OUJ36" i="7"/>
  <c r="OUI36" i="7"/>
  <c r="OUH36" i="7"/>
  <c r="OUG36" i="7"/>
  <c r="OUF36" i="7"/>
  <c r="OUE36" i="7"/>
  <c r="OUD36" i="7"/>
  <c r="OUC36" i="7"/>
  <c r="OUB36" i="7"/>
  <c r="OUA36" i="7"/>
  <c r="OTZ36" i="7"/>
  <c r="OTY36" i="7"/>
  <c r="OTX36" i="7"/>
  <c r="OTW36" i="7"/>
  <c r="OTV36" i="7"/>
  <c r="OTU36" i="7"/>
  <c r="OTT36" i="7"/>
  <c r="OTS36" i="7"/>
  <c r="OTR36" i="7"/>
  <c r="OTQ36" i="7"/>
  <c r="OTP36" i="7"/>
  <c r="OTO36" i="7"/>
  <c r="OTN36" i="7"/>
  <c r="OTM36" i="7"/>
  <c r="OTL36" i="7"/>
  <c r="OTK36" i="7"/>
  <c r="OTJ36" i="7"/>
  <c r="OTI36" i="7"/>
  <c r="OTH36" i="7"/>
  <c r="OTG36" i="7"/>
  <c r="OTF36" i="7"/>
  <c r="OTE36" i="7"/>
  <c r="OTD36" i="7"/>
  <c r="OTC36" i="7"/>
  <c r="OTB36" i="7"/>
  <c r="OTA36" i="7"/>
  <c r="OSZ36" i="7"/>
  <c r="OSY36" i="7"/>
  <c r="OSX36" i="7"/>
  <c r="OSW36" i="7"/>
  <c r="OSV36" i="7"/>
  <c r="OSU36" i="7"/>
  <c r="OST36" i="7"/>
  <c r="OSS36" i="7"/>
  <c r="OSR36" i="7"/>
  <c r="OSQ36" i="7"/>
  <c r="OSP36" i="7"/>
  <c r="OSO36" i="7"/>
  <c r="OSN36" i="7"/>
  <c r="OSM36" i="7"/>
  <c r="OSL36" i="7"/>
  <c r="OSK36" i="7"/>
  <c r="OSJ36" i="7"/>
  <c r="OSI36" i="7"/>
  <c r="OSH36" i="7"/>
  <c r="OSG36" i="7"/>
  <c r="OSF36" i="7"/>
  <c r="OSE36" i="7"/>
  <c r="OSD36" i="7"/>
  <c r="OSC36" i="7"/>
  <c r="OSB36" i="7"/>
  <c r="OSA36" i="7"/>
  <c r="ORZ36" i="7"/>
  <c r="ORY36" i="7"/>
  <c r="ORX36" i="7"/>
  <c r="ORW36" i="7"/>
  <c r="ORV36" i="7"/>
  <c r="ORU36" i="7"/>
  <c r="ORT36" i="7"/>
  <c r="ORS36" i="7"/>
  <c r="ORR36" i="7"/>
  <c r="ORQ36" i="7"/>
  <c r="ORP36" i="7"/>
  <c r="ORO36" i="7"/>
  <c r="ORN36" i="7"/>
  <c r="ORM36" i="7"/>
  <c r="ORL36" i="7"/>
  <c r="ORK36" i="7"/>
  <c r="ORJ36" i="7"/>
  <c r="ORI36" i="7"/>
  <c r="ORH36" i="7"/>
  <c r="ORG36" i="7"/>
  <c r="ORF36" i="7"/>
  <c r="ORE36" i="7"/>
  <c r="ORD36" i="7"/>
  <c r="ORC36" i="7"/>
  <c r="ORB36" i="7"/>
  <c r="ORA36" i="7"/>
  <c r="OQZ36" i="7"/>
  <c r="OQY36" i="7"/>
  <c r="OQX36" i="7"/>
  <c r="OQW36" i="7"/>
  <c r="OQV36" i="7"/>
  <c r="OQU36" i="7"/>
  <c r="OQT36" i="7"/>
  <c r="OQS36" i="7"/>
  <c r="OQR36" i="7"/>
  <c r="OQQ36" i="7"/>
  <c r="OQP36" i="7"/>
  <c r="OQO36" i="7"/>
  <c r="OQN36" i="7"/>
  <c r="OQM36" i="7"/>
  <c r="OQL36" i="7"/>
  <c r="OQK36" i="7"/>
  <c r="OQJ36" i="7"/>
  <c r="OQI36" i="7"/>
  <c r="OQH36" i="7"/>
  <c r="OQG36" i="7"/>
  <c r="OQF36" i="7"/>
  <c r="OQE36" i="7"/>
  <c r="OQD36" i="7"/>
  <c r="OQC36" i="7"/>
  <c r="OQB36" i="7"/>
  <c r="OQA36" i="7"/>
  <c r="OPZ36" i="7"/>
  <c r="OPY36" i="7"/>
  <c r="OPX36" i="7"/>
  <c r="OPW36" i="7"/>
  <c r="OPV36" i="7"/>
  <c r="OPU36" i="7"/>
  <c r="OPT36" i="7"/>
  <c r="OPS36" i="7"/>
  <c r="OPR36" i="7"/>
  <c r="OPQ36" i="7"/>
  <c r="OPP36" i="7"/>
  <c r="OPO36" i="7"/>
  <c r="OPN36" i="7"/>
  <c r="OPM36" i="7"/>
  <c r="OPL36" i="7"/>
  <c r="OPK36" i="7"/>
  <c r="OPJ36" i="7"/>
  <c r="OPI36" i="7"/>
  <c r="OPH36" i="7"/>
  <c r="OPG36" i="7"/>
  <c r="OPF36" i="7"/>
  <c r="OPE36" i="7"/>
  <c r="OPD36" i="7"/>
  <c r="OPC36" i="7"/>
  <c r="OPB36" i="7"/>
  <c r="OPA36" i="7"/>
  <c r="OOZ36" i="7"/>
  <c r="OOY36" i="7"/>
  <c r="OOX36" i="7"/>
  <c r="OOW36" i="7"/>
  <c r="OOV36" i="7"/>
  <c r="OOU36" i="7"/>
  <c r="OOT36" i="7"/>
  <c r="OOS36" i="7"/>
  <c r="OOR36" i="7"/>
  <c r="OOQ36" i="7"/>
  <c r="OOP36" i="7"/>
  <c r="OOO36" i="7"/>
  <c r="OON36" i="7"/>
  <c r="OOM36" i="7"/>
  <c r="OOL36" i="7"/>
  <c r="OOK36" i="7"/>
  <c r="OOJ36" i="7"/>
  <c r="OOI36" i="7"/>
  <c r="OOH36" i="7"/>
  <c r="OOG36" i="7"/>
  <c r="OOF36" i="7"/>
  <c r="OOE36" i="7"/>
  <c r="OOD36" i="7"/>
  <c r="OOC36" i="7"/>
  <c r="OOB36" i="7"/>
  <c r="OOA36" i="7"/>
  <c r="ONZ36" i="7"/>
  <c r="ONY36" i="7"/>
  <c r="ONX36" i="7"/>
  <c r="ONW36" i="7"/>
  <c r="ONV36" i="7"/>
  <c r="ONU36" i="7"/>
  <c r="ONT36" i="7"/>
  <c r="ONS36" i="7"/>
  <c r="ONR36" i="7"/>
  <c r="ONQ36" i="7"/>
  <c r="ONP36" i="7"/>
  <c r="ONO36" i="7"/>
  <c r="ONN36" i="7"/>
  <c r="ONM36" i="7"/>
  <c r="ONL36" i="7"/>
  <c r="ONK36" i="7"/>
  <c r="ONJ36" i="7"/>
  <c r="ONI36" i="7"/>
  <c r="ONH36" i="7"/>
  <c r="ONG36" i="7"/>
  <c r="ONF36" i="7"/>
  <c r="ONE36" i="7"/>
  <c r="OND36" i="7"/>
  <c r="ONC36" i="7"/>
  <c r="ONB36" i="7"/>
  <c r="ONA36" i="7"/>
  <c r="OMZ36" i="7"/>
  <c r="OMY36" i="7"/>
  <c r="OMX36" i="7"/>
  <c r="OMW36" i="7"/>
  <c r="OMV36" i="7"/>
  <c r="OMU36" i="7"/>
  <c r="OMT36" i="7"/>
  <c r="OMS36" i="7"/>
  <c r="OMR36" i="7"/>
  <c r="OMQ36" i="7"/>
  <c r="OMP36" i="7"/>
  <c r="OMO36" i="7"/>
  <c r="OMN36" i="7"/>
  <c r="OMM36" i="7"/>
  <c r="OML36" i="7"/>
  <c r="OMK36" i="7"/>
  <c r="OMJ36" i="7"/>
  <c r="OMI36" i="7"/>
  <c r="OMH36" i="7"/>
  <c r="OMG36" i="7"/>
  <c r="OMF36" i="7"/>
  <c r="OME36" i="7"/>
  <c r="OMD36" i="7"/>
  <c r="OMC36" i="7"/>
  <c r="OMB36" i="7"/>
  <c r="OMA36" i="7"/>
  <c r="OLZ36" i="7"/>
  <c r="OLY36" i="7"/>
  <c r="OLX36" i="7"/>
  <c r="OLW36" i="7"/>
  <c r="OLV36" i="7"/>
  <c r="OLU36" i="7"/>
  <c r="OLT36" i="7"/>
  <c r="OLS36" i="7"/>
  <c r="OLR36" i="7"/>
  <c r="OLQ36" i="7"/>
  <c r="OLP36" i="7"/>
  <c r="OLO36" i="7"/>
  <c r="OLN36" i="7"/>
  <c r="OLM36" i="7"/>
  <c r="OLL36" i="7"/>
  <c r="OLK36" i="7"/>
  <c r="OLJ36" i="7"/>
  <c r="OLI36" i="7"/>
  <c r="OLH36" i="7"/>
  <c r="OLG36" i="7"/>
  <c r="OLF36" i="7"/>
  <c r="OLE36" i="7"/>
  <c r="OLD36" i="7"/>
  <c r="OLC36" i="7"/>
  <c r="OLB36" i="7"/>
  <c r="OLA36" i="7"/>
  <c r="OKZ36" i="7"/>
  <c r="OKY36" i="7"/>
  <c r="OKX36" i="7"/>
  <c r="OKW36" i="7"/>
  <c r="OKV36" i="7"/>
  <c r="OKU36" i="7"/>
  <c r="OKT36" i="7"/>
  <c r="OKS36" i="7"/>
  <c r="OKR36" i="7"/>
  <c r="OKQ36" i="7"/>
  <c r="OKP36" i="7"/>
  <c r="OKO36" i="7"/>
  <c r="OKN36" i="7"/>
  <c r="OKM36" i="7"/>
  <c r="OKL36" i="7"/>
  <c r="OKK36" i="7"/>
  <c r="OKJ36" i="7"/>
  <c r="OKI36" i="7"/>
  <c r="OKH36" i="7"/>
  <c r="OKG36" i="7"/>
  <c r="OKF36" i="7"/>
  <c r="OKE36" i="7"/>
  <c r="OKD36" i="7"/>
  <c r="OKC36" i="7"/>
  <c r="OKB36" i="7"/>
  <c r="OKA36" i="7"/>
  <c r="OJZ36" i="7"/>
  <c r="OJY36" i="7"/>
  <c r="OJX36" i="7"/>
  <c r="OJW36" i="7"/>
  <c r="OJV36" i="7"/>
  <c r="OJU36" i="7"/>
  <c r="OJT36" i="7"/>
  <c r="OJS36" i="7"/>
  <c r="OJR36" i="7"/>
  <c r="OJQ36" i="7"/>
  <c r="OJP36" i="7"/>
  <c r="OJO36" i="7"/>
  <c r="OJN36" i="7"/>
  <c r="OJM36" i="7"/>
  <c r="OJL36" i="7"/>
  <c r="OJK36" i="7"/>
  <c r="OJJ36" i="7"/>
  <c r="OJI36" i="7"/>
  <c r="OJH36" i="7"/>
  <c r="OJG36" i="7"/>
  <c r="OJF36" i="7"/>
  <c r="OJE36" i="7"/>
  <c r="OJD36" i="7"/>
  <c r="OJC36" i="7"/>
  <c r="OJB36" i="7"/>
  <c r="OJA36" i="7"/>
  <c r="OIZ36" i="7"/>
  <c r="OIY36" i="7"/>
  <c r="OIX36" i="7"/>
  <c r="OIW36" i="7"/>
  <c r="OIV36" i="7"/>
  <c r="OIU36" i="7"/>
  <c r="OIT36" i="7"/>
  <c r="OIS36" i="7"/>
  <c r="OIR36" i="7"/>
  <c r="OIQ36" i="7"/>
  <c r="OIP36" i="7"/>
  <c r="OIO36" i="7"/>
  <c r="OIN36" i="7"/>
  <c r="OIM36" i="7"/>
  <c r="OIL36" i="7"/>
  <c r="OIK36" i="7"/>
  <c r="OIJ36" i="7"/>
  <c r="OII36" i="7"/>
  <c r="OIH36" i="7"/>
  <c r="OIG36" i="7"/>
  <c r="OIF36" i="7"/>
  <c r="OIE36" i="7"/>
  <c r="OID36" i="7"/>
  <c r="OIC36" i="7"/>
  <c r="OIB36" i="7"/>
  <c r="OIA36" i="7"/>
  <c r="OHZ36" i="7"/>
  <c r="OHY36" i="7"/>
  <c r="OHX36" i="7"/>
  <c r="OHW36" i="7"/>
  <c r="OHV36" i="7"/>
  <c r="OHU36" i="7"/>
  <c r="OHT36" i="7"/>
  <c r="OHS36" i="7"/>
  <c r="OHR36" i="7"/>
  <c r="OHQ36" i="7"/>
  <c r="OHP36" i="7"/>
  <c r="OHO36" i="7"/>
  <c r="OHN36" i="7"/>
  <c r="OHM36" i="7"/>
  <c r="OHL36" i="7"/>
  <c r="OHK36" i="7"/>
  <c r="OHJ36" i="7"/>
  <c r="OHI36" i="7"/>
  <c r="OHH36" i="7"/>
  <c r="OHG36" i="7"/>
  <c r="OHF36" i="7"/>
  <c r="OHE36" i="7"/>
  <c r="OHD36" i="7"/>
  <c r="OHC36" i="7"/>
  <c r="OHB36" i="7"/>
  <c r="OHA36" i="7"/>
  <c r="OGZ36" i="7"/>
  <c r="OGY36" i="7"/>
  <c r="OGX36" i="7"/>
  <c r="OGW36" i="7"/>
  <c r="OGV36" i="7"/>
  <c r="OGU36" i="7"/>
  <c r="OGT36" i="7"/>
  <c r="OGS36" i="7"/>
  <c r="OGR36" i="7"/>
  <c r="OGQ36" i="7"/>
  <c r="OGP36" i="7"/>
  <c r="OGO36" i="7"/>
  <c r="OGN36" i="7"/>
  <c r="OGM36" i="7"/>
  <c r="OGL36" i="7"/>
  <c r="OGK36" i="7"/>
  <c r="OGJ36" i="7"/>
  <c r="OGI36" i="7"/>
  <c r="OGH36" i="7"/>
  <c r="OGG36" i="7"/>
  <c r="OGF36" i="7"/>
  <c r="OGE36" i="7"/>
  <c r="OGD36" i="7"/>
  <c r="OGC36" i="7"/>
  <c r="OGB36" i="7"/>
  <c r="OGA36" i="7"/>
  <c r="OFZ36" i="7"/>
  <c r="OFY36" i="7"/>
  <c r="OFX36" i="7"/>
  <c r="OFW36" i="7"/>
  <c r="OFV36" i="7"/>
  <c r="OFU36" i="7"/>
  <c r="OFT36" i="7"/>
  <c r="OFS36" i="7"/>
  <c r="OFR36" i="7"/>
  <c r="OFQ36" i="7"/>
  <c r="OFP36" i="7"/>
  <c r="OFO36" i="7"/>
  <c r="OFN36" i="7"/>
  <c r="OFM36" i="7"/>
  <c r="OFL36" i="7"/>
  <c r="OFK36" i="7"/>
  <c r="OFJ36" i="7"/>
  <c r="OFI36" i="7"/>
  <c r="OFH36" i="7"/>
  <c r="OFG36" i="7"/>
  <c r="OFF36" i="7"/>
  <c r="OFE36" i="7"/>
  <c r="OFD36" i="7"/>
  <c r="OFC36" i="7"/>
  <c r="OFB36" i="7"/>
  <c r="OFA36" i="7"/>
  <c r="OEZ36" i="7"/>
  <c r="OEY36" i="7"/>
  <c r="OEX36" i="7"/>
  <c r="OEW36" i="7"/>
  <c r="OEV36" i="7"/>
  <c r="OEU36" i="7"/>
  <c r="OET36" i="7"/>
  <c r="OES36" i="7"/>
  <c r="OER36" i="7"/>
  <c r="OEQ36" i="7"/>
  <c r="OEP36" i="7"/>
  <c r="OEO36" i="7"/>
  <c r="OEN36" i="7"/>
  <c r="OEM36" i="7"/>
  <c r="OEL36" i="7"/>
  <c r="OEK36" i="7"/>
  <c r="OEJ36" i="7"/>
  <c r="OEI36" i="7"/>
  <c r="OEH36" i="7"/>
  <c r="OEG36" i="7"/>
  <c r="OEF36" i="7"/>
  <c r="OEE36" i="7"/>
  <c r="OED36" i="7"/>
  <c r="OEC36" i="7"/>
  <c r="OEB36" i="7"/>
  <c r="OEA36" i="7"/>
  <c r="ODZ36" i="7"/>
  <c r="ODY36" i="7"/>
  <c r="ODX36" i="7"/>
  <c r="ODW36" i="7"/>
  <c r="ODV36" i="7"/>
  <c r="ODU36" i="7"/>
  <c r="ODT36" i="7"/>
  <c r="ODS36" i="7"/>
  <c r="ODR36" i="7"/>
  <c r="ODQ36" i="7"/>
  <c r="ODP36" i="7"/>
  <c r="ODO36" i="7"/>
  <c r="ODN36" i="7"/>
  <c r="ODM36" i="7"/>
  <c r="ODL36" i="7"/>
  <c r="ODK36" i="7"/>
  <c r="ODJ36" i="7"/>
  <c r="ODI36" i="7"/>
  <c r="ODH36" i="7"/>
  <c r="ODG36" i="7"/>
  <c r="ODF36" i="7"/>
  <c r="ODE36" i="7"/>
  <c r="ODD36" i="7"/>
  <c r="ODC36" i="7"/>
  <c r="ODB36" i="7"/>
  <c r="ODA36" i="7"/>
  <c r="OCZ36" i="7"/>
  <c r="OCY36" i="7"/>
  <c r="OCX36" i="7"/>
  <c r="OCW36" i="7"/>
  <c r="OCV36" i="7"/>
  <c r="OCU36" i="7"/>
  <c r="OCT36" i="7"/>
  <c r="OCS36" i="7"/>
  <c r="OCR36" i="7"/>
  <c r="OCQ36" i="7"/>
  <c r="OCP36" i="7"/>
  <c r="OCO36" i="7"/>
  <c r="OCN36" i="7"/>
  <c r="OCM36" i="7"/>
  <c r="OCL36" i="7"/>
  <c r="OCK36" i="7"/>
  <c r="OCJ36" i="7"/>
  <c r="OCI36" i="7"/>
  <c r="OCH36" i="7"/>
  <c r="OCG36" i="7"/>
  <c r="OCF36" i="7"/>
  <c r="OCE36" i="7"/>
  <c r="OCD36" i="7"/>
  <c r="OCC36" i="7"/>
  <c r="OCB36" i="7"/>
  <c r="OCA36" i="7"/>
  <c r="OBZ36" i="7"/>
  <c r="OBY36" i="7"/>
  <c r="OBX36" i="7"/>
  <c r="OBW36" i="7"/>
  <c r="OBV36" i="7"/>
  <c r="OBU36" i="7"/>
  <c r="OBT36" i="7"/>
  <c r="OBS36" i="7"/>
  <c r="OBR36" i="7"/>
  <c r="OBQ36" i="7"/>
  <c r="OBP36" i="7"/>
  <c r="OBO36" i="7"/>
  <c r="OBN36" i="7"/>
  <c r="OBM36" i="7"/>
  <c r="OBL36" i="7"/>
  <c r="OBK36" i="7"/>
  <c r="OBJ36" i="7"/>
  <c r="OBI36" i="7"/>
  <c r="OBH36" i="7"/>
  <c r="OBG36" i="7"/>
  <c r="OBF36" i="7"/>
  <c r="OBE36" i="7"/>
  <c r="OBD36" i="7"/>
  <c r="OBC36" i="7"/>
  <c r="OBB36" i="7"/>
  <c r="OBA36" i="7"/>
  <c r="OAZ36" i="7"/>
  <c r="OAY36" i="7"/>
  <c r="OAX36" i="7"/>
  <c r="OAW36" i="7"/>
  <c r="OAV36" i="7"/>
  <c r="OAU36" i="7"/>
  <c r="OAT36" i="7"/>
  <c r="OAS36" i="7"/>
  <c r="OAR36" i="7"/>
  <c r="OAQ36" i="7"/>
  <c r="OAP36" i="7"/>
  <c r="OAO36" i="7"/>
  <c r="OAN36" i="7"/>
  <c r="OAM36" i="7"/>
  <c r="OAL36" i="7"/>
  <c r="OAK36" i="7"/>
  <c r="OAJ36" i="7"/>
  <c r="OAI36" i="7"/>
  <c r="OAH36" i="7"/>
  <c r="OAG36" i="7"/>
  <c r="OAF36" i="7"/>
  <c r="OAE36" i="7"/>
  <c r="OAD36" i="7"/>
  <c r="OAC36" i="7"/>
  <c r="OAB36" i="7"/>
  <c r="OAA36" i="7"/>
  <c r="NZZ36" i="7"/>
  <c r="NZY36" i="7"/>
  <c r="NZX36" i="7"/>
  <c r="NZW36" i="7"/>
  <c r="NZV36" i="7"/>
  <c r="NZU36" i="7"/>
  <c r="NZT36" i="7"/>
  <c r="NZS36" i="7"/>
  <c r="NZR36" i="7"/>
  <c r="NZQ36" i="7"/>
  <c r="NZP36" i="7"/>
  <c r="NZO36" i="7"/>
  <c r="NZN36" i="7"/>
  <c r="NZM36" i="7"/>
  <c r="NZL36" i="7"/>
  <c r="NZK36" i="7"/>
  <c r="NZJ36" i="7"/>
  <c r="NZI36" i="7"/>
  <c r="NZH36" i="7"/>
  <c r="NZG36" i="7"/>
  <c r="NZF36" i="7"/>
  <c r="NZE36" i="7"/>
  <c r="NZD36" i="7"/>
  <c r="NZC36" i="7"/>
  <c r="NZB36" i="7"/>
  <c r="NZA36" i="7"/>
  <c r="NYZ36" i="7"/>
  <c r="NYY36" i="7"/>
  <c r="NYX36" i="7"/>
  <c r="NYW36" i="7"/>
  <c r="NYV36" i="7"/>
  <c r="NYU36" i="7"/>
  <c r="NYT36" i="7"/>
  <c r="NYS36" i="7"/>
  <c r="NYR36" i="7"/>
  <c r="NYQ36" i="7"/>
  <c r="NYP36" i="7"/>
  <c r="NYO36" i="7"/>
  <c r="NYN36" i="7"/>
  <c r="NYM36" i="7"/>
  <c r="NYL36" i="7"/>
  <c r="NYK36" i="7"/>
  <c r="NYJ36" i="7"/>
  <c r="NYI36" i="7"/>
  <c r="NYH36" i="7"/>
  <c r="NYG36" i="7"/>
  <c r="NYF36" i="7"/>
  <c r="NYE36" i="7"/>
  <c r="NYD36" i="7"/>
  <c r="NYC36" i="7"/>
  <c r="NYB36" i="7"/>
  <c r="NYA36" i="7"/>
  <c r="NXZ36" i="7"/>
  <c r="NXY36" i="7"/>
  <c r="NXX36" i="7"/>
  <c r="NXW36" i="7"/>
  <c r="NXV36" i="7"/>
  <c r="NXU36" i="7"/>
  <c r="NXT36" i="7"/>
  <c r="NXS36" i="7"/>
  <c r="NXR36" i="7"/>
  <c r="NXQ36" i="7"/>
  <c r="NXP36" i="7"/>
  <c r="NXO36" i="7"/>
  <c r="NXN36" i="7"/>
  <c r="NXM36" i="7"/>
  <c r="NXL36" i="7"/>
  <c r="NXK36" i="7"/>
  <c r="NXJ36" i="7"/>
  <c r="NXI36" i="7"/>
  <c r="NXH36" i="7"/>
  <c r="NXG36" i="7"/>
  <c r="NXF36" i="7"/>
  <c r="NXE36" i="7"/>
  <c r="NXD36" i="7"/>
  <c r="NXC36" i="7"/>
  <c r="NXB36" i="7"/>
  <c r="NXA36" i="7"/>
  <c r="NWZ36" i="7"/>
  <c r="NWY36" i="7"/>
  <c r="NWX36" i="7"/>
  <c r="NWW36" i="7"/>
  <c r="NWV36" i="7"/>
  <c r="NWU36" i="7"/>
  <c r="NWT36" i="7"/>
  <c r="NWS36" i="7"/>
  <c r="NWR36" i="7"/>
  <c r="NWQ36" i="7"/>
  <c r="NWP36" i="7"/>
  <c r="NWO36" i="7"/>
  <c r="NWN36" i="7"/>
  <c r="NWM36" i="7"/>
  <c r="NWL36" i="7"/>
  <c r="NWK36" i="7"/>
  <c r="NWJ36" i="7"/>
  <c r="NWI36" i="7"/>
  <c r="NWH36" i="7"/>
  <c r="NWG36" i="7"/>
  <c r="NWF36" i="7"/>
  <c r="NWE36" i="7"/>
  <c r="NWD36" i="7"/>
  <c r="NWC36" i="7"/>
  <c r="NWB36" i="7"/>
  <c r="NWA36" i="7"/>
  <c r="NVZ36" i="7"/>
  <c r="NVY36" i="7"/>
  <c r="NVX36" i="7"/>
  <c r="NVW36" i="7"/>
  <c r="NVV36" i="7"/>
  <c r="NVU36" i="7"/>
  <c r="NVT36" i="7"/>
  <c r="NVS36" i="7"/>
  <c r="NVR36" i="7"/>
  <c r="NVQ36" i="7"/>
  <c r="NVP36" i="7"/>
  <c r="NVO36" i="7"/>
  <c r="NVN36" i="7"/>
  <c r="NVM36" i="7"/>
  <c r="NVL36" i="7"/>
  <c r="NVK36" i="7"/>
  <c r="NVJ36" i="7"/>
  <c r="NVI36" i="7"/>
  <c r="NVH36" i="7"/>
  <c r="NVG36" i="7"/>
  <c r="NVF36" i="7"/>
  <c r="NVE36" i="7"/>
  <c r="NVD36" i="7"/>
  <c r="NVC36" i="7"/>
  <c r="NVB36" i="7"/>
  <c r="NVA36" i="7"/>
  <c r="NUZ36" i="7"/>
  <c r="NUY36" i="7"/>
  <c r="NUX36" i="7"/>
  <c r="NUW36" i="7"/>
  <c r="NUV36" i="7"/>
  <c r="NUU36" i="7"/>
  <c r="NUT36" i="7"/>
  <c r="NUS36" i="7"/>
  <c r="NUR36" i="7"/>
  <c r="NUQ36" i="7"/>
  <c r="NUP36" i="7"/>
  <c r="NUO36" i="7"/>
  <c r="NUN36" i="7"/>
  <c r="NUM36" i="7"/>
  <c r="NUL36" i="7"/>
  <c r="NUK36" i="7"/>
  <c r="NUJ36" i="7"/>
  <c r="NUI36" i="7"/>
  <c r="NUH36" i="7"/>
  <c r="NUG36" i="7"/>
  <c r="NUF36" i="7"/>
  <c r="NUE36" i="7"/>
  <c r="NUD36" i="7"/>
  <c r="NUC36" i="7"/>
  <c r="NUB36" i="7"/>
  <c r="NUA36" i="7"/>
  <c r="NTZ36" i="7"/>
  <c r="NTY36" i="7"/>
  <c r="NTX36" i="7"/>
  <c r="NTW36" i="7"/>
  <c r="NTV36" i="7"/>
  <c r="NTU36" i="7"/>
  <c r="NTT36" i="7"/>
  <c r="NTS36" i="7"/>
  <c r="NTR36" i="7"/>
  <c r="NTQ36" i="7"/>
  <c r="NTP36" i="7"/>
  <c r="NTO36" i="7"/>
  <c r="NTN36" i="7"/>
  <c r="NTM36" i="7"/>
  <c r="NTL36" i="7"/>
  <c r="NTK36" i="7"/>
  <c r="NTJ36" i="7"/>
  <c r="NTI36" i="7"/>
  <c r="NTH36" i="7"/>
  <c r="NTG36" i="7"/>
  <c r="NTF36" i="7"/>
  <c r="NTE36" i="7"/>
  <c r="NTD36" i="7"/>
  <c r="NTC36" i="7"/>
  <c r="NTB36" i="7"/>
  <c r="NTA36" i="7"/>
  <c r="NSZ36" i="7"/>
  <c r="NSY36" i="7"/>
  <c r="NSX36" i="7"/>
  <c r="NSW36" i="7"/>
  <c r="NSV36" i="7"/>
  <c r="NSU36" i="7"/>
  <c r="NST36" i="7"/>
  <c r="NSS36" i="7"/>
  <c r="NSR36" i="7"/>
  <c r="NSQ36" i="7"/>
  <c r="NSP36" i="7"/>
  <c r="NSO36" i="7"/>
  <c r="NSN36" i="7"/>
  <c r="NSM36" i="7"/>
  <c r="NSL36" i="7"/>
  <c r="NSK36" i="7"/>
  <c r="NSJ36" i="7"/>
  <c r="NSI36" i="7"/>
  <c r="NSH36" i="7"/>
  <c r="NSG36" i="7"/>
  <c r="NSF36" i="7"/>
  <c r="NSE36" i="7"/>
  <c r="NSD36" i="7"/>
  <c r="NSC36" i="7"/>
  <c r="NSB36" i="7"/>
  <c r="NSA36" i="7"/>
  <c r="NRZ36" i="7"/>
  <c r="NRY36" i="7"/>
  <c r="NRX36" i="7"/>
  <c r="NRW36" i="7"/>
  <c r="NRV36" i="7"/>
  <c r="NRU36" i="7"/>
  <c r="NRT36" i="7"/>
  <c r="NRS36" i="7"/>
  <c r="NRR36" i="7"/>
  <c r="NRQ36" i="7"/>
  <c r="NRP36" i="7"/>
  <c r="NRO36" i="7"/>
  <c r="NRN36" i="7"/>
  <c r="NRM36" i="7"/>
  <c r="NRL36" i="7"/>
  <c r="NRK36" i="7"/>
  <c r="NRJ36" i="7"/>
  <c r="NRI36" i="7"/>
  <c r="NRH36" i="7"/>
  <c r="NRG36" i="7"/>
  <c r="NRF36" i="7"/>
  <c r="NRE36" i="7"/>
  <c r="NRD36" i="7"/>
  <c r="NRC36" i="7"/>
  <c r="NRB36" i="7"/>
  <c r="NRA36" i="7"/>
  <c r="NQZ36" i="7"/>
  <c r="NQY36" i="7"/>
  <c r="NQX36" i="7"/>
  <c r="NQW36" i="7"/>
  <c r="NQV36" i="7"/>
  <c r="NQU36" i="7"/>
  <c r="NQT36" i="7"/>
  <c r="NQS36" i="7"/>
  <c r="NQR36" i="7"/>
  <c r="NQQ36" i="7"/>
  <c r="NQP36" i="7"/>
  <c r="NQO36" i="7"/>
  <c r="NQN36" i="7"/>
  <c r="NQM36" i="7"/>
  <c r="NQL36" i="7"/>
  <c r="NQK36" i="7"/>
  <c r="NQJ36" i="7"/>
  <c r="NQI36" i="7"/>
  <c r="NQH36" i="7"/>
  <c r="NQG36" i="7"/>
  <c r="NQF36" i="7"/>
  <c r="NQE36" i="7"/>
  <c r="NQD36" i="7"/>
  <c r="NQC36" i="7"/>
  <c r="NQB36" i="7"/>
  <c r="NQA36" i="7"/>
  <c r="NPZ36" i="7"/>
  <c r="NPY36" i="7"/>
  <c r="NPX36" i="7"/>
  <c r="NPW36" i="7"/>
  <c r="NPV36" i="7"/>
  <c r="NPU36" i="7"/>
  <c r="NPT36" i="7"/>
  <c r="NPS36" i="7"/>
  <c r="NPR36" i="7"/>
  <c r="NPQ36" i="7"/>
  <c r="NPP36" i="7"/>
  <c r="NPO36" i="7"/>
  <c r="NPN36" i="7"/>
  <c r="NPM36" i="7"/>
  <c r="NPL36" i="7"/>
  <c r="NPK36" i="7"/>
  <c r="NPJ36" i="7"/>
  <c r="NPI36" i="7"/>
  <c r="NPH36" i="7"/>
  <c r="NPG36" i="7"/>
  <c r="NPF36" i="7"/>
  <c r="NPE36" i="7"/>
  <c r="NPD36" i="7"/>
  <c r="NPC36" i="7"/>
  <c r="NPB36" i="7"/>
  <c r="NPA36" i="7"/>
  <c r="NOZ36" i="7"/>
  <c r="NOY36" i="7"/>
  <c r="NOX36" i="7"/>
  <c r="NOW36" i="7"/>
  <c r="NOV36" i="7"/>
  <c r="NOU36" i="7"/>
  <c r="NOT36" i="7"/>
  <c r="NOS36" i="7"/>
  <c r="NOR36" i="7"/>
  <c r="NOQ36" i="7"/>
  <c r="NOP36" i="7"/>
  <c r="NOO36" i="7"/>
  <c r="NON36" i="7"/>
  <c r="NOM36" i="7"/>
  <c r="NOL36" i="7"/>
  <c r="NOK36" i="7"/>
  <c r="NOJ36" i="7"/>
  <c r="NOI36" i="7"/>
  <c r="NOH36" i="7"/>
  <c r="NOG36" i="7"/>
  <c r="NOF36" i="7"/>
  <c r="NOE36" i="7"/>
  <c r="NOD36" i="7"/>
  <c r="NOC36" i="7"/>
  <c r="NOB36" i="7"/>
  <c r="NOA36" i="7"/>
  <c r="NNZ36" i="7"/>
  <c r="NNY36" i="7"/>
  <c r="NNX36" i="7"/>
  <c r="NNW36" i="7"/>
  <c r="NNV36" i="7"/>
  <c r="NNU36" i="7"/>
  <c r="NNT36" i="7"/>
  <c r="NNS36" i="7"/>
  <c r="NNR36" i="7"/>
  <c r="NNQ36" i="7"/>
  <c r="NNP36" i="7"/>
  <c r="NNO36" i="7"/>
  <c r="NNN36" i="7"/>
  <c r="NNM36" i="7"/>
  <c r="NNL36" i="7"/>
  <c r="NNK36" i="7"/>
  <c r="NNJ36" i="7"/>
  <c r="NNI36" i="7"/>
  <c r="NNH36" i="7"/>
  <c r="NNG36" i="7"/>
  <c r="NNF36" i="7"/>
  <c r="NNE36" i="7"/>
  <c r="NND36" i="7"/>
  <c r="NNC36" i="7"/>
  <c r="NNB36" i="7"/>
  <c r="NNA36" i="7"/>
  <c r="NMZ36" i="7"/>
  <c r="NMY36" i="7"/>
  <c r="NMX36" i="7"/>
  <c r="NMW36" i="7"/>
  <c r="NMV36" i="7"/>
  <c r="NMU36" i="7"/>
  <c r="NMT36" i="7"/>
  <c r="NMS36" i="7"/>
  <c r="NMR36" i="7"/>
  <c r="NMQ36" i="7"/>
  <c r="NMP36" i="7"/>
  <c r="NMO36" i="7"/>
  <c r="NMN36" i="7"/>
  <c r="NMM36" i="7"/>
  <c r="NML36" i="7"/>
  <c r="NMK36" i="7"/>
  <c r="NMJ36" i="7"/>
  <c r="NMI36" i="7"/>
  <c r="NMH36" i="7"/>
  <c r="NMG36" i="7"/>
  <c r="NMF36" i="7"/>
  <c r="NME36" i="7"/>
  <c r="NMD36" i="7"/>
  <c r="NMC36" i="7"/>
  <c r="NMB36" i="7"/>
  <c r="NMA36" i="7"/>
  <c r="NLZ36" i="7"/>
  <c r="NLY36" i="7"/>
  <c r="NLX36" i="7"/>
  <c r="NLW36" i="7"/>
  <c r="NLV36" i="7"/>
  <c r="NLU36" i="7"/>
  <c r="NLT36" i="7"/>
  <c r="NLS36" i="7"/>
  <c r="NLR36" i="7"/>
  <c r="NLQ36" i="7"/>
  <c r="NLP36" i="7"/>
  <c r="NLO36" i="7"/>
  <c r="NLN36" i="7"/>
  <c r="NLM36" i="7"/>
  <c r="NLL36" i="7"/>
  <c r="NLK36" i="7"/>
  <c r="NLJ36" i="7"/>
  <c r="NLI36" i="7"/>
  <c r="NLH36" i="7"/>
  <c r="NLG36" i="7"/>
  <c r="NLF36" i="7"/>
  <c r="NLE36" i="7"/>
  <c r="NLD36" i="7"/>
  <c r="NLC36" i="7"/>
  <c r="NLB36" i="7"/>
  <c r="NLA36" i="7"/>
  <c r="NKZ36" i="7"/>
  <c r="NKY36" i="7"/>
  <c r="NKX36" i="7"/>
  <c r="NKW36" i="7"/>
  <c r="NKV36" i="7"/>
  <c r="NKU36" i="7"/>
  <c r="NKT36" i="7"/>
  <c r="NKS36" i="7"/>
  <c r="NKR36" i="7"/>
  <c r="NKQ36" i="7"/>
  <c r="NKP36" i="7"/>
  <c r="NKO36" i="7"/>
  <c r="NKN36" i="7"/>
  <c r="NKM36" i="7"/>
  <c r="NKL36" i="7"/>
  <c r="NKK36" i="7"/>
  <c r="NKJ36" i="7"/>
  <c r="NKI36" i="7"/>
  <c r="NKH36" i="7"/>
  <c r="NKG36" i="7"/>
  <c r="NKF36" i="7"/>
  <c r="NKE36" i="7"/>
  <c r="NKD36" i="7"/>
  <c r="NKC36" i="7"/>
  <c r="NKB36" i="7"/>
  <c r="NKA36" i="7"/>
  <c r="NJZ36" i="7"/>
  <c r="NJY36" i="7"/>
  <c r="NJX36" i="7"/>
  <c r="NJW36" i="7"/>
  <c r="NJV36" i="7"/>
  <c r="NJU36" i="7"/>
  <c r="NJT36" i="7"/>
  <c r="NJS36" i="7"/>
  <c r="NJR36" i="7"/>
  <c r="NJQ36" i="7"/>
  <c r="NJP36" i="7"/>
  <c r="NJO36" i="7"/>
  <c r="NJN36" i="7"/>
  <c r="NJM36" i="7"/>
  <c r="NJL36" i="7"/>
  <c r="NJK36" i="7"/>
  <c r="NJJ36" i="7"/>
  <c r="NJI36" i="7"/>
  <c r="NJH36" i="7"/>
  <c r="NJG36" i="7"/>
  <c r="NJF36" i="7"/>
  <c r="NJE36" i="7"/>
  <c r="NJD36" i="7"/>
  <c r="NJC36" i="7"/>
  <c r="NJB36" i="7"/>
  <c r="NJA36" i="7"/>
  <c r="NIZ36" i="7"/>
  <c r="NIY36" i="7"/>
  <c r="NIX36" i="7"/>
  <c r="NIW36" i="7"/>
  <c r="NIV36" i="7"/>
  <c r="NIU36" i="7"/>
  <c r="NIT36" i="7"/>
  <c r="NIS36" i="7"/>
  <c r="NIR36" i="7"/>
  <c r="NIQ36" i="7"/>
  <c r="NIP36" i="7"/>
  <c r="NIO36" i="7"/>
  <c r="NIN36" i="7"/>
  <c r="NIM36" i="7"/>
  <c r="NIL36" i="7"/>
  <c r="NIK36" i="7"/>
  <c r="NIJ36" i="7"/>
  <c r="NII36" i="7"/>
  <c r="NIH36" i="7"/>
  <c r="NIG36" i="7"/>
  <c r="NIF36" i="7"/>
  <c r="NIE36" i="7"/>
  <c r="NID36" i="7"/>
  <c r="NIC36" i="7"/>
  <c r="NIB36" i="7"/>
  <c r="NIA36" i="7"/>
  <c r="NHZ36" i="7"/>
  <c r="NHY36" i="7"/>
  <c r="NHX36" i="7"/>
  <c r="NHW36" i="7"/>
  <c r="NHV36" i="7"/>
  <c r="NHU36" i="7"/>
  <c r="NHT36" i="7"/>
  <c r="NHS36" i="7"/>
  <c r="NHR36" i="7"/>
  <c r="NHQ36" i="7"/>
  <c r="NHP36" i="7"/>
  <c r="NHO36" i="7"/>
  <c r="NHN36" i="7"/>
  <c r="NHM36" i="7"/>
  <c r="NHL36" i="7"/>
  <c r="NHK36" i="7"/>
  <c r="NHJ36" i="7"/>
  <c r="NHI36" i="7"/>
  <c r="NHH36" i="7"/>
  <c r="NHG36" i="7"/>
  <c r="NHF36" i="7"/>
  <c r="NHE36" i="7"/>
  <c r="NHD36" i="7"/>
  <c r="NHC36" i="7"/>
  <c r="NHB36" i="7"/>
  <c r="NHA36" i="7"/>
  <c r="NGZ36" i="7"/>
  <c r="NGY36" i="7"/>
  <c r="NGX36" i="7"/>
  <c r="NGW36" i="7"/>
  <c r="NGV36" i="7"/>
  <c r="NGU36" i="7"/>
  <c r="NGT36" i="7"/>
  <c r="NGS36" i="7"/>
  <c r="NGR36" i="7"/>
  <c r="NGQ36" i="7"/>
  <c r="NGP36" i="7"/>
  <c r="NGO36" i="7"/>
  <c r="NGN36" i="7"/>
  <c r="NGM36" i="7"/>
  <c r="NGL36" i="7"/>
  <c r="NGK36" i="7"/>
  <c r="NGJ36" i="7"/>
  <c r="NGI36" i="7"/>
  <c r="NGH36" i="7"/>
  <c r="NGG36" i="7"/>
  <c r="NGF36" i="7"/>
  <c r="NGE36" i="7"/>
  <c r="NGD36" i="7"/>
  <c r="NGC36" i="7"/>
  <c r="NGB36" i="7"/>
  <c r="NGA36" i="7"/>
  <c r="NFZ36" i="7"/>
  <c r="NFY36" i="7"/>
  <c r="NFX36" i="7"/>
  <c r="NFW36" i="7"/>
  <c r="NFV36" i="7"/>
  <c r="NFU36" i="7"/>
  <c r="NFT36" i="7"/>
  <c r="NFS36" i="7"/>
  <c r="NFR36" i="7"/>
  <c r="NFQ36" i="7"/>
  <c r="NFP36" i="7"/>
  <c r="NFO36" i="7"/>
  <c r="NFN36" i="7"/>
  <c r="NFM36" i="7"/>
  <c r="NFL36" i="7"/>
  <c r="NFK36" i="7"/>
  <c r="NFJ36" i="7"/>
  <c r="NFI36" i="7"/>
  <c r="NFH36" i="7"/>
  <c r="NFG36" i="7"/>
  <c r="NFF36" i="7"/>
  <c r="NFE36" i="7"/>
  <c r="NFD36" i="7"/>
  <c r="NFC36" i="7"/>
  <c r="NFB36" i="7"/>
  <c r="NFA36" i="7"/>
  <c r="NEZ36" i="7"/>
  <c r="NEY36" i="7"/>
  <c r="NEX36" i="7"/>
  <c r="NEW36" i="7"/>
  <c r="NEV36" i="7"/>
  <c r="NEU36" i="7"/>
  <c r="NET36" i="7"/>
  <c r="NES36" i="7"/>
  <c r="NER36" i="7"/>
  <c r="NEQ36" i="7"/>
  <c r="NEP36" i="7"/>
  <c r="NEO36" i="7"/>
  <c r="NEN36" i="7"/>
  <c r="NEM36" i="7"/>
  <c r="NEL36" i="7"/>
  <c r="NEK36" i="7"/>
  <c r="NEJ36" i="7"/>
  <c r="NEI36" i="7"/>
  <c r="NEH36" i="7"/>
  <c r="NEG36" i="7"/>
  <c r="NEF36" i="7"/>
  <c r="NEE36" i="7"/>
  <c r="NED36" i="7"/>
  <c r="NEC36" i="7"/>
  <c r="NEB36" i="7"/>
  <c r="NEA36" i="7"/>
  <c r="NDZ36" i="7"/>
  <c r="NDY36" i="7"/>
  <c r="NDX36" i="7"/>
  <c r="NDW36" i="7"/>
  <c r="NDV36" i="7"/>
  <c r="NDU36" i="7"/>
  <c r="NDT36" i="7"/>
  <c r="NDS36" i="7"/>
  <c r="NDR36" i="7"/>
  <c r="NDQ36" i="7"/>
  <c r="NDP36" i="7"/>
  <c r="NDO36" i="7"/>
  <c r="NDN36" i="7"/>
  <c r="NDM36" i="7"/>
  <c r="NDL36" i="7"/>
  <c r="NDK36" i="7"/>
  <c r="NDJ36" i="7"/>
  <c r="NDI36" i="7"/>
  <c r="NDH36" i="7"/>
  <c r="NDG36" i="7"/>
  <c r="NDF36" i="7"/>
  <c r="NDE36" i="7"/>
  <c r="NDD36" i="7"/>
  <c r="NDC36" i="7"/>
  <c r="NDB36" i="7"/>
  <c r="NDA36" i="7"/>
  <c r="NCZ36" i="7"/>
  <c r="NCY36" i="7"/>
  <c r="NCX36" i="7"/>
  <c r="NCW36" i="7"/>
  <c r="NCV36" i="7"/>
  <c r="NCU36" i="7"/>
  <c r="NCT36" i="7"/>
  <c r="NCS36" i="7"/>
  <c r="NCR36" i="7"/>
  <c r="NCQ36" i="7"/>
  <c r="NCP36" i="7"/>
  <c r="NCO36" i="7"/>
  <c r="NCN36" i="7"/>
  <c r="NCM36" i="7"/>
  <c r="NCL36" i="7"/>
  <c r="NCK36" i="7"/>
  <c r="NCJ36" i="7"/>
  <c r="NCI36" i="7"/>
  <c r="NCH36" i="7"/>
  <c r="NCG36" i="7"/>
  <c r="NCF36" i="7"/>
  <c r="NCE36" i="7"/>
  <c r="NCD36" i="7"/>
  <c r="NCC36" i="7"/>
  <c r="NCB36" i="7"/>
  <c r="NCA36" i="7"/>
  <c r="NBZ36" i="7"/>
  <c r="NBY36" i="7"/>
  <c r="NBX36" i="7"/>
  <c r="NBW36" i="7"/>
  <c r="NBV36" i="7"/>
  <c r="NBU36" i="7"/>
  <c r="NBT36" i="7"/>
  <c r="NBS36" i="7"/>
  <c r="NBR36" i="7"/>
  <c r="NBQ36" i="7"/>
  <c r="NBP36" i="7"/>
  <c r="NBO36" i="7"/>
  <c r="NBN36" i="7"/>
  <c r="NBM36" i="7"/>
  <c r="NBL36" i="7"/>
  <c r="NBK36" i="7"/>
  <c r="NBJ36" i="7"/>
  <c r="NBI36" i="7"/>
  <c r="NBH36" i="7"/>
  <c r="NBG36" i="7"/>
  <c r="NBF36" i="7"/>
  <c r="NBE36" i="7"/>
  <c r="NBD36" i="7"/>
  <c r="NBC36" i="7"/>
  <c r="NBB36" i="7"/>
  <c r="NBA36" i="7"/>
  <c r="NAZ36" i="7"/>
  <c r="NAY36" i="7"/>
  <c r="NAX36" i="7"/>
  <c r="NAW36" i="7"/>
  <c r="NAV36" i="7"/>
  <c r="NAU36" i="7"/>
  <c r="NAT36" i="7"/>
  <c r="NAS36" i="7"/>
  <c r="NAR36" i="7"/>
  <c r="NAQ36" i="7"/>
  <c r="NAP36" i="7"/>
  <c r="NAO36" i="7"/>
  <c r="NAN36" i="7"/>
  <c r="NAM36" i="7"/>
  <c r="NAL36" i="7"/>
  <c r="NAK36" i="7"/>
  <c r="NAJ36" i="7"/>
  <c r="NAI36" i="7"/>
  <c r="NAH36" i="7"/>
  <c r="NAG36" i="7"/>
  <c r="NAF36" i="7"/>
  <c r="NAE36" i="7"/>
  <c r="NAD36" i="7"/>
  <c r="NAC36" i="7"/>
  <c r="NAB36" i="7"/>
  <c r="NAA36" i="7"/>
  <c r="MZZ36" i="7"/>
  <c r="MZY36" i="7"/>
  <c r="MZX36" i="7"/>
  <c r="MZW36" i="7"/>
  <c r="MZV36" i="7"/>
  <c r="MZU36" i="7"/>
  <c r="MZT36" i="7"/>
  <c r="MZS36" i="7"/>
  <c r="MZR36" i="7"/>
  <c r="MZQ36" i="7"/>
  <c r="MZP36" i="7"/>
  <c r="MZO36" i="7"/>
  <c r="MZN36" i="7"/>
  <c r="MZM36" i="7"/>
  <c r="MZL36" i="7"/>
  <c r="MZK36" i="7"/>
  <c r="MZJ36" i="7"/>
  <c r="MZI36" i="7"/>
  <c r="MZH36" i="7"/>
  <c r="MZG36" i="7"/>
  <c r="MZF36" i="7"/>
  <c r="MZE36" i="7"/>
  <c r="MZD36" i="7"/>
  <c r="MZC36" i="7"/>
  <c r="MZB36" i="7"/>
  <c r="MZA36" i="7"/>
  <c r="MYZ36" i="7"/>
  <c r="MYY36" i="7"/>
  <c r="MYX36" i="7"/>
  <c r="MYW36" i="7"/>
  <c r="MYV36" i="7"/>
  <c r="MYU36" i="7"/>
  <c r="MYT36" i="7"/>
  <c r="MYS36" i="7"/>
  <c r="MYR36" i="7"/>
  <c r="MYQ36" i="7"/>
  <c r="MYP36" i="7"/>
  <c r="MYO36" i="7"/>
  <c r="MYN36" i="7"/>
  <c r="MYM36" i="7"/>
  <c r="MYL36" i="7"/>
  <c r="MYK36" i="7"/>
  <c r="MYJ36" i="7"/>
  <c r="MYI36" i="7"/>
  <c r="MYH36" i="7"/>
  <c r="MYG36" i="7"/>
  <c r="MYF36" i="7"/>
  <c r="MYE36" i="7"/>
  <c r="MYD36" i="7"/>
  <c r="MYC36" i="7"/>
  <c r="MYB36" i="7"/>
  <c r="MYA36" i="7"/>
  <c r="MXZ36" i="7"/>
  <c r="MXY36" i="7"/>
  <c r="MXX36" i="7"/>
  <c r="MXW36" i="7"/>
  <c r="MXV36" i="7"/>
  <c r="MXU36" i="7"/>
  <c r="MXT36" i="7"/>
  <c r="MXS36" i="7"/>
  <c r="MXR36" i="7"/>
  <c r="MXQ36" i="7"/>
  <c r="MXP36" i="7"/>
  <c r="MXO36" i="7"/>
  <c r="MXN36" i="7"/>
  <c r="MXM36" i="7"/>
  <c r="MXL36" i="7"/>
  <c r="MXK36" i="7"/>
  <c r="MXJ36" i="7"/>
  <c r="MXI36" i="7"/>
  <c r="MXH36" i="7"/>
  <c r="MXG36" i="7"/>
  <c r="MXF36" i="7"/>
  <c r="MXE36" i="7"/>
  <c r="MXD36" i="7"/>
  <c r="MXC36" i="7"/>
  <c r="MXB36" i="7"/>
  <c r="MXA36" i="7"/>
  <c r="MWZ36" i="7"/>
  <c r="MWY36" i="7"/>
  <c r="MWX36" i="7"/>
  <c r="MWW36" i="7"/>
  <c r="MWV36" i="7"/>
  <c r="MWU36" i="7"/>
  <c r="MWT36" i="7"/>
  <c r="MWS36" i="7"/>
  <c r="MWR36" i="7"/>
  <c r="MWQ36" i="7"/>
  <c r="MWP36" i="7"/>
  <c r="MWO36" i="7"/>
  <c r="MWN36" i="7"/>
  <c r="MWM36" i="7"/>
  <c r="MWL36" i="7"/>
  <c r="MWK36" i="7"/>
  <c r="MWJ36" i="7"/>
  <c r="MWI36" i="7"/>
  <c r="MWH36" i="7"/>
  <c r="MWG36" i="7"/>
  <c r="MWF36" i="7"/>
  <c r="MWE36" i="7"/>
  <c r="MWD36" i="7"/>
  <c r="MWC36" i="7"/>
  <c r="MWB36" i="7"/>
  <c r="MWA36" i="7"/>
  <c r="MVZ36" i="7"/>
  <c r="MVY36" i="7"/>
  <c r="MVX36" i="7"/>
  <c r="MVW36" i="7"/>
  <c r="MVV36" i="7"/>
  <c r="MVU36" i="7"/>
  <c r="MVT36" i="7"/>
  <c r="MVS36" i="7"/>
  <c r="MVR36" i="7"/>
  <c r="MVQ36" i="7"/>
  <c r="MVP36" i="7"/>
  <c r="MVO36" i="7"/>
  <c r="MVN36" i="7"/>
  <c r="MVM36" i="7"/>
  <c r="MVL36" i="7"/>
  <c r="MVK36" i="7"/>
  <c r="MVJ36" i="7"/>
  <c r="MVI36" i="7"/>
  <c r="MVH36" i="7"/>
  <c r="MVG36" i="7"/>
  <c r="MVF36" i="7"/>
  <c r="MVE36" i="7"/>
  <c r="MVD36" i="7"/>
  <c r="MVC36" i="7"/>
  <c r="MVB36" i="7"/>
  <c r="MVA36" i="7"/>
  <c r="MUZ36" i="7"/>
  <c r="MUY36" i="7"/>
  <c r="MUX36" i="7"/>
  <c r="MUW36" i="7"/>
  <c r="MUV36" i="7"/>
  <c r="MUU36" i="7"/>
  <c r="MUT36" i="7"/>
  <c r="MUS36" i="7"/>
  <c r="MUR36" i="7"/>
  <c r="MUQ36" i="7"/>
  <c r="MUP36" i="7"/>
  <c r="MUO36" i="7"/>
  <c r="MUN36" i="7"/>
  <c r="MUM36" i="7"/>
  <c r="MUL36" i="7"/>
  <c r="MUK36" i="7"/>
  <c r="MUJ36" i="7"/>
  <c r="MUI36" i="7"/>
  <c r="MUH36" i="7"/>
  <c r="MUG36" i="7"/>
  <c r="MUF36" i="7"/>
  <c r="MUE36" i="7"/>
  <c r="MUD36" i="7"/>
  <c r="MUC36" i="7"/>
  <c r="MUB36" i="7"/>
  <c r="MUA36" i="7"/>
  <c r="MTZ36" i="7"/>
  <c r="MTY36" i="7"/>
  <c r="MTX36" i="7"/>
  <c r="MTW36" i="7"/>
  <c r="MTV36" i="7"/>
  <c r="MTU36" i="7"/>
  <c r="MTT36" i="7"/>
  <c r="MTS36" i="7"/>
  <c r="MTR36" i="7"/>
  <c r="MTQ36" i="7"/>
  <c r="MTP36" i="7"/>
  <c r="MTO36" i="7"/>
  <c r="MTN36" i="7"/>
  <c r="MTM36" i="7"/>
  <c r="MTL36" i="7"/>
  <c r="MTK36" i="7"/>
  <c r="MTJ36" i="7"/>
  <c r="MTI36" i="7"/>
  <c r="MTH36" i="7"/>
  <c r="MTG36" i="7"/>
  <c r="MTF36" i="7"/>
  <c r="MTE36" i="7"/>
  <c r="MTD36" i="7"/>
  <c r="MTC36" i="7"/>
  <c r="MTB36" i="7"/>
  <c r="MTA36" i="7"/>
  <c r="MSZ36" i="7"/>
  <c r="MSY36" i="7"/>
  <c r="MSX36" i="7"/>
  <c r="MSW36" i="7"/>
  <c r="MSV36" i="7"/>
  <c r="MSU36" i="7"/>
  <c r="MST36" i="7"/>
  <c r="MSS36" i="7"/>
  <c r="MSR36" i="7"/>
  <c r="MSQ36" i="7"/>
  <c r="MSP36" i="7"/>
  <c r="MSO36" i="7"/>
  <c r="MSN36" i="7"/>
  <c r="MSM36" i="7"/>
  <c r="MSL36" i="7"/>
  <c r="MSK36" i="7"/>
  <c r="MSJ36" i="7"/>
  <c r="MSI36" i="7"/>
  <c r="MSH36" i="7"/>
  <c r="MSG36" i="7"/>
  <c r="MSF36" i="7"/>
  <c r="MSE36" i="7"/>
  <c r="MSD36" i="7"/>
  <c r="MSC36" i="7"/>
  <c r="MSB36" i="7"/>
  <c r="MSA36" i="7"/>
  <c r="MRZ36" i="7"/>
  <c r="MRY36" i="7"/>
  <c r="MRX36" i="7"/>
  <c r="MRW36" i="7"/>
  <c r="MRV36" i="7"/>
  <c r="MRU36" i="7"/>
  <c r="MRT36" i="7"/>
  <c r="MRS36" i="7"/>
  <c r="MRR36" i="7"/>
  <c r="MRQ36" i="7"/>
  <c r="MRP36" i="7"/>
  <c r="MRO36" i="7"/>
  <c r="MRN36" i="7"/>
  <c r="MRM36" i="7"/>
  <c r="MRL36" i="7"/>
  <c r="MRK36" i="7"/>
  <c r="MRJ36" i="7"/>
  <c r="MRI36" i="7"/>
  <c r="MRH36" i="7"/>
  <c r="MRG36" i="7"/>
  <c r="MRF36" i="7"/>
  <c r="MRE36" i="7"/>
  <c r="MRD36" i="7"/>
  <c r="MRC36" i="7"/>
  <c r="MRB36" i="7"/>
  <c r="MRA36" i="7"/>
  <c r="MQZ36" i="7"/>
  <c r="MQY36" i="7"/>
  <c r="MQX36" i="7"/>
  <c r="MQW36" i="7"/>
  <c r="MQV36" i="7"/>
  <c r="MQU36" i="7"/>
  <c r="MQT36" i="7"/>
  <c r="MQS36" i="7"/>
  <c r="MQR36" i="7"/>
  <c r="MQQ36" i="7"/>
  <c r="MQP36" i="7"/>
  <c r="MQO36" i="7"/>
  <c r="MQN36" i="7"/>
  <c r="MQM36" i="7"/>
  <c r="MQL36" i="7"/>
  <c r="MQK36" i="7"/>
  <c r="MQJ36" i="7"/>
  <c r="MQI36" i="7"/>
  <c r="MQH36" i="7"/>
  <c r="MQG36" i="7"/>
  <c r="MQF36" i="7"/>
  <c r="MQE36" i="7"/>
  <c r="MQD36" i="7"/>
  <c r="MQC36" i="7"/>
  <c r="MQB36" i="7"/>
  <c r="MQA36" i="7"/>
  <c r="MPZ36" i="7"/>
  <c r="MPY36" i="7"/>
  <c r="MPX36" i="7"/>
  <c r="MPW36" i="7"/>
  <c r="MPV36" i="7"/>
  <c r="MPU36" i="7"/>
  <c r="MPT36" i="7"/>
  <c r="MPS36" i="7"/>
  <c r="MPR36" i="7"/>
  <c r="MPQ36" i="7"/>
  <c r="MPP36" i="7"/>
  <c r="MPO36" i="7"/>
  <c r="MPN36" i="7"/>
  <c r="MPM36" i="7"/>
  <c r="MPL36" i="7"/>
  <c r="MPK36" i="7"/>
  <c r="MPJ36" i="7"/>
  <c r="MPI36" i="7"/>
  <c r="MPH36" i="7"/>
  <c r="MPG36" i="7"/>
  <c r="MPF36" i="7"/>
  <c r="MPE36" i="7"/>
  <c r="MPD36" i="7"/>
  <c r="MPC36" i="7"/>
  <c r="MPB36" i="7"/>
  <c r="MPA36" i="7"/>
  <c r="MOZ36" i="7"/>
  <c r="MOY36" i="7"/>
  <c r="MOX36" i="7"/>
  <c r="MOW36" i="7"/>
  <c r="MOV36" i="7"/>
  <c r="MOU36" i="7"/>
  <c r="MOT36" i="7"/>
  <c r="MOS36" i="7"/>
  <c r="MOR36" i="7"/>
  <c r="MOQ36" i="7"/>
  <c r="MOP36" i="7"/>
  <c r="MOO36" i="7"/>
  <c r="MON36" i="7"/>
  <c r="MOM36" i="7"/>
  <c r="MOL36" i="7"/>
  <c r="MOK36" i="7"/>
  <c r="MOJ36" i="7"/>
  <c r="MOI36" i="7"/>
  <c r="MOH36" i="7"/>
  <c r="MOG36" i="7"/>
  <c r="MOF36" i="7"/>
  <c r="MOE36" i="7"/>
  <c r="MOD36" i="7"/>
  <c r="MOC36" i="7"/>
  <c r="MOB36" i="7"/>
  <c r="MOA36" i="7"/>
  <c r="MNZ36" i="7"/>
  <c r="MNY36" i="7"/>
  <c r="MNX36" i="7"/>
  <c r="MNW36" i="7"/>
  <c r="MNV36" i="7"/>
  <c r="MNU36" i="7"/>
  <c r="MNT36" i="7"/>
  <c r="MNS36" i="7"/>
  <c r="MNR36" i="7"/>
  <c r="MNQ36" i="7"/>
  <c r="MNP36" i="7"/>
  <c r="MNO36" i="7"/>
  <c r="MNN36" i="7"/>
  <c r="MNM36" i="7"/>
  <c r="MNL36" i="7"/>
  <c r="MNK36" i="7"/>
  <c r="MNJ36" i="7"/>
  <c r="MNI36" i="7"/>
  <c r="MNH36" i="7"/>
  <c r="MNG36" i="7"/>
  <c r="MNF36" i="7"/>
  <c r="MNE36" i="7"/>
  <c r="MND36" i="7"/>
  <c r="MNC36" i="7"/>
  <c r="MNB36" i="7"/>
  <c r="MNA36" i="7"/>
  <c r="MMZ36" i="7"/>
  <c r="MMY36" i="7"/>
  <c r="MMX36" i="7"/>
  <c r="MMW36" i="7"/>
  <c r="MMV36" i="7"/>
  <c r="MMU36" i="7"/>
  <c r="MMT36" i="7"/>
  <c r="MMS36" i="7"/>
  <c r="MMR36" i="7"/>
  <c r="MMQ36" i="7"/>
  <c r="MMP36" i="7"/>
  <c r="MMO36" i="7"/>
  <c r="MMN36" i="7"/>
  <c r="MMM36" i="7"/>
  <c r="MML36" i="7"/>
  <c r="MMK36" i="7"/>
  <c r="MMJ36" i="7"/>
  <c r="MMI36" i="7"/>
  <c r="MMH36" i="7"/>
  <c r="MMG36" i="7"/>
  <c r="MMF36" i="7"/>
  <c r="MME36" i="7"/>
  <c r="MMD36" i="7"/>
  <c r="MMC36" i="7"/>
  <c r="MMB36" i="7"/>
  <c r="MMA36" i="7"/>
  <c r="MLZ36" i="7"/>
  <c r="MLY36" i="7"/>
  <c r="MLX36" i="7"/>
  <c r="MLW36" i="7"/>
  <c r="MLV36" i="7"/>
  <c r="MLU36" i="7"/>
  <c r="MLT36" i="7"/>
  <c r="MLS36" i="7"/>
  <c r="MLR36" i="7"/>
  <c r="MLQ36" i="7"/>
  <c r="MLP36" i="7"/>
  <c r="MLO36" i="7"/>
  <c r="MLN36" i="7"/>
  <c r="MLM36" i="7"/>
  <c r="MLL36" i="7"/>
  <c r="MLK36" i="7"/>
  <c r="MLJ36" i="7"/>
  <c r="MLI36" i="7"/>
  <c r="MLH36" i="7"/>
  <c r="MLG36" i="7"/>
  <c r="MLF36" i="7"/>
  <c r="MLE36" i="7"/>
  <c r="MLD36" i="7"/>
  <c r="MLC36" i="7"/>
  <c r="MLB36" i="7"/>
  <c r="MLA36" i="7"/>
  <c r="MKZ36" i="7"/>
  <c r="MKY36" i="7"/>
  <c r="MKX36" i="7"/>
  <c r="MKW36" i="7"/>
  <c r="MKV36" i="7"/>
  <c r="MKU36" i="7"/>
  <c r="MKT36" i="7"/>
  <c r="MKS36" i="7"/>
  <c r="MKR36" i="7"/>
  <c r="MKQ36" i="7"/>
  <c r="MKP36" i="7"/>
  <c r="MKO36" i="7"/>
  <c r="MKN36" i="7"/>
  <c r="MKM36" i="7"/>
  <c r="MKL36" i="7"/>
  <c r="MKK36" i="7"/>
  <c r="MKJ36" i="7"/>
  <c r="MKI36" i="7"/>
  <c r="MKH36" i="7"/>
  <c r="MKG36" i="7"/>
  <c r="MKF36" i="7"/>
  <c r="MKE36" i="7"/>
  <c r="MKD36" i="7"/>
  <c r="MKC36" i="7"/>
  <c r="MKB36" i="7"/>
  <c r="MKA36" i="7"/>
  <c r="MJZ36" i="7"/>
  <c r="MJY36" i="7"/>
  <c r="MJX36" i="7"/>
  <c r="MJW36" i="7"/>
  <c r="MJV36" i="7"/>
  <c r="MJU36" i="7"/>
  <c r="MJT36" i="7"/>
  <c r="MJS36" i="7"/>
  <c r="MJR36" i="7"/>
  <c r="MJQ36" i="7"/>
  <c r="MJP36" i="7"/>
  <c r="MJO36" i="7"/>
  <c r="MJN36" i="7"/>
  <c r="MJM36" i="7"/>
  <c r="MJL36" i="7"/>
  <c r="MJK36" i="7"/>
  <c r="MJJ36" i="7"/>
  <c r="MJI36" i="7"/>
  <c r="MJH36" i="7"/>
  <c r="MJG36" i="7"/>
  <c r="MJF36" i="7"/>
  <c r="MJE36" i="7"/>
  <c r="MJD36" i="7"/>
  <c r="MJC36" i="7"/>
  <c r="MJB36" i="7"/>
  <c r="MJA36" i="7"/>
  <c r="MIZ36" i="7"/>
  <c r="MIY36" i="7"/>
  <c r="MIX36" i="7"/>
  <c r="MIW36" i="7"/>
  <c r="MIV36" i="7"/>
  <c r="MIU36" i="7"/>
  <c r="MIT36" i="7"/>
  <c r="MIS36" i="7"/>
  <c r="MIR36" i="7"/>
  <c r="MIQ36" i="7"/>
  <c r="MIP36" i="7"/>
  <c r="MIO36" i="7"/>
  <c r="MIN36" i="7"/>
  <c r="MIM36" i="7"/>
  <c r="MIL36" i="7"/>
  <c r="MIK36" i="7"/>
  <c r="MIJ36" i="7"/>
  <c r="MII36" i="7"/>
  <c r="MIH36" i="7"/>
  <c r="MIG36" i="7"/>
  <c r="MIF36" i="7"/>
  <c r="MIE36" i="7"/>
  <c r="MID36" i="7"/>
  <c r="MIC36" i="7"/>
  <c r="MIB36" i="7"/>
  <c r="MIA36" i="7"/>
  <c r="MHZ36" i="7"/>
  <c r="MHY36" i="7"/>
  <c r="MHX36" i="7"/>
  <c r="MHW36" i="7"/>
  <c r="MHV36" i="7"/>
  <c r="MHU36" i="7"/>
  <c r="MHT36" i="7"/>
  <c r="MHS36" i="7"/>
  <c r="MHR36" i="7"/>
  <c r="MHQ36" i="7"/>
  <c r="MHP36" i="7"/>
  <c r="MHO36" i="7"/>
  <c r="MHN36" i="7"/>
  <c r="MHM36" i="7"/>
  <c r="MHL36" i="7"/>
  <c r="MHK36" i="7"/>
  <c r="MHJ36" i="7"/>
  <c r="MHI36" i="7"/>
  <c r="MHH36" i="7"/>
  <c r="MHG36" i="7"/>
  <c r="MHF36" i="7"/>
  <c r="MHE36" i="7"/>
  <c r="MHD36" i="7"/>
  <c r="MHC36" i="7"/>
  <c r="MHB36" i="7"/>
  <c r="MHA36" i="7"/>
  <c r="MGZ36" i="7"/>
  <c r="MGY36" i="7"/>
  <c r="MGX36" i="7"/>
  <c r="MGW36" i="7"/>
  <c r="MGV36" i="7"/>
  <c r="MGU36" i="7"/>
  <c r="MGT36" i="7"/>
  <c r="MGS36" i="7"/>
  <c r="MGR36" i="7"/>
  <c r="MGQ36" i="7"/>
  <c r="MGP36" i="7"/>
  <c r="MGO36" i="7"/>
  <c r="MGN36" i="7"/>
  <c r="MGM36" i="7"/>
  <c r="MGL36" i="7"/>
  <c r="MGK36" i="7"/>
  <c r="MGJ36" i="7"/>
  <c r="MGI36" i="7"/>
  <c r="MGH36" i="7"/>
  <c r="MGG36" i="7"/>
  <c r="MGF36" i="7"/>
  <c r="MGE36" i="7"/>
  <c r="MGD36" i="7"/>
  <c r="MGC36" i="7"/>
  <c r="MGB36" i="7"/>
  <c r="MGA36" i="7"/>
  <c r="MFZ36" i="7"/>
  <c r="MFY36" i="7"/>
  <c r="MFX36" i="7"/>
  <c r="MFW36" i="7"/>
  <c r="MFV36" i="7"/>
  <c r="MFU36" i="7"/>
  <c r="MFT36" i="7"/>
  <c r="MFS36" i="7"/>
  <c r="MFR36" i="7"/>
  <c r="MFQ36" i="7"/>
  <c r="MFP36" i="7"/>
  <c r="MFO36" i="7"/>
  <c r="MFN36" i="7"/>
  <c r="MFM36" i="7"/>
  <c r="MFL36" i="7"/>
  <c r="MFK36" i="7"/>
  <c r="MFJ36" i="7"/>
  <c r="MFI36" i="7"/>
  <c r="MFH36" i="7"/>
  <c r="MFG36" i="7"/>
  <c r="MFF36" i="7"/>
  <c r="MFE36" i="7"/>
  <c r="MFD36" i="7"/>
  <c r="MFC36" i="7"/>
  <c r="MFB36" i="7"/>
  <c r="MFA36" i="7"/>
  <c r="MEZ36" i="7"/>
  <c r="MEY36" i="7"/>
  <c r="MEX36" i="7"/>
  <c r="MEW36" i="7"/>
  <c r="MEV36" i="7"/>
  <c r="MEU36" i="7"/>
  <c r="MET36" i="7"/>
  <c r="MES36" i="7"/>
  <c r="MER36" i="7"/>
  <c r="MEQ36" i="7"/>
  <c r="MEP36" i="7"/>
  <c r="MEO36" i="7"/>
  <c r="MEN36" i="7"/>
  <c r="MEM36" i="7"/>
  <c r="MEL36" i="7"/>
  <c r="MEK36" i="7"/>
  <c r="MEJ36" i="7"/>
  <c r="MEI36" i="7"/>
  <c r="MEH36" i="7"/>
  <c r="MEG36" i="7"/>
  <c r="MEF36" i="7"/>
  <c r="MEE36" i="7"/>
  <c r="MED36" i="7"/>
  <c r="MEC36" i="7"/>
  <c r="MEB36" i="7"/>
  <c r="MEA36" i="7"/>
  <c r="MDZ36" i="7"/>
  <c r="MDY36" i="7"/>
  <c r="MDX36" i="7"/>
  <c r="MDW36" i="7"/>
  <c r="MDV36" i="7"/>
  <c r="MDU36" i="7"/>
  <c r="MDT36" i="7"/>
  <c r="MDS36" i="7"/>
  <c r="MDR36" i="7"/>
  <c r="MDQ36" i="7"/>
  <c r="MDP36" i="7"/>
  <c r="MDO36" i="7"/>
  <c r="MDN36" i="7"/>
  <c r="MDM36" i="7"/>
  <c r="MDL36" i="7"/>
  <c r="MDK36" i="7"/>
  <c r="MDJ36" i="7"/>
  <c r="MDI36" i="7"/>
  <c r="MDH36" i="7"/>
  <c r="MDG36" i="7"/>
  <c r="MDF36" i="7"/>
  <c r="MDE36" i="7"/>
  <c r="MDD36" i="7"/>
  <c r="MDC36" i="7"/>
  <c r="MDB36" i="7"/>
  <c r="MDA36" i="7"/>
  <c r="MCZ36" i="7"/>
  <c r="MCY36" i="7"/>
  <c r="MCX36" i="7"/>
  <c r="MCW36" i="7"/>
  <c r="MCV36" i="7"/>
  <c r="MCU36" i="7"/>
  <c r="MCT36" i="7"/>
  <c r="MCS36" i="7"/>
  <c r="MCR36" i="7"/>
  <c r="MCQ36" i="7"/>
  <c r="MCP36" i="7"/>
  <c r="MCO36" i="7"/>
  <c r="MCN36" i="7"/>
  <c r="MCM36" i="7"/>
  <c r="MCL36" i="7"/>
  <c r="MCK36" i="7"/>
  <c r="MCJ36" i="7"/>
  <c r="MCI36" i="7"/>
  <c r="MCH36" i="7"/>
  <c r="MCG36" i="7"/>
  <c r="MCF36" i="7"/>
  <c r="MCE36" i="7"/>
  <c r="MCD36" i="7"/>
  <c r="MCC36" i="7"/>
  <c r="MCB36" i="7"/>
  <c r="MCA36" i="7"/>
  <c r="MBZ36" i="7"/>
  <c r="MBY36" i="7"/>
  <c r="MBX36" i="7"/>
  <c r="MBW36" i="7"/>
  <c r="MBV36" i="7"/>
  <c r="MBU36" i="7"/>
  <c r="MBT36" i="7"/>
  <c r="MBS36" i="7"/>
  <c r="MBR36" i="7"/>
  <c r="MBQ36" i="7"/>
  <c r="MBP36" i="7"/>
  <c r="MBO36" i="7"/>
  <c r="MBN36" i="7"/>
  <c r="MBM36" i="7"/>
  <c r="MBL36" i="7"/>
  <c r="MBK36" i="7"/>
  <c r="MBJ36" i="7"/>
  <c r="MBI36" i="7"/>
  <c r="MBH36" i="7"/>
  <c r="MBG36" i="7"/>
  <c r="MBF36" i="7"/>
  <c r="MBE36" i="7"/>
  <c r="MBD36" i="7"/>
  <c r="MBC36" i="7"/>
  <c r="MBB36" i="7"/>
  <c r="MBA36" i="7"/>
  <c r="MAZ36" i="7"/>
  <c r="MAY36" i="7"/>
  <c r="MAX36" i="7"/>
  <c r="MAW36" i="7"/>
  <c r="MAV36" i="7"/>
  <c r="MAU36" i="7"/>
  <c r="MAT36" i="7"/>
  <c r="MAS36" i="7"/>
  <c r="MAR36" i="7"/>
  <c r="MAQ36" i="7"/>
  <c r="MAP36" i="7"/>
  <c r="MAO36" i="7"/>
  <c r="MAN36" i="7"/>
  <c r="MAM36" i="7"/>
  <c r="MAL36" i="7"/>
  <c r="MAK36" i="7"/>
  <c r="MAJ36" i="7"/>
  <c r="MAI36" i="7"/>
  <c r="MAH36" i="7"/>
  <c r="MAG36" i="7"/>
  <c r="MAF36" i="7"/>
  <c r="MAE36" i="7"/>
  <c r="MAD36" i="7"/>
  <c r="MAC36" i="7"/>
  <c r="MAB36" i="7"/>
  <c r="MAA36" i="7"/>
  <c r="LZZ36" i="7"/>
  <c r="LZY36" i="7"/>
  <c r="LZX36" i="7"/>
  <c r="LZW36" i="7"/>
  <c r="LZV36" i="7"/>
  <c r="LZU36" i="7"/>
  <c r="LZT36" i="7"/>
  <c r="LZS36" i="7"/>
  <c r="LZR36" i="7"/>
  <c r="LZQ36" i="7"/>
  <c r="LZP36" i="7"/>
  <c r="LZO36" i="7"/>
  <c r="LZN36" i="7"/>
  <c r="LZM36" i="7"/>
  <c r="LZL36" i="7"/>
  <c r="LZK36" i="7"/>
  <c r="LZJ36" i="7"/>
  <c r="LZI36" i="7"/>
  <c r="LZH36" i="7"/>
  <c r="LZG36" i="7"/>
  <c r="LZF36" i="7"/>
  <c r="LZE36" i="7"/>
  <c r="LZD36" i="7"/>
  <c r="LZC36" i="7"/>
  <c r="LZB36" i="7"/>
  <c r="LZA36" i="7"/>
  <c r="LYZ36" i="7"/>
  <c r="LYY36" i="7"/>
  <c r="LYX36" i="7"/>
  <c r="LYW36" i="7"/>
  <c r="LYV36" i="7"/>
  <c r="LYU36" i="7"/>
  <c r="LYT36" i="7"/>
  <c r="LYS36" i="7"/>
  <c r="LYR36" i="7"/>
  <c r="LYQ36" i="7"/>
  <c r="LYP36" i="7"/>
  <c r="LYO36" i="7"/>
  <c r="LYN36" i="7"/>
  <c r="LYM36" i="7"/>
  <c r="LYL36" i="7"/>
  <c r="LYK36" i="7"/>
  <c r="LYJ36" i="7"/>
  <c r="LYI36" i="7"/>
  <c r="LYH36" i="7"/>
  <c r="LYG36" i="7"/>
  <c r="LYF36" i="7"/>
  <c r="LYE36" i="7"/>
  <c r="LYD36" i="7"/>
  <c r="LYC36" i="7"/>
  <c r="LYB36" i="7"/>
  <c r="LYA36" i="7"/>
  <c r="LXZ36" i="7"/>
  <c r="LXY36" i="7"/>
  <c r="LXX36" i="7"/>
  <c r="LXW36" i="7"/>
  <c r="LXV36" i="7"/>
  <c r="LXU36" i="7"/>
  <c r="LXT36" i="7"/>
  <c r="LXS36" i="7"/>
  <c r="LXR36" i="7"/>
  <c r="LXQ36" i="7"/>
  <c r="LXP36" i="7"/>
  <c r="LXO36" i="7"/>
  <c r="LXN36" i="7"/>
  <c r="LXM36" i="7"/>
  <c r="LXL36" i="7"/>
  <c r="LXK36" i="7"/>
  <c r="LXJ36" i="7"/>
  <c r="LXI36" i="7"/>
  <c r="LXH36" i="7"/>
  <c r="LXG36" i="7"/>
  <c r="LXF36" i="7"/>
  <c r="LXE36" i="7"/>
  <c r="LXD36" i="7"/>
  <c r="LXC36" i="7"/>
  <c r="LXB36" i="7"/>
  <c r="LXA36" i="7"/>
  <c r="LWZ36" i="7"/>
  <c r="LWY36" i="7"/>
  <c r="LWX36" i="7"/>
  <c r="LWW36" i="7"/>
  <c r="LWV36" i="7"/>
  <c r="LWU36" i="7"/>
  <c r="LWT36" i="7"/>
  <c r="LWS36" i="7"/>
  <c r="LWR36" i="7"/>
  <c r="LWQ36" i="7"/>
  <c r="LWP36" i="7"/>
  <c r="LWO36" i="7"/>
  <c r="LWN36" i="7"/>
  <c r="LWM36" i="7"/>
  <c r="LWL36" i="7"/>
  <c r="LWK36" i="7"/>
  <c r="LWJ36" i="7"/>
  <c r="LWI36" i="7"/>
  <c r="LWH36" i="7"/>
  <c r="LWG36" i="7"/>
  <c r="LWF36" i="7"/>
  <c r="LWE36" i="7"/>
  <c r="LWD36" i="7"/>
  <c r="LWC36" i="7"/>
  <c r="LWB36" i="7"/>
  <c r="LWA36" i="7"/>
  <c r="LVZ36" i="7"/>
  <c r="LVY36" i="7"/>
  <c r="LVX36" i="7"/>
  <c r="LVW36" i="7"/>
  <c r="LVV36" i="7"/>
  <c r="LVU36" i="7"/>
  <c r="LVT36" i="7"/>
  <c r="LVS36" i="7"/>
  <c r="LVR36" i="7"/>
  <c r="LVQ36" i="7"/>
  <c r="LVP36" i="7"/>
  <c r="LVO36" i="7"/>
  <c r="LVN36" i="7"/>
  <c r="LVM36" i="7"/>
  <c r="LVL36" i="7"/>
  <c r="LVK36" i="7"/>
  <c r="LVJ36" i="7"/>
  <c r="LVI36" i="7"/>
  <c r="LVH36" i="7"/>
  <c r="LVG36" i="7"/>
  <c r="LVF36" i="7"/>
  <c r="LVE36" i="7"/>
  <c r="LVD36" i="7"/>
  <c r="LVC36" i="7"/>
  <c r="LVB36" i="7"/>
  <c r="LVA36" i="7"/>
  <c r="LUZ36" i="7"/>
  <c r="LUY36" i="7"/>
  <c r="LUX36" i="7"/>
  <c r="LUW36" i="7"/>
  <c r="LUV36" i="7"/>
  <c r="LUU36" i="7"/>
  <c r="LUT36" i="7"/>
  <c r="LUS36" i="7"/>
  <c r="LUR36" i="7"/>
  <c r="LUQ36" i="7"/>
  <c r="LUP36" i="7"/>
  <c r="LUO36" i="7"/>
  <c r="LUN36" i="7"/>
  <c r="LUM36" i="7"/>
  <c r="LUL36" i="7"/>
  <c r="LUK36" i="7"/>
  <c r="LUJ36" i="7"/>
  <c r="LUI36" i="7"/>
  <c r="LUH36" i="7"/>
  <c r="LUG36" i="7"/>
  <c r="LUF36" i="7"/>
  <c r="LUE36" i="7"/>
  <c r="LUD36" i="7"/>
  <c r="LUC36" i="7"/>
  <c r="LUB36" i="7"/>
  <c r="LUA36" i="7"/>
  <c r="LTZ36" i="7"/>
  <c r="LTY36" i="7"/>
  <c r="LTX36" i="7"/>
  <c r="LTW36" i="7"/>
  <c r="LTV36" i="7"/>
  <c r="LTU36" i="7"/>
  <c r="LTT36" i="7"/>
  <c r="LTS36" i="7"/>
  <c r="LTR36" i="7"/>
  <c r="LTQ36" i="7"/>
  <c r="LTP36" i="7"/>
  <c r="LTO36" i="7"/>
  <c r="LTN36" i="7"/>
  <c r="LTM36" i="7"/>
  <c r="LTL36" i="7"/>
  <c r="LTK36" i="7"/>
  <c r="LTJ36" i="7"/>
  <c r="LTI36" i="7"/>
  <c r="LTH36" i="7"/>
  <c r="LTG36" i="7"/>
  <c r="LTF36" i="7"/>
  <c r="LTE36" i="7"/>
  <c r="LTD36" i="7"/>
  <c r="LTC36" i="7"/>
  <c r="LTB36" i="7"/>
  <c r="LTA36" i="7"/>
  <c r="LSZ36" i="7"/>
  <c r="LSY36" i="7"/>
  <c r="LSX36" i="7"/>
  <c r="LSW36" i="7"/>
  <c r="LSV36" i="7"/>
  <c r="LSU36" i="7"/>
  <c r="LST36" i="7"/>
  <c r="LSS36" i="7"/>
  <c r="LSR36" i="7"/>
  <c r="LSQ36" i="7"/>
  <c r="LSP36" i="7"/>
  <c r="LSO36" i="7"/>
  <c r="LSN36" i="7"/>
  <c r="LSM36" i="7"/>
  <c r="LSL36" i="7"/>
  <c r="LSK36" i="7"/>
  <c r="LSJ36" i="7"/>
  <c r="LSI36" i="7"/>
  <c r="LSH36" i="7"/>
  <c r="LSG36" i="7"/>
  <c r="LSF36" i="7"/>
  <c r="LSE36" i="7"/>
  <c r="LSD36" i="7"/>
  <c r="LSC36" i="7"/>
  <c r="LSB36" i="7"/>
  <c r="LSA36" i="7"/>
  <c r="LRZ36" i="7"/>
  <c r="LRY36" i="7"/>
  <c r="LRX36" i="7"/>
  <c r="LRW36" i="7"/>
  <c r="LRV36" i="7"/>
  <c r="LRU36" i="7"/>
  <c r="LRT36" i="7"/>
  <c r="LRS36" i="7"/>
  <c r="LRR36" i="7"/>
  <c r="LRQ36" i="7"/>
  <c r="LRP36" i="7"/>
  <c r="LRO36" i="7"/>
  <c r="LRN36" i="7"/>
  <c r="LRM36" i="7"/>
  <c r="LRL36" i="7"/>
  <c r="LRK36" i="7"/>
  <c r="LRJ36" i="7"/>
  <c r="LRI36" i="7"/>
  <c r="LRH36" i="7"/>
  <c r="LRG36" i="7"/>
  <c r="LRF36" i="7"/>
  <c r="LRE36" i="7"/>
  <c r="LRD36" i="7"/>
  <c r="LRC36" i="7"/>
  <c r="LRB36" i="7"/>
  <c r="LRA36" i="7"/>
  <c r="LQZ36" i="7"/>
  <c r="LQY36" i="7"/>
  <c r="LQX36" i="7"/>
  <c r="LQW36" i="7"/>
  <c r="LQV36" i="7"/>
  <c r="LQU36" i="7"/>
  <c r="LQT36" i="7"/>
  <c r="LQS36" i="7"/>
  <c r="LQR36" i="7"/>
  <c r="LQQ36" i="7"/>
  <c r="LQP36" i="7"/>
  <c r="LQO36" i="7"/>
  <c r="LQN36" i="7"/>
  <c r="LQM36" i="7"/>
  <c r="LQL36" i="7"/>
  <c r="LQK36" i="7"/>
  <c r="LQJ36" i="7"/>
  <c r="LQI36" i="7"/>
  <c r="LQH36" i="7"/>
  <c r="LQG36" i="7"/>
  <c r="LQF36" i="7"/>
  <c r="LQE36" i="7"/>
  <c r="LQD36" i="7"/>
  <c r="LQC36" i="7"/>
  <c r="LQB36" i="7"/>
  <c r="LQA36" i="7"/>
  <c r="LPZ36" i="7"/>
  <c r="LPY36" i="7"/>
  <c r="LPX36" i="7"/>
  <c r="LPW36" i="7"/>
  <c r="LPV36" i="7"/>
  <c r="LPU36" i="7"/>
  <c r="LPT36" i="7"/>
  <c r="LPS36" i="7"/>
  <c r="LPR36" i="7"/>
  <c r="LPQ36" i="7"/>
  <c r="LPP36" i="7"/>
  <c r="LPO36" i="7"/>
  <c r="LPN36" i="7"/>
  <c r="LPM36" i="7"/>
  <c r="LPL36" i="7"/>
  <c r="LPK36" i="7"/>
  <c r="LPJ36" i="7"/>
  <c r="LPI36" i="7"/>
  <c r="LPH36" i="7"/>
  <c r="LPG36" i="7"/>
  <c r="LPF36" i="7"/>
  <c r="LPE36" i="7"/>
  <c r="LPD36" i="7"/>
  <c r="LPC36" i="7"/>
  <c r="LPB36" i="7"/>
  <c r="LPA36" i="7"/>
  <c r="LOZ36" i="7"/>
  <c r="LOY36" i="7"/>
  <c r="LOX36" i="7"/>
  <c r="LOW36" i="7"/>
  <c r="LOV36" i="7"/>
  <c r="LOU36" i="7"/>
  <c r="LOT36" i="7"/>
  <c r="LOS36" i="7"/>
  <c r="LOR36" i="7"/>
  <c r="LOQ36" i="7"/>
  <c r="LOP36" i="7"/>
  <c r="LOO36" i="7"/>
  <c r="LON36" i="7"/>
  <c r="LOM36" i="7"/>
  <c r="LOL36" i="7"/>
  <c r="LOK36" i="7"/>
  <c r="LOJ36" i="7"/>
  <c r="LOI36" i="7"/>
  <c r="LOH36" i="7"/>
  <c r="LOG36" i="7"/>
  <c r="LOF36" i="7"/>
  <c r="LOE36" i="7"/>
  <c r="LOD36" i="7"/>
  <c r="LOC36" i="7"/>
  <c r="LOB36" i="7"/>
  <c r="LOA36" i="7"/>
  <c r="LNZ36" i="7"/>
  <c r="LNY36" i="7"/>
  <c r="LNX36" i="7"/>
  <c r="LNW36" i="7"/>
  <c r="LNV36" i="7"/>
  <c r="LNU36" i="7"/>
  <c r="LNT36" i="7"/>
  <c r="LNS36" i="7"/>
  <c r="LNR36" i="7"/>
  <c r="LNQ36" i="7"/>
  <c r="LNP36" i="7"/>
  <c r="LNO36" i="7"/>
  <c r="LNN36" i="7"/>
  <c r="LNM36" i="7"/>
  <c r="LNL36" i="7"/>
  <c r="LNK36" i="7"/>
  <c r="LNJ36" i="7"/>
  <c r="LNI36" i="7"/>
  <c r="LNH36" i="7"/>
  <c r="LNG36" i="7"/>
  <c r="LNF36" i="7"/>
  <c r="LNE36" i="7"/>
  <c r="LND36" i="7"/>
  <c r="LNC36" i="7"/>
  <c r="LNB36" i="7"/>
  <c r="LNA36" i="7"/>
  <c r="LMZ36" i="7"/>
  <c r="LMY36" i="7"/>
  <c r="LMX36" i="7"/>
  <c r="LMW36" i="7"/>
  <c r="LMV36" i="7"/>
  <c r="LMU36" i="7"/>
  <c r="LMT36" i="7"/>
  <c r="LMS36" i="7"/>
  <c r="LMR36" i="7"/>
  <c r="LMQ36" i="7"/>
  <c r="LMP36" i="7"/>
  <c r="LMO36" i="7"/>
  <c r="LMN36" i="7"/>
  <c r="LMM36" i="7"/>
  <c r="LML36" i="7"/>
  <c r="LMK36" i="7"/>
  <c r="LMJ36" i="7"/>
  <c r="LMI36" i="7"/>
  <c r="LMH36" i="7"/>
  <c r="LMG36" i="7"/>
  <c r="LMF36" i="7"/>
  <c r="LME36" i="7"/>
  <c r="LMD36" i="7"/>
  <c r="LMC36" i="7"/>
  <c r="LMB36" i="7"/>
  <c r="LMA36" i="7"/>
  <c r="LLZ36" i="7"/>
  <c r="LLY36" i="7"/>
  <c r="LLX36" i="7"/>
  <c r="LLW36" i="7"/>
  <c r="LLV36" i="7"/>
  <c r="LLU36" i="7"/>
  <c r="LLT36" i="7"/>
  <c r="LLS36" i="7"/>
  <c r="LLR36" i="7"/>
  <c r="LLQ36" i="7"/>
  <c r="LLP36" i="7"/>
  <c r="LLO36" i="7"/>
  <c r="LLN36" i="7"/>
  <c r="LLM36" i="7"/>
  <c r="LLL36" i="7"/>
  <c r="LLK36" i="7"/>
  <c r="LLJ36" i="7"/>
  <c r="LLI36" i="7"/>
  <c r="LLH36" i="7"/>
  <c r="LLG36" i="7"/>
  <c r="LLF36" i="7"/>
  <c r="LLE36" i="7"/>
  <c r="LLD36" i="7"/>
  <c r="LLC36" i="7"/>
  <c r="LLB36" i="7"/>
  <c r="LLA36" i="7"/>
  <c r="LKZ36" i="7"/>
  <c r="LKY36" i="7"/>
  <c r="LKX36" i="7"/>
  <c r="LKW36" i="7"/>
  <c r="LKV36" i="7"/>
  <c r="LKU36" i="7"/>
  <c r="LKT36" i="7"/>
  <c r="LKS36" i="7"/>
  <c r="LKR36" i="7"/>
  <c r="LKQ36" i="7"/>
  <c r="LKP36" i="7"/>
  <c r="LKO36" i="7"/>
  <c r="LKN36" i="7"/>
  <c r="LKM36" i="7"/>
  <c r="LKL36" i="7"/>
  <c r="LKK36" i="7"/>
  <c r="LKJ36" i="7"/>
  <c r="LKI36" i="7"/>
  <c r="LKH36" i="7"/>
  <c r="LKG36" i="7"/>
  <c r="LKF36" i="7"/>
  <c r="LKE36" i="7"/>
  <c r="LKD36" i="7"/>
  <c r="LKC36" i="7"/>
  <c r="LKB36" i="7"/>
  <c r="LKA36" i="7"/>
  <c r="LJZ36" i="7"/>
  <c r="LJY36" i="7"/>
  <c r="LJX36" i="7"/>
  <c r="LJW36" i="7"/>
  <c r="LJV36" i="7"/>
  <c r="LJU36" i="7"/>
  <c r="LJT36" i="7"/>
  <c r="LJS36" i="7"/>
  <c r="LJR36" i="7"/>
  <c r="LJQ36" i="7"/>
  <c r="LJP36" i="7"/>
  <c r="LJO36" i="7"/>
  <c r="LJN36" i="7"/>
  <c r="LJM36" i="7"/>
  <c r="LJL36" i="7"/>
  <c r="LJK36" i="7"/>
  <c r="LJJ36" i="7"/>
  <c r="LJI36" i="7"/>
  <c r="LJH36" i="7"/>
  <c r="LJG36" i="7"/>
  <c r="LJF36" i="7"/>
  <c r="LJE36" i="7"/>
  <c r="LJD36" i="7"/>
  <c r="LJC36" i="7"/>
  <c r="LJB36" i="7"/>
  <c r="LJA36" i="7"/>
  <c r="LIZ36" i="7"/>
  <c r="LIY36" i="7"/>
  <c r="LIX36" i="7"/>
  <c r="LIW36" i="7"/>
  <c r="LIV36" i="7"/>
  <c r="LIU36" i="7"/>
  <c r="LIT36" i="7"/>
  <c r="LIS36" i="7"/>
  <c r="LIR36" i="7"/>
  <c r="LIQ36" i="7"/>
  <c r="LIP36" i="7"/>
  <c r="LIO36" i="7"/>
  <c r="LIN36" i="7"/>
  <c r="LIM36" i="7"/>
  <c r="LIL36" i="7"/>
  <c r="LIK36" i="7"/>
  <c r="LIJ36" i="7"/>
  <c r="LII36" i="7"/>
  <c r="LIH36" i="7"/>
  <c r="LIG36" i="7"/>
  <c r="LIF36" i="7"/>
  <c r="LIE36" i="7"/>
  <c r="LID36" i="7"/>
  <c r="LIC36" i="7"/>
  <c r="LIB36" i="7"/>
  <c r="LIA36" i="7"/>
  <c r="LHZ36" i="7"/>
  <c r="LHY36" i="7"/>
  <c r="LHX36" i="7"/>
  <c r="LHW36" i="7"/>
  <c r="LHV36" i="7"/>
  <c r="LHU36" i="7"/>
  <c r="LHT36" i="7"/>
  <c r="LHS36" i="7"/>
  <c r="LHR36" i="7"/>
  <c r="LHQ36" i="7"/>
  <c r="LHP36" i="7"/>
  <c r="LHO36" i="7"/>
  <c r="LHN36" i="7"/>
  <c r="LHM36" i="7"/>
  <c r="LHL36" i="7"/>
  <c r="LHK36" i="7"/>
  <c r="LHJ36" i="7"/>
  <c r="LHI36" i="7"/>
  <c r="LHH36" i="7"/>
  <c r="LHG36" i="7"/>
  <c r="LHF36" i="7"/>
  <c r="LHE36" i="7"/>
  <c r="LHD36" i="7"/>
  <c r="LHC36" i="7"/>
  <c r="LHB36" i="7"/>
  <c r="LHA36" i="7"/>
  <c r="LGZ36" i="7"/>
  <c r="LGY36" i="7"/>
  <c r="LGX36" i="7"/>
  <c r="LGW36" i="7"/>
  <c r="LGV36" i="7"/>
  <c r="LGU36" i="7"/>
  <c r="LGT36" i="7"/>
  <c r="LGS36" i="7"/>
  <c r="LGR36" i="7"/>
  <c r="LGQ36" i="7"/>
  <c r="LGP36" i="7"/>
  <c r="LGO36" i="7"/>
  <c r="LGN36" i="7"/>
  <c r="LGM36" i="7"/>
  <c r="LGL36" i="7"/>
  <c r="LGK36" i="7"/>
  <c r="LGJ36" i="7"/>
  <c r="LGI36" i="7"/>
  <c r="LGH36" i="7"/>
  <c r="LGG36" i="7"/>
  <c r="LGF36" i="7"/>
  <c r="LGE36" i="7"/>
  <c r="LGD36" i="7"/>
  <c r="LGC36" i="7"/>
  <c r="LGB36" i="7"/>
  <c r="LGA36" i="7"/>
  <c r="LFZ36" i="7"/>
  <c r="LFY36" i="7"/>
  <c r="LFX36" i="7"/>
  <c r="LFW36" i="7"/>
  <c r="LFV36" i="7"/>
  <c r="LFU36" i="7"/>
  <c r="LFT36" i="7"/>
  <c r="LFS36" i="7"/>
  <c r="LFR36" i="7"/>
  <c r="LFQ36" i="7"/>
  <c r="LFP36" i="7"/>
  <c r="LFO36" i="7"/>
  <c r="LFN36" i="7"/>
  <c r="LFM36" i="7"/>
  <c r="LFL36" i="7"/>
  <c r="LFK36" i="7"/>
  <c r="LFJ36" i="7"/>
  <c r="LFI36" i="7"/>
  <c r="LFH36" i="7"/>
  <c r="LFG36" i="7"/>
  <c r="LFF36" i="7"/>
  <c r="LFE36" i="7"/>
  <c r="LFD36" i="7"/>
  <c r="LFC36" i="7"/>
  <c r="LFB36" i="7"/>
  <c r="LFA36" i="7"/>
  <c r="LEZ36" i="7"/>
  <c r="LEY36" i="7"/>
  <c r="LEX36" i="7"/>
  <c r="LEW36" i="7"/>
  <c r="LEV36" i="7"/>
  <c r="LEU36" i="7"/>
  <c r="LET36" i="7"/>
  <c r="LES36" i="7"/>
  <c r="LER36" i="7"/>
  <c r="LEQ36" i="7"/>
  <c r="LEP36" i="7"/>
  <c r="LEO36" i="7"/>
  <c r="LEN36" i="7"/>
  <c r="LEM36" i="7"/>
  <c r="LEL36" i="7"/>
  <c r="LEK36" i="7"/>
  <c r="LEJ36" i="7"/>
  <c r="LEI36" i="7"/>
  <c r="LEH36" i="7"/>
  <c r="LEG36" i="7"/>
  <c r="LEF36" i="7"/>
  <c r="LEE36" i="7"/>
  <c r="LED36" i="7"/>
  <c r="LEC36" i="7"/>
  <c r="LEB36" i="7"/>
  <c r="LEA36" i="7"/>
  <c r="LDZ36" i="7"/>
  <c r="LDY36" i="7"/>
  <c r="LDX36" i="7"/>
  <c r="LDW36" i="7"/>
  <c r="LDV36" i="7"/>
  <c r="LDU36" i="7"/>
  <c r="LDT36" i="7"/>
  <c r="LDS36" i="7"/>
  <c r="LDR36" i="7"/>
  <c r="LDQ36" i="7"/>
  <c r="LDP36" i="7"/>
  <c r="LDO36" i="7"/>
  <c r="LDN36" i="7"/>
  <c r="LDM36" i="7"/>
  <c r="LDL36" i="7"/>
  <c r="LDK36" i="7"/>
  <c r="LDJ36" i="7"/>
  <c r="LDI36" i="7"/>
  <c r="LDH36" i="7"/>
  <c r="LDG36" i="7"/>
  <c r="LDF36" i="7"/>
  <c r="LDE36" i="7"/>
  <c r="LDD36" i="7"/>
  <c r="LDC36" i="7"/>
  <c r="LDB36" i="7"/>
  <c r="LDA36" i="7"/>
  <c r="LCZ36" i="7"/>
  <c r="LCY36" i="7"/>
  <c r="LCX36" i="7"/>
  <c r="LCW36" i="7"/>
  <c r="LCV36" i="7"/>
  <c r="LCU36" i="7"/>
  <c r="LCT36" i="7"/>
  <c r="LCS36" i="7"/>
  <c r="LCR36" i="7"/>
  <c r="LCQ36" i="7"/>
  <c r="LCP36" i="7"/>
  <c r="LCO36" i="7"/>
  <c r="LCN36" i="7"/>
  <c r="LCM36" i="7"/>
  <c r="LCL36" i="7"/>
  <c r="LCK36" i="7"/>
  <c r="LCJ36" i="7"/>
  <c r="LCI36" i="7"/>
  <c r="LCH36" i="7"/>
  <c r="LCG36" i="7"/>
  <c r="LCF36" i="7"/>
  <c r="LCE36" i="7"/>
  <c r="LCD36" i="7"/>
  <c r="LCC36" i="7"/>
  <c r="LCB36" i="7"/>
  <c r="LCA36" i="7"/>
  <c r="LBZ36" i="7"/>
  <c r="LBY36" i="7"/>
  <c r="LBX36" i="7"/>
  <c r="LBW36" i="7"/>
  <c r="LBV36" i="7"/>
  <c r="LBU36" i="7"/>
  <c r="LBT36" i="7"/>
  <c r="LBS36" i="7"/>
  <c r="LBR36" i="7"/>
  <c r="LBQ36" i="7"/>
  <c r="LBP36" i="7"/>
  <c r="LBO36" i="7"/>
  <c r="LBN36" i="7"/>
  <c r="LBM36" i="7"/>
  <c r="LBL36" i="7"/>
  <c r="LBK36" i="7"/>
  <c r="LBJ36" i="7"/>
  <c r="LBI36" i="7"/>
  <c r="LBH36" i="7"/>
  <c r="LBG36" i="7"/>
  <c r="LBF36" i="7"/>
  <c r="LBE36" i="7"/>
  <c r="LBD36" i="7"/>
  <c r="LBC36" i="7"/>
  <c r="LBB36" i="7"/>
  <c r="LBA36" i="7"/>
  <c r="LAZ36" i="7"/>
  <c r="LAY36" i="7"/>
  <c r="LAX36" i="7"/>
  <c r="LAW36" i="7"/>
  <c r="LAV36" i="7"/>
  <c r="LAU36" i="7"/>
  <c r="LAT36" i="7"/>
  <c r="LAS36" i="7"/>
  <c r="LAR36" i="7"/>
  <c r="LAQ36" i="7"/>
  <c r="LAP36" i="7"/>
  <c r="LAO36" i="7"/>
  <c r="LAN36" i="7"/>
  <c r="LAM36" i="7"/>
  <c r="LAL36" i="7"/>
  <c r="LAK36" i="7"/>
  <c r="LAJ36" i="7"/>
  <c r="LAI36" i="7"/>
  <c r="LAH36" i="7"/>
  <c r="LAG36" i="7"/>
  <c r="LAF36" i="7"/>
  <c r="LAE36" i="7"/>
  <c r="LAD36" i="7"/>
  <c r="LAC36" i="7"/>
  <c r="LAB36" i="7"/>
  <c r="LAA36" i="7"/>
  <c r="KZZ36" i="7"/>
  <c r="KZY36" i="7"/>
  <c r="KZX36" i="7"/>
  <c r="KZW36" i="7"/>
  <c r="KZV36" i="7"/>
  <c r="KZU36" i="7"/>
  <c r="KZT36" i="7"/>
  <c r="KZS36" i="7"/>
  <c r="KZR36" i="7"/>
  <c r="KZQ36" i="7"/>
  <c r="KZP36" i="7"/>
  <c r="KZO36" i="7"/>
  <c r="KZN36" i="7"/>
  <c r="KZM36" i="7"/>
  <c r="KZL36" i="7"/>
  <c r="KZK36" i="7"/>
  <c r="KZJ36" i="7"/>
  <c r="KZI36" i="7"/>
  <c r="KZH36" i="7"/>
  <c r="KZG36" i="7"/>
  <c r="KZF36" i="7"/>
  <c r="KZE36" i="7"/>
  <c r="KZD36" i="7"/>
  <c r="KZC36" i="7"/>
  <c r="KZB36" i="7"/>
  <c r="KZA36" i="7"/>
  <c r="KYZ36" i="7"/>
  <c r="KYY36" i="7"/>
  <c r="KYX36" i="7"/>
  <c r="KYW36" i="7"/>
  <c r="KYV36" i="7"/>
  <c r="KYU36" i="7"/>
  <c r="KYT36" i="7"/>
  <c r="KYS36" i="7"/>
  <c r="KYR36" i="7"/>
  <c r="KYQ36" i="7"/>
  <c r="KYP36" i="7"/>
  <c r="KYO36" i="7"/>
  <c r="KYN36" i="7"/>
  <c r="KYM36" i="7"/>
  <c r="KYL36" i="7"/>
  <c r="KYK36" i="7"/>
  <c r="KYJ36" i="7"/>
  <c r="KYI36" i="7"/>
  <c r="KYH36" i="7"/>
  <c r="KYG36" i="7"/>
  <c r="KYF36" i="7"/>
  <c r="KYE36" i="7"/>
  <c r="KYD36" i="7"/>
  <c r="KYC36" i="7"/>
  <c r="KYB36" i="7"/>
  <c r="KYA36" i="7"/>
  <c r="KXZ36" i="7"/>
  <c r="KXY36" i="7"/>
  <c r="KXX36" i="7"/>
  <c r="KXW36" i="7"/>
  <c r="KXV36" i="7"/>
  <c r="KXU36" i="7"/>
  <c r="KXT36" i="7"/>
  <c r="KXS36" i="7"/>
  <c r="KXR36" i="7"/>
  <c r="KXQ36" i="7"/>
  <c r="KXP36" i="7"/>
  <c r="KXO36" i="7"/>
  <c r="KXN36" i="7"/>
  <c r="KXM36" i="7"/>
  <c r="KXL36" i="7"/>
  <c r="KXK36" i="7"/>
  <c r="KXJ36" i="7"/>
  <c r="KXI36" i="7"/>
  <c r="KXH36" i="7"/>
  <c r="KXG36" i="7"/>
  <c r="KXF36" i="7"/>
  <c r="KXE36" i="7"/>
  <c r="KXD36" i="7"/>
  <c r="KXC36" i="7"/>
  <c r="KXB36" i="7"/>
  <c r="KXA36" i="7"/>
  <c r="KWZ36" i="7"/>
  <c r="KWY36" i="7"/>
  <c r="KWX36" i="7"/>
  <c r="KWW36" i="7"/>
  <c r="KWV36" i="7"/>
  <c r="KWU36" i="7"/>
  <c r="KWT36" i="7"/>
  <c r="KWS36" i="7"/>
  <c r="KWR36" i="7"/>
  <c r="KWQ36" i="7"/>
  <c r="KWP36" i="7"/>
  <c r="KWO36" i="7"/>
  <c r="KWN36" i="7"/>
  <c r="KWM36" i="7"/>
  <c r="KWL36" i="7"/>
  <c r="KWK36" i="7"/>
  <c r="KWJ36" i="7"/>
  <c r="KWI36" i="7"/>
  <c r="KWH36" i="7"/>
  <c r="KWG36" i="7"/>
  <c r="KWF36" i="7"/>
  <c r="KWE36" i="7"/>
  <c r="KWD36" i="7"/>
  <c r="KWC36" i="7"/>
  <c r="KWB36" i="7"/>
  <c r="KWA36" i="7"/>
  <c r="KVZ36" i="7"/>
  <c r="KVY36" i="7"/>
  <c r="KVX36" i="7"/>
  <c r="KVW36" i="7"/>
  <c r="KVV36" i="7"/>
  <c r="KVU36" i="7"/>
  <c r="KVT36" i="7"/>
  <c r="KVS36" i="7"/>
  <c r="KVR36" i="7"/>
  <c r="KVQ36" i="7"/>
  <c r="KVP36" i="7"/>
  <c r="KVO36" i="7"/>
  <c r="KVN36" i="7"/>
  <c r="KVM36" i="7"/>
  <c r="KVL36" i="7"/>
  <c r="KVK36" i="7"/>
  <c r="KVJ36" i="7"/>
  <c r="KVI36" i="7"/>
  <c r="KVH36" i="7"/>
  <c r="KVG36" i="7"/>
  <c r="KVF36" i="7"/>
  <c r="KVE36" i="7"/>
  <c r="KVD36" i="7"/>
  <c r="KVC36" i="7"/>
  <c r="KVB36" i="7"/>
  <c r="KVA36" i="7"/>
  <c r="KUZ36" i="7"/>
  <c r="KUY36" i="7"/>
  <c r="KUX36" i="7"/>
  <c r="KUW36" i="7"/>
  <c r="KUV36" i="7"/>
  <c r="KUU36" i="7"/>
  <c r="KUT36" i="7"/>
  <c r="KUS36" i="7"/>
  <c r="KUR36" i="7"/>
  <c r="KUQ36" i="7"/>
  <c r="KUP36" i="7"/>
  <c r="KUO36" i="7"/>
  <c r="KUN36" i="7"/>
  <c r="KUM36" i="7"/>
  <c r="KUL36" i="7"/>
  <c r="KUK36" i="7"/>
  <c r="KUJ36" i="7"/>
  <c r="KUI36" i="7"/>
  <c r="KUH36" i="7"/>
  <c r="KUG36" i="7"/>
  <c r="KUF36" i="7"/>
  <c r="KUE36" i="7"/>
  <c r="KUD36" i="7"/>
  <c r="KUC36" i="7"/>
  <c r="KUB36" i="7"/>
  <c r="KUA36" i="7"/>
  <c r="KTZ36" i="7"/>
  <c r="KTY36" i="7"/>
  <c r="KTX36" i="7"/>
  <c r="KTW36" i="7"/>
  <c r="KTV36" i="7"/>
  <c r="KTU36" i="7"/>
  <c r="KTT36" i="7"/>
  <c r="KTS36" i="7"/>
  <c r="KTR36" i="7"/>
  <c r="KTQ36" i="7"/>
  <c r="KTP36" i="7"/>
  <c r="KTO36" i="7"/>
  <c r="KTN36" i="7"/>
  <c r="KTM36" i="7"/>
  <c r="KTL36" i="7"/>
  <c r="KTK36" i="7"/>
  <c r="KTJ36" i="7"/>
  <c r="KTI36" i="7"/>
  <c r="KTH36" i="7"/>
  <c r="KTG36" i="7"/>
  <c r="KTF36" i="7"/>
  <c r="KTE36" i="7"/>
  <c r="KTD36" i="7"/>
  <c r="KTC36" i="7"/>
  <c r="KTB36" i="7"/>
  <c r="KTA36" i="7"/>
  <c r="KSZ36" i="7"/>
  <c r="KSY36" i="7"/>
  <c r="KSX36" i="7"/>
  <c r="KSW36" i="7"/>
  <c r="KSV36" i="7"/>
  <c r="KSU36" i="7"/>
  <c r="KST36" i="7"/>
  <c r="KSS36" i="7"/>
  <c r="KSR36" i="7"/>
  <c r="KSQ36" i="7"/>
  <c r="KSP36" i="7"/>
  <c r="KSO36" i="7"/>
  <c r="KSN36" i="7"/>
  <c r="KSM36" i="7"/>
  <c r="KSL36" i="7"/>
  <c r="KSK36" i="7"/>
  <c r="KSJ36" i="7"/>
  <c r="KSI36" i="7"/>
  <c r="KSH36" i="7"/>
  <c r="KSG36" i="7"/>
  <c r="KSF36" i="7"/>
  <c r="KSE36" i="7"/>
  <c r="KSD36" i="7"/>
  <c r="KSC36" i="7"/>
  <c r="KSB36" i="7"/>
  <c r="KSA36" i="7"/>
  <c r="KRZ36" i="7"/>
  <c r="KRY36" i="7"/>
  <c r="KRX36" i="7"/>
  <c r="KRW36" i="7"/>
  <c r="KRV36" i="7"/>
  <c r="KRU36" i="7"/>
  <c r="KRT36" i="7"/>
  <c r="KRS36" i="7"/>
  <c r="KRR36" i="7"/>
  <c r="KRQ36" i="7"/>
  <c r="KRP36" i="7"/>
  <c r="KRO36" i="7"/>
  <c r="KRN36" i="7"/>
  <c r="KRM36" i="7"/>
  <c r="KRL36" i="7"/>
  <c r="KRK36" i="7"/>
  <c r="KRJ36" i="7"/>
  <c r="KRI36" i="7"/>
  <c r="KRH36" i="7"/>
  <c r="KRG36" i="7"/>
  <c r="KRF36" i="7"/>
  <c r="KRE36" i="7"/>
  <c r="KRD36" i="7"/>
  <c r="KRC36" i="7"/>
  <c r="KRB36" i="7"/>
  <c r="KRA36" i="7"/>
  <c r="KQZ36" i="7"/>
  <c r="KQY36" i="7"/>
  <c r="KQX36" i="7"/>
  <c r="KQW36" i="7"/>
  <c r="KQV36" i="7"/>
  <c r="KQU36" i="7"/>
  <c r="KQT36" i="7"/>
  <c r="KQS36" i="7"/>
  <c r="KQR36" i="7"/>
  <c r="KQQ36" i="7"/>
  <c r="KQP36" i="7"/>
  <c r="KQO36" i="7"/>
  <c r="KQN36" i="7"/>
  <c r="KQM36" i="7"/>
  <c r="KQL36" i="7"/>
  <c r="KQK36" i="7"/>
  <c r="KQJ36" i="7"/>
  <c r="KQI36" i="7"/>
  <c r="KQH36" i="7"/>
  <c r="KQG36" i="7"/>
  <c r="KQF36" i="7"/>
  <c r="KQE36" i="7"/>
  <c r="KQD36" i="7"/>
  <c r="KQC36" i="7"/>
  <c r="KQB36" i="7"/>
  <c r="KQA36" i="7"/>
  <c r="KPZ36" i="7"/>
  <c r="KPY36" i="7"/>
  <c r="KPX36" i="7"/>
  <c r="KPW36" i="7"/>
  <c r="KPV36" i="7"/>
  <c r="KPU36" i="7"/>
  <c r="KPT36" i="7"/>
  <c r="KPS36" i="7"/>
  <c r="KPR36" i="7"/>
  <c r="KPQ36" i="7"/>
  <c r="KPP36" i="7"/>
  <c r="KPO36" i="7"/>
  <c r="KPN36" i="7"/>
  <c r="KPM36" i="7"/>
  <c r="KPL36" i="7"/>
  <c r="KPK36" i="7"/>
  <c r="KPJ36" i="7"/>
  <c r="KPI36" i="7"/>
  <c r="KPH36" i="7"/>
  <c r="KPG36" i="7"/>
  <c r="KPF36" i="7"/>
  <c r="KPE36" i="7"/>
  <c r="KPD36" i="7"/>
  <c r="KPC36" i="7"/>
  <c r="KPB36" i="7"/>
  <c r="KPA36" i="7"/>
  <c r="KOZ36" i="7"/>
  <c r="KOY36" i="7"/>
  <c r="KOX36" i="7"/>
  <c r="KOW36" i="7"/>
  <c r="KOV36" i="7"/>
  <c r="KOU36" i="7"/>
  <c r="KOT36" i="7"/>
  <c r="KOS36" i="7"/>
  <c r="KOR36" i="7"/>
  <c r="KOQ36" i="7"/>
  <c r="KOP36" i="7"/>
  <c r="KOO36" i="7"/>
  <c r="KON36" i="7"/>
  <c r="KOM36" i="7"/>
  <c r="KOL36" i="7"/>
  <c r="KOK36" i="7"/>
  <c r="KOJ36" i="7"/>
  <c r="KOI36" i="7"/>
  <c r="KOH36" i="7"/>
  <c r="KOG36" i="7"/>
  <c r="KOF36" i="7"/>
  <c r="KOE36" i="7"/>
  <c r="KOD36" i="7"/>
  <c r="KOC36" i="7"/>
  <c r="KOB36" i="7"/>
  <c r="KOA36" i="7"/>
  <c r="KNZ36" i="7"/>
  <c r="KNY36" i="7"/>
  <c r="KNX36" i="7"/>
  <c r="KNW36" i="7"/>
  <c r="KNV36" i="7"/>
  <c r="KNU36" i="7"/>
  <c r="KNT36" i="7"/>
  <c r="KNS36" i="7"/>
  <c r="KNR36" i="7"/>
  <c r="KNQ36" i="7"/>
  <c r="KNP36" i="7"/>
  <c r="KNO36" i="7"/>
  <c r="KNN36" i="7"/>
  <c r="KNM36" i="7"/>
  <c r="KNL36" i="7"/>
  <c r="KNK36" i="7"/>
  <c r="KNJ36" i="7"/>
  <c r="KNI36" i="7"/>
  <c r="KNH36" i="7"/>
  <c r="KNG36" i="7"/>
  <c r="KNF36" i="7"/>
  <c r="KNE36" i="7"/>
  <c r="KND36" i="7"/>
  <c r="KNC36" i="7"/>
  <c r="KNB36" i="7"/>
  <c r="KNA36" i="7"/>
  <c r="KMZ36" i="7"/>
  <c r="KMY36" i="7"/>
  <c r="KMX36" i="7"/>
  <c r="KMW36" i="7"/>
  <c r="KMV36" i="7"/>
  <c r="KMU36" i="7"/>
  <c r="KMT36" i="7"/>
  <c r="KMS36" i="7"/>
  <c r="KMR36" i="7"/>
  <c r="KMQ36" i="7"/>
  <c r="KMP36" i="7"/>
  <c r="KMO36" i="7"/>
  <c r="KMN36" i="7"/>
  <c r="KMM36" i="7"/>
  <c r="KML36" i="7"/>
  <c r="KMK36" i="7"/>
  <c r="KMJ36" i="7"/>
  <c r="KMI36" i="7"/>
  <c r="KMH36" i="7"/>
  <c r="KMG36" i="7"/>
  <c r="KMF36" i="7"/>
  <c r="KME36" i="7"/>
  <c r="KMD36" i="7"/>
  <c r="KMC36" i="7"/>
  <c r="KMB36" i="7"/>
  <c r="KMA36" i="7"/>
  <c r="KLZ36" i="7"/>
  <c r="KLY36" i="7"/>
  <c r="KLX36" i="7"/>
  <c r="KLW36" i="7"/>
  <c r="KLV36" i="7"/>
  <c r="KLU36" i="7"/>
  <c r="KLT36" i="7"/>
  <c r="KLS36" i="7"/>
  <c r="KLR36" i="7"/>
  <c r="KLQ36" i="7"/>
  <c r="KLP36" i="7"/>
  <c r="KLO36" i="7"/>
  <c r="KLN36" i="7"/>
  <c r="KLM36" i="7"/>
  <c r="KLL36" i="7"/>
  <c r="KLK36" i="7"/>
  <c r="KLJ36" i="7"/>
  <c r="KLI36" i="7"/>
  <c r="KLH36" i="7"/>
  <c r="KLG36" i="7"/>
  <c r="KLF36" i="7"/>
  <c r="KLE36" i="7"/>
  <c r="KLD36" i="7"/>
  <c r="KLC36" i="7"/>
  <c r="KLB36" i="7"/>
  <c r="KLA36" i="7"/>
  <c r="KKZ36" i="7"/>
  <c r="KKY36" i="7"/>
  <c r="KKX36" i="7"/>
  <c r="KKW36" i="7"/>
  <c r="KKV36" i="7"/>
  <c r="KKU36" i="7"/>
  <c r="KKT36" i="7"/>
  <c r="KKS36" i="7"/>
  <c r="KKR36" i="7"/>
  <c r="KKQ36" i="7"/>
  <c r="KKP36" i="7"/>
  <c r="KKO36" i="7"/>
  <c r="KKN36" i="7"/>
  <c r="KKM36" i="7"/>
  <c r="KKL36" i="7"/>
  <c r="KKK36" i="7"/>
  <c r="KKJ36" i="7"/>
  <c r="KKI36" i="7"/>
  <c r="KKH36" i="7"/>
  <c r="KKG36" i="7"/>
  <c r="KKF36" i="7"/>
  <c r="KKE36" i="7"/>
  <c r="KKD36" i="7"/>
  <c r="KKC36" i="7"/>
  <c r="KKB36" i="7"/>
  <c r="KKA36" i="7"/>
  <c r="KJZ36" i="7"/>
  <c r="KJY36" i="7"/>
  <c r="KJX36" i="7"/>
  <c r="KJW36" i="7"/>
  <c r="KJV36" i="7"/>
  <c r="KJU36" i="7"/>
  <c r="KJT36" i="7"/>
  <c r="KJS36" i="7"/>
  <c r="KJR36" i="7"/>
  <c r="KJQ36" i="7"/>
  <c r="KJP36" i="7"/>
  <c r="KJO36" i="7"/>
  <c r="KJN36" i="7"/>
  <c r="KJM36" i="7"/>
  <c r="KJL36" i="7"/>
  <c r="KJK36" i="7"/>
  <c r="KJJ36" i="7"/>
  <c r="KJI36" i="7"/>
  <c r="KJH36" i="7"/>
  <c r="KJG36" i="7"/>
  <c r="KJF36" i="7"/>
  <c r="KJE36" i="7"/>
  <c r="KJD36" i="7"/>
  <c r="KJC36" i="7"/>
  <c r="KJB36" i="7"/>
  <c r="KJA36" i="7"/>
  <c r="KIZ36" i="7"/>
  <c r="KIY36" i="7"/>
  <c r="KIX36" i="7"/>
  <c r="KIW36" i="7"/>
  <c r="KIV36" i="7"/>
  <c r="KIU36" i="7"/>
  <c r="KIT36" i="7"/>
  <c r="KIS36" i="7"/>
  <c r="KIR36" i="7"/>
  <c r="KIQ36" i="7"/>
  <c r="KIP36" i="7"/>
  <c r="KIO36" i="7"/>
  <c r="KIN36" i="7"/>
  <c r="KIM36" i="7"/>
  <c r="KIL36" i="7"/>
  <c r="KIK36" i="7"/>
  <c r="KIJ36" i="7"/>
  <c r="KII36" i="7"/>
  <c r="KIH36" i="7"/>
  <c r="KIG36" i="7"/>
  <c r="KIF36" i="7"/>
  <c r="KIE36" i="7"/>
  <c r="KID36" i="7"/>
  <c r="KIC36" i="7"/>
  <c r="KIB36" i="7"/>
  <c r="KIA36" i="7"/>
  <c r="KHZ36" i="7"/>
  <c r="KHY36" i="7"/>
  <c r="KHX36" i="7"/>
  <c r="KHW36" i="7"/>
  <c r="KHV36" i="7"/>
  <c r="KHU36" i="7"/>
  <c r="KHT36" i="7"/>
  <c r="KHS36" i="7"/>
  <c r="KHR36" i="7"/>
  <c r="KHQ36" i="7"/>
  <c r="KHP36" i="7"/>
  <c r="KHO36" i="7"/>
  <c r="KHN36" i="7"/>
  <c r="KHM36" i="7"/>
  <c r="KHL36" i="7"/>
  <c r="KHK36" i="7"/>
  <c r="KHJ36" i="7"/>
  <c r="KHI36" i="7"/>
  <c r="KHH36" i="7"/>
  <c r="KHG36" i="7"/>
  <c r="KHF36" i="7"/>
  <c r="KHE36" i="7"/>
  <c r="KHD36" i="7"/>
  <c r="KHC36" i="7"/>
  <c r="KHB36" i="7"/>
  <c r="KHA36" i="7"/>
  <c r="KGZ36" i="7"/>
  <c r="KGY36" i="7"/>
  <c r="KGX36" i="7"/>
  <c r="KGW36" i="7"/>
  <c r="KGV36" i="7"/>
  <c r="KGU36" i="7"/>
  <c r="KGT36" i="7"/>
  <c r="KGS36" i="7"/>
  <c r="KGR36" i="7"/>
  <c r="KGQ36" i="7"/>
  <c r="KGP36" i="7"/>
  <c r="KGO36" i="7"/>
  <c r="KGN36" i="7"/>
  <c r="KGM36" i="7"/>
  <c r="KGL36" i="7"/>
  <c r="KGK36" i="7"/>
  <c r="KGJ36" i="7"/>
  <c r="KGI36" i="7"/>
  <c r="KGH36" i="7"/>
  <c r="KGG36" i="7"/>
  <c r="KGF36" i="7"/>
  <c r="KGE36" i="7"/>
  <c r="KGD36" i="7"/>
  <c r="KGC36" i="7"/>
  <c r="KGB36" i="7"/>
  <c r="KGA36" i="7"/>
  <c r="KFZ36" i="7"/>
  <c r="KFY36" i="7"/>
  <c r="KFX36" i="7"/>
  <c r="KFW36" i="7"/>
  <c r="KFV36" i="7"/>
  <c r="KFU36" i="7"/>
  <c r="KFT36" i="7"/>
  <c r="KFS36" i="7"/>
  <c r="KFR36" i="7"/>
  <c r="KFQ36" i="7"/>
  <c r="KFP36" i="7"/>
  <c r="KFO36" i="7"/>
  <c r="KFN36" i="7"/>
  <c r="KFM36" i="7"/>
  <c r="KFL36" i="7"/>
  <c r="KFK36" i="7"/>
  <c r="KFJ36" i="7"/>
  <c r="KFI36" i="7"/>
  <c r="KFH36" i="7"/>
  <c r="KFG36" i="7"/>
  <c r="KFF36" i="7"/>
  <c r="KFE36" i="7"/>
  <c r="KFD36" i="7"/>
  <c r="KFC36" i="7"/>
  <c r="KFB36" i="7"/>
  <c r="KFA36" i="7"/>
  <c r="KEZ36" i="7"/>
  <c r="KEY36" i="7"/>
  <c r="KEX36" i="7"/>
  <c r="KEW36" i="7"/>
  <c r="KEV36" i="7"/>
  <c r="KEU36" i="7"/>
  <c r="KET36" i="7"/>
  <c r="KES36" i="7"/>
  <c r="KER36" i="7"/>
  <c r="KEQ36" i="7"/>
  <c r="KEP36" i="7"/>
  <c r="KEO36" i="7"/>
  <c r="KEN36" i="7"/>
  <c r="KEM36" i="7"/>
  <c r="KEL36" i="7"/>
  <c r="KEK36" i="7"/>
  <c r="KEJ36" i="7"/>
  <c r="KEI36" i="7"/>
  <c r="KEH36" i="7"/>
  <c r="KEG36" i="7"/>
  <c r="KEF36" i="7"/>
  <c r="KEE36" i="7"/>
  <c r="KED36" i="7"/>
  <c r="KEC36" i="7"/>
  <c r="KEB36" i="7"/>
  <c r="KEA36" i="7"/>
  <c r="KDZ36" i="7"/>
  <c r="KDY36" i="7"/>
  <c r="KDX36" i="7"/>
  <c r="KDW36" i="7"/>
  <c r="KDV36" i="7"/>
  <c r="KDU36" i="7"/>
  <c r="KDT36" i="7"/>
  <c r="KDS36" i="7"/>
  <c r="KDR36" i="7"/>
  <c r="KDQ36" i="7"/>
  <c r="KDP36" i="7"/>
  <c r="KDO36" i="7"/>
  <c r="KDN36" i="7"/>
  <c r="KDM36" i="7"/>
  <c r="KDL36" i="7"/>
  <c r="KDK36" i="7"/>
  <c r="KDJ36" i="7"/>
  <c r="KDI36" i="7"/>
  <c r="KDH36" i="7"/>
  <c r="KDG36" i="7"/>
  <c r="KDF36" i="7"/>
  <c r="KDE36" i="7"/>
  <c r="KDD36" i="7"/>
  <c r="KDC36" i="7"/>
  <c r="KDB36" i="7"/>
  <c r="KDA36" i="7"/>
  <c r="KCZ36" i="7"/>
  <c r="KCY36" i="7"/>
  <c r="KCX36" i="7"/>
  <c r="KCW36" i="7"/>
  <c r="KCV36" i="7"/>
  <c r="KCU36" i="7"/>
  <c r="KCT36" i="7"/>
  <c r="KCS36" i="7"/>
  <c r="KCR36" i="7"/>
  <c r="KCQ36" i="7"/>
  <c r="KCP36" i="7"/>
  <c r="KCO36" i="7"/>
  <c r="KCN36" i="7"/>
  <c r="KCM36" i="7"/>
  <c r="KCL36" i="7"/>
  <c r="KCK36" i="7"/>
  <c r="KCJ36" i="7"/>
  <c r="KCI36" i="7"/>
  <c r="KCH36" i="7"/>
  <c r="KCG36" i="7"/>
  <c r="KCF36" i="7"/>
  <c r="KCE36" i="7"/>
  <c r="KCD36" i="7"/>
  <c r="KCC36" i="7"/>
  <c r="KCB36" i="7"/>
  <c r="KCA36" i="7"/>
  <c r="KBZ36" i="7"/>
  <c r="KBY36" i="7"/>
  <c r="KBX36" i="7"/>
  <c r="KBW36" i="7"/>
  <c r="KBV36" i="7"/>
  <c r="KBU36" i="7"/>
  <c r="KBT36" i="7"/>
  <c r="KBS36" i="7"/>
  <c r="KBR36" i="7"/>
  <c r="KBQ36" i="7"/>
  <c r="KBP36" i="7"/>
  <c r="KBO36" i="7"/>
  <c r="KBN36" i="7"/>
  <c r="KBM36" i="7"/>
  <c r="KBL36" i="7"/>
  <c r="KBK36" i="7"/>
  <c r="KBJ36" i="7"/>
  <c r="KBI36" i="7"/>
  <c r="KBH36" i="7"/>
  <c r="KBG36" i="7"/>
  <c r="KBF36" i="7"/>
  <c r="KBE36" i="7"/>
  <c r="KBD36" i="7"/>
  <c r="KBC36" i="7"/>
  <c r="KBB36" i="7"/>
  <c r="KBA36" i="7"/>
  <c r="KAZ36" i="7"/>
  <c r="KAY36" i="7"/>
  <c r="KAX36" i="7"/>
  <c r="KAW36" i="7"/>
  <c r="KAV36" i="7"/>
  <c r="KAU36" i="7"/>
  <c r="KAT36" i="7"/>
  <c r="KAS36" i="7"/>
  <c r="KAR36" i="7"/>
  <c r="KAQ36" i="7"/>
  <c r="KAP36" i="7"/>
  <c r="KAO36" i="7"/>
  <c r="KAN36" i="7"/>
  <c r="KAM36" i="7"/>
  <c r="KAL36" i="7"/>
  <c r="KAK36" i="7"/>
  <c r="KAJ36" i="7"/>
  <c r="KAI36" i="7"/>
  <c r="KAH36" i="7"/>
  <c r="KAG36" i="7"/>
  <c r="KAF36" i="7"/>
  <c r="KAE36" i="7"/>
  <c r="KAD36" i="7"/>
  <c r="KAC36" i="7"/>
  <c r="KAB36" i="7"/>
  <c r="KAA36" i="7"/>
  <c r="JZZ36" i="7"/>
  <c r="JZY36" i="7"/>
  <c r="JZX36" i="7"/>
  <c r="JZW36" i="7"/>
  <c r="JZV36" i="7"/>
  <c r="JZU36" i="7"/>
  <c r="JZT36" i="7"/>
  <c r="JZS36" i="7"/>
  <c r="JZR36" i="7"/>
  <c r="JZQ36" i="7"/>
  <c r="JZP36" i="7"/>
  <c r="JZO36" i="7"/>
  <c r="JZN36" i="7"/>
  <c r="JZM36" i="7"/>
  <c r="JZL36" i="7"/>
  <c r="JZK36" i="7"/>
  <c r="JZJ36" i="7"/>
  <c r="JZI36" i="7"/>
  <c r="JZH36" i="7"/>
  <c r="JZG36" i="7"/>
  <c r="JZF36" i="7"/>
  <c r="JZE36" i="7"/>
  <c r="JZD36" i="7"/>
  <c r="JZC36" i="7"/>
  <c r="JZB36" i="7"/>
  <c r="JZA36" i="7"/>
  <c r="JYZ36" i="7"/>
  <c r="JYY36" i="7"/>
  <c r="JYX36" i="7"/>
  <c r="JYW36" i="7"/>
  <c r="JYV36" i="7"/>
  <c r="JYU36" i="7"/>
  <c r="JYT36" i="7"/>
  <c r="JYS36" i="7"/>
  <c r="JYR36" i="7"/>
  <c r="JYQ36" i="7"/>
  <c r="JYP36" i="7"/>
  <c r="JYO36" i="7"/>
  <c r="JYN36" i="7"/>
  <c r="JYM36" i="7"/>
  <c r="JYL36" i="7"/>
  <c r="JYK36" i="7"/>
  <c r="JYJ36" i="7"/>
  <c r="JYI36" i="7"/>
  <c r="JYH36" i="7"/>
  <c r="JYG36" i="7"/>
  <c r="JYF36" i="7"/>
  <c r="JYE36" i="7"/>
  <c r="JYD36" i="7"/>
  <c r="JYC36" i="7"/>
  <c r="JYB36" i="7"/>
  <c r="JYA36" i="7"/>
  <c r="JXZ36" i="7"/>
  <c r="JXY36" i="7"/>
  <c r="JXX36" i="7"/>
  <c r="JXW36" i="7"/>
  <c r="JXV36" i="7"/>
  <c r="JXU36" i="7"/>
  <c r="JXT36" i="7"/>
  <c r="JXS36" i="7"/>
  <c r="JXR36" i="7"/>
  <c r="JXQ36" i="7"/>
  <c r="JXP36" i="7"/>
  <c r="JXO36" i="7"/>
  <c r="JXN36" i="7"/>
  <c r="JXM36" i="7"/>
  <c r="JXL36" i="7"/>
  <c r="JXK36" i="7"/>
  <c r="JXJ36" i="7"/>
  <c r="JXI36" i="7"/>
  <c r="JXH36" i="7"/>
  <c r="JXG36" i="7"/>
  <c r="JXF36" i="7"/>
  <c r="JXE36" i="7"/>
  <c r="JXD36" i="7"/>
  <c r="JXC36" i="7"/>
  <c r="JXB36" i="7"/>
  <c r="JXA36" i="7"/>
  <c r="JWZ36" i="7"/>
  <c r="JWY36" i="7"/>
  <c r="JWX36" i="7"/>
  <c r="JWW36" i="7"/>
  <c r="JWV36" i="7"/>
  <c r="JWU36" i="7"/>
  <c r="JWT36" i="7"/>
  <c r="JWS36" i="7"/>
  <c r="JWR36" i="7"/>
  <c r="JWQ36" i="7"/>
  <c r="JWP36" i="7"/>
  <c r="JWO36" i="7"/>
  <c r="JWN36" i="7"/>
  <c r="JWM36" i="7"/>
  <c r="JWL36" i="7"/>
  <c r="JWK36" i="7"/>
  <c r="JWJ36" i="7"/>
  <c r="JWI36" i="7"/>
  <c r="JWH36" i="7"/>
  <c r="JWG36" i="7"/>
  <c r="JWF36" i="7"/>
  <c r="JWE36" i="7"/>
  <c r="JWD36" i="7"/>
  <c r="JWC36" i="7"/>
  <c r="JWB36" i="7"/>
  <c r="JWA36" i="7"/>
  <c r="JVZ36" i="7"/>
  <c r="JVY36" i="7"/>
  <c r="JVX36" i="7"/>
  <c r="JVW36" i="7"/>
  <c r="JVV36" i="7"/>
  <c r="JVU36" i="7"/>
  <c r="JVT36" i="7"/>
  <c r="JVS36" i="7"/>
  <c r="JVR36" i="7"/>
  <c r="JVQ36" i="7"/>
  <c r="JVP36" i="7"/>
  <c r="JVO36" i="7"/>
  <c r="JVN36" i="7"/>
  <c r="JVM36" i="7"/>
  <c r="JVL36" i="7"/>
  <c r="JVK36" i="7"/>
  <c r="JVJ36" i="7"/>
  <c r="JVI36" i="7"/>
  <c r="JVH36" i="7"/>
  <c r="JVG36" i="7"/>
  <c r="JVF36" i="7"/>
  <c r="JVE36" i="7"/>
  <c r="JVD36" i="7"/>
  <c r="JVC36" i="7"/>
  <c r="JVB36" i="7"/>
  <c r="JVA36" i="7"/>
  <c r="JUZ36" i="7"/>
  <c r="JUY36" i="7"/>
  <c r="JUX36" i="7"/>
  <c r="JUW36" i="7"/>
  <c r="JUV36" i="7"/>
  <c r="JUU36" i="7"/>
  <c r="JUT36" i="7"/>
  <c r="JUS36" i="7"/>
  <c r="JUR36" i="7"/>
  <c r="JUQ36" i="7"/>
  <c r="JUP36" i="7"/>
  <c r="JUO36" i="7"/>
  <c r="JUN36" i="7"/>
  <c r="JUM36" i="7"/>
  <c r="JUL36" i="7"/>
  <c r="JUK36" i="7"/>
  <c r="JUJ36" i="7"/>
  <c r="JUI36" i="7"/>
  <c r="JUH36" i="7"/>
  <c r="JUG36" i="7"/>
  <c r="JUF36" i="7"/>
  <c r="JUE36" i="7"/>
  <c r="JUD36" i="7"/>
  <c r="JUC36" i="7"/>
  <c r="JUB36" i="7"/>
  <c r="JUA36" i="7"/>
  <c r="JTZ36" i="7"/>
  <c r="JTY36" i="7"/>
  <c r="JTX36" i="7"/>
  <c r="JTW36" i="7"/>
  <c r="JTV36" i="7"/>
  <c r="JTU36" i="7"/>
  <c r="JTT36" i="7"/>
  <c r="JTS36" i="7"/>
  <c r="JTR36" i="7"/>
  <c r="JTQ36" i="7"/>
  <c r="JTP36" i="7"/>
  <c r="JTO36" i="7"/>
  <c r="JTN36" i="7"/>
  <c r="JTM36" i="7"/>
  <c r="JTL36" i="7"/>
  <c r="JTK36" i="7"/>
  <c r="JTJ36" i="7"/>
  <c r="JTI36" i="7"/>
  <c r="JTH36" i="7"/>
  <c r="JTG36" i="7"/>
  <c r="JTF36" i="7"/>
  <c r="JTE36" i="7"/>
  <c r="JTD36" i="7"/>
  <c r="JTC36" i="7"/>
  <c r="JTB36" i="7"/>
  <c r="JTA36" i="7"/>
  <c r="JSZ36" i="7"/>
  <c r="JSY36" i="7"/>
  <c r="JSX36" i="7"/>
  <c r="JSW36" i="7"/>
  <c r="JSV36" i="7"/>
  <c r="JSU36" i="7"/>
  <c r="JST36" i="7"/>
  <c r="JSS36" i="7"/>
  <c r="JSR36" i="7"/>
  <c r="JSQ36" i="7"/>
  <c r="JSP36" i="7"/>
  <c r="JSO36" i="7"/>
  <c r="JSN36" i="7"/>
  <c r="JSM36" i="7"/>
  <c r="JSL36" i="7"/>
  <c r="JSK36" i="7"/>
  <c r="JSJ36" i="7"/>
  <c r="JSI36" i="7"/>
  <c r="JSH36" i="7"/>
  <c r="JSG36" i="7"/>
  <c r="JSF36" i="7"/>
  <c r="JSE36" i="7"/>
  <c r="JSD36" i="7"/>
  <c r="JSC36" i="7"/>
  <c r="JSB36" i="7"/>
  <c r="JSA36" i="7"/>
  <c r="JRZ36" i="7"/>
  <c r="JRY36" i="7"/>
  <c r="JRX36" i="7"/>
  <c r="JRW36" i="7"/>
  <c r="JRV36" i="7"/>
  <c r="JRU36" i="7"/>
  <c r="JRT36" i="7"/>
  <c r="JRS36" i="7"/>
  <c r="JRR36" i="7"/>
  <c r="JRQ36" i="7"/>
  <c r="JRP36" i="7"/>
  <c r="JRO36" i="7"/>
  <c r="JRN36" i="7"/>
  <c r="JRM36" i="7"/>
  <c r="JRL36" i="7"/>
  <c r="JRK36" i="7"/>
  <c r="JRJ36" i="7"/>
  <c r="JRI36" i="7"/>
  <c r="JRH36" i="7"/>
  <c r="JRG36" i="7"/>
  <c r="JRF36" i="7"/>
  <c r="JRE36" i="7"/>
  <c r="JRD36" i="7"/>
  <c r="JRC36" i="7"/>
  <c r="JRB36" i="7"/>
  <c r="JRA36" i="7"/>
  <c r="JQZ36" i="7"/>
  <c r="JQY36" i="7"/>
  <c r="JQX36" i="7"/>
  <c r="JQW36" i="7"/>
  <c r="JQV36" i="7"/>
  <c r="JQU36" i="7"/>
  <c r="JQT36" i="7"/>
  <c r="JQS36" i="7"/>
  <c r="JQR36" i="7"/>
  <c r="JQQ36" i="7"/>
  <c r="JQP36" i="7"/>
  <c r="JQO36" i="7"/>
  <c r="JQN36" i="7"/>
  <c r="JQM36" i="7"/>
  <c r="JQL36" i="7"/>
  <c r="JQK36" i="7"/>
  <c r="JQJ36" i="7"/>
  <c r="JQI36" i="7"/>
  <c r="JQH36" i="7"/>
  <c r="JQG36" i="7"/>
  <c r="JQF36" i="7"/>
  <c r="JQE36" i="7"/>
  <c r="JQD36" i="7"/>
  <c r="JQC36" i="7"/>
  <c r="JQB36" i="7"/>
  <c r="JQA36" i="7"/>
  <c r="JPZ36" i="7"/>
  <c r="JPY36" i="7"/>
  <c r="JPX36" i="7"/>
  <c r="JPW36" i="7"/>
  <c r="JPV36" i="7"/>
  <c r="JPU36" i="7"/>
  <c r="JPT36" i="7"/>
  <c r="JPS36" i="7"/>
  <c r="JPR36" i="7"/>
  <c r="JPQ36" i="7"/>
  <c r="JPP36" i="7"/>
  <c r="JPO36" i="7"/>
  <c r="JPN36" i="7"/>
  <c r="JPM36" i="7"/>
  <c r="JPL36" i="7"/>
  <c r="JPK36" i="7"/>
  <c r="JPJ36" i="7"/>
  <c r="JPI36" i="7"/>
  <c r="JPH36" i="7"/>
  <c r="JPG36" i="7"/>
  <c r="JPF36" i="7"/>
  <c r="JPE36" i="7"/>
  <c r="JPD36" i="7"/>
  <c r="JPC36" i="7"/>
  <c r="JPB36" i="7"/>
  <c r="JPA36" i="7"/>
  <c r="JOZ36" i="7"/>
  <c r="JOY36" i="7"/>
  <c r="JOX36" i="7"/>
  <c r="JOW36" i="7"/>
  <c r="JOV36" i="7"/>
  <c r="JOU36" i="7"/>
  <c r="JOT36" i="7"/>
  <c r="JOS36" i="7"/>
  <c r="JOR36" i="7"/>
  <c r="JOQ36" i="7"/>
  <c r="JOP36" i="7"/>
  <c r="JOO36" i="7"/>
  <c r="JON36" i="7"/>
  <c r="JOM36" i="7"/>
  <c r="JOL36" i="7"/>
  <c r="JOK36" i="7"/>
  <c r="JOJ36" i="7"/>
  <c r="JOI36" i="7"/>
  <c r="JOH36" i="7"/>
  <c r="JOG36" i="7"/>
  <c r="JOF36" i="7"/>
  <c r="JOE36" i="7"/>
  <c r="JOD36" i="7"/>
  <c r="JOC36" i="7"/>
  <c r="JOB36" i="7"/>
  <c r="JOA36" i="7"/>
  <c r="JNZ36" i="7"/>
  <c r="JNY36" i="7"/>
  <c r="JNX36" i="7"/>
  <c r="JNW36" i="7"/>
  <c r="JNV36" i="7"/>
  <c r="JNU36" i="7"/>
  <c r="JNT36" i="7"/>
  <c r="JNS36" i="7"/>
  <c r="JNR36" i="7"/>
  <c r="JNQ36" i="7"/>
  <c r="JNP36" i="7"/>
  <c r="JNO36" i="7"/>
  <c r="JNN36" i="7"/>
  <c r="JNM36" i="7"/>
  <c r="JNL36" i="7"/>
  <c r="JNK36" i="7"/>
  <c r="JNJ36" i="7"/>
  <c r="JNI36" i="7"/>
  <c r="JNH36" i="7"/>
  <c r="JNG36" i="7"/>
  <c r="JNF36" i="7"/>
  <c r="JNE36" i="7"/>
  <c r="JND36" i="7"/>
  <c r="JNC36" i="7"/>
  <c r="JNB36" i="7"/>
  <c r="JNA36" i="7"/>
  <c r="JMZ36" i="7"/>
  <c r="JMY36" i="7"/>
  <c r="JMX36" i="7"/>
  <c r="JMW36" i="7"/>
  <c r="JMV36" i="7"/>
  <c r="JMU36" i="7"/>
  <c r="JMT36" i="7"/>
  <c r="JMS36" i="7"/>
  <c r="JMR36" i="7"/>
  <c r="JMQ36" i="7"/>
  <c r="JMP36" i="7"/>
  <c r="JMO36" i="7"/>
  <c r="JMN36" i="7"/>
  <c r="JMM36" i="7"/>
  <c r="JML36" i="7"/>
  <c r="JMK36" i="7"/>
  <c r="JMJ36" i="7"/>
  <c r="JMI36" i="7"/>
  <c r="JMH36" i="7"/>
  <c r="JMG36" i="7"/>
  <c r="JMF36" i="7"/>
  <c r="JME36" i="7"/>
  <c r="JMD36" i="7"/>
  <c r="JMC36" i="7"/>
  <c r="JMB36" i="7"/>
  <c r="JMA36" i="7"/>
  <c r="JLZ36" i="7"/>
  <c r="JLY36" i="7"/>
  <c r="JLX36" i="7"/>
  <c r="JLW36" i="7"/>
  <c r="JLV36" i="7"/>
  <c r="JLU36" i="7"/>
  <c r="JLT36" i="7"/>
  <c r="JLS36" i="7"/>
  <c r="JLR36" i="7"/>
  <c r="JLQ36" i="7"/>
  <c r="JLP36" i="7"/>
  <c r="JLO36" i="7"/>
  <c r="JLN36" i="7"/>
  <c r="JLM36" i="7"/>
  <c r="JLL36" i="7"/>
  <c r="JLK36" i="7"/>
  <c r="JLJ36" i="7"/>
  <c r="JLI36" i="7"/>
  <c r="JLH36" i="7"/>
  <c r="JLG36" i="7"/>
  <c r="JLF36" i="7"/>
  <c r="JLE36" i="7"/>
  <c r="JLD36" i="7"/>
  <c r="JLC36" i="7"/>
  <c r="JLB36" i="7"/>
  <c r="JLA36" i="7"/>
  <c r="JKZ36" i="7"/>
  <c r="JKY36" i="7"/>
  <c r="JKX36" i="7"/>
  <c r="JKW36" i="7"/>
  <c r="JKV36" i="7"/>
  <c r="JKU36" i="7"/>
  <c r="JKT36" i="7"/>
  <c r="JKS36" i="7"/>
  <c r="JKR36" i="7"/>
  <c r="JKQ36" i="7"/>
  <c r="JKP36" i="7"/>
  <c r="JKO36" i="7"/>
  <c r="JKN36" i="7"/>
  <c r="JKM36" i="7"/>
  <c r="JKL36" i="7"/>
  <c r="JKK36" i="7"/>
  <c r="JKJ36" i="7"/>
  <c r="JKI36" i="7"/>
  <c r="JKH36" i="7"/>
  <c r="JKG36" i="7"/>
  <c r="JKF36" i="7"/>
  <c r="JKE36" i="7"/>
  <c r="JKD36" i="7"/>
  <c r="JKC36" i="7"/>
  <c r="JKB36" i="7"/>
  <c r="JKA36" i="7"/>
  <c r="JJZ36" i="7"/>
  <c r="JJY36" i="7"/>
  <c r="JJX36" i="7"/>
  <c r="JJW36" i="7"/>
  <c r="JJV36" i="7"/>
  <c r="JJU36" i="7"/>
  <c r="JJT36" i="7"/>
  <c r="JJS36" i="7"/>
  <c r="JJR36" i="7"/>
  <c r="JJQ36" i="7"/>
  <c r="JJP36" i="7"/>
  <c r="JJO36" i="7"/>
  <c r="JJN36" i="7"/>
  <c r="JJM36" i="7"/>
  <c r="JJL36" i="7"/>
  <c r="JJK36" i="7"/>
  <c r="JJJ36" i="7"/>
  <c r="JJI36" i="7"/>
  <c r="JJH36" i="7"/>
  <c r="JJG36" i="7"/>
  <c r="JJF36" i="7"/>
  <c r="JJE36" i="7"/>
  <c r="JJD36" i="7"/>
  <c r="JJC36" i="7"/>
  <c r="JJB36" i="7"/>
  <c r="JJA36" i="7"/>
  <c r="JIZ36" i="7"/>
  <c r="JIY36" i="7"/>
  <c r="JIX36" i="7"/>
  <c r="JIW36" i="7"/>
  <c r="JIV36" i="7"/>
  <c r="JIU36" i="7"/>
  <c r="JIT36" i="7"/>
  <c r="JIS36" i="7"/>
  <c r="JIR36" i="7"/>
  <c r="JIQ36" i="7"/>
  <c r="JIP36" i="7"/>
  <c r="JIO36" i="7"/>
  <c r="JIN36" i="7"/>
  <c r="JIM36" i="7"/>
  <c r="JIL36" i="7"/>
  <c r="JIK36" i="7"/>
  <c r="JIJ36" i="7"/>
  <c r="JII36" i="7"/>
  <c r="JIH36" i="7"/>
  <c r="JIG36" i="7"/>
  <c r="JIF36" i="7"/>
  <c r="JIE36" i="7"/>
  <c r="JID36" i="7"/>
  <c r="JIC36" i="7"/>
  <c r="JIB36" i="7"/>
  <c r="JIA36" i="7"/>
  <c r="JHZ36" i="7"/>
  <c r="JHY36" i="7"/>
  <c r="JHX36" i="7"/>
  <c r="JHW36" i="7"/>
  <c r="JHV36" i="7"/>
  <c r="JHU36" i="7"/>
  <c r="JHT36" i="7"/>
  <c r="JHS36" i="7"/>
  <c r="JHR36" i="7"/>
  <c r="JHQ36" i="7"/>
  <c r="JHP36" i="7"/>
  <c r="JHO36" i="7"/>
  <c r="JHN36" i="7"/>
  <c r="JHM36" i="7"/>
  <c r="JHL36" i="7"/>
  <c r="JHK36" i="7"/>
  <c r="JHJ36" i="7"/>
  <c r="JHI36" i="7"/>
  <c r="JHH36" i="7"/>
  <c r="JHG36" i="7"/>
  <c r="JHF36" i="7"/>
  <c r="JHE36" i="7"/>
  <c r="JHD36" i="7"/>
  <c r="JHC36" i="7"/>
  <c r="JHB36" i="7"/>
  <c r="JHA36" i="7"/>
  <c r="JGZ36" i="7"/>
  <c r="JGY36" i="7"/>
  <c r="JGX36" i="7"/>
  <c r="JGW36" i="7"/>
  <c r="JGV36" i="7"/>
  <c r="JGU36" i="7"/>
  <c r="JGT36" i="7"/>
  <c r="JGS36" i="7"/>
  <c r="JGR36" i="7"/>
  <c r="JGQ36" i="7"/>
  <c r="JGP36" i="7"/>
  <c r="JGO36" i="7"/>
  <c r="JGN36" i="7"/>
  <c r="JGM36" i="7"/>
  <c r="JGL36" i="7"/>
  <c r="JGK36" i="7"/>
  <c r="JGJ36" i="7"/>
  <c r="JGI36" i="7"/>
  <c r="JGH36" i="7"/>
  <c r="JGG36" i="7"/>
  <c r="JGF36" i="7"/>
  <c r="JGE36" i="7"/>
  <c r="JGD36" i="7"/>
  <c r="JGC36" i="7"/>
  <c r="JGB36" i="7"/>
  <c r="JGA36" i="7"/>
  <c r="JFZ36" i="7"/>
  <c r="JFY36" i="7"/>
  <c r="JFX36" i="7"/>
  <c r="JFW36" i="7"/>
  <c r="JFV36" i="7"/>
  <c r="JFU36" i="7"/>
  <c r="JFT36" i="7"/>
  <c r="JFS36" i="7"/>
  <c r="JFR36" i="7"/>
  <c r="JFQ36" i="7"/>
  <c r="JFP36" i="7"/>
  <c r="JFO36" i="7"/>
  <c r="JFN36" i="7"/>
  <c r="JFM36" i="7"/>
  <c r="JFL36" i="7"/>
  <c r="JFK36" i="7"/>
  <c r="JFJ36" i="7"/>
  <c r="JFI36" i="7"/>
  <c r="JFH36" i="7"/>
  <c r="JFG36" i="7"/>
  <c r="JFF36" i="7"/>
  <c r="JFE36" i="7"/>
  <c r="JFD36" i="7"/>
  <c r="JFC36" i="7"/>
  <c r="JFB36" i="7"/>
  <c r="JFA36" i="7"/>
  <c r="JEZ36" i="7"/>
  <c r="JEY36" i="7"/>
  <c r="JEX36" i="7"/>
  <c r="JEW36" i="7"/>
  <c r="JEV36" i="7"/>
  <c r="JEU36" i="7"/>
  <c r="JET36" i="7"/>
  <c r="JES36" i="7"/>
  <c r="JER36" i="7"/>
  <c r="JEQ36" i="7"/>
  <c r="JEP36" i="7"/>
  <c r="JEO36" i="7"/>
  <c r="JEN36" i="7"/>
  <c r="JEM36" i="7"/>
  <c r="JEL36" i="7"/>
  <c r="JEK36" i="7"/>
  <c r="JEJ36" i="7"/>
  <c r="JEI36" i="7"/>
  <c r="JEH36" i="7"/>
  <c r="JEG36" i="7"/>
  <c r="JEF36" i="7"/>
  <c r="JEE36" i="7"/>
  <c r="JED36" i="7"/>
  <c r="JEC36" i="7"/>
  <c r="JEB36" i="7"/>
  <c r="JEA36" i="7"/>
  <c r="JDZ36" i="7"/>
  <c r="JDY36" i="7"/>
  <c r="JDX36" i="7"/>
  <c r="JDW36" i="7"/>
  <c r="JDV36" i="7"/>
  <c r="JDU36" i="7"/>
  <c r="JDT36" i="7"/>
  <c r="JDS36" i="7"/>
  <c r="JDR36" i="7"/>
  <c r="JDQ36" i="7"/>
  <c r="JDP36" i="7"/>
  <c r="JDO36" i="7"/>
  <c r="JDN36" i="7"/>
  <c r="JDM36" i="7"/>
  <c r="JDL36" i="7"/>
  <c r="JDK36" i="7"/>
  <c r="JDJ36" i="7"/>
  <c r="JDI36" i="7"/>
  <c r="JDH36" i="7"/>
  <c r="JDG36" i="7"/>
  <c r="JDF36" i="7"/>
  <c r="JDE36" i="7"/>
  <c r="JDD36" i="7"/>
  <c r="JDC36" i="7"/>
  <c r="JDB36" i="7"/>
  <c r="JDA36" i="7"/>
  <c r="JCZ36" i="7"/>
  <c r="JCY36" i="7"/>
  <c r="JCX36" i="7"/>
  <c r="JCW36" i="7"/>
  <c r="JCV36" i="7"/>
  <c r="JCU36" i="7"/>
  <c r="JCT36" i="7"/>
  <c r="JCS36" i="7"/>
  <c r="JCR36" i="7"/>
  <c r="JCQ36" i="7"/>
  <c r="JCP36" i="7"/>
  <c r="JCO36" i="7"/>
  <c r="JCN36" i="7"/>
  <c r="JCM36" i="7"/>
  <c r="JCL36" i="7"/>
  <c r="JCK36" i="7"/>
  <c r="JCJ36" i="7"/>
  <c r="JCI36" i="7"/>
  <c r="JCH36" i="7"/>
  <c r="JCG36" i="7"/>
  <c r="JCF36" i="7"/>
  <c r="JCE36" i="7"/>
  <c r="JCD36" i="7"/>
  <c r="JCC36" i="7"/>
  <c r="JCB36" i="7"/>
  <c r="JCA36" i="7"/>
  <c r="JBZ36" i="7"/>
  <c r="JBY36" i="7"/>
  <c r="JBX36" i="7"/>
  <c r="JBW36" i="7"/>
  <c r="JBV36" i="7"/>
  <c r="JBU36" i="7"/>
  <c r="JBT36" i="7"/>
  <c r="JBS36" i="7"/>
  <c r="JBR36" i="7"/>
  <c r="JBQ36" i="7"/>
  <c r="JBP36" i="7"/>
  <c r="JBO36" i="7"/>
  <c r="JBN36" i="7"/>
  <c r="JBM36" i="7"/>
  <c r="JBL36" i="7"/>
  <c r="JBK36" i="7"/>
  <c r="JBJ36" i="7"/>
  <c r="JBI36" i="7"/>
  <c r="JBH36" i="7"/>
  <c r="JBG36" i="7"/>
  <c r="JBF36" i="7"/>
  <c r="JBE36" i="7"/>
  <c r="JBD36" i="7"/>
  <c r="JBC36" i="7"/>
  <c r="JBB36" i="7"/>
  <c r="JBA36" i="7"/>
  <c r="JAZ36" i="7"/>
  <c r="JAY36" i="7"/>
  <c r="JAX36" i="7"/>
  <c r="JAW36" i="7"/>
  <c r="JAV36" i="7"/>
  <c r="JAU36" i="7"/>
  <c r="JAT36" i="7"/>
  <c r="JAS36" i="7"/>
  <c r="JAR36" i="7"/>
  <c r="JAQ36" i="7"/>
  <c r="JAP36" i="7"/>
  <c r="JAO36" i="7"/>
  <c r="JAN36" i="7"/>
  <c r="JAM36" i="7"/>
  <c r="JAL36" i="7"/>
  <c r="JAK36" i="7"/>
  <c r="JAJ36" i="7"/>
  <c r="JAI36" i="7"/>
  <c r="JAH36" i="7"/>
  <c r="JAG36" i="7"/>
  <c r="JAF36" i="7"/>
  <c r="JAE36" i="7"/>
  <c r="JAD36" i="7"/>
  <c r="JAC36" i="7"/>
  <c r="JAB36" i="7"/>
  <c r="JAA36" i="7"/>
  <c r="IZZ36" i="7"/>
  <c r="IZY36" i="7"/>
  <c r="IZX36" i="7"/>
  <c r="IZW36" i="7"/>
  <c r="IZV36" i="7"/>
  <c r="IZU36" i="7"/>
  <c r="IZT36" i="7"/>
  <c r="IZS36" i="7"/>
  <c r="IZR36" i="7"/>
  <c r="IZQ36" i="7"/>
  <c r="IZP36" i="7"/>
  <c r="IZO36" i="7"/>
  <c r="IZN36" i="7"/>
  <c r="IZM36" i="7"/>
  <c r="IZL36" i="7"/>
  <c r="IZK36" i="7"/>
  <c r="IZJ36" i="7"/>
  <c r="IZI36" i="7"/>
  <c r="IZH36" i="7"/>
  <c r="IZG36" i="7"/>
  <c r="IZF36" i="7"/>
  <c r="IZE36" i="7"/>
  <c r="IZD36" i="7"/>
  <c r="IZC36" i="7"/>
  <c r="IZB36" i="7"/>
  <c r="IZA36" i="7"/>
  <c r="IYZ36" i="7"/>
  <c r="IYY36" i="7"/>
  <c r="IYX36" i="7"/>
  <c r="IYW36" i="7"/>
  <c r="IYV36" i="7"/>
  <c r="IYU36" i="7"/>
  <c r="IYT36" i="7"/>
  <c r="IYS36" i="7"/>
  <c r="IYR36" i="7"/>
  <c r="IYQ36" i="7"/>
  <c r="IYP36" i="7"/>
  <c r="IYO36" i="7"/>
  <c r="IYN36" i="7"/>
  <c r="IYM36" i="7"/>
  <c r="IYL36" i="7"/>
  <c r="IYK36" i="7"/>
  <c r="IYJ36" i="7"/>
  <c r="IYI36" i="7"/>
  <c r="IYH36" i="7"/>
  <c r="IYG36" i="7"/>
  <c r="IYF36" i="7"/>
  <c r="IYE36" i="7"/>
  <c r="IYD36" i="7"/>
  <c r="IYC36" i="7"/>
  <c r="IYB36" i="7"/>
  <c r="IYA36" i="7"/>
  <c r="IXZ36" i="7"/>
  <c r="IXY36" i="7"/>
  <c r="IXX36" i="7"/>
  <c r="IXW36" i="7"/>
  <c r="IXV36" i="7"/>
  <c r="IXU36" i="7"/>
  <c r="IXT36" i="7"/>
  <c r="IXS36" i="7"/>
  <c r="IXR36" i="7"/>
  <c r="IXQ36" i="7"/>
  <c r="IXP36" i="7"/>
  <c r="IXO36" i="7"/>
  <c r="IXN36" i="7"/>
  <c r="IXM36" i="7"/>
  <c r="IXL36" i="7"/>
  <c r="IXK36" i="7"/>
  <c r="IXJ36" i="7"/>
  <c r="IXI36" i="7"/>
  <c r="IXH36" i="7"/>
  <c r="IXG36" i="7"/>
  <c r="IXF36" i="7"/>
  <c r="IXE36" i="7"/>
  <c r="IXD36" i="7"/>
  <c r="IXC36" i="7"/>
  <c r="IXB36" i="7"/>
  <c r="IXA36" i="7"/>
  <c r="IWZ36" i="7"/>
  <c r="IWY36" i="7"/>
  <c r="IWX36" i="7"/>
  <c r="IWW36" i="7"/>
  <c r="IWV36" i="7"/>
  <c r="IWU36" i="7"/>
  <c r="IWT36" i="7"/>
  <c r="IWS36" i="7"/>
  <c r="IWR36" i="7"/>
  <c r="IWQ36" i="7"/>
  <c r="IWP36" i="7"/>
  <c r="IWO36" i="7"/>
  <c r="IWN36" i="7"/>
  <c r="IWM36" i="7"/>
  <c r="IWL36" i="7"/>
  <c r="IWK36" i="7"/>
  <c r="IWJ36" i="7"/>
  <c r="IWI36" i="7"/>
  <c r="IWH36" i="7"/>
  <c r="IWG36" i="7"/>
  <c r="IWF36" i="7"/>
  <c r="IWE36" i="7"/>
  <c r="IWD36" i="7"/>
  <c r="IWC36" i="7"/>
  <c r="IWB36" i="7"/>
  <c r="IWA36" i="7"/>
  <c r="IVZ36" i="7"/>
  <c r="IVY36" i="7"/>
  <c r="IVX36" i="7"/>
  <c r="IVW36" i="7"/>
  <c r="IVV36" i="7"/>
  <c r="IVU36" i="7"/>
  <c r="IVT36" i="7"/>
  <c r="IVS36" i="7"/>
  <c r="IVR36" i="7"/>
  <c r="IVQ36" i="7"/>
  <c r="IVP36" i="7"/>
  <c r="IVO36" i="7"/>
  <c r="IVN36" i="7"/>
  <c r="IVM36" i="7"/>
  <c r="IVL36" i="7"/>
  <c r="IVK36" i="7"/>
  <c r="IVJ36" i="7"/>
  <c r="IVI36" i="7"/>
  <c r="IVH36" i="7"/>
  <c r="IVG36" i="7"/>
  <c r="IVF36" i="7"/>
  <c r="IVE36" i="7"/>
  <c r="IVD36" i="7"/>
  <c r="IVC36" i="7"/>
  <c r="IVB36" i="7"/>
  <c r="IVA36" i="7"/>
  <c r="IUZ36" i="7"/>
  <c r="IUY36" i="7"/>
  <c r="IUX36" i="7"/>
  <c r="IUW36" i="7"/>
  <c r="IUV36" i="7"/>
  <c r="IUU36" i="7"/>
  <c r="IUT36" i="7"/>
  <c r="IUS36" i="7"/>
  <c r="IUR36" i="7"/>
  <c r="IUQ36" i="7"/>
  <c r="IUP36" i="7"/>
  <c r="IUO36" i="7"/>
  <c r="IUN36" i="7"/>
  <c r="IUM36" i="7"/>
  <c r="IUL36" i="7"/>
  <c r="IUK36" i="7"/>
  <c r="IUJ36" i="7"/>
  <c r="IUI36" i="7"/>
  <c r="IUH36" i="7"/>
  <c r="IUG36" i="7"/>
  <c r="IUF36" i="7"/>
  <c r="IUE36" i="7"/>
  <c r="IUD36" i="7"/>
  <c r="IUC36" i="7"/>
  <c r="IUB36" i="7"/>
  <c r="IUA36" i="7"/>
  <c r="ITZ36" i="7"/>
  <c r="ITY36" i="7"/>
  <c r="ITX36" i="7"/>
  <c r="ITW36" i="7"/>
  <c r="ITV36" i="7"/>
  <c r="ITU36" i="7"/>
  <c r="ITT36" i="7"/>
  <c r="ITS36" i="7"/>
  <c r="ITR36" i="7"/>
  <c r="ITQ36" i="7"/>
  <c r="ITP36" i="7"/>
  <c r="ITO36" i="7"/>
  <c r="ITN36" i="7"/>
  <c r="ITM36" i="7"/>
  <c r="ITL36" i="7"/>
  <c r="ITK36" i="7"/>
  <c r="ITJ36" i="7"/>
  <c r="ITI36" i="7"/>
  <c r="ITH36" i="7"/>
  <c r="ITG36" i="7"/>
  <c r="ITF36" i="7"/>
  <c r="ITE36" i="7"/>
  <c r="ITD36" i="7"/>
  <c r="ITC36" i="7"/>
  <c r="ITB36" i="7"/>
  <c r="ITA36" i="7"/>
  <c r="ISZ36" i="7"/>
  <c r="ISY36" i="7"/>
  <c r="ISX36" i="7"/>
  <c r="ISW36" i="7"/>
  <c r="ISV36" i="7"/>
  <c r="ISU36" i="7"/>
  <c r="IST36" i="7"/>
  <c r="ISS36" i="7"/>
  <c r="ISR36" i="7"/>
  <c r="ISQ36" i="7"/>
  <c r="ISP36" i="7"/>
  <c r="ISO36" i="7"/>
  <c r="ISN36" i="7"/>
  <c r="ISM36" i="7"/>
  <c r="ISL36" i="7"/>
  <c r="ISK36" i="7"/>
  <c r="ISJ36" i="7"/>
  <c r="ISI36" i="7"/>
  <c r="ISH36" i="7"/>
  <c r="ISG36" i="7"/>
  <c r="ISF36" i="7"/>
  <c r="ISE36" i="7"/>
  <c r="ISD36" i="7"/>
  <c r="ISC36" i="7"/>
  <c r="ISB36" i="7"/>
  <c r="ISA36" i="7"/>
  <c r="IRZ36" i="7"/>
  <c r="IRY36" i="7"/>
  <c r="IRX36" i="7"/>
  <c r="IRW36" i="7"/>
  <c r="IRV36" i="7"/>
  <c r="IRU36" i="7"/>
  <c r="IRT36" i="7"/>
  <c r="IRS36" i="7"/>
  <c r="IRR36" i="7"/>
  <c r="IRQ36" i="7"/>
  <c r="IRP36" i="7"/>
  <c r="IRO36" i="7"/>
  <c r="IRN36" i="7"/>
  <c r="IRM36" i="7"/>
  <c r="IRL36" i="7"/>
  <c r="IRK36" i="7"/>
  <c r="IRJ36" i="7"/>
  <c r="IRI36" i="7"/>
  <c r="IRH36" i="7"/>
  <c r="IRG36" i="7"/>
  <c r="IRF36" i="7"/>
  <c r="IRE36" i="7"/>
  <c r="IRD36" i="7"/>
  <c r="IRC36" i="7"/>
  <c r="IRB36" i="7"/>
  <c r="IRA36" i="7"/>
  <c r="IQZ36" i="7"/>
  <c r="IQY36" i="7"/>
  <c r="IQX36" i="7"/>
  <c r="IQW36" i="7"/>
  <c r="IQV36" i="7"/>
  <c r="IQU36" i="7"/>
  <c r="IQT36" i="7"/>
  <c r="IQS36" i="7"/>
  <c r="IQR36" i="7"/>
  <c r="IQQ36" i="7"/>
  <c r="IQP36" i="7"/>
  <c r="IQO36" i="7"/>
  <c r="IQN36" i="7"/>
  <c r="IQM36" i="7"/>
  <c r="IQL36" i="7"/>
  <c r="IQK36" i="7"/>
  <c r="IQJ36" i="7"/>
  <c r="IQI36" i="7"/>
  <c r="IQH36" i="7"/>
  <c r="IQG36" i="7"/>
  <c r="IQF36" i="7"/>
  <c r="IQE36" i="7"/>
  <c r="IQD36" i="7"/>
  <c r="IQC36" i="7"/>
  <c r="IQB36" i="7"/>
  <c r="IQA36" i="7"/>
  <c r="IPZ36" i="7"/>
  <c r="IPY36" i="7"/>
  <c r="IPX36" i="7"/>
  <c r="IPW36" i="7"/>
  <c r="IPV36" i="7"/>
  <c r="IPU36" i="7"/>
  <c r="IPT36" i="7"/>
  <c r="IPS36" i="7"/>
  <c r="IPR36" i="7"/>
  <c r="IPQ36" i="7"/>
  <c r="IPP36" i="7"/>
  <c r="IPO36" i="7"/>
  <c r="IPN36" i="7"/>
  <c r="IPM36" i="7"/>
  <c r="IPL36" i="7"/>
  <c r="IPK36" i="7"/>
  <c r="IPJ36" i="7"/>
  <c r="IPI36" i="7"/>
  <c r="IPH36" i="7"/>
  <c r="IPG36" i="7"/>
  <c r="IPF36" i="7"/>
  <c r="IPE36" i="7"/>
  <c r="IPD36" i="7"/>
  <c r="IPC36" i="7"/>
  <c r="IPB36" i="7"/>
  <c r="IPA36" i="7"/>
  <c r="IOZ36" i="7"/>
  <c r="IOY36" i="7"/>
  <c r="IOX36" i="7"/>
  <c r="IOW36" i="7"/>
  <c r="IOV36" i="7"/>
  <c r="IOU36" i="7"/>
  <c r="IOT36" i="7"/>
  <c r="IOS36" i="7"/>
  <c r="IOR36" i="7"/>
  <c r="IOQ36" i="7"/>
  <c r="IOP36" i="7"/>
  <c r="IOO36" i="7"/>
  <c r="ION36" i="7"/>
  <c r="IOM36" i="7"/>
  <c r="IOL36" i="7"/>
  <c r="IOK36" i="7"/>
  <c r="IOJ36" i="7"/>
  <c r="IOI36" i="7"/>
  <c r="IOH36" i="7"/>
  <c r="IOG36" i="7"/>
  <c r="IOF36" i="7"/>
  <c r="IOE36" i="7"/>
  <c r="IOD36" i="7"/>
  <c r="IOC36" i="7"/>
  <c r="IOB36" i="7"/>
  <c r="IOA36" i="7"/>
  <c r="INZ36" i="7"/>
  <c r="INY36" i="7"/>
  <c r="INX36" i="7"/>
  <c r="INW36" i="7"/>
  <c r="INV36" i="7"/>
  <c r="INU36" i="7"/>
  <c r="INT36" i="7"/>
  <c r="INS36" i="7"/>
  <c r="INR36" i="7"/>
  <c r="INQ36" i="7"/>
  <c r="INP36" i="7"/>
  <c r="INO36" i="7"/>
  <c r="INN36" i="7"/>
  <c r="INM36" i="7"/>
  <c r="INL36" i="7"/>
  <c r="INK36" i="7"/>
  <c r="INJ36" i="7"/>
  <c r="INI36" i="7"/>
  <c r="INH36" i="7"/>
  <c r="ING36" i="7"/>
  <c r="INF36" i="7"/>
  <c r="INE36" i="7"/>
  <c r="IND36" i="7"/>
  <c r="INC36" i="7"/>
  <c r="INB36" i="7"/>
  <c r="INA36" i="7"/>
  <c r="IMZ36" i="7"/>
  <c r="IMY36" i="7"/>
  <c r="IMX36" i="7"/>
  <c r="IMW36" i="7"/>
  <c r="IMV36" i="7"/>
  <c r="IMU36" i="7"/>
  <c r="IMT36" i="7"/>
  <c r="IMS36" i="7"/>
  <c r="IMR36" i="7"/>
  <c r="IMQ36" i="7"/>
  <c r="IMP36" i="7"/>
  <c r="IMO36" i="7"/>
  <c r="IMN36" i="7"/>
  <c r="IMM36" i="7"/>
  <c r="IML36" i="7"/>
  <c r="IMK36" i="7"/>
  <c r="IMJ36" i="7"/>
  <c r="IMI36" i="7"/>
  <c r="IMH36" i="7"/>
  <c r="IMG36" i="7"/>
  <c r="IMF36" i="7"/>
  <c r="IME36" i="7"/>
  <c r="IMD36" i="7"/>
  <c r="IMC36" i="7"/>
  <c r="IMB36" i="7"/>
  <c r="IMA36" i="7"/>
  <c r="ILZ36" i="7"/>
  <c r="ILY36" i="7"/>
  <c r="ILX36" i="7"/>
  <c r="ILW36" i="7"/>
  <c r="ILV36" i="7"/>
  <c r="ILU36" i="7"/>
  <c r="ILT36" i="7"/>
  <c r="ILS36" i="7"/>
  <c r="ILR36" i="7"/>
  <c r="ILQ36" i="7"/>
  <c r="ILP36" i="7"/>
  <c r="ILO36" i="7"/>
  <c r="ILN36" i="7"/>
  <c r="ILM36" i="7"/>
  <c r="ILL36" i="7"/>
  <c r="ILK36" i="7"/>
  <c r="ILJ36" i="7"/>
  <c r="ILI36" i="7"/>
  <c r="ILH36" i="7"/>
  <c r="ILG36" i="7"/>
  <c r="ILF36" i="7"/>
  <c r="ILE36" i="7"/>
  <c r="ILD36" i="7"/>
  <c r="ILC36" i="7"/>
  <c r="ILB36" i="7"/>
  <c r="ILA36" i="7"/>
  <c r="IKZ36" i="7"/>
  <c r="IKY36" i="7"/>
  <c r="IKX36" i="7"/>
  <c r="IKW36" i="7"/>
  <c r="IKV36" i="7"/>
  <c r="IKU36" i="7"/>
  <c r="IKT36" i="7"/>
  <c r="IKS36" i="7"/>
  <c r="IKR36" i="7"/>
  <c r="IKQ36" i="7"/>
  <c r="IKP36" i="7"/>
  <c r="IKO36" i="7"/>
  <c r="IKN36" i="7"/>
  <c r="IKM36" i="7"/>
  <c r="IKL36" i="7"/>
  <c r="IKK36" i="7"/>
  <c r="IKJ36" i="7"/>
  <c r="IKI36" i="7"/>
  <c r="IKH36" i="7"/>
  <c r="IKG36" i="7"/>
  <c r="IKF36" i="7"/>
  <c r="IKE36" i="7"/>
  <c r="IKD36" i="7"/>
  <c r="IKC36" i="7"/>
  <c r="IKB36" i="7"/>
  <c r="IKA36" i="7"/>
  <c r="IJZ36" i="7"/>
  <c r="IJY36" i="7"/>
  <c r="IJX36" i="7"/>
  <c r="IJW36" i="7"/>
  <c r="IJV36" i="7"/>
  <c r="IJU36" i="7"/>
  <c r="IJT36" i="7"/>
  <c r="IJS36" i="7"/>
  <c r="IJR36" i="7"/>
  <c r="IJQ36" i="7"/>
  <c r="IJP36" i="7"/>
  <c r="IJO36" i="7"/>
  <c r="IJN36" i="7"/>
  <c r="IJM36" i="7"/>
  <c r="IJL36" i="7"/>
  <c r="IJK36" i="7"/>
  <c r="IJJ36" i="7"/>
  <c r="IJI36" i="7"/>
  <c r="IJH36" i="7"/>
  <c r="IJG36" i="7"/>
  <c r="IJF36" i="7"/>
  <c r="IJE36" i="7"/>
  <c r="IJD36" i="7"/>
  <c r="IJC36" i="7"/>
  <c r="IJB36" i="7"/>
  <c r="IJA36" i="7"/>
  <c r="IIZ36" i="7"/>
  <c r="IIY36" i="7"/>
  <c r="IIX36" i="7"/>
  <c r="IIW36" i="7"/>
  <c r="IIV36" i="7"/>
  <c r="IIU36" i="7"/>
  <c r="IIT36" i="7"/>
  <c r="IIS36" i="7"/>
  <c r="IIR36" i="7"/>
  <c r="IIQ36" i="7"/>
  <c r="IIP36" i="7"/>
  <c r="IIO36" i="7"/>
  <c r="IIN36" i="7"/>
  <c r="IIM36" i="7"/>
  <c r="IIL36" i="7"/>
  <c r="IIK36" i="7"/>
  <c r="IIJ36" i="7"/>
  <c r="III36" i="7"/>
  <c r="IIH36" i="7"/>
  <c r="IIG36" i="7"/>
  <c r="IIF36" i="7"/>
  <c r="IIE36" i="7"/>
  <c r="IID36" i="7"/>
  <c r="IIC36" i="7"/>
  <c r="IIB36" i="7"/>
  <c r="IIA36" i="7"/>
  <c r="IHZ36" i="7"/>
  <c r="IHY36" i="7"/>
  <c r="IHX36" i="7"/>
  <c r="IHW36" i="7"/>
  <c r="IHV36" i="7"/>
  <c r="IHU36" i="7"/>
  <c r="IHT36" i="7"/>
  <c r="IHS36" i="7"/>
  <c r="IHR36" i="7"/>
  <c r="IHQ36" i="7"/>
  <c r="IHP36" i="7"/>
  <c r="IHO36" i="7"/>
  <c r="IHN36" i="7"/>
  <c r="IHM36" i="7"/>
  <c r="IHL36" i="7"/>
  <c r="IHK36" i="7"/>
  <c r="IHJ36" i="7"/>
  <c r="IHI36" i="7"/>
  <c r="IHH36" i="7"/>
  <c r="IHG36" i="7"/>
  <c r="IHF36" i="7"/>
  <c r="IHE36" i="7"/>
  <c r="IHD36" i="7"/>
  <c r="IHC36" i="7"/>
  <c r="IHB36" i="7"/>
  <c r="IHA36" i="7"/>
  <c r="IGZ36" i="7"/>
  <c r="IGY36" i="7"/>
  <c r="IGX36" i="7"/>
  <c r="IGW36" i="7"/>
  <c r="IGV36" i="7"/>
  <c r="IGU36" i="7"/>
  <c r="IGT36" i="7"/>
  <c r="IGS36" i="7"/>
  <c r="IGR36" i="7"/>
  <c r="IGQ36" i="7"/>
  <c r="IGP36" i="7"/>
  <c r="IGO36" i="7"/>
  <c r="IGN36" i="7"/>
  <c r="IGM36" i="7"/>
  <c r="IGL36" i="7"/>
  <c r="IGK36" i="7"/>
  <c r="IGJ36" i="7"/>
  <c r="IGI36" i="7"/>
  <c r="IGH36" i="7"/>
  <c r="IGG36" i="7"/>
  <c r="IGF36" i="7"/>
  <c r="IGE36" i="7"/>
  <c r="IGD36" i="7"/>
  <c r="IGC36" i="7"/>
  <c r="IGB36" i="7"/>
  <c r="IGA36" i="7"/>
  <c r="IFZ36" i="7"/>
  <c r="IFY36" i="7"/>
  <c r="IFX36" i="7"/>
  <c r="IFW36" i="7"/>
  <c r="IFV36" i="7"/>
  <c r="IFU36" i="7"/>
  <c r="IFT36" i="7"/>
  <c r="IFS36" i="7"/>
  <c r="IFR36" i="7"/>
  <c r="IFQ36" i="7"/>
  <c r="IFP36" i="7"/>
  <c r="IFO36" i="7"/>
  <c r="IFN36" i="7"/>
  <c r="IFM36" i="7"/>
  <c r="IFL36" i="7"/>
  <c r="IFK36" i="7"/>
  <c r="IFJ36" i="7"/>
  <c r="IFI36" i="7"/>
  <c r="IFH36" i="7"/>
  <c r="IFG36" i="7"/>
  <c r="IFF36" i="7"/>
  <c r="IFE36" i="7"/>
  <c r="IFD36" i="7"/>
  <c r="IFC36" i="7"/>
  <c r="IFB36" i="7"/>
  <c r="IFA36" i="7"/>
  <c r="IEZ36" i="7"/>
  <c r="IEY36" i="7"/>
  <c r="IEX36" i="7"/>
  <c r="IEW36" i="7"/>
  <c r="IEV36" i="7"/>
  <c r="IEU36" i="7"/>
  <c r="IET36" i="7"/>
  <c r="IES36" i="7"/>
  <c r="IER36" i="7"/>
  <c r="IEQ36" i="7"/>
  <c r="IEP36" i="7"/>
  <c r="IEO36" i="7"/>
  <c r="IEN36" i="7"/>
  <c r="IEM36" i="7"/>
  <c r="IEL36" i="7"/>
  <c r="IEK36" i="7"/>
  <c r="IEJ36" i="7"/>
  <c r="IEI36" i="7"/>
  <c r="IEH36" i="7"/>
  <c r="IEG36" i="7"/>
  <c r="IEF36" i="7"/>
  <c r="IEE36" i="7"/>
  <c r="IED36" i="7"/>
  <c r="IEC36" i="7"/>
  <c r="IEB36" i="7"/>
  <c r="IEA36" i="7"/>
  <c r="IDZ36" i="7"/>
  <c r="IDY36" i="7"/>
  <c r="IDX36" i="7"/>
  <c r="IDW36" i="7"/>
  <c r="IDV36" i="7"/>
  <c r="IDU36" i="7"/>
  <c r="IDT36" i="7"/>
  <c r="IDS36" i="7"/>
  <c r="IDR36" i="7"/>
  <c r="IDQ36" i="7"/>
  <c r="IDP36" i="7"/>
  <c r="IDO36" i="7"/>
  <c r="IDN36" i="7"/>
  <c r="IDM36" i="7"/>
  <c r="IDL36" i="7"/>
  <c r="IDK36" i="7"/>
  <c r="IDJ36" i="7"/>
  <c r="IDI36" i="7"/>
  <c r="IDH36" i="7"/>
  <c r="IDG36" i="7"/>
  <c r="IDF36" i="7"/>
  <c r="IDE36" i="7"/>
  <c r="IDD36" i="7"/>
  <c r="IDC36" i="7"/>
  <c r="IDB36" i="7"/>
  <c r="IDA36" i="7"/>
  <c r="ICZ36" i="7"/>
  <c r="ICY36" i="7"/>
  <c r="ICX36" i="7"/>
  <c r="ICW36" i="7"/>
  <c r="ICV36" i="7"/>
  <c r="ICU36" i="7"/>
  <c r="ICT36" i="7"/>
  <c r="ICS36" i="7"/>
  <c r="ICR36" i="7"/>
  <c r="ICQ36" i="7"/>
  <c r="ICP36" i="7"/>
  <c r="ICO36" i="7"/>
  <c r="ICN36" i="7"/>
  <c r="ICM36" i="7"/>
  <c r="ICL36" i="7"/>
  <c r="ICK36" i="7"/>
  <c r="ICJ36" i="7"/>
  <c r="ICI36" i="7"/>
  <c r="ICH36" i="7"/>
  <c r="ICG36" i="7"/>
  <c r="ICF36" i="7"/>
  <c r="ICE36" i="7"/>
  <c r="ICD36" i="7"/>
  <c r="ICC36" i="7"/>
  <c r="ICB36" i="7"/>
  <c r="ICA36" i="7"/>
  <c r="IBZ36" i="7"/>
  <c r="IBY36" i="7"/>
  <c r="IBX36" i="7"/>
  <c r="IBW36" i="7"/>
  <c r="IBV36" i="7"/>
  <c r="IBU36" i="7"/>
  <c r="IBT36" i="7"/>
  <c r="IBS36" i="7"/>
  <c r="IBR36" i="7"/>
  <c r="IBQ36" i="7"/>
  <c r="IBP36" i="7"/>
  <c r="IBO36" i="7"/>
  <c r="IBN36" i="7"/>
  <c r="IBM36" i="7"/>
  <c r="IBL36" i="7"/>
  <c r="IBK36" i="7"/>
  <c r="IBJ36" i="7"/>
  <c r="IBI36" i="7"/>
  <c r="IBH36" i="7"/>
  <c r="IBG36" i="7"/>
  <c r="IBF36" i="7"/>
  <c r="IBE36" i="7"/>
  <c r="IBD36" i="7"/>
  <c r="IBC36" i="7"/>
  <c r="IBB36" i="7"/>
  <c r="IBA36" i="7"/>
  <c r="IAZ36" i="7"/>
  <c r="IAY36" i="7"/>
  <c r="IAX36" i="7"/>
  <c r="IAW36" i="7"/>
  <c r="IAV36" i="7"/>
  <c r="IAU36" i="7"/>
  <c r="IAT36" i="7"/>
  <c r="IAS36" i="7"/>
  <c r="IAR36" i="7"/>
  <c r="IAQ36" i="7"/>
  <c r="IAP36" i="7"/>
  <c r="IAO36" i="7"/>
  <c r="IAN36" i="7"/>
  <c r="IAM36" i="7"/>
  <c r="IAL36" i="7"/>
  <c r="IAK36" i="7"/>
  <c r="IAJ36" i="7"/>
  <c r="IAI36" i="7"/>
  <c r="IAH36" i="7"/>
  <c r="IAG36" i="7"/>
  <c r="IAF36" i="7"/>
  <c r="IAE36" i="7"/>
  <c r="IAD36" i="7"/>
  <c r="IAC36" i="7"/>
  <c r="IAB36" i="7"/>
  <c r="IAA36" i="7"/>
  <c r="HZZ36" i="7"/>
  <c r="HZY36" i="7"/>
  <c r="HZX36" i="7"/>
  <c r="HZW36" i="7"/>
  <c r="HZV36" i="7"/>
  <c r="HZU36" i="7"/>
  <c r="HZT36" i="7"/>
  <c r="HZS36" i="7"/>
  <c r="HZR36" i="7"/>
  <c r="HZQ36" i="7"/>
  <c r="HZP36" i="7"/>
  <c r="HZO36" i="7"/>
  <c r="HZN36" i="7"/>
  <c r="HZM36" i="7"/>
  <c r="HZL36" i="7"/>
  <c r="HZK36" i="7"/>
  <c r="HZJ36" i="7"/>
  <c r="HZI36" i="7"/>
  <c r="HZH36" i="7"/>
  <c r="HZG36" i="7"/>
  <c r="HZF36" i="7"/>
  <c r="HZE36" i="7"/>
  <c r="HZD36" i="7"/>
  <c r="HZC36" i="7"/>
  <c r="HZB36" i="7"/>
  <c r="HZA36" i="7"/>
  <c r="HYZ36" i="7"/>
  <c r="HYY36" i="7"/>
  <c r="HYX36" i="7"/>
  <c r="HYW36" i="7"/>
  <c r="HYV36" i="7"/>
  <c r="HYU36" i="7"/>
  <c r="HYT36" i="7"/>
  <c r="HYS36" i="7"/>
  <c r="HYR36" i="7"/>
  <c r="HYQ36" i="7"/>
  <c r="HYP36" i="7"/>
  <c r="HYO36" i="7"/>
  <c r="HYN36" i="7"/>
  <c r="HYM36" i="7"/>
  <c r="HYL36" i="7"/>
  <c r="HYK36" i="7"/>
  <c r="HYJ36" i="7"/>
  <c r="HYI36" i="7"/>
  <c r="HYH36" i="7"/>
  <c r="HYG36" i="7"/>
  <c r="HYF36" i="7"/>
  <c r="HYE36" i="7"/>
  <c r="HYD36" i="7"/>
  <c r="HYC36" i="7"/>
  <c r="HYB36" i="7"/>
  <c r="HYA36" i="7"/>
  <c r="HXZ36" i="7"/>
  <c r="HXY36" i="7"/>
  <c r="HXX36" i="7"/>
  <c r="HXW36" i="7"/>
  <c r="HXV36" i="7"/>
  <c r="HXU36" i="7"/>
  <c r="HXT36" i="7"/>
  <c r="HXS36" i="7"/>
  <c r="HXR36" i="7"/>
  <c r="HXQ36" i="7"/>
  <c r="HXP36" i="7"/>
  <c r="HXO36" i="7"/>
  <c r="HXN36" i="7"/>
  <c r="HXM36" i="7"/>
  <c r="HXL36" i="7"/>
  <c r="HXK36" i="7"/>
  <c r="HXJ36" i="7"/>
  <c r="HXI36" i="7"/>
  <c r="HXH36" i="7"/>
  <c r="HXG36" i="7"/>
  <c r="HXF36" i="7"/>
  <c r="HXE36" i="7"/>
  <c r="HXD36" i="7"/>
  <c r="HXC36" i="7"/>
  <c r="HXB36" i="7"/>
  <c r="HXA36" i="7"/>
  <c r="HWZ36" i="7"/>
  <c r="HWY36" i="7"/>
  <c r="HWX36" i="7"/>
  <c r="HWW36" i="7"/>
  <c r="HWV36" i="7"/>
  <c r="HWU36" i="7"/>
  <c r="HWT36" i="7"/>
  <c r="HWS36" i="7"/>
  <c r="HWR36" i="7"/>
  <c r="HWQ36" i="7"/>
  <c r="HWP36" i="7"/>
  <c r="HWO36" i="7"/>
  <c r="HWN36" i="7"/>
  <c r="HWM36" i="7"/>
  <c r="HWL36" i="7"/>
  <c r="HWK36" i="7"/>
  <c r="HWJ36" i="7"/>
  <c r="HWI36" i="7"/>
  <c r="HWH36" i="7"/>
  <c r="HWG36" i="7"/>
  <c r="HWF36" i="7"/>
  <c r="HWE36" i="7"/>
  <c r="HWD36" i="7"/>
  <c r="HWC36" i="7"/>
  <c r="HWB36" i="7"/>
  <c r="HWA36" i="7"/>
  <c r="HVZ36" i="7"/>
  <c r="HVY36" i="7"/>
  <c r="HVX36" i="7"/>
  <c r="HVW36" i="7"/>
  <c r="HVV36" i="7"/>
  <c r="HVU36" i="7"/>
  <c r="HVT36" i="7"/>
  <c r="HVS36" i="7"/>
  <c r="HVR36" i="7"/>
  <c r="HVQ36" i="7"/>
  <c r="HVP36" i="7"/>
  <c r="HVO36" i="7"/>
  <c r="HVN36" i="7"/>
  <c r="HVM36" i="7"/>
  <c r="HVL36" i="7"/>
  <c r="HVK36" i="7"/>
  <c r="HVJ36" i="7"/>
  <c r="HVI36" i="7"/>
  <c r="HVH36" i="7"/>
  <c r="HVG36" i="7"/>
  <c r="HVF36" i="7"/>
  <c r="HVE36" i="7"/>
  <c r="HVD36" i="7"/>
  <c r="HVC36" i="7"/>
  <c r="HVB36" i="7"/>
  <c r="HVA36" i="7"/>
  <c r="HUZ36" i="7"/>
  <c r="HUY36" i="7"/>
  <c r="HUX36" i="7"/>
  <c r="HUW36" i="7"/>
  <c r="HUV36" i="7"/>
  <c r="HUU36" i="7"/>
  <c r="HUT36" i="7"/>
  <c r="HUS36" i="7"/>
  <c r="HUR36" i="7"/>
  <c r="HUQ36" i="7"/>
  <c r="HUP36" i="7"/>
  <c r="HUO36" i="7"/>
  <c r="HUN36" i="7"/>
  <c r="HUM36" i="7"/>
  <c r="HUL36" i="7"/>
  <c r="HUK36" i="7"/>
  <c r="HUJ36" i="7"/>
  <c r="HUI36" i="7"/>
  <c r="HUH36" i="7"/>
  <c r="HUG36" i="7"/>
  <c r="HUF36" i="7"/>
  <c r="HUE36" i="7"/>
  <c r="HUD36" i="7"/>
  <c r="HUC36" i="7"/>
  <c r="HUB36" i="7"/>
  <c r="HUA36" i="7"/>
  <c r="HTZ36" i="7"/>
  <c r="HTY36" i="7"/>
  <c r="HTX36" i="7"/>
  <c r="HTW36" i="7"/>
  <c r="HTV36" i="7"/>
  <c r="HTU36" i="7"/>
  <c r="HTT36" i="7"/>
  <c r="HTS36" i="7"/>
  <c r="HTR36" i="7"/>
  <c r="HTQ36" i="7"/>
  <c r="HTP36" i="7"/>
  <c r="HTO36" i="7"/>
  <c r="HTN36" i="7"/>
  <c r="HTM36" i="7"/>
  <c r="HTL36" i="7"/>
  <c r="HTK36" i="7"/>
  <c r="HTJ36" i="7"/>
  <c r="HTI36" i="7"/>
  <c r="HTH36" i="7"/>
  <c r="HTG36" i="7"/>
  <c r="HTF36" i="7"/>
  <c r="HTE36" i="7"/>
  <c r="HTD36" i="7"/>
  <c r="HTC36" i="7"/>
  <c r="HTB36" i="7"/>
  <c r="HTA36" i="7"/>
  <c r="HSZ36" i="7"/>
  <c r="HSY36" i="7"/>
  <c r="HSX36" i="7"/>
  <c r="HSW36" i="7"/>
  <c r="HSV36" i="7"/>
  <c r="HSU36" i="7"/>
  <c r="HST36" i="7"/>
  <c r="HSS36" i="7"/>
  <c r="HSR36" i="7"/>
  <c r="HSQ36" i="7"/>
  <c r="HSP36" i="7"/>
  <c r="HSO36" i="7"/>
  <c r="HSN36" i="7"/>
  <c r="HSM36" i="7"/>
  <c r="HSL36" i="7"/>
  <c r="HSK36" i="7"/>
  <c r="HSJ36" i="7"/>
  <c r="HSI36" i="7"/>
  <c r="HSH36" i="7"/>
  <c r="HSG36" i="7"/>
  <c r="HSF36" i="7"/>
  <c r="HSE36" i="7"/>
  <c r="HSD36" i="7"/>
  <c r="HSC36" i="7"/>
  <c r="HSB36" i="7"/>
  <c r="HSA36" i="7"/>
  <c r="HRZ36" i="7"/>
  <c r="HRY36" i="7"/>
  <c r="HRX36" i="7"/>
  <c r="HRW36" i="7"/>
  <c r="HRV36" i="7"/>
  <c r="HRU36" i="7"/>
  <c r="HRT36" i="7"/>
  <c r="HRS36" i="7"/>
  <c r="HRR36" i="7"/>
  <c r="HRQ36" i="7"/>
  <c r="HRP36" i="7"/>
  <c r="HRO36" i="7"/>
  <c r="HRN36" i="7"/>
  <c r="HRM36" i="7"/>
  <c r="HRL36" i="7"/>
  <c r="HRK36" i="7"/>
  <c r="HRJ36" i="7"/>
  <c r="HRI36" i="7"/>
  <c r="HRH36" i="7"/>
  <c r="HRG36" i="7"/>
  <c r="HRF36" i="7"/>
  <c r="HRE36" i="7"/>
  <c r="HRD36" i="7"/>
  <c r="HRC36" i="7"/>
  <c r="HRB36" i="7"/>
  <c r="HRA36" i="7"/>
  <c r="HQZ36" i="7"/>
  <c r="HQY36" i="7"/>
  <c r="HQX36" i="7"/>
  <c r="HQW36" i="7"/>
  <c r="HQV36" i="7"/>
  <c r="HQU36" i="7"/>
  <c r="HQT36" i="7"/>
  <c r="HQS36" i="7"/>
  <c r="HQR36" i="7"/>
  <c r="HQQ36" i="7"/>
  <c r="HQP36" i="7"/>
  <c r="HQO36" i="7"/>
  <c r="HQN36" i="7"/>
  <c r="HQM36" i="7"/>
  <c r="HQL36" i="7"/>
  <c r="HQK36" i="7"/>
  <c r="HQJ36" i="7"/>
  <c r="HQI36" i="7"/>
  <c r="HQH36" i="7"/>
  <c r="HQG36" i="7"/>
  <c r="HQF36" i="7"/>
  <c r="HQE36" i="7"/>
  <c r="HQD36" i="7"/>
  <c r="HQC36" i="7"/>
  <c r="HQB36" i="7"/>
  <c r="HQA36" i="7"/>
  <c r="HPZ36" i="7"/>
  <c r="HPY36" i="7"/>
  <c r="HPX36" i="7"/>
  <c r="HPW36" i="7"/>
  <c r="HPV36" i="7"/>
  <c r="HPU36" i="7"/>
  <c r="HPT36" i="7"/>
  <c r="HPS36" i="7"/>
  <c r="HPR36" i="7"/>
  <c r="HPQ36" i="7"/>
  <c r="HPP36" i="7"/>
  <c r="HPO36" i="7"/>
  <c r="HPN36" i="7"/>
  <c r="HPM36" i="7"/>
  <c r="HPL36" i="7"/>
  <c r="HPK36" i="7"/>
  <c r="HPJ36" i="7"/>
  <c r="HPI36" i="7"/>
  <c r="HPH36" i="7"/>
  <c r="HPG36" i="7"/>
  <c r="HPF36" i="7"/>
  <c r="HPE36" i="7"/>
  <c r="HPD36" i="7"/>
  <c r="HPC36" i="7"/>
  <c r="HPB36" i="7"/>
  <c r="HPA36" i="7"/>
  <c r="HOZ36" i="7"/>
  <c r="HOY36" i="7"/>
  <c r="HOX36" i="7"/>
  <c r="HOW36" i="7"/>
  <c r="HOV36" i="7"/>
  <c r="HOU36" i="7"/>
  <c r="HOT36" i="7"/>
  <c r="HOS36" i="7"/>
  <c r="HOR36" i="7"/>
  <c r="HOQ36" i="7"/>
  <c r="HOP36" i="7"/>
  <c r="HOO36" i="7"/>
  <c r="HON36" i="7"/>
  <c r="HOM36" i="7"/>
  <c r="HOL36" i="7"/>
  <c r="HOK36" i="7"/>
  <c r="HOJ36" i="7"/>
  <c r="HOI36" i="7"/>
  <c r="HOH36" i="7"/>
  <c r="HOG36" i="7"/>
  <c r="HOF36" i="7"/>
  <c r="HOE36" i="7"/>
  <c r="HOD36" i="7"/>
  <c r="HOC36" i="7"/>
  <c r="HOB36" i="7"/>
  <c r="HOA36" i="7"/>
  <c r="HNZ36" i="7"/>
  <c r="HNY36" i="7"/>
  <c r="HNX36" i="7"/>
  <c r="HNW36" i="7"/>
  <c r="HNV36" i="7"/>
  <c r="HNU36" i="7"/>
  <c r="HNT36" i="7"/>
  <c r="HNS36" i="7"/>
  <c r="HNR36" i="7"/>
  <c r="HNQ36" i="7"/>
  <c r="HNP36" i="7"/>
  <c r="HNO36" i="7"/>
  <c r="HNN36" i="7"/>
  <c r="HNM36" i="7"/>
  <c r="HNL36" i="7"/>
  <c r="HNK36" i="7"/>
  <c r="HNJ36" i="7"/>
  <c r="HNI36" i="7"/>
  <c r="HNH36" i="7"/>
  <c r="HNG36" i="7"/>
  <c r="HNF36" i="7"/>
  <c r="HNE36" i="7"/>
  <c r="HND36" i="7"/>
  <c r="HNC36" i="7"/>
  <c r="HNB36" i="7"/>
  <c r="HNA36" i="7"/>
  <c r="HMZ36" i="7"/>
  <c r="HMY36" i="7"/>
  <c r="HMX36" i="7"/>
  <c r="HMW36" i="7"/>
  <c r="HMV36" i="7"/>
  <c r="HMU36" i="7"/>
  <c r="HMT36" i="7"/>
  <c r="HMS36" i="7"/>
  <c r="HMR36" i="7"/>
  <c r="HMQ36" i="7"/>
  <c r="HMP36" i="7"/>
  <c r="HMO36" i="7"/>
  <c r="HMN36" i="7"/>
  <c r="HMM36" i="7"/>
  <c r="HML36" i="7"/>
  <c r="HMK36" i="7"/>
  <c r="HMJ36" i="7"/>
  <c r="HMI36" i="7"/>
  <c r="HMH36" i="7"/>
  <c r="HMG36" i="7"/>
  <c r="HMF36" i="7"/>
  <c r="HME36" i="7"/>
  <c r="HMD36" i="7"/>
  <c r="HMC36" i="7"/>
  <c r="HMB36" i="7"/>
  <c r="HMA36" i="7"/>
  <c r="HLZ36" i="7"/>
  <c r="HLY36" i="7"/>
  <c r="HLX36" i="7"/>
  <c r="HLW36" i="7"/>
  <c r="HLV36" i="7"/>
  <c r="HLU36" i="7"/>
  <c r="HLT36" i="7"/>
  <c r="HLS36" i="7"/>
  <c r="HLR36" i="7"/>
  <c r="HLQ36" i="7"/>
  <c r="HLP36" i="7"/>
  <c r="HLO36" i="7"/>
  <c r="HLN36" i="7"/>
  <c r="HLM36" i="7"/>
  <c r="HLL36" i="7"/>
  <c r="HLK36" i="7"/>
  <c r="HLJ36" i="7"/>
  <c r="HLI36" i="7"/>
  <c r="HLH36" i="7"/>
  <c r="HLG36" i="7"/>
  <c r="HLF36" i="7"/>
  <c r="HLE36" i="7"/>
  <c r="HLD36" i="7"/>
  <c r="HLC36" i="7"/>
  <c r="HLB36" i="7"/>
  <c r="HLA36" i="7"/>
  <c r="HKZ36" i="7"/>
  <c r="HKY36" i="7"/>
  <c r="HKX36" i="7"/>
  <c r="HKW36" i="7"/>
  <c r="HKV36" i="7"/>
  <c r="HKU36" i="7"/>
  <c r="HKT36" i="7"/>
  <c r="HKS36" i="7"/>
  <c r="HKR36" i="7"/>
  <c r="HKQ36" i="7"/>
  <c r="HKP36" i="7"/>
  <c r="HKO36" i="7"/>
  <c r="HKN36" i="7"/>
  <c r="HKM36" i="7"/>
  <c r="HKL36" i="7"/>
  <c r="HKK36" i="7"/>
  <c r="HKJ36" i="7"/>
  <c r="HKI36" i="7"/>
  <c r="HKH36" i="7"/>
  <c r="HKG36" i="7"/>
  <c r="HKF36" i="7"/>
  <c r="HKE36" i="7"/>
  <c r="HKD36" i="7"/>
  <c r="HKC36" i="7"/>
  <c r="HKB36" i="7"/>
  <c r="HKA36" i="7"/>
  <c r="HJZ36" i="7"/>
  <c r="HJY36" i="7"/>
  <c r="HJX36" i="7"/>
  <c r="HJW36" i="7"/>
  <c r="HJV36" i="7"/>
  <c r="HJU36" i="7"/>
  <c r="HJT36" i="7"/>
  <c r="HJS36" i="7"/>
  <c r="HJR36" i="7"/>
  <c r="HJQ36" i="7"/>
  <c r="HJP36" i="7"/>
  <c r="HJO36" i="7"/>
  <c r="HJN36" i="7"/>
  <c r="HJM36" i="7"/>
  <c r="HJL36" i="7"/>
  <c r="HJK36" i="7"/>
  <c r="HJJ36" i="7"/>
  <c r="HJI36" i="7"/>
  <c r="HJH36" i="7"/>
  <c r="HJG36" i="7"/>
  <c r="HJF36" i="7"/>
  <c r="HJE36" i="7"/>
  <c r="HJD36" i="7"/>
  <c r="HJC36" i="7"/>
  <c r="HJB36" i="7"/>
  <c r="HJA36" i="7"/>
  <c r="HIZ36" i="7"/>
  <c r="HIY36" i="7"/>
  <c r="HIX36" i="7"/>
  <c r="HIW36" i="7"/>
  <c r="HIV36" i="7"/>
  <c r="HIU36" i="7"/>
  <c r="HIT36" i="7"/>
  <c r="HIS36" i="7"/>
  <c r="HIR36" i="7"/>
  <c r="HIQ36" i="7"/>
  <c r="HIP36" i="7"/>
  <c r="HIO36" i="7"/>
  <c r="HIN36" i="7"/>
  <c r="HIM36" i="7"/>
  <c r="HIL36" i="7"/>
  <c r="HIK36" i="7"/>
  <c r="HIJ36" i="7"/>
  <c r="HII36" i="7"/>
  <c r="HIH36" i="7"/>
  <c r="HIG36" i="7"/>
  <c r="HIF36" i="7"/>
  <c r="HIE36" i="7"/>
  <c r="HID36" i="7"/>
  <c r="HIC36" i="7"/>
  <c r="HIB36" i="7"/>
  <c r="HIA36" i="7"/>
  <c r="HHZ36" i="7"/>
  <c r="HHY36" i="7"/>
  <c r="HHX36" i="7"/>
  <c r="HHW36" i="7"/>
  <c r="HHV36" i="7"/>
  <c r="HHU36" i="7"/>
  <c r="HHT36" i="7"/>
  <c r="HHS36" i="7"/>
  <c r="HHR36" i="7"/>
  <c r="HHQ36" i="7"/>
  <c r="HHP36" i="7"/>
  <c r="HHO36" i="7"/>
  <c r="HHN36" i="7"/>
  <c r="HHM36" i="7"/>
  <c r="HHL36" i="7"/>
  <c r="HHK36" i="7"/>
  <c r="HHJ36" i="7"/>
  <c r="HHI36" i="7"/>
  <c r="HHH36" i="7"/>
  <c r="HHG36" i="7"/>
  <c r="HHF36" i="7"/>
  <c r="HHE36" i="7"/>
  <c r="HHD36" i="7"/>
  <c r="HHC36" i="7"/>
  <c r="HHB36" i="7"/>
  <c r="HHA36" i="7"/>
  <c r="HGZ36" i="7"/>
  <c r="HGY36" i="7"/>
  <c r="HGX36" i="7"/>
  <c r="HGW36" i="7"/>
  <c r="HGV36" i="7"/>
  <c r="HGU36" i="7"/>
  <c r="HGT36" i="7"/>
  <c r="HGS36" i="7"/>
  <c r="HGR36" i="7"/>
  <c r="HGQ36" i="7"/>
  <c r="HGP36" i="7"/>
  <c r="HGO36" i="7"/>
  <c r="HGN36" i="7"/>
  <c r="HGM36" i="7"/>
  <c r="HGL36" i="7"/>
  <c r="HGK36" i="7"/>
  <c r="HGJ36" i="7"/>
  <c r="HGI36" i="7"/>
  <c r="HGH36" i="7"/>
  <c r="HGG36" i="7"/>
  <c r="HGF36" i="7"/>
  <c r="HGE36" i="7"/>
  <c r="HGD36" i="7"/>
  <c r="HGC36" i="7"/>
  <c r="HGB36" i="7"/>
  <c r="HGA36" i="7"/>
  <c r="HFZ36" i="7"/>
  <c r="HFY36" i="7"/>
  <c r="HFX36" i="7"/>
  <c r="HFW36" i="7"/>
  <c r="HFV36" i="7"/>
  <c r="HFU36" i="7"/>
  <c r="HFT36" i="7"/>
  <c r="HFS36" i="7"/>
  <c r="HFR36" i="7"/>
  <c r="HFQ36" i="7"/>
  <c r="HFP36" i="7"/>
  <c r="HFO36" i="7"/>
  <c r="HFN36" i="7"/>
  <c r="HFM36" i="7"/>
  <c r="HFL36" i="7"/>
  <c r="HFK36" i="7"/>
  <c r="HFJ36" i="7"/>
  <c r="HFI36" i="7"/>
  <c r="HFH36" i="7"/>
  <c r="HFG36" i="7"/>
  <c r="HFF36" i="7"/>
  <c r="HFE36" i="7"/>
  <c r="HFD36" i="7"/>
  <c r="HFC36" i="7"/>
  <c r="HFB36" i="7"/>
  <c r="HFA36" i="7"/>
  <c r="HEZ36" i="7"/>
  <c r="HEY36" i="7"/>
  <c r="HEX36" i="7"/>
  <c r="HEW36" i="7"/>
  <c r="HEV36" i="7"/>
  <c r="HEU36" i="7"/>
  <c r="HET36" i="7"/>
  <c r="HES36" i="7"/>
  <c r="HER36" i="7"/>
  <c r="HEQ36" i="7"/>
  <c r="HEP36" i="7"/>
  <c r="HEO36" i="7"/>
  <c r="HEN36" i="7"/>
  <c r="HEM36" i="7"/>
  <c r="HEL36" i="7"/>
  <c r="HEK36" i="7"/>
  <c r="HEJ36" i="7"/>
  <c r="HEI36" i="7"/>
  <c r="HEH36" i="7"/>
  <c r="HEG36" i="7"/>
  <c r="HEF36" i="7"/>
  <c r="HEE36" i="7"/>
  <c r="HED36" i="7"/>
  <c r="HEC36" i="7"/>
  <c r="HEB36" i="7"/>
  <c r="HEA36" i="7"/>
  <c r="HDZ36" i="7"/>
  <c r="HDY36" i="7"/>
  <c r="HDX36" i="7"/>
  <c r="HDW36" i="7"/>
  <c r="HDV36" i="7"/>
  <c r="HDU36" i="7"/>
  <c r="HDT36" i="7"/>
  <c r="HDS36" i="7"/>
  <c r="HDR36" i="7"/>
  <c r="HDQ36" i="7"/>
  <c r="HDP36" i="7"/>
  <c r="HDO36" i="7"/>
  <c r="HDN36" i="7"/>
  <c r="HDM36" i="7"/>
  <c r="HDL36" i="7"/>
  <c r="HDK36" i="7"/>
  <c r="HDJ36" i="7"/>
  <c r="HDI36" i="7"/>
  <c r="HDH36" i="7"/>
  <c r="HDG36" i="7"/>
  <c r="HDF36" i="7"/>
  <c r="HDE36" i="7"/>
  <c r="HDD36" i="7"/>
  <c r="HDC36" i="7"/>
  <c r="HDB36" i="7"/>
  <c r="HDA36" i="7"/>
  <c r="HCZ36" i="7"/>
  <c r="HCY36" i="7"/>
  <c r="HCX36" i="7"/>
  <c r="HCW36" i="7"/>
  <c r="HCV36" i="7"/>
  <c r="HCU36" i="7"/>
  <c r="HCT36" i="7"/>
  <c r="HCS36" i="7"/>
  <c r="HCR36" i="7"/>
  <c r="HCQ36" i="7"/>
  <c r="HCP36" i="7"/>
  <c r="HCO36" i="7"/>
  <c r="HCN36" i="7"/>
  <c r="HCM36" i="7"/>
  <c r="HCL36" i="7"/>
  <c r="HCK36" i="7"/>
  <c r="HCJ36" i="7"/>
  <c r="HCI36" i="7"/>
  <c r="HCH36" i="7"/>
  <c r="HCG36" i="7"/>
  <c r="HCF36" i="7"/>
  <c r="HCE36" i="7"/>
  <c r="HCD36" i="7"/>
  <c r="HCC36" i="7"/>
  <c r="HCB36" i="7"/>
  <c r="HCA36" i="7"/>
  <c r="HBZ36" i="7"/>
  <c r="HBY36" i="7"/>
  <c r="HBX36" i="7"/>
  <c r="HBW36" i="7"/>
  <c r="HBV36" i="7"/>
  <c r="HBU36" i="7"/>
  <c r="HBT36" i="7"/>
  <c r="HBS36" i="7"/>
  <c r="HBR36" i="7"/>
  <c r="HBQ36" i="7"/>
  <c r="HBP36" i="7"/>
  <c r="HBO36" i="7"/>
  <c r="HBN36" i="7"/>
  <c r="HBM36" i="7"/>
  <c r="HBL36" i="7"/>
  <c r="HBK36" i="7"/>
  <c r="HBJ36" i="7"/>
  <c r="HBI36" i="7"/>
  <c r="HBH36" i="7"/>
  <c r="HBG36" i="7"/>
  <c r="HBF36" i="7"/>
  <c r="HBE36" i="7"/>
  <c r="HBD36" i="7"/>
  <c r="HBC36" i="7"/>
  <c r="HBB36" i="7"/>
  <c r="HBA36" i="7"/>
  <c r="HAZ36" i="7"/>
  <c r="HAY36" i="7"/>
  <c r="HAX36" i="7"/>
  <c r="HAW36" i="7"/>
  <c r="HAV36" i="7"/>
  <c r="HAU36" i="7"/>
  <c r="HAT36" i="7"/>
  <c r="HAS36" i="7"/>
  <c r="HAR36" i="7"/>
  <c r="HAQ36" i="7"/>
  <c r="HAP36" i="7"/>
  <c r="HAO36" i="7"/>
  <c r="HAN36" i="7"/>
  <c r="HAM36" i="7"/>
  <c r="HAL36" i="7"/>
  <c r="HAK36" i="7"/>
  <c r="HAJ36" i="7"/>
  <c r="HAI36" i="7"/>
  <c r="HAH36" i="7"/>
  <c r="HAG36" i="7"/>
  <c r="HAF36" i="7"/>
  <c r="HAE36" i="7"/>
  <c r="HAD36" i="7"/>
  <c r="HAC36" i="7"/>
  <c r="HAB36" i="7"/>
  <c r="HAA36" i="7"/>
  <c r="GZZ36" i="7"/>
  <c r="GZY36" i="7"/>
  <c r="GZX36" i="7"/>
  <c r="GZW36" i="7"/>
  <c r="GZV36" i="7"/>
  <c r="GZU36" i="7"/>
  <c r="GZT36" i="7"/>
  <c r="GZS36" i="7"/>
  <c r="GZR36" i="7"/>
  <c r="GZQ36" i="7"/>
  <c r="GZP36" i="7"/>
  <c r="GZO36" i="7"/>
  <c r="GZN36" i="7"/>
  <c r="GZM36" i="7"/>
  <c r="GZL36" i="7"/>
  <c r="GZK36" i="7"/>
  <c r="GZJ36" i="7"/>
  <c r="GZI36" i="7"/>
  <c r="GZH36" i="7"/>
  <c r="GZG36" i="7"/>
  <c r="GZF36" i="7"/>
  <c r="GZE36" i="7"/>
  <c r="GZD36" i="7"/>
  <c r="GZC36" i="7"/>
  <c r="GZB36" i="7"/>
  <c r="GZA36" i="7"/>
  <c r="GYZ36" i="7"/>
  <c r="GYY36" i="7"/>
  <c r="GYX36" i="7"/>
  <c r="GYW36" i="7"/>
  <c r="GYV36" i="7"/>
  <c r="GYU36" i="7"/>
  <c r="GYT36" i="7"/>
  <c r="GYS36" i="7"/>
  <c r="GYR36" i="7"/>
  <c r="GYQ36" i="7"/>
  <c r="GYP36" i="7"/>
  <c r="GYO36" i="7"/>
  <c r="GYN36" i="7"/>
  <c r="GYM36" i="7"/>
  <c r="GYL36" i="7"/>
  <c r="GYK36" i="7"/>
  <c r="GYJ36" i="7"/>
  <c r="GYI36" i="7"/>
  <c r="GYH36" i="7"/>
  <c r="GYG36" i="7"/>
  <c r="GYF36" i="7"/>
  <c r="GYE36" i="7"/>
  <c r="GYD36" i="7"/>
  <c r="GYC36" i="7"/>
  <c r="GYB36" i="7"/>
  <c r="GYA36" i="7"/>
  <c r="GXZ36" i="7"/>
  <c r="GXY36" i="7"/>
  <c r="GXX36" i="7"/>
  <c r="GXW36" i="7"/>
  <c r="GXV36" i="7"/>
  <c r="GXU36" i="7"/>
  <c r="GXT36" i="7"/>
  <c r="GXS36" i="7"/>
  <c r="GXR36" i="7"/>
  <c r="GXQ36" i="7"/>
  <c r="GXP36" i="7"/>
  <c r="GXO36" i="7"/>
  <c r="GXN36" i="7"/>
  <c r="GXM36" i="7"/>
  <c r="GXL36" i="7"/>
  <c r="GXK36" i="7"/>
  <c r="GXJ36" i="7"/>
  <c r="GXI36" i="7"/>
  <c r="GXH36" i="7"/>
  <c r="GXG36" i="7"/>
  <c r="GXF36" i="7"/>
  <c r="GXE36" i="7"/>
  <c r="GXD36" i="7"/>
  <c r="GXC36" i="7"/>
  <c r="GXB36" i="7"/>
  <c r="GXA36" i="7"/>
  <c r="GWZ36" i="7"/>
  <c r="GWY36" i="7"/>
  <c r="GWX36" i="7"/>
  <c r="GWW36" i="7"/>
  <c r="GWV36" i="7"/>
  <c r="GWU36" i="7"/>
  <c r="GWT36" i="7"/>
  <c r="GWS36" i="7"/>
  <c r="GWR36" i="7"/>
  <c r="GWQ36" i="7"/>
  <c r="GWP36" i="7"/>
  <c r="GWO36" i="7"/>
  <c r="GWN36" i="7"/>
  <c r="GWM36" i="7"/>
  <c r="GWL36" i="7"/>
  <c r="GWK36" i="7"/>
  <c r="GWJ36" i="7"/>
  <c r="GWI36" i="7"/>
  <c r="GWH36" i="7"/>
  <c r="GWG36" i="7"/>
  <c r="GWF36" i="7"/>
  <c r="GWE36" i="7"/>
  <c r="GWD36" i="7"/>
  <c r="GWC36" i="7"/>
  <c r="GWB36" i="7"/>
  <c r="GWA36" i="7"/>
  <c r="GVZ36" i="7"/>
  <c r="GVY36" i="7"/>
  <c r="GVX36" i="7"/>
  <c r="GVW36" i="7"/>
  <c r="GVV36" i="7"/>
  <c r="GVU36" i="7"/>
  <c r="GVT36" i="7"/>
  <c r="GVS36" i="7"/>
  <c r="GVR36" i="7"/>
  <c r="GVQ36" i="7"/>
  <c r="GVP36" i="7"/>
  <c r="GVO36" i="7"/>
  <c r="GVN36" i="7"/>
  <c r="GVM36" i="7"/>
  <c r="GVL36" i="7"/>
  <c r="GVK36" i="7"/>
  <c r="GVJ36" i="7"/>
  <c r="GVI36" i="7"/>
  <c r="GVH36" i="7"/>
  <c r="GVG36" i="7"/>
  <c r="GVF36" i="7"/>
  <c r="GVE36" i="7"/>
  <c r="GVD36" i="7"/>
  <c r="GVC36" i="7"/>
  <c r="GVB36" i="7"/>
  <c r="GVA36" i="7"/>
  <c r="GUZ36" i="7"/>
  <c r="GUY36" i="7"/>
  <c r="GUX36" i="7"/>
  <c r="GUW36" i="7"/>
  <c r="GUV36" i="7"/>
  <c r="GUU36" i="7"/>
  <c r="GUT36" i="7"/>
  <c r="GUS36" i="7"/>
  <c r="GUR36" i="7"/>
  <c r="GUQ36" i="7"/>
  <c r="GUP36" i="7"/>
  <c r="GUO36" i="7"/>
  <c r="GUN36" i="7"/>
  <c r="GUM36" i="7"/>
  <c r="GUL36" i="7"/>
  <c r="GUK36" i="7"/>
  <c r="GUJ36" i="7"/>
  <c r="GUI36" i="7"/>
  <c r="GUH36" i="7"/>
  <c r="GUG36" i="7"/>
  <c r="GUF36" i="7"/>
  <c r="GUE36" i="7"/>
  <c r="GUD36" i="7"/>
  <c r="GUC36" i="7"/>
  <c r="GUB36" i="7"/>
  <c r="GUA36" i="7"/>
  <c r="GTZ36" i="7"/>
  <c r="GTY36" i="7"/>
  <c r="GTX36" i="7"/>
  <c r="GTW36" i="7"/>
  <c r="GTV36" i="7"/>
  <c r="GTU36" i="7"/>
  <c r="GTT36" i="7"/>
  <c r="GTS36" i="7"/>
  <c r="GTR36" i="7"/>
  <c r="GTQ36" i="7"/>
  <c r="GTP36" i="7"/>
  <c r="GTO36" i="7"/>
  <c r="GTN36" i="7"/>
  <c r="GTM36" i="7"/>
  <c r="GTL36" i="7"/>
  <c r="GTK36" i="7"/>
  <c r="GTJ36" i="7"/>
  <c r="GTI36" i="7"/>
  <c r="GTH36" i="7"/>
  <c r="GTG36" i="7"/>
  <c r="GTF36" i="7"/>
  <c r="GTE36" i="7"/>
  <c r="GTD36" i="7"/>
  <c r="GTC36" i="7"/>
  <c r="GTB36" i="7"/>
  <c r="GTA36" i="7"/>
  <c r="GSZ36" i="7"/>
  <c r="GSY36" i="7"/>
  <c r="GSX36" i="7"/>
  <c r="GSW36" i="7"/>
  <c r="GSV36" i="7"/>
  <c r="GSU36" i="7"/>
  <c r="GST36" i="7"/>
  <c r="GSS36" i="7"/>
  <c r="GSR36" i="7"/>
  <c r="GSQ36" i="7"/>
  <c r="GSP36" i="7"/>
  <c r="GSO36" i="7"/>
  <c r="GSN36" i="7"/>
  <c r="GSM36" i="7"/>
  <c r="GSL36" i="7"/>
  <c r="GSK36" i="7"/>
  <c r="GSJ36" i="7"/>
  <c r="GSI36" i="7"/>
  <c r="GSH36" i="7"/>
  <c r="GSG36" i="7"/>
  <c r="GSF36" i="7"/>
  <c r="GSE36" i="7"/>
  <c r="GSD36" i="7"/>
  <c r="GSC36" i="7"/>
  <c r="GSB36" i="7"/>
  <c r="GSA36" i="7"/>
  <c r="GRZ36" i="7"/>
  <c r="GRY36" i="7"/>
  <c r="GRX36" i="7"/>
  <c r="GRW36" i="7"/>
  <c r="GRV36" i="7"/>
  <c r="GRU36" i="7"/>
  <c r="GRT36" i="7"/>
  <c r="GRS36" i="7"/>
  <c r="GRR36" i="7"/>
  <c r="GRQ36" i="7"/>
  <c r="GRP36" i="7"/>
  <c r="GRO36" i="7"/>
  <c r="GRN36" i="7"/>
  <c r="GRM36" i="7"/>
  <c r="GRL36" i="7"/>
  <c r="GRK36" i="7"/>
  <c r="GRJ36" i="7"/>
  <c r="GRI36" i="7"/>
  <c r="GRH36" i="7"/>
  <c r="GRG36" i="7"/>
  <c r="GRF36" i="7"/>
  <c r="GRE36" i="7"/>
  <c r="GRD36" i="7"/>
  <c r="GRC36" i="7"/>
  <c r="GRB36" i="7"/>
  <c r="GRA36" i="7"/>
  <c r="GQZ36" i="7"/>
  <c r="GQY36" i="7"/>
  <c r="GQX36" i="7"/>
  <c r="GQW36" i="7"/>
  <c r="GQV36" i="7"/>
  <c r="GQU36" i="7"/>
  <c r="GQT36" i="7"/>
  <c r="GQS36" i="7"/>
  <c r="GQR36" i="7"/>
  <c r="GQQ36" i="7"/>
  <c r="GQP36" i="7"/>
  <c r="GQO36" i="7"/>
  <c r="GQN36" i="7"/>
  <c r="GQM36" i="7"/>
  <c r="GQL36" i="7"/>
  <c r="GQK36" i="7"/>
  <c r="GQJ36" i="7"/>
  <c r="GQI36" i="7"/>
  <c r="GQH36" i="7"/>
  <c r="GQG36" i="7"/>
  <c r="GQF36" i="7"/>
  <c r="GQE36" i="7"/>
  <c r="GQD36" i="7"/>
  <c r="GQC36" i="7"/>
  <c r="GQB36" i="7"/>
  <c r="GQA36" i="7"/>
  <c r="GPZ36" i="7"/>
  <c r="GPY36" i="7"/>
  <c r="GPX36" i="7"/>
  <c r="GPW36" i="7"/>
  <c r="GPV36" i="7"/>
  <c r="GPU36" i="7"/>
  <c r="GPT36" i="7"/>
  <c r="GPS36" i="7"/>
  <c r="GPR36" i="7"/>
  <c r="GPQ36" i="7"/>
  <c r="GPP36" i="7"/>
  <c r="GPO36" i="7"/>
  <c r="GPN36" i="7"/>
  <c r="GPM36" i="7"/>
  <c r="GPL36" i="7"/>
  <c r="GPK36" i="7"/>
  <c r="GPJ36" i="7"/>
  <c r="GPI36" i="7"/>
  <c r="GPH36" i="7"/>
  <c r="GPG36" i="7"/>
  <c r="GPF36" i="7"/>
  <c r="GPE36" i="7"/>
  <c r="GPD36" i="7"/>
  <c r="GPC36" i="7"/>
  <c r="GPB36" i="7"/>
  <c r="GPA36" i="7"/>
  <c r="GOZ36" i="7"/>
  <c r="GOY36" i="7"/>
  <c r="GOX36" i="7"/>
  <c r="GOW36" i="7"/>
  <c r="GOV36" i="7"/>
  <c r="GOU36" i="7"/>
  <c r="GOT36" i="7"/>
  <c r="GOS36" i="7"/>
  <c r="GOR36" i="7"/>
  <c r="GOQ36" i="7"/>
  <c r="GOP36" i="7"/>
  <c r="GOO36" i="7"/>
  <c r="GON36" i="7"/>
  <c r="GOM36" i="7"/>
  <c r="GOL36" i="7"/>
  <c r="GOK36" i="7"/>
  <c r="GOJ36" i="7"/>
  <c r="GOI36" i="7"/>
  <c r="GOH36" i="7"/>
  <c r="GOG36" i="7"/>
  <c r="GOF36" i="7"/>
  <c r="GOE36" i="7"/>
  <c r="GOD36" i="7"/>
  <c r="GOC36" i="7"/>
  <c r="GOB36" i="7"/>
  <c r="GOA36" i="7"/>
  <c r="GNZ36" i="7"/>
  <c r="GNY36" i="7"/>
  <c r="GNX36" i="7"/>
  <c r="GNW36" i="7"/>
  <c r="GNV36" i="7"/>
  <c r="GNU36" i="7"/>
  <c r="GNT36" i="7"/>
  <c r="GNS36" i="7"/>
  <c r="GNR36" i="7"/>
  <c r="GNQ36" i="7"/>
  <c r="GNP36" i="7"/>
  <c r="GNO36" i="7"/>
  <c r="GNN36" i="7"/>
  <c r="GNM36" i="7"/>
  <c r="GNL36" i="7"/>
  <c r="GNK36" i="7"/>
  <c r="GNJ36" i="7"/>
  <c r="GNI36" i="7"/>
  <c r="GNH36" i="7"/>
  <c r="GNG36" i="7"/>
  <c r="GNF36" i="7"/>
  <c r="GNE36" i="7"/>
  <c r="GND36" i="7"/>
  <c r="GNC36" i="7"/>
  <c r="GNB36" i="7"/>
  <c r="GNA36" i="7"/>
  <c r="GMZ36" i="7"/>
  <c r="GMY36" i="7"/>
  <c r="GMX36" i="7"/>
  <c r="GMW36" i="7"/>
  <c r="GMV36" i="7"/>
  <c r="GMU36" i="7"/>
  <c r="GMT36" i="7"/>
  <c r="GMS36" i="7"/>
  <c r="GMR36" i="7"/>
  <c r="GMQ36" i="7"/>
  <c r="GMP36" i="7"/>
  <c r="GMO36" i="7"/>
  <c r="GMN36" i="7"/>
  <c r="GMM36" i="7"/>
  <c r="GML36" i="7"/>
  <c r="GMK36" i="7"/>
  <c r="GMJ36" i="7"/>
  <c r="GMI36" i="7"/>
  <c r="GMH36" i="7"/>
  <c r="GMG36" i="7"/>
  <c r="GMF36" i="7"/>
  <c r="GME36" i="7"/>
  <c r="GMD36" i="7"/>
  <c r="GMC36" i="7"/>
  <c r="GMB36" i="7"/>
  <c r="GMA36" i="7"/>
  <c r="GLZ36" i="7"/>
  <c r="GLY36" i="7"/>
  <c r="GLX36" i="7"/>
  <c r="GLW36" i="7"/>
  <c r="GLV36" i="7"/>
  <c r="GLU36" i="7"/>
  <c r="GLT36" i="7"/>
  <c r="GLS36" i="7"/>
  <c r="GLR36" i="7"/>
  <c r="GLQ36" i="7"/>
  <c r="GLP36" i="7"/>
  <c r="GLO36" i="7"/>
  <c r="GLN36" i="7"/>
  <c r="GLM36" i="7"/>
  <c r="GLL36" i="7"/>
  <c r="GLK36" i="7"/>
  <c r="GLJ36" i="7"/>
  <c r="GLI36" i="7"/>
  <c r="GLH36" i="7"/>
  <c r="GLG36" i="7"/>
  <c r="GLF36" i="7"/>
  <c r="GLE36" i="7"/>
  <c r="GLD36" i="7"/>
  <c r="GLC36" i="7"/>
  <c r="GLB36" i="7"/>
  <c r="GLA36" i="7"/>
  <c r="GKZ36" i="7"/>
  <c r="GKY36" i="7"/>
  <c r="GKX36" i="7"/>
  <c r="GKW36" i="7"/>
  <c r="GKV36" i="7"/>
  <c r="GKU36" i="7"/>
  <c r="GKT36" i="7"/>
  <c r="GKS36" i="7"/>
  <c r="GKR36" i="7"/>
  <c r="GKQ36" i="7"/>
  <c r="GKP36" i="7"/>
  <c r="GKO36" i="7"/>
  <c r="GKN36" i="7"/>
  <c r="GKM36" i="7"/>
  <c r="GKL36" i="7"/>
  <c r="GKK36" i="7"/>
  <c r="GKJ36" i="7"/>
  <c r="GKI36" i="7"/>
  <c r="GKH36" i="7"/>
  <c r="GKG36" i="7"/>
  <c r="GKF36" i="7"/>
  <c r="GKE36" i="7"/>
  <c r="GKD36" i="7"/>
  <c r="GKC36" i="7"/>
  <c r="GKB36" i="7"/>
  <c r="GKA36" i="7"/>
  <c r="GJZ36" i="7"/>
  <c r="GJY36" i="7"/>
  <c r="GJX36" i="7"/>
  <c r="GJW36" i="7"/>
  <c r="GJV36" i="7"/>
  <c r="GJU36" i="7"/>
  <c r="GJT36" i="7"/>
  <c r="GJS36" i="7"/>
  <c r="GJR36" i="7"/>
  <c r="GJQ36" i="7"/>
  <c r="GJP36" i="7"/>
  <c r="GJO36" i="7"/>
  <c r="GJN36" i="7"/>
  <c r="GJM36" i="7"/>
  <c r="GJL36" i="7"/>
  <c r="GJK36" i="7"/>
  <c r="GJJ36" i="7"/>
  <c r="GJI36" i="7"/>
  <c r="GJH36" i="7"/>
  <c r="GJG36" i="7"/>
  <c r="GJF36" i="7"/>
  <c r="GJE36" i="7"/>
  <c r="GJD36" i="7"/>
  <c r="GJC36" i="7"/>
  <c r="GJB36" i="7"/>
  <c r="GJA36" i="7"/>
  <c r="GIZ36" i="7"/>
  <c r="GIY36" i="7"/>
  <c r="GIX36" i="7"/>
  <c r="GIW36" i="7"/>
  <c r="GIV36" i="7"/>
  <c r="GIU36" i="7"/>
  <c r="GIT36" i="7"/>
  <c r="GIS36" i="7"/>
  <c r="GIR36" i="7"/>
  <c r="GIQ36" i="7"/>
  <c r="GIP36" i="7"/>
  <c r="GIO36" i="7"/>
  <c r="GIN36" i="7"/>
  <c r="GIM36" i="7"/>
  <c r="GIL36" i="7"/>
  <c r="GIK36" i="7"/>
  <c r="GIJ36" i="7"/>
  <c r="GII36" i="7"/>
  <c r="GIH36" i="7"/>
  <c r="GIG36" i="7"/>
  <c r="GIF36" i="7"/>
  <c r="GIE36" i="7"/>
  <c r="GID36" i="7"/>
  <c r="GIC36" i="7"/>
  <c r="GIB36" i="7"/>
  <c r="GIA36" i="7"/>
  <c r="GHZ36" i="7"/>
  <c r="GHY36" i="7"/>
  <c r="GHX36" i="7"/>
  <c r="GHW36" i="7"/>
  <c r="GHV36" i="7"/>
  <c r="GHU36" i="7"/>
  <c r="GHT36" i="7"/>
  <c r="GHS36" i="7"/>
  <c r="GHR36" i="7"/>
  <c r="GHQ36" i="7"/>
  <c r="GHP36" i="7"/>
  <c r="GHO36" i="7"/>
  <c r="GHN36" i="7"/>
  <c r="GHM36" i="7"/>
  <c r="GHL36" i="7"/>
  <c r="GHK36" i="7"/>
  <c r="GHJ36" i="7"/>
  <c r="GHI36" i="7"/>
  <c r="GHH36" i="7"/>
  <c r="GHG36" i="7"/>
  <c r="GHF36" i="7"/>
  <c r="GHE36" i="7"/>
  <c r="GHD36" i="7"/>
  <c r="GHC36" i="7"/>
  <c r="GHB36" i="7"/>
  <c r="GHA36" i="7"/>
  <c r="GGZ36" i="7"/>
  <c r="GGY36" i="7"/>
  <c r="GGX36" i="7"/>
  <c r="GGW36" i="7"/>
  <c r="GGV36" i="7"/>
  <c r="GGU36" i="7"/>
  <c r="GGT36" i="7"/>
  <c r="GGS36" i="7"/>
  <c r="GGR36" i="7"/>
  <c r="GGQ36" i="7"/>
  <c r="GGP36" i="7"/>
  <c r="GGO36" i="7"/>
  <c r="GGN36" i="7"/>
  <c r="GGM36" i="7"/>
  <c r="GGL36" i="7"/>
  <c r="GGK36" i="7"/>
  <c r="GGJ36" i="7"/>
  <c r="GGI36" i="7"/>
  <c r="GGH36" i="7"/>
  <c r="GGG36" i="7"/>
  <c r="GGF36" i="7"/>
  <c r="GGE36" i="7"/>
  <c r="GGD36" i="7"/>
  <c r="GGC36" i="7"/>
  <c r="GGB36" i="7"/>
  <c r="GGA36" i="7"/>
  <c r="GFZ36" i="7"/>
  <c r="GFY36" i="7"/>
  <c r="GFX36" i="7"/>
  <c r="GFW36" i="7"/>
  <c r="GFV36" i="7"/>
  <c r="GFU36" i="7"/>
  <c r="GFT36" i="7"/>
  <c r="GFS36" i="7"/>
  <c r="GFR36" i="7"/>
  <c r="GFQ36" i="7"/>
  <c r="GFP36" i="7"/>
  <c r="GFO36" i="7"/>
  <c r="GFN36" i="7"/>
  <c r="GFM36" i="7"/>
  <c r="GFL36" i="7"/>
  <c r="GFK36" i="7"/>
  <c r="GFJ36" i="7"/>
  <c r="GFI36" i="7"/>
  <c r="GFH36" i="7"/>
  <c r="GFG36" i="7"/>
  <c r="GFF36" i="7"/>
  <c r="GFE36" i="7"/>
  <c r="GFD36" i="7"/>
  <c r="GFC36" i="7"/>
  <c r="GFB36" i="7"/>
  <c r="GFA36" i="7"/>
  <c r="GEZ36" i="7"/>
  <c r="GEY36" i="7"/>
  <c r="GEX36" i="7"/>
  <c r="GEW36" i="7"/>
  <c r="GEV36" i="7"/>
  <c r="GEU36" i="7"/>
  <c r="GET36" i="7"/>
  <c r="GES36" i="7"/>
  <c r="GER36" i="7"/>
  <c r="GEQ36" i="7"/>
  <c r="GEP36" i="7"/>
  <c r="GEO36" i="7"/>
  <c r="GEN36" i="7"/>
  <c r="GEM36" i="7"/>
  <c r="GEL36" i="7"/>
  <c r="GEK36" i="7"/>
  <c r="GEJ36" i="7"/>
  <c r="GEI36" i="7"/>
  <c r="GEH36" i="7"/>
  <c r="GEG36" i="7"/>
  <c r="GEF36" i="7"/>
  <c r="GEE36" i="7"/>
  <c r="GED36" i="7"/>
  <c r="GEC36" i="7"/>
  <c r="GEB36" i="7"/>
  <c r="GEA36" i="7"/>
  <c r="GDZ36" i="7"/>
  <c r="GDY36" i="7"/>
  <c r="GDX36" i="7"/>
  <c r="GDW36" i="7"/>
  <c r="GDV36" i="7"/>
  <c r="GDU36" i="7"/>
  <c r="GDT36" i="7"/>
  <c r="GDS36" i="7"/>
  <c r="GDR36" i="7"/>
  <c r="GDQ36" i="7"/>
  <c r="GDP36" i="7"/>
  <c r="GDO36" i="7"/>
  <c r="GDN36" i="7"/>
  <c r="GDM36" i="7"/>
  <c r="GDL36" i="7"/>
  <c r="GDK36" i="7"/>
  <c r="GDJ36" i="7"/>
  <c r="GDI36" i="7"/>
  <c r="GDH36" i="7"/>
  <c r="GDG36" i="7"/>
  <c r="GDF36" i="7"/>
  <c r="GDE36" i="7"/>
  <c r="GDD36" i="7"/>
  <c r="GDC36" i="7"/>
  <c r="GDB36" i="7"/>
  <c r="GDA36" i="7"/>
  <c r="GCZ36" i="7"/>
  <c r="GCY36" i="7"/>
  <c r="GCX36" i="7"/>
  <c r="GCW36" i="7"/>
  <c r="GCV36" i="7"/>
  <c r="GCU36" i="7"/>
  <c r="GCT36" i="7"/>
  <c r="GCS36" i="7"/>
  <c r="GCR36" i="7"/>
  <c r="GCQ36" i="7"/>
  <c r="GCP36" i="7"/>
  <c r="GCO36" i="7"/>
  <c r="GCN36" i="7"/>
  <c r="GCM36" i="7"/>
  <c r="GCL36" i="7"/>
  <c r="GCK36" i="7"/>
  <c r="GCJ36" i="7"/>
  <c r="GCI36" i="7"/>
  <c r="GCH36" i="7"/>
  <c r="GCG36" i="7"/>
  <c r="GCF36" i="7"/>
  <c r="GCE36" i="7"/>
  <c r="GCD36" i="7"/>
  <c r="GCC36" i="7"/>
  <c r="GCB36" i="7"/>
  <c r="GCA36" i="7"/>
  <c r="GBZ36" i="7"/>
  <c r="GBY36" i="7"/>
  <c r="GBX36" i="7"/>
  <c r="GBW36" i="7"/>
  <c r="GBV36" i="7"/>
  <c r="GBU36" i="7"/>
  <c r="GBT36" i="7"/>
  <c r="GBS36" i="7"/>
  <c r="GBR36" i="7"/>
  <c r="GBQ36" i="7"/>
  <c r="GBP36" i="7"/>
  <c r="GBO36" i="7"/>
  <c r="GBN36" i="7"/>
  <c r="GBM36" i="7"/>
  <c r="GBL36" i="7"/>
  <c r="GBK36" i="7"/>
  <c r="GBJ36" i="7"/>
  <c r="GBI36" i="7"/>
  <c r="GBH36" i="7"/>
  <c r="GBG36" i="7"/>
  <c r="GBF36" i="7"/>
  <c r="GBE36" i="7"/>
  <c r="GBD36" i="7"/>
  <c r="GBC36" i="7"/>
  <c r="GBB36" i="7"/>
  <c r="GBA36" i="7"/>
  <c r="GAZ36" i="7"/>
  <c r="GAY36" i="7"/>
  <c r="GAX36" i="7"/>
  <c r="GAW36" i="7"/>
  <c r="GAV36" i="7"/>
  <c r="GAU36" i="7"/>
  <c r="GAT36" i="7"/>
  <c r="GAS36" i="7"/>
  <c r="GAR36" i="7"/>
  <c r="GAQ36" i="7"/>
  <c r="GAP36" i="7"/>
  <c r="GAO36" i="7"/>
  <c r="GAN36" i="7"/>
  <c r="GAM36" i="7"/>
  <c r="GAL36" i="7"/>
  <c r="GAK36" i="7"/>
  <c r="GAJ36" i="7"/>
  <c r="GAI36" i="7"/>
  <c r="GAH36" i="7"/>
  <c r="GAG36" i="7"/>
  <c r="GAF36" i="7"/>
  <c r="GAE36" i="7"/>
  <c r="GAD36" i="7"/>
  <c r="GAC36" i="7"/>
  <c r="GAB36" i="7"/>
  <c r="GAA36" i="7"/>
  <c r="FZZ36" i="7"/>
  <c r="FZY36" i="7"/>
  <c r="FZX36" i="7"/>
  <c r="FZW36" i="7"/>
  <c r="FZV36" i="7"/>
  <c r="FZU36" i="7"/>
  <c r="FZT36" i="7"/>
  <c r="FZS36" i="7"/>
  <c r="FZR36" i="7"/>
  <c r="FZQ36" i="7"/>
  <c r="FZP36" i="7"/>
  <c r="FZO36" i="7"/>
  <c r="FZN36" i="7"/>
  <c r="FZM36" i="7"/>
  <c r="FZL36" i="7"/>
  <c r="FZK36" i="7"/>
  <c r="FZJ36" i="7"/>
  <c r="FZI36" i="7"/>
  <c r="FZH36" i="7"/>
  <c r="FZG36" i="7"/>
  <c r="FZF36" i="7"/>
  <c r="FZE36" i="7"/>
  <c r="FZD36" i="7"/>
  <c r="FZC36" i="7"/>
  <c r="FZB36" i="7"/>
  <c r="FZA36" i="7"/>
  <c r="FYZ36" i="7"/>
  <c r="FYY36" i="7"/>
  <c r="FYX36" i="7"/>
  <c r="FYW36" i="7"/>
  <c r="FYV36" i="7"/>
  <c r="FYU36" i="7"/>
  <c r="FYT36" i="7"/>
  <c r="FYS36" i="7"/>
  <c r="FYR36" i="7"/>
  <c r="FYQ36" i="7"/>
  <c r="FYP36" i="7"/>
  <c r="FYO36" i="7"/>
  <c r="FYN36" i="7"/>
  <c r="FYM36" i="7"/>
  <c r="FYL36" i="7"/>
  <c r="FYK36" i="7"/>
  <c r="FYJ36" i="7"/>
  <c r="FYI36" i="7"/>
  <c r="FYH36" i="7"/>
  <c r="FYG36" i="7"/>
  <c r="FYF36" i="7"/>
  <c r="FYE36" i="7"/>
  <c r="FYD36" i="7"/>
  <c r="FYC36" i="7"/>
  <c r="FYB36" i="7"/>
  <c r="FYA36" i="7"/>
  <c r="FXZ36" i="7"/>
  <c r="FXY36" i="7"/>
  <c r="FXX36" i="7"/>
  <c r="FXW36" i="7"/>
  <c r="FXV36" i="7"/>
  <c r="FXU36" i="7"/>
  <c r="FXT36" i="7"/>
  <c r="FXS36" i="7"/>
  <c r="FXR36" i="7"/>
  <c r="FXQ36" i="7"/>
  <c r="FXP36" i="7"/>
  <c r="FXO36" i="7"/>
  <c r="FXN36" i="7"/>
  <c r="FXM36" i="7"/>
  <c r="FXL36" i="7"/>
  <c r="FXK36" i="7"/>
  <c r="FXJ36" i="7"/>
  <c r="FXI36" i="7"/>
  <c r="FXH36" i="7"/>
  <c r="FXG36" i="7"/>
  <c r="FXF36" i="7"/>
  <c r="FXE36" i="7"/>
  <c r="FXD36" i="7"/>
  <c r="FXC36" i="7"/>
  <c r="FXB36" i="7"/>
  <c r="FXA36" i="7"/>
  <c r="FWZ36" i="7"/>
  <c r="FWY36" i="7"/>
  <c r="FWX36" i="7"/>
  <c r="FWW36" i="7"/>
  <c r="FWV36" i="7"/>
  <c r="FWU36" i="7"/>
  <c r="FWT36" i="7"/>
  <c r="FWS36" i="7"/>
  <c r="FWR36" i="7"/>
  <c r="FWQ36" i="7"/>
  <c r="FWP36" i="7"/>
  <c r="FWO36" i="7"/>
  <c r="FWN36" i="7"/>
  <c r="FWM36" i="7"/>
  <c r="FWL36" i="7"/>
  <c r="FWK36" i="7"/>
  <c r="FWJ36" i="7"/>
  <c r="FWI36" i="7"/>
  <c r="FWH36" i="7"/>
  <c r="FWG36" i="7"/>
  <c r="FWF36" i="7"/>
  <c r="FWE36" i="7"/>
  <c r="FWD36" i="7"/>
  <c r="FWC36" i="7"/>
  <c r="FWB36" i="7"/>
  <c r="FWA36" i="7"/>
  <c r="FVZ36" i="7"/>
  <c r="FVY36" i="7"/>
  <c r="FVX36" i="7"/>
  <c r="FVW36" i="7"/>
  <c r="FVV36" i="7"/>
  <c r="FVU36" i="7"/>
  <c r="FVT36" i="7"/>
  <c r="FVS36" i="7"/>
  <c r="FVR36" i="7"/>
  <c r="FVQ36" i="7"/>
  <c r="FVP36" i="7"/>
  <c r="FVO36" i="7"/>
  <c r="FVN36" i="7"/>
  <c r="FVM36" i="7"/>
  <c r="FVL36" i="7"/>
  <c r="FVK36" i="7"/>
  <c r="FVJ36" i="7"/>
  <c r="FVI36" i="7"/>
  <c r="FVH36" i="7"/>
  <c r="FVG36" i="7"/>
  <c r="FVF36" i="7"/>
  <c r="FVE36" i="7"/>
  <c r="FVD36" i="7"/>
  <c r="FVC36" i="7"/>
  <c r="FVB36" i="7"/>
  <c r="FVA36" i="7"/>
  <c r="FUZ36" i="7"/>
  <c r="FUY36" i="7"/>
  <c r="FUX36" i="7"/>
  <c r="FUW36" i="7"/>
  <c r="FUV36" i="7"/>
  <c r="FUU36" i="7"/>
  <c r="FUT36" i="7"/>
  <c r="FUS36" i="7"/>
  <c r="FUR36" i="7"/>
  <c r="FUQ36" i="7"/>
  <c r="FUP36" i="7"/>
  <c r="FUO36" i="7"/>
  <c r="FUN36" i="7"/>
  <c r="FUM36" i="7"/>
  <c r="FUL36" i="7"/>
  <c r="FUK36" i="7"/>
  <c r="FUJ36" i="7"/>
  <c r="FUI36" i="7"/>
  <c r="FUH36" i="7"/>
  <c r="FUG36" i="7"/>
  <c r="FUF36" i="7"/>
  <c r="FUE36" i="7"/>
  <c r="FUD36" i="7"/>
  <c r="FUC36" i="7"/>
  <c r="FUB36" i="7"/>
  <c r="FUA36" i="7"/>
  <c r="FTZ36" i="7"/>
  <c r="FTY36" i="7"/>
  <c r="FTX36" i="7"/>
  <c r="FTW36" i="7"/>
  <c r="FTV36" i="7"/>
  <c r="FTU36" i="7"/>
  <c r="FTT36" i="7"/>
  <c r="FTS36" i="7"/>
  <c r="FTR36" i="7"/>
  <c r="FTQ36" i="7"/>
  <c r="FTP36" i="7"/>
  <c r="FTO36" i="7"/>
  <c r="FTN36" i="7"/>
  <c r="FTM36" i="7"/>
  <c r="FTL36" i="7"/>
  <c r="FTK36" i="7"/>
  <c r="FTJ36" i="7"/>
  <c r="FTI36" i="7"/>
  <c r="FTH36" i="7"/>
  <c r="FTG36" i="7"/>
  <c r="FTF36" i="7"/>
  <c r="FTE36" i="7"/>
  <c r="FTD36" i="7"/>
  <c r="FTC36" i="7"/>
  <c r="FTB36" i="7"/>
  <c r="FTA36" i="7"/>
  <c r="FSZ36" i="7"/>
  <c r="FSY36" i="7"/>
  <c r="FSX36" i="7"/>
  <c r="FSW36" i="7"/>
  <c r="FSV36" i="7"/>
  <c r="FSU36" i="7"/>
  <c r="FST36" i="7"/>
  <c r="FSS36" i="7"/>
  <c r="FSR36" i="7"/>
  <c r="FSQ36" i="7"/>
  <c r="FSP36" i="7"/>
  <c r="FSO36" i="7"/>
  <c r="FSN36" i="7"/>
  <c r="FSM36" i="7"/>
  <c r="FSL36" i="7"/>
  <c r="FSK36" i="7"/>
  <c r="FSJ36" i="7"/>
  <c r="FSI36" i="7"/>
  <c r="FSH36" i="7"/>
  <c r="FSG36" i="7"/>
  <c r="FSF36" i="7"/>
  <c r="FSE36" i="7"/>
  <c r="FSD36" i="7"/>
  <c r="FSC36" i="7"/>
  <c r="FSB36" i="7"/>
  <c r="FSA36" i="7"/>
  <c r="FRZ36" i="7"/>
  <c r="FRY36" i="7"/>
  <c r="FRX36" i="7"/>
  <c r="FRW36" i="7"/>
  <c r="FRV36" i="7"/>
  <c r="FRU36" i="7"/>
  <c r="FRT36" i="7"/>
  <c r="FRS36" i="7"/>
  <c r="FRR36" i="7"/>
  <c r="FRQ36" i="7"/>
  <c r="FRP36" i="7"/>
  <c r="FRO36" i="7"/>
  <c r="FRN36" i="7"/>
  <c r="FRM36" i="7"/>
  <c r="FRL36" i="7"/>
  <c r="FRK36" i="7"/>
  <c r="FRJ36" i="7"/>
  <c r="FRI36" i="7"/>
  <c r="FRH36" i="7"/>
  <c r="FRG36" i="7"/>
  <c r="FRF36" i="7"/>
  <c r="FRE36" i="7"/>
  <c r="FRD36" i="7"/>
  <c r="FRC36" i="7"/>
  <c r="FRB36" i="7"/>
  <c r="FRA36" i="7"/>
  <c r="FQZ36" i="7"/>
  <c r="FQY36" i="7"/>
  <c r="FQX36" i="7"/>
  <c r="FQW36" i="7"/>
  <c r="FQV36" i="7"/>
  <c r="FQU36" i="7"/>
  <c r="FQT36" i="7"/>
  <c r="FQS36" i="7"/>
  <c r="FQR36" i="7"/>
  <c r="FQQ36" i="7"/>
  <c r="FQP36" i="7"/>
  <c r="FQO36" i="7"/>
  <c r="FQN36" i="7"/>
  <c r="FQM36" i="7"/>
  <c r="FQL36" i="7"/>
  <c r="FQK36" i="7"/>
  <c r="FQJ36" i="7"/>
  <c r="FQI36" i="7"/>
  <c r="FQH36" i="7"/>
  <c r="FQG36" i="7"/>
  <c r="FQF36" i="7"/>
  <c r="FQE36" i="7"/>
  <c r="FQD36" i="7"/>
  <c r="FQC36" i="7"/>
  <c r="FQB36" i="7"/>
  <c r="FQA36" i="7"/>
  <c r="FPZ36" i="7"/>
  <c r="FPY36" i="7"/>
  <c r="FPX36" i="7"/>
  <c r="FPW36" i="7"/>
  <c r="FPV36" i="7"/>
  <c r="FPU36" i="7"/>
  <c r="FPT36" i="7"/>
  <c r="FPS36" i="7"/>
  <c r="FPR36" i="7"/>
  <c r="FPQ36" i="7"/>
  <c r="FPP36" i="7"/>
  <c r="FPO36" i="7"/>
  <c r="FPN36" i="7"/>
  <c r="FPM36" i="7"/>
  <c r="FPL36" i="7"/>
  <c r="FPK36" i="7"/>
  <c r="FPJ36" i="7"/>
  <c r="FPI36" i="7"/>
  <c r="FPH36" i="7"/>
  <c r="FPG36" i="7"/>
  <c r="FPF36" i="7"/>
  <c r="FPE36" i="7"/>
  <c r="FPD36" i="7"/>
  <c r="FPC36" i="7"/>
  <c r="FPB36" i="7"/>
  <c r="FPA36" i="7"/>
  <c r="FOZ36" i="7"/>
  <c r="FOY36" i="7"/>
  <c r="FOX36" i="7"/>
  <c r="FOW36" i="7"/>
  <c r="FOV36" i="7"/>
  <c r="FOU36" i="7"/>
  <c r="FOT36" i="7"/>
  <c r="FOS36" i="7"/>
  <c r="FOR36" i="7"/>
  <c r="FOQ36" i="7"/>
  <c r="FOP36" i="7"/>
  <c r="FOO36" i="7"/>
  <c r="FON36" i="7"/>
  <c r="FOM36" i="7"/>
  <c r="FOL36" i="7"/>
  <c r="FOK36" i="7"/>
  <c r="FOJ36" i="7"/>
  <c r="FOI36" i="7"/>
  <c r="FOH36" i="7"/>
  <c r="FOG36" i="7"/>
  <c r="FOF36" i="7"/>
  <c r="FOE36" i="7"/>
  <c r="FOD36" i="7"/>
  <c r="FOC36" i="7"/>
  <c r="FOB36" i="7"/>
  <c r="FOA36" i="7"/>
  <c r="FNZ36" i="7"/>
  <c r="FNY36" i="7"/>
  <c r="FNX36" i="7"/>
  <c r="FNW36" i="7"/>
  <c r="FNV36" i="7"/>
  <c r="FNU36" i="7"/>
  <c r="FNT36" i="7"/>
  <c r="FNS36" i="7"/>
  <c r="FNR36" i="7"/>
  <c r="FNQ36" i="7"/>
  <c r="FNP36" i="7"/>
  <c r="FNO36" i="7"/>
  <c r="FNN36" i="7"/>
  <c r="FNM36" i="7"/>
  <c r="FNL36" i="7"/>
  <c r="FNK36" i="7"/>
  <c r="FNJ36" i="7"/>
  <c r="FNI36" i="7"/>
  <c r="FNH36" i="7"/>
  <c r="FNG36" i="7"/>
  <c r="FNF36" i="7"/>
  <c r="FNE36" i="7"/>
  <c r="FND36" i="7"/>
  <c r="FNC36" i="7"/>
  <c r="FNB36" i="7"/>
  <c r="FNA36" i="7"/>
  <c r="FMZ36" i="7"/>
  <c r="FMY36" i="7"/>
  <c r="FMX36" i="7"/>
  <c r="FMW36" i="7"/>
  <c r="FMV36" i="7"/>
  <c r="FMU36" i="7"/>
  <c r="FMT36" i="7"/>
  <c r="FMS36" i="7"/>
  <c r="FMR36" i="7"/>
  <c r="FMQ36" i="7"/>
  <c r="FMP36" i="7"/>
  <c r="FMO36" i="7"/>
  <c r="FMN36" i="7"/>
  <c r="FMM36" i="7"/>
  <c r="FML36" i="7"/>
  <c r="FMK36" i="7"/>
  <c r="FMJ36" i="7"/>
  <c r="FMI36" i="7"/>
  <c r="FMH36" i="7"/>
  <c r="FMG36" i="7"/>
  <c r="FMF36" i="7"/>
  <c r="FME36" i="7"/>
  <c r="FMD36" i="7"/>
  <c r="FMC36" i="7"/>
  <c r="FMB36" i="7"/>
  <c r="FMA36" i="7"/>
  <c r="FLZ36" i="7"/>
  <c r="FLY36" i="7"/>
  <c r="FLX36" i="7"/>
  <c r="FLW36" i="7"/>
  <c r="FLV36" i="7"/>
  <c r="FLU36" i="7"/>
  <c r="FLT36" i="7"/>
  <c r="FLS36" i="7"/>
  <c r="FLR36" i="7"/>
  <c r="FLQ36" i="7"/>
  <c r="FLP36" i="7"/>
  <c r="FLO36" i="7"/>
  <c r="FLN36" i="7"/>
  <c r="FLM36" i="7"/>
  <c r="FLL36" i="7"/>
  <c r="FLK36" i="7"/>
  <c r="FLJ36" i="7"/>
  <c r="FLI36" i="7"/>
  <c r="FLH36" i="7"/>
  <c r="FLG36" i="7"/>
  <c r="FLF36" i="7"/>
  <c r="FLE36" i="7"/>
  <c r="FLD36" i="7"/>
  <c r="FLC36" i="7"/>
  <c r="FLB36" i="7"/>
  <c r="FLA36" i="7"/>
  <c r="FKZ36" i="7"/>
  <c r="FKY36" i="7"/>
  <c r="FKX36" i="7"/>
  <c r="FKW36" i="7"/>
  <c r="FKV36" i="7"/>
  <c r="FKU36" i="7"/>
  <c r="FKT36" i="7"/>
  <c r="FKS36" i="7"/>
  <c r="FKR36" i="7"/>
  <c r="FKQ36" i="7"/>
  <c r="FKP36" i="7"/>
  <c r="FKO36" i="7"/>
  <c r="FKN36" i="7"/>
  <c r="FKM36" i="7"/>
  <c r="FKL36" i="7"/>
  <c r="FKK36" i="7"/>
  <c r="FKJ36" i="7"/>
  <c r="FKI36" i="7"/>
  <c r="FKH36" i="7"/>
  <c r="FKG36" i="7"/>
  <c r="FKF36" i="7"/>
  <c r="FKE36" i="7"/>
  <c r="FKD36" i="7"/>
  <c r="FKC36" i="7"/>
  <c r="FKB36" i="7"/>
  <c r="FKA36" i="7"/>
  <c r="FJZ36" i="7"/>
  <c r="FJY36" i="7"/>
  <c r="FJX36" i="7"/>
  <c r="FJW36" i="7"/>
  <c r="FJV36" i="7"/>
  <c r="FJU36" i="7"/>
  <c r="FJT36" i="7"/>
  <c r="FJS36" i="7"/>
  <c r="FJR36" i="7"/>
  <c r="FJQ36" i="7"/>
  <c r="FJP36" i="7"/>
  <c r="FJO36" i="7"/>
  <c r="FJN36" i="7"/>
  <c r="FJM36" i="7"/>
  <c r="FJL36" i="7"/>
  <c r="FJK36" i="7"/>
  <c r="FJJ36" i="7"/>
  <c r="FJI36" i="7"/>
  <c r="FJH36" i="7"/>
  <c r="FJG36" i="7"/>
  <c r="FJF36" i="7"/>
  <c r="FJE36" i="7"/>
  <c r="FJD36" i="7"/>
  <c r="FJC36" i="7"/>
  <c r="FJB36" i="7"/>
  <c r="FJA36" i="7"/>
  <c r="FIZ36" i="7"/>
  <c r="FIY36" i="7"/>
  <c r="FIX36" i="7"/>
  <c r="FIW36" i="7"/>
  <c r="FIV36" i="7"/>
  <c r="FIU36" i="7"/>
  <c r="FIT36" i="7"/>
  <c r="FIS36" i="7"/>
  <c r="FIR36" i="7"/>
  <c r="FIQ36" i="7"/>
  <c r="FIP36" i="7"/>
  <c r="FIO36" i="7"/>
  <c r="FIN36" i="7"/>
  <c r="FIM36" i="7"/>
  <c r="FIL36" i="7"/>
  <c r="FIK36" i="7"/>
  <c r="FIJ36" i="7"/>
  <c r="FII36" i="7"/>
  <c r="FIH36" i="7"/>
  <c r="FIG36" i="7"/>
  <c r="FIF36" i="7"/>
  <c r="FIE36" i="7"/>
  <c r="FID36" i="7"/>
  <c r="FIC36" i="7"/>
  <c r="FIB36" i="7"/>
  <c r="FIA36" i="7"/>
  <c r="FHZ36" i="7"/>
  <c r="FHY36" i="7"/>
  <c r="FHX36" i="7"/>
  <c r="FHW36" i="7"/>
  <c r="FHV36" i="7"/>
  <c r="FHU36" i="7"/>
  <c r="FHT36" i="7"/>
  <c r="FHS36" i="7"/>
  <c r="FHR36" i="7"/>
  <c r="FHQ36" i="7"/>
  <c r="FHP36" i="7"/>
  <c r="FHO36" i="7"/>
  <c r="FHN36" i="7"/>
  <c r="FHM36" i="7"/>
  <c r="FHL36" i="7"/>
  <c r="FHK36" i="7"/>
  <c r="FHJ36" i="7"/>
  <c r="FHI36" i="7"/>
  <c r="FHH36" i="7"/>
  <c r="FHG36" i="7"/>
  <c r="FHF36" i="7"/>
  <c r="FHE36" i="7"/>
  <c r="FHD36" i="7"/>
  <c r="FHC36" i="7"/>
  <c r="FHB36" i="7"/>
  <c r="FHA36" i="7"/>
  <c r="FGZ36" i="7"/>
  <c r="FGY36" i="7"/>
  <c r="FGX36" i="7"/>
  <c r="FGW36" i="7"/>
  <c r="FGV36" i="7"/>
  <c r="FGU36" i="7"/>
  <c r="FGT36" i="7"/>
  <c r="FGS36" i="7"/>
  <c r="FGR36" i="7"/>
  <c r="FGQ36" i="7"/>
  <c r="FGP36" i="7"/>
  <c r="FGO36" i="7"/>
  <c r="FGN36" i="7"/>
  <c r="FGM36" i="7"/>
  <c r="FGL36" i="7"/>
  <c r="FGK36" i="7"/>
  <c r="FGJ36" i="7"/>
  <c r="FGI36" i="7"/>
  <c r="FGH36" i="7"/>
  <c r="FGG36" i="7"/>
  <c r="FGF36" i="7"/>
  <c r="FGE36" i="7"/>
  <c r="FGD36" i="7"/>
  <c r="FGC36" i="7"/>
  <c r="FGB36" i="7"/>
  <c r="FGA36" i="7"/>
  <c r="FFZ36" i="7"/>
  <c r="FFY36" i="7"/>
  <c r="FFX36" i="7"/>
  <c r="FFW36" i="7"/>
  <c r="FFV36" i="7"/>
  <c r="FFU36" i="7"/>
  <c r="FFT36" i="7"/>
  <c r="FFS36" i="7"/>
  <c r="FFR36" i="7"/>
  <c r="FFQ36" i="7"/>
  <c r="FFP36" i="7"/>
  <c r="FFO36" i="7"/>
  <c r="FFN36" i="7"/>
  <c r="FFM36" i="7"/>
  <c r="FFL36" i="7"/>
  <c r="FFK36" i="7"/>
  <c r="FFJ36" i="7"/>
  <c r="FFI36" i="7"/>
  <c r="FFH36" i="7"/>
  <c r="FFG36" i="7"/>
  <c r="FFF36" i="7"/>
  <c r="FFE36" i="7"/>
  <c r="FFD36" i="7"/>
  <c r="FFC36" i="7"/>
  <c r="FFB36" i="7"/>
  <c r="FFA36" i="7"/>
  <c r="FEZ36" i="7"/>
  <c r="FEY36" i="7"/>
  <c r="FEX36" i="7"/>
  <c r="FEW36" i="7"/>
  <c r="FEV36" i="7"/>
  <c r="FEU36" i="7"/>
  <c r="FET36" i="7"/>
  <c r="FES36" i="7"/>
  <c r="FER36" i="7"/>
  <c r="FEQ36" i="7"/>
  <c r="FEP36" i="7"/>
  <c r="FEO36" i="7"/>
  <c r="FEN36" i="7"/>
  <c r="FEM36" i="7"/>
  <c r="FEL36" i="7"/>
  <c r="FEK36" i="7"/>
  <c r="FEJ36" i="7"/>
  <c r="FEI36" i="7"/>
  <c r="FEH36" i="7"/>
  <c r="FEG36" i="7"/>
  <c r="FEF36" i="7"/>
  <c r="FEE36" i="7"/>
  <c r="FED36" i="7"/>
  <c r="FEC36" i="7"/>
  <c r="FEB36" i="7"/>
  <c r="FEA36" i="7"/>
  <c r="FDZ36" i="7"/>
  <c r="FDY36" i="7"/>
  <c r="FDX36" i="7"/>
  <c r="FDW36" i="7"/>
  <c r="FDV36" i="7"/>
  <c r="FDU36" i="7"/>
  <c r="FDT36" i="7"/>
  <c r="FDS36" i="7"/>
  <c r="FDR36" i="7"/>
  <c r="FDQ36" i="7"/>
  <c r="FDP36" i="7"/>
  <c r="FDO36" i="7"/>
  <c r="FDN36" i="7"/>
  <c r="FDM36" i="7"/>
  <c r="FDL36" i="7"/>
  <c r="FDK36" i="7"/>
  <c r="FDJ36" i="7"/>
  <c r="FDI36" i="7"/>
  <c r="FDH36" i="7"/>
  <c r="FDG36" i="7"/>
  <c r="FDF36" i="7"/>
  <c r="FDE36" i="7"/>
  <c r="FDD36" i="7"/>
  <c r="FDC36" i="7"/>
  <c r="FDB36" i="7"/>
  <c r="FDA36" i="7"/>
  <c r="FCZ36" i="7"/>
  <c r="FCY36" i="7"/>
  <c r="FCX36" i="7"/>
  <c r="FCW36" i="7"/>
  <c r="FCV36" i="7"/>
  <c r="FCU36" i="7"/>
  <c r="FCT36" i="7"/>
  <c r="FCS36" i="7"/>
  <c r="FCR36" i="7"/>
  <c r="FCQ36" i="7"/>
  <c r="FCP36" i="7"/>
  <c r="FCO36" i="7"/>
  <c r="FCN36" i="7"/>
  <c r="FCM36" i="7"/>
  <c r="FCL36" i="7"/>
  <c r="FCK36" i="7"/>
  <c r="FCJ36" i="7"/>
  <c r="FCI36" i="7"/>
  <c r="FCH36" i="7"/>
  <c r="FCG36" i="7"/>
  <c r="FCF36" i="7"/>
  <c r="FCE36" i="7"/>
  <c r="FCD36" i="7"/>
  <c r="FCC36" i="7"/>
  <c r="FCB36" i="7"/>
  <c r="FCA36" i="7"/>
  <c r="FBZ36" i="7"/>
  <c r="FBY36" i="7"/>
  <c r="FBX36" i="7"/>
  <c r="FBW36" i="7"/>
  <c r="FBV36" i="7"/>
  <c r="FBU36" i="7"/>
  <c r="FBT36" i="7"/>
  <c r="FBS36" i="7"/>
  <c r="FBR36" i="7"/>
  <c r="FBQ36" i="7"/>
  <c r="FBP36" i="7"/>
  <c r="FBO36" i="7"/>
  <c r="FBN36" i="7"/>
  <c r="FBM36" i="7"/>
  <c r="FBL36" i="7"/>
  <c r="FBK36" i="7"/>
  <c r="FBJ36" i="7"/>
  <c r="FBI36" i="7"/>
  <c r="FBH36" i="7"/>
  <c r="FBG36" i="7"/>
  <c r="FBF36" i="7"/>
  <c r="FBE36" i="7"/>
  <c r="FBD36" i="7"/>
  <c r="FBC36" i="7"/>
  <c r="FBB36" i="7"/>
  <c r="FBA36" i="7"/>
  <c r="FAZ36" i="7"/>
  <c r="FAY36" i="7"/>
  <c r="FAX36" i="7"/>
  <c r="FAW36" i="7"/>
  <c r="FAV36" i="7"/>
  <c r="FAU36" i="7"/>
  <c r="FAT36" i="7"/>
  <c r="FAS36" i="7"/>
  <c r="FAR36" i="7"/>
  <c r="FAQ36" i="7"/>
  <c r="FAP36" i="7"/>
  <c r="FAO36" i="7"/>
  <c r="FAN36" i="7"/>
  <c r="FAM36" i="7"/>
  <c r="FAL36" i="7"/>
  <c r="FAK36" i="7"/>
  <c r="FAJ36" i="7"/>
  <c r="FAI36" i="7"/>
  <c r="FAH36" i="7"/>
  <c r="FAG36" i="7"/>
  <c r="FAF36" i="7"/>
  <c r="FAE36" i="7"/>
  <c r="FAD36" i="7"/>
  <c r="FAC36" i="7"/>
  <c r="FAB36" i="7"/>
  <c r="FAA36" i="7"/>
  <c r="EZZ36" i="7"/>
  <c r="EZY36" i="7"/>
  <c r="EZX36" i="7"/>
  <c r="EZW36" i="7"/>
  <c r="EZV36" i="7"/>
  <c r="EZU36" i="7"/>
  <c r="EZT36" i="7"/>
  <c r="EZS36" i="7"/>
  <c r="EZR36" i="7"/>
  <c r="EZQ36" i="7"/>
  <c r="EZP36" i="7"/>
  <c r="EZO36" i="7"/>
  <c r="EZN36" i="7"/>
  <c r="EZM36" i="7"/>
  <c r="EZL36" i="7"/>
  <c r="EZK36" i="7"/>
  <c r="EZJ36" i="7"/>
  <c r="EZI36" i="7"/>
  <c r="EZH36" i="7"/>
  <c r="EZG36" i="7"/>
  <c r="EZF36" i="7"/>
  <c r="EZE36" i="7"/>
  <c r="EZD36" i="7"/>
  <c r="EZC36" i="7"/>
  <c r="EZB36" i="7"/>
  <c r="EZA36" i="7"/>
  <c r="EYZ36" i="7"/>
  <c r="EYY36" i="7"/>
  <c r="EYX36" i="7"/>
  <c r="EYW36" i="7"/>
  <c r="EYV36" i="7"/>
  <c r="EYU36" i="7"/>
  <c r="EYT36" i="7"/>
  <c r="EYS36" i="7"/>
  <c r="EYR36" i="7"/>
  <c r="EYQ36" i="7"/>
  <c r="EYP36" i="7"/>
  <c r="EYO36" i="7"/>
  <c r="EYN36" i="7"/>
  <c r="EYM36" i="7"/>
  <c r="EYL36" i="7"/>
  <c r="EYK36" i="7"/>
  <c r="EYJ36" i="7"/>
  <c r="EYI36" i="7"/>
  <c r="EYH36" i="7"/>
  <c r="EYG36" i="7"/>
  <c r="EYF36" i="7"/>
  <c r="EYE36" i="7"/>
  <c r="EYD36" i="7"/>
  <c r="EYC36" i="7"/>
  <c r="EYB36" i="7"/>
  <c r="EYA36" i="7"/>
  <c r="EXZ36" i="7"/>
  <c r="EXY36" i="7"/>
  <c r="EXX36" i="7"/>
  <c r="EXW36" i="7"/>
  <c r="EXV36" i="7"/>
  <c r="EXU36" i="7"/>
  <c r="EXT36" i="7"/>
  <c r="EXS36" i="7"/>
  <c r="EXR36" i="7"/>
  <c r="EXQ36" i="7"/>
  <c r="EXP36" i="7"/>
  <c r="EXO36" i="7"/>
  <c r="EXN36" i="7"/>
  <c r="EXM36" i="7"/>
  <c r="EXL36" i="7"/>
  <c r="EXK36" i="7"/>
  <c r="EXJ36" i="7"/>
  <c r="EXI36" i="7"/>
  <c r="EXH36" i="7"/>
  <c r="EXG36" i="7"/>
  <c r="EXF36" i="7"/>
  <c r="EXE36" i="7"/>
  <c r="EXD36" i="7"/>
  <c r="EXC36" i="7"/>
  <c r="EXB36" i="7"/>
  <c r="EXA36" i="7"/>
  <c r="EWZ36" i="7"/>
  <c r="EWY36" i="7"/>
  <c r="EWX36" i="7"/>
  <c r="EWW36" i="7"/>
  <c r="EWV36" i="7"/>
  <c r="EWU36" i="7"/>
  <c r="EWT36" i="7"/>
  <c r="EWS36" i="7"/>
  <c r="EWR36" i="7"/>
  <c r="EWQ36" i="7"/>
  <c r="EWP36" i="7"/>
  <c r="EWO36" i="7"/>
  <c r="EWN36" i="7"/>
  <c r="EWM36" i="7"/>
  <c r="EWL36" i="7"/>
  <c r="EWK36" i="7"/>
  <c r="EWJ36" i="7"/>
  <c r="EWI36" i="7"/>
  <c r="EWH36" i="7"/>
  <c r="EWG36" i="7"/>
  <c r="EWF36" i="7"/>
  <c r="EWE36" i="7"/>
  <c r="EWD36" i="7"/>
  <c r="EWC36" i="7"/>
  <c r="EWB36" i="7"/>
  <c r="EWA36" i="7"/>
  <c r="EVZ36" i="7"/>
  <c r="EVY36" i="7"/>
  <c r="EVX36" i="7"/>
  <c r="EVW36" i="7"/>
  <c r="EVV36" i="7"/>
  <c r="EVU36" i="7"/>
  <c r="EVT36" i="7"/>
  <c r="EVS36" i="7"/>
  <c r="EVR36" i="7"/>
  <c r="EVQ36" i="7"/>
  <c r="EVP36" i="7"/>
  <c r="EVO36" i="7"/>
  <c r="EVN36" i="7"/>
  <c r="EVM36" i="7"/>
  <c r="EVL36" i="7"/>
  <c r="EVK36" i="7"/>
  <c r="EVJ36" i="7"/>
  <c r="EVI36" i="7"/>
  <c r="EVH36" i="7"/>
  <c r="EVG36" i="7"/>
  <c r="EVF36" i="7"/>
  <c r="EVE36" i="7"/>
  <c r="EVD36" i="7"/>
  <c r="EVC36" i="7"/>
  <c r="EVB36" i="7"/>
  <c r="EVA36" i="7"/>
  <c r="EUZ36" i="7"/>
  <c r="EUY36" i="7"/>
  <c r="EUX36" i="7"/>
  <c r="EUW36" i="7"/>
  <c r="EUV36" i="7"/>
  <c r="EUU36" i="7"/>
  <c r="EUT36" i="7"/>
  <c r="EUS36" i="7"/>
  <c r="EUR36" i="7"/>
  <c r="EUQ36" i="7"/>
  <c r="EUP36" i="7"/>
  <c r="EUO36" i="7"/>
  <c r="EUN36" i="7"/>
  <c r="EUM36" i="7"/>
  <c r="EUL36" i="7"/>
  <c r="EUK36" i="7"/>
  <c r="EUJ36" i="7"/>
  <c r="EUI36" i="7"/>
  <c r="EUH36" i="7"/>
  <c r="EUG36" i="7"/>
  <c r="EUF36" i="7"/>
  <c r="EUE36" i="7"/>
  <c r="EUD36" i="7"/>
  <c r="EUC36" i="7"/>
  <c r="EUB36" i="7"/>
  <c r="EUA36" i="7"/>
  <c r="ETZ36" i="7"/>
  <c r="ETY36" i="7"/>
  <c r="ETX36" i="7"/>
  <c r="ETW36" i="7"/>
  <c r="ETV36" i="7"/>
  <c r="ETU36" i="7"/>
  <c r="ETT36" i="7"/>
  <c r="ETS36" i="7"/>
  <c r="ETR36" i="7"/>
  <c r="ETQ36" i="7"/>
  <c r="ETP36" i="7"/>
  <c r="ETO36" i="7"/>
  <c r="ETN36" i="7"/>
  <c r="ETM36" i="7"/>
  <c r="ETL36" i="7"/>
  <c r="ETK36" i="7"/>
  <c r="ETJ36" i="7"/>
  <c r="ETI36" i="7"/>
  <c r="ETH36" i="7"/>
  <c r="ETG36" i="7"/>
  <c r="ETF36" i="7"/>
  <c r="ETE36" i="7"/>
  <c r="ETD36" i="7"/>
  <c r="ETC36" i="7"/>
  <c r="ETB36" i="7"/>
  <c r="ETA36" i="7"/>
  <c r="ESZ36" i="7"/>
  <c r="ESY36" i="7"/>
  <c r="ESX36" i="7"/>
  <c r="ESW36" i="7"/>
  <c r="ESV36" i="7"/>
  <c r="ESU36" i="7"/>
  <c r="EST36" i="7"/>
  <c r="ESS36" i="7"/>
  <c r="ESR36" i="7"/>
  <c r="ESQ36" i="7"/>
  <c r="ESP36" i="7"/>
  <c r="ESO36" i="7"/>
  <c r="ESN36" i="7"/>
  <c r="ESM36" i="7"/>
  <c r="ESL36" i="7"/>
  <c r="ESK36" i="7"/>
  <c r="ESJ36" i="7"/>
  <c r="ESI36" i="7"/>
  <c r="ESH36" i="7"/>
  <c r="ESG36" i="7"/>
  <c r="ESF36" i="7"/>
  <c r="ESE36" i="7"/>
  <c r="ESD36" i="7"/>
  <c r="ESC36" i="7"/>
  <c r="ESB36" i="7"/>
  <c r="ESA36" i="7"/>
  <c r="ERZ36" i="7"/>
  <c r="ERY36" i="7"/>
  <c r="ERX36" i="7"/>
  <c r="ERW36" i="7"/>
  <c r="ERV36" i="7"/>
  <c r="ERU36" i="7"/>
  <c r="ERT36" i="7"/>
  <c r="ERS36" i="7"/>
  <c r="ERR36" i="7"/>
  <c r="ERQ36" i="7"/>
  <c r="ERP36" i="7"/>
  <c r="ERO36" i="7"/>
  <c r="ERN36" i="7"/>
  <c r="ERM36" i="7"/>
  <c r="ERL36" i="7"/>
  <c r="ERK36" i="7"/>
  <c r="ERJ36" i="7"/>
  <c r="ERI36" i="7"/>
  <c r="ERH36" i="7"/>
  <c r="ERG36" i="7"/>
  <c r="ERF36" i="7"/>
  <c r="ERE36" i="7"/>
  <c r="ERD36" i="7"/>
  <c r="ERC36" i="7"/>
  <c r="ERB36" i="7"/>
  <c r="ERA36" i="7"/>
  <c r="EQZ36" i="7"/>
  <c r="EQY36" i="7"/>
  <c r="EQX36" i="7"/>
  <c r="EQW36" i="7"/>
  <c r="EQV36" i="7"/>
  <c r="EQU36" i="7"/>
  <c r="EQT36" i="7"/>
  <c r="EQS36" i="7"/>
  <c r="EQR36" i="7"/>
  <c r="EQQ36" i="7"/>
  <c r="EQP36" i="7"/>
  <c r="EQO36" i="7"/>
  <c r="EQN36" i="7"/>
  <c r="EQM36" i="7"/>
  <c r="EQL36" i="7"/>
  <c r="EQK36" i="7"/>
  <c r="EQJ36" i="7"/>
  <c r="EQI36" i="7"/>
  <c r="EQH36" i="7"/>
  <c r="EQG36" i="7"/>
  <c r="EQF36" i="7"/>
  <c r="EQE36" i="7"/>
  <c r="EQD36" i="7"/>
  <c r="EQC36" i="7"/>
  <c r="EQB36" i="7"/>
  <c r="EQA36" i="7"/>
  <c r="EPZ36" i="7"/>
  <c r="EPY36" i="7"/>
  <c r="EPX36" i="7"/>
  <c r="EPW36" i="7"/>
  <c r="EPV36" i="7"/>
  <c r="EPU36" i="7"/>
  <c r="EPT36" i="7"/>
  <c r="EPS36" i="7"/>
  <c r="EPR36" i="7"/>
  <c r="EPQ36" i="7"/>
  <c r="EPP36" i="7"/>
  <c r="EPO36" i="7"/>
  <c r="EPN36" i="7"/>
  <c r="EPM36" i="7"/>
  <c r="EPL36" i="7"/>
  <c r="EPK36" i="7"/>
  <c r="EPJ36" i="7"/>
  <c r="EPI36" i="7"/>
  <c r="EPH36" i="7"/>
  <c r="EPG36" i="7"/>
  <c r="EPF36" i="7"/>
  <c r="EPE36" i="7"/>
  <c r="EPD36" i="7"/>
  <c r="EPC36" i="7"/>
  <c r="EPB36" i="7"/>
  <c r="EPA36" i="7"/>
  <c r="EOZ36" i="7"/>
  <c r="EOY36" i="7"/>
  <c r="EOX36" i="7"/>
  <c r="EOW36" i="7"/>
  <c r="EOV36" i="7"/>
  <c r="EOU36" i="7"/>
  <c r="EOT36" i="7"/>
  <c r="EOS36" i="7"/>
  <c r="EOR36" i="7"/>
  <c r="EOQ36" i="7"/>
  <c r="EOP36" i="7"/>
  <c r="EOO36" i="7"/>
  <c r="EON36" i="7"/>
  <c r="EOM36" i="7"/>
  <c r="EOL36" i="7"/>
  <c r="EOK36" i="7"/>
  <c r="EOJ36" i="7"/>
  <c r="EOI36" i="7"/>
  <c r="EOH36" i="7"/>
  <c r="EOG36" i="7"/>
  <c r="EOF36" i="7"/>
  <c r="EOE36" i="7"/>
  <c r="EOD36" i="7"/>
  <c r="EOC36" i="7"/>
  <c r="EOB36" i="7"/>
  <c r="EOA36" i="7"/>
  <c r="ENZ36" i="7"/>
  <c r="ENY36" i="7"/>
  <c r="ENX36" i="7"/>
  <c r="ENW36" i="7"/>
  <c r="ENV36" i="7"/>
  <c r="ENU36" i="7"/>
  <c r="ENT36" i="7"/>
  <c r="ENS36" i="7"/>
  <c r="ENR36" i="7"/>
  <c r="ENQ36" i="7"/>
  <c r="ENP36" i="7"/>
  <c r="ENO36" i="7"/>
  <c r="ENN36" i="7"/>
  <c r="ENM36" i="7"/>
  <c r="ENL36" i="7"/>
  <c r="ENK36" i="7"/>
  <c r="ENJ36" i="7"/>
  <c r="ENI36" i="7"/>
  <c r="ENH36" i="7"/>
  <c r="ENG36" i="7"/>
  <c r="ENF36" i="7"/>
  <c r="ENE36" i="7"/>
  <c r="END36" i="7"/>
  <c r="ENC36" i="7"/>
  <c r="ENB36" i="7"/>
  <c r="ENA36" i="7"/>
  <c r="EMZ36" i="7"/>
  <c r="EMY36" i="7"/>
  <c r="EMX36" i="7"/>
  <c r="EMW36" i="7"/>
  <c r="EMV36" i="7"/>
  <c r="EMU36" i="7"/>
  <c r="EMT36" i="7"/>
  <c r="EMS36" i="7"/>
  <c r="EMR36" i="7"/>
  <c r="EMQ36" i="7"/>
  <c r="EMP36" i="7"/>
  <c r="EMO36" i="7"/>
  <c r="EMN36" i="7"/>
  <c r="EMM36" i="7"/>
  <c r="EML36" i="7"/>
  <c r="EMK36" i="7"/>
  <c r="EMJ36" i="7"/>
  <c r="EMI36" i="7"/>
  <c r="EMH36" i="7"/>
  <c r="EMG36" i="7"/>
  <c r="EMF36" i="7"/>
  <c r="EME36" i="7"/>
  <c r="EMD36" i="7"/>
  <c r="EMC36" i="7"/>
  <c r="EMB36" i="7"/>
  <c r="EMA36" i="7"/>
  <c r="ELZ36" i="7"/>
  <c r="ELY36" i="7"/>
  <c r="ELX36" i="7"/>
  <c r="ELW36" i="7"/>
  <c r="ELV36" i="7"/>
  <c r="ELU36" i="7"/>
  <c r="ELT36" i="7"/>
  <c r="ELS36" i="7"/>
  <c r="ELR36" i="7"/>
  <c r="ELQ36" i="7"/>
  <c r="ELP36" i="7"/>
  <c r="ELO36" i="7"/>
  <c r="ELN36" i="7"/>
  <c r="ELM36" i="7"/>
  <c r="ELL36" i="7"/>
  <c r="ELK36" i="7"/>
  <c r="ELJ36" i="7"/>
  <c r="ELI36" i="7"/>
  <c r="ELH36" i="7"/>
  <c r="ELG36" i="7"/>
  <c r="ELF36" i="7"/>
  <c r="ELE36" i="7"/>
  <c r="ELD36" i="7"/>
  <c r="ELC36" i="7"/>
  <c r="ELB36" i="7"/>
  <c r="ELA36" i="7"/>
  <c r="EKZ36" i="7"/>
  <c r="EKY36" i="7"/>
  <c r="EKX36" i="7"/>
  <c r="EKW36" i="7"/>
  <c r="EKV36" i="7"/>
  <c r="EKU36" i="7"/>
  <c r="EKT36" i="7"/>
  <c r="EKS36" i="7"/>
  <c r="EKR36" i="7"/>
  <c r="EKQ36" i="7"/>
  <c r="EKP36" i="7"/>
  <c r="EKO36" i="7"/>
  <c r="EKN36" i="7"/>
  <c r="EKM36" i="7"/>
  <c r="EKL36" i="7"/>
  <c r="EKK36" i="7"/>
  <c r="EKJ36" i="7"/>
  <c r="EKI36" i="7"/>
  <c r="EKH36" i="7"/>
  <c r="EKG36" i="7"/>
  <c r="EKF36" i="7"/>
  <c r="EKE36" i="7"/>
  <c r="EKD36" i="7"/>
  <c r="EKC36" i="7"/>
  <c r="EKB36" i="7"/>
  <c r="EKA36" i="7"/>
  <c r="EJZ36" i="7"/>
  <c r="EJY36" i="7"/>
  <c r="EJX36" i="7"/>
  <c r="EJW36" i="7"/>
  <c r="EJV36" i="7"/>
  <c r="EJU36" i="7"/>
  <c r="EJT36" i="7"/>
  <c r="EJS36" i="7"/>
  <c r="EJR36" i="7"/>
  <c r="EJQ36" i="7"/>
  <c r="EJP36" i="7"/>
  <c r="EJO36" i="7"/>
  <c r="EJN36" i="7"/>
  <c r="EJM36" i="7"/>
  <c r="EJL36" i="7"/>
  <c r="EJK36" i="7"/>
  <c r="EJJ36" i="7"/>
  <c r="EJI36" i="7"/>
  <c r="EJH36" i="7"/>
  <c r="EJG36" i="7"/>
  <c r="EJF36" i="7"/>
  <c r="EJE36" i="7"/>
  <c r="EJD36" i="7"/>
  <c r="EJC36" i="7"/>
  <c r="EJB36" i="7"/>
  <c r="EJA36" i="7"/>
  <c r="EIZ36" i="7"/>
  <c r="EIY36" i="7"/>
  <c r="EIX36" i="7"/>
  <c r="EIW36" i="7"/>
  <c r="EIV36" i="7"/>
  <c r="EIU36" i="7"/>
  <c r="EIT36" i="7"/>
  <c r="EIS36" i="7"/>
  <c r="EIR36" i="7"/>
  <c r="EIQ36" i="7"/>
  <c r="EIP36" i="7"/>
  <c r="EIO36" i="7"/>
  <c r="EIN36" i="7"/>
  <c r="EIM36" i="7"/>
  <c r="EIL36" i="7"/>
  <c r="EIK36" i="7"/>
  <c r="EIJ36" i="7"/>
  <c r="EII36" i="7"/>
  <c r="EIH36" i="7"/>
  <c r="EIG36" i="7"/>
  <c r="EIF36" i="7"/>
  <c r="EIE36" i="7"/>
  <c r="EID36" i="7"/>
  <c r="EIC36" i="7"/>
  <c r="EIB36" i="7"/>
  <c r="EIA36" i="7"/>
  <c r="EHZ36" i="7"/>
  <c r="EHY36" i="7"/>
  <c r="EHX36" i="7"/>
  <c r="EHW36" i="7"/>
  <c r="EHV36" i="7"/>
  <c r="EHU36" i="7"/>
  <c r="EHT36" i="7"/>
  <c r="EHS36" i="7"/>
  <c r="EHR36" i="7"/>
  <c r="EHQ36" i="7"/>
  <c r="EHP36" i="7"/>
  <c r="EHO36" i="7"/>
  <c r="EHN36" i="7"/>
  <c r="EHM36" i="7"/>
  <c r="EHL36" i="7"/>
  <c r="EHK36" i="7"/>
  <c r="EHJ36" i="7"/>
  <c r="EHI36" i="7"/>
  <c r="EHH36" i="7"/>
  <c r="EHG36" i="7"/>
  <c r="EHF36" i="7"/>
  <c r="EHE36" i="7"/>
  <c r="EHD36" i="7"/>
  <c r="EHC36" i="7"/>
  <c r="EHB36" i="7"/>
  <c r="EHA36" i="7"/>
  <c r="EGZ36" i="7"/>
  <c r="EGY36" i="7"/>
  <c r="EGX36" i="7"/>
  <c r="EGW36" i="7"/>
  <c r="EGV36" i="7"/>
  <c r="EGU36" i="7"/>
  <c r="EGT36" i="7"/>
  <c r="EGS36" i="7"/>
  <c r="EGR36" i="7"/>
  <c r="EGQ36" i="7"/>
  <c r="EGP36" i="7"/>
  <c r="EGO36" i="7"/>
  <c r="EGN36" i="7"/>
  <c r="EGM36" i="7"/>
  <c r="EGL36" i="7"/>
  <c r="EGK36" i="7"/>
  <c r="EGJ36" i="7"/>
  <c r="EGI36" i="7"/>
  <c r="EGH36" i="7"/>
  <c r="EGG36" i="7"/>
  <c r="EGF36" i="7"/>
  <c r="EGE36" i="7"/>
  <c r="EGD36" i="7"/>
  <c r="EGC36" i="7"/>
  <c r="EGB36" i="7"/>
  <c r="EGA36" i="7"/>
  <c r="EFZ36" i="7"/>
  <c r="EFY36" i="7"/>
  <c r="EFX36" i="7"/>
  <c r="EFW36" i="7"/>
  <c r="EFV36" i="7"/>
  <c r="EFU36" i="7"/>
  <c r="EFT36" i="7"/>
  <c r="EFS36" i="7"/>
  <c r="EFR36" i="7"/>
  <c r="EFQ36" i="7"/>
  <c r="EFP36" i="7"/>
  <c r="EFO36" i="7"/>
  <c r="EFN36" i="7"/>
  <c r="EFM36" i="7"/>
  <c r="EFL36" i="7"/>
  <c r="EFK36" i="7"/>
  <c r="EFJ36" i="7"/>
  <c r="EFI36" i="7"/>
  <c r="EFH36" i="7"/>
  <c r="EFG36" i="7"/>
  <c r="EFF36" i="7"/>
  <c r="EFE36" i="7"/>
  <c r="EFD36" i="7"/>
  <c r="EFC36" i="7"/>
  <c r="EFB36" i="7"/>
  <c r="EFA36" i="7"/>
  <c r="EEZ36" i="7"/>
  <c r="EEY36" i="7"/>
  <c r="EEX36" i="7"/>
  <c r="EEW36" i="7"/>
  <c r="EEV36" i="7"/>
  <c r="EEU36" i="7"/>
  <c r="EET36" i="7"/>
  <c r="EES36" i="7"/>
  <c r="EER36" i="7"/>
  <c r="EEQ36" i="7"/>
  <c r="EEP36" i="7"/>
  <c r="EEO36" i="7"/>
  <c r="EEN36" i="7"/>
  <c r="EEM36" i="7"/>
  <c r="EEL36" i="7"/>
  <c r="EEK36" i="7"/>
  <c r="EEJ36" i="7"/>
  <c r="EEI36" i="7"/>
  <c r="EEH36" i="7"/>
  <c r="EEG36" i="7"/>
  <c r="EEF36" i="7"/>
  <c r="EEE36" i="7"/>
  <c r="EED36" i="7"/>
  <c r="EEC36" i="7"/>
  <c r="EEB36" i="7"/>
  <c r="EEA36" i="7"/>
  <c r="EDZ36" i="7"/>
  <c r="EDY36" i="7"/>
  <c r="EDX36" i="7"/>
  <c r="EDW36" i="7"/>
  <c r="EDV36" i="7"/>
  <c r="EDU36" i="7"/>
  <c r="EDT36" i="7"/>
  <c r="EDS36" i="7"/>
  <c r="EDR36" i="7"/>
  <c r="EDQ36" i="7"/>
  <c r="EDP36" i="7"/>
  <c r="EDO36" i="7"/>
  <c r="EDN36" i="7"/>
  <c r="EDM36" i="7"/>
  <c r="EDL36" i="7"/>
  <c r="EDK36" i="7"/>
  <c r="EDJ36" i="7"/>
  <c r="EDI36" i="7"/>
  <c r="EDH36" i="7"/>
  <c r="EDG36" i="7"/>
  <c r="EDF36" i="7"/>
  <c r="EDE36" i="7"/>
  <c r="EDD36" i="7"/>
  <c r="EDC36" i="7"/>
  <c r="EDB36" i="7"/>
  <c r="EDA36" i="7"/>
  <c r="ECZ36" i="7"/>
  <c r="ECY36" i="7"/>
  <c r="ECX36" i="7"/>
  <c r="ECW36" i="7"/>
  <c r="ECV36" i="7"/>
  <c r="ECU36" i="7"/>
  <c r="ECT36" i="7"/>
  <c r="ECS36" i="7"/>
  <c r="ECR36" i="7"/>
  <c r="ECQ36" i="7"/>
  <c r="ECP36" i="7"/>
  <c r="ECO36" i="7"/>
  <c r="ECN36" i="7"/>
  <c r="ECM36" i="7"/>
  <c r="ECL36" i="7"/>
  <c r="ECK36" i="7"/>
  <c r="ECJ36" i="7"/>
  <c r="ECI36" i="7"/>
  <c r="ECH36" i="7"/>
  <c r="ECG36" i="7"/>
  <c r="ECF36" i="7"/>
  <c r="ECE36" i="7"/>
  <c r="ECD36" i="7"/>
  <c r="ECC36" i="7"/>
  <c r="ECB36" i="7"/>
  <c r="ECA36" i="7"/>
  <c r="EBZ36" i="7"/>
  <c r="EBY36" i="7"/>
  <c r="EBX36" i="7"/>
  <c r="EBW36" i="7"/>
  <c r="EBV36" i="7"/>
  <c r="EBU36" i="7"/>
  <c r="EBT36" i="7"/>
  <c r="EBS36" i="7"/>
  <c r="EBR36" i="7"/>
  <c r="EBQ36" i="7"/>
  <c r="EBP36" i="7"/>
  <c r="EBO36" i="7"/>
  <c r="EBN36" i="7"/>
  <c r="EBM36" i="7"/>
  <c r="EBL36" i="7"/>
  <c r="EBK36" i="7"/>
  <c r="EBJ36" i="7"/>
  <c r="EBI36" i="7"/>
  <c r="EBH36" i="7"/>
  <c r="EBG36" i="7"/>
  <c r="EBF36" i="7"/>
  <c r="EBE36" i="7"/>
  <c r="EBD36" i="7"/>
  <c r="EBC36" i="7"/>
  <c r="EBB36" i="7"/>
  <c r="EBA36" i="7"/>
  <c r="EAZ36" i="7"/>
  <c r="EAY36" i="7"/>
  <c r="EAX36" i="7"/>
  <c r="EAW36" i="7"/>
  <c r="EAV36" i="7"/>
  <c r="EAU36" i="7"/>
  <c r="EAT36" i="7"/>
  <c r="EAS36" i="7"/>
  <c r="EAR36" i="7"/>
  <c r="EAQ36" i="7"/>
  <c r="EAP36" i="7"/>
  <c r="EAO36" i="7"/>
  <c r="EAN36" i="7"/>
  <c r="EAM36" i="7"/>
  <c r="EAL36" i="7"/>
  <c r="EAK36" i="7"/>
  <c r="EAJ36" i="7"/>
  <c r="EAI36" i="7"/>
  <c r="EAH36" i="7"/>
  <c r="EAG36" i="7"/>
  <c r="EAF36" i="7"/>
  <c r="EAE36" i="7"/>
  <c r="EAD36" i="7"/>
  <c r="EAC36" i="7"/>
  <c r="EAB36" i="7"/>
  <c r="EAA36" i="7"/>
  <c r="DZZ36" i="7"/>
  <c r="DZY36" i="7"/>
  <c r="DZX36" i="7"/>
  <c r="DZW36" i="7"/>
  <c r="DZV36" i="7"/>
  <c r="DZU36" i="7"/>
  <c r="DZT36" i="7"/>
  <c r="DZS36" i="7"/>
  <c r="DZR36" i="7"/>
  <c r="DZQ36" i="7"/>
  <c r="DZP36" i="7"/>
  <c r="DZO36" i="7"/>
  <c r="DZN36" i="7"/>
  <c r="DZM36" i="7"/>
  <c r="DZL36" i="7"/>
  <c r="DZK36" i="7"/>
  <c r="DZJ36" i="7"/>
  <c r="DZI36" i="7"/>
  <c r="DZH36" i="7"/>
  <c r="DZG36" i="7"/>
  <c r="DZF36" i="7"/>
  <c r="DZE36" i="7"/>
  <c r="DZD36" i="7"/>
  <c r="DZC36" i="7"/>
  <c r="DZB36" i="7"/>
  <c r="DZA36" i="7"/>
  <c r="DYZ36" i="7"/>
  <c r="DYY36" i="7"/>
  <c r="DYX36" i="7"/>
  <c r="DYW36" i="7"/>
  <c r="DYV36" i="7"/>
  <c r="DYU36" i="7"/>
  <c r="DYT36" i="7"/>
  <c r="DYS36" i="7"/>
  <c r="DYR36" i="7"/>
  <c r="DYQ36" i="7"/>
  <c r="DYP36" i="7"/>
  <c r="DYO36" i="7"/>
  <c r="DYN36" i="7"/>
  <c r="DYM36" i="7"/>
  <c r="DYL36" i="7"/>
  <c r="DYK36" i="7"/>
  <c r="DYJ36" i="7"/>
  <c r="DYI36" i="7"/>
  <c r="DYH36" i="7"/>
  <c r="DYG36" i="7"/>
  <c r="DYF36" i="7"/>
  <c r="DYE36" i="7"/>
  <c r="DYD36" i="7"/>
  <c r="DYC36" i="7"/>
  <c r="DYB36" i="7"/>
  <c r="DYA36" i="7"/>
  <c r="DXZ36" i="7"/>
  <c r="DXY36" i="7"/>
  <c r="DXX36" i="7"/>
  <c r="DXW36" i="7"/>
  <c r="DXV36" i="7"/>
  <c r="DXU36" i="7"/>
  <c r="DXT36" i="7"/>
  <c r="DXS36" i="7"/>
  <c r="DXR36" i="7"/>
  <c r="DXQ36" i="7"/>
  <c r="DXP36" i="7"/>
  <c r="DXO36" i="7"/>
  <c r="DXN36" i="7"/>
  <c r="DXM36" i="7"/>
  <c r="DXL36" i="7"/>
  <c r="DXK36" i="7"/>
  <c r="DXJ36" i="7"/>
  <c r="DXI36" i="7"/>
  <c r="DXH36" i="7"/>
  <c r="DXG36" i="7"/>
  <c r="DXF36" i="7"/>
  <c r="DXE36" i="7"/>
  <c r="DXD36" i="7"/>
  <c r="DXC36" i="7"/>
  <c r="DXB36" i="7"/>
  <c r="DXA36" i="7"/>
  <c r="DWZ36" i="7"/>
  <c r="DWY36" i="7"/>
  <c r="DWX36" i="7"/>
  <c r="DWW36" i="7"/>
  <c r="DWV36" i="7"/>
  <c r="DWU36" i="7"/>
  <c r="DWT36" i="7"/>
  <c r="DWS36" i="7"/>
  <c r="DWR36" i="7"/>
  <c r="DWQ36" i="7"/>
  <c r="DWP36" i="7"/>
  <c r="DWO36" i="7"/>
  <c r="DWN36" i="7"/>
  <c r="DWM36" i="7"/>
  <c r="DWL36" i="7"/>
  <c r="DWK36" i="7"/>
  <c r="DWJ36" i="7"/>
  <c r="DWI36" i="7"/>
  <c r="DWH36" i="7"/>
  <c r="DWG36" i="7"/>
  <c r="DWF36" i="7"/>
  <c r="DWE36" i="7"/>
  <c r="DWD36" i="7"/>
  <c r="DWC36" i="7"/>
  <c r="DWB36" i="7"/>
  <c r="DWA36" i="7"/>
  <c r="DVZ36" i="7"/>
  <c r="DVY36" i="7"/>
  <c r="DVX36" i="7"/>
  <c r="DVW36" i="7"/>
  <c r="DVV36" i="7"/>
  <c r="DVU36" i="7"/>
  <c r="DVT36" i="7"/>
  <c r="DVS36" i="7"/>
  <c r="DVR36" i="7"/>
  <c r="DVQ36" i="7"/>
  <c r="DVP36" i="7"/>
  <c r="DVO36" i="7"/>
  <c r="DVN36" i="7"/>
  <c r="DVM36" i="7"/>
  <c r="DVL36" i="7"/>
  <c r="DVK36" i="7"/>
  <c r="DVJ36" i="7"/>
  <c r="DVI36" i="7"/>
  <c r="DVH36" i="7"/>
  <c r="DVG36" i="7"/>
  <c r="DVF36" i="7"/>
  <c r="DVE36" i="7"/>
  <c r="DVD36" i="7"/>
  <c r="DVC36" i="7"/>
  <c r="DVB36" i="7"/>
  <c r="DVA36" i="7"/>
  <c r="DUZ36" i="7"/>
  <c r="DUY36" i="7"/>
  <c r="DUX36" i="7"/>
  <c r="DUW36" i="7"/>
  <c r="DUV36" i="7"/>
  <c r="DUU36" i="7"/>
  <c r="DUT36" i="7"/>
  <c r="DUS36" i="7"/>
  <c r="DUR36" i="7"/>
  <c r="DUQ36" i="7"/>
  <c r="DUP36" i="7"/>
  <c r="DUO36" i="7"/>
  <c r="DUN36" i="7"/>
  <c r="DUM36" i="7"/>
  <c r="DUL36" i="7"/>
  <c r="DUK36" i="7"/>
  <c r="DUJ36" i="7"/>
  <c r="DUI36" i="7"/>
  <c r="DUH36" i="7"/>
  <c r="DUG36" i="7"/>
  <c r="DUF36" i="7"/>
  <c r="DUE36" i="7"/>
  <c r="DUD36" i="7"/>
  <c r="DUC36" i="7"/>
  <c r="DUB36" i="7"/>
  <c r="DUA36" i="7"/>
  <c r="DTZ36" i="7"/>
  <c r="DTY36" i="7"/>
  <c r="DTX36" i="7"/>
  <c r="DTW36" i="7"/>
  <c r="DTV36" i="7"/>
  <c r="DTU36" i="7"/>
  <c r="DTT36" i="7"/>
  <c r="DTS36" i="7"/>
  <c r="DTR36" i="7"/>
  <c r="DTQ36" i="7"/>
  <c r="DTP36" i="7"/>
  <c r="DTO36" i="7"/>
  <c r="DTN36" i="7"/>
  <c r="DTM36" i="7"/>
  <c r="DTL36" i="7"/>
  <c r="DTK36" i="7"/>
  <c r="DTJ36" i="7"/>
  <c r="DTI36" i="7"/>
  <c r="DTH36" i="7"/>
  <c r="DTG36" i="7"/>
  <c r="DTF36" i="7"/>
  <c r="DTE36" i="7"/>
  <c r="DTD36" i="7"/>
  <c r="DTC36" i="7"/>
  <c r="DTB36" i="7"/>
  <c r="DTA36" i="7"/>
  <c r="DSZ36" i="7"/>
  <c r="DSY36" i="7"/>
  <c r="DSX36" i="7"/>
  <c r="DSW36" i="7"/>
  <c r="DSV36" i="7"/>
  <c r="DSU36" i="7"/>
  <c r="DST36" i="7"/>
  <c r="DSS36" i="7"/>
  <c r="DSR36" i="7"/>
  <c r="DSQ36" i="7"/>
  <c r="DSP36" i="7"/>
  <c r="DSO36" i="7"/>
  <c r="DSN36" i="7"/>
  <c r="DSM36" i="7"/>
  <c r="DSL36" i="7"/>
  <c r="DSK36" i="7"/>
  <c r="DSJ36" i="7"/>
  <c r="DSI36" i="7"/>
  <c r="DSH36" i="7"/>
  <c r="DSG36" i="7"/>
  <c r="DSF36" i="7"/>
  <c r="DSE36" i="7"/>
  <c r="DSD36" i="7"/>
  <c r="DSC36" i="7"/>
  <c r="DSB36" i="7"/>
  <c r="DSA36" i="7"/>
  <c r="DRZ36" i="7"/>
  <c r="DRY36" i="7"/>
  <c r="DRX36" i="7"/>
  <c r="DRW36" i="7"/>
  <c r="DRV36" i="7"/>
  <c r="DRU36" i="7"/>
  <c r="DRT36" i="7"/>
  <c r="DRS36" i="7"/>
  <c r="DRR36" i="7"/>
  <c r="DRQ36" i="7"/>
  <c r="DRP36" i="7"/>
  <c r="DRO36" i="7"/>
  <c r="DRN36" i="7"/>
  <c r="DRM36" i="7"/>
  <c r="DRL36" i="7"/>
  <c r="DRK36" i="7"/>
  <c r="DRJ36" i="7"/>
  <c r="DRI36" i="7"/>
  <c r="DRH36" i="7"/>
  <c r="DRG36" i="7"/>
  <c r="DRF36" i="7"/>
  <c r="DRE36" i="7"/>
  <c r="DRD36" i="7"/>
  <c r="DRC36" i="7"/>
  <c r="DRB36" i="7"/>
  <c r="DRA36" i="7"/>
  <c r="DQZ36" i="7"/>
  <c r="DQY36" i="7"/>
  <c r="DQX36" i="7"/>
  <c r="DQW36" i="7"/>
  <c r="DQV36" i="7"/>
  <c r="DQU36" i="7"/>
  <c r="DQT36" i="7"/>
  <c r="DQS36" i="7"/>
  <c r="DQR36" i="7"/>
  <c r="DQQ36" i="7"/>
  <c r="DQP36" i="7"/>
  <c r="DQO36" i="7"/>
  <c r="DQN36" i="7"/>
  <c r="DQM36" i="7"/>
  <c r="DQL36" i="7"/>
  <c r="DQK36" i="7"/>
  <c r="DQJ36" i="7"/>
  <c r="DQI36" i="7"/>
  <c r="DQH36" i="7"/>
  <c r="DQG36" i="7"/>
  <c r="DQF36" i="7"/>
  <c r="DQE36" i="7"/>
  <c r="DQD36" i="7"/>
  <c r="DQC36" i="7"/>
  <c r="DQB36" i="7"/>
  <c r="DQA36" i="7"/>
  <c r="DPZ36" i="7"/>
  <c r="DPY36" i="7"/>
  <c r="DPX36" i="7"/>
  <c r="DPW36" i="7"/>
  <c r="DPV36" i="7"/>
  <c r="DPU36" i="7"/>
  <c r="DPT36" i="7"/>
  <c r="DPS36" i="7"/>
  <c r="DPR36" i="7"/>
  <c r="DPQ36" i="7"/>
  <c r="DPP36" i="7"/>
  <c r="DPO36" i="7"/>
  <c r="DPN36" i="7"/>
  <c r="DPM36" i="7"/>
  <c r="DPL36" i="7"/>
  <c r="DPK36" i="7"/>
  <c r="DPJ36" i="7"/>
  <c r="DPI36" i="7"/>
  <c r="DPH36" i="7"/>
  <c r="DPG36" i="7"/>
  <c r="DPF36" i="7"/>
  <c r="DPE36" i="7"/>
  <c r="DPD36" i="7"/>
  <c r="DPC36" i="7"/>
  <c r="DPB36" i="7"/>
  <c r="DPA36" i="7"/>
  <c r="DOZ36" i="7"/>
  <c r="DOY36" i="7"/>
  <c r="DOX36" i="7"/>
  <c r="DOW36" i="7"/>
  <c r="DOV36" i="7"/>
  <c r="DOU36" i="7"/>
  <c r="DOT36" i="7"/>
  <c r="DOS36" i="7"/>
  <c r="DOR36" i="7"/>
  <c r="DOQ36" i="7"/>
  <c r="DOP36" i="7"/>
  <c r="DOO36" i="7"/>
  <c r="DON36" i="7"/>
  <c r="DOM36" i="7"/>
  <c r="DOL36" i="7"/>
  <c r="DOK36" i="7"/>
  <c r="DOJ36" i="7"/>
  <c r="DOI36" i="7"/>
  <c r="DOH36" i="7"/>
  <c r="DOG36" i="7"/>
  <c r="DOF36" i="7"/>
  <c r="DOE36" i="7"/>
  <c r="DOD36" i="7"/>
  <c r="DOC36" i="7"/>
  <c r="DOB36" i="7"/>
  <c r="DOA36" i="7"/>
  <c r="DNZ36" i="7"/>
  <c r="DNY36" i="7"/>
  <c r="DNX36" i="7"/>
  <c r="DNW36" i="7"/>
  <c r="DNV36" i="7"/>
  <c r="DNU36" i="7"/>
  <c r="DNT36" i="7"/>
  <c r="DNS36" i="7"/>
  <c r="DNR36" i="7"/>
  <c r="DNQ36" i="7"/>
  <c r="DNP36" i="7"/>
  <c r="DNO36" i="7"/>
  <c r="DNN36" i="7"/>
  <c r="DNM36" i="7"/>
  <c r="DNL36" i="7"/>
  <c r="DNK36" i="7"/>
  <c r="DNJ36" i="7"/>
  <c r="DNI36" i="7"/>
  <c r="DNH36" i="7"/>
  <c r="DNG36" i="7"/>
  <c r="DNF36" i="7"/>
  <c r="DNE36" i="7"/>
  <c r="DND36" i="7"/>
  <c r="DNC36" i="7"/>
  <c r="DNB36" i="7"/>
  <c r="DNA36" i="7"/>
  <c r="DMZ36" i="7"/>
  <c r="DMY36" i="7"/>
  <c r="DMX36" i="7"/>
  <c r="DMW36" i="7"/>
  <c r="DMV36" i="7"/>
  <c r="DMU36" i="7"/>
  <c r="DMT36" i="7"/>
  <c r="DMS36" i="7"/>
  <c r="DMR36" i="7"/>
  <c r="DMQ36" i="7"/>
  <c r="DMP36" i="7"/>
  <c r="DMO36" i="7"/>
  <c r="DMN36" i="7"/>
  <c r="DMM36" i="7"/>
  <c r="DML36" i="7"/>
  <c r="DMK36" i="7"/>
  <c r="DMJ36" i="7"/>
  <c r="DMI36" i="7"/>
  <c r="DMH36" i="7"/>
  <c r="DMG36" i="7"/>
  <c r="DMF36" i="7"/>
  <c r="DME36" i="7"/>
  <c r="DMD36" i="7"/>
  <c r="DMC36" i="7"/>
  <c r="DMB36" i="7"/>
  <c r="DMA36" i="7"/>
  <c r="DLZ36" i="7"/>
  <c r="DLY36" i="7"/>
  <c r="DLX36" i="7"/>
  <c r="DLW36" i="7"/>
  <c r="DLV36" i="7"/>
  <c r="DLU36" i="7"/>
  <c r="DLT36" i="7"/>
  <c r="DLS36" i="7"/>
  <c r="DLR36" i="7"/>
  <c r="DLQ36" i="7"/>
  <c r="DLP36" i="7"/>
  <c r="DLO36" i="7"/>
  <c r="DLN36" i="7"/>
  <c r="DLM36" i="7"/>
  <c r="DLL36" i="7"/>
  <c r="DLK36" i="7"/>
  <c r="DLJ36" i="7"/>
  <c r="DLI36" i="7"/>
  <c r="DLH36" i="7"/>
  <c r="DLG36" i="7"/>
  <c r="DLF36" i="7"/>
  <c r="DLE36" i="7"/>
  <c r="DLD36" i="7"/>
  <c r="DLC36" i="7"/>
  <c r="DLB36" i="7"/>
  <c r="DLA36" i="7"/>
  <c r="DKZ36" i="7"/>
  <c r="DKY36" i="7"/>
  <c r="DKX36" i="7"/>
  <c r="DKW36" i="7"/>
  <c r="DKV36" i="7"/>
  <c r="DKU36" i="7"/>
  <c r="DKT36" i="7"/>
  <c r="DKS36" i="7"/>
  <c r="DKR36" i="7"/>
  <c r="DKQ36" i="7"/>
  <c r="DKP36" i="7"/>
  <c r="DKO36" i="7"/>
  <c r="DKN36" i="7"/>
  <c r="DKM36" i="7"/>
  <c r="DKL36" i="7"/>
  <c r="DKK36" i="7"/>
  <c r="DKJ36" i="7"/>
  <c r="DKI36" i="7"/>
  <c r="DKH36" i="7"/>
  <c r="DKG36" i="7"/>
  <c r="DKF36" i="7"/>
  <c r="DKE36" i="7"/>
  <c r="DKD36" i="7"/>
  <c r="DKC36" i="7"/>
  <c r="DKB36" i="7"/>
  <c r="DKA36" i="7"/>
  <c r="DJZ36" i="7"/>
  <c r="DJY36" i="7"/>
  <c r="DJX36" i="7"/>
  <c r="DJW36" i="7"/>
  <c r="DJV36" i="7"/>
  <c r="DJU36" i="7"/>
  <c r="DJT36" i="7"/>
  <c r="DJS36" i="7"/>
  <c r="DJR36" i="7"/>
  <c r="DJQ36" i="7"/>
  <c r="DJP36" i="7"/>
  <c r="DJO36" i="7"/>
  <c r="DJN36" i="7"/>
  <c r="DJM36" i="7"/>
  <c r="DJL36" i="7"/>
  <c r="DJK36" i="7"/>
  <c r="DJJ36" i="7"/>
  <c r="DJI36" i="7"/>
  <c r="DJH36" i="7"/>
  <c r="DJG36" i="7"/>
  <c r="DJF36" i="7"/>
  <c r="DJE36" i="7"/>
  <c r="DJD36" i="7"/>
  <c r="DJC36" i="7"/>
  <c r="DJB36" i="7"/>
  <c r="DJA36" i="7"/>
  <c r="DIZ36" i="7"/>
  <c r="DIY36" i="7"/>
  <c r="DIX36" i="7"/>
  <c r="DIW36" i="7"/>
  <c r="DIV36" i="7"/>
  <c r="DIU36" i="7"/>
  <c r="DIT36" i="7"/>
  <c r="DIS36" i="7"/>
  <c r="DIR36" i="7"/>
  <c r="DIQ36" i="7"/>
  <c r="DIP36" i="7"/>
  <c r="DIO36" i="7"/>
  <c r="DIN36" i="7"/>
  <c r="DIM36" i="7"/>
  <c r="DIL36" i="7"/>
  <c r="DIK36" i="7"/>
  <c r="DIJ36" i="7"/>
  <c r="DII36" i="7"/>
  <c r="DIH36" i="7"/>
  <c r="DIG36" i="7"/>
  <c r="DIF36" i="7"/>
  <c r="DIE36" i="7"/>
  <c r="DID36" i="7"/>
  <c r="DIC36" i="7"/>
  <c r="DIB36" i="7"/>
  <c r="DIA36" i="7"/>
  <c r="DHZ36" i="7"/>
  <c r="DHY36" i="7"/>
  <c r="DHX36" i="7"/>
  <c r="DHW36" i="7"/>
  <c r="DHV36" i="7"/>
  <c r="DHU36" i="7"/>
  <c r="DHT36" i="7"/>
  <c r="DHS36" i="7"/>
  <c r="DHR36" i="7"/>
  <c r="DHQ36" i="7"/>
  <c r="DHP36" i="7"/>
  <c r="DHO36" i="7"/>
  <c r="DHN36" i="7"/>
  <c r="DHM36" i="7"/>
  <c r="DHL36" i="7"/>
  <c r="DHK36" i="7"/>
  <c r="DHJ36" i="7"/>
  <c r="DHI36" i="7"/>
  <c r="DHH36" i="7"/>
  <c r="DHG36" i="7"/>
  <c r="DHF36" i="7"/>
  <c r="DHE36" i="7"/>
  <c r="DHD36" i="7"/>
  <c r="DHC36" i="7"/>
  <c r="DHB36" i="7"/>
  <c r="DHA36" i="7"/>
  <c r="DGZ36" i="7"/>
  <c r="DGY36" i="7"/>
  <c r="DGX36" i="7"/>
  <c r="DGW36" i="7"/>
  <c r="DGV36" i="7"/>
  <c r="DGU36" i="7"/>
  <c r="DGT36" i="7"/>
  <c r="DGS36" i="7"/>
  <c r="DGR36" i="7"/>
  <c r="DGQ36" i="7"/>
  <c r="DGP36" i="7"/>
  <c r="DGO36" i="7"/>
  <c r="DGN36" i="7"/>
  <c r="DGM36" i="7"/>
  <c r="DGL36" i="7"/>
  <c r="DGK36" i="7"/>
  <c r="DGJ36" i="7"/>
  <c r="DGI36" i="7"/>
  <c r="DGH36" i="7"/>
  <c r="DGG36" i="7"/>
  <c r="DGF36" i="7"/>
  <c r="DGE36" i="7"/>
  <c r="DGD36" i="7"/>
  <c r="DGC36" i="7"/>
  <c r="DGB36" i="7"/>
  <c r="DGA36" i="7"/>
  <c r="DFZ36" i="7"/>
  <c r="DFY36" i="7"/>
  <c r="DFX36" i="7"/>
  <c r="DFW36" i="7"/>
  <c r="DFV36" i="7"/>
  <c r="DFU36" i="7"/>
  <c r="DFT36" i="7"/>
  <c r="DFS36" i="7"/>
  <c r="DFR36" i="7"/>
  <c r="DFQ36" i="7"/>
  <c r="DFP36" i="7"/>
  <c r="DFO36" i="7"/>
  <c r="DFN36" i="7"/>
  <c r="DFM36" i="7"/>
  <c r="DFL36" i="7"/>
  <c r="DFK36" i="7"/>
  <c r="DFJ36" i="7"/>
  <c r="DFI36" i="7"/>
  <c r="DFH36" i="7"/>
  <c r="DFG36" i="7"/>
  <c r="DFF36" i="7"/>
  <c r="DFE36" i="7"/>
  <c r="DFD36" i="7"/>
  <c r="DFC36" i="7"/>
  <c r="DFB36" i="7"/>
  <c r="DFA36" i="7"/>
  <c r="DEZ36" i="7"/>
  <c r="DEY36" i="7"/>
  <c r="DEX36" i="7"/>
  <c r="DEW36" i="7"/>
  <c r="DEV36" i="7"/>
  <c r="DEU36" i="7"/>
  <c r="DET36" i="7"/>
  <c r="DES36" i="7"/>
  <c r="DER36" i="7"/>
  <c r="DEQ36" i="7"/>
  <c r="DEP36" i="7"/>
  <c r="DEO36" i="7"/>
  <c r="DEN36" i="7"/>
  <c r="DEM36" i="7"/>
  <c r="DEL36" i="7"/>
  <c r="DEK36" i="7"/>
  <c r="DEJ36" i="7"/>
  <c r="DEI36" i="7"/>
  <c r="DEH36" i="7"/>
  <c r="DEG36" i="7"/>
  <c r="DEF36" i="7"/>
  <c r="DEE36" i="7"/>
  <c r="DED36" i="7"/>
  <c r="DEC36" i="7"/>
  <c r="DEB36" i="7"/>
  <c r="DEA36" i="7"/>
  <c r="DDZ36" i="7"/>
  <c r="DDY36" i="7"/>
  <c r="DDX36" i="7"/>
  <c r="DDW36" i="7"/>
  <c r="DDV36" i="7"/>
  <c r="DDU36" i="7"/>
  <c r="DDT36" i="7"/>
  <c r="DDS36" i="7"/>
  <c r="DDR36" i="7"/>
  <c r="DDQ36" i="7"/>
  <c r="DDP36" i="7"/>
  <c r="DDO36" i="7"/>
  <c r="DDN36" i="7"/>
  <c r="DDM36" i="7"/>
  <c r="DDL36" i="7"/>
  <c r="DDK36" i="7"/>
  <c r="DDJ36" i="7"/>
  <c r="DDI36" i="7"/>
  <c r="DDH36" i="7"/>
  <c r="DDG36" i="7"/>
  <c r="DDF36" i="7"/>
  <c r="DDE36" i="7"/>
  <c r="DDD36" i="7"/>
  <c r="DDC36" i="7"/>
  <c r="DDB36" i="7"/>
  <c r="DDA36" i="7"/>
  <c r="DCZ36" i="7"/>
  <c r="DCY36" i="7"/>
  <c r="DCX36" i="7"/>
  <c r="DCW36" i="7"/>
  <c r="DCV36" i="7"/>
  <c r="DCU36" i="7"/>
  <c r="DCT36" i="7"/>
  <c r="DCS36" i="7"/>
  <c r="DCR36" i="7"/>
  <c r="DCQ36" i="7"/>
  <c r="DCP36" i="7"/>
  <c r="DCO36" i="7"/>
  <c r="DCN36" i="7"/>
  <c r="DCM36" i="7"/>
  <c r="DCL36" i="7"/>
  <c r="DCK36" i="7"/>
  <c r="DCJ36" i="7"/>
  <c r="DCI36" i="7"/>
  <c r="DCH36" i="7"/>
  <c r="DCG36" i="7"/>
  <c r="DCF36" i="7"/>
  <c r="DCE36" i="7"/>
  <c r="DCD36" i="7"/>
  <c r="DCC36" i="7"/>
  <c r="DCB36" i="7"/>
  <c r="DCA36" i="7"/>
  <c r="DBZ36" i="7"/>
  <c r="DBY36" i="7"/>
  <c r="DBX36" i="7"/>
  <c r="DBW36" i="7"/>
  <c r="DBV36" i="7"/>
  <c r="DBU36" i="7"/>
  <c r="DBT36" i="7"/>
  <c r="DBS36" i="7"/>
  <c r="DBR36" i="7"/>
  <c r="DBQ36" i="7"/>
  <c r="DBP36" i="7"/>
  <c r="DBO36" i="7"/>
  <c r="DBN36" i="7"/>
  <c r="DBM36" i="7"/>
  <c r="DBL36" i="7"/>
  <c r="DBK36" i="7"/>
  <c r="DBJ36" i="7"/>
  <c r="DBI36" i="7"/>
  <c r="DBH36" i="7"/>
  <c r="DBG36" i="7"/>
  <c r="DBF36" i="7"/>
  <c r="DBE36" i="7"/>
  <c r="DBD36" i="7"/>
  <c r="DBC36" i="7"/>
  <c r="DBB36" i="7"/>
  <c r="DBA36" i="7"/>
  <c r="DAZ36" i="7"/>
  <c r="DAY36" i="7"/>
  <c r="DAX36" i="7"/>
  <c r="DAW36" i="7"/>
  <c r="DAV36" i="7"/>
  <c r="DAU36" i="7"/>
  <c r="DAT36" i="7"/>
  <c r="DAS36" i="7"/>
  <c r="DAR36" i="7"/>
  <c r="DAQ36" i="7"/>
  <c r="DAP36" i="7"/>
  <c r="DAO36" i="7"/>
  <c r="DAN36" i="7"/>
  <c r="DAM36" i="7"/>
  <c r="DAL36" i="7"/>
  <c r="DAK36" i="7"/>
  <c r="DAJ36" i="7"/>
  <c r="DAI36" i="7"/>
  <c r="DAH36" i="7"/>
  <c r="DAG36" i="7"/>
  <c r="DAF36" i="7"/>
  <c r="DAE36" i="7"/>
  <c r="DAD36" i="7"/>
  <c r="DAC36" i="7"/>
  <c r="DAB36" i="7"/>
  <c r="DAA36" i="7"/>
  <c r="CZZ36" i="7"/>
  <c r="CZY36" i="7"/>
  <c r="CZX36" i="7"/>
  <c r="CZW36" i="7"/>
  <c r="CZV36" i="7"/>
  <c r="CZU36" i="7"/>
  <c r="CZT36" i="7"/>
  <c r="CZS36" i="7"/>
  <c r="CZR36" i="7"/>
  <c r="CZQ36" i="7"/>
  <c r="CZP36" i="7"/>
  <c r="CZO36" i="7"/>
  <c r="CZN36" i="7"/>
  <c r="CZM36" i="7"/>
  <c r="CZL36" i="7"/>
  <c r="CZK36" i="7"/>
  <c r="CZJ36" i="7"/>
  <c r="CZI36" i="7"/>
  <c r="CZH36" i="7"/>
  <c r="CZG36" i="7"/>
  <c r="CZF36" i="7"/>
  <c r="CZE36" i="7"/>
  <c r="CZD36" i="7"/>
  <c r="CZC36" i="7"/>
  <c r="CZB36" i="7"/>
  <c r="CZA36" i="7"/>
  <c r="CYZ36" i="7"/>
  <c r="CYY36" i="7"/>
  <c r="CYX36" i="7"/>
  <c r="CYW36" i="7"/>
  <c r="CYV36" i="7"/>
  <c r="CYU36" i="7"/>
  <c r="CYT36" i="7"/>
  <c r="CYS36" i="7"/>
  <c r="CYR36" i="7"/>
  <c r="CYQ36" i="7"/>
  <c r="CYP36" i="7"/>
  <c r="CYO36" i="7"/>
  <c r="CYN36" i="7"/>
  <c r="CYM36" i="7"/>
  <c r="CYL36" i="7"/>
  <c r="CYK36" i="7"/>
  <c r="CYJ36" i="7"/>
  <c r="CYI36" i="7"/>
  <c r="CYH36" i="7"/>
  <c r="CYG36" i="7"/>
  <c r="CYF36" i="7"/>
  <c r="CYE36" i="7"/>
  <c r="CYD36" i="7"/>
  <c r="CYC36" i="7"/>
  <c r="CYB36" i="7"/>
  <c r="CYA36" i="7"/>
  <c r="CXZ36" i="7"/>
  <c r="CXY36" i="7"/>
  <c r="CXX36" i="7"/>
  <c r="CXW36" i="7"/>
  <c r="CXV36" i="7"/>
  <c r="CXU36" i="7"/>
  <c r="CXT36" i="7"/>
  <c r="CXS36" i="7"/>
  <c r="CXR36" i="7"/>
  <c r="CXQ36" i="7"/>
  <c r="CXP36" i="7"/>
  <c r="CXO36" i="7"/>
  <c r="CXN36" i="7"/>
  <c r="CXM36" i="7"/>
  <c r="CXL36" i="7"/>
  <c r="CXK36" i="7"/>
  <c r="CXJ36" i="7"/>
  <c r="CXI36" i="7"/>
  <c r="CXH36" i="7"/>
  <c r="CXG36" i="7"/>
  <c r="CXF36" i="7"/>
  <c r="CXE36" i="7"/>
  <c r="CXD36" i="7"/>
  <c r="CXC36" i="7"/>
  <c r="CXB36" i="7"/>
  <c r="CXA36" i="7"/>
  <c r="CWZ36" i="7"/>
  <c r="CWY36" i="7"/>
  <c r="CWX36" i="7"/>
  <c r="CWW36" i="7"/>
  <c r="CWV36" i="7"/>
  <c r="CWU36" i="7"/>
  <c r="CWT36" i="7"/>
  <c r="CWS36" i="7"/>
  <c r="CWR36" i="7"/>
  <c r="CWQ36" i="7"/>
  <c r="CWP36" i="7"/>
  <c r="CWO36" i="7"/>
  <c r="CWN36" i="7"/>
  <c r="CWM36" i="7"/>
  <c r="CWL36" i="7"/>
  <c r="CWK36" i="7"/>
  <c r="CWJ36" i="7"/>
  <c r="CWI36" i="7"/>
  <c r="CWH36" i="7"/>
  <c r="CWG36" i="7"/>
  <c r="CWF36" i="7"/>
  <c r="CWE36" i="7"/>
  <c r="CWD36" i="7"/>
  <c r="CWC36" i="7"/>
  <c r="CWB36" i="7"/>
  <c r="CWA36" i="7"/>
  <c r="CVZ36" i="7"/>
  <c r="CVY36" i="7"/>
  <c r="CVX36" i="7"/>
  <c r="CVW36" i="7"/>
  <c r="CVV36" i="7"/>
  <c r="CVU36" i="7"/>
  <c r="CVT36" i="7"/>
  <c r="CVS36" i="7"/>
  <c r="CVR36" i="7"/>
  <c r="CVQ36" i="7"/>
  <c r="CVP36" i="7"/>
  <c r="CVO36" i="7"/>
  <c r="CVN36" i="7"/>
  <c r="CVM36" i="7"/>
  <c r="CVL36" i="7"/>
  <c r="CVK36" i="7"/>
  <c r="CVJ36" i="7"/>
  <c r="CVI36" i="7"/>
  <c r="CVH36" i="7"/>
  <c r="CVG36" i="7"/>
  <c r="CVF36" i="7"/>
  <c r="CVE36" i="7"/>
  <c r="CVD36" i="7"/>
  <c r="CVC36" i="7"/>
  <c r="CVB36" i="7"/>
  <c r="CVA36" i="7"/>
  <c r="CUZ36" i="7"/>
  <c r="CUY36" i="7"/>
  <c r="CUX36" i="7"/>
  <c r="CUW36" i="7"/>
  <c r="CUV36" i="7"/>
  <c r="CUU36" i="7"/>
  <c r="CUT36" i="7"/>
  <c r="CUS36" i="7"/>
  <c r="CUR36" i="7"/>
  <c r="CUQ36" i="7"/>
  <c r="CUP36" i="7"/>
  <c r="CUO36" i="7"/>
  <c r="CUN36" i="7"/>
  <c r="CUM36" i="7"/>
  <c r="CUL36" i="7"/>
  <c r="CUK36" i="7"/>
  <c r="CUJ36" i="7"/>
  <c r="CUI36" i="7"/>
  <c r="CUH36" i="7"/>
  <c r="CUG36" i="7"/>
  <c r="CUF36" i="7"/>
  <c r="CUE36" i="7"/>
  <c r="CUD36" i="7"/>
  <c r="CUC36" i="7"/>
  <c r="CUB36" i="7"/>
  <c r="CUA36" i="7"/>
  <c r="CTZ36" i="7"/>
  <c r="CTY36" i="7"/>
  <c r="CTX36" i="7"/>
  <c r="CTW36" i="7"/>
  <c r="CTV36" i="7"/>
  <c r="CTU36" i="7"/>
  <c r="CTT36" i="7"/>
  <c r="CTS36" i="7"/>
  <c r="CTR36" i="7"/>
  <c r="CTQ36" i="7"/>
  <c r="CTP36" i="7"/>
  <c r="CTO36" i="7"/>
  <c r="CTN36" i="7"/>
  <c r="CTM36" i="7"/>
  <c r="CTL36" i="7"/>
  <c r="CTK36" i="7"/>
  <c r="CTJ36" i="7"/>
  <c r="CTI36" i="7"/>
  <c r="CTH36" i="7"/>
  <c r="CTG36" i="7"/>
  <c r="CTF36" i="7"/>
  <c r="CTE36" i="7"/>
  <c r="CTD36" i="7"/>
  <c r="CTC36" i="7"/>
  <c r="CTB36" i="7"/>
  <c r="CTA36" i="7"/>
  <c r="CSZ36" i="7"/>
  <c r="CSY36" i="7"/>
  <c r="CSX36" i="7"/>
  <c r="CSW36" i="7"/>
  <c r="CSV36" i="7"/>
  <c r="CSU36" i="7"/>
  <c r="CST36" i="7"/>
  <c r="CSS36" i="7"/>
  <c r="CSR36" i="7"/>
  <c r="CSQ36" i="7"/>
  <c r="CSP36" i="7"/>
  <c r="CSO36" i="7"/>
  <c r="CSN36" i="7"/>
  <c r="CSM36" i="7"/>
  <c r="CSL36" i="7"/>
  <c r="CSK36" i="7"/>
  <c r="CSJ36" i="7"/>
  <c r="CSI36" i="7"/>
  <c r="CSH36" i="7"/>
  <c r="CSG36" i="7"/>
  <c r="CSF36" i="7"/>
  <c r="CSE36" i="7"/>
  <c r="CSD36" i="7"/>
  <c r="CSC36" i="7"/>
  <c r="CSB36" i="7"/>
  <c r="CSA36" i="7"/>
  <c r="CRZ36" i="7"/>
  <c r="CRY36" i="7"/>
  <c r="CRX36" i="7"/>
  <c r="CRW36" i="7"/>
  <c r="CRV36" i="7"/>
  <c r="CRU36" i="7"/>
  <c r="CRT36" i="7"/>
  <c r="CRS36" i="7"/>
  <c r="CRR36" i="7"/>
  <c r="CRQ36" i="7"/>
  <c r="CRP36" i="7"/>
  <c r="CRO36" i="7"/>
  <c r="CRN36" i="7"/>
  <c r="CRM36" i="7"/>
  <c r="CRL36" i="7"/>
  <c r="CRK36" i="7"/>
  <c r="CRJ36" i="7"/>
  <c r="CRI36" i="7"/>
  <c r="CRH36" i="7"/>
  <c r="CRG36" i="7"/>
  <c r="CRF36" i="7"/>
  <c r="CRE36" i="7"/>
  <c r="CRD36" i="7"/>
  <c r="CRC36" i="7"/>
  <c r="CRB36" i="7"/>
  <c r="CRA36" i="7"/>
  <c r="CQZ36" i="7"/>
  <c r="CQY36" i="7"/>
  <c r="CQX36" i="7"/>
  <c r="CQW36" i="7"/>
  <c r="CQV36" i="7"/>
  <c r="CQU36" i="7"/>
  <c r="CQT36" i="7"/>
  <c r="CQS36" i="7"/>
  <c r="CQR36" i="7"/>
  <c r="CQQ36" i="7"/>
  <c r="CQP36" i="7"/>
  <c r="CQO36" i="7"/>
  <c r="CQN36" i="7"/>
  <c r="CQM36" i="7"/>
  <c r="CQL36" i="7"/>
  <c r="CQK36" i="7"/>
  <c r="CQJ36" i="7"/>
  <c r="CQI36" i="7"/>
  <c r="CQH36" i="7"/>
  <c r="CQG36" i="7"/>
  <c r="CQF36" i="7"/>
  <c r="CQE36" i="7"/>
  <c r="CQD36" i="7"/>
  <c r="CQC36" i="7"/>
  <c r="CQB36" i="7"/>
  <c r="CQA36" i="7"/>
  <c r="CPZ36" i="7"/>
  <c r="CPY36" i="7"/>
  <c r="CPX36" i="7"/>
  <c r="CPW36" i="7"/>
  <c r="CPV36" i="7"/>
  <c r="CPU36" i="7"/>
  <c r="CPT36" i="7"/>
  <c r="CPS36" i="7"/>
  <c r="CPR36" i="7"/>
  <c r="CPQ36" i="7"/>
  <c r="CPP36" i="7"/>
  <c r="CPO36" i="7"/>
  <c r="CPN36" i="7"/>
  <c r="CPM36" i="7"/>
  <c r="CPL36" i="7"/>
  <c r="CPK36" i="7"/>
  <c r="CPJ36" i="7"/>
  <c r="CPI36" i="7"/>
  <c r="CPH36" i="7"/>
  <c r="CPG36" i="7"/>
  <c r="CPF36" i="7"/>
  <c r="CPE36" i="7"/>
  <c r="CPD36" i="7"/>
  <c r="CPC36" i="7"/>
  <c r="CPB36" i="7"/>
  <c r="CPA36" i="7"/>
  <c r="COZ36" i="7"/>
  <c r="COY36" i="7"/>
  <c r="COX36" i="7"/>
  <c r="COW36" i="7"/>
  <c r="COV36" i="7"/>
  <c r="COU36" i="7"/>
  <c r="COT36" i="7"/>
  <c r="COS36" i="7"/>
  <c r="COR36" i="7"/>
  <c r="COQ36" i="7"/>
  <c r="COP36" i="7"/>
  <c r="COO36" i="7"/>
  <c r="CON36" i="7"/>
  <c r="COM36" i="7"/>
  <c r="COL36" i="7"/>
  <c r="COK36" i="7"/>
  <c r="COJ36" i="7"/>
  <c r="COI36" i="7"/>
  <c r="COH36" i="7"/>
  <c r="COG36" i="7"/>
  <c r="COF36" i="7"/>
  <c r="COE36" i="7"/>
  <c r="COD36" i="7"/>
  <c r="COC36" i="7"/>
  <c r="COB36" i="7"/>
  <c r="COA36" i="7"/>
  <c r="CNZ36" i="7"/>
  <c r="CNY36" i="7"/>
  <c r="CNX36" i="7"/>
  <c r="CNW36" i="7"/>
  <c r="CNV36" i="7"/>
  <c r="CNU36" i="7"/>
  <c r="CNT36" i="7"/>
  <c r="CNS36" i="7"/>
  <c r="CNR36" i="7"/>
  <c r="CNQ36" i="7"/>
  <c r="CNP36" i="7"/>
  <c r="CNO36" i="7"/>
  <c r="CNN36" i="7"/>
  <c r="CNM36" i="7"/>
  <c r="CNL36" i="7"/>
  <c r="CNK36" i="7"/>
  <c r="CNJ36" i="7"/>
  <c r="CNI36" i="7"/>
  <c r="CNH36" i="7"/>
  <c r="CNG36" i="7"/>
  <c r="CNF36" i="7"/>
  <c r="CNE36" i="7"/>
  <c r="CND36" i="7"/>
  <c r="CNC36" i="7"/>
  <c r="CNB36" i="7"/>
  <c r="CNA36" i="7"/>
  <c r="CMZ36" i="7"/>
  <c r="CMY36" i="7"/>
  <c r="CMX36" i="7"/>
  <c r="CMW36" i="7"/>
  <c r="CMV36" i="7"/>
  <c r="CMU36" i="7"/>
  <c r="CMT36" i="7"/>
  <c r="CMS36" i="7"/>
  <c r="CMR36" i="7"/>
  <c r="CMQ36" i="7"/>
  <c r="CMP36" i="7"/>
  <c r="CMO36" i="7"/>
  <c r="CMN36" i="7"/>
  <c r="CMM36" i="7"/>
  <c r="CML36" i="7"/>
  <c r="CMK36" i="7"/>
  <c r="CMJ36" i="7"/>
  <c r="CMI36" i="7"/>
  <c r="CMH36" i="7"/>
  <c r="CMG36" i="7"/>
  <c r="CMF36" i="7"/>
  <c r="CME36" i="7"/>
  <c r="CMD36" i="7"/>
  <c r="CMC36" i="7"/>
  <c r="CMB36" i="7"/>
  <c r="CMA36" i="7"/>
  <c r="CLZ36" i="7"/>
  <c r="CLY36" i="7"/>
  <c r="CLX36" i="7"/>
  <c r="CLW36" i="7"/>
  <c r="CLV36" i="7"/>
  <c r="CLU36" i="7"/>
  <c r="CLT36" i="7"/>
  <c r="CLS36" i="7"/>
  <c r="CLR36" i="7"/>
  <c r="CLQ36" i="7"/>
  <c r="CLP36" i="7"/>
  <c r="CLO36" i="7"/>
  <c r="CLN36" i="7"/>
  <c r="CLM36" i="7"/>
  <c r="CLL36" i="7"/>
  <c r="CLK36" i="7"/>
  <c r="CLJ36" i="7"/>
  <c r="CLI36" i="7"/>
  <c r="CLH36" i="7"/>
  <c r="CLG36" i="7"/>
  <c r="CLF36" i="7"/>
  <c r="CLE36" i="7"/>
  <c r="CLD36" i="7"/>
  <c r="CLC36" i="7"/>
  <c r="CLB36" i="7"/>
  <c r="CLA36" i="7"/>
  <c r="CKZ36" i="7"/>
  <c r="CKY36" i="7"/>
  <c r="CKX36" i="7"/>
  <c r="CKW36" i="7"/>
  <c r="CKV36" i="7"/>
  <c r="CKU36" i="7"/>
  <c r="CKT36" i="7"/>
  <c r="CKS36" i="7"/>
  <c r="CKR36" i="7"/>
  <c r="CKQ36" i="7"/>
  <c r="CKP36" i="7"/>
  <c r="CKO36" i="7"/>
  <c r="CKN36" i="7"/>
  <c r="CKM36" i="7"/>
  <c r="CKL36" i="7"/>
  <c r="CKK36" i="7"/>
  <c r="CKJ36" i="7"/>
  <c r="CKI36" i="7"/>
  <c r="CKH36" i="7"/>
  <c r="CKG36" i="7"/>
  <c r="CKF36" i="7"/>
  <c r="CKE36" i="7"/>
  <c r="CKD36" i="7"/>
  <c r="CKC36" i="7"/>
  <c r="CKB36" i="7"/>
  <c r="CKA36" i="7"/>
  <c r="CJZ36" i="7"/>
  <c r="CJY36" i="7"/>
  <c r="CJX36" i="7"/>
  <c r="CJW36" i="7"/>
  <c r="CJV36" i="7"/>
  <c r="CJU36" i="7"/>
  <c r="CJT36" i="7"/>
  <c r="CJS36" i="7"/>
  <c r="CJR36" i="7"/>
  <c r="CJQ36" i="7"/>
  <c r="CJP36" i="7"/>
  <c r="CJO36" i="7"/>
  <c r="CJN36" i="7"/>
  <c r="CJM36" i="7"/>
  <c r="CJL36" i="7"/>
  <c r="CJK36" i="7"/>
  <c r="CJJ36" i="7"/>
  <c r="CJI36" i="7"/>
  <c r="CJH36" i="7"/>
  <c r="CJG36" i="7"/>
  <c r="CJF36" i="7"/>
  <c r="CJE36" i="7"/>
  <c r="CJD36" i="7"/>
  <c r="CJC36" i="7"/>
  <c r="CJB36" i="7"/>
  <c r="CJA36" i="7"/>
  <c r="CIZ36" i="7"/>
  <c r="CIY36" i="7"/>
  <c r="CIX36" i="7"/>
  <c r="CIW36" i="7"/>
  <c r="CIV36" i="7"/>
  <c r="CIU36" i="7"/>
  <c r="CIT36" i="7"/>
  <c r="CIS36" i="7"/>
  <c r="CIR36" i="7"/>
  <c r="CIQ36" i="7"/>
  <c r="CIP36" i="7"/>
  <c r="CIO36" i="7"/>
  <c r="CIN36" i="7"/>
  <c r="CIM36" i="7"/>
  <c r="CIL36" i="7"/>
  <c r="CIK36" i="7"/>
  <c r="CIJ36" i="7"/>
  <c r="CII36" i="7"/>
  <c r="CIH36" i="7"/>
  <c r="CIG36" i="7"/>
  <c r="CIF36" i="7"/>
  <c r="CIE36" i="7"/>
  <c r="CID36" i="7"/>
  <c r="CIC36" i="7"/>
  <c r="CIB36" i="7"/>
  <c r="CIA36" i="7"/>
  <c r="CHZ36" i="7"/>
  <c r="CHY36" i="7"/>
  <c r="CHX36" i="7"/>
  <c r="CHW36" i="7"/>
  <c r="CHV36" i="7"/>
  <c r="CHU36" i="7"/>
  <c r="CHT36" i="7"/>
  <c r="CHS36" i="7"/>
  <c r="CHR36" i="7"/>
  <c r="CHQ36" i="7"/>
  <c r="CHP36" i="7"/>
  <c r="CHO36" i="7"/>
  <c r="CHN36" i="7"/>
  <c r="CHM36" i="7"/>
  <c r="CHL36" i="7"/>
  <c r="CHK36" i="7"/>
  <c r="CHJ36" i="7"/>
  <c r="CHI36" i="7"/>
  <c r="CHH36" i="7"/>
  <c r="CHG36" i="7"/>
  <c r="CHF36" i="7"/>
  <c r="CHE36" i="7"/>
  <c r="CHD36" i="7"/>
  <c r="CHC36" i="7"/>
  <c r="CHB36" i="7"/>
  <c r="CHA36" i="7"/>
  <c r="CGZ36" i="7"/>
  <c r="CGY36" i="7"/>
  <c r="CGX36" i="7"/>
  <c r="CGW36" i="7"/>
  <c r="CGV36" i="7"/>
  <c r="CGU36" i="7"/>
  <c r="CGT36" i="7"/>
  <c r="CGS36" i="7"/>
  <c r="CGR36" i="7"/>
  <c r="CGQ36" i="7"/>
  <c r="CGP36" i="7"/>
  <c r="CGO36" i="7"/>
  <c r="CGN36" i="7"/>
  <c r="CGM36" i="7"/>
  <c r="CGL36" i="7"/>
  <c r="CGK36" i="7"/>
  <c r="CGJ36" i="7"/>
  <c r="CGI36" i="7"/>
  <c r="CGH36" i="7"/>
  <c r="CGG36" i="7"/>
  <c r="CGF36" i="7"/>
  <c r="CGE36" i="7"/>
  <c r="CGD36" i="7"/>
  <c r="CGC36" i="7"/>
  <c r="CGB36" i="7"/>
  <c r="CGA36" i="7"/>
  <c r="CFZ36" i="7"/>
  <c r="CFY36" i="7"/>
  <c r="CFX36" i="7"/>
  <c r="CFW36" i="7"/>
  <c r="CFV36" i="7"/>
  <c r="CFU36" i="7"/>
  <c r="CFT36" i="7"/>
  <c r="CFS36" i="7"/>
  <c r="CFR36" i="7"/>
  <c r="CFQ36" i="7"/>
  <c r="CFP36" i="7"/>
  <c r="CFO36" i="7"/>
  <c r="CFN36" i="7"/>
  <c r="CFM36" i="7"/>
  <c r="CFL36" i="7"/>
  <c r="CFK36" i="7"/>
  <c r="CFJ36" i="7"/>
  <c r="CFI36" i="7"/>
  <c r="CFH36" i="7"/>
  <c r="CFG36" i="7"/>
  <c r="CFF36" i="7"/>
  <c r="CFE36" i="7"/>
  <c r="CFD36" i="7"/>
  <c r="CFC36" i="7"/>
  <c r="CFB36" i="7"/>
  <c r="CFA36" i="7"/>
  <c r="CEZ36" i="7"/>
  <c r="CEY36" i="7"/>
  <c r="CEX36" i="7"/>
  <c r="CEW36" i="7"/>
  <c r="CEV36" i="7"/>
  <c r="CEU36" i="7"/>
  <c r="CET36" i="7"/>
  <c r="CES36" i="7"/>
  <c r="CER36" i="7"/>
  <c r="CEQ36" i="7"/>
  <c r="CEP36" i="7"/>
  <c r="CEO36" i="7"/>
  <c r="CEN36" i="7"/>
  <c r="CEM36" i="7"/>
  <c r="CEL36" i="7"/>
  <c r="CEK36" i="7"/>
  <c r="CEJ36" i="7"/>
  <c r="CEI36" i="7"/>
  <c r="CEH36" i="7"/>
  <c r="CEG36" i="7"/>
  <c r="CEF36" i="7"/>
  <c r="CEE36" i="7"/>
  <c r="CED36" i="7"/>
  <c r="CEC36" i="7"/>
  <c r="CEB36" i="7"/>
  <c r="CEA36" i="7"/>
  <c r="CDZ36" i="7"/>
  <c r="CDY36" i="7"/>
  <c r="CDX36" i="7"/>
  <c r="CDW36" i="7"/>
  <c r="CDV36" i="7"/>
  <c r="CDU36" i="7"/>
  <c r="CDT36" i="7"/>
  <c r="CDS36" i="7"/>
  <c r="CDR36" i="7"/>
  <c r="CDQ36" i="7"/>
  <c r="CDP36" i="7"/>
  <c r="CDO36" i="7"/>
  <c r="CDN36" i="7"/>
  <c r="CDM36" i="7"/>
  <c r="CDL36" i="7"/>
  <c r="CDK36" i="7"/>
  <c r="CDJ36" i="7"/>
  <c r="CDI36" i="7"/>
  <c r="CDH36" i="7"/>
  <c r="CDG36" i="7"/>
  <c r="CDF36" i="7"/>
  <c r="CDE36" i="7"/>
  <c r="CDD36" i="7"/>
  <c r="CDC36" i="7"/>
  <c r="CDB36" i="7"/>
  <c r="CDA36" i="7"/>
  <c r="CCZ36" i="7"/>
  <c r="CCY36" i="7"/>
  <c r="CCX36" i="7"/>
  <c r="CCW36" i="7"/>
  <c r="CCV36" i="7"/>
  <c r="CCU36" i="7"/>
  <c r="CCT36" i="7"/>
  <c r="CCS36" i="7"/>
  <c r="CCR36" i="7"/>
  <c r="CCQ36" i="7"/>
  <c r="CCP36" i="7"/>
  <c r="CCO36" i="7"/>
  <c r="CCN36" i="7"/>
  <c r="CCM36" i="7"/>
  <c r="CCL36" i="7"/>
  <c r="CCK36" i="7"/>
  <c r="CCJ36" i="7"/>
  <c r="CCI36" i="7"/>
  <c r="CCH36" i="7"/>
  <c r="CCG36" i="7"/>
  <c r="CCF36" i="7"/>
  <c r="CCE36" i="7"/>
  <c r="CCD36" i="7"/>
  <c r="CCC36" i="7"/>
  <c r="CCB36" i="7"/>
  <c r="CCA36" i="7"/>
  <c r="CBZ36" i="7"/>
  <c r="CBY36" i="7"/>
  <c r="CBX36" i="7"/>
  <c r="CBW36" i="7"/>
  <c r="CBV36" i="7"/>
  <c r="CBU36" i="7"/>
  <c r="CBT36" i="7"/>
  <c r="CBS36" i="7"/>
  <c r="CBR36" i="7"/>
  <c r="CBQ36" i="7"/>
  <c r="CBP36" i="7"/>
  <c r="CBO36" i="7"/>
  <c r="CBN36" i="7"/>
  <c r="CBM36" i="7"/>
  <c r="CBL36" i="7"/>
  <c r="CBK36" i="7"/>
  <c r="CBJ36" i="7"/>
  <c r="CBI36" i="7"/>
  <c r="CBH36" i="7"/>
  <c r="CBG36" i="7"/>
  <c r="CBF36" i="7"/>
  <c r="CBE36" i="7"/>
  <c r="CBD36" i="7"/>
  <c r="CBC36" i="7"/>
  <c r="CBB36" i="7"/>
  <c r="CBA36" i="7"/>
  <c r="CAZ36" i="7"/>
  <c r="CAY36" i="7"/>
  <c r="CAX36" i="7"/>
  <c r="CAW36" i="7"/>
  <c r="CAV36" i="7"/>
  <c r="CAU36" i="7"/>
  <c r="CAT36" i="7"/>
  <c r="CAS36" i="7"/>
  <c r="CAR36" i="7"/>
  <c r="CAQ36" i="7"/>
  <c r="CAP36" i="7"/>
  <c r="CAO36" i="7"/>
  <c r="CAN36" i="7"/>
  <c r="CAM36" i="7"/>
  <c r="CAL36" i="7"/>
  <c r="CAK36" i="7"/>
  <c r="CAJ36" i="7"/>
  <c r="CAI36" i="7"/>
  <c r="CAH36" i="7"/>
  <c r="CAG36" i="7"/>
  <c r="CAF36" i="7"/>
  <c r="CAE36" i="7"/>
  <c r="CAD36" i="7"/>
  <c r="CAC36" i="7"/>
  <c r="CAB36" i="7"/>
  <c r="CAA36" i="7"/>
  <c r="BZZ36" i="7"/>
  <c r="BZY36" i="7"/>
  <c r="BZX36" i="7"/>
  <c r="BZW36" i="7"/>
  <c r="BZV36" i="7"/>
  <c r="BZU36" i="7"/>
  <c r="BZT36" i="7"/>
  <c r="BZS36" i="7"/>
  <c r="BZR36" i="7"/>
  <c r="BZQ36" i="7"/>
  <c r="BZP36" i="7"/>
  <c r="BZO36" i="7"/>
  <c r="BZN36" i="7"/>
  <c r="BZM36" i="7"/>
  <c r="BZL36" i="7"/>
  <c r="BZK36" i="7"/>
  <c r="BZJ36" i="7"/>
  <c r="BZI36" i="7"/>
  <c r="BZH36" i="7"/>
  <c r="BZG36" i="7"/>
  <c r="BZF36" i="7"/>
  <c r="BZE36" i="7"/>
  <c r="BZD36" i="7"/>
  <c r="BZC36" i="7"/>
  <c r="BZB36" i="7"/>
  <c r="BZA36" i="7"/>
  <c r="BYZ36" i="7"/>
  <c r="BYY36" i="7"/>
  <c r="BYX36" i="7"/>
  <c r="BYW36" i="7"/>
  <c r="BYV36" i="7"/>
  <c r="BYU36" i="7"/>
  <c r="BYT36" i="7"/>
  <c r="BYS36" i="7"/>
  <c r="BYR36" i="7"/>
  <c r="BYQ36" i="7"/>
  <c r="BYP36" i="7"/>
  <c r="BYO36" i="7"/>
  <c r="BYN36" i="7"/>
  <c r="BYM36" i="7"/>
  <c r="BYL36" i="7"/>
  <c r="BYK36" i="7"/>
  <c r="BYJ36" i="7"/>
  <c r="BYI36" i="7"/>
  <c r="BYH36" i="7"/>
  <c r="BYG36" i="7"/>
  <c r="BYF36" i="7"/>
  <c r="BYE36" i="7"/>
  <c r="BYD36" i="7"/>
  <c r="BYC36" i="7"/>
  <c r="BYB36" i="7"/>
  <c r="BYA36" i="7"/>
  <c r="BXZ36" i="7"/>
  <c r="BXY36" i="7"/>
  <c r="BXX36" i="7"/>
  <c r="BXW36" i="7"/>
  <c r="BXV36" i="7"/>
  <c r="BXU36" i="7"/>
  <c r="BXT36" i="7"/>
  <c r="BXS36" i="7"/>
  <c r="BXR36" i="7"/>
  <c r="BXQ36" i="7"/>
  <c r="BXP36" i="7"/>
  <c r="BXO36" i="7"/>
  <c r="BXN36" i="7"/>
  <c r="BXM36" i="7"/>
  <c r="BXL36" i="7"/>
  <c r="BXK36" i="7"/>
  <c r="BXJ36" i="7"/>
  <c r="BXI36" i="7"/>
  <c r="BXH36" i="7"/>
  <c r="BXG36" i="7"/>
  <c r="BXF36" i="7"/>
  <c r="BXE36" i="7"/>
  <c r="BXD36" i="7"/>
  <c r="BXC36" i="7"/>
  <c r="BXB36" i="7"/>
  <c r="BXA36" i="7"/>
  <c r="BWZ36" i="7"/>
  <c r="BWY36" i="7"/>
  <c r="BWX36" i="7"/>
  <c r="BWW36" i="7"/>
  <c r="BWV36" i="7"/>
  <c r="BWU36" i="7"/>
  <c r="BWT36" i="7"/>
  <c r="BWS36" i="7"/>
  <c r="BWR36" i="7"/>
  <c r="BWQ36" i="7"/>
  <c r="BWP36" i="7"/>
  <c r="BWO36" i="7"/>
  <c r="BWN36" i="7"/>
  <c r="BWM36" i="7"/>
  <c r="BWL36" i="7"/>
  <c r="BWK36" i="7"/>
  <c r="BWJ36" i="7"/>
  <c r="BWI36" i="7"/>
  <c r="BWH36" i="7"/>
  <c r="BWG36" i="7"/>
  <c r="BWF36" i="7"/>
  <c r="BWE36" i="7"/>
  <c r="BWD36" i="7"/>
  <c r="BWC36" i="7"/>
  <c r="BWB36" i="7"/>
  <c r="BWA36" i="7"/>
  <c r="BVZ36" i="7"/>
  <c r="BVY36" i="7"/>
  <c r="BVX36" i="7"/>
  <c r="BVW36" i="7"/>
  <c r="BVV36" i="7"/>
  <c r="BVU36" i="7"/>
  <c r="BVT36" i="7"/>
  <c r="BVS36" i="7"/>
  <c r="BVR36" i="7"/>
  <c r="BVQ36" i="7"/>
  <c r="BVP36" i="7"/>
  <c r="BVO36" i="7"/>
  <c r="BVN36" i="7"/>
  <c r="BVM36" i="7"/>
  <c r="BVL36" i="7"/>
  <c r="BVK36" i="7"/>
  <c r="BVJ36" i="7"/>
  <c r="BVI36" i="7"/>
  <c r="BVH36" i="7"/>
  <c r="BVG36" i="7"/>
  <c r="BVF36" i="7"/>
  <c r="BVE36" i="7"/>
  <c r="BVD36" i="7"/>
  <c r="BVC36" i="7"/>
  <c r="BVB36" i="7"/>
  <c r="BVA36" i="7"/>
  <c r="BUZ36" i="7"/>
  <c r="BUY36" i="7"/>
  <c r="BUX36" i="7"/>
  <c r="BUW36" i="7"/>
  <c r="BUV36" i="7"/>
  <c r="BUU36" i="7"/>
  <c r="BUT36" i="7"/>
  <c r="BUS36" i="7"/>
  <c r="BUR36" i="7"/>
  <c r="BUQ36" i="7"/>
  <c r="BUP36" i="7"/>
  <c r="BUO36" i="7"/>
  <c r="BUN36" i="7"/>
  <c r="BUM36" i="7"/>
  <c r="BUL36" i="7"/>
  <c r="BUK36" i="7"/>
  <c r="BUJ36" i="7"/>
  <c r="BUI36" i="7"/>
  <c r="BUH36" i="7"/>
  <c r="BUG36" i="7"/>
  <c r="BUF36" i="7"/>
  <c r="BUE36" i="7"/>
  <c r="BUD36" i="7"/>
  <c r="BUC36" i="7"/>
  <c r="BUB36" i="7"/>
  <c r="BUA36" i="7"/>
  <c r="BTZ36" i="7"/>
  <c r="BTY36" i="7"/>
  <c r="BTX36" i="7"/>
  <c r="BTW36" i="7"/>
  <c r="BTV36" i="7"/>
  <c r="BTU36" i="7"/>
  <c r="BTT36" i="7"/>
  <c r="BTS36" i="7"/>
  <c r="BTR36" i="7"/>
  <c r="BTQ36" i="7"/>
  <c r="BTP36" i="7"/>
  <c r="BTO36" i="7"/>
  <c r="BTN36" i="7"/>
  <c r="BTM36" i="7"/>
  <c r="BTL36" i="7"/>
  <c r="BTK36" i="7"/>
  <c r="BTJ36" i="7"/>
  <c r="BTI36" i="7"/>
  <c r="BTH36" i="7"/>
  <c r="BTG36" i="7"/>
  <c r="BTF36" i="7"/>
  <c r="BTE36" i="7"/>
  <c r="BTD36" i="7"/>
  <c r="BTC36" i="7"/>
  <c r="BTB36" i="7"/>
  <c r="BTA36" i="7"/>
  <c r="BSZ36" i="7"/>
  <c r="BSY36" i="7"/>
  <c r="BSX36" i="7"/>
  <c r="BSW36" i="7"/>
  <c r="BSV36" i="7"/>
  <c r="BSU36" i="7"/>
  <c r="BST36" i="7"/>
  <c r="BSS36" i="7"/>
  <c r="BSR36" i="7"/>
  <c r="BSQ36" i="7"/>
  <c r="BSP36" i="7"/>
  <c r="BSO36" i="7"/>
  <c r="BSN36" i="7"/>
  <c r="BSM36" i="7"/>
  <c r="BSL36" i="7"/>
  <c r="BSK36" i="7"/>
  <c r="BSJ36" i="7"/>
  <c r="BSI36" i="7"/>
  <c r="BSH36" i="7"/>
  <c r="BSG36" i="7"/>
  <c r="BSF36" i="7"/>
  <c r="BSE36" i="7"/>
  <c r="BSD36" i="7"/>
  <c r="BSC36" i="7"/>
  <c r="BSB36" i="7"/>
  <c r="BSA36" i="7"/>
  <c r="BRZ36" i="7"/>
  <c r="BRY36" i="7"/>
  <c r="BRX36" i="7"/>
  <c r="BRW36" i="7"/>
  <c r="BRV36" i="7"/>
  <c r="BRU36" i="7"/>
  <c r="BRT36" i="7"/>
  <c r="BRS36" i="7"/>
  <c r="BRR36" i="7"/>
  <c r="BRQ36" i="7"/>
  <c r="BRP36" i="7"/>
  <c r="BRO36" i="7"/>
  <c r="BRN36" i="7"/>
  <c r="BRM36" i="7"/>
  <c r="BRL36" i="7"/>
  <c r="BRK36" i="7"/>
  <c r="BRJ36" i="7"/>
  <c r="BRI36" i="7"/>
  <c r="BRH36" i="7"/>
  <c r="BRG36" i="7"/>
  <c r="BRF36" i="7"/>
  <c r="BRE36" i="7"/>
  <c r="BRD36" i="7"/>
  <c r="BRC36" i="7"/>
  <c r="BRB36" i="7"/>
  <c r="BRA36" i="7"/>
  <c r="BQZ36" i="7"/>
  <c r="BQY36" i="7"/>
  <c r="BQX36" i="7"/>
  <c r="BQW36" i="7"/>
  <c r="BQV36" i="7"/>
  <c r="BQU36" i="7"/>
  <c r="BQT36" i="7"/>
  <c r="BQS36" i="7"/>
  <c r="BQR36" i="7"/>
  <c r="BQQ36" i="7"/>
  <c r="BQP36" i="7"/>
  <c r="BQO36" i="7"/>
  <c r="BQN36" i="7"/>
  <c r="BQM36" i="7"/>
  <c r="BQL36" i="7"/>
  <c r="BQK36" i="7"/>
  <c r="BQJ36" i="7"/>
  <c r="BQI36" i="7"/>
  <c r="BQH36" i="7"/>
  <c r="BQG36" i="7"/>
  <c r="BQF36" i="7"/>
  <c r="BQE36" i="7"/>
  <c r="BQD36" i="7"/>
  <c r="BQC36" i="7"/>
  <c r="BQB36" i="7"/>
  <c r="BQA36" i="7"/>
  <c r="BPZ36" i="7"/>
  <c r="BPY36" i="7"/>
  <c r="BPX36" i="7"/>
  <c r="BPW36" i="7"/>
  <c r="BPV36" i="7"/>
  <c r="BPU36" i="7"/>
  <c r="BPT36" i="7"/>
  <c r="BPS36" i="7"/>
  <c r="BPR36" i="7"/>
  <c r="BPQ36" i="7"/>
  <c r="BPP36" i="7"/>
  <c r="BPO36" i="7"/>
  <c r="BPN36" i="7"/>
  <c r="BPM36" i="7"/>
  <c r="BPL36" i="7"/>
  <c r="BPK36" i="7"/>
  <c r="BPJ36" i="7"/>
  <c r="BPI36" i="7"/>
  <c r="BPH36" i="7"/>
  <c r="BPG36" i="7"/>
  <c r="BPF36" i="7"/>
  <c r="BPE36" i="7"/>
  <c r="BPD36" i="7"/>
  <c r="BPC36" i="7"/>
  <c r="BPB36" i="7"/>
  <c r="BPA36" i="7"/>
  <c r="BOZ36" i="7"/>
  <c r="BOY36" i="7"/>
  <c r="BOX36" i="7"/>
  <c r="BOW36" i="7"/>
  <c r="BOV36" i="7"/>
  <c r="BOU36" i="7"/>
  <c r="BOT36" i="7"/>
  <c r="BOS36" i="7"/>
  <c r="BOR36" i="7"/>
  <c r="BOQ36" i="7"/>
  <c r="BOP36" i="7"/>
  <c r="BOO36" i="7"/>
  <c r="BON36" i="7"/>
  <c r="BOM36" i="7"/>
  <c r="BOL36" i="7"/>
  <c r="BOK36" i="7"/>
  <c r="BOJ36" i="7"/>
  <c r="BOI36" i="7"/>
  <c r="BOH36" i="7"/>
  <c r="BOG36" i="7"/>
  <c r="BOF36" i="7"/>
  <c r="BOE36" i="7"/>
  <c r="BOD36" i="7"/>
  <c r="BOC36" i="7"/>
  <c r="BOB36" i="7"/>
  <c r="BOA36" i="7"/>
  <c r="BNZ36" i="7"/>
  <c r="BNY36" i="7"/>
  <c r="BNX36" i="7"/>
  <c r="BNW36" i="7"/>
  <c r="BNV36" i="7"/>
  <c r="BNU36" i="7"/>
  <c r="BNT36" i="7"/>
  <c r="BNS36" i="7"/>
  <c r="BNR36" i="7"/>
  <c r="BNQ36" i="7"/>
  <c r="BNP36" i="7"/>
  <c r="BNO36" i="7"/>
  <c r="BNN36" i="7"/>
  <c r="BNM36" i="7"/>
  <c r="BNL36" i="7"/>
  <c r="BNK36" i="7"/>
  <c r="BNJ36" i="7"/>
  <c r="BNI36" i="7"/>
  <c r="BNH36" i="7"/>
  <c r="BNG36" i="7"/>
  <c r="BNF36" i="7"/>
  <c r="BNE36" i="7"/>
  <c r="BND36" i="7"/>
  <c r="BNC36" i="7"/>
  <c r="BNB36" i="7"/>
  <c r="BNA36" i="7"/>
  <c r="BMZ36" i="7"/>
  <c r="BMY36" i="7"/>
  <c r="BMX36" i="7"/>
  <c r="BMW36" i="7"/>
  <c r="BMV36" i="7"/>
  <c r="BMU36" i="7"/>
  <c r="BMT36" i="7"/>
  <c r="BMS36" i="7"/>
  <c r="BMR36" i="7"/>
  <c r="BMQ36" i="7"/>
  <c r="BMP36" i="7"/>
  <c r="BMO36" i="7"/>
  <c r="BMN36" i="7"/>
  <c r="BMM36" i="7"/>
  <c r="BML36" i="7"/>
  <c r="BMK36" i="7"/>
  <c r="BMJ36" i="7"/>
  <c r="BMI36" i="7"/>
  <c r="BMH36" i="7"/>
  <c r="BMG36" i="7"/>
  <c r="BMF36" i="7"/>
  <c r="BME36" i="7"/>
  <c r="BMD36" i="7"/>
  <c r="BMC36" i="7"/>
  <c r="BMB36" i="7"/>
  <c r="BMA36" i="7"/>
  <c r="BLZ36" i="7"/>
  <c r="BLY36" i="7"/>
  <c r="BLX36" i="7"/>
  <c r="BLW36" i="7"/>
  <c r="BLV36" i="7"/>
  <c r="BLU36" i="7"/>
  <c r="BLT36" i="7"/>
  <c r="BLS36" i="7"/>
  <c r="BLR36" i="7"/>
  <c r="BLQ36" i="7"/>
  <c r="BLP36" i="7"/>
  <c r="BLO36" i="7"/>
  <c r="BLN36" i="7"/>
  <c r="BLM36" i="7"/>
  <c r="BLL36" i="7"/>
  <c r="BLK36" i="7"/>
  <c r="BLJ36" i="7"/>
  <c r="BLI36" i="7"/>
  <c r="BLH36" i="7"/>
  <c r="BLG36" i="7"/>
  <c r="BLF36" i="7"/>
  <c r="BLE36" i="7"/>
  <c r="BLD36" i="7"/>
  <c r="BLC36" i="7"/>
  <c r="BLB36" i="7"/>
  <c r="BLA36" i="7"/>
  <c r="BKZ36" i="7"/>
  <c r="BKY36" i="7"/>
  <c r="BKX36" i="7"/>
  <c r="BKW36" i="7"/>
  <c r="BKV36" i="7"/>
  <c r="BKU36" i="7"/>
  <c r="BKT36" i="7"/>
  <c r="BKS36" i="7"/>
  <c r="BKR36" i="7"/>
  <c r="BKQ36" i="7"/>
  <c r="BKP36" i="7"/>
  <c r="BKO36" i="7"/>
  <c r="BKN36" i="7"/>
  <c r="BKM36" i="7"/>
  <c r="BKL36" i="7"/>
  <c r="BKK36" i="7"/>
  <c r="BKJ36" i="7"/>
  <c r="BKI36" i="7"/>
  <c r="BKH36" i="7"/>
  <c r="BKG36" i="7"/>
  <c r="BKF36" i="7"/>
  <c r="BKE36" i="7"/>
  <c r="BKD36" i="7"/>
  <c r="BKC36" i="7"/>
  <c r="BKB36" i="7"/>
  <c r="BKA36" i="7"/>
  <c r="BJZ36" i="7"/>
  <c r="BJY36" i="7"/>
  <c r="BJX36" i="7"/>
  <c r="BJW36" i="7"/>
  <c r="BJV36" i="7"/>
  <c r="BJU36" i="7"/>
  <c r="BJT36" i="7"/>
  <c r="BJS36" i="7"/>
  <c r="BJR36" i="7"/>
  <c r="BJQ36" i="7"/>
  <c r="BJP36" i="7"/>
  <c r="BJO36" i="7"/>
  <c r="BJN36" i="7"/>
  <c r="BJM36" i="7"/>
  <c r="BJL36" i="7"/>
  <c r="BJK36" i="7"/>
  <c r="BJJ36" i="7"/>
  <c r="BJI36" i="7"/>
  <c r="BJH36" i="7"/>
  <c r="BJG36" i="7"/>
  <c r="BJF36" i="7"/>
  <c r="BJE36" i="7"/>
  <c r="BJD36" i="7"/>
  <c r="BJC36" i="7"/>
  <c r="BJB36" i="7"/>
  <c r="BJA36" i="7"/>
  <c r="BIZ36" i="7"/>
  <c r="BIY36" i="7"/>
  <c r="BIX36" i="7"/>
  <c r="BIW36" i="7"/>
  <c r="BIV36" i="7"/>
  <c r="BIU36" i="7"/>
  <c r="BIT36" i="7"/>
  <c r="BIS36" i="7"/>
  <c r="BIR36" i="7"/>
  <c r="BIQ36" i="7"/>
  <c r="BIP36" i="7"/>
  <c r="BIO36" i="7"/>
  <c r="BIN36" i="7"/>
  <c r="BIM36" i="7"/>
  <c r="BIL36" i="7"/>
  <c r="BIK36" i="7"/>
  <c r="BIJ36" i="7"/>
  <c r="BII36" i="7"/>
  <c r="BIH36" i="7"/>
  <c r="BIG36" i="7"/>
  <c r="BIF36" i="7"/>
  <c r="BIE36" i="7"/>
  <c r="BID36" i="7"/>
  <c r="BIC36" i="7"/>
  <c r="BIB36" i="7"/>
  <c r="BIA36" i="7"/>
  <c r="BHZ36" i="7"/>
  <c r="BHY36" i="7"/>
  <c r="BHX36" i="7"/>
  <c r="BHW36" i="7"/>
  <c r="BHV36" i="7"/>
  <c r="BHU36" i="7"/>
  <c r="BHT36" i="7"/>
  <c r="BHS36" i="7"/>
  <c r="BHR36" i="7"/>
  <c r="BHQ36" i="7"/>
  <c r="BHP36" i="7"/>
  <c r="BHO36" i="7"/>
  <c r="BHN36" i="7"/>
  <c r="BHM36" i="7"/>
  <c r="BHL36" i="7"/>
  <c r="BHK36" i="7"/>
  <c r="BHJ36" i="7"/>
  <c r="BHI36" i="7"/>
  <c r="BHH36" i="7"/>
  <c r="BHG36" i="7"/>
  <c r="BHF36" i="7"/>
  <c r="BHE36" i="7"/>
  <c r="BHD36" i="7"/>
  <c r="BHC36" i="7"/>
  <c r="BHB36" i="7"/>
  <c r="BHA36" i="7"/>
  <c r="BGZ36" i="7"/>
  <c r="BGY36" i="7"/>
  <c r="BGX36" i="7"/>
  <c r="BGW36" i="7"/>
  <c r="BGV36" i="7"/>
  <c r="BGU36" i="7"/>
  <c r="BGT36" i="7"/>
  <c r="BGS36" i="7"/>
  <c r="BGR36" i="7"/>
  <c r="BGQ36" i="7"/>
  <c r="BGP36" i="7"/>
  <c r="BGO36" i="7"/>
  <c r="BGN36" i="7"/>
  <c r="BGM36" i="7"/>
  <c r="BGL36" i="7"/>
  <c r="BGK36" i="7"/>
  <c r="BGJ36" i="7"/>
  <c r="BGI36" i="7"/>
  <c r="BGH36" i="7"/>
  <c r="BGG36" i="7"/>
  <c r="BGF36" i="7"/>
  <c r="BGE36" i="7"/>
  <c r="BGD36" i="7"/>
  <c r="BGC36" i="7"/>
  <c r="BGB36" i="7"/>
  <c r="BGA36" i="7"/>
  <c r="BFZ36" i="7"/>
  <c r="BFY36" i="7"/>
  <c r="BFX36" i="7"/>
  <c r="BFW36" i="7"/>
  <c r="BFV36" i="7"/>
  <c r="BFU36" i="7"/>
  <c r="BFT36" i="7"/>
  <c r="BFS36" i="7"/>
  <c r="BFR36" i="7"/>
  <c r="BFQ36" i="7"/>
  <c r="BFP36" i="7"/>
  <c r="BFO36" i="7"/>
  <c r="BFN36" i="7"/>
  <c r="BFM36" i="7"/>
  <c r="BFL36" i="7"/>
  <c r="BFK36" i="7"/>
  <c r="BFJ36" i="7"/>
  <c r="BFI36" i="7"/>
  <c r="BFH36" i="7"/>
  <c r="BFG36" i="7"/>
  <c r="BFF36" i="7"/>
  <c r="BFE36" i="7"/>
  <c r="BFD36" i="7"/>
  <c r="BFC36" i="7"/>
  <c r="BFB36" i="7"/>
  <c r="BFA36" i="7"/>
  <c r="BEZ36" i="7"/>
  <c r="BEY36" i="7"/>
  <c r="BEX36" i="7"/>
  <c r="BEW36" i="7"/>
  <c r="BEV36" i="7"/>
  <c r="BEU36" i="7"/>
  <c r="BET36" i="7"/>
  <c r="BES36" i="7"/>
  <c r="BER36" i="7"/>
  <c r="BEQ36" i="7"/>
  <c r="BEP36" i="7"/>
  <c r="BEO36" i="7"/>
  <c r="BEN36" i="7"/>
  <c r="BEM36" i="7"/>
  <c r="BEL36" i="7"/>
  <c r="BEK36" i="7"/>
  <c r="BEJ36" i="7"/>
  <c r="BEI36" i="7"/>
  <c r="BEH36" i="7"/>
  <c r="BEG36" i="7"/>
  <c r="BEF36" i="7"/>
  <c r="BEE36" i="7"/>
  <c r="BED36" i="7"/>
  <c r="BEC36" i="7"/>
  <c r="BEB36" i="7"/>
  <c r="BEA36" i="7"/>
  <c r="BDZ36" i="7"/>
  <c r="BDY36" i="7"/>
  <c r="BDX36" i="7"/>
  <c r="BDW36" i="7"/>
  <c r="BDV36" i="7"/>
  <c r="BDU36" i="7"/>
  <c r="BDT36" i="7"/>
  <c r="BDS36" i="7"/>
  <c r="BDR36" i="7"/>
  <c r="BDQ36" i="7"/>
  <c r="BDP36" i="7"/>
  <c r="BDO36" i="7"/>
  <c r="BDN36" i="7"/>
  <c r="BDM36" i="7"/>
  <c r="BDL36" i="7"/>
  <c r="BDK36" i="7"/>
  <c r="BDJ36" i="7"/>
  <c r="BDI36" i="7"/>
  <c r="BDH36" i="7"/>
  <c r="BDG36" i="7"/>
  <c r="BDF36" i="7"/>
  <c r="BDE36" i="7"/>
  <c r="BDD36" i="7"/>
  <c r="BDC36" i="7"/>
  <c r="BDB36" i="7"/>
  <c r="BDA36" i="7"/>
  <c r="BCZ36" i="7"/>
  <c r="BCY36" i="7"/>
  <c r="BCX36" i="7"/>
  <c r="BCW36" i="7"/>
  <c r="BCV36" i="7"/>
  <c r="BCU36" i="7"/>
  <c r="BCT36" i="7"/>
  <c r="BCS36" i="7"/>
  <c r="BCR36" i="7"/>
  <c r="BCQ36" i="7"/>
  <c r="BCP36" i="7"/>
  <c r="BCO36" i="7"/>
  <c r="BCN36" i="7"/>
  <c r="BCM36" i="7"/>
  <c r="BCL36" i="7"/>
  <c r="BCK36" i="7"/>
  <c r="BCJ36" i="7"/>
  <c r="BCI36" i="7"/>
  <c r="BCH36" i="7"/>
  <c r="BCG36" i="7"/>
  <c r="BCF36" i="7"/>
  <c r="BCE36" i="7"/>
  <c r="BCD36" i="7"/>
  <c r="BCC36" i="7"/>
  <c r="BCB36" i="7"/>
  <c r="BCA36" i="7"/>
  <c r="BBZ36" i="7"/>
  <c r="BBY36" i="7"/>
  <c r="BBX36" i="7"/>
  <c r="BBW36" i="7"/>
  <c r="BBV36" i="7"/>
  <c r="BBU36" i="7"/>
  <c r="BBT36" i="7"/>
  <c r="BBS36" i="7"/>
  <c r="BBR36" i="7"/>
  <c r="BBQ36" i="7"/>
  <c r="BBP36" i="7"/>
  <c r="BBO36" i="7"/>
  <c r="BBN36" i="7"/>
  <c r="BBM36" i="7"/>
  <c r="BBL36" i="7"/>
  <c r="BBK36" i="7"/>
  <c r="BBJ36" i="7"/>
  <c r="BBI36" i="7"/>
  <c r="BBH36" i="7"/>
  <c r="BBG36" i="7"/>
  <c r="BBF36" i="7"/>
  <c r="BBE36" i="7"/>
  <c r="BBD36" i="7"/>
  <c r="BBC36" i="7"/>
  <c r="BBB36" i="7"/>
  <c r="BBA36" i="7"/>
  <c r="BAZ36" i="7"/>
  <c r="BAY36" i="7"/>
  <c r="BAX36" i="7"/>
  <c r="BAW36" i="7"/>
  <c r="BAV36" i="7"/>
  <c r="BAU36" i="7"/>
  <c r="BAT36" i="7"/>
  <c r="BAS36" i="7"/>
  <c r="BAR36" i="7"/>
  <c r="BAQ36" i="7"/>
  <c r="BAP36" i="7"/>
  <c r="BAO36" i="7"/>
  <c r="BAN36" i="7"/>
  <c r="BAM36" i="7"/>
  <c r="BAL36" i="7"/>
  <c r="BAK36" i="7"/>
  <c r="BAJ36" i="7"/>
  <c r="BAI36" i="7"/>
  <c r="BAH36" i="7"/>
  <c r="BAG36" i="7"/>
  <c r="BAF36" i="7"/>
  <c r="BAE36" i="7"/>
  <c r="BAD36" i="7"/>
  <c r="BAC36" i="7"/>
  <c r="BAB36" i="7"/>
  <c r="BAA36" i="7"/>
  <c r="AZZ36" i="7"/>
  <c r="AZY36" i="7"/>
  <c r="AZX36" i="7"/>
  <c r="AZW36" i="7"/>
  <c r="AZV36" i="7"/>
  <c r="AZU36" i="7"/>
  <c r="AZT36" i="7"/>
  <c r="AZS36" i="7"/>
  <c r="AZR36" i="7"/>
  <c r="AZQ36" i="7"/>
  <c r="AZP36" i="7"/>
  <c r="AZO36" i="7"/>
  <c r="AZN36" i="7"/>
  <c r="AZM36" i="7"/>
  <c r="AZL36" i="7"/>
  <c r="AZK36" i="7"/>
  <c r="AZJ36" i="7"/>
  <c r="AZI36" i="7"/>
  <c r="AZH36" i="7"/>
  <c r="AZG36" i="7"/>
  <c r="AZF36" i="7"/>
  <c r="AZE36" i="7"/>
  <c r="AZD36" i="7"/>
  <c r="AZC36" i="7"/>
  <c r="AZB36" i="7"/>
  <c r="AZA36" i="7"/>
  <c r="AYZ36" i="7"/>
  <c r="AYY36" i="7"/>
  <c r="AYX36" i="7"/>
  <c r="AYW36" i="7"/>
  <c r="AYV36" i="7"/>
  <c r="AYU36" i="7"/>
  <c r="AYT36" i="7"/>
  <c r="AYS36" i="7"/>
  <c r="AYR36" i="7"/>
  <c r="AYQ36" i="7"/>
  <c r="AYP36" i="7"/>
  <c r="AYO36" i="7"/>
  <c r="AYN36" i="7"/>
  <c r="AYM36" i="7"/>
  <c r="AYL36" i="7"/>
  <c r="AYK36" i="7"/>
  <c r="AYJ36" i="7"/>
  <c r="AYI36" i="7"/>
  <c r="AYH36" i="7"/>
  <c r="AYG36" i="7"/>
  <c r="AYF36" i="7"/>
  <c r="AYE36" i="7"/>
  <c r="AYD36" i="7"/>
  <c r="AYC36" i="7"/>
  <c r="AYB36" i="7"/>
  <c r="AYA36" i="7"/>
  <c r="AXZ36" i="7"/>
  <c r="AXY36" i="7"/>
  <c r="AXX36" i="7"/>
  <c r="AXW36" i="7"/>
  <c r="AXV36" i="7"/>
  <c r="AXU36" i="7"/>
  <c r="AXT36" i="7"/>
  <c r="AXS36" i="7"/>
  <c r="AXR36" i="7"/>
  <c r="AXQ36" i="7"/>
  <c r="AXP36" i="7"/>
  <c r="AXO36" i="7"/>
  <c r="AXN36" i="7"/>
  <c r="AXM36" i="7"/>
  <c r="AXL36" i="7"/>
  <c r="AXK36" i="7"/>
  <c r="AXJ36" i="7"/>
  <c r="AXI36" i="7"/>
  <c r="AXH36" i="7"/>
  <c r="AXG36" i="7"/>
  <c r="AXF36" i="7"/>
  <c r="AXE36" i="7"/>
  <c r="AXD36" i="7"/>
  <c r="AXC36" i="7"/>
  <c r="AXB36" i="7"/>
  <c r="AXA36" i="7"/>
  <c r="AWZ36" i="7"/>
  <c r="AWY36" i="7"/>
  <c r="AWX36" i="7"/>
  <c r="AWW36" i="7"/>
  <c r="AWV36" i="7"/>
  <c r="AWU36" i="7"/>
  <c r="AWT36" i="7"/>
  <c r="AWS36" i="7"/>
  <c r="AWR36" i="7"/>
  <c r="AWQ36" i="7"/>
  <c r="AWP36" i="7"/>
  <c r="AWO36" i="7"/>
  <c r="AWN36" i="7"/>
  <c r="AWM36" i="7"/>
  <c r="AWL36" i="7"/>
  <c r="AWK36" i="7"/>
  <c r="AWJ36" i="7"/>
  <c r="AWI36" i="7"/>
  <c r="AWH36" i="7"/>
  <c r="AWG36" i="7"/>
  <c r="AWF36" i="7"/>
  <c r="AWE36" i="7"/>
  <c r="AWD36" i="7"/>
  <c r="AWC36" i="7"/>
  <c r="AWB36" i="7"/>
  <c r="AWA36" i="7"/>
  <c r="AVZ36" i="7"/>
  <c r="AVY36" i="7"/>
  <c r="AVX36" i="7"/>
  <c r="AVW36" i="7"/>
  <c r="AVV36" i="7"/>
  <c r="AVU36" i="7"/>
  <c r="AVT36" i="7"/>
  <c r="AVS36" i="7"/>
  <c r="AVR36" i="7"/>
  <c r="AVQ36" i="7"/>
  <c r="AVP36" i="7"/>
  <c r="AVO36" i="7"/>
  <c r="AVN36" i="7"/>
  <c r="AVM36" i="7"/>
  <c r="AVL36" i="7"/>
  <c r="AVK36" i="7"/>
  <c r="AVJ36" i="7"/>
  <c r="AVI36" i="7"/>
  <c r="AVH36" i="7"/>
  <c r="AVG36" i="7"/>
  <c r="AVF36" i="7"/>
  <c r="AVE36" i="7"/>
  <c r="AVD36" i="7"/>
  <c r="AVC36" i="7"/>
  <c r="AVB36" i="7"/>
  <c r="AVA36" i="7"/>
  <c r="AUZ36" i="7"/>
  <c r="AUY36" i="7"/>
  <c r="AUX36" i="7"/>
  <c r="AUW36" i="7"/>
  <c r="AUV36" i="7"/>
  <c r="AUU36" i="7"/>
  <c r="AUT36" i="7"/>
  <c r="AUS36" i="7"/>
  <c r="AUR36" i="7"/>
  <c r="AUQ36" i="7"/>
  <c r="AUP36" i="7"/>
  <c r="AUO36" i="7"/>
  <c r="AUN36" i="7"/>
  <c r="AUM36" i="7"/>
  <c r="AUL36" i="7"/>
  <c r="AUK36" i="7"/>
  <c r="AUJ36" i="7"/>
  <c r="AUI36" i="7"/>
  <c r="AUH36" i="7"/>
  <c r="AUG36" i="7"/>
  <c r="AUF36" i="7"/>
  <c r="AUE36" i="7"/>
  <c r="AUD36" i="7"/>
  <c r="AUC36" i="7"/>
  <c r="AUB36" i="7"/>
  <c r="AUA36" i="7"/>
  <c r="ATZ36" i="7"/>
  <c r="ATY36" i="7"/>
  <c r="ATX36" i="7"/>
  <c r="ATW36" i="7"/>
  <c r="ATV36" i="7"/>
  <c r="ATU36" i="7"/>
  <c r="ATT36" i="7"/>
  <c r="ATS36" i="7"/>
  <c r="ATR36" i="7"/>
  <c r="ATQ36" i="7"/>
  <c r="ATP36" i="7"/>
  <c r="ATO36" i="7"/>
  <c r="ATN36" i="7"/>
  <c r="ATM36" i="7"/>
  <c r="ATL36" i="7"/>
  <c r="ATK36" i="7"/>
  <c r="ATJ36" i="7"/>
  <c r="ATI36" i="7"/>
  <c r="ATH36" i="7"/>
  <c r="ATG36" i="7"/>
  <c r="ATF36" i="7"/>
  <c r="ATE36" i="7"/>
  <c r="ATD36" i="7"/>
  <c r="ATC36" i="7"/>
  <c r="ATB36" i="7"/>
  <c r="ATA36" i="7"/>
  <c r="ASZ36" i="7"/>
  <c r="ASY36" i="7"/>
  <c r="ASX36" i="7"/>
  <c r="ASW36" i="7"/>
  <c r="ASV36" i="7"/>
  <c r="ASU36" i="7"/>
  <c r="AST36" i="7"/>
  <c r="ASS36" i="7"/>
  <c r="ASR36" i="7"/>
  <c r="ASQ36" i="7"/>
  <c r="ASP36" i="7"/>
  <c r="ASO36" i="7"/>
  <c r="ASN36" i="7"/>
  <c r="ASM36" i="7"/>
  <c r="ASL36" i="7"/>
  <c r="ASK36" i="7"/>
  <c r="ASJ36" i="7"/>
  <c r="ASI36" i="7"/>
  <c r="ASH36" i="7"/>
  <c r="ASG36" i="7"/>
  <c r="ASF36" i="7"/>
  <c r="ASE36" i="7"/>
  <c r="ASD36" i="7"/>
  <c r="ASC36" i="7"/>
  <c r="ASB36" i="7"/>
  <c r="ASA36" i="7"/>
  <c r="ARZ36" i="7"/>
  <c r="ARY36" i="7"/>
  <c r="ARX36" i="7"/>
  <c r="ARW36" i="7"/>
  <c r="ARV36" i="7"/>
  <c r="ARU36" i="7"/>
  <c r="ART36" i="7"/>
  <c r="ARS36" i="7"/>
  <c r="ARR36" i="7"/>
  <c r="ARQ36" i="7"/>
  <c r="ARP36" i="7"/>
  <c r="ARO36" i="7"/>
  <c r="ARN36" i="7"/>
  <c r="ARM36" i="7"/>
  <c r="ARL36" i="7"/>
  <c r="ARK36" i="7"/>
  <c r="ARJ36" i="7"/>
  <c r="ARI36" i="7"/>
  <c r="ARH36" i="7"/>
  <c r="ARG36" i="7"/>
  <c r="ARF36" i="7"/>
  <c r="ARE36" i="7"/>
  <c r="ARD36" i="7"/>
  <c r="ARC36" i="7"/>
  <c r="ARB36" i="7"/>
  <c r="ARA36" i="7"/>
  <c r="AQZ36" i="7"/>
  <c r="AQY36" i="7"/>
  <c r="AQX36" i="7"/>
  <c r="AQW36" i="7"/>
  <c r="AQV36" i="7"/>
  <c r="AQU36" i="7"/>
  <c r="AQT36" i="7"/>
  <c r="AQS36" i="7"/>
  <c r="AQR36" i="7"/>
  <c r="AQQ36" i="7"/>
  <c r="AQP36" i="7"/>
  <c r="AQO36" i="7"/>
  <c r="AQN36" i="7"/>
  <c r="AQM36" i="7"/>
  <c r="AQL36" i="7"/>
  <c r="AQK36" i="7"/>
  <c r="AQJ36" i="7"/>
  <c r="AQI36" i="7"/>
  <c r="AQH36" i="7"/>
  <c r="AQG36" i="7"/>
  <c r="AQF36" i="7"/>
  <c r="AQE36" i="7"/>
  <c r="AQD36" i="7"/>
  <c r="AQC36" i="7"/>
  <c r="AQB36" i="7"/>
  <c r="AQA36" i="7"/>
  <c r="APZ36" i="7"/>
  <c r="APY36" i="7"/>
  <c r="APX36" i="7"/>
  <c r="APW36" i="7"/>
  <c r="APV36" i="7"/>
  <c r="APU36" i="7"/>
  <c r="APT36" i="7"/>
  <c r="APS36" i="7"/>
  <c r="APR36" i="7"/>
  <c r="APQ36" i="7"/>
  <c r="APP36" i="7"/>
  <c r="APO36" i="7"/>
  <c r="APN36" i="7"/>
  <c r="APM36" i="7"/>
  <c r="APL36" i="7"/>
  <c r="APK36" i="7"/>
  <c r="APJ36" i="7"/>
  <c r="API36" i="7"/>
  <c r="APH36" i="7"/>
  <c r="APG36" i="7"/>
  <c r="APF36" i="7"/>
  <c r="APE36" i="7"/>
  <c r="APD36" i="7"/>
  <c r="APC36" i="7"/>
  <c r="APB36" i="7"/>
  <c r="APA36" i="7"/>
  <c r="AOZ36" i="7"/>
  <c r="AOY36" i="7"/>
  <c r="AOX36" i="7"/>
  <c r="AOW36" i="7"/>
  <c r="AOV36" i="7"/>
  <c r="AOU36" i="7"/>
  <c r="AOT36" i="7"/>
  <c r="AOS36" i="7"/>
  <c r="AOR36" i="7"/>
  <c r="AOQ36" i="7"/>
  <c r="AOP36" i="7"/>
  <c r="AOO36" i="7"/>
  <c r="AON36" i="7"/>
  <c r="AOM36" i="7"/>
  <c r="AOL36" i="7"/>
  <c r="AOK36" i="7"/>
  <c r="AOJ36" i="7"/>
  <c r="AOI36" i="7"/>
  <c r="AOH36" i="7"/>
  <c r="AOG36" i="7"/>
  <c r="AOF36" i="7"/>
  <c r="AOE36" i="7"/>
  <c r="AOD36" i="7"/>
  <c r="AOC36" i="7"/>
  <c r="AOB36" i="7"/>
  <c r="AOA36" i="7"/>
  <c r="ANZ36" i="7"/>
  <c r="ANY36" i="7"/>
  <c r="ANX36" i="7"/>
  <c r="ANW36" i="7"/>
  <c r="ANV36" i="7"/>
  <c r="ANU36" i="7"/>
  <c r="ANT36" i="7"/>
  <c r="ANS36" i="7"/>
  <c r="ANR36" i="7"/>
  <c r="ANQ36" i="7"/>
  <c r="ANP36" i="7"/>
  <c r="ANO36" i="7"/>
  <c r="ANN36" i="7"/>
  <c r="ANM36" i="7"/>
  <c r="ANL36" i="7"/>
  <c r="ANK36" i="7"/>
  <c r="ANJ36" i="7"/>
  <c r="ANI36" i="7"/>
  <c r="ANH36" i="7"/>
  <c r="ANG36" i="7"/>
  <c r="ANF36" i="7"/>
  <c r="ANE36" i="7"/>
  <c r="AND36" i="7"/>
  <c r="ANC36" i="7"/>
  <c r="ANB36" i="7"/>
  <c r="ANA36" i="7"/>
  <c r="AMZ36" i="7"/>
  <c r="AMY36" i="7"/>
  <c r="AMX36" i="7"/>
  <c r="AMW36" i="7"/>
  <c r="AMV36" i="7"/>
  <c r="AMU36" i="7"/>
  <c r="AMT36" i="7"/>
  <c r="AMS36" i="7"/>
  <c r="AMR36" i="7"/>
  <c r="AMQ36" i="7"/>
  <c r="AMP36" i="7"/>
  <c r="AMO36" i="7"/>
  <c r="AMN36" i="7"/>
  <c r="AMM36" i="7"/>
  <c r="AML36" i="7"/>
  <c r="AMK36" i="7"/>
  <c r="AMJ36" i="7"/>
  <c r="AMI36" i="7"/>
  <c r="AMH36" i="7"/>
  <c r="AMG36" i="7"/>
  <c r="AMF36" i="7"/>
  <c r="AME36" i="7"/>
  <c r="AMD36" i="7"/>
  <c r="AMC36" i="7"/>
  <c r="AMB36" i="7"/>
  <c r="AMA36" i="7"/>
  <c r="ALZ36" i="7"/>
  <c r="ALY36" i="7"/>
  <c r="ALX36" i="7"/>
  <c r="ALW36" i="7"/>
  <c r="ALV36" i="7"/>
  <c r="ALU36" i="7"/>
  <c r="ALT36" i="7"/>
  <c r="ALS36" i="7"/>
  <c r="ALR36" i="7"/>
  <c r="ALQ36" i="7"/>
  <c r="ALP36" i="7"/>
  <c r="ALO36" i="7"/>
  <c r="ALN36" i="7"/>
  <c r="ALM36" i="7"/>
  <c r="ALL36" i="7"/>
  <c r="ALK36" i="7"/>
  <c r="ALJ36" i="7"/>
  <c r="ALI36" i="7"/>
  <c r="ALH36" i="7"/>
  <c r="ALG36" i="7"/>
  <c r="ALF36" i="7"/>
  <c r="ALE36" i="7"/>
  <c r="ALD36" i="7"/>
  <c r="ALC36" i="7"/>
  <c r="ALB36" i="7"/>
  <c r="ALA36" i="7"/>
  <c r="AKZ36" i="7"/>
  <c r="AKY36" i="7"/>
  <c r="AKX36" i="7"/>
  <c r="AKW36" i="7"/>
  <c r="AKV36" i="7"/>
  <c r="AKU36" i="7"/>
  <c r="AKT36" i="7"/>
  <c r="AKS36" i="7"/>
  <c r="AKR36" i="7"/>
  <c r="AKQ36" i="7"/>
  <c r="AKP36" i="7"/>
  <c r="AKO36" i="7"/>
  <c r="AKN36" i="7"/>
  <c r="AKM36" i="7"/>
  <c r="AKL36" i="7"/>
  <c r="AKK36" i="7"/>
  <c r="AKJ36" i="7"/>
  <c r="AKI36" i="7"/>
  <c r="AKH36" i="7"/>
  <c r="AKG36" i="7"/>
  <c r="AKF36" i="7"/>
  <c r="AKE36" i="7"/>
  <c r="AKD36" i="7"/>
  <c r="AKC36" i="7"/>
  <c r="AKB36" i="7"/>
  <c r="AKA36" i="7"/>
  <c r="AJZ36" i="7"/>
  <c r="AJY36" i="7"/>
  <c r="AJX36" i="7"/>
  <c r="AJW36" i="7"/>
  <c r="AJV36" i="7"/>
  <c r="AJU36" i="7"/>
  <c r="AJT36" i="7"/>
  <c r="AJS36" i="7"/>
  <c r="AJR36" i="7"/>
  <c r="AJQ36" i="7"/>
  <c r="AJP36" i="7"/>
  <c r="AJO36" i="7"/>
  <c r="AJN36" i="7"/>
  <c r="AJM36" i="7"/>
  <c r="AJL36" i="7"/>
  <c r="AJK36" i="7"/>
  <c r="AJJ36" i="7"/>
  <c r="AJI36" i="7"/>
  <c r="AJH36" i="7"/>
  <c r="AJG36" i="7"/>
  <c r="AJF36" i="7"/>
  <c r="AJE36" i="7"/>
  <c r="AJD36" i="7"/>
  <c r="AJC36" i="7"/>
  <c r="AJB36" i="7"/>
  <c r="AJA36" i="7"/>
  <c r="AIZ36" i="7"/>
  <c r="AIY36" i="7"/>
  <c r="AIX36" i="7"/>
  <c r="AIW36" i="7"/>
  <c r="AIV36" i="7"/>
  <c r="AIU36" i="7"/>
  <c r="AIT36" i="7"/>
  <c r="AIS36" i="7"/>
  <c r="AIR36" i="7"/>
  <c r="AIQ36" i="7"/>
  <c r="AIP36" i="7"/>
  <c r="AIO36" i="7"/>
  <c r="AIN36" i="7"/>
  <c r="AIM36" i="7"/>
  <c r="AIL36" i="7"/>
  <c r="AIK36" i="7"/>
  <c r="AIJ36" i="7"/>
  <c r="AII36" i="7"/>
  <c r="AIH36" i="7"/>
  <c r="AIG36" i="7"/>
  <c r="AIF36" i="7"/>
  <c r="AIE36" i="7"/>
  <c r="AID36" i="7"/>
  <c r="AIC36" i="7"/>
  <c r="AIB36" i="7"/>
  <c r="AIA36" i="7"/>
  <c r="AHZ36" i="7"/>
  <c r="AHY36" i="7"/>
  <c r="AHX36" i="7"/>
  <c r="AHW36" i="7"/>
  <c r="AHV36" i="7"/>
  <c r="AHU36" i="7"/>
  <c r="AHT36" i="7"/>
  <c r="AHS36" i="7"/>
  <c r="AHR36" i="7"/>
  <c r="AHQ36" i="7"/>
  <c r="AHP36" i="7"/>
  <c r="AHO36" i="7"/>
  <c r="AHN36" i="7"/>
  <c r="AHM36" i="7"/>
  <c r="AHL36" i="7"/>
  <c r="AHK36" i="7"/>
  <c r="AHJ36" i="7"/>
  <c r="AHI36" i="7"/>
  <c r="AHH36" i="7"/>
  <c r="AHG36" i="7"/>
  <c r="AHF36" i="7"/>
  <c r="AHE36" i="7"/>
  <c r="AHD36" i="7"/>
  <c r="AHC36" i="7"/>
  <c r="AHB36" i="7"/>
  <c r="AHA36" i="7"/>
  <c r="AGZ36" i="7"/>
  <c r="AGY36" i="7"/>
  <c r="AGX36" i="7"/>
  <c r="AGW36" i="7"/>
  <c r="AGV36" i="7"/>
  <c r="AGU36" i="7"/>
  <c r="AGT36" i="7"/>
  <c r="AGS36" i="7"/>
  <c r="AGR36" i="7"/>
  <c r="AGQ36" i="7"/>
  <c r="AGP36" i="7"/>
  <c r="AGO36" i="7"/>
  <c r="AGN36" i="7"/>
  <c r="AGM36" i="7"/>
  <c r="AGL36" i="7"/>
  <c r="AGK36" i="7"/>
  <c r="AGJ36" i="7"/>
  <c r="AGI36" i="7"/>
  <c r="AGH36" i="7"/>
  <c r="AGG36" i="7"/>
  <c r="AGF36" i="7"/>
  <c r="AGE36" i="7"/>
  <c r="AGD36" i="7"/>
  <c r="AGC36" i="7"/>
  <c r="AGB36" i="7"/>
  <c r="AGA36" i="7"/>
  <c r="AFZ36" i="7"/>
  <c r="AFY36" i="7"/>
  <c r="AFX36" i="7"/>
  <c r="AFW36" i="7"/>
  <c r="AFV36" i="7"/>
  <c r="AFU36" i="7"/>
  <c r="AFT36" i="7"/>
  <c r="AFS36" i="7"/>
  <c r="AFR36" i="7"/>
  <c r="AFQ36" i="7"/>
  <c r="AFP36" i="7"/>
  <c r="AFO36" i="7"/>
  <c r="AFN36" i="7"/>
  <c r="AFM36" i="7"/>
  <c r="AFL36" i="7"/>
  <c r="AFK36" i="7"/>
  <c r="AFJ36" i="7"/>
  <c r="AFI36" i="7"/>
  <c r="AFH36" i="7"/>
  <c r="AFG36" i="7"/>
  <c r="AFF36" i="7"/>
  <c r="AFE36" i="7"/>
  <c r="AFD36" i="7"/>
  <c r="AFC36" i="7"/>
  <c r="AFB36" i="7"/>
  <c r="AFA36" i="7"/>
  <c r="AEZ36" i="7"/>
  <c r="AEY36" i="7"/>
  <c r="AEX36" i="7"/>
  <c r="AEW36" i="7"/>
  <c r="AEV36" i="7"/>
  <c r="AEU36" i="7"/>
  <c r="AET36" i="7"/>
  <c r="AES36" i="7"/>
  <c r="AER36" i="7"/>
  <c r="AEQ36" i="7"/>
  <c r="AEP36" i="7"/>
  <c r="AEO36" i="7"/>
  <c r="AEN36" i="7"/>
  <c r="AEM36" i="7"/>
  <c r="AEL36" i="7"/>
  <c r="AEK36" i="7"/>
  <c r="AEJ36" i="7"/>
  <c r="AEI36" i="7"/>
  <c r="AEH36" i="7"/>
  <c r="AEG36" i="7"/>
  <c r="AEF36" i="7"/>
  <c r="AEE36" i="7"/>
  <c r="AED36" i="7"/>
  <c r="AEC36" i="7"/>
  <c r="AEB36" i="7"/>
  <c r="AEA36" i="7"/>
  <c r="ADZ36" i="7"/>
  <c r="ADY36" i="7"/>
  <c r="ADX36" i="7"/>
  <c r="ADW36" i="7"/>
  <c r="ADV36" i="7"/>
  <c r="ADU36" i="7"/>
  <c r="ADT36" i="7"/>
  <c r="ADS36" i="7"/>
  <c r="ADR36" i="7"/>
  <c r="ADQ36" i="7"/>
  <c r="ADP36" i="7"/>
  <c r="ADO36" i="7"/>
  <c r="ADN36" i="7"/>
  <c r="ADM36" i="7"/>
  <c r="ADL36" i="7"/>
  <c r="ADK36" i="7"/>
  <c r="ADJ36" i="7"/>
  <c r="ADI36" i="7"/>
  <c r="ADH36" i="7"/>
  <c r="ADG36" i="7"/>
  <c r="ADF36" i="7"/>
  <c r="ADE36" i="7"/>
  <c r="ADD36" i="7"/>
  <c r="ADC36" i="7"/>
  <c r="ADB36" i="7"/>
  <c r="ADA36" i="7"/>
  <c r="ACZ36" i="7"/>
  <c r="ACY36" i="7"/>
  <c r="ACX36" i="7"/>
  <c r="ACW36" i="7"/>
  <c r="ACV36" i="7"/>
  <c r="ACU36" i="7"/>
  <c r="ACT36" i="7"/>
  <c r="ACS36" i="7"/>
  <c r="ACR36" i="7"/>
  <c r="ACQ36" i="7"/>
  <c r="ACP36" i="7"/>
  <c r="ACO36" i="7"/>
  <c r="ACN36" i="7"/>
  <c r="ACM36" i="7"/>
  <c r="ACL36" i="7"/>
  <c r="ACK36" i="7"/>
  <c r="ACJ36" i="7"/>
  <c r="ACI36" i="7"/>
  <c r="ACH36" i="7"/>
  <c r="ACG36" i="7"/>
  <c r="ACF36" i="7"/>
  <c r="ACE36" i="7"/>
  <c r="ACD36" i="7"/>
  <c r="ACC36" i="7"/>
  <c r="ACB36" i="7"/>
  <c r="ACA36" i="7"/>
  <c r="ABZ36" i="7"/>
  <c r="ABY36" i="7"/>
  <c r="ABX36" i="7"/>
  <c r="ABW36" i="7"/>
  <c r="ABV36" i="7"/>
  <c r="ABU36" i="7"/>
  <c r="ABT36" i="7"/>
  <c r="ABS36" i="7"/>
  <c r="ABR36" i="7"/>
  <c r="ABQ36" i="7"/>
  <c r="ABP36" i="7"/>
  <c r="ABO36" i="7"/>
  <c r="ABN36" i="7"/>
  <c r="ABM36" i="7"/>
  <c r="ABL36" i="7"/>
  <c r="ABK36" i="7"/>
  <c r="ABJ36" i="7"/>
  <c r="ABI36" i="7"/>
  <c r="ABH36" i="7"/>
  <c r="ABG36" i="7"/>
  <c r="ABF36" i="7"/>
  <c r="ABE36" i="7"/>
  <c r="ABD36" i="7"/>
  <c r="ABC36" i="7"/>
  <c r="ABB36" i="7"/>
  <c r="ABA36" i="7"/>
  <c r="AAZ36" i="7"/>
  <c r="AAY36" i="7"/>
  <c r="AAX36" i="7"/>
  <c r="AAW36" i="7"/>
  <c r="AAV36" i="7"/>
  <c r="AAU36" i="7"/>
  <c r="AAT36" i="7"/>
  <c r="AAS36" i="7"/>
  <c r="AAR36" i="7"/>
  <c r="AAQ36" i="7"/>
  <c r="AAP36" i="7"/>
  <c r="AAO36" i="7"/>
  <c r="AAN36" i="7"/>
  <c r="AAM36" i="7"/>
  <c r="AAL36" i="7"/>
  <c r="AAK36" i="7"/>
  <c r="AAJ36" i="7"/>
  <c r="AAI36" i="7"/>
  <c r="AAH36" i="7"/>
  <c r="AAG36" i="7"/>
  <c r="AAF36" i="7"/>
  <c r="AAE36" i="7"/>
  <c r="AAD36" i="7"/>
  <c r="AAC36" i="7"/>
  <c r="AAB36" i="7"/>
  <c r="AAA36" i="7"/>
  <c r="ZZ36" i="7"/>
  <c r="ZY36" i="7"/>
  <c r="ZX36" i="7"/>
  <c r="ZW36" i="7"/>
  <c r="ZV36" i="7"/>
  <c r="ZU36" i="7"/>
  <c r="ZT36" i="7"/>
  <c r="ZS36" i="7"/>
  <c r="ZR36" i="7"/>
  <c r="ZQ36" i="7"/>
  <c r="ZP36" i="7"/>
  <c r="ZO36" i="7"/>
  <c r="ZN36" i="7"/>
  <c r="ZM36" i="7"/>
  <c r="ZL36" i="7"/>
  <c r="ZK36" i="7"/>
  <c r="ZJ36" i="7"/>
  <c r="ZI36" i="7"/>
  <c r="ZH36" i="7"/>
  <c r="ZG36" i="7"/>
  <c r="ZF36" i="7"/>
  <c r="ZE36" i="7"/>
  <c r="ZD36" i="7"/>
  <c r="ZC36" i="7"/>
  <c r="ZB36" i="7"/>
  <c r="ZA36" i="7"/>
  <c r="YZ36" i="7"/>
  <c r="YY36" i="7"/>
  <c r="YX36" i="7"/>
  <c r="YW36" i="7"/>
  <c r="YV36" i="7"/>
  <c r="YU36" i="7"/>
  <c r="YT36" i="7"/>
  <c r="YS36" i="7"/>
  <c r="YR36" i="7"/>
  <c r="YQ36" i="7"/>
  <c r="YP36" i="7"/>
  <c r="YO36" i="7"/>
  <c r="YN36" i="7"/>
  <c r="YM36" i="7"/>
  <c r="YL36" i="7"/>
  <c r="YK36" i="7"/>
  <c r="YJ36" i="7"/>
  <c r="YI36" i="7"/>
  <c r="YH36" i="7"/>
  <c r="YG36" i="7"/>
  <c r="YF36" i="7"/>
  <c r="YE36" i="7"/>
  <c r="YD36" i="7"/>
  <c r="YC36" i="7"/>
  <c r="YB36" i="7"/>
  <c r="YA36" i="7"/>
  <c r="XZ36" i="7"/>
  <c r="XY36" i="7"/>
  <c r="XX36" i="7"/>
  <c r="XW36" i="7"/>
  <c r="XV36" i="7"/>
  <c r="XU36" i="7"/>
  <c r="XT36" i="7"/>
  <c r="XS36" i="7"/>
  <c r="XR36" i="7"/>
  <c r="XQ36" i="7"/>
  <c r="XP36" i="7"/>
  <c r="XO36" i="7"/>
  <c r="XN36" i="7"/>
  <c r="XM36" i="7"/>
  <c r="XL36" i="7"/>
  <c r="XK36" i="7"/>
  <c r="XJ36" i="7"/>
  <c r="XI36" i="7"/>
  <c r="XH36" i="7"/>
  <c r="XG36" i="7"/>
  <c r="XF36" i="7"/>
  <c r="XE36" i="7"/>
  <c r="XD36" i="7"/>
  <c r="XC36" i="7"/>
  <c r="XB36" i="7"/>
  <c r="XA36" i="7"/>
  <c r="WZ36" i="7"/>
  <c r="WY36" i="7"/>
  <c r="WX36" i="7"/>
  <c r="WW36" i="7"/>
  <c r="WV36" i="7"/>
  <c r="WU36" i="7"/>
  <c r="WT36" i="7"/>
  <c r="WS36" i="7"/>
  <c r="WR36" i="7"/>
  <c r="WQ36" i="7"/>
  <c r="WP36" i="7"/>
  <c r="WO36" i="7"/>
  <c r="WN36" i="7"/>
  <c r="WM36" i="7"/>
  <c r="WL36" i="7"/>
  <c r="WK36" i="7"/>
  <c r="WJ36" i="7"/>
  <c r="WI36" i="7"/>
  <c r="WH36" i="7"/>
  <c r="WG36" i="7"/>
  <c r="WF36" i="7"/>
  <c r="WE36" i="7"/>
  <c r="WD36" i="7"/>
  <c r="WC36" i="7"/>
  <c r="WB36" i="7"/>
  <c r="WA36" i="7"/>
  <c r="VZ36" i="7"/>
  <c r="VY36" i="7"/>
  <c r="VX36" i="7"/>
  <c r="VW36" i="7"/>
  <c r="VV36" i="7"/>
  <c r="VU36" i="7"/>
  <c r="VT36" i="7"/>
  <c r="VS36" i="7"/>
  <c r="VR36" i="7"/>
  <c r="VQ36" i="7"/>
  <c r="VP36" i="7"/>
  <c r="VO36" i="7"/>
  <c r="VN36" i="7"/>
  <c r="VM36" i="7"/>
  <c r="VL36" i="7"/>
  <c r="VK36" i="7"/>
  <c r="VJ36" i="7"/>
  <c r="VI36" i="7"/>
  <c r="VH36" i="7"/>
  <c r="VG36" i="7"/>
  <c r="VF36" i="7"/>
  <c r="VE36" i="7"/>
  <c r="VD36" i="7"/>
  <c r="VC36" i="7"/>
  <c r="VB36" i="7"/>
  <c r="VA36" i="7"/>
  <c r="UZ36" i="7"/>
  <c r="UY36" i="7"/>
  <c r="UX36" i="7"/>
  <c r="UW36" i="7"/>
  <c r="UV36" i="7"/>
  <c r="UU36" i="7"/>
  <c r="UT36" i="7"/>
  <c r="US36" i="7"/>
  <c r="UR36" i="7"/>
  <c r="UQ36" i="7"/>
  <c r="UP36" i="7"/>
  <c r="UO36" i="7"/>
  <c r="UN36" i="7"/>
  <c r="UM36" i="7"/>
  <c r="UL36" i="7"/>
  <c r="UK36" i="7"/>
  <c r="UJ36" i="7"/>
  <c r="UI36" i="7"/>
  <c r="UH36" i="7"/>
  <c r="UG36" i="7"/>
  <c r="UF36" i="7"/>
  <c r="UE36" i="7"/>
  <c r="UD36" i="7"/>
  <c r="UC36" i="7"/>
  <c r="UB36" i="7"/>
  <c r="UA36" i="7"/>
  <c r="TZ36" i="7"/>
  <c r="TY36" i="7"/>
  <c r="TX36" i="7"/>
  <c r="TW36" i="7"/>
  <c r="TV36" i="7"/>
  <c r="TU36" i="7"/>
  <c r="TT36" i="7"/>
  <c r="TS36" i="7"/>
  <c r="TR36" i="7"/>
  <c r="TQ36" i="7"/>
  <c r="TP36" i="7"/>
  <c r="TO36" i="7"/>
  <c r="TN36" i="7"/>
  <c r="TM36" i="7"/>
  <c r="TL36" i="7"/>
  <c r="TK36" i="7"/>
  <c r="TJ36" i="7"/>
  <c r="TI36" i="7"/>
  <c r="TH36" i="7"/>
  <c r="TG36" i="7"/>
  <c r="TF36" i="7"/>
  <c r="TE36" i="7"/>
  <c r="TD36" i="7"/>
  <c r="TC36" i="7"/>
  <c r="TB36" i="7"/>
  <c r="TA36" i="7"/>
  <c r="SZ36" i="7"/>
  <c r="SY36" i="7"/>
  <c r="SX36" i="7"/>
  <c r="SW36" i="7"/>
  <c r="SV36" i="7"/>
  <c r="SU36" i="7"/>
  <c r="ST36" i="7"/>
  <c r="SS36" i="7"/>
  <c r="SR36" i="7"/>
  <c r="SQ36" i="7"/>
  <c r="SP36" i="7"/>
  <c r="SO36" i="7"/>
  <c r="SN36" i="7"/>
  <c r="SM36" i="7"/>
  <c r="SL36" i="7"/>
  <c r="SK36" i="7"/>
  <c r="SJ36" i="7"/>
  <c r="SI36" i="7"/>
  <c r="SH36" i="7"/>
  <c r="SG36" i="7"/>
  <c r="SF36" i="7"/>
  <c r="SE36" i="7"/>
  <c r="SD36" i="7"/>
  <c r="SC36" i="7"/>
  <c r="SB36" i="7"/>
  <c r="SA36" i="7"/>
  <c r="RZ36" i="7"/>
  <c r="RY36" i="7"/>
  <c r="RX36" i="7"/>
  <c r="RW36" i="7"/>
  <c r="RV36" i="7"/>
  <c r="RU36" i="7"/>
  <c r="RT36" i="7"/>
  <c r="RS36" i="7"/>
  <c r="RR36" i="7"/>
  <c r="RQ36" i="7"/>
  <c r="RP36" i="7"/>
  <c r="RO36" i="7"/>
  <c r="RN36" i="7"/>
  <c r="RM36" i="7"/>
  <c r="RL36" i="7"/>
  <c r="RK36" i="7"/>
  <c r="RJ36" i="7"/>
  <c r="RI36" i="7"/>
  <c r="RH36" i="7"/>
  <c r="RG36" i="7"/>
  <c r="RF36" i="7"/>
  <c r="RE36" i="7"/>
  <c r="RD36" i="7"/>
  <c r="RC36" i="7"/>
  <c r="RB36" i="7"/>
  <c r="RA36" i="7"/>
  <c r="QZ36" i="7"/>
  <c r="QY36" i="7"/>
  <c r="QX36" i="7"/>
  <c r="QW36" i="7"/>
  <c r="QV36" i="7"/>
  <c r="QU36" i="7"/>
  <c r="QT36" i="7"/>
  <c r="QS36" i="7"/>
  <c r="QR36" i="7"/>
  <c r="QQ36" i="7"/>
  <c r="QP36" i="7"/>
  <c r="QO36" i="7"/>
  <c r="QN36" i="7"/>
  <c r="QM36" i="7"/>
  <c r="QL36" i="7"/>
  <c r="QK36" i="7"/>
  <c r="QJ36" i="7"/>
  <c r="QI36" i="7"/>
  <c r="QH36" i="7"/>
  <c r="QG36" i="7"/>
  <c r="QF36" i="7"/>
  <c r="QE36" i="7"/>
  <c r="QD36" i="7"/>
  <c r="QC36" i="7"/>
  <c r="QB36" i="7"/>
  <c r="QA36" i="7"/>
  <c r="PZ36" i="7"/>
  <c r="PY36" i="7"/>
  <c r="PX36" i="7"/>
  <c r="PW36" i="7"/>
  <c r="PV36" i="7"/>
  <c r="PU36" i="7"/>
  <c r="PT36" i="7"/>
  <c r="PS36" i="7"/>
  <c r="PR36" i="7"/>
  <c r="PQ36" i="7"/>
  <c r="PP36" i="7"/>
  <c r="PO36" i="7"/>
  <c r="PN36" i="7"/>
  <c r="PM36" i="7"/>
  <c r="PL36" i="7"/>
  <c r="PK36" i="7"/>
  <c r="PJ36" i="7"/>
  <c r="PI36" i="7"/>
  <c r="PH36" i="7"/>
  <c r="PG36" i="7"/>
  <c r="PF36" i="7"/>
  <c r="PE36" i="7"/>
  <c r="PD36" i="7"/>
  <c r="PC36" i="7"/>
  <c r="PB36" i="7"/>
  <c r="PA36" i="7"/>
  <c r="OZ36" i="7"/>
  <c r="OY36" i="7"/>
  <c r="OX36" i="7"/>
  <c r="OW36" i="7"/>
  <c r="OV36" i="7"/>
  <c r="OU36" i="7"/>
  <c r="OT36" i="7"/>
  <c r="OS36" i="7"/>
  <c r="OR36" i="7"/>
  <c r="OQ36" i="7"/>
  <c r="OP36" i="7"/>
  <c r="OO36" i="7"/>
  <c r="ON36" i="7"/>
  <c r="OM36" i="7"/>
  <c r="OL36" i="7"/>
  <c r="OK36" i="7"/>
  <c r="OJ36" i="7"/>
  <c r="OI36" i="7"/>
  <c r="OH36" i="7"/>
  <c r="OG36" i="7"/>
  <c r="OF36" i="7"/>
  <c r="OE36" i="7"/>
  <c r="OD36" i="7"/>
  <c r="OC36" i="7"/>
  <c r="OB36" i="7"/>
  <c r="OA36" i="7"/>
  <c r="NZ36" i="7"/>
  <c r="NY36" i="7"/>
  <c r="NX36" i="7"/>
  <c r="NW36" i="7"/>
  <c r="NV36" i="7"/>
  <c r="NU36" i="7"/>
  <c r="NT36" i="7"/>
  <c r="NS36" i="7"/>
  <c r="NR36" i="7"/>
  <c r="NQ36" i="7"/>
  <c r="NP36" i="7"/>
  <c r="NO36" i="7"/>
  <c r="NN36" i="7"/>
  <c r="NM36" i="7"/>
  <c r="NL36" i="7"/>
  <c r="NK36" i="7"/>
  <c r="NJ36" i="7"/>
  <c r="NI36" i="7"/>
  <c r="NH36" i="7"/>
  <c r="NG36" i="7"/>
  <c r="NF36" i="7"/>
  <c r="NE36" i="7"/>
  <c r="ND36" i="7"/>
  <c r="NC36" i="7"/>
  <c r="NB36" i="7"/>
  <c r="NA36" i="7"/>
  <c r="MZ36" i="7"/>
  <c r="MY36" i="7"/>
  <c r="MX36" i="7"/>
  <c r="MW36" i="7"/>
  <c r="MV36" i="7"/>
  <c r="MU36" i="7"/>
  <c r="MT36" i="7"/>
  <c r="MS36" i="7"/>
  <c r="MR36" i="7"/>
  <c r="MQ36" i="7"/>
  <c r="MP36" i="7"/>
  <c r="MO36" i="7"/>
  <c r="MN36" i="7"/>
  <c r="MM36" i="7"/>
  <c r="ML36" i="7"/>
  <c r="MK36" i="7"/>
  <c r="MJ36" i="7"/>
  <c r="MI36" i="7"/>
  <c r="MH36" i="7"/>
  <c r="MG36" i="7"/>
  <c r="MF36" i="7"/>
  <c r="ME36" i="7"/>
  <c r="MD36" i="7"/>
  <c r="MC36" i="7"/>
  <c r="MB36" i="7"/>
  <c r="MA36" i="7"/>
  <c r="LZ36" i="7"/>
  <c r="LY36" i="7"/>
  <c r="LX36" i="7"/>
  <c r="LW36" i="7"/>
  <c r="LV36" i="7"/>
  <c r="LU36" i="7"/>
  <c r="LT36" i="7"/>
  <c r="LS36" i="7"/>
  <c r="LR36" i="7"/>
  <c r="LQ36" i="7"/>
  <c r="LP36" i="7"/>
  <c r="LO36" i="7"/>
  <c r="LN36" i="7"/>
  <c r="LM36" i="7"/>
  <c r="LL36" i="7"/>
  <c r="LK36" i="7"/>
  <c r="LJ36" i="7"/>
  <c r="LI36" i="7"/>
  <c r="LH36" i="7"/>
  <c r="LG36" i="7"/>
  <c r="LF36" i="7"/>
  <c r="LE36" i="7"/>
  <c r="LD36" i="7"/>
  <c r="LC36" i="7"/>
  <c r="LB36" i="7"/>
  <c r="LA36" i="7"/>
  <c r="KZ36" i="7"/>
  <c r="KY36" i="7"/>
  <c r="KX36" i="7"/>
  <c r="KW36" i="7"/>
  <c r="KV36" i="7"/>
  <c r="KU36" i="7"/>
  <c r="KT36" i="7"/>
  <c r="KS36" i="7"/>
  <c r="KR36" i="7"/>
  <c r="KQ36" i="7"/>
  <c r="KP36" i="7"/>
  <c r="KO36" i="7"/>
  <c r="KN36" i="7"/>
  <c r="KM36" i="7"/>
  <c r="KL36" i="7"/>
  <c r="KK36" i="7"/>
  <c r="KJ36" i="7"/>
  <c r="KI36" i="7"/>
  <c r="KH36" i="7"/>
  <c r="KG36" i="7"/>
  <c r="KF36" i="7"/>
  <c r="KE36" i="7"/>
  <c r="KD36" i="7"/>
  <c r="KC36" i="7"/>
  <c r="KB36" i="7"/>
  <c r="KA36" i="7"/>
  <c r="JZ36" i="7"/>
  <c r="JY36" i="7"/>
  <c r="JX36" i="7"/>
  <c r="JW36" i="7"/>
  <c r="JV36" i="7"/>
  <c r="JU36" i="7"/>
  <c r="JT36" i="7"/>
  <c r="JS36" i="7"/>
  <c r="JR36" i="7"/>
  <c r="JQ36" i="7"/>
  <c r="JP36" i="7"/>
  <c r="JO36" i="7"/>
  <c r="JN36" i="7"/>
  <c r="JM36" i="7"/>
  <c r="JL36" i="7"/>
  <c r="JK36" i="7"/>
  <c r="JJ36" i="7"/>
  <c r="JI36" i="7"/>
  <c r="JH36" i="7"/>
  <c r="JG36" i="7"/>
  <c r="JF36" i="7"/>
  <c r="JE36" i="7"/>
  <c r="JD36" i="7"/>
  <c r="JC36" i="7"/>
  <c r="JB36" i="7"/>
  <c r="JA36" i="7"/>
  <c r="IZ36" i="7"/>
  <c r="IY36" i="7"/>
  <c r="IX36" i="7"/>
  <c r="IW36" i="7"/>
  <c r="IV36" i="7"/>
  <c r="IU36" i="7"/>
  <c r="IT36" i="7"/>
  <c r="IS36" i="7"/>
  <c r="IR36" i="7"/>
  <c r="IQ36" i="7"/>
  <c r="IP36" i="7"/>
  <c r="IO36" i="7"/>
  <c r="IN36" i="7"/>
  <c r="IM36" i="7"/>
  <c r="IL36" i="7"/>
  <c r="IK36" i="7"/>
  <c r="IJ36" i="7"/>
  <c r="II36" i="7"/>
  <c r="IH36" i="7"/>
  <c r="IG36" i="7"/>
  <c r="IF36" i="7"/>
  <c r="IE36" i="7"/>
  <c r="ID36" i="7"/>
  <c r="IC36" i="7"/>
  <c r="IB36" i="7"/>
  <c r="IA36" i="7"/>
  <c r="HZ36" i="7"/>
  <c r="HY36" i="7"/>
  <c r="HX36" i="7"/>
  <c r="HW36" i="7"/>
  <c r="HV36" i="7"/>
  <c r="HU36" i="7"/>
  <c r="HT36" i="7"/>
  <c r="HS36" i="7"/>
  <c r="HR36" i="7"/>
  <c r="HQ36" i="7"/>
  <c r="HP36" i="7"/>
  <c r="HO36" i="7"/>
  <c r="HN36" i="7"/>
  <c r="HM36" i="7"/>
  <c r="HL36" i="7"/>
  <c r="HK36" i="7"/>
  <c r="HJ36" i="7"/>
  <c r="HI36" i="7"/>
  <c r="HH36" i="7"/>
  <c r="HG36" i="7"/>
  <c r="HF36" i="7"/>
  <c r="HE36" i="7"/>
  <c r="HD36" i="7"/>
  <c r="HC36" i="7"/>
  <c r="HB36" i="7"/>
  <c r="HA36" i="7"/>
  <c r="GZ36" i="7"/>
  <c r="GY36" i="7"/>
  <c r="GX36" i="7"/>
  <c r="GW36" i="7"/>
  <c r="GV36" i="7"/>
  <c r="GU36" i="7"/>
  <c r="GT36" i="7"/>
  <c r="GS36" i="7"/>
  <c r="GR36" i="7"/>
  <c r="GQ36" i="7"/>
  <c r="GP36" i="7"/>
  <c r="GO36" i="7"/>
  <c r="GN36" i="7"/>
  <c r="GM36" i="7"/>
  <c r="GL36" i="7"/>
  <c r="GK36" i="7"/>
  <c r="GJ36" i="7"/>
  <c r="GI36" i="7"/>
  <c r="GH36" i="7"/>
  <c r="GG36" i="7"/>
  <c r="GF36" i="7"/>
  <c r="GE36" i="7"/>
  <c r="GD36" i="7"/>
  <c r="GC36" i="7"/>
  <c r="GB36" i="7"/>
  <c r="GA36" i="7"/>
  <c r="FZ36" i="7"/>
  <c r="FY36" i="7"/>
  <c r="FX36" i="7"/>
  <c r="FW36" i="7"/>
  <c r="FV36" i="7"/>
  <c r="FU36" i="7"/>
  <c r="FT36" i="7"/>
  <c r="FS36" i="7"/>
  <c r="FR36" i="7"/>
  <c r="FQ36" i="7"/>
  <c r="FP36" i="7"/>
  <c r="FO36" i="7"/>
  <c r="FN36" i="7"/>
  <c r="FM36" i="7"/>
  <c r="FL36" i="7"/>
  <c r="FK36" i="7"/>
  <c r="FJ36" i="7"/>
  <c r="FI36" i="7"/>
  <c r="FH36" i="7"/>
  <c r="FG36" i="7"/>
  <c r="FF36" i="7"/>
  <c r="FE36" i="7"/>
  <c r="FD36" i="7"/>
  <c r="FC36" i="7"/>
  <c r="FB36" i="7"/>
  <c r="FA36" i="7"/>
  <c r="EZ36" i="7"/>
  <c r="EY36" i="7"/>
  <c r="EX36" i="7"/>
  <c r="EW36" i="7"/>
  <c r="EV36" i="7"/>
  <c r="EU36" i="7"/>
  <c r="ET36" i="7"/>
  <c r="ES36" i="7"/>
  <c r="ER36" i="7"/>
  <c r="EQ36" i="7"/>
  <c r="EP36" i="7"/>
  <c r="EO36" i="7"/>
  <c r="EN36" i="7"/>
  <c r="EM36" i="7"/>
  <c r="EL36" i="7"/>
  <c r="EK36" i="7"/>
  <c r="EJ36" i="7"/>
  <c r="EI36" i="7"/>
  <c r="EH36" i="7"/>
  <c r="EG36" i="7"/>
  <c r="EF36" i="7"/>
  <c r="EE36" i="7"/>
  <c r="ED36" i="7"/>
  <c r="EC36" i="7"/>
  <c r="EB36" i="7"/>
  <c r="EA36" i="7"/>
  <c r="DZ36" i="7"/>
  <c r="DY36" i="7"/>
  <c r="DX36" i="7"/>
  <c r="DW36" i="7"/>
  <c r="DV36" i="7"/>
  <c r="DU36" i="7"/>
  <c r="DT36" i="7"/>
  <c r="DS36" i="7"/>
  <c r="DR36" i="7"/>
  <c r="DQ36" i="7"/>
  <c r="DP36" i="7"/>
  <c r="DO36" i="7"/>
  <c r="DN36" i="7"/>
  <c r="DM36" i="7"/>
  <c r="DL36" i="7"/>
  <c r="DK36" i="7"/>
  <c r="DJ36" i="7"/>
  <c r="DI36" i="7"/>
  <c r="DH36" i="7"/>
  <c r="DG36" i="7"/>
  <c r="DF36" i="7"/>
  <c r="DE36" i="7"/>
  <c r="DD36" i="7"/>
  <c r="DC36" i="7"/>
  <c r="DB36" i="7"/>
  <c r="DA36" i="7"/>
  <c r="CZ36" i="7"/>
  <c r="CY36" i="7"/>
  <c r="CX36" i="7"/>
  <c r="CW36" i="7"/>
  <c r="CV36" i="7"/>
  <c r="CU36" i="7"/>
  <c r="CT36" i="7"/>
  <c r="CS36" i="7"/>
  <c r="CR36" i="7"/>
  <c r="CQ36" i="7"/>
  <c r="CP36" i="7"/>
  <c r="CO36" i="7"/>
  <c r="CN36" i="7"/>
  <c r="CM36" i="7"/>
  <c r="CL36" i="7"/>
  <c r="CK36" i="7"/>
  <c r="CJ36" i="7"/>
  <c r="CI36" i="7"/>
  <c r="CH36" i="7"/>
  <c r="CG36" i="7"/>
  <c r="CF36" i="7"/>
  <c r="CE36" i="7"/>
  <c r="CD36" i="7"/>
  <c r="CC36" i="7"/>
  <c r="CB36" i="7"/>
  <c r="CA36" i="7"/>
  <c r="BZ36" i="7"/>
  <c r="BY36" i="7"/>
  <c r="BX36" i="7"/>
  <c r="BW36" i="7"/>
  <c r="BV36" i="7"/>
  <c r="BU36" i="7"/>
  <c r="BT36" i="7"/>
  <c r="BS36" i="7"/>
  <c r="BR36" i="7"/>
  <c r="BQ36" i="7"/>
  <c r="BP36" i="7"/>
  <c r="BO36" i="7"/>
  <c r="BN36" i="7"/>
  <c r="BM36" i="7"/>
  <c r="BL36" i="7"/>
  <c r="BK36" i="7"/>
  <c r="BJ36" i="7"/>
  <c r="BI36" i="7"/>
  <c r="BH36" i="7"/>
  <c r="BG36" i="7"/>
  <c r="BF36" i="7"/>
  <c r="BE36" i="7"/>
  <c r="BD36" i="7"/>
  <c r="BC36" i="7"/>
  <c r="BB36" i="7"/>
  <c r="BA36" i="7"/>
  <c r="AZ36" i="7"/>
  <c r="AY36" i="7"/>
  <c r="AX36" i="7"/>
  <c r="AW36" i="7"/>
  <c r="AV36" i="7"/>
  <c r="AU36" i="7"/>
  <c r="AT36" i="7"/>
  <c r="AS36" i="7"/>
  <c r="AR36" i="7"/>
  <c r="AQ36" i="7"/>
  <c r="AP36" i="7"/>
  <c r="AO36" i="7"/>
  <c r="AN36" i="7"/>
  <c r="AM36" i="7"/>
  <c r="AL36" i="7"/>
  <c r="AK36" i="7"/>
  <c r="AJ36" i="7"/>
  <c r="AI36" i="7"/>
  <c r="AH36" i="7"/>
  <c r="AG36" i="7"/>
  <c r="AF36" i="7"/>
  <c r="AE36" i="7"/>
  <c r="AD36" i="7"/>
  <c r="AC36" i="7"/>
  <c r="AB36" i="7"/>
  <c r="AA36" i="7"/>
  <c r="Z36" i="7"/>
  <c r="Y36" i="7"/>
  <c r="X36" i="7"/>
  <c r="W36" i="7"/>
  <c r="V36" i="7"/>
  <c r="U36" i="7"/>
  <c r="T36" i="7"/>
  <c r="S36" i="7"/>
  <c r="R36" i="7"/>
  <c r="Q36" i="7"/>
  <c r="P36" i="7"/>
  <c r="O36" i="7"/>
  <c r="N36" i="7"/>
  <c r="M36" i="7"/>
  <c r="L36" i="7"/>
  <c r="K36" i="7"/>
  <c r="J36" i="7"/>
  <c r="I36" i="7"/>
  <c r="H36" i="7"/>
  <c r="G36" i="7"/>
  <c r="F36" i="7"/>
  <c r="F33" i="8" s="1"/>
  <c r="F34" i="7"/>
  <c r="F31" i="8" s="1"/>
  <c r="B30" i="7"/>
  <c r="F27" i="7"/>
  <c r="F25" i="7"/>
  <c r="F23" i="8" s="1"/>
  <c r="E25" i="7"/>
  <c r="E23" i="8" s="1"/>
  <c r="F24" i="7"/>
  <c r="F22" i="8" s="1"/>
  <c r="F23" i="7"/>
  <c r="F21" i="8" s="1"/>
  <c r="B23" i="7"/>
  <c r="F22" i="7"/>
  <c r="F21" i="7"/>
  <c r="F19" i="8" s="1"/>
  <c r="B21" i="7"/>
  <c r="F20" i="7"/>
  <c r="F18" i="8" s="1"/>
  <c r="F10" i="18" s="1"/>
  <c r="F15" i="18" s="1"/>
  <c r="F19" i="7"/>
  <c r="F17" i="8" s="1"/>
  <c r="F9" i="18" s="1"/>
  <c r="F14" i="18" s="1"/>
  <c r="F18" i="7"/>
  <c r="F16" i="8" s="1"/>
  <c r="F17" i="7"/>
  <c r="F15" i="8" s="1"/>
  <c r="E17" i="7"/>
  <c r="E15" i="8" s="1"/>
  <c r="F16" i="7"/>
  <c r="F14" i="8" s="1"/>
  <c r="F15" i="7"/>
  <c r="F13" i="8" s="1"/>
  <c r="E15" i="7"/>
  <c r="E13" i="8" s="1"/>
  <c r="F14" i="7"/>
  <c r="F13" i="7"/>
  <c r="F12" i="7"/>
  <c r="F10" i="8" s="1"/>
  <c r="F11" i="7"/>
  <c r="F9" i="7"/>
  <c r="F7" i="8" s="1"/>
  <c r="F5" i="18" s="1"/>
  <c r="F8" i="7"/>
  <c r="E8" i="7"/>
  <c r="F7" i="7"/>
  <c r="E7" i="7"/>
  <c r="F5" i="7"/>
  <c r="E5" i="7"/>
  <c r="A4" i="7"/>
  <c r="A3" i="7"/>
  <c r="I959" i="6"/>
  <c r="I958" i="6"/>
  <c r="I954" i="6"/>
  <c r="H954" i="6"/>
  <c r="G954" i="6"/>
  <c r="F954" i="6"/>
  <c r="E954" i="6"/>
  <c r="I953" i="6"/>
  <c r="G953" i="6"/>
  <c r="F953" i="6"/>
  <c r="E953" i="6"/>
  <c r="I952" i="6"/>
  <c r="G952" i="6"/>
  <c r="F952" i="6"/>
  <c r="E952" i="6"/>
  <c r="I948" i="6"/>
  <c r="I950" i="6" s="1"/>
  <c r="I947" i="6"/>
  <c r="E947" i="6"/>
  <c r="E955" i="6" s="1"/>
  <c r="I944" i="6"/>
  <c r="G940" i="6"/>
  <c r="F940" i="6"/>
  <c r="E940" i="6"/>
  <c r="F939" i="6"/>
  <c r="F944" i="6" s="1"/>
  <c r="E939" i="6"/>
  <c r="E944" i="6" s="1"/>
  <c r="I938" i="6"/>
  <c r="I940" i="6" s="1"/>
  <c r="G938" i="6"/>
  <c r="F938" i="6"/>
  <c r="E938" i="6"/>
  <c r="I937" i="6"/>
  <c r="I939" i="6" s="1"/>
  <c r="G937" i="6"/>
  <c r="F937" i="6"/>
  <c r="E937" i="6"/>
  <c r="I936" i="6"/>
  <c r="G936" i="6"/>
  <c r="F936" i="6"/>
  <c r="E936" i="6"/>
  <c r="G934" i="6"/>
  <c r="F934" i="6"/>
  <c r="E934" i="6"/>
  <c r="F933" i="6"/>
  <c r="F943" i="6" s="1"/>
  <c r="E933" i="6"/>
  <c r="E943" i="6" s="1"/>
  <c r="I932" i="6"/>
  <c r="I934" i="6" s="1"/>
  <c r="H932" i="6"/>
  <c r="H934" i="6" s="1"/>
  <c r="G932" i="6"/>
  <c r="F932" i="6"/>
  <c r="E932" i="6"/>
  <c r="I931" i="6"/>
  <c r="G931" i="6"/>
  <c r="F931" i="6"/>
  <c r="E931" i="6"/>
  <c r="I930" i="6"/>
  <c r="G930" i="6"/>
  <c r="F930" i="6"/>
  <c r="E930" i="6"/>
  <c r="I928" i="6"/>
  <c r="H928" i="6"/>
  <c r="G928" i="6"/>
  <c r="F928" i="6"/>
  <c r="E928" i="6"/>
  <c r="G926" i="6"/>
  <c r="F926" i="6"/>
  <c r="E926" i="6"/>
  <c r="I923" i="6"/>
  <c r="G923" i="6"/>
  <c r="F923" i="6"/>
  <c r="E923" i="6"/>
  <c r="I922" i="6"/>
  <c r="I924" i="6" s="1"/>
  <c r="G922" i="6"/>
  <c r="F922" i="6"/>
  <c r="E922" i="6"/>
  <c r="I921" i="6"/>
  <c r="G921" i="6"/>
  <c r="F921" i="6"/>
  <c r="E921" i="6"/>
  <c r="I920" i="6"/>
  <c r="G920" i="6"/>
  <c r="F920" i="6"/>
  <c r="E920" i="6"/>
  <c r="E917" i="6"/>
  <c r="I916" i="6"/>
  <c r="I917" i="6" s="1"/>
  <c r="G916" i="6"/>
  <c r="G917" i="6" s="1"/>
  <c r="F916" i="6"/>
  <c r="F917" i="6" s="1"/>
  <c r="E916" i="6"/>
  <c r="I912" i="6"/>
  <c r="H912" i="6"/>
  <c r="G912" i="6"/>
  <c r="F912" i="6"/>
  <c r="I908" i="6"/>
  <c r="I913" i="6" s="1"/>
  <c r="G908" i="6"/>
  <c r="F908" i="6"/>
  <c r="E908" i="6"/>
  <c r="I906" i="6"/>
  <c r="G906" i="6"/>
  <c r="F906" i="6"/>
  <c r="E906" i="6"/>
  <c r="I905" i="6"/>
  <c r="H905" i="6"/>
  <c r="H898" i="6"/>
  <c r="H897" i="6"/>
  <c r="H896" i="6"/>
  <c r="H895" i="6"/>
  <c r="H891" i="6"/>
  <c r="H888" i="6"/>
  <c r="E3" i="20" s="1"/>
  <c r="E11" i="20" s="1"/>
  <c r="F75" i="8" s="1"/>
  <c r="H887" i="6"/>
  <c r="E3" i="19" s="1"/>
  <c r="F26" i="19" s="1"/>
  <c r="H886" i="6"/>
  <c r="E3" i="18" s="1"/>
  <c r="F38" i="18" s="1"/>
  <c r="F73" i="8" s="1"/>
  <c r="H885" i="6"/>
  <c r="E3" i="17" s="1"/>
  <c r="H884" i="6"/>
  <c r="E3" i="16" s="1"/>
  <c r="F13" i="16" s="1"/>
  <c r="F71" i="8" s="1"/>
  <c r="H883" i="6"/>
  <c r="E3" i="15" s="1"/>
  <c r="F14" i="15" s="1"/>
  <c r="F70" i="8" s="1"/>
  <c r="H882" i="6"/>
  <c r="E3" i="14" s="1"/>
  <c r="F14" i="14" s="1"/>
  <c r="F69" i="8" s="1"/>
  <c r="H881" i="6"/>
  <c r="I864" i="6"/>
  <c r="I863" i="6"/>
  <c r="H849" i="6"/>
  <c r="E8" i="14" s="1"/>
  <c r="H848" i="6"/>
  <c r="E7" i="14" s="1"/>
  <c r="H846" i="6"/>
  <c r="H845" i="6"/>
  <c r="H844" i="6"/>
  <c r="H843" i="6"/>
  <c r="H841" i="6"/>
  <c r="H840" i="6"/>
  <c r="E7" i="20" s="1"/>
  <c r="H838" i="6"/>
  <c r="H834" i="6"/>
  <c r="H833" i="6"/>
  <c r="H832" i="6"/>
  <c r="H831" i="6"/>
  <c r="E43" i="7" s="1"/>
  <c r="E56" i="8" s="1"/>
  <c r="E25" i="18" s="1"/>
  <c r="G831" i="6"/>
  <c r="F831" i="6"/>
  <c r="E831" i="6"/>
  <c r="G829" i="6"/>
  <c r="F829" i="6"/>
  <c r="E829" i="6"/>
  <c r="I825" i="6"/>
  <c r="H825" i="6"/>
  <c r="E27" i="17" s="1"/>
  <c r="E36" i="17" s="1"/>
  <c r="E53" i="17" s="1"/>
  <c r="G825" i="6"/>
  <c r="F825" i="6"/>
  <c r="E825" i="6"/>
  <c r="F824" i="6"/>
  <c r="E824" i="6"/>
  <c r="I823" i="6"/>
  <c r="F57" i="7" s="1"/>
  <c r="G823" i="6"/>
  <c r="F823" i="6"/>
  <c r="E823" i="6"/>
  <c r="E826" i="6" s="1"/>
  <c r="I809" i="6"/>
  <c r="E35" i="5" s="1"/>
  <c r="G809" i="6"/>
  <c r="F809" i="6"/>
  <c r="F808" i="6"/>
  <c r="I805" i="6"/>
  <c r="G805" i="6"/>
  <c r="F805" i="6"/>
  <c r="E805" i="6"/>
  <c r="I804" i="6"/>
  <c r="G804" i="6"/>
  <c r="G808" i="6" s="1"/>
  <c r="F804" i="6"/>
  <c r="E804" i="6"/>
  <c r="I803" i="6"/>
  <c r="G803" i="6"/>
  <c r="F803" i="6"/>
  <c r="E803" i="6"/>
  <c r="H801" i="6"/>
  <c r="I797" i="6"/>
  <c r="G797" i="6"/>
  <c r="F797" i="6"/>
  <c r="H797" i="6" s="1"/>
  <c r="E797" i="6"/>
  <c r="H796" i="6"/>
  <c r="H795" i="6"/>
  <c r="I792" i="6"/>
  <c r="G791" i="6"/>
  <c r="G790" i="6"/>
  <c r="F790" i="6"/>
  <c r="E790" i="6"/>
  <c r="I789" i="6"/>
  <c r="G789" i="6"/>
  <c r="F789" i="6"/>
  <c r="E789" i="6"/>
  <c r="E809" i="6" s="1"/>
  <c r="I788" i="6"/>
  <c r="G788" i="6"/>
  <c r="F788" i="6"/>
  <c r="E788" i="6"/>
  <c r="I787" i="6"/>
  <c r="I808" i="6" s="1"/>
  <c r="G787" i="6"/>
  <c r="F787" i="6"/>
  <c r="E787" i="6"/>
  <c r="E808" i="6" s="1"/>
  <c r="I786" i="6"/>
  <c r="G786" i="6"/>
  <c r="F786" i="6"/>
  <c r="E786" i="6"/>
  <c r="H784" i="6"/>
  <c r="H782" i="6"/>
  <c r="I781" i="6"/>
  <c r="H781" i="6"/>
  <c r="G781" i="6"/>
  <c r="F781" i="6"/>
  <c r="E781" i="6"/>
  <c r="I779" i="6"/>
  <c r="G779" i="6"/>
  <c r="G792" i="6" s="1"/>
  <c r="F779" i="6"/>
  <c r="E779" i="6"/>
  <c r="E792" i="6" s="1"/>
  <c r="H777" i="6"/>
  <c r="G772" i="6"/>
  <c r="I766" i="6"/>
  <c r="I816" i="6" s="1"/>
  <c r="G766" i="6"/>
  <c r="G816" i="6" s="1"/>
  <c r="I761" i="6"/>
  <c r="I771" i="6" s="1"/>
  <c r="G761" i="6"/>
  <c r="G771" i="6" s="1"/>
  <c r="G760" i="6"/>
  <c r="I759" i="6"/>
  <c r="G759" i="6"/>
  <c r="F759" i="6"/>
  <c r="I758" i="6"/>
  <c r="G758" i="6"/>
  <c r="F758" i="6"/>
  <c r="I757" i="6"/>
  <c r="G757" i="6"/>
  <c r="F757" i="6"/>
  <c r="E757" i="6"/>
  <c r="I756" i="6"/>
  <c r="G756" i="6"/>
  <c r="F756" i="6"/>
  <c r="E756" i="6"/>
  <c r="I755" i="6"/>
  <c r="G755" i="6"/>
  <c r="F755" i="6"/>
  <c r="I754" i="6"/>
  <c r="G754" i="6"/>
  <c r="F754" i="6"/>
  <c r="E754" i="6"/>
  <c r="I750" i="6"/>
  <c r="I762" i="6" s="1"/>
  <c r="I772" i="6" s="1"/>
  <c r="G750" i="6"/>
  <c r="G762" i="6" s="1"/>
  <c r="F750" i="6"/>
  <c r="F762" i="6" s="1"/>
  <c r="F772" i="6" s="1"/>
  <c r="E750" i="6"/>
  <c r="E762" i="6" s="1"/>
  <c r="E772" i="6" s="1"/>
  <c r="I749" i="6"/>
  <c r="G749" i="6"/>
  <c r="F749" i="6"/>
  <c r="F760" i="6" s="1"/>
  <c r="H747" i="6"/>
  <c r="H746" i="6"/>
  <c r="H745" i="6"/>
  <c r="H744" i="6"/>
  <c r="I743" i="6"/>
  <c r="I760" i="6" s="1"/>
  <c r="F110" i="8" s="1"/>
  <c r="F743" i="6"/>
  <c r="E743" i="6"/>
  <c r="H742" i="6"/>
  <c r="E8" i="19" s="1"/>
  <c r="F20" i="19" s="1"/>
  <c r="H741" i="6"/>
  <c r="I734" i="6"/>
  <c r="G734" i="6"/>
  <c r="E734" i="6"/>
  <c r="I733" i="6"/>
  <c r="G733" i="6"/>
  <c r="F733" i="6"/>
  <c r="E733" i="6"/>
  <c r="I732" i="6"/>
  <c r="G732" i="6"/>
  <c r="F732" i="6"/>
  <c r="E732" i="6"/>
  <c r="I731" i="6"/>
  <c r="G731" i="6"/>
  <c r="G764" i="6" s="1"/>
  <c r="F731" i="6"/>
  <c r="F764" i="6" s="1"/>
  <c r="E731" i="6"/>
  <c r="E764" i="6" s="1"/>
  <c r="I730" i="6"/>
  <c r="G730" i="6"/>
  <c r="E730" i="6"/>
  <c r="F729" i="6"/>
  <c r="F734" i="6" s="1"/>
  <c r="F766" i="6" s="1"/>
  <c r="F816" i="6" s="1"/>
  <c r="H728" i="6"/>
  <c r="H724" i="6"/>
  <c r="H723" i="6"/>
  <c r="H722" i="6"/>
  <c r="I721" i="6"/>
  <c r="H721" i="6"/>
  <c r="G721" i="6"/>
  <c r="F721" i="6"/>
  <c r="E721" i="6"/>
  <c r="H720" i="6"/>
  <c r="I712" i="6"/>
  <c r="G712" i="6"/>
  <c r="F712" i="6"/>
  <c r="E712" i="6"/>
  <c r="I711" i="6"/>
  <c r="G711" i="6"/>
  <c r="F711" i="6"/>
  <c r="E711" i="6"/>
  <c r="I710" i="6"/>
  <c r="G710" i="6"/>
  <c r="F710" i="6"/>
  <c r="E710" i="6"/>
  <c r="I709" i="6"/>
  <c r="G709" i="6"/>
  <c r="F709" i="6"/>
  <c r="E709" i="6"/>
  <c r="I708" i="6"/>
  <c r="G708" i="6"/>
  <c r="F708" i="6"/>
  <c r="E708" i="6"/>
  <c r="H707" i="6"/>
  <c r="H706" i="6"/>
  <c r="H702" i="6"/>
  <c r="I699" i="6"/>
  <c r="G699" i="6"/>
  <c r="F699" i="6"/>
  <c r="E699" i="6"/>
  <c r="H699" i="6" s="1"/>
  <c r="H697" i="6"/>
  <c r="I694" i="6"/>
  <c r="G694" i="6"/>
  <c r="F694" i="6"/>
  <c r="F693" i="6"/>
  <c r="G692" i="6"/>
  <c r="I691" i="6"/>
  <c r="F691" i="6"/>
  <c r="I690" i="6"/>
  <c r="G690" i="6"/>
  <c r="F690" i="6"/>
  <c r="E690" i="6"/>
  <c r="I689" i="6"/>
  <c r="G689" i="6"/>
  <c r="F689" i="6"/>
  <c r="E689" i="6"/>
  <c r="I688" i="6"/>
  <c r="G688" i="6"/>
  <c r="F688" i="6"/>
  <c r="G687" i="6"/>
  <c r="G691" i="6" s="1"/>
  <c r="F687" i="6"/>
  <c r="E687" i="6"/>
  <c r="E691" i="6" s="1"/>
  <c r="H686" i="6"/>
  <c r="H685" i="6"/>
  <c r="I684" i="6"/>
  <c r="G684" i="6"/>
  <c r="G693" i="6" s="1"/>
  <c r="F684" i="6"/>
  <c r="F692" i="6" s="1"/>
  <c r="E684" i="6"/>
  <c r="I681" i="6"/>
  <c r="I693" i="6" s="1"/>
  <c r="G681" i="6"/>
  <c r="F681" i="6"/>
  <c r="E681" i="6"/>
  <c r="H680" i="6"/>
  <c r="H679" i="6"/>
  <c r="I673" i="6"/>
  <c r="G673" i="6"/>
  <c r="F673" i="6"/>
  <c r="E673" i="6"/>
  <c r="I672" i="6"/>
  <c r="G672" i="6"/>
  <c r="F672" i="6"/>
  <c r="E672" i="6"/>
  <c r="I671" i="6"/>
  <c r="G671" i="6"/>
  <c r="F671" i="6"/>
  <c r="E671" i="6"/>
  <c r="I670" i="6"/>
  <c r="G670" i="6"/>
  <c r="F670" i="6"/>
  <c r="E670" i="6"/>
  <c r="H669" i="6"/>
  <c r="H673" i="6" s="1"/>
  <c r="G666" i="6"/>
  <c r="F666" i="6"/>
  <c r="E666" i="6"/>
  <c r="H665" i="6"/>
  <c r="I663" i="6"/>
  <c r="G663" i="6"/>
  <c r="F663" i="6"/>
  <c r="E663" i="6"/>
  <c r="H662" i="6"/>
  <c r="H661" i="6"/>
  <c r="I655" i="6"/>
  <c r="G655" i="6"/>
  <c r="F655" i="6"/>
  <c r="E655" i="6"/>
  <c r="I654" i="6"/>
  <c r="G654" i="6"/>
  <c r="F654" i="6"/>
  <c r="E654" i="6"/>
  <c r="I653" i="6"/>
  <c r="G653" i="6"/>
  <c r="F653" i="6"/>
  <c r="E653" i="6"/>
  <c r="I652" i="6"/>
  <c r="G652" i="6"/>
  <c r="F652" i="6"/>
  <c r="E652" i="6"/>
  <c r="H651" i="6"/>
  <c r="H650" i="6"/>
  <c r="H649" i="6"/>
  <c r="I648" i="6"/>
  <c r="I657" i="6" s="1"/>
  <c r="G648" i="6"/>
  <c r="F648" i="6"/>
  <c r="F658" i="6" s="1"/>
  <c r="E648" i="6"/>
  <c r="H647" i="6"/>
  <c r="H655" i="6" s="1"/>
  <c r="H646" i="6"/>
  <c r="H645" i="6"/>
  <c r="I644" i="6"/>
  <c r="G644" i="6"/>
  <c r="F644" i="6"/>
  <c r="E644" i="6"/>
  <c r="H643" i="6"/>
  <c r="H642" i="6"/>
  <c r="G638" i="6"/>
  <c r="F638" i="6"/>
  <c r="G637" i="6"/>
  <c r="F637" i="6"/>
  <c r="I631" i="6"/>
  <c r="E630" i="6"/>
  <c r="I629" i="6"/>
  <c r="E627" i="6"/>
  <c r="G626" i="6"/>
  <c r="F626" i="6"/>
  <c r="I625" i="6"/>
  <c r="G625" i="6"/>
  <c r="F625" i="6"/>
  <c r="E625" i="6"/>
  <c r="I624" i="6"/>
  <c r="G624" i="6"/>
  <c r="F624" i="6"/>
  <c r="E624" i="6"/>
  <c r="I623" i="6"/>
  <c r="G623" i="6"/>
  <c r="F623" i="6"/>
  <c r="E623" i="6"/>
  <c r="I622" i="6"/>
  <c r="I628" i="6" s="1"/>
  <c r="H622" i="6"/>
  <c r="H621" i="6"/>
  <c r="G621" i="6"/>
  <c r="F621" i="6"/>
  <c r="E621" i="6"/>
  <c r="I620" i="6"/>
  <c r="G620" i="6"/>
  <c r="F620" i="6"/>
  <c r="E620" i="6"/>
  <c r="I619" i="6"/>
  <c r="G619" i="6"/>
  <c r="G629" i="6" s="1"/>
  <c r="F619" i="6"/>
  <c r="F629" i="6" s="1"/>
  <c r="E619" i="6"/>
  <c r="H614" i="6"/>
  <c r="H613" i="6"/>
  <c r="H612" i="6"/>
  <c r="I611" i="6"/>
  <c r="E606" i="6"/>
  <c r="I605" i="6"/>
  <c r="G605" i="6"/>
  <c r="I603" i="6"/>
  <c r="G603" i="6"/>
  <c r="F603" i="6"/>
  <c r="E603" i="6"/>
  <c r="I602" i="6"/>
  <c r="G602" i="6"/>
  <c r="F602" i="6"/>
  <c r="E602" i="6"/>
  <c r="I601" i="6"/>
  <c r="G601" i="6"/>
  <c r="F601" i="6"/>
  <c r="E601" i="6"/>
  <c r="H600" i="6"/>
  <c r="F600" i="6"/>
  <c r="F606" i="6" s="1"/>
  <c r="E600" i="6"/>
  <c r="I599" i="6"/>
  <c r="H599" i="6"/>
  <c r="G599" i="6"/>
  <c r="F599" i="6"/>
  <c r="E599" i="6"/>
  <c r="G598" i="6"/>
  <c r="F598" i="6"/>
  <c r="F605" i="6" s="1"/>
  <c r="E598" i="6"/>
  <c r="E605" i="6" s="1"/>
  <c r="G597" i="6"/>
  <c r="G604" i="6" s="1"/>
  <c r="F597" i="6"/>
  <c r="F604" i="6" s="1"/>
  <c r="E597" i="6"/>
  <c r="E604" i="6" s="1"/>
  <c r="H595" i="6"/>
  <c r="H593" i="6"/>
  <c r="H592" i="6"/>
  <c r="H591" i="6"/>
  <c r="H590" i="6"/>
  <c r="H598" i="6" s="1"/>
  <c r="H589" i="6"/>
  <c r="H597" i="6" s="1"/>
  <c r="I588" i="6"/>
  <c r="I598" i="6" s="1"/>
  <c r="H588" i="6"/>
  <c r="I587" i="6"/>
  <c r="H587" i="6"/>
  <c r="G587" i="6"/>
  <c r="F587" i="6"/>
  <c r="I581" i="6"/>
  <c r="F581" i="6"/>
  <c r="I580" i="6"/>
  <c r="G580" i="6"/>
  <c r="F580" i="6"/>
  <c r="E580" i="6"/>
  <c r="I579" i="6"/>
  <c r="G579" i="6"/>
  <c r="F579" i="6"/>
  <c r="E579" i="6"/>
  <c r="I573" i="6"/>
  <c r="I578" i="6" s="1"/>
  <c r="G573" i="6"/>
  <c r="F573" i="6"/>
  <c r="F578" i="6" s="1"/>
  <c r="E573" i="6"/>
  <c r="H572" i="6"/>
  <c r="H571" i="6"/>
  <c r="I566" i="6"/>
  <c r="G566" i="6"/>
  <c r="F566" i="6"/>
  <c r="E566" i="6"/>
  <c r="I565" i="6"/>
  <c r="G565" i="6"/>
  <c r="F565" i="6"/>
  <c r="E565" i="6"/>
  <c r="I564" i="6"/>
  <c r="G564" i="6"/>
  <c r="F564" i="6"/>
  <c r="E564" i="6"/>
  <c r="I563" i="6"/>
  <c r="I568" i="6" s="1"/>
  <c r="G563" i="6"/>
  <c r="G568" i="6" s="1"/>
  <c r="E562" i="6"/>
  <c r="H561" i="6"/>
  <c r="H557" i="6"/>
  <c r="H563" i="6" s="1"/>
  <c r="H556" i="6"/>
  <c r="H562" i="6" s="1"/>
  <c r="H555" i="6"/>
  <c r="I553" i="6"/>
  <c r="G553" i="6"/>
  <c r="F553" i="6"/>
  <c r="E553" i="6"/>
  <c r="I552" i="6"/>
  <c r="H552" i="6"/>
  <c r="G552" i="6"/>
  <c r="F552" i="6"/>
  <c r="E552" i="6"/>
  <c r="G546" i="6"/>
  <c r="F546" i="6"/>
  <c r="E546" i="6"/>
  <c r="I545" i="6"/>
  <c r="I544" i="6"/>
  <c r="G544" i="6"/>
  <c r="F544" i="6"/>
  <c r="E544" i="6"/>
  <c r="I543" i="6"/>
  <c r="G543" i="6"/>
  <c r="F543" i="6"/>
  <c r="E543" i="6"/>
  <c r="I542" i="6"/>
  <c r="G542" i="6"/>
  <c r="F542" i="6"/>
  <c r="E542" i="6"/>
  <c r="I541" i="6"/>
  <c r="I546" i="6" s="1"/>
  <c r="G541" i="6"/>
  <c r="F541" i="6"/>
  <c r="E541" i="6"/>
  <c r="I540" i="6"/>
  <c r="G540" i="6"/>
  <c r="F540" i="6"/>
  <c r="F545" i="6" s="1"/>
  <c r="H536" i="6"/>
  <c r="I531" i="6"/>
  <c r="G531" i="6"/>
  <c r="G545" i="6" s="1"/>
  <c r="I530" i="6"/>
  <c r="G530" i="6"/>
  <c r="F530" i="6"/>
  <c r="E530" i="6"/>
  <c r="H530" i="6" s="1"/>
  <c r="H529" i="6"/>
  <c r="G524" i="6"/>
  <c r="I522" i="6"/>
  <c r="G522" i="6"/>
  <c r="F522" i="6"/>
  <c r="E522" i="6"/>
  <c r="I521" i="6"/>
  <c r="G521" i="6"/>
  <c r="F521" i="6"/>
  <c r="E521" i="6"/>
  <c r="E632" i="6" s="1"/>
  <c r="I520" i="6"/>
  <c r="G520" i="6"/>
  <c r="F520" i="6"/>
  <c r="E520" i="6"/>
  <c r="G519" i="6"/>
  <c r="F519" i="6"/>
  <c r="F524" i="6" s="1"/>
  <c r="F518" i="6"/>
  <c r="H515" i="6"/>
  <c r="H514" i="6"/>
  <c r="H513" i="6"/>
  <c r="H519" i="6" s="1"/>
  <c r="H512" i="6"/>
  <c r="H518" i="6" s="1"/>
  <c r="H511" i="6"/>
  <c r="H510" i="6"/>
  <c r="I509" i="6"/>
  <c r="I508" i="6"/>
  <c r="G508" i="6"/>
  <c r="F508" i="6"/>
  <c r="F523" i="6" s="1"/>
  <c r="E508" i="6"/>
  <c r="H507" i="6"/>
  <c r="H506" i="6"/>
  <c r="I500" i="6"/>
  <c r="G500" i="6"/>
  <c r="F500" i="6"/>
  <c r="E500" i="6"/>
  <c r="I499" i="6"/>
  <c r="G499" i="6"/>
  <c r="F499" i="6"/>
  <c r="E499" i="6"/>
  <c r="I498" i="6"/>
  <c r="G498" i="6"/>
  <c r="F498" i="6"/>
  <c r="E498" i="6"/>
  <c r="I497" i="6"/>
  <c r="G497" i="6"/>
  <c r="G502" i="6" s="1"/>
  <c r="F497" i="6"/>
  <c r="F502" i="6" s="1"/>
  <c r="I496" i="6"/>
  <c r="I501" i="6" s="1"/>
  <c r="G496" i="6"/>
  <c r="F496" i="6"/>
  <c r="E496" i="6"/>
  <c r="E501" i="6" s="1"/>
  <c r="H495" i="6"/>
  <c r="H492" i="6"/>
  <c r="H491" i="6"/>
  <c r="H497" i="6" s="1"/>
  <c r="H490" i="6"/>
  <c r="H496" i="6" s="1"/>
  <c r="H489" i="6"/>
  <c r="I487" i="6"/>
  <c r="I486" i="6"/>
  <c r="G486" i="6"/>
  <c r="G501" i="6" s="1"/>
  <c r="F486" i="6"/>
  <c r="F501" i="6" s="1"/>
  <c r="E486" i="6"/>
  <c r="H485" i="6"/>
  <c r="I478" i="6"/>
  <c r="G478" i="6"/>
  <c r="F478" i="6"/>
  <c r="E478" i="6"/>
  <c r="I477" i="6"/>
  <c r="G477" i="6"/>
  <c r="F477" i="6"/>
  <c r="E477" i="6"/>
  <c r="I476" i="6"/>
  <c r="G476" i="6"/>
  <c r="F476" i="6"/>
  <c r="E476" i="6"/>
  <c r="G474" i="6"/>
  <c r="G479" i="6" s="1"/>
  <c r="E474" i="6"/>
  <c r="E479" i="6" s="1"/>
  <c r="H472" i="6"/>
  <c r="H470" i="6"/>
  <c r="H469" i="6"/>
  <c r="H475" i="6" s="1"/>
  <c r="H468" i="6"/>
  <c r="H474" i="6" s="1"/>
  <c r="H467" i="6"/>
  <c r="H466" i="6"/>
  <c r="I465" i="6"/>
  <c r="G465" i="6"/>
  <c r="F465" i="6"/>
  <c r="E465" i="6"/>
  <c r="H465" i="6" s="1"/>
  <c r="I464" i="6"/>
  <c r="G464" i="6"/>
  <c r="F464" i="6"/>
  <c r="E464" i="6"/>
  <c r="H463" i="6"/>
  <c r="G458" i="6"/>
  <c r="F458" i="6"/>
  <c r="E458" i="6"/>
  <c r="I456" i="6"/>
  <c r="G456" i="6"/>
  <c r="F456" i="6"/>
  <c r="E456" i="6"/>
  <c r="I455" i="6"/>
  <c r="G455" i="6"/>
  <c r="F455" i="6"/>
  <c r="E455" i="6"/>
  <c r="I454" i="6"/>
  <c r="G454" i="6"/>
  <c r="F454" i="6"/>
  <c r="E454" i="6"/>
  <c r="I453" i="6"/>
  <c r="G453" i="6"/>
  <c r="F453" i="6"/>
  <c r="E453" i="6"/>
  <c r="H449" i="6"/>
  <c r="H448" i="6"/>
  <c r="H447" i="6"/>
  <c r="H453" i="6" s="1"/>
  <c r="H446" i="6"/>
  <c r="H452" i="6" s="1"/>
  <c r="H445" i="6"/>
  <c r="H444" i="6"/>
  <c r="I443" i="6"/>
  <c r="I458" i="6" s="1"/>
  <c r="H443" i="6"/>
  <c r="I442" i="6"/>
  <c r="G442" i="6"/>
  <c r="F442" i="6"/>
  <c r="H441" i="6"/>
  <c r="H440" i="6"/>
  <c r="I434" i="6"/>
  <c r="G434" i="6"/>
  <c r="F434" i="6"/>
  <c r="E434" i="6"/>
  <c r="I433" i="6"/>
  <c r="G433" i="6"/>
  <c r="F433" i="6"/>
  <c r="E433" i="6"/>
  <c r="I432" i="6"/>
  <c r="G432" i="6"/>
  <c r="F432" i="6"/>
  <c r="E432" i="6"/>
  <c r="I431" i="6"/>
  <c r="G431" i="6"/>
  <c r="G436" i="6" s="1"/>
  <c r="F431" i="6"/>
  <c r="F436" i="6" s="1"/>
  <c r="E431" i="6"/>
  <c r="E436" i="6" s="1"/>
  <c r="I430" i="6"/>
  <c r="G430" i="6"/>
  <c r="F430" i="6"/>
  <c r="F435" i="6" s="1"/>
  <c r="E430" i="6"/>
  <c r="E435" i="6" s="1"/>
  <c r="H429" i="6"/>
  <c r="H427" i="6"/>
  <c r="I421" i="6"/>
  <c r="I436" i="6" s="1"/>
  <c r="H421" i="6"/>
  <c r="I420" i="6"/>
  <c r="G420" i="6"/>
  <c r="G435" i="6" s="1"/>
  <c r="F420" i="6"/>
  <c r="E420" i="6"/>
  <c r="H418" i="6"/>
  <c r="H417" i="6"/>
  <c r="E414" i="6"/>
  <c r="I413" i="6"/>
  <c r="I412" i="6"/>
  <c r="I633" i="6" s="1"/>
  <c r="F9" i="15" s="1"/>
  <c r="G412" i="6"/>
  <c r="G633" i="6" s="1"/>
  <c r="F412" i="6"/>
  <c r="F633" i="6" s="1"/>
  <c r="E412" i="6"/>
  <c r="I411" i="6"/>
  <c r="I632" i="6" s="1"/>
  <c r="E33" i="5" s="1"/>
  <c r="H411" i="6"/>
  <c r="G411" i="6"/>
  <c r="G632" i="6" s="1"/>
  <c r="F411" i="6"/>
  <c r="F632" i="6" s="1"/>
  <c r="E411" i="6"/>
  <c r="I410" i="6"/>
  <c r="G410" i="6"/>
  <c r="F410" i="6"/>
  <c r="E410" i="6"/>
  <c r="E409" i="6"/>
  <c r="I408" i="6"/>
  <c r="G408" i="6"/>
  <c r="F408" i="6"/>
  <c r="E408" i="6"/>
  <c r="E413" i="6" s="1"/>
  <c r="H407" i="6"/>
  <c r="H412" i="6" s="1"/>
  <c r="H406" i="6"/>
  <c r="H404" i="6"/>
  <c r="H402" i="6"/>
  <c r="H408" i="6" s="1"/>
  <c r="H401" i="6"/>
  <c r="H400" i="6"/>
  <c r="H399" i="6"/>
  <c r="H398" i="6"/>
  <c r="I397" i="6"/>
  <c r="G397" i="6"/>
  <c r="F397" i="6"/>
  <c r="I396" i="6"/>
  <c r="G396" i="6"/>
  <c r="F396" i="6"/>
  <c r="H395" i="6"/>
  <c r="H394" i="6"/>
  <c r="E73" i="7" s="1"/>
  <c r="F384" i="6"/>
  <c r="I383" i="6"/>
  <c r="G383" i="6"/>
  <c r="F383" i="6"/>
  <c r="E383" i="6"/>
  <c r="I382" i="6"/>
  <c r="F13" i="17" s="1"/>
  <c r="G382" i="6"/>
  <c r="F382" i="6"/>
  <c r="E382" i="6"/>
  <c r="H381" i="6"/>
  <c r="H380" i="6"/>
  <c r="I377" i="6"/>
  <c r="E26" i="4" s="1"/>
  <c r="E377" i="6"/>
  <c r="G375" i="6"/>
  <c r="G374" i="6"/>
  <c r="F374" i="6"/>
  <c r="F375" i="6" s="1"/>
  <c r="E374" i="6"/>
  <c r="E375" i="6" s="1"/>
  <c r="G373" i="6"/>
  <c r="F373" i="6"/>
  <c r="E373" i="6"/>
  <c r="H369" i="6"/>
  <c r="H365" i="6"/>
  <c r="H364" i="6"/>
  <c r="H363" i="6"/>
  <c r="H362" i="6"/>
  <c r="H361" i="6"/>
  <c r="I357" i="6"/>
  <c r="G357" i="6"/>
  <c r="F357" i="6"/>
  <c r="E357" i="6"/>
  <c r="I356" i="6"/>
  <c r="G356" i="6"/>
  <c r="G226" i="6" s="1"/>
  <c r="G227" i="6" s="1"/>
  <c r="F356" i="6"/>
  <c r="E356" i="6"/>
  <c r="H351" i="6"/>
  <c r="H348" i="6"/>
  <c r="H347" i="6"/>
  <c r="H346" i="6"/>
  <c r="H345" i="6"/>
  <c r="H344" i="6"/>
  <c r="E10" i="17" s="1"/>
  <c r="H343" i="6"/>
  <c r="H340" i="6"/>
  <c r="H339" i="6"/>
  <c r="H338" i="6"/>
  <c r="H337" i="6"/>
  <c r="E32" i="17" s="1"/>
  <c r="H336" i="6"/>
  <c r="E9" i="17" s="1"/>
  <c r="I329" i="6"/>
  <c r="F329" i="6"/>
  <c r="I325" i="6"/>
  <c r="F325" i="6"/>
  <c r="E325" i="6"/>
  <c r="I324" i="6"/>
  <c r="F63" i="7" s="1"/>
  <c r="G324" i="6"/>
  <c r="F324" i="6"/>
  <c r="E324" i="6"/>
  <c r="I323" i="6"/>
  <c r="F323" i="6"/>
  <c r="E323" i="6"/>
  <c r="I322" i="6"/>
  <c r="F322" i="6"/>
  <c r="F377" i="6" s="1"/>
  <c r="E322" i="6"/>
  <c r="E329" i="6" s="1"/>
  <c r="I321" i="6"/>
  <c r="G321" i="6"/>
  <c r="F321" i="6"/>
  <c r="E321" i="6"/>
  <c r="I317" i="6"/>
  <c r="G317" i="6"/>
  <c r="F317" i="6"/>
  <c r="E317" i="6"/>
  <c r="F316" i="6"/>
  <c r="I315" i="6"/>
  <c r="I316" i="6" s="1"/>
  <c r="G315" i="6"/>
  <c r="G316" i="6" s="1"/>
  <c r="F315" i="6"/>
  <c r="E315" i="6"/>
  <c r="E316" i="6" s="1"/>
  <c r="I314" i="6"/>
  <c r="G314" i="6"/>
  <c r="F314" i="6"/>
  <c r="E314" i="6"/>
  <c r="H311" i="6"/>
  <c r="H310" i="6"/>
  <c r="H315" i="6" s="1"/>
  <c r="H309" i="6"/>
  <c r="H308" i="6"/>
  <c r="H307" i="6"/>
  <c r="H305" i="6"/>
  <c r="I301" i="6"/>
  <c r="G301" i="6"/>
  <c r="F301" i="6"/>
  <c r="E301" i="6"/>
  <c r="I300" i="6"/>
  <c r="I299" i="6"/>
  <c r="G299" i="6"/>
  <c r="F299" i="6"/>
  <c r="E299" i="6"/>
  <c r="I298" i="6"/>
  <c r="I328" i="6" s="1"/>
  <c r="G298" i="6"/>
  <c r="F298" i="6"/>
  <c r="E298" i="6"/>
  <c r="H296" i="6"/>
  <c r="G295" i="6"/>
  <c r="H294" i="6"/>
  <c r="H293" i="6"/>
  <c r="H292" i="6"/>
  <c r="G290" i="6"/>
  <c r="I285" i="6"/>
  <c r="H285" i="6"/>
  <c r="G285" i="6"/>
  <c r="F285" i="6"/>
  <c r="E285" i="6"/>
  <c r="F284" i="6"/>
  <c r="I283" i="6"/>
  <c r="I330" i="6" s="1"/>
  <c r="F283" i="6"/>
  <c r="E283" i="6"/>
  <c r="E284" i="6" s="1"/>
  <c r="I282" i="6"/>
  <c r="F282" i="6"/>
  <c r="E282" i="6"/>
  <c r="H281" i="6"/>
  <c r="H280" i="6"/>
  <c r="G279" i="6"/>
  <c r="G283" i="6" s="1"/>
  <c r="H278" i="6"/>
  <c r="H276" i="6"/>
  <c r="G274" i="6"/>
  <c r="H274" i="6" s="1"/>
  <c r="H273" i="6"/>
  <c r="I269" i="6"/>
  <c r="H269" i="6"/>
  <c r="G269" i="6"/>
  <c r="F269" i="6"/>
  <c r="E269" i="6"/>
  <c r="E268" i="6"/>
  <c r="I267" i="6"/>
  <c r="I268" i="6" s="1"/>
  <c r="F267" i="6"/>
  <c r="F268" i="6" s="1"/>
  <c r="E267" i="6"/>
  <c r="I266" i="6"/>
  <c r="G266" i="6"/>
  <c r="F266" i="6"/>
  <c r="F327" i="6" s="1"/>
  <c r="E266" i="6"/>
  <c r="E328" i="6" s="1"/>
  <c r="H265" i="6"/>
  <c r="H264" i="6"/>
  <c r="G263" i="6"/>
  <c r="G267" i="6" s="1"/>
  <c r="G268" i="6" s="1"/>
  <c r="F261" i="6"/>
  <c r="H259" i="6"/>
  <c r="H258" i="6"/>
  <c r="I253" i="6"/>
  <c r="G253" i="6"/>
  <c r="F253" i="6"/>
  <c r="E253" i="6"/>
  <c r="F252" i="6"/>
  <c r="E252" i="6"/>
  <c r="I251" i="6"/>
  <c r="I252" i="6" s="1"/>
  <c r="G251" i="6"/>
  <c r="G252" i="6" s="1"/>
  <c r="F251" i="6"/>
  <c r="E251" i="6"/>
  <c r="I250" i="6"/>
  <c r="G250" i="6"/>
  <c r="F250" i="6"/>
  <c r="E250" i="6"/>
  <c r="H248" i="6"/>
  <c r="G247" i="6"/>
  <c r="H247" i="6" s="1"/>
  <c r="H246" i="6"/>
  <c r="H245" i="6"/>
  <c r="H244" i="6"/>
  <c r="H243" i="6"/>
  <c r="H242" i="6"/>
  <c r="H250" i="6" s="1"/>
  <c r="H241" i="6"/>
  <c r="H236" i="6"/>
  <c r="F227" i="6"/>
  <c r="E227" i="6"/>
  <c r="I226" i="6"/>
  <c r="I227" i="6" s="1"/>
  <c r="F120" i="8" s="1"/>
  <c r="F226" i="6"/>
  <c r="E226" i="6"/>
  <c r="I225" i="6"/>
  <c r="G225" i="6"/>
  <c r="F225" i="6"/>
  <c r="E225" i="6"/>
  <c r="I224" i="6"/>
  <c r="G224" i="6"/>
  <c r="F224" i="6"/>
  <c r="E224" i="6"/>
  <c r="G223" i="6"/>
  <c r="F223" i="6"/>
  <c r="E223" i="6"/>
  <c r="I222" i="6"/>
  <c r="G222" i="6"/>
  <c r="F222" i="6"/>
  <c r="E222" i="6"/>
  <c r="I221" i="6"/>
  <c r="G221" i="6"/>
  <c r="F221" i="6"/>
  <c r="E221" i="6"/>
  <c r="H220" i="6"/>
  <c r="E15" i="19" s="1"/>
  <c r="G219" i="6"/>
  <c r="H219" i="6" s="1"/>
  <c r="E14" i="19" s="1"/>
  <c r="E28" i="19" s="1"/>
  <c r="H218" i="6"/>
  <c r="H217" i="6"/>
  <c r="H216" i="6"/>
  <c r="E51" i="7" s="1"/>
  <c r="H215" i="6"/>
  <c r="E50" i="7" s="1"/>
  <c r="H214" i="6"/>
  <c r="H213" i="6"/>
  <c r="H212" i="6"/>
  <c r="H211" i="6"/>
  <c r="H210" i="6"/>
  <c r="H209" i="6"/>
  <c r="H207" i="6"/>
  <c r="H206" i="6"/>
  <c r="H205" i="6"/>
  <c r="E92" i="8" s="1"/>
  <c r="H204" i="6"/>
  <c r="H203" i="6"/>
  <c r="H193" i="6"/>
  <c r="H192" i="6"/>
  <c r="M11" i="13" s="1"/>
  <c r="H191" i="6"/>
  <c r="M10" i="13" s="1"/>
  <c r="H190" i="6"/>
  <c r="H189" i="6"/>
  <c r="M12" i="13" s="1"/>
  <c r="H188" i="6"/>
  <c r="H187" i="6"/>
  <c r="H186" i="6"/>
  <c r="H185" i="6"/>
  <c r="M8" i="13" s="1"/>
  <c r="M9" i="13" s="1"/>
  <c r="H184" i="6"/>
  <c r="M20" i="13" s="1"/>
  <c r="H183" i="6"/>
  <c r="M14" i="13" s="1"/>
  <c r="H182" i="6"/>
  <c r="M6" i="13" s="1"/>
  <c r="H177" i="6"/>
  <c r="K11" i="13" s="1"/>
  <c r="H172" i="6"/>
  <c r="H171" i="6"/>
  <c r="H170" i="6"/>
  <c r="K8" i="13" s="1"/>
  <c r="K9" i="13" s="1"/>
  <c r="H169" i="6"/>
  <c r="K20" i="13" s="1"/>
  <c r="H168" i="6"/>
  <c r="K14" i="13" s="1"/>
  <c r="H167" i="6"/>
  <c r="K6" i="13" s="1"/>
  <c r="H165" i="6"/>
  <c r="H164" i="6"/>
  <c r="H163" i="6"/>
  <c r="H162" i="6"/>
  <c r="I11" i="13" s="1"/>
  <c r="H160" i="6"/>
  <c r="H158" i="6"/>
  <c r="H157" i="6"/>
  <c r="H156" i="6"/>
  <c r="H150" i="6"/>
  <c r="H149" i="6"/>
  <c r="H147" i="6"/>
  <c r="G11" i="13" s="1"/>
  <c r="H146" i="6"/>
  <c r="G10" i="13" s="1"/>
  <c r="H145" i="6"/>
  <c r="H144" i="6"/>
  <c r="G12" i="13" s="1"/>
  <c r="H143" i="6"/>
  <c r="H141" i="6"/>
  <c r="H139" i="6"/>
  <c r="G20" i="13" s="1"/>
  <c r="H138" i="6"/>
  <c r="G14" i="13" s="1"/>
  <c r="H137" i="6"/>
  <c r="G6" i="13" s="1"/>
  <c r="H135" i="6"/>
  <c r="H134" i="6"/>
  <c r="H129" i="6"/>
  <c r="E12" i="13" s="1"/>
  <c r="H128" i="6"/>
  <c r="H127" i="6"/>
  <c r="H126" i="6"/>
  <c r="H125" i="6"/>
  <c r="E8" i="13" s="1"/>
  <c r="E9" i="13" s="1"/>
  <c r="H124" i="6"/>
  <c r="E20" i="13" s="1"/>
  <c r="H117" i="6"/>
  <c r="H116" i="6"/>
  <c r="H115" i="6"/>
  <c r="H114" i="6"/>
  <c r="H112" i="6"/>
  <c r="H111" i="6"/>
  <c r="H110" i="6"/>
  <c r="H953" i="6" s="1"/>
  <c r="H105" i="6"/>
  <c r="H104" i="6"/>
  <c r="H931" i="6" s="1"/>
  <c r="H103" i="6"/>
  <c r="H930" i="6" s="1"/>
  <c r="H102" i="6"/>
  <c r="H922" i="6" s="1"/>
  <c r="I97" i="6"/>
  <c r="G97" i="6"/>
  <c r="I96" i="6"/>
  <c r="G96" i="6"/>
  <c r="F96" i="6"/>
  <c r="E96" i="6"/>
  <c r="I95" i="6"/>
  <c r="G95" i="6"/>
  <c r="F95" i="6"/>
  <c r="E95" i="6"/>
  <c r="I94" i="6"/>
  <c r="H94" i="6"/>
  <c r="E36" i="7" s="1"/>
  <c r="E33" i="8" s="1"/>
  <c r="G94" i="6"/>
  <c r="F94" i="6"/>
  <c r="E94" i="6"/>
  <c r="I93" i="6"/>
  <c r="F35" i="7" s="1"/>
  <c r="F32" i="8" s="1"/>
  <c r="H93" i="6"/>
  <c r="E35" i="7" s="1"/>
  <c r="E32" i="8" s="1"/>
  <c r="G93" i="6"/>
  <c r="F93" i="6"/>
  <c r="E93" i="6"/>
  <c r="I92" i="6"/>
  <c r="G92" i="6"/>
  <c r="F92" i="6"/>
  <c r="E92" i="6"/>
  <c r="I91" i="6"/>
  <c r="F33" i="7" s="1"/>
  <c r="F30" i="8" s="1"/>
  <c r="G91" i="6"/>
  <c r="F91" i="6"/>
  <c r="E91" i="6"/>
  <c r="G88" i="6"/>
  <c r="F88" i="6"/>
  <c r="E88" i="6"/>
  <c r="I87" i="6"/>
  <c r="F31" i="7" s="1"/>
  <c r="G87" i="6"/>
  <c r="F87" i="6"/>
  <c r="E87" i="6"/>
  <c r="I86" i="6"/>
  <c r="G86" i="6"/>
  <c r="F86" i="6"/>
  <c r="E86" i="6"/>
  <c r="I85" i="6"/>
  <c r="F30" i="7" s="1"/>
  <c r="G85" i="6"/>
  <c r="F85" i="6"/>
  <c r="E85" i="6"/>
  <c r="I84" i="6"/>
  <c r="F29" i="7" s="1"/>
  <c r="H84" i="6"/>
  <c r="E29" i="7" s="1"/>
  <c r="G84" i="6"/>
  <c r="F84" i="6"/>
  <c r="E84" i="6"/>
  <c r="I83" i="6"/>
  <c r="F28" i="7" s="1"/>
  <c r="G83" i="6"/>
  <c r="F83" i="6"/>
  <c r="E83" i="6"/>
  <c r="I82" i="6"/>
  <c r="G82" i="6"/>
  <c r="F82" i="6"/>
  <c r="E82" i="6"/>
  <c r="H81" i="6"/>
  <c r="G80" i="6"/>
  <c r="F80" i="6"/>
  <c r="F97" i="6" s="1"/>
  <c r="H78" i="6"/>
  <c r="E23" i="7" s="1"/>
  <c r="E21" i="8" s="1"/>
  <c r="H77" i="6"/>
  <c r="H76" i="6"/>
  <c r="H75" i="6"/>
  <c r="H74" i="6"/>
  <c r="H73" i="6"/>
  <c r="H72" i="6"/>
  <c r="H96" i="6" s="1"/>
  <c r="E38" i="7" s="1"/>
  <c r="E35" i="8" s="1"/>
  <c r="H71" i="6"/>
  <c r="H70" i="6"/>
  <c r="B70" i="6"/>
  <c r="B22" i="7" s="1"/>
  <c r="B20" i="8" s="1"/>
  <c r="H63" i="6"/>
  <c r="H62" i="6"/>
  <c r="H61" i="6"/>
  <c r="H60" i="6"/>
  <c r="H59" i="6"/>
  <c r="H58" i="6"/>
  <c r="H57" i="6"/>
  <c r="E20" i="7" s="1"/>
  <c r="E18" i="8" s="1"/>
  <c r="E10" i="18" s="1"/>
  <c r="H56" i="6"/>
  <c r="H55" i="6"/>
  <c r="H54" i="6"/>
  <c r="H53" i="6"/>
  <c r="H52" i="6"/>
  <c r="H51" i="6"/>
  <c r="H50" i="6"/>
  <c r="H82" i="6" s="1"/>
  <c r="E27" i="7" s="1"/>
  <c r="H43" i="6"/>
  <c r="H42" i="6"/>
  <c r="I40" i="6"/>
  <c r="G40" i="6"/>
  <c r="F40" i="6"/>
  <c r="E40" i="6"/>
  <c r="I39" i="6"/>
  <c r="H39" i="6"/>
  <c r="G39" i="6"/>
  <c r="F39" i="6"/>
  <c r="E39" i="6"/>
  <c r="H38" i="6"/>
  <c r="E14" i="7" s="1"/>
  <c r="H36" i="6"/>
  <c r="E12" i="7" s="1"/>
  <c r="E10" i="8" s="1"/>
  <c r="I34" i="6"/>
  <c r="F10" i="7" s="1"/>
  <c r="F8" i="8" s="1"/>
  <c r="G34" i="6"/>
  <c r="F34" i="6"/>
  <c r="E34" i="6"/>
  <c r="E97" i="6" s="1"/>
  <c r="H33" i="6"/>
  <c r="H32" i="6"/>
  <c r="H40" i="6" s="1"/>
  <c r="E16" i="7" s="1"/>
  <c r="E14" i="8" s="1"/>
  <c r="H31" i="6"/>
  <c r="K8" i="6"/>
  <c r="I8" i="6"/>
  <c r="G8" i="6"/>
  <c r="F8" i="6"/>
  <c r="E8" i="6"/>
  <c r="H8" i="6" s="1"/>
  <c r="H906" i="6" s="1"/>
  <c r="G6" i="6"/>
  <c r="G905" i="6" s="1"/>
  <c r="F6" i="6"/>
  <c r="F905" i="6" s="1"/>
  <c r="E6" i="6"/>
  <c r="E905" i="6" s="1"/>
  <c r="C3" i="6"/>
  <c r="A3" i="6"/>
  <c r="A2" i="6"/>
  <c r="E31" i="5"/>
  <c r="D31" i="5"/>
  <c r="E22" i="5"/>
  <c r="E21" i="5"/>
  <c r="E20" i="5"/>
  <c r="E19" i="5"/>
  <c r="E18" i="5"/>
  <c r="E17" i="5"/>
  <c r="D17" i="5"/>
  <c r="C12" i="5"/>
  <c r="C11" i="5"/>
  <c r="H10" i="5"/>
  <c r="C10" i="5"/>
  <c r="C9" i="5"/>
  <c r="E8" i="5"/>
  <c r="C8" i="5"/>
  <c r="C6" i="5"/>
  <c r="C5" i="5"/>
  <c r="E31" i="4"/>
  <c r="E29" i="4"/>
  <c r="E27" i="4"/>
  <c r="E18" i="4"/>
  <c r="E17" i="4"/>
  <c r="E16" i="4"/>
  <c r="D16" i="4"/>
  <c r="C11" i="4"/>
  <c r="C10" i="4"/>
  <c r="C9" i="4"/>
  <c r="E8" i="4"/>
  <c r="C8" i="4"/>
  <c r="C6" i="4"/>
  <c r="C5" i="4"/>
  <c r="C4" i="4"/>
  <c r="B38" i="3"/>
  <c r="B37" i="3"/>
  <c r="B36" i="3"/>
  <c r="B33" i="3"/>
  <c r="G630" i="6" l="1"/>
  <c r="I674" i="6"/>
  <c r="I676" i="6"/>
  <c r="G676" i="6"/>
  <c r="I675" i="6"/>
  <c r="G674" i="6"/>
  <c r="G675" i="6"/>
  <c r="H522" i="6"/>
  <c r="H323" i="6"/>
  <c r="I630" i="6"/>
  <c r="I627" i="6"/>
  <c r="E800" i="6"/>
  <c r="H800" i="6"/>
  <c r="H806" i="6" s="1"/>
  <c r="G800" i="6"/>
  <c r="F800" i="6"/>
  <c r="I284" i="6"/>
  <c r="F300" i="6"/>
  <c r="F331" i="6" s="1"/>
  <c r="F330" i="6"/>
  <c r="E331" i="6"/>
  <c r="H420" i="6"/>
  <c r="F36" i="8"/>
  <c r="F28" i="8" s="1"/>
  <c r="E6" i="20"/>
  <c r="H251" i="6"/>
  <c r="H252" i="6" s="1"/>
  <c r="G331" i="6"/>
  <c r="H689" i="6"/>
  <c r="H690" i="6"/>
  <c r="E658" i="6"/>
  <c r="E656" i="6"/>
  <c r="E657" i="6"/>
  <c r="H648" i="6"/>
  <c r="H920" i="6"/>
  <c r="E5" i="15"/>
  <c r="E5" i="20"/>
  <c r="E9" i="7"/>
  <c r="E7" i="8" s="1"/>
  <c r="H908" i="6"/>
  <c r="H283" i="6"/>
  <c r="H284" i="6" s="1"/>
  <c r="H435" i="6"/>
  <c r="G657" i="6"/>
  <c r="G658" i="6"/>
  <c r="I327" i="6"/>
  <c r="I332" i="6" s="1"/>
  <c r="F10" i="16" s="1"/>
  <c r="I435" i="6"/>
  <c r="I634" i="6" s="1"/>
  <c r="G763" i="6"/>
  <c r="G773" i="6" s="1"/>
  <c r="F6" i="18"/>
  <c r="I326" i="6"/>
  <c r="F761" i="6"/>
  <c r="F771" i="6" s="1"/>
  <c r="E924" i="6"/>
  <c r="E942" i="6" s="1"/>
  <c r="E945" i="6" s="1"/>
  <c r="I331" i="6"/>
  <c r="H263" i="6"/>
  <c r="H373" i="6"/>
  <c r="H654" i="6"/>
  <c r="H321" i="6"/>
  <c r="E59" i="7" s="1"/>
  <c r="E300" i="6"/>
  <c r="E330" i="6"/>
  <c r="I765" i="6"/>
  <c r="G300" i="6"/>
  <c r="G330" i="6"/>
  <c r="I638" i="6"/>
  <c r="I811" i="6"/>
  <c r="G325" i="6"/>
  <c r="G284" i="6"/>
  <c r="G282" i="6"/>
  <c r="G328" i="6" s="1"/>
  <c r="G323" i="6"/>
  <c r="G322" i="6"/>
  <c r="E693" i="6"/>
  <c r="E694" i="6"/>
  <c r="E692" i="6"/>
  <c r="H486" i="6"/>
  <c r="H619" i="6"/>
  <c r="H524" i="6"/>
  <c r="E7" i="18"/>
  <c r="E72" i="7"/>
  <c r="H653" i="6"/>
  <c r="D19" i="5"/>
  <c r="D18" i="4"/>
  <c r="E19" i="7"/>
  <c r="E17" i="8" s="1"/>
  <c r="G327" i="6"/>
  <c r="E71" i="7"/>
  <c r="I800" i="6"/>
  <c r="I807" i="6" s="1"/>
  <c r="H442" i="6"/>
  <c r="H804" i="6"/>
  <c r="F6" i="17"/>
  <c r="I223" i="6"/>
  <c r="F46" i="7"/>
  <c r="F39" i="8" s="1"/>
  <c r="I384" i="6"/>
  <c r="E675" i="6"/>
  <c r="E674" i="6"/>
  <c r="E676" i="6"/>
  <c r="H829" i="6"/>
  <c r="E15" i="18"/>
  <c r="F675" i="6"/>
  <c r="F676" i="6"/>
  <c r="F674" i="6"/>
  <c r="E766" i="6"/>
  <c r="E816" i="6" s="1"/>
  <c r="F69" i="7"/>
  <c r="F38" i="8" s="1"/>
  <c r="I725" i="6"/>
  <c r="I735" i="6" s="1"/>
  <c r="H725" i="6"/>
  <c r="E725" i="6"/>
  <c r="G725" i="6"/>
  <c r="G738" i="6" s="1"/>
  <c r="F725" i="6"/>
  <c r="F738" i="6" s="1"/>
  <c r="I703" i="6"/>
  <c r="G578" i="6"/>
  <c r="G581" i="6" s="1"/>
  <c r="E21" i="7"/>
  <c r="E19" i="8" s="1"/>
  <c r="D21" i="5"/>
  <c r="G939" i="6"/>
  <c r="G944" i="6" s="1"/>
  <c r="H837" i="6"/>
  <c r="H780" i="6"/>
  <c r="H753" i="6"/>
  <c r="H727" i="6"/>
  <c r="H701" i="6"/>
  <c r="H664" i="6"/>
  <c r="H676" i="6" s="1"/>
  <c r="H617" i="6"/>
  <c r="H623" i="6" s="1"/>
  <c r="H560" i="6"/>
  <c r="H550" i="6"/>
  <c r="H565" i="6" s="1"/>
  <c r="H528" i="6"/>
  <c r="H543" i="6" s="1"/>
  <c r="H836" i="6"/>
  <c r="H799" i="6"/>
  <c r="H752" i="6"/>
  <c r="H743" i="6"/>
  <c r="H726" i="6"/>
  <c r="H700" i="6"/>
  <c r="H683" i="6"/>
  <c r="H644" i="6"/>
  <c r="H658" i="6" s="1"/>
  <c r="H616" i="6"/>
  <c r="H559" i="6"/>
  <c r="H549" i="6"/>
  <c r="H539" i="6"/>
  <c r="H527" i="6"/>
  <c r="H517" i="6"/>
  <c r="H494" i="6"/>
  <c r="H471" i="6"/>
  <c r="H461" i="6"/>
  <c r="H451" i="6"/>
  <c r="H458" i="6" s="1"/>
  <c r="H835" i="6"/>
  <c r="H798" i="6"/>
  <c r="H779" i="6"/>
  <c r="H751" i="6"/>
  <c r="H682" i="6"/>
  <c r="H663" i="6"/>
  <c r="H615" i="6"/>
  <c r="H586" i="6"/>
  <c r="H558" i="6"/>
  <c r="H538" i="6"/>
  <c r="H516" i="6"/>
  <c r="H493" i="6"/>
  <c r="H502" i="6" s="1"/>
  <c r="H785" i="6"/>
  <c r="H719" i="6"/>
  <c r="H687" i="6"/>
  <c r="H596" i="6"/>
  <c r="H605" i="6" s="1"/>
  <c r="H576" i="6"/>
  <c r="H537" i="6"/>
  <c r="H509" i="6"/>
  <c r="H428" i="6"/>
  <c r="H405" i="6"/>
  <c r="H393" i="6"/>
  <c r="H370" i="6"/>
  <c r="H355" i="6"/>
  <c r="H297" i="6"/>
  <c r="H301" i="6" s="1"/>
  <c r="H277" i="6"/>
  <c r="H282" i="6" s="1"/>
  <c r="H257" i="6"/>
  <c r="H202" i="6"/>
  <c r="H180" i="6"/>
  <c r="F8" i="20" s="1"/>
  <c r="E9" i="20" s="1"/>
  <c r="H161" i="6"/>
  <c r="I10" i="13" s="1"/>
  <c r="H142" i="6"/>
  <c r="H123" i="6"/>
  <c r="E14" i="13" s="1"/>
  <c r="H101" i="6"/>
  <c r="H66" i="6"/>
  <c r="H48" i="6"/>
  <c r="H34" i="6" s="1"/>
  <c r="E10" i="7" s="1"/>
  <c r="E8" i="8" s="1"/>
  <c r="H37" i="6"/>
  <c r="E13" i="7" s="1"/>
  <c r="E11" i="8" s="1"/>
  <c r="H899" i="6"/>
  <c r="H851" i="6"/>
  <c r="E10" i="14" s="1"/>
  <c r="E11" i="14" s="1"/>
  <c r="H783" i="6"/>
  <c r="H729" i="6"/>
  <c r="H698" i="6"/>
  <c r="E76" i="7" s="1"/>
  <c r="H618" i="6"/>
  <c r="H631" i="6" s="1"/>
  <c r="H594" i="6"/>
  <c r="H574" i="6"/>
  <c r="H535" i="6"/>
  <c r="H541" i="6" s="1"/>
  <c r="H508" i="6"/>
  <c r="H484" i="6"/>
  <c r="H473" i="6"/>
  <c r="H462" i="6"/>
  <c r="H477" i="6" s="1"/>
  <c r="H450" i="6"/>
  <c r="H426" i="6"/>
  <c r="H403" i="6"/>
  <c r="H409" i="6" s="1"/>
  <c r="H368" i="6"/>
  <c r="H353" i="6"/>
  <c r="E28" i="17" s="1"/>
  <c r="E37" i="17" s="1"/>
  <c r="E54" i="17" s="1"/>
  <c r="H295" i="6"/>
  <c r="H299" i="6" s="1"/>
  <c r="H275" i="6"/>
  <c r="H200" i="6"/>
  <c r="H178" i="6"/>
  <c r="H159" i="6"/>
  <c r="I12" i="13" s="1"/>
  <c r="H140" i="6"/>
  <c r="G8" i="13" s="1"/>
  <c r="G9" i="13" s="1"/>
  <c r="H118" i="6"/>
  <c r="H98" i="6"/>
  <c r="H80" i="6"/>
  <c r="E24" i="7" s="1"/>
  <c r="E22" i="8" s="1"/>
  <c r="H64" i="6"/>
  <c r="H95" i="6" s="1"/>
  <c r="E37" i="7" s="1"/>
  <c r="E34" i="8" s="1"/>
  <c r="H46" i="6"/>
  <c r="H35" i="6"/>
  <c r="H705" i="6"/>
  <c r="H668" i="6"/>
  <c r="H672" i="6" s="1"/>
  <c r="H534" i="6"/>
  <c r="H540" i="6" s="1"/>
  <c r="H505" i="6"/>
  <c r="H488" i="6"/>
  <c r="H439" i="6"/>
  <c r="H425" i="6"/>
  <c r="H431" i="6" s="1"/>
  <c r="H291" i="6"/>
  <c r="H262" i="6"/>
  <c r="H235" i="6"/>
  <c r="E30" i="17" s="1"/>
  <c r="H201" i="6"/>
  <c r="H176" i="6"/>
  <c r="K10" i="13" s="1"/>
  <c r="H155" i="6"/>
  <c r="I8" i="13" s="1"/>
  <c r="I9" i="13" s="1"/>
  <c r="H133" i="6"/>
  <c r="H109" i="6"/>
  <c r="H952" i="6" s="1"/>
  <c r="H69" i="6"/>
  <c r="H49" i="6"/>
  <c r="H83" i="6" s="1"/>
  <c r="H900" i="6"/>
  <c r="H850" i="6"/>
  <c r="E9" i="14" s="1"/>
  <c r="H830" i="6"/>
  <c r="H802" i="6"/>
  <c r="H803" i="6" s="1"/>
  <c r="H778" i="6"/>
  <c r="H788" i="6" s="1"/>
  <c r="H703" i="6"/>
  <c r="H715" i="6" s="1"/>
  <c r="H666" i="6"/>
  <c r="I666" i="6" s="1"/>
  <c r="H609" i="6"/>
  <c r="H584" i="6"/>
  <c r="H577" i="6"/>
  <c r="H422" i="6"/>
  <c r="H371" i="6"/>
  <c r="H352" i="6"/>
  <c r="H312" i="6"/>
  <c r="H289" i="6"/>
  <c r="H260" i="6"/>
  <c r="H324" i="6" s="1"/>
  <c r="E63" i="7" s="1"/>
  <c r="H232" i="6"/>
  <c r="E55" i="7" s="1"/>
  <c r="H194" i="6"/>
  <c r="H173" i="6"/>
  <c r="H152" i="6"/>
  <c r="I6" i="13" s="1"/>
  <c r="H130" i="6"/>
  <c r="H106" i="6"/>
  <c r="H936" i="6" s="1"/>
  <c r="H65" i="6"/>
  <c r="H44" i="6"/>
  <c r="H85" i="6" s="1"/>
  <c r="E30" i="7" s="1"/>
  <c r="H704" i="6"/>
  <c r="H681" i="6"/>
  <c r="H667" i="6"/>
  <c r="H611" i="6"/>
  <c r="H533" i="6"/>
  <c r="H464" i="6"/>
  <c r="H424" i="6"/>
  <c r="H430" i="6" s="1"/>
  <c r="H397" i="6"/>
  <c r="H290" i="6"/>
  <c r="H261" i="6"/>
  <c r="H266" i="6" s="1"/>
  <c r="H234" i="6"/>
  <c r="H199" i="6"/>
  <c r="H175" i="6"/>
  <c r="H154" i="6"/>
  <c r="I20" i="13" s="1"/>
  <c r="H132" i="6"/>
  <c r="E11" i="13" s="1"/>
  <c r="H108" i="6"/>
  <c r="H938" i="6" s="1"/>
  <c r="H940" i="6" s="1"/>
  <c r="H68" i="6"/>
  <c r="H47" i="6"/>
  <c r="H610" i="6"/>
  <c r="H551" i="6"/>
  <c r="H566" i="6" s="1"/>
  <c r="H532" i="6"/>
  <c r="H487" i="6"/>
  <c r="H423" i="6"/>
  <c r="H372" i="6"/>
  <c r="H233" i="6"/>
  <c r="H174" i="6"/>
  <c r="K12" i="13" s="1"/>
  <c r="H107" i="6"/>
  <c r="H937" i="6" s="1"/>
  <c r="H852" i="6"/>
  <c r="H585" i="6"/>
  <c r="H354" i="6"/>
  <c r="H313" i="6"/>
  <c r="H317" i="6" s="1"/>
  <c r="H195" i="6"/>
  <c r="H153" i="6"/>
  <c r="I14" i="13" s="1"/>
  <c r="H131" i="6"/>
  <c r="E10" i="13" s="1"/>
  <c r="F16" i="13" s="1"/>
  <c r="H67" i="6"/>
  <c r="H45" i="6"/>
  <c r="H86" i="6" s="1"/>
  <c r="H122" i="6"/>
  <c r="E6" i="13" s="1"/>
  <c r="H148" i="6"/>
  <c r="H179" i="6"/>
  <c r="H208" i="6"/>
  <c r="E384" i="6"/>
  <c r="H249" i="6"/>
  <c r="H306" i="6"/>
  <c r="E327" i="6"/>
  <c r="E332" i="6" s="1"/>
  <c r="H335" i="6"/>
  <c r="H419" i="6"/>
  <c r="H434" i="6" s="1"/>
  <c r="H483" i="6"/>
  <c r="H554" i="6"/>
  <c r="H575" i="6"/>
  <c r="I597" i="6"/>
  <c r="I604" i="6"/>
  <c r="I637" i="6" s="1"/>
  <c r="I658" i="6"/>
  <c r="G703" i="6"/>
  <c r="F765" i="6"/>
  <c r="F815" i="6" s="1"/>
  <c r="F817" i="6" s="1"/>
  <c r="H748" i="6"/>
  <c r="H750" i="6" s="1"/>
  <c r="I790" i="6"/>
  <c r="I791" i="6"/>
  <c r="H842" i="6"/>
  <c r="H894" i="6"/>
  <c r="F913" i="6"/>
  <c r="F959" i="6" s="1"/>
  <c r="F116" i="8" s="1"/>
  <c r="E633" i="6"/>
  <c r="H410" i="6"/>
  <c r="H413" i="6"/>
  <c r="H933" i="6"/>
  <c r="H943" i="6" s="1"/>
  <c r="G765" i="6"/>
  <c r="G815" i="6" s="1"/>
  <c r="G817" i="6" s="1"/>
  <c r="H531" i="6"/>
  <c r="H657" i="6"/>
  <c r="H478" i="6"/>
  <c r="E765" i="6"/>
  <c r="E815" i="6" s="1"/>
  <c r="E817" i="6" s="1"/>
  <c r="F7" i="18"/>
  <c r="F12" i="18" s="1"/>
  <c r="F34" i="18" s="1"/>
  <c r="F5" i="8"/>
  <c r="F42" i="8" s="1"/>
  <c r="F53" i="8" s="1"/>
  <c r="F57" i="8" s="1"/>
  <c r="F67" i="8" s="1"/>
  <c r="F4" i="17"/>
  <c r="F4" i="16"/>
  <c r="F4" i="18"/>
  <c r="F4" i="15"/>
  <c r="F4" i="19"/>
  <c r="F4" i="14"/>
  <c r="F5" i="13"/>
  <c r="E326" i="6"/>
  <c r="F413" i="6"/>
  <c r="E635" i="6"/>
  <c r="E567" i="6"/>
  <c r="F8" i="18"/>
  <c r="G413" i="6"/>
  <c r="E629" i="6"/>
  <c r="E638" i="6" s="1"/>
  <c r="E626" i="6"/>
  <c r="E637" i="6" s="1"/>
  <c r="F763" i="6"/>
  <c r="F773" i="6" s="1"/>
  <c r="H322" i="6"/>
  <c r="G326" i="6"/>
  <c r="F947" i="6"/>
  <c r="F924" i="6"/>
  <c r="F958" i="6"/>
  <c r="F948" i="6"/>
  <c r="F950" i="6" s="1"/>
  <c r="E956" i="6"/>
  <c r="E49" i="7"/>
  <c r="E540" i="6"/>
  <c r="E545" i="6" s="1"/>
  <c r="E518" i="6"/>
  <c r="E523" i="6" s="1"/>
  <c r="E563" i="6"/>
  <c r="E568" i="6" s="1"/>
  <c r="E497" i="6"/>
  <c r="E502" i="6" s="1"/>
  <c r="F452" i="6"/>
  <c r="F457" i="6" s="1"/>
  <c r="I519" i="6"/>
  <c r="I524" i="6" s="1"/>
  <c r="F563" i="6"/>
  <c r="F568" i="6" s="1"/>
  <c r="E519" i="6"/>
  <c r="E524" i="6" s="1"/>
  <c r="I452" i="6"/>
  <c r="I457" i="6" s="1"/>
  <c r="I409" i="6"/>
  <c r="F562" i="6"/>
  <c r="F567" i="6" s="1"/>
  <c r="G518" i="6"/>
  <c r="G523" i="6" s="1"/>
  <c r="E452" i="6"/>
  <c r="F409" i="6"/>
  <c r="I562" i="6"/>
  <c r="I567" i="6" s="1"/>
  <c r="I518" i="6"/>
  <c r="I523" i="6" s="1"/>
  <c r="G409" i="6"/>
  <c r="G562" i="6"/>
  <c r="G567" i="6" s="1"/>
  <c r="G452" i="6"/>
  <c r="G457" i="6" s="1"/>
  <c r="E89" i="8"/>
  <c r="H436" i="6"/>
  <c r="H656" i="6"/>
  <c r="H652" i="6"/>
  <c r="E713" i="6"/>
  <c r="E716" i="6"/>
  <c r="H732" i="6"/>
  <c r="H733" i="6"/>
  <c r="H737" i="6"/>
  <c r="F942" i="6"/>
  <c r="F945" i="6" s="1"/>
  <c r="H279" i="6"/>
  <c r="F730" i="6"/>
  <c r="E761" i="6"/>
  <c r="E771" i="6" s="1"/>
  <c r="I763" i="6"/>
  <c r="I773" i="6" s="1"/>
  <c r="E4" i="17"/>
  <c r="E4" i="16"/>
  <c r="E4" i="18"/>
  <c r="E4" i="15"/>
  <c r="E5" i="13"/>
  <c r="E4" i="19"/>
  <c r="E4" i="14"/>
  <c r="E5" i="8"/>
  <c r="E42" i="8" s="1"/>
  <c r="E53" i="8" s="1"/>
  <c r="E57" i="8" s="1"/>
  <c r="E67" i="8" s="1"/>
  <c r="F474" i="6"/>
  <c r="F479" i="6" s="1"/>
  <c r="G475" i="6"/>
  <c r="G480" i="6" s="1"/>
  <c r="I474" i="6"/>
  <c r="I479" i="6" s="1"/>
  <c r="F475" i="6"/>
  <c r="F480" i="6" s="1"/>
  <c r="E475" i="6"/>
  <c r="E480" i="6" s="1"/>
  <c r="D20" i="5"/>
  <c r="H479" i="6"/>
  <c r="H684" i="6"/>
  <c r="E578" i="6"/>
  <c r="E581" i="6" s="1"/>
  <c r="E763" i="6"/>
  <c r="E773" i="6" s="1"/>
  <c r="I942" i="6"/>
  <c r="I945" i="6" s="1"/>
  <c r="F326" i="6"/>
  <c r="E927" i="6"/>
  <c r="E957" i="6" s="1"/>
  <c r="E958" i="6"/>
  <c r="E948" i="6"/>
  <c r="E950" i="6" s="1"/>
  <c r="H396" i="6"/>
  <c r="F7" i="16"/>
  <c r="F5" i="14"/>
  <c r="F8" i="17"/>
  <c r="I824" i="6"/>
  <c r="H553" i="6"/>
  <c r="H568" i="6" s="1"/>
  <c r="H573" i="6"/>
  <c r="E703" i="6"/>
  <c r="E715" i="6" s="1"/>
  <c r="F826" i="6"/>
  <c r="G947" i="6"/>
  <c r="G956" i="6" s="1"/>
  <c r="G924" i="6"/>
  <c r="G942" i="6" s="1"/>
  <c r="G945" i="6" s="1"/>
  <c r="G948" i="6"/>
  <c r="G950" i="6" s="1"/>
  <c r="G958" i="6"/>
  <c r="H604" i="6"/>
  <c r="F703" i="6"/>
  <c r="H749" i="6"/>
  <c r="D27" i="4"/>
  <c r="E22" i="7"/>
  <c r="E20" i="8" s="1"/>
  <c r="D22" i="5"/>
  <c r="E88" i="8"/>
  <c r="H382" i="6"/>
  <c r="H500" i="6"/>
  <c r="E688" i="6"/>
  <c r="H710" i="6"/>
  <c r="E749" i="6"/>
  <c r="E758" i="6" s="1"/>
  <c r="F927" i="6"/>
  <c r="F957" i="6" s="1"/>
  <c r="E30" i="5"/>
  <c r="F328" i="6"/>
  <c r="F332" i="6" s="1"/>
  <c r="F630" i="6"/>
  <c r="H712" i="6"/>
  <c r="I764" i="6"/>
  <c r="H913" i="6"/>
  <c r="H959" i="6" s="1"/>
  <c r="E116" i="8" s="1"/>
  <c r="G927" i="6"/>
  <c r="G957" i="6" s="1"/>
  <c r="F622" i="6"/>
  <c r="E622" i="6"/>
  <c r="E628" i="6" s="1"/>
  <c r="N16" i="13"/>
  <c r="N20" i="13"/>
  <c r="N21" i="13" s="1"/>
  <c r="N14" i="13"/>
  <c r="N15" i="13" s="1"/>
  <c r="E21" i="10"/>
  <c r="E20" i="10"/>
  <c r="E19" i="10"/>
  <c r="E23" i="10"/>
  <c r="E26" i="13"/>
  <c r="F68" i="8" s="1"/>
  <c r="I600" i="6"/>
  <c r="I606" i="6" s="1"/>
  <c r="G600" i="6"/>
  <c r="G606" i="6" s="1"/>
  <c r="G631" i="6"/>
  <c r="F657" i="6"/>
  <c r="F656" i="6"/>
  <c r="E791" i="6"/>
  <c r="G933" i="6"/>
  <c r="G943" i="6" s="1"/>
  <c r="I956" i="6"/>
  <c r="E29" i="19"/>
  <c r="I502" i="6"/>
  <c r="F791" i="6"/>
  <c r="F792" i="6"/>
  <c r="F62" i="7"/>
  <c r="F31" i="17"/>
  <c r="I955" i="6"/>
  <c r="I88" i="6"/>
  <c r="F27" i="8" s="1"/>
  <c r="I626" i="6"/>
  <c r="G622" i="6"/>
  <c r="G628" i="6" s="1"/>
  <c r="I656" i="6"/>
  <c r="I692" i="6"/>
  <c r="I933" i="6"/>
  <c r="I943" i="6" s="1"/>
  <c r="L14" i="13"/>
  <c r="L15" i="13" s="1"/>
  <c r="L17" i="13" s="1"/>
  <c r="L16" i="13"/>
  <c r="L20" i="13"/>
  <c r="L21" i="13" s="1"/>
  <c r="F20" i="13"/>
  <c r="F21" i="13" s="1"/>
  <c r="N17" i="13"/>
  <c r="C4" i="7"/>
  <c r="C3" i="8" s="1"/>
  <c r="E2" i="12"/>
  <c r="G913" i="6"/>
  <c r="G959" i="6" s="1"/>
  <c r="F67" i="7"/>
  <c r="A2" i="14"/>
  <c r="A2" i="15" s="1"/>
  <c r="A2" i="13"/>
  <c r="F17" i="17"/>
  <c r="F19" i="17"/>
  <c r="G656" i="6"/>
  <c r="F716" i="6"/>
  <c r="F24" i="8"/>
  <c r="H14" i="13"/>
  <c r="H15" i="13" s="1"/>
  <c r="H16" i="13"/>
  <c r="H20" i="13"/>
  <c r="H21" i="13" s="1"/>
  <c r="J16" i="13"/>
  <c r="F14" i="13"/>
  <c r="F15" i="13" s="1"/>
  <c r="F17" i="13" s="1"/>
  <c r="H17" i="13"/>
  <c r="E28" i="7" l="1"/>
  <c r="F108" i="8"/>
  <c r="I768" i="6"/>
  <c r="H769" i="6"/>
  <c r="E112" i="8" s="1"/>
  <c r="E6" i="18"/>
  <c r="F769" i="6"/>
  <c r="H709" i="6"/>
  <c r="H713" i="6"/>
  <c r="H708" i="6"/>
  <c r="F735" i="6"/>
  <c r="G414" i="6"/>
  <c r="G635" i="6" s="1"/>
  <c r="G379" i="6"/>
  <c r="F634" i="6"/>
  <c r="G713" i="6"/>
  <c r="G767" i="6" s="1"/>
  <c r="G770" i="6" s="1"/>
  <c r="G715" i="6"/>
  <c r="H567" i="6"/>
  <c r="H564" i="6"/>
  <c r="F737" i="6"/>
  <c r="E90" i="8"/>
  <c r="H921" i="6"/>
  <c r="H916" i="6"/>
  <c r="H917" i="6" s="1"/>
  <c r="F736" i="6"/>
  <c r="E42" i="7"/>
  <c r="E55" i="8" s="1"/>
  <c r="E24" i="18" s="1"/>
  <c r="E7" i="15"/>
  <c r="H454" i="6"/>
  <c r="H457" i="6"/>
  <c r="H628" i="6"/>
  <c r="F767" i="6"/>
  <c r="E13" i="17"/>
  <c r="E67" i="7"/>
  <c r="H383" i="6"/>
  <c r="F379" i="6"/>
  <c r="N5" i="13"/>
  <c r="L5" i="13"/>
  <c r="J5" i="13"/>
  <c r="H5" i="13"/>
  <c r="H714" i="6"/>
  <c r="H711" i="6"/>
  <c r="H789" i="6"/>
  <c r="H792" i="6"/>
  <c r="H456" i="6"/>
  <c r="F5" i="16"/>
  <c r="F8" i="16" s="1"/>
  <c r="F64" i="7"/>
  <c r="G714" i="6"/>
  <c r="E11" i="7"/>
  <c r="E9" i="8" s="1"/>
  <c r="E24" i="8" s="1"/>
  <c r="H97" i="6"/>
  <c r="H480" i="6"/>
  <c r="H546" i="6"/>
  <c r="G735" i="6"/>
  <c r="I767" i="6"/>
  <c r="H601" i="6"/>
  <c r="H606" i="6" s="1"/>
  <c r="E47" i="7"/>
  <c r="H225" i="6"/>
  <c r="H221" i="6"/>
  <c r="H222" i="6"/>
  <c r="H499" i="6"/>
  <c r="G737" i="6"/>
  <c r="E34" i="5"/>
  <c r="E30" i="4"/>
  <c r="I815" i="6"/>
  <c r="I817" i="6" s="1"/>
  <c r="E6" i="19"/>
  <c r="F18" i="19" s="1"/>
  <c r="H602" i="6"/>
  <c r="H542" i="6"/>
  <c r="H545" i="6"/>
  <c r="G736" i="6"/>
  <c r="E9" i="18"/>
  <c r="E45" i="8"/>
  <c r="E631" i="6"/>
  <c r="E5" i="18"/>
  <c r="E5" i="14"/>
  <c r="E8" i="17"/>
  <c r="E60" i="7"/>
  <c r="H955" i="6"/>
  <c r="H674" i="6"/>
  <c r="H767" i="6" s="1"/>
  <c r="F414" i="6"/>
  <c r="F635" i="6" s="1"/>
  <c r="G955" i="6"/>
  <c r="H823" i="6"/>
  <c r="E7" i="17"/>
  <c r="H377" i="6"/>
  <c r="E56" i="7"/>
  <c r="E11" i="17"/>
  <c r="E21" i="17" s="1"/>
  <c r="E91" i="8"/>
  <c r="H356" i="6"/>
  <c r="H226" i="6" s="1"/>
  <c r="H357" i="6"/>
  <c r="H675" i="6"/>
  <c r="H768" i="6" s="1"/>
  <c r="H476" i="6"/>
  <c r="G806" i="6"/>
  <c r="G810" i="6" s="1"/>
  <c r="G807" i="6"/>
  <c r="G811" i="6" s="1"/>
  <c r="G812" i="6" s="1"/>
  <c r="E41" i="5"/>
  <c r="H734" i="6"/>
  <c r="H766" i="6" s="1"/>
  <c r="H738" i="6"/>
  <c r="H754" i="6"/>
  <c r="H758" i="6"/>
  <c r="H755" i="6"/>
  <c r="H761" i="6"/>
  <c r="H771" i="6" s="1"/>
  <c r="H455" i="6"/>
  <c r="E807" i="6"/>
  <c r="E811" i="6" s="1"/>
  <c r="E806" i="6"/>
  <c r="E810" i="6" s="1"/>
  <c r="H629" i="6"/>
  <c r="H638" i="6" s="1"/>
  <c r="H626" i="6"/>
  <c r="H620" i="6"/>
  <c r="H224" i="6"/>
  <c r="E48" i="7"/>
  <c r="H374" i="6"/>
  <c r="H375" i="6" s="1"/>
  <c r="E94" i="8"/>
  <c r="H791" i="6"/>
  <c r="F25" i="8"/>
  <c r="F26" i="8"/>
  <c r="F811" i="6"/>
  <c r="F812" i="6" s="1"/>
  <c r="H637" i="6"/>
  <c r="H671" i="6"/>
  <c r="H670" i="6"/>
  <c r="H432" i="6"/>
  <c r="H433" i="6"/>
  <c r="G332" i="6"/>
  <c r="I737" i="6"/>
  <c r="I736" i="6"/>
  <c r="H625" i="6"/>
  <c r="E7" i="19"/>
  <c r="F19" i="19" s="1"/>
  <c r="H624" i="6"/>
  <c r="E6" i="15"/>
  <c r="E41" i="7"/>
  <c r="E54" i="8" s="1"/>
  <c r="E23" i="18" s="1"/>
  <c r="H92" i="6"/>
  <c r="E34" i="7" s="1"/>
  <c r="E31" i="8" s="1"/>
  <c r="D17" i="4"/>
  <c r="D18" i="5"/>
  <c r="E18" i="7"/>
  <c r="E16" i="8" s="1"/>
  <c r="F115" i="8"/>
  <c r="E62" i="7"/>
  <c r="E31" i="17"/>
  <c r="E735" i="6"/>
  <c r="E737" i="6"/>
  <c r="H765" i="6"/>
  <c r="H805" i="6"/>
  <c r="H807" i="6"/>
  <c r="H691" i="6"/>
  <c r="H688" i="6"/>
  <c r="H498" i="6"/>
  <c r="H501" i="6"/>
  <c r="H634" i="6" s="1"/>
  <c r="G769" i="6"/>
  <c r="G768" i="6"/>
  <c r="A2" i="19"/>
  <c r="A2" i="20" s="1"/>
  <c r="A2" i="16"/>
  <c r="A2" i="17" s="1"/>
  <c r="A2" i="18" s="1"/>
  <c r="F628" i="6"/>
  <c r="F631" i="6"/>
  <c r="F68" i="7"/>
  <c r="F40" i="8"/>
  <c r="F768" i="6"/>
  <c r="E457" i="6"/>
  <c r="E634" i="6" s="1"/>
  <c r="F956" i="6"/>
  <c r="F955" i="6"/>
  <c r="H736" i="6"/>
  <c r="D41" i="5"/>
  <c r="G716" i="6"/>
  <c r="E755" i="6"/>
  <c r="E378" i="6" s="1"/>
  <c r="H87" i="6"/>
  <c r="E31" i="7" s="1"/>
  <c r="H523" i="6"/>
  <c r="H520" i="6"/>
  <c r="H760" i="6"/>
  <c r="H763" i="6"/>
  <c r="H773" i="6" s="1"/>
  <c r="H757" i="6"/>
  <c r="F15" i="17"/>
  <c r="E28" i="4"/>
  <c r="E32" i="5"/>
  <c r="H91" i="6"/>
  <c r="E25" i="4"/>
  <c r="E29" i="5"/>
  <c r="F63" i="8"/>
  <c r="C2" i="14"/>
  <c r="C2" i="15" s="1"/>
  <c r="C2" i="13"/>
  <c r="E738" i="6"/>
  <c r="E760" i="6"/>
  <c r="I379" i="6"/>
  <c r="I414" i="6"/>
  <c r="I635" i="6" s="1"/>
  <c r="E736" i="6"/>
  <c r="E48" i="8"/>
  <c r="F6" i="16"/>
  <c r="F6" i="14"/>
  <c r="F61" i="7"/>
  <c r="H939" i="6"/>
  <c r="H944" i="6" s="1"/>
  <c r="H300" i="6"/>
  <c r="H298" i="6"/>
  <c r="H328" i="6" s="1"/>
  <c r="H926" i="6"/>
  <c r="I98" i="6"/>
  <c r="I926" i="6" s="1"/>
  <c r="I927" i="6" s="1"/>
  <c r="I957" i="6" s="1"/>
  <c r="H578" i="6"/>
  <c r="H581" i="6" s="1"/>
  <c r="H603" i="6"/>
  <c r="I826" i="6"/>
  <c r="F65" i="7" s="1"/>
  <c r="G627" i="6"/>
  <c r="F18" i="17"/>
  <c r="F20" i="17"/>
  <c r="F87" i="8"/>
  <c r="G378" i="6"/>
  <c r="H414" i="6"/>
  <c r="H635" i="6" s="1"/>
  <c r="J20" i="13"/>
  <c r="J21" i="13" s="1"/>
  <c r="F85" i="8"/>
  <c r="F16" i="17"/>
  <c r="F5" i="17"/>
  <c r="H947" i="6"/>
  <c r="H956" i="6" s="1"/>
  <c r="H924" i="6"/>
  <c r="H958" i="6"/>
  <c r="H923" i="6"/>
  <c r="H942" i="6" s="1"/>
  <c r="H945" i="6" s="1"/>
  <c r="H948" i="6"/>
  <c r="H950" i="6" s="1"/>
  <c r="H927" i="6"/>
  <c r="H957" i="6" s="1"/>
  <c r="F807" i="6"/>
  <c r="F806" i="6"/>
  <c r="F810" i="6" s="1"/>
  <c r="H716" i="6"/>
  <c r="I806" i="6"/>
  <c r="E379" i="6"/>
  <c r="H316" i="6"/>
  <c r="H331" i="6" s="1"/>
  <c r="H314" i="6"/>
  <c r="H326" i="6" s="1"/>
  <c r="H330" i="6" s="1"/>
  <c r="H521" i="6"/>
  <c r="E759" i="6"/>
  <c r="F378" i="6"/>
  <c r="I378" i="6"/>
  <c r="H253" i="6"/>
  <c r="H735" i="6"/>
  <c r="H731" i="6"/>
  <c r="H730" i="6"/>
  <c r="H544" i="6"/>
  <c r="J14" i="13"/>
  <c r="J15" i="13" s="1"/>
  <c r="J17" i="13" s="1"/>
  <c r="F627" i="6"/>
  <c r="H325" i="6"/>
  <c r="H329" i="6" s="1"/>
  <c r="G634" i="6"/>
  <c r="E714" i="6"/>
  <c r="E768" i="6" s="1"/>
  <c r="G824" i="6"/>
  <c r="H824" i="6" s="1"/>
  <c r="G826" i="6"/>
  <c r="G329" i="6"/>
  <c r="G377" i="6"/>
  <c r="G384" i="6" s="1"/>
  <c r="I738" i="6"/>
  <c r="I769" i="6" s="1"/>
  <c r="F112" i="8" s="1"/>
  <c r="E767" i="6"/>
  <c r="F715" i="6"/>
  <c r="F714" i="6"/>
  <c r="F713" i="6"/>
  <c r="H580" i="6"/>
  <c r="H579" i="6"/>
  <c r="H267" i="6"/>
  <c r="H268" i="6" s="1"/>
  <c r="H787" i="6"/>
  <c r="H808" i="6" s="1"/>
  <c r="H790" i="6"/>
  <c r="H810" i="6" s="1"/>
  <c r="E114" i="8" s="1"/>
  <c r="H786" i="6"/>
  <c r="H759" i="6"/>
  <c r="H762" i="6"/>
  <c r="H772" i="6" s="1"/>
  <c r="H756" i="6"/>
  <c r="E769" i="6"/>
  <c r="E819" i="6" s="1"/>
  <c r="E959" i="6"/>
  <c r="E912" i="6" s="1"/>
  <c r="E913" i="6" s="1"/>
  <c r="F13" i="18"/>
  <c r="F28" i="18" s="1"/>
  <c r="I810" i="6"/>
  <c r="F114" i="8" s="1"/>
  <c r="H692" i="6"/>
  <c r="H693" i="6"/>
  <c r="H694" i="6"/>
  <c r="I714" i="6"/>
  <c r="I715" i="6"/>
  <c r="I713" i="6"/>
  <c r="I716" i="6"/>
  <c r="E111" i="8" l="1"/>
  <c r="H770" i="6"/>
  <c r="E110" i="8" s="1"/>
  <c r="H636" i="6"/>
  <c r="E107" i="8" s="1"/>
  <c r="H818" i="6"/>
  <c r="E108" i="8"/>
  <c r="E820" i="6"/>
  <c r="I812" i="6"/>
  <c r="F113" i="8" s="1"/>
  <c r="F111" i="8"/>
  <c r="I770" i="6"/>
  <c r="E8" i="18"/>
  <c r="E44" i="8"/>
  <c r="F46" i="8"/>
  <c r="E46" i="8"/>
  <c r="F45" i="8"/>
  <c r="F48" i="8"/>
  <c r="F43" i="8"/>
  <c r="F44" i="8"/>
  <c r="F47" i="8"/>
  <c r="F60" i="8"/>
  <c r="F123" i="8" s="1"/>
  <c r="F50" i="8"/>
  <c r="F61" i="8"/>
  <c r="F124" i="8" s="1"/>
  <c r="F636" i="6"/>
  <c r="F818" i="6"/>
  <c r="E47" i="8"/>
  <c r="C2" i="19"/>
  <c r="C2" i="20" s="1"/>
  <c r="C2" i="16"/>
  <c r="C2" i="17" s="1"/>
  <c r="C2" i="18" s="1"/>
  <c r="H633" i="6"/>
  <c r="E9" i="15" s="1"/>
  <c r="F10" i="15" s="1"/>
  <c r="F12" i="15" s="1"/>
  <c r="H811" i="6"/>
  <c r="H764" i="6"/>
  <c r="H379" i="6"/>
  <c r="H88" i="6"/>
  <c r="E27" i="8" s="1"/>
  <c r="E770" i="6"/>
  <c r="F95" i="8"/>
  <c r="F33" i="18"/>
  <c r="E14" i="18"/>
  <c r="E109" i="8"/>
  <c r="D26" i="4"/>
  <c r="E66" i="7"/>
  <c r="D30" i="5"/>
  <c r="F109" i="8"/>
  <c r="I819" i="6"/>
  <c r="E86" i="8"/>
  <c r="E17" i="17"/>
  <c r="E20" i="17"/>
  <c r="E19" i="17"/>
  <c r="E5" i="16"/>
  <c r="E8" i="16" s="1"/>
  <c r="F9" i="16" s="1"/>
  <c r="F11" i="16" s="1"/>
  <c r="F12" i="16" s="1"/>
  <c r="E64" i="7"/>
  <c r="E25" i="17"/>
  <c r="E34" i="17" s="1"/>
  <c r="E57" i="7"/>
  <c r="E68" i="7"/>
  <c r="E40" i="8"/>
  <c r="E6" i="16"/>
  <c r="E26" i="17"/>
  <c r="E35" i="17" s="1"/>
  <c r="E6" i="14"/>
  <c r="E61" i="7"/>
  <c r="F49" i="8"/>
  <c r="F819" i="6"/>
  <c r="F770" i="6"/>
  <c r="G636" i="6"/>
  <c r="G818" i="6"/>
  <c r="E25" i="8"/>
  <c r="E49" i="8" s="1"/>
  <c r="E26" i="8"/>
  <c r="G819" i="6"/>
  <c r="G820" i="6" s="1"/>
  <c r="F10" i="20"/>
  <c r="F8" i="15"/>
  <c r="N7" i="13"/>
  <c r="N22" i="13" s="1"/>
  <c r="L7" i="13"/>
  <c r="L22" i="13" s="1"/>
  <c r="J7" i="13"/>
  <c r="J22" i="13" s="1"/>
  <c r="F5" i="19"/>
  <c r="F26" i="18"/>
  <c r="H7" i="13"/>
  <c r="H22" i="13" s="1"/>
  <c r="F7" i="13"/>
  <c r="F22" i="13" s="1"/>
  <c r="F51" i="8"/>
  <c r="E36" i="5"/>
  <c r="F77" i="7"/>
  <c r="F37" i="8" s="1"/>
  <c r="E32" i="4"/>
  <c r="I636" i="6"/>
  <c r="F107" i="8" s="1"/>
  <c r="I818" i="6"/>
  <c r="D35" i="5"/>
  <c r="D31" i="4"/>
  <c r="H630" i="6"/>
  <c r="H627" i="6"/>
  <c r="H378" i="6" s="1"/>
  <c r="E18" i="17"/>
  <c r="E87" i="8"/>
  <c r="F11" i="15"/>
  <c r="F13" i="15" s="1"/>
  <c r="E12" i="18"/>
  <c r="E33" i="7"/>
  <c r="E30" i="8" s="1"/>
  <c r="E43" i="8" s="1"/>
  <c r="E818" i="6"/>
  <c r="E636" i="6"/>
  <c r="H809" i="6"/>
  <c r="E36" i="8"/>
  <c r="E28" i="8" s="1"/>
  <c r="E6" i="17"/>
  <c r="E46" i="7"/>
  <c r="E39" i="8" s="1"/>
  <c r="H223" i="6"/>
  <c r="H826" i="6"/>
  <c r="E65" i="7" s="1"/>
  <c r="H327" i="6"/>
  <c r="H332" i="6" s="1"/>
  <c r="F23" i="17"/>
  <c r="H632" i="6"/>
  <c r="H227" i="6"/>
  <c r="E120" i="8" s="1"/>
  <c r="H384" i="6"/>
  <c r="E812" i="6"/>
  <c r="H386" i="6" l="1"/>
  <c r="D34" i="5"/>
  <c r="D30" i="4"/>
  <c r="F25" i="19"/>
  <c r="F74" i="8" s="1"/>
  <c r="F24" i="19"/>
  <c r="F23" i="19"/>
  <c r="F22" i="19"/>
  <c r="F17" i="19"/>
  <c r="F21" i="19"/>
  <c r="E52" i="17"/>
  <c r="E9" i="19"/>
  <c r="E115" i="8"/>
  <c r="H812" i="6"/>
  <c r="E113" i="8" s="1"/>
  <c r="E117" i="8" s="1"/>
  <c r="D39" i="5" s="1"/>
  <c r="H819" i="6"/>
  <c r="H820" i="6" s="1"/>
  <c r="F32" i="18"/>
  <c r="F35" i="18" s="1"/>
  <c r="F37" i="18" s="1"/>
  <c r="E13" i="18"/>
  <c r="E28" i="18" s="1"/>
  <c r="E15" i="17"/>
  <c r="E23" i="17" s="1"/>
  <c r="E43" i="17" s="1"/>
  <c r="D28" i="4"/>
  <c r="D32" i="5"/>
  <c r="D33" i="5"/>
  <c r="D29" i="4"/>
  <c r="H815" i="6"/>
  <c r="F827" i="6"/>
  <c r="F386" i="6" s="1"/>
  <c r="E827" i="6"/>
  <c r="E386" i="6" s="1"/>
  <c r="E51" i="17"/>
  <c r="E55" i="17" s="1"/>
  <c r="G827" i="6"/>
  <c r="G386" i="6" s="1"/>
  <c r="I827" i="6"/>
  <c r="I386" i="6" s="1"/>
  <c r="H827" i="6"/>
  <c r="F99" i="8"/>
  <c r="F103" i="8"/>
  <c r="F100" i="8"/>
  <c r="F101" i="8"/>
  <c r="F102" i="8"/>
  <c r="F43" i="17"/>
  <c r="F40" i="17"/>
  <c r="F25" i="17" s="1"/>
  <c r="F42" i="17"/>
  <c r="F27" i="17" s="1"/>
  <c r="F36" i="17" s="1"/>
  <c r="F53" i="17" s="1"/>
  <c r="F98" i="8"/>
  <c r="E60" i="8"/>
  <c r="E50" i="8"/>
  <c r="E61" i="8"/>
  <c r="E124" i="8" s="1"/>
  <c r="E10" i="20"/>
  <c r="E8" i="15"/>
  <c r="M7" i="13"/>
  <c r="K7" i="13"/>
  <c r="G7" i="13"/>
  <c r="E5" i="19"/>
  <c r="E26" i="18"/>
  <c r="I7" i="13"/>
  <c r="E7" i="13"/>
  <c r="E51" i="8"/>
  <c r="E52" i="8" s="1"/>
  <c r="E21" i="18"/>
  <c r="E58" i="8"/>
  <c r="F117" i="8"/>
  <c r="E39" i="5" s="1"/>
  <c r="E63" i="8"/>
  <c r="D25" i="4"/>
  <c r="D29" i="5"/>
  <c r="F122" i="8"/>
  <c r="E85" i="8"/>
  <c r="E16" i="17"/>
  <c r="E5" i="17"/>
  <c r="F41" i="8"/>
  <c r="F64" i="8" s="1"/>
  <c r="F97" i="8"/>
  <c r="I820" i="6"/>
  <c r="H816" i="6"/>
  <c r="F820" i="6"/>
  <c r="F39" i="17"/>
  <c r="F41" i="17"/>
  <c r="F26" i="17" s="1"/>
  <c r="F35" i="17" s="1"/>
  <c r="F52" i="8"/>
  <c r="F21" i="18"/>
  <c r="F58" i="8"/>
  <c r="E69" i="7"/>
  <c r="E38" i="8" s="1"/>
  <c r="E20" i="18" l="1"/>
  <c r="E29" i="18" s="1"/>
  <c r="F30" i="18" s="1"/>
  <c r="E130" i="8"/>
  <c r="E133" i="8" s="1"/>
  <c r="D24" i="5"/>
  <c r="D20" i="4"/>
  <c r="F24" i="13"/>
  <c r="F23" i="13"/>
  <c r="J23" i="13"/>
  <c r="J24" i="13"/>
  <c r="H387" i="6"/>
  <c r="H388" i="6"/>
  <c r="E37" i="5"/>
  <c r="F65" i="8"/>
  <c r="F66" i="8" s="1"/>
  <c r="H23" i="13"/>
  <c r="H24" i="13"/>
  <c r="E39" i="17"/>
  <c r="E45" i="17"/>
  <c r="L24" i="13"/>
  <c r="L23" i="13"/>
  <c r="L25" i="13" s="1"/>
  <c r="E41" i="17"/>
  <c r="E95" i="8"/>
  <c r="N23" i="13"/>
  <c r="N25" i="13" s="1"/>
  <c r="N24" i="13"/>
  <c r="I388" i="6"/>
  <c r="I387" i="6"/>
  <c r="G387" i="6"/>
  <c r="G389" i="6" s="1"/>
  <c r="G388" i="6"/>
  <c r="E40" i="17"/>
  <c r="E387" i="6"/>
  <c r="E389" i="6" s="1"/>
  <c r="E388" i="6"/>
  <c r="F388" i="6"/>
  <c r="F387" i="6"/>
  <c r="F389" i="6" s="1"/>
  <c r="F390" i="6" s="1"/>
  <c r="H817" i="6"/>
  <c r="F20" i="18"/>
  <c r="F29" i="18" s="1"/>
  <c r="E24" i="5"/>
  <c r="F130" i="8"/>
  <c r="F133" i="8" s="1"/>
  <c r="E20" i="4"/>
  <c r="E42" i="17"/>
  <c r="F52" i="17"/>
  <c r="F9" i="19"/>
  <c r="F34" i="19" s="1"/>
  <c r="F34" i="17"/>
  <c r="F51" i="17" s="1"/>
  <c r="F45" i="17"/>
  <c r="E103" i="8" l="1"/>
  <c r="E102" i="8"/>
  <c r="E101" i="8"/>
  <c r="E100" i="8"/>
  <c r="E99" i="8"/>
  <c r="E97" i="8"/>
  <c r="E98" i="8"/>
  <c r="D36" i="5"/>
  <c r="E77" i="7"/>
  <c r="E37" i="8" s="1"/>
  <c r="E41" i="8" s="1"/>
  <c r="E64" i="8" s="1"/>
  <c r="D32" i="4"/>
  <c r="F46" i="17"/>
  <c r="H25" i="13"/>
  <c r="E390" i="6"/>
  <c r="E35" i="4"/>
  <c r="E44" i="5"/>
  <c r="G390" i="6"/>
  <c r="H389" i="6"/>
  <c r="H390" i="6" s="1"/>
  <c r="E121" i="8" s="1"/>
  <c r="E62" i="8"/>
  <c r="E123" i="8" s="1"/>
  <c r="E122" i="8" s="1"/>
  <c r="E59" i="8"/>
  <c r="E125" i="8" s="1"/>
  <c r="F48" i="17"/>
  <c r="F49" i="17" s="1"/>
  <c r="F72" i="8" s="1"/>
  <c r="F76" i="8" s="1"/>
  <c r="I389" i="6"/>
  <c r="I390" i="6" s="1"/>
  <c r="F121" i="8" s="1"/>
  <c r="F62" i="8"/>
  <c r="F59" i="8"/>
  <c r="F125" i="8" s="1"/>
  <c r="F55" i="17"/>
  <c r="J25" i="13"/>
  <c r="F25" i="13"/>
  <c r="F126" i="8" l="1"/>
  <c r="F77" i="8"/>
  <c r="E38" i="5"/>
  <c r="E33" i="4"/>
  <c r="F104" i="8"/>
  <c r="E126" i="8"/>
  <c r="E76" i="8"/>
  <c r="D37" i="5"/>
  <c r="E65" i="8"/>
  <c r="E66" i="8" s="1"/>
  <c r="F13" i="19" l="1"/>
  <c r="F78" i="8"/>
  <c r="F128" i="8"/>
  <c r="E40" i="5"/>
  <c r="D35" i="4"/>
  <c r="D44" i="5"/>
  <c r="E77" i="8"/>
  <c r="D38" i="5"/>
  <c r="D33" i="4"/>
  <c r="E104" i="8"/>
  <c r="E128" i="8"/>
  <c r="D40" i="5"/>
  <c r="F131" i="8" l="1"/>
  <c r="E46" i="5" s="1"/>
  <c r="F132" i="8"/>
  <c r="E42" i="5"/>
  <c r="F136" i="8"/>
  <c r="F135" i="8"/>
  <c r="E131" i="8"/>
  <c r="D46" i="5" s="1"/>
  <c r="D42" i="5"/>
  <c r="E135" i="8"/>
  <c r="E132" i="8"/>
  <c r="E136" i="8"/>
  <c r="E13" i="19"/>
  <c r="F30" i="19" s="1"/>
  <c r="E78" i="8"/>
  <c r="F32" i="19" l="1"/>
  <c r="F35" i="19" s="1"/>
  <c r="F79" i="8" s="1"/>
  <c r="F80" i="8" s="1"/>
  <c r="F81" i="8" s="1"/>
  <c r="F82" i="8" s="1"/>
  <c r="F31" i="19"/>
  <c r="F33" i="19" s="1"/>
  <c r="E36" i="4" l="1"/>
  <c r="E45"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UltraTech</author>
  </authors>
  <commentList>
    <comment ref="B363" authorId="0" shapeId="0" xr:uid="{00000000-0006-0000-0500-000001000000}">
      <text>
        <r>
          <rPr>
            <sz val="11"/>
            <color theme="1"/>
            <rFont val="Calibri"/>
            <family val="2"/>
            <scheme val="minor"/>
          </rPr>
          <t xml:space="preserve">Author:
It is the ratio of actual output produced from the solar power plant over the year to the DC plant capacity multiplied by no. of hours in the year </t>
        </r>
      </text>
    </comment>
    <comment ref="J829" authorId="1" shapeId="0" xr:uid="{00000000-0006-0000-0500-000002000000}">
      <text>
        <r>
          <rPr>
            <sz val="11"/>
            <color theme="1"/>
            <rFont val="Calibri"/>
            <family val="2"/>
            <scheme val="minor"/>
          </rPr>
          <t xml:space="preserve">Attached SAP screen shot (monthly basis) in separate PPT &amp; Attached EXCEL calculation sheeet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Atik Sheikh</author>
  </authors>
  <commentList>
    <comment ref="B5" authorId="0" shapeId="0" xr:uid="{00000000-0006-0000-0900-000001000000}">
      <text>
        <r>
          <rPr>
            <sz val="11"/>
            <color theme="1"/>
            <rFont val="Calibri"/>
            <family val="2"/>
            <scheme val="minor"/>
          </rPr>
          <t>Atik Sheikh:
https://www.ipcc-nggip.iges.or.jp/public/gp/bgp/3_1_Cement_Production.pdf</t>
        </r>
      </text>
    </comment>
    <comment ref="B6" authorId="0" shapeId="0" xr:uid="{00000000-0006-0000-0900-000002000000}">
      <text>
        <r>
          <rPr>
            <sz val="11"/>
            <color theme="1"/>
            <rFont val="Calibri"/>
            <family val="2"/>
            <scheme val="minor"/>
          </rPr>
          <t>Atik Sheikh:
https://www.ipcc-nggip.iges.or.jp/public/gp/bgp/3_1_Cement_Production.pdf</t>
        </r>
      </text>
    </comment>
  </commentList>
</comments>
</file>

<file path=xl/sharedStrings.xml><?xml version="1.0" encoding="utf-8"?>
<sst xmlns="http://schemas.openxmlformats.org/spreadsheetml/2006/main" count="7338" uniqueCount="2771">
  <si>
    <t>Instruction Sheet</t>
  </si>
  <si>
    <t>General Information</t>
  </si>
  <si>
    <t>Form 1</t>
  </si>
  <si>
    <t>Form E2</t>
  </si>
  <si>
    <t>Form-Sb</t>
  </si>
  <si>
    <t>Baseline Parameters</t>
  </si>
  <si>
    <t>Summary Sheet</t>
  </si>
  <si>
    <t>Emission Factor &amp; GWP Backup</t>
  </si>
  <si>
    <t>Annex Addl Eqp List-Env</t>
  </si>
  <si>
    <t>Annex Project Activites List</t>
  </si>
  <si>
    <t>NF-1 CU</t>
  </si>
  <si>
    <t>NF-2 Fuel Quality in CPP</t>
  </si>
  <si>
    <t>NF-3 Petcoke</t>
  </si>
  <si>
    <t>NF-4 PLF</t>
  </si>
  <si>
    <t>NF-5 Power Mix</t>
  </si>
  <si>
    <t>NF-6 Product Mix</t>
  </si>
  <si>
    <t>NF-7 Others</t>
  </si>
  <si>
    <t>NF-8 Bond Index</t>
  </si>
  <si>
    <t>How to use this File</t>
  </si>
  <si>
    <t>Please use the General Information sheet Sr  No 7 and 8 to fill the data for the selection of No of years as a baseline Year (s). Year needs to be selected from the drop-down list w.r.t Baseline Years and Assessment year</t>
  </si>
  <si>
    <t xml:space="preserve">Based on the selection years of baseline, the avarage data shall be calaculated automatically </t>
  </si>
  <si>
    <t xml:space="preserve">Automatic calculation (to be found in the menu Formula/Calculation options) must be turned on. It is recommended that you go through the file from start to end. There are few functions which will guide you through the form which depend on previous input, such as cells changing colour if any input is not needed ( see colour codes below). However, sometimes it is relevant to first continue data input in another sheet before going on. </t>
  </si>
  <si>
    <t>A cell is to be kept empty, if no data is required. The cell will not take 0 value.</t>
  </si>
  <si>
    <t>In several fields you can choose from predefined inputs. For selecting from such a "drop-down list" either click with the mouse on the small arrow appearing at the right border of the cell, or press "Alt-CursorDown" when you have selected the cell. Some fields allow you to input your own text even if such a drop-down list exists. This is the case when drop-down lists contain empty list entries.</t>
  </si>
  <si>
    <t>Error messages will occur sometimes when data entries are text of zero. However, the non-appearance of error messages is not a guarantee for correct calculations, as not always a data completeness test is possible. If no result appears in a green field, it can be assumed that some data is still missing. Special care must be taken of consistency of data with the units displayed.</t>
  </si>
  <si>
    <t>Colour Codes and fonts:</t>
  </si>
  <si>
    <t>The formulae can be changed</t>
  </si>
  <si>
    <t>Please leave blank if no data is to be filled</t>
  </si>
  <si>
    <t>Fomulae Protected</t>
  </si>
  <si>
    <t>Data not to be filled</t>
  </si>
  <si>
    <t>Yes</t>
  </si>
  <si>
    <t>Select from the list Yes or No</t>
  </si>
  <si>
    <t>Select</t>
  </si>
  <si>
    <t>Select from the list Yes or No or Not Applicable</t>
  </si>
  <si>
    <t>Please do not enter any data</t>
  </si>
  <si>
    <t>Lignite</t>
  </si>
  <si>
    <t>Selection from the list</t>
  </si>
  <si>
    <t>Navigation panels on top of each sheet provide hyperlinks for quick jumps to individual input sectors. The first line ("Table of contents", "Previous sheet", "Next Sheet", "Summary") and the points "Top of Sheet" and "End of Sheet" are the same for all sheet. Depending on the sheet, further menu items are added. If the background colour of one of the hyperlink areas turned red, this indicates that data is missing in the related section (not in all sheet).</t>
  </si>
  <si>
    <t>This template has been locked against any data entry except for yellow fields. However, for transparency reasons, no password has been set. This allows for complete viewing of all formulae. When using this file for data entry, it is recommended to keep the protection in force. The sheets should only be unprotected for checking the validity of formulae. It is recommended to do this in a separate file.</t>
  </si>
  <si>
    <t>In order to protect formulae against unintended modifications, which usually lead to wrong and misleading results, it is of utmost importance NOT TO USE the CUT &amp; PASTE feature. If you want to mode data, first COPY and PASTE them, and thereafter delete the unwanted data in the old (wrong) place.</t>
  </si>
  <si>
    <t>Data fields have not been optimized for numerical and other formats. However, sheet protection has been limited so as to allow you to use your own formats. In particular, you may decide about the number of decimal places displayed. The number of places is in principle independent from the precision of calculation. In principle the option "Precision as displayed" of MS Excel should be deactivated. For more details, consult MS Excel's "Help" function on this topic.</t>
  </si>
  <si>
    <t>DISCLAIMER: All formulae have been developed carefully and thoroughly. However, mistakes cannot be fully excluded. As described above, full transparency for checking the validity of calculations is ensured. Neither the authors of this file nor the Bureau of Energy Efficiency can be held liable for eventual damages resulting from wrong or misleading results of the provided calculations. It is the full responsibility of the user of this file (i.e., The Obligated Entity or Verifier to ensure that correct data is reported to the competent authority.</t>
  </si>
  <si>
    <t>INSTRUCTION FOR FILLING UP THE FORM-Sb &amp; KEEPING RECORDS AND INFORMATION FOR VERIFICATION PROCESS</t>
  </si>
  <si>
    <t>Sr No</t>
  </si>
  <si>
    <t>Details</t>
  </si>
  <si>
    <t>Note</t>
  </si>
  <si>
    <t>Frequency of record</t>
  </si>
  <si>
    <t xml:space="preserve">Primary Documents from where the information can be sourced and to be kept ready for verification by Accredited Energy Auditor </t>
  </si>
  <si>
    <t>Secondary Documents from where the information can be sourced and to be kept ready for verification by Accredited Energy Auditor</t>
  </si>
  <si>
    <t>It is mandatary to fill all the fields of Excel Sheets- General Information, Form Sb, Annex Addl Eqp List-Env, Annex Project Activities List</t>
  </si>
  <si>
    <t>Please fill the data as per colour coding provided  at the bottom of Form Sb</t>
  </si>
  <si>
    <t>I</t>
  </si>
  <si>
    <t>Boundary Coverage for GHG emissions (The User to select from the drop-down tab for Inclusion, Exclusion, and Not applicable options in each section)</t>
  </si>
  <si>
    <t>(a)...(j)</t>
  </si>
  <si>
    <t xml:space="preserve">Please select from the drop-down tab for Inclusion, Exclusion, and Not Applicable options to define boundary limits. The selection should be the same for AY and BY, if not the EA required to furnish proper documentary evidence </t>
  </si>
  <si>
    <t xml:space="preserve">The selection made in the Baseline years has to be same in Assessment year </t>
  </si>
  <si>
    <t>Annual</t>
  </si>
  <si>
    <t xml:space="preserve">1) Plant layout 2) Section wise Equipment details </t>
  </si>
  <si>
    <t xml:space="preserve">1) Section Wise Plant Layout </t>
  </si>
  <si>
    <t>II</t>
  </si>
  <si>
    <t>Emission Source Coverage</t>
  </si>
  <si>
    <t>(a)...(i)</t>
  </si>
  <si>
    <t xml:space="preserve">Please select from the drop-down tab for Inclusion, Exclusion, and Not Applicable option on emission source. he selection should be the same for AY and BY, if not the EA required to furnish proper documentary evidence </t>
  </si>
  <si>
    <t xml:space="preserve">1) Plant Process Flow Diagram 2) Process Instrumentation Diagram (PID) </t>
  </si>
  <si>
    <t>1) Emission records through Log Book 2) Lab Fuel testing Detils</t>
  </si>
  <si>
    <t>A</t>
  </si>
  <si>
    <t>Production and capacity utilization details</t>
  </si>
  <si>
    <t>A1</t>
  </si>
  <si>
    <t>Please provide total annual production capacity of clinker of all kilns in Tonnes</t>
  </si>
  <si>
    <t xml:space="preserve">Capacity of all the kilns </t>
  </si>
  <si>
    <t>1) OEM Document of kilns capacity                                         2) Enviromental Consent to establish/operate document</t>
  </si>
  <si>
    <t>1) Equipment/Section wise capacity document from OEM 2) Capacity calculation document submitted for Enviromental Consent</t>
  </si>
  <si>
    <t>A2</t>
  </si>
  <si>
    <t>Please provide total annual production capacity of Cement (all grinding units within the plant) in Tonnes.</t>
  </si>
  <si>
    <t>Capacity of all Cement Grinding Plant</t>
  </si>
  <si>
    <t>1) OEM Document of Process line 2) Enviromental Consent to establish/operate document</t>
  </si>
  <si>
    <t>A3</t>
  </si>
  <si>
    <t>Please provide total Annual Production of clinker of all kilns in Tonnes.</t>
  </si>
  <si>
    <t>Production of Clinker from all the kilns</t>
  </si>
  <si>
    <t>Continuous, Hourly, Daily, Monthly</t>
  </si>
  <si>
    <t>1) Log Sheet 2) CCR SCADA Report/ Trends 3) DPR 4) MPR 5) SAP Entry in PP/SD module 6) Excise record (ER1) 7) Annual Report</t>
  </si>
  <si>
    <t>1)Silo Level 2) Feeding Weighhfeeders 3) Belt Weigher 4) Solid flow meter</t>
  </si>
  <si>
    <t>A4</t>
  </si>
  <si>
    <t>Please provide total Annual Production of Cement (all grinding units, within the plant) in Tonnes.</t>
  </si>
  <si>
    <t>Production of Cement from all Cement mills</t>
  </si>
  <si>
    <t>Continouous, Hourly, Daily, Monthly</t>
  </si>
  <si>
    <t>A5</t>
  </si>
  <si>
    <t>Please provide opening clinker stock in tonnes by  31st of March of the respective year, at 1200 MN</t>
  </si>
  <si>
    <t>Record Opening and Closing stock on daily basis</t>
  </si>
  <si>
    <t>Daily, Monthly</t>
  </si>
  <si>
    <t>1) Inventory Report 2) Excise Document (ER1)3) Stores Entry 4) SAP Entry in MM/PP/SD module</t>
  </si>
  <si>
    <t>1) field Inventory</t>
  </si>
  <si>
    <t>A6</t>
  </si>
  <si>
    <t>Please provide closing clinker stock in tonnes by  31st of March of the respective year, at 1200 MN</t>
  </si>
  <si>
    <t>A7</t>
  </si>
  <si>
    <t>Please provide opening cement stock in tonnes by  31st of March of the respective year, at 1200 MN</t>
  </si>
  <si>
    <t>Packing Plant records</t>
  </si>
  <si>
    <t>A8</t>
  </si>
  <si>
    <t>Please provide closing cement stock in tonnes by  31st of March of the respective year, at 1200 MN</t>
  </si>
  <si>
    <t>A9</t>
  </si>
  <si>
    <t>Formula protected (Annual production of clinker/ Annual production capacity of clinker)</t>
  </si>
  <si>
    <t>A10</t>
  </si>
  <si>
    <t>Formula protected (Annual production of cement/annual production capacity of cement)</t>
  </si>
  <si>
    <t>A11</t>
  </si>
  <si>
    <t>Please provide the Type of Cement Produced and associated additives for the type of cement produced in  the subsequent sections</t>
  </si>
  <si>
    <t>Please mention the name of  the additives used in  the Remarks column in the respective production section</t>
  </si>
  <si>
    <t>A11.1</t>
  </si>
  <si>
    <t>Please provide the total annual production of Ordinary Portland Cement (OPC) within the plant in Tonnes.</t>
  </si>
  <si>
    <t xml:space="preserve">1) Log Sheet 2) CCR SCADA Report/ Trends 3) DPR 4) MPR 5) SAP Entry in PP/SD module 6) Excise record (ER1) 7) Annual Report 8) Purchase Order </t>
  </si>
  <si>
    <t>1)Silo Level 2) Feeding Weigh feeders 3) Belt Weigher 4) Solid flow meter</t>
  </si>
  <si>
    <t>(i)</t>
  </si>
  <si>
    <t>Please provide the total annual Gypsum consumption in OPC production in Tonnes</t>
  </si>
  <si>
    <t>Gypsum used in OPC production only</t>
  </si>
  <si>
    <t>1)Lab Cement Test Report 2) DPR 3) MPR 4) SAP Entry in MM/PP module 5) Raw material stock entry (Stores) 6) Purchase Order</t>
  </si>
  <si>
    <t>1) Lab Testing Register 2) Closing and opening stock</t>
  </si>
  <si>
    <t>(ii)</t>
  </si>
  <si>
    <t>Please provide the total annual Limestone consumption as Additive in OPC Production in Tonnes</t>
  </si>
  <si>
    <t>Limestone used as per IS</t>
  </si>
  <si>
    <t>(iii)</t>
  </si>
  <si>
    <t>Please provide the total annual Clay consumption as Additive in OPC Production in Tonnes</t>
  </si>
  <si>
    <t xml:space="preserve">Clay used as per IS </t>
  </si>
  <si>
    <t>(iv)</t>
  </si>
  <si>
    <t>Please provide the total annual quantity of any other Additives like Silica fume, Rice husk ash,  Metakaolin used  in OPC Production</t>
  </si>
  <si>
    <t>As per IS, Provide details of the specific additives in Remarks column</t>
  </si>
  <si>
    <t>(v)</t>
  </si>
  <si>
    <t>Please provide the total annual quantity of any other Additives used  in OPC Production</t>
  </si>
  <si>
    <t>A11.2</t>
  </si>
  <si>
    <t>Please provide the total annual production of Portland Pozzolana Cement (PPC) within the plant in Tonnes.</t>
  </si>
  <si>
    <t>1) Log Sheet 2) CCR SCADA Report/ Ternds 3) DPR 4) MPR 5) SAP Entry in PP/SD module 6) Excise record (ER1) 7) Annual Report 8) Purchase Order</t>
  </si>
  <si>
    <t>Please provide the total annual Gypsum consumption in PPC production in Tonnes</t>
  </si>
  <si>
    <t>Please provide the total annual Fly Ash consumption as Additive in PPC Production in Tonnes</t>
  </si>
  <si>
    <t>Fly Ash used as per IS (Max % use to be verified)</t>
  </si>
  <si>
    <t>Please provide the total annual Calcined Clay consumption as Additive in PPC Production in Tonnes</t>
  </si>
  <si>
    <t>Calcined Clay used as per IS (Max % use to be verified)</t>
  </si>
  <si>
    <t>Please provide the total annual quantity of any other Additives used  in PPC Production in Tonnes</t>
  </si>
  <si>
    <t>A11.3</t>
  </si>
  <si>
    <t>Please provide the total annual production of Portland Slag Cement (PSC)  in Tonnes.</t>
  </si>
  <si>
    <t>Please provide the total annual Gypsum consumption in PSC production in Tonnes</t>
  </si>
  <si>
    <t>Gypsum used in PSC production only</t>
  </si>
  <si>
    <t>Please provide the total annual Slag consumption as Additive in PSC Production in Tonnes</t>
  </si>
  <si>
    <t>Slag used as per IS (Max % use to be verified)</t>
  </si>
  <si>
    <t>Please provide the total annual quantity of any other Additives used  in PSC Production</t>
  </si>
  <si>
    <t>A11.4</t>
  </si>
  <si>
    <t>Please provide the total annual production of Composite Cement (CC) in Tonnes.</t>
  </si>
  <si>
    <t>Please provide the total annual Gypsum consumption in CC production in Tonnes</t>
  </si>
  <si>
    <t>Gypsum used in CC production only</t>
  </si>
  <si>
    <t>Please provide the total annual Slag consumption as Additive in CC Production in Tonnes</t>
  </si>
  <si>
    <t>Please provide the total annual Fly Ash consumption as Additive in CC Production in Tonnes</t>
  </si>
  <si>
    <t>Please provide the total annual Calcined Clay consumption as Additive in CC Production in Tonnes</t>
  </si>
  <si>
    <t>Please provide the total annual quantity of any other Additives used  in CC Production in Tonnes</t>
  </si>
  <si>
    <t>A11.5</t>
  </si>
  <si>
    <t>Please provide the total annual production of White Cement (WC) in Tonnes.</t>
  </si>
  <si>
    <t>Please provide the total annual Gypsum consumption in WC production in Tonnes</t>
  </si>
  <si>
    <t>Gypsum used in WC production only</t>
  </si>
  <si>
    <t>Please provide the total annual Lime Stone consumption as Additive in WC Production in Tonnes</t>
  </si>
  <si>
    <t>Limestone used as per IS (Max % use to be verified)</t>
  </si>
  <si>
    <t>Please provide the total annual Dolomite consumption as Additive in WC Production in Tonnes</t>
  </si>
  <si>
    <t>Dolomite used as per IS (Max % use to be verified)</t>
  </si>
  <si>
    <t>Please provide the total annual Marble consumption as Additive in WC Production in Tonnes</t>
  </si>
  <si>
    <t>Marble  used as per IS (Max % use to be verified)</t>
  </si>
  <si>
    <t>Please provide the total annual Clay consumption as Additive in WC Production in Tonnes</t>
  </si>
  <si>
    <t>Clay used as per IS (Max % use to be verified)</t>
  </si>
  <si>
    <t>(vi)</t>
  </si>
  <si>
    <t>Please provide the total annual quantity of any other Additives used  in WC Production in Tonnes</t>
  </si>
  <si>
    <t>Please provide the total annual production of Any other type of Cement (OC) in Tonnes.</t>
  </si>
  <si>
    <t>Please mention the type of cement in 'General Information ' Tab at Row F6</t>
  </si>
  <si>
    <t>Please provide the total annual Gypsum consumption in OC production in Tonnes</t>
  </si>
  <si>
    <t>Gypsum used in OC production only</t>
  </si>
  <si>
    <t>Please provide the total annual Additive 1 consumption in OC production in Tonnes</t>
  </si>
  <si>
    <t>Please provide the total annual Additive 2 consumption as Additive in OC Production in Tonnes</t>
  </si>
  <si>
    <t>Please provide the total annual Additive 3 consumption as Additive in OC Production in Tonnes</t>
  </si>
  <si>
    <t>Please provide the total annual production of Ground Granulated Blast-furnace Slag Cement (GGBS) Production in Tonnes.</t>
  </si>
  <si>
    <t>Please provide the Quantity of GGBS Sold in Tonnes</t>
  </si>
  <si>
    <t xml:space="preserve">1) Excise Document 2) Stores receipt 3) SAP Entry in FI/SD Module 4) Annual Report </t>
  </si>
  <si>
    <t>1) Internal material Transfer Records</t>
  </si>
  <si>
    <t>Please provide the Quantity of GGBS used Internally for cement production</t>
  </si>
  <si>
    <t>Please provide the Quantity of GGBS (Grinding) directly used for construction</t>
  </si>
  <si>
    <t>A12</t>
  </si>
  <si>
    <t>Clinker Import/Export (For Integrated Plant only) Not to be filled by Grinding Plant</t>
  </si>
  <si>
    <t>Please provide the total clinker, exported to sister unit outside plant boundary or sold to any other entity in Tonnes.</t>
  </si>
  <si>
    <t>Not to be filled by Grinding Unit</t>
  </si>
  <si>
    <t>Please provide the total annual clinker, imported from sister units (clinkering) or purchased from any other entity in Tonnes.</t>
  </si>
  <si>
    <t>A13</t>
  </si>
  <si>
    <t>Formula Protected: Quantity of Fly Ash used</t>
  </si>
  <si>
    <t>A14</t>
  </si>
  <si>
    <t>Formula Protected: Quantity of Gypsum Used</t>
  </si>
  <si>
    <t>A15</t>
  </si>
  <si>
    <t>Formula Protected: Quantity of Slag Used</t>
  </si>
  <si>
    <t>A16</t>
  </si>
  <si>
    <t xml:space="preserve">Formula Protected: Quantity of Limestone Used as Additive </t>
  </si>
  <si>
    <t>A17</t>
  </si>
  <si>
    <t xml:space="preserve">Formula Protected: Quantity of Clay Used as additives </t>
  </si>
  <si>
    <t>A18</t>
  </si>
  <si>
    <t xml:space="preserve">Formula Protected: Quantity of All other Additive used </t>
  </si>
  <si>
    <t>A19</t>
  </si>
  <si>
    <t>Formula Protected: Total Qty of Additives used in Cement Production</t>
  </si>
  <si>
    <t>A20</t>
  </si>
  <si>
    <t>Clinker Factor Section for different type of Cement</t>
  </si>
  <si>
    <t>Formula Protected: clinker factor for OPC (Clinker used for OPC Production/ OPC Cement Produced)</t>
  </si>
  <si>
    <t xml:space="preserve">To be verified from Plant data through Primary and Secondary documents </t>
  </si>
  <si>
    <t>Formula Protected:  clinker factor for PPC (Clinker used for PPC Production/ PPC Cement Produced)</t>
  </si>
  <si>
    <t>Formula Protected: clinker factor for PSC (Clinker used for PSC Production/ PSC Cement Produced)</t>
  </si>
  <si>
    <t>(vii)</t>
  </si>
  <si>
    <t>(viii)</t>
  </si>
  <si>
    <t>Please provide Raw Material Net Factor (Raw Meal to Clinker)</t>
  </si>
  <si>
    <t>1)Lab Cement Test Report 2) DPR 3) MPR 4) SAP Entry in MM/PP module 5) Raw material stock entry (Stores)</t>
  </si>
  <si>
    <t>A21</t>
  </si>
  <si>
    <t>Process data for emission</t>
  </si>
  <si>
    <t>Please provide the Fraction of Lime in Clinker (CaO) in fraction</t>
  </si>
  <si>
    <t>Lot, Monthly</t>
  </si>
  <si>
    <t xml:space="preserve">1) Raw material Quality test certificate 2) Chemical Analysis Reports (X-ray Fluorescence (XRF) analysis, Loss of Ignition(LoI) report, Wet Chemical Analysis) 3) DPR 4) MPR 5) Log Sheet 6) CCR SCADA Report/ Trends </t>
  </si>
  <si>
    <t>1) Batch record of  Limestone (CaCO₃) feedstock used in clinker production 2) Clinker quality reports 3) Clinker phase composition data including LSF and CaO</t>
  </si>
  <si>
    <t>Please provide Fraction of MgO content in Clinker in fraction</t>
  </si>
  <si>
    <t xml:space="preserve">1) Raw material Quality test certificate 2) Chemical Analysis Reports (X-ray Fluorescence (XRF) analysis, X-ray Diffraction (XRD) Analysis , Wet Chemical Analysis) 3) DPR 4) MPR  5) Log Sheet 6) CCR SCADA Report/ Trends </t>
  </si>
  <si>
    <t>1) Batch record of  Limestone/Dolomite/Clay (MgCO₃) feedstock used in clinker production 2) Clinker quality analysis reports 3) Magnesia Expansion Tests 4) Emission Monitoring report</t>
  </si>
  <si>
    <t>Please provide Total raw material consumed (non-carbonate source in raw material consumed) [Dry Weight] in Tonnes</t>
  </si>
  <si>
    <t>1) Lab Testing Register 2) Closing and opening stock 3) Inventory Logs 4) Material Balance Sheets</t>
  </si>
  <si>
    <t>Please provide CaO content (non-carbonate source in raw material consumed) [Dry Weight] in Fraction</t>
  </si>
  <si>
    <t>1) Raw material Quality test certificate 2) Chemical Analysis Reports (X-ray Fluorescence (XRF) analysis, Loss of Ignition(LoI) report, Wet Chemical Analysis) 3) DPR 4) MPR</t>
  </si>
  <si>
    <t>Please provide MgO content (non-carbonate source in raw material consumed) [Dry Weight] in Fraction</t>
  </si>
  <si>
    <t>Please provide Ca/Mg-silicate source Raw material consumed [Dry Weight] in Tonnes</t>
  </si>
  <si>
    <t xml:space="preserve">1)Lab Cement Test Report 2) DPR 3) MPR 4) SAP Entry in MM/PP module 5) Raw material stock entry (Stores) 6) Purchase Order 7) Log Books </t>
  </si>
  <si>
    <t>1) Lab Testing Register 2) Closing and opening stock 3) MSDS for raw material 4) Material Balance Sheets 5) Kiln Feed Reports</t>
  </si>
  <si>
    <t>Please provide Ca content of Ca-Silicate raw materials [Dry Weight] in Fraction</t>
  </si>
  <si>
    <t>Please provide Mg content of Mg-Silicate raw materials [Dry Weight]</t>
  </si>
  <si>
    <t>(ix)</t>
  </si>
  <si>
    <t>Please provide Bypass dust leaving the system in Tonnes</t>
  </si>
  <si>
    <t xml:space="preserve">1) Kiln Operation Log book 2) Bypass System Usage Reports 3) By Pass Dust Collection and Disposal Records 4) Material Balance Sheets 5) Raw Material Input Analysis for alkalis, chlorides, and other impurities in the raw materials  </t>
  </si>
  <si>
    <t>1) Chemical Composition and Quality Control Reports 2) Waste Handling Permits and Documentation 3) Kiln Process Flow Diagrams 4) Inventory and Usage Records (if Bypass Dust is Recycled)</t>
  </si>
  <si>
    <t>(x)</t>
  </si>
  <si>
    <t>Please provide CKD leaving the system in tonnes</t>
  </si>
  <si>
    <t>1) Kiln Operation Log book 2) CKD Usage Reports 3) CKD Dust Collection and Disposal Records 4) Material Balance Sheets</t>
  </si>
  <si>
    <t>1) Chemical Composition and Quality Control Reports 2) Waste Handling Permits and Documentation 3) Kiln Process Flow Diagrams 4) Inventory and Usage Records (if CKD is Recycled)</t>
  </si>
  <si>
    <t>(xi)</t>
  </si>
  <si>
    <t>Please provide CKD calcination rate (default value 0% for dry kiln and 100% for other kiln types)</t>
  </si>
  <si>
    <t>To be filled in Nos: 100</t>
  </si>
  <si>
    <t>1) Kiln Operation Log book 2) Material Balance Sheets 3) X-Ray Fluorescence (XRF) Reports 4) Loss on Ignition (LOI) Tests 5) Thermogravimetric Analysis (TGA)</t>
  </si>
  <si>
    <t xml:space="preserve">1) CKD Sampling Records 2) Internal quality control report for CKD 3) Kiln Gas Analysis Reports 4) </t>
  </si>
  <si>
    <t>(xii)</t>
  </si>
  <si>
    <t>Please provide Organic Carbon content of raw meal (default value 0.2%) i.e, 0.002</t>
  </si>
  <si>
    <t>Data should be fraction i.e. 0.002</t>
  </si>
  <si>
    <t xml:space="preserve">1) Total Organic Carbon (TOC) Analysis Reports 2) Loss on Ignition (LOI) Testing 3) Elemental Analysis (carbon, hydrogen, nitrogen, sulfur, and oxygen) 3) Kiln Operation Log book 4) Material Balance Sheets </t>
  </si>
  <si>
    <t>1)  Raw meal sampling Logs 2) Raw Material Composition Sheets 3) Internal Quality Control Reports</t>
  </si>
  <si>
    <t>A22</t>
  </si>
  <si>
    <t>Carbonate used in process or Boiler (FBC/FGD/Any)</t>
  </si>
  <si>
    <t>(i)..(v)</t>
  </si>
  <si>
    <t xml:space="preserve">Carbonates used in Plant sections </t>
  </si>
  <si>
    <t>Qty of Raw material provided should be on moisture free basis.</t>
  </si>
  <si>
    <t>Daily, Monthly, yearly</t>
  </si>
  <si>
    <t>1)Lab Cement Test Report 2) DPR 3) MPR 4) SAP Entry in MM/PP module 5) Raw material stock entry (Stores) 6) Purchase Order 7) Log Books 8) Chemical Analysis of Input Materials</t>
  </si>
  <si>
    <t>1) Lab Testing Register 2) Closing and opening stock 3) MSDS for raw material 4) Material Balance Sheets 5) Detailed Process Flow Diagram 6) Combustion Analysis Reports (for boilers) 7) Technical Data Sheets (TDS)</t>
  </si>
  <si>
    <t>B</t>
  </si>
  <si>
    <t>Kiln Capacity and Operating  SEC</t>
  </si>
  <si>
    <t>(i..v) a</t>
  </si>
  <si>
    <t>Please provide annual kiln wise production in Tonnes.</t>
  </si>
  <si>
    <t xml:space="preserve"> 1) Log Sheet 2) CCR SCADA Report/ Ternds 3) DPR 4) MPR 5) SAP Entry in MM/PP module</t>
  </si>
  <si>
    <t>(i..v) b</t>
  </si>
  <si>
    <t>Please provide operating kiln thermal SEC (Total thermal energy consumed in kiln/ total kiln production) in kcal/ kg clinker.</t>
  </si>
  <si>
    <t xml:space="preserve">1)Fuel Weighfeeder 2) Fuel Flow Meter 3) DPR 4) MPR 5) SAP Entry in MM/PP module </t>
  </si>
  <si>
    <t>(i..v) c</t>
  </si>
  <si>
    <t>Please provide operating kiln electrical SEC (Total electricity consumed in kiln/ total kiln production) in kWh / kg clinker.</t>
  </si>
  <si>
    <t xml:space="preserve">1) Energy Management System 2) Equipment List kiln section 3) DPR 4) SAP Entry in MM/PP module  </t>
  </si>
  <si>
    <t xml:space="preserve">1)Electical Meter Record for kiln section </t>
  </si>
  <si>
    <t>(i..v) d</t>
  </si>
  <si>
    <t>Please provide kiln wise annual  running hours.</t>
  </si>
  <si>
    <t>1) Kiln Log sheet  2) DPR 3) MPR 4) Refer Sr. No: P 5) CCR Trends</t>
  </si>
  <si>
    <t>1)Kiln Shift operator's Log Register 2) Breakdown report</t>
  </si>
  <si>
    <t>(i..v) e</t>
  </si>
  <si>
    <t>Please provide the annual Hot-Hot start in Nos</t>
  </si>
  <si>
    <t>(i..v) f</t>
  </si>
  <si>
    <t>Please provide the total annual Hot-Cold Stoppage Hours for kiln due to external factor</t>
  </si>
  <si>
    <t>External Factor: Market Demand, Grid Failure (Where CPP is not Sync with Grid), Raw material unavailability, Natural Disaster, Rioting or Social unrest, Major change in government policy hampering plant's process system, Any unforeseen circumstances not controlled by plant management</t>
  </si>
  <si>
    <t>(i..v) g</t>
  </si>
  <si>
    <t>Please provide the total annual Hot-Cold Stoppage Nos for kiln due to external factor</t>
  </si>
  <si>
    <t>(i..v) h</t>
  </si>
  <si>
    <t>Please provide the total annual Electrical Energy Consumption for Hot-Cold Stoppage for kiln due to external factor in Lakh kWh</t>
  </si>
  <si>
    <t>1) Energy Meter Reading for Kiln Section 2) Kiln Log sheet   3) DPR 4) MPR 5) Refer Sr. No: P 6) CCR SCADA Trends</t>
  </si>
  <si>
    <t>(i..v) i</t>
  </si>
  <si>
    <t>Please provide the total annual Cold-Hot Start Hours for kiln due to external factor</t>
  </si>
  <si>
    <t>1) Kiln Log sheet  2) Kiln Shift operator's Log Register 3) DPR 4) MPR 5) Refer Sr. No: P 6) CCR SADA Trends</t>
  </si>
  <si>
    <t>(i..v) j</t>
  </si>
  <si>
    <t>Please provide the total annual Cold-Hot Start Nos for kiln due to external factor</t>
  </si>
  <si>
    <t>1) Kiln Log sheet  2) Kiln Shift operator's Log Register 3) DPR 4) MPR 5) Refer Sr. No: P 6) CCR Trends</t>
  </si>
  <si>
    <t>(i..v) k</t>
  </si>
  <si>
    <t>Please provide the total annual Electrical Energy Consumption for Cold-Hot Start for kiln due to external factor in Lakh kWh</t>
  </si>
  <si>
    <t>1) Energy Meter Reading for Kiln Section 2) Kiln Log sheet  3) DPR 4) MPR 5) Refer Sr. No: P 6) CCR Trends</t>
  </si>
  <si>
    <t>(i..v) l</t>
  </si>
  <si>
    <t xml:space="preserve">Please provide the annual Cold-Hot Start in Nos due to internal factors </t>
  </si>
  <si>
    <t>For records and cross checking</t>
  </si>
  <si>
    <t>1) Kiln Log sheet  2) Kiln Shift operator's Log Register 3) DPR 4) MPR 5) Refer Sr. No: P  6) CCR Trends</t>
  </si>
  <si>
    <t>C</t>
  </si>
  <si>
    <t>Electricity Consumption and cost</t>
  </si>
  <si>
    <t>C.1</t>
  </si>
  <si>
    <t>Electricity from Grid / Other (Including Colony and Others) / Renewable Purchase obligation/Notified Figures</t>
  </si>
  <si>
    <t>Please provide annual electricity purchase from the grid in Lakh kWh.</t>
  </si>
  <si>
    <t>1) Monthly Electricity Bills from Grid 2) Internal Meter reading records for grid incomer</t>
  </si>
  <si>
    <t>Energy Management System</t>
  </si>
  <si>
    <t>Please provide renewal electricity (Solar and Wind) consumption through wheeling in Lakh kWh.</t>
  </si>
  <si>
    <t xml:space="preserve">1) Open Access records 2) Electricity Bills for renewal energy 3) Renewal Purchase Obligation document 4) Power Purchase Agreement records 5) Wheeling Agreement with DISCOM 6) Energy Wheeling Statements from DISCOM </t>
  </si>
  <si>
    <t xml:space="preserve">1) Energy Management System 2) Load Dispatch Center Reports  </t>
  </si>
  <si>
    <t>Please provide Renewable Electricity Hydro (Through Wheeling) in Lakh kWh</t>
  </si>
  <si>
    <t>Please provide Renewable Electricity Municipal Solid Waste (MSW) and nonfossil fuel-based cogeneration (Through Wheeling) in Lakh kWh</t>
  </si>
  <si>
    <t>Please provide Renewable Electricity Biomass and Biofuel based (Through Wheeling) in Lakh kWh</t>
  </si>
  <si>
    <t>In case of dedicated power purchase agreement for purchased electricity, the supplier-specific emission factors shall be used, and the obligated entity shall provide the emission factor with supporting documentation verified by an accredited carbon verification agency. In case the emission factor is not available, the default value of 1.19 tCO2/MWh as published by Central Electricity Authority shall be used</t>
  </si>
  <si>
    <t>Please provide Renewable Electricity details through a dedicated line (RE Installed outside the plant boundary) in Lakh kWH</t>
  </si>
  <si>
    <t>1) Separate Energy Meter Reading 2) Daily and Monthly Power Report 3) Transmission Line details document 4) Permission document from SEBs</t>
  </si>
  <si>
    <t xml:space="preserve">1) Primary document from the sister concern 2) Excise document of purchased electricty 3) Energy Meter reading 4) EnergyManagement System </t>
  </si>
  <si>
    <t>Please provide electricity consumption from CPP located outside of the plant boundary though wheeling in Lakh kWh.</t>
  </si>
  <si>
    <t xml:space="preserve">1) Open Access records 2) Electricity Bills (for Wheeling) </t>
  </si>
  <si>
    <t>Please provide the latest Emission Factor for Grid Purchased Electricity (DISCOM) from CEA CO2 Baseline Database for the Indian Power Sector in fraction</t>
  </si>
  <si>
    <t>For the year 2022-23, it is taken as 0.716</t>
  </si>
  <si>
    <t>Please provide the latest Emission factor for CPP located outside plant boundary (Through Wheeling) from CEA CO2 Baseline Database for the Indian Power Sector in fraction</t>
  </si>
  <si>
    <t>Please provide the Renewable Purchase Obligation of Sector (RPO) (Non Fossil) notified by MoP SO 4617 ( E)</t>
  </si>
  <si>
    <t>Please provide Renewal Purchase obligation of plant for the current year in %  (Solar and Non-Solar).</t>
  </si>
  <si>
    <t>Yearly</t>
  </si>
  <si>
    <t>1) Renewal Purchase Obligation document</t>
  </si>
  <si>
    <t>Please provide Renewal Purchase obligation of plant for the current year in Lakh kWh (Solar and Non-Solar).</t>
  </si>
  <si>
    <t>(xiii)</t>
  </si>
  <si>
    <t>Please provide Renewal Purchase obligation of plant for the current year in MW (Solar and Non-Solar).</t>
  </si>
  <si>
    <t>(xiv)</t>
  </si>
  <si>
    <t>Please provide Renewal Energy Generator Capacity in MW as approved by MNRE</t>
  </si>
  <si>
    <t>1) ‘Certificate for Registration’ to the concerned Applicant as ‘Eligible Entity’ confirming its entitlement to receive Renewable Energy Certificates for the proposed RE Generation
project</t>
  </si>
  <si>
    <t>(xv)</t>
  </si>
  <si>
    <t>Please provide Quantum of Renewable Energy Certificates (REC) obtained as a Renewal Energy Generator (Solar &amp; Non-Solar) in terms of REC equivalnet to 1 MWh</t>
  </si>
  <si>
    <t>The quantity of exported power ( partially or fully) on which Renewable Energy Certificates have been earned by Designated Consumer in the assessment year under REC mechanism shall  be treated as Exported power and normalization will apply. However, the normalized power export will not qualify for issue of Energy Saving Certificates under PAT Scheme.</t>
  </si>
  <si>
    <t>Lot,Yearly</t>
  </si>
  <si>
    <t>1) Renewable Energy Certificates</t>
  </si>
  <si>
    <t>(xvi)</t>
  </si>
  <si>
    <t>Please provide Quantum of Energy sold interms of  preferential tariff under REC Mechanism in MWh</t>
  </si>
  <si>
    <t>The quantity of exported power (partially or fully) from Renewable energy which has been sold at a preferential tariff by the Designated consumer in the assessment year under REC mechanism shall be treated as Exported power. However, the normalized power export will not qualify for issue of Energy Saving Certificates under PAT Scheme.</t>
  </si>
  <si>
    <t>Lot, Yearly</t>
  </si>
  <si>
    <t>1) Power Purchase Agreement (PPA) for the capacity related to such generation to sell electricity at preferential tariff determined by the Appropriate Commission</t>
  </si>
  <si>
    <t>(xvii)</t>
  </si>
  <si>
    <t>Please provide plant connected load in kW.</t>
  </si>
  <si>
    <t>Monthly</t>
  </si>
  <si>
    <t>1) L-Form document 2) Electrical Inspectorate record</t>
  </si>
  <si>
    <t>1) Total connected Load (TCL) of Plant 2) Equipment List</t>
  </si>
  <si>
    <t>(xviii)</t>
  </si>
  <si>
    <t>Please provide plant contract demand with utility in KVA.</t>
  </si>
  <si>
    <t>1) Monthly Electricity Bills from Utility</t>
  </si>
  <si>
    <t>(xix)</t>
  </si>
  <si>
    <t>Pleaase provide your Notified Specific Energy Consumption in TOE/T  for Baseline Year</t>
  </si>
  <si>
    <t>As per Notification S.O.687 ( E)dated 31/03/2012</t>
  </si>
  <si>
    <t>1) Notification S.O.687 ( E)dated 31/03/2012</t>
  </si>
  <si>
    <t>(xx)</t>
  </si>
  <si>
    <t>Pleaase provide your Target Specific Energy Consumption in TOE/T for Target year</t>
  </si>
  <si>
    <t>As per Notification S.O.687 ( E)dated 31/03/2013</t>
  </si>
  <si>
    <t>1) Notification S.O.687 ( E)dated 31/03/2013</t>
  </si>
  <si>
    <t>(xxi)</t>
  </si>
  <si>
    <t>Formulae Protected Difference of Notifies SEC and Target SEC (Saving Target)</t>
  </si>
  <si>
    <t>(xxii)</t>
  </si>
  <si>
    <t>Please fill Equivalent Major Product Output in tonnes as per PAT scheme Notification</t>
  </si>
  <si>
    <t>(xxiii)</t>
  </si>
  <si>
    <t>Formula protected (Total electricity purchased from grid = Electricity purchased from grid + Renewal Electricity Consumption + Electricity consumption from CPP outside Plant boundary through wheeling )</t>
  </si>
  <si>
    <t>(xxiv)</t>
  </si>
  <si>
    <t xml:space="preserve">Formula protected ( Total electricty purchased from grid without Colony/Construction power Others) </t>
  </si>
  <si>
    <t>(xxv)</t>
  </si>
  <si>
    <t xml:space="preserve">Formula protected ( Equivalent thermal energy of purchase electricity from the grid / others = Total electricity from the grid/ other * 860/10) </t>
  </si>
  <si>
    <t>(xxvi)</t>
  </si>
  <si>
    <t>Formula protected ( Total Renewable Energy purchased from Grid (Wheeling/Dedicated line))</t>
  </si>
  <si>
    <t>(xxvii)</t>
  </si>
  <si>
    <t>Formula protected ( Indirect GHG Emissions from Purchased Electricity - Grid</t>
  </si>
  <si>
    <t>(xxviii)</t>
  </si>
  <si>
    <t>Formula protected ( Indirect GHG Emissions from Purchased electricity (CPP outside boundary)[Through Wheeling &amp; Dedicated line])</t>
  </si>
  <si>
    <t>(xxix)</t>
  </si>
  <si>
    <t>Formula protected ( Total Indirect GHG Emissions from purchased electricity)</t>
  </si>
  <si>
    <t>C.2</t>
  </si>
  <si>
    <t>Own Generation</t>
  </si>
  <si>
    <t>C.2.1</t>
  </si>
  <si>
    <t>Through DG set</t>
  </si>
  <si>
    <t>Selection is required from the drop down list for grid connectivity with grid (Yes/No)</t>
  </si>
  <si>
    <t>If selected "No" then an Undertaking from competent authority shall be provided</t>
  </si>
  <si>
    <t>1) Undertaking from Competent Authority 2) Document of Synchronisation from DSCOM</t>
  </si>
  <si>
    <t>Please provide installed capacity of DG sets in MW.</t>
  </si>
  <si>
    <t xml:space="preserve">1) OEM document for capacity 2) Rating plate of Generator </t>
  </si>
  <si>
    <t>1) Capacity Enhancement document</t>
  </si>
  <si>
    <t>Please provide gross unit generation from DG sets in Lakh kWh.</t>
  </si>
  <si>
    <t>Continuous, Hourly, daily, Monthly</t>
  </si>
  <si>
    <t>1) Daily Power Report 2) Monthly Power Report 3) DG main energy meter reading record 4) Energy Managemen System data</t>
  </si>
  <si>
    <t>1)Electrical Shift log book 2) Utility Shift Log book</t>
  </si>
  <si>
    <t>Please provide designed gross heat rate of DG sets in kcal/kWh.</t>
  </si>
  <si>
    <t>1) OEM document on designed heat rate 2) OEM document on Specific Fuel consumption in kWh/ltr</t>
  </si>
  <si>
    <t>Please provide annual running hours of DG sets.</t>
  </si>
  <si>
    <t>1) Daily Power Report 2) Monthly Power Report 3) DG hour meter reading record 4)  Energy Managemen System data</t>
  </si>
  <si>
    <t>C.2.2.1/ C.2.2.5</t>
  </si>
  <si>
    <t>Through steam turbine/ Through gas turbine</t>
  </si>
  <si>
    <t>Please provide installed capacity of all the Units in MW.</t>
  </si>
  <si>
    <t xml:space="preserve">1) Capacity Enhancement document 2) R&amp;M document </t>
  </si>
  <si>
    <t>Please provide gross unit generation of all the Units in Lakh kWh.</t>
  </si>
  <si>
    <t>1) Daily Generation Report 2) Monthly Generation Report 3) CPP main energy meter reading record 4) Energy Management System data</t>
  </si>
  <si>
    <t>1) Energy Meter</t>
  </si>
  <si>
    <t>Please provide auxiliary power consumption (APC) in %.</t>
  </si>
  <si>
    <t>1) Daily Power Report 2) Monthly Power Report 3) CPP main energy meter reading record 4) Energy Management System data</t>
  </si>
  <si>
    <t>1) Energy Meter 2) Equipment List</t>
  </si>
  <si>
    <t>Please provide Design Heat Rate of all the Units in kcal/kWh.</t>
  </si>
  <si>
    <t>1) OEM document on designed heat rate</t>
  </si>
  <si>
    <t>1) PG test documement</t>
  </si>
  <si>
    <t>Please provide annual running hours of all the units.</t>
  </si>
  <si>
    <t>1) Daily Generation Report 2) Monthly Generation  Report 3)  Energy Management System data</t>
  </si>
  <si>
    <t xml:space="preserve">1) Break down report 3) Operators Shift Register </t>
  </si>
  <si>
    <t>Please provide annual available hours of respecitive unit. Ex. If a unit commissions on 1st Oct, then avaialble hour fro the year will be 4380 hours</t>
  </si>
  <si>
    <t>Please provide Break down hrs due to internal, Planned and external factor for calculating Plant Availability Factor</t>
  </si>
  <si>
    <t>Hourly, daily, Monthly</t>
  </si>
  <si>
    <t>1) CPP Log Sheet 2) Operaters log Register 3) Daily generation Report 4) Monthly Generation Report 5)  Energy Management System data 6)Refer Sr. No: N</t>
  </si>
  <si>
    <t>1) Operator's Shift Register 2) CPP Break down  analysis Report</t>
  </si>
  <si>
    <t>Please provide no of hrs per annum during which Plant run on  low load due to Internal Factors/ Breakdown in Plant (Average weighted hours of all the units)</t>
  </si>
  <si>
    <t>Please provide no of hrs per annum during which Plant runs on low load due to Fuel Unavailability/ Market demand/External Condition (Average weighted hours of all the units)</t>
  </si>
  <si>
    <t>Formuale Protected: Average Running Load will be gross generation/Total running hours in  a year</t>
  </si>
  <si>
    <t>Plant Availability factor is the factor after deducting the total time of break down and planned stoppage from the total hours avaialble in a year. This is required for calculating the plant load factor</t>
  </si>
  <si>
    <t>Plant Availability Factor</t>
  </si>
  <si>
    <t>Plant Lod factor is the factor of total unit generation in year and maximum unit generation while taking plant avaialability factor into account</t>
  </si>
  <si>
    <t>Plant Load Factor</t>
  </si>
  <si>
    <t>The % of Loss in loading due to external factor like Low Power demand due to market condition, Unavailability of Fuel, other external circumstances not contolled by plant. This will be calculated through Loading and total nos of hours in operation at low plant factor bifurcated with internal and external factor.</t>
  </si>
  <si>
    <t>C.2.2.6</t>
  </si>
  <si>
    <t>Formuale Protected: Weighted Calculation for STG 1-5</t>
  </si>
  <si>
    <t>C.2.4</t>
  </si>
  <si>
    <t xml:space="preserve">Through Waste Heat Recovery </t>
  </si>
  <si>
    <t>Please provide installed capacity of WHR in MW.</t>
  </si>
  <si>
    <t>Please provide gross unit generation from WHR in Lakh kWh.</t>
  </si>
  <si>
    <t>1) Daily Generation Report 2) Monthly Generation Report 3) WHR main energy meter reading record 4) Energy Management System data</t>
  </si>
  <si>
    <t xml:space="preserve">1) Energy Meter </t>
  </si>
  <si>
    <t>Please provide running hours.</t>
  </si>
  <si>
    <t>C.2.5</t>
  </si>
  <si>
    <t>Power from dedicated line</t>
  </si>
  <si>
    <t>Please provide Power wheeled through dedicated line in MW (average for the year )</t>
  </si>
  <si>
    <t>Hourly,daily,monthly</t>
  </si>
  <si>
    <t>1) Energy Meter reading for nos of hours, 2) Daily Powwer Report</t>
  </si>
  <si>
    <t>Energy Meter</t>
  </si>
  <si>
    <t>Pleaase provide Electricity wheeled in a year in lakh kWh</t>
  </si>
  <si>
    <t>Please provide Gross Heat Rate of wheeled imported Electricity in kcal/kWh</t>
  </si>
  <si>
    <t>daily, Monthly</t>
  </si>
  <si>
    <t xml:space="preserve">1) Power Purchase Agreement 2) DGR of Sister concered from where the power is wheeled 3) Heat Rate calculation of wheeled power 4) Annual report of CPP </t>
  </si>
  <si>
    <t xml:space="preserve">Please provide Net Heat Rate of wheeled Electricity from dedicated line </t>
  </si>
  <si>
    <t>Please provide Emission factor for CPP located outside plant boundary through proper documentation</t>
  </si>
  <si>
    <t>1) Coal Consumption 2) Coal Quality test certificate 3) Daily Internal Report from Lab on Fuel Proximate Analysis performed on each lot. 4) Test Certificate from Government Accredited lab. (Plant to maintain minimum 1 sample test in a quarter for Proximate and Ultimate Analysis i.e. 4 test certificates in a year for each fuel in case of CPP Fuel, for Process Fuel 1 sample test in a quarter for Proximate Analysis)  5) Purchase Order, where guaranteed GCV range is mentioned</t>
  </si>
  <si>
    <t>1) Lab Register on Fuel Testing for Proximate Analysis 2) Calibration Record of instrument used for testing 3) Sample Collection record 4) Cross-verification summary from Internal and External Lab 5) Historical test records</t>
  </si>
  <si>
    <t xml:space="preserve">Formulae Protected: Energy input in Million kcal </t>
  </si>
  <si>
    <t>C.2.6</t>
  </si>
  <si>
    <t>Through Renewable Sources (In Plant)</t>
  </si>
  <si>
    <t>C.2.6.1</t>
  </si>
  <si>
    <t>Through Renewable Sources (Solar)</t>
  </si>
  <si>
    <t>1) Undertaking from Competent Authority 2) Document of Synchronisation from DISCOM</t>
  </si>
  <si>
    <t>Please provide installed capacity of Solar in MW.</t>
  </si>
  <si>
    <t>1) OEM document for capacity 2) Rating plate of Solar Panels</t>
  </si>
  <si>
    <t>Please provide gross unit generation of Solar in Lakh kWh.</t>
  </si>
  <si>
    <t>1) Daily Generation Report 2) Monthly Generation Report 3) Solar main energy meter reading record 4) Energy Management System data</t>
  </si>
  <si>
    <t>Please provide Auxilliary Power Consumption (APC) in %.</t>
  </si>
  <si>
    <t>1) Daily Power Report 2) Monthly Power Report 3) Solar main energy meter reading record 4) Energy Management System data</t>
  </si>
  <si>
    <t>Please provide plant Load Factor in %.</t>
  </si>
  <si>
    <t>Please provide annual running hours of all the Solar units.</t>
  </si>
  <si>
    <t>Through Renewable Sources (Wind)</t>
  </si>
  <si>
    <t>Please provide installed capacity of Wind in MW.</t>
  </si>
  <si>
    <t>1) OEM document for capacity 2) Rating plate of Wind Mills</t>
  </si>
  <si>
    <t>1) Capacity Enhancement document 2) 2) Turbine Manufacturer Specifications</t>
  </si>
  <si>
    <t>Please provide gross unit generation of Wind in Lakh kWh.</t>
  </si>
  <si>
    <t>1) Daily Generation Report 2) Monthly Generation Report 3) Wind Mill main energy meter reading record 4) Energy Management System data</t>
  </si>
  <si>
    <t>1) Daily Power Report 2) Monthly Power Report 3) Wind Mill main energy meter reading record 4) Energy Management System data</t>
  </si>
  <si>
    <t>Please provide Average Wind Speed of the locality</t>
  </si>
  <si>
    <t>1) Wind Speed Measurement Data 2) SCADA System Logs 3)  On-Site Weather Station</t>
  </si>
  <si>
    <t>1) Regional Meteorological Data 2) Turbine Manufacturer Specifications</t>
  </si>
  <si>
    <t>Formula Protected (Total Captive Renewable Energy (In Plant)-from all sources)</t>
  </si>
  <si>
    <t>Formula Protected (Total Renewable Energy (through Wheeling)-from all sources)</t>
  </si>
  <si>
    <t>Formula Protected (Total Renewable Energy (In plant &amp; through Wheeling)-from all sources)</t>
  </si>
  <si>
    <t>C.3</t>
  </si>
  <si>
    <t>Formula Protected (Total Own Generation of Electricity)</t>
  </si>
  <si>
    <t>C.3.1</t>
  </si>
  <si>
    <t>Formula Protected (Emission Factor for Own Generation of Electricity)</t>
  </si>
  <si>
    <t>Weighted emission factor of all the fuels consumed in  the plnat</t>
  </si>
  <si>
    <t>C.4</t>
  </si>
  <si>
    <t>Please provide quantity of electricity sold to the grid in Lakh kWh.</t>
  </si>
  <si>
    <t>1) Daily Power Report 2) Monthly Power Report 3) Export main energy meter reading record 4) Energy Management System data 5) Monthly Export bill receipt sent  to utility</t>
  </si>
  <si>
    <t>Export Energy Meter</t>
  </si>
  <si>
    <t>C.5</t>
  </si>
  <si>
    <t>Please provide quantity of electricity consumed in colony /other in Lakh kWh.</t>
  </si>
  <si>
    <t>1) Daily Power Report 2) Monthly Power Report 3) Colony/other main energy meter reading record 4) Energy Managemen System data</t>
  </si>
  <si>
    <t>1) colony/Others meter</t>
  </si>
  <si>
    <t>C.6</t>
  </si>
  <si>
    <t xml:space="preserve">Formula Protected (Electricity Suplied to the grid/others) </t>
  </si>
  <si>
    <t>C.7</t>
  </si>
  <si>
    <t xml:space="preserve">Formula Protected (Equivalent Thermal Energy supplied to the grid/others) </t>
  </si>
  <si>
    <t>C.8</t>
  </si>
  <si>
    <t>Formula Protected (Total Electricity Consumed within Plant)</t>
  </si>
  <si>
    <t>C9</t>
  </si>
  <si>
    <t xml:space="preserve">Emission to be adjusted for export to grid/colony </t>
  </si>
  <si>
    <t>Formula Protected (Emission factor for in-plant generation, dedicated line imports and renewables)</t>
  </si>
  <si>
    <t>Formula Protected (Emission factor for colony power export &amp; Intermediary product (Grid import/IPP import))</t>
  </si>
  <si>
    <t>Formula Protected (Emission to be adjusted for export to grid)</t>
  </si>
  <si>
    <t>Formula Protected (Emission to be adjusted for export to colony )</t>
  </si>
  <si>
    <t>Formula Protected (Total emission to be adjusted)</t>
  </si>
  <si>
    <t>D</t>
  </si>
  <si>
    <t>Solid Fuel Consumption</t>
  </si>
  <si>
    <t>D.1/D.2/D.3/D.4 / D.5 /D.6/D.7/D.8</t>
  </si>
  <si>
    <t>Coal (Indian) / Petcoke/ Coal (Imported) / Coal (Lignite)/Coal 1/Coal 2/Coal 3/ Coal 4 (Other Solid Fuel)</t>
  </si>
  <si>
    <t>Selection to be made from the drop down list for Coal 1..4</t>
  </si>
  <si>
    <t>Please provide landed cost of Solid Fuel i.e. Basic Cost+All Taxes + Freight. The landed cost of last purchase order in the financial year</t>
  </si>
  <si>
    <t xml:space="preserve">1) Purchase Order for basic rates and taxes 2) Freight document for rates </t>
  </si>
  <si>
    <t>Please provide the gross calorific value (As Dried Basis) of solid fuel consumed for power generation in kcal/kg.</t>
  </si>
  <si>
    <t>1) Operating Coal Quality- Monthly average of the lots (As Dried Basis),Test Certificate for Coal Analysis including Proximate and Ultimate analysis (Minimum of 1 Samples Test from Government Lab for cross verification quarterly).
2) For Internal testing, the documentation should include
a)  Date of Testing
b) Sample Details
c) Testing Methods
d) Calorimeter Data: Results from bomb calorimeter testing or any other instruments used.
Technician Details: Signature or certification of the technician conducting the test.</t>
  </si>
  <si>
    <t>Lot, Daily, Monthly, Quarterly</t>
  </si>
  <si>
    <t>1) Daily Internal Report from Lab on Fuel Proximate Analysis performed on each lot. 2) Test Certificate from Government Accredited lab. (Plant to maintain minimum 1 sample test in a quarter for Proximate and Ultimate Analysis i.e. 4 test certificates in a year for each fuel in case of CPP Fuel, for Process Fuel 1 sample test in a quarter for Proximate Analysis)  3) Purchase Order, where guaranteed GCV range is mentioned</t>
  </si>
  <si>
    <t>Please provide the gross calorific value (As Dried Basis) of solid fuel consumed in the process in kcal/kg.</t>
  </si>
  <si>
    <t>Please provide the Net calorific value  of solid fuel consumed for power generation in kcal/kg.</t>
  </si>
  <si>
    <t xml:space="preserve">The NCV calculation for solid fuel shall be undertaken as per Indian Standard (IS) 1350 (Part 2): 2022 or any other equivalent national/international standard. In case of non-availability of the net calorific value, the standard conversion factor from GCV to NCV as per Intergovernmental Panel on Climate Change (IPCC) of 95% for solid fuels and same methodology is to be followed in baseline/assessment year </t>
  </si>
  <si>
    <t>1) Lab Register on Fuel Testing for Ultimate Analysis 2) Calibration Record of instrument used for testing 3) Sample Collection record 4) Cross-verification and deviation summary from Internal and External Lab 5) Historical test records</t>
  </si>
  <si>
    <t>Please provide the Net calorific value of solid fuel consumed in the process in kcal/kg.</t>
  </si>
  <si>
    <t>Please provide the annual solid fuel quantity purchased for generation of Power  in tonnes.</t>
  </si>
  <si>
    <t>Lot, Daily, Monthly, Yearly</t>
  </si>
  <si>
    <t>1) Purchase Order 2) Stores Receipt 3) SAP Entry in MM/PP/FI module 4) Annual Report</t>
  </si>
  <si>
    <t xml:space="preserve">1) Stores Receipt Register </t>
  </si>
  <si>
    <t>Please provide the annual solid fuel quantity purchased process use  in tonnes.</t>
  </si>
  <si>
    <t>Please provide Average Surface Moisture in Fuel used for power generation in %</t>
  </si>
  <si>
    <t>1) Internal Lab Test Report (Sample Identification, Testing Method, Testing Equipment Used) 2) Sample Collection Log (Sample Collection time, Handling Protocol) 3) Sample collection Procedure 4) Purchase Order, where guaranteed % moisture range is mentioned</t>
  </si>
  <si>
    <t>1) Lab Register on Fuel Testing  2) Calibration Record of instrument used for testing 3) Sample Collection record 4) Cross-verification summary from Internal and External Lab</t>
  </si>
  <si>
    <t>Please provide Average Surface Moisture in Fuel used for process in %</t>
  </si>
  <si>
    <t>1) Lab Register on Fuel Testing 2) Calibration Record of instrument used for testing 3) Sample Collection record 4) Cross-verification and deviation summary from Internal and External Lab 5) Historical test records</t>
  </si>
  <si>
    <t>Please provide % Total Carbon in fuel used for power generation</t>
  </si>
  <si>
    <t xml:space="preserve">For determining Type II emission factors for the solid all be calculated using the site-specific Net Calorific Value (NCV) (sampled and calculated) of fuel and Total Carbon (TC) (%) in the fuel calculated based on solid fuel analysis </t>
  </si>
  <si>
    <t>Please provide % Total Carbon in fuel used for process</t>
  </si>
  <si>
    <t>1) Internal Lab Test Report (Sample Identification, Testing Method, Testing Equipment Used) 2) Sample Collection Log (Sample Collection time, Handling Protocol) 3) Sample collection Procedure</t>
  </si>
  <si>
    <t>Please provide % Oxidation Factor used for power generation</t>
  </si>
  <si>
    <t>The conversion factors for fuel combustion shall be further adjusted with the oxidation factor as monitored and measured by the obligated entity and in case of non-availability of oxidation factor, the default oxidation factor of 100 shall be applied</t>
  </si>
  <si>
    <t>Default Factor 100 is to be applied</t>
  </si>
  <si>
    <t>Please provide % Oxidation Factor used for process</t>
  </si>
  <si>
    <t>Please provide the annual solid fuel quantity consumed in power generation in tonnes.</t>
  </si>
  <si>
    <t>Hourly, Daily and Monthly</t>
  </si>
  <si>
    <t>1) DGR 2) MGR 3)  CPP Log Sheet 4) SAP Entry in MM/PP/FI module 5) Annual Report</t>
  </si>
  <si>
    <t>1)Belt Weigher before Coal Bunker</t>
  </si>
  <si>
    <t>Please provide the annual solid fuel quantity consumed in process in tonnes.</t>
  </si>
  <si>
    <t>1) DPR 2) MPR 3)  Kiln Log Sheet 4) SAP Entry in MM/PP/FI module 5) Annual Report</t>
  </si>
  <si>
    <t>1) Belt Weigh Feeder 2) Solid Flow Meter</t>
  </si>
  <si>
    <t xml:space="preserve">Formula protected  Emission Factor - (Power Generation) </t>
  </si>
  <si>
    <t>Please provide %C of fuel used in Power Generation for site specific calculation</t>
  </si>
  <si>
    <t>1) Calculation as per % Carbon * 3.664 divided by NCV</t>
  </si>
  <si>
    <t>1) Environmental Reports 2) DPR 3) SAP Entry in MM/PP module</t>
  </si>
  <si>
    <t xml:space="preserve">Formula protected Emission Factor - (Process) </t>
  </si>
  <si>
    <t>Please provide %C of fuel used in Process Generation for site-specific calculation</t>
  </si>
  <si>
    <t>1) Calculation as per % Carbon * 3.664  divided by NCV</t>
  </si>
  <si>
    <t>Formula protected (Total solid fuel consumption in the power generation and process)</t>
  </si>
  <si>
    <t>Formula protected (Equivalent thermal energy used in power generation)</t>
  </si>
  <si>
    <t>Formula protected (Equivalent thermal energy used in processing)</t>
  </si>
  <si>
    <t>Formula protected (GHG Emission from power generation)</t>
  </si>
  <si>
    <t>Formula protected (GHG Emission from process)</t>
  </si>
  <si>
    <t>D.9</t>
  </si>
  <si>
    <t>Unburnt fuel Generation From CPP( AFBC/CFBC Boiler)</t>
  </si>
  <si>
    <t>Please provide % Total Carbon (Fossil) in fuel used for process</t>
  </si>
  <si>
    <t>Please provide Quantity purchased &amp; used in process (Surface Moisture Free) in Tonnes</t>
  </si>
  <si>
    <t>Quantity generated from power plant &amp; used in process(Surface Moisture Free) in Tonnes</t>
  </si>
  <si>
    <t>Formula protected (GHG Emission Factor)</t>
  </si>
  <si>
    <t>Please provide %C of fuel used in Process Generation for site specific calculation</t>
  </si>
  <si>
    <t>Formula protected (Total Quantity Consumed)</t>
  </si>
  <si>
    <t>Formula protected (Thermal Energy from unburnt fuel in Power Plant)</t>
  </si>
  <si>
    <t>Formula protected (GHG Emission (fossil) Process)</t>
  </si>
  <si>
    <t>D.10/D.11</t>
  </si>
  <si>
    <t>Biomass and other renewable solid fuel / Solid waste</t>
  </si>
  <si>
    <t>Note: The emission related to CH4/N2O and Non-Fossil fuel are not included in the emission calculation</t>
  </si>
  <si>
    <t>Please provide the gross calorific value of biomass / solid waste for Power generation and process use in kcal/kg.</t>
  </si>
  <si>
    <t>Please provide the Net calorific value of biomass / solid waste for Power generation and process use in kcal/kg.</t>
  </si>
  <si>
    <t>Please provide % Total Carbon (Non-Fossil) in fuel used for Power generation and process use in %</t>
  </si>
  <si>
    <t>Please provide % Oxidation Factor (Non-Fossil) used for Power generation and  process use in %</t>
  </si>
  <si>
    <t>Please provide the annual biomass/ solid waste quantity puchased in tonnes</t>
  </si>
  <si>
    <t>Please provide the annual solid fuel moisture % (As Received Basis)</t>
  </si>
  <si>
    <t>1) Daily Internal Report from Lab on Fuel Proximate Analysis performed on each lot. 2) Purchase Order, where guaranteed % moisture range is mentioned</t>
  </si>
  <si>
    <t>1) Lab Register on Fuel Testing for Proximate Analysis 2) Callibration Record of instrument used for testing</t>
  </si>
  <si>
    <t>Please provide the annual biomass/ solid waste Consumed in power generation in tonnes.</t>
  </si>
  <si>
    <t>1) DPR 2) MPR 3)  CPP Log Sheet 4) SAP Entry in MM/PP/FI module 5) Annual Report</t>
  </si>
  <si>
    <t>Please provide the annual biomass/ solid waste consumed in processing in tonnes.</t>
  </si>
  <si>
    <t>Formula protected (Non-Fossil Emission Factor (CO2) Power generation)</t>
  </si>
  <si>
    <t>Formula protected (Non-Fossil Emission Factor (CO2) Process)</t>
  </si>
  <si>
    <t>Formula protected (CH4 Emission Factor )</t>
  </si>
  <si>
    <t xml:space="preserve">default included - But not included in emissions </t>
  </si>
  <si>
    <t>Formula protected (N2O Emission Factor)</t>
  </si>
  <si>
    <t>Formula protected (Total biomass/ solid waste consumption in the power generation and process)</t>
  </si>
  <si>
    <t>Formula protected (GHG Emission (Non-Fossil)-Power (CO2))</t>
  </si>
  <si>
    <t>Formula protected (GHG Emission (Non-Fossil) - Process (CO2))</t>
  </si>
  <si>
    <t>Formula protected (GHG Emissions - Process and Power (CH4 and N2O))</t>
  </si>
  <si>
    <t>D.12</t>
  </si>
  <si>
    <t xml:space="preserve">Formula protected [Total solid fuel (indian coal, petcoke, imported coal, lignite and biomass) thermal energy used in power generation] </t>
  </si>
  <si>
    <t>D.13</t>
  </si>
  <si>
    <t xml:space="preserve">Formula protected [Total solid fuel (indian coal, petcoke, imported coal and lignite ) thermal energy used in processing] </t>
  </si>
  <si>
    <t>D.14</t>
  </si>
  <si>
    <t>Formula protected (Total GHG Emissions from Power Generation -Fossil)</t>
  </si>
  <si>
    <t>D.15</t>
  </si>
  <si>
    <t>Formula protected (Total GHG Emisisions from Process heating - Fossil)</t>
  </si>
  <si>
    <t>D.16</t>
  </si>
  <si>
    <t>Formula protected (Total GHG Emissions from Solid Fuel-Fossil)</t>
  </si>
  <si>
    <t>D.17</t>
  </si>
  <si>
    <t>Formula protected (Total GHG Emissions from Power Generation -Non-Fossil)</t>
  </si>
  <si>
    <t>D.18</t>
  </si>
  <si>
    <t>Formula protected (Total GHG Emissions from Process - Non-Fossil)</t>
  </si>
  <si>
    <t>E</t>
  </si>
  <si>
    <t>Liquid Fuel Consumption</t>
  </si>
  <si>
    <t>E.1/E.4</t>
  </si>
  <si>
    <t>Furnace Oil</t>
  </si>
  <si>
    <t>Please provide the gross calorific value of furnace oil in kcal/kg.</t>
  </si>
  <si>
    <t>For Internal testing, the documentation should include
a)  Date of Testing
b) Sample Details
c) Testing Methods
d) Calorimeter Data: Results from bomb calorimeter testing or any other instruments used.
Technician Details: Signature or certification of the technician conducting the test.</t>
  </si>
  <si>
    <t>Lot, Monthly, Yearly</t>
  </si>
  <si>
    <t xml:space="preserve">1) Test report from Supplier 2) Daily Internal Report from Lab on Fuel Proximate Analysis performed on each lot. 3) Test Certificate from Government Accredited lab.  4) Purchase Order, where guaranteed GCV range is mentioned 5) Standard Value as per Notification </t>
  </si>
  <si>
    <t xml:space="preserve">1) Lab Register on Fuel Testing for Proximate Analysis 2) Calibration Record of instrument used for testing </t>
  </si>
  <si>
    <t>Please provide the net calorific value of furnace oil in kcal/kg.</t>
  </si>
  <si>
    <t xml:space="preserve">The NCV calculation for solid fuel shall be undertaken as per Indian Standard (IS) 1350 (Part 2): 2022 or any other equivalent national/international standard. In case of non-availability of the net calorific value, the standard conversion factor from GCV to NCV as per the Intergovernmental Panel on Climate Change (IPCC) of 95% for Liquid fuels and same methodology is to be followed in baseline/assessment year </t>
  </si>
  <si>
    <t>Please provide % Oxidation Factor  used for Power generation in %</t>
  </si>
  <si>
    <t>Please provide the annual furnace oil quantity purchase in kilo Litres.</t>
  </si>
  <si>
    <t>Stores Receipt</t>
  </si>
  <si>
    <t>Please provide the density of furnace oil in kg/lit.</t>
  </si>
  <si>
    <t>1) Test report from Supplier 2) Internal Test Report from lab 3) Test report from Government Accredited Lab 4) Standard Value as per Notification</t>
  </si>
  <si>
    <t xml:space="preserve">Lab Register </t>
  </si>
  <si>
    <t>Formula protected  [Emission Factor - (Power Generation)]</t>
  </si>
  <si>
    <t xml:space="preserve">Emission Factor from IPCC , Default factors is to be applied for liquid fuels </t>
  </si>
  <si>
    <t>Please provide the furnace oil quantity consumed in DG set for power generation in kilo Litres.</t>
  </si>
  <si>
    <t>Daily, Monthly, Yearly</t>
  </si>
  <si>
    <t>1) Daily Generation Report 2) Monthly Generation Report 3) DG Log Sheet 4) SAP Entry in MM/PP/FI module 5) Annual Report</t>
  </si>
  <si>
    <t>Flow Meter, Dip measurement in day tank</t>
  </si>
  <si>
    <t>Please provide the furnace oil quantity consumed in CPP for power generation in kilo Litres.</t>
  </si>
  <si>
    <t>1) Daily Generation Report 2) Monthly Generation Report 3)  CPP Log Sheet 4) SAP Entry in MM/PP/FI module 5) Annual Report</t>
  </si>
  <si>
    <t>Please provide the furnace oil quantity used in process heating (including Pyro-processing and cement mill Hot Air Generator) in kilo Litres.</t>
  </si>
  <si>
    <t>1) DPR 2) MPR 3)  Kiln Log Sheet 4) Cement Mill Log Sheet 5) SAP Entry in MM/PP/FI module 6) Annual Report</t>
  </si>
  <si>
    <t>Formula protected (Total furnace oil used in DG, CPP and process heating multiply by the density)</t>
  </si>
  <si>
    <t>Formula protected ( Total furnace oil thermal energy used in DG set)</t>
  </si>
  <si>
    <t>Formula protected ( Total furnace oil thermal energy used in CPP)</t>
  </si>
  <si>
    <t>Formula protected ( Total furnace oil thermal energy used in Process Heating)</t>
  </si>
  <si>
    <t>Formula protected (GHG Emissions from Power Generation (DG Set))</t>
  </si>
  <si>
    <t>Formula protected (GHG Emissions from Power Generation (CPP))</t>
  </si>
  <si>
    <t>Formula protected (GHG Emissions from Process )</t>
  </si>
  <si>
    <t>E.2/E.3</t>
  </si>
  <si>
    <t>LSHS/High Sulphur Heavy Stock (HSHS)/Pyrolysis Oil (PO)/Petro Polymer Oil (PPO)</t>
  </si>
  <si>
    <t>Please provide the gross calorific value of LSHS/HSHS/PO/PPO in kcal/kg.</t>
  </si>
  <si>
    <t>Please provide the net calorific value of LSHS/HSHS/PO/PPO in kcal/kg.</t>
  </si>
  <si>
    <t>Please provide the annual LSHS/HSHS/PO/PPO quantity purchase in Tonnes.</t>
  </si>
  <si>
    <t>Please provide the LLSHS/HSHS/PO/PPO quantity consumed in DG set for power generation in Tonnes.</t>
  </si>
  <si>
    <t>Please provide the LSHS/HSHS/PO/PPOquantity consumed in CPP for power generation in Tonnes.</t>
  </si>
  <si>
    <t>Please provide the LSHS/HSHS/PO/PPO quantity consumed in process heating.</t>
  </si>
  <si>
    <t>Formula protected (Total LSHS/HSHS/PO/PPO used in DG, CPP and process heating)</t>
  </si>
  <si>
    <t>Formula protected ( Total LSHS/HSHS/PO/PPO thermal energy used in DG set)</t>
  </si>
  <si>
    <t>Formula protected ( Total LSHS/HSHS/PO/PPO thermal energy used in CPP)</t>
  </si>
  <si>
    <t>Formula protected ( TotalLSHS/HSHS/PO/PPO thermal energy used in Process Heating)</t>
  </si>
  <si>
    <t>E.4/E.5</t>
  </si>
  <si>
    <t>HSD/LDO</t>
  </si>
  <si>
    <t>Please provide the gross calorific value of HSD/LDO in kcal/kg.</t>
  </si>
  <si>
    <t>Please provide the net calorific value of HSD/LDO in kcal/kg.</t>
  </si>
  <si>
    <t>Please provide the annual HSD/LDO quantity purchase in kilo Litres.</t>
  </si>
  <si>
    <t>Please provide the density of HSD/LDO kg/lit.</t>
  </si>
  <si>
    <t>Please provide the HSD/LDO quantity used in DG set for power generation in kilo Litres.</t>
  </si>
  <si>
    <t>Please provide the HSD/LDO quantity used in CPP for power generation in kilo Litres.</t>
  </si>
  <si>
    <t>Please provide the HSD/LDO quantity used in Transportation, if any  in kilo Litres.</t>
  </si>
  <si>
    <t>1)Vehicle Log book 2) Stores Receipt 3) Fuel Dispenser meter reading 3) Work Order for Internal Transportation</t>
  </si>
  <si>
    <t>Please provide the HSD/LDO quantity used in process heating  in kilo Litres.</t>
  </si>
  <si>
    <t>Formula protected (Total HSD/LDO used in DG, CPP and process heating multiply by the density)</t>
  </si>
  <si>
    <t>Formula protected ( Total HSD/LDO thermal energy used in DG set)</t>
  </si>
  <si>
    <t>Formula protected ( Total HSD/LDO thermal energy used in Internal Transportation (Internal Raw Material handling,Loco etc))</t>
  </si>
  <si>
    <t>Formula protected ( Total HSD/LDO thermal energy used in CPP)</t>
  </si>
  <si>
    <t>Formula protected ( Total HSD/LDO thermal energy used in Process Heating)</t>
  </si>
  <si>
    <t>E.6</t>
  </si>
  <si>
    <t>Liquid Waste</t>
  </si>
  <si>
    <t>Please provide the gross calorific value of liquid waste in kcal/kg.</t>
  </si>
  <si>
    <t>Please provide the net calorific value of Liquid Waste in kcal/kg.</t>
  </si>
  <si>
    <t>Please provide the annual liquid waste quantity purchase in kilo Litres.</t>
  </si>
  <si>
    <t>Please provide the density of liquid waste in kg/lit.</t>
  </si>
  <si>
    <t>Please provide % Total Carbon (Fossil &amp; Non-Fossil) in fuel used for Power generation and process use in %</t>
  </si>
  <si>
    <t xml:space="preserve">1) Internal Lab Test Report (Sample Identification, Testing Method, Testing Equipment Used) 2) Sample Collection Log (Sample Collection time, Handling Protocol) 3) Sample collection Procedure </t>
  </si>
  <si>
    <t>Please provide % Oxidation Factor (Fossil &amp; Non-Fossil) used for Power generation and  process use in %</t>
  </si>
  <si>
    <t>Formula protected  [Emission Factor -Fossil]</t>
  </si>
  <si>
    <t xml:space="preserve">Please provide %C of fuel used in Power Generation for site specific calculation, otherwise  Default factors is to be applied for liquid fuels </t>
  </si>
  <si>
    <t>Formula protected  [Emission Factor -Non Fossil]</t>
  </si>
  <si>
    <t>Please provide the liquid waste quantity consumed in DG set for power generation in kilo Litres.</t>
  </si>
  <si>
    <t>Please provide the liquid waste quantity consumed in CPP for power generation in kilo Litres.</t>
  </si>
  <si>
    <t>Please provide the liquid waste quantity consumed in process heating  in kilo Litres.</t>
  </si>
  <si>
    <t>Formula protected (Total liquid waste used in DG, CPP and process heating multiplied by the density)</t>
  </si>
  <si>
    <t>Formula protected ( Total liquid waste thermal energy used in DG set)</t>
  </si>
  <si>
    <t>Formula protected ( Total liquid waste thermal energy used in CPP)</t>
  </si>
  <si>
    <t>Formula protected ( Total liquid waste thermal energy used in Process Heating)</t>
  </si>
  <si>
    <t>Formula protected (GHG Emissions from power generation (DG Set) -Fossil)</t>
  </si>
  <si>
    <t>Formula protected (GHG Emissions from Power Generation (CPP) - Fossil)</t>
  </si>
  <si>
    <t>Formula protected (GHG Emissions from process -Fossil)</t>
  </si>
  <si>
    <t>Formula protected (GHG Emissions from power generation (DG Set) -Non Fossil)</t>
  </si>
  <si>
    <t>Formula protected (GHG Emissions from Power Generation (CPP) - Non Fossil)</t>
  </si>
  <si>
    <t>Formula protected (GHG Emissions from process -Non Fossil )</t>
  </si>
  <si>
    <t>E.7</t>
  </si>
  <si>
    <t xml:space="preserve">Formula protected [Total liquid fuel (furnace oil, LSHS, HSHS, HSD and LDO) thermal energy used in DG set for power generation] </t>
  </si>
  <si>
    <t>E.8</t>
  </si>
  <si>
    <t xml:space="preserve">Formula protected [Total liquid fuel (furnace oil, LSHS, HSHS, HSD and LDO) thermal energy used in CPP for power generation] </t>
  </si>
  <si>
    <t>E.9</t>
  </si>
  <si>
    <t xml:space="preserve">Formula protected [Total liquid fuel (furnace oil, LSHS, HSHS, HSD and LDO) thermal energy used in process heating] </t>
  </si>
  <si>
    <t>E.10</t>
  </si>
  <si>
    <t>Formula protected (Total GHG emission from Power Generation - DG Set (Liquid Fuel) - Fossil)</t>
  </si>
  <si>
    <t>E.11</t>
  </si>
  <si>
    <t>Formula protected (Total GHG emission from Power Generation - CPP  (Liquid Fuel) - Fossil)</t>
  </si>
  <si>
    <t>E.12</t>
  </si>
  <si>
    <t>Formula protected (Total GHG emission from  Process  heating (Liquid Fuel) - Fossil)</t>
  </si>
  <si>
    <t>E.13</t>
  </si>
  <si>
    <t>Formula protected (Total GHG emission from Power Generation &amp; Process  heating Liquid Fuel - Fossil)</t>
  </si>
  <si>
    <t>E.14</t>
  </si>
  <si>
    <t>Formula protected (Total GHG emission from Power Generation - DG Set (Liquid Fuel) - Non Fossil)</t>
  </si>
  <si>
    <t>E.15</t>
  </si>
  <si>
    <t>Formula protected (Total GHG emission from Power Generation - CPP  (Liquid Fuel) - Non Fossil)</t>
  </si>
  <si>
    <t>E.16</t>
  </si>
  <si>
    <t>Formula protected (Total GHG emission from Power Generation - Process  (Liquid Fuel) - Non Fossil)</t>
  </si>
  <si>
    <t>F</t>
  </si>
  <si>
    <t>Gaseous  Fuel Consumption</t>
  </si>
  <si>
    <t>F.1</t>
  </si>
  <si>
    <t>Natural Gas (CNG/NG/PNG/LNG)</t>
  </si>
  <si>
    <t>Please provide the gross calorific value of NG in kcal/SCM.</t>
  </si>
  <si>
    <t>1) Test report from Supplier 2) Test report from Government Accredited Lab 3) Standard Value as per Notification</t>
  </si>
  <si>
    <t>Please provide the net calorific value of NG in kcal/SCM.</t>
  </si>
  <si>
    <t xml:space="preserve"> In case NCV is not available  0.90 is to be applied to GCV </t>
  </si>
  <si>
    <t>1) Test report from Supplier 2) Test report from Government Accridited Lab 3) Standard Value as per Notification</t>
  </si>
  <si>
    <t>Please provide the Oxidation Factorof NG</t>
  </si>
  <si>
    <t>Default factor of 100 is applied</t>
  </si>
  <si>
    <t xml:space="preserve">Formula protected ( GHG Emission factor) </t>
  </si>
  <si>
    <t xml:space="preserve">GHG Emission Factor (default in case contirbution less than 10%) or else site specific emisison factor </t>
  </si>
  <si>
    <t>Please provide the annual NG quantity purchase in million SCM.</t>
  </si>
  <si>
    <t>Lot, Dailiy, Monthly, Yearly</t>
  </si>
  <si>
    <t>Gas Meter Reading, Bullet Pressure Reading</t>
  </si>
  <si>
    <t>Please provide the NG quantity consumed in power generation in million SCM.</t>
  </si>
  <si>
    <t>Contnuous, Daily, Monthly, Yearly</t>
  </si>
  <si>
    <t>1) Daily Generation Report 2) Monthly Generation Report 3) GG Log Sheet 4) SAP Entry in MM/PP/FI module 5) Annual Report</t>
  </si>
  <si>
    <t>Please provide the NG quantity consumed in transportation in million SCM.</t>
  </si>
  <si>
    <t>Please provide the NG quantity consumed in process heating million SCM</t>
  </si>
  <si>
    <t>Formula protected (Total NG used in power generation and process heating)</t>
  </si>
  <si>
    <t>Formula protected ( Total NG thermal energy used in power generation)</t>
  </si>
  <si>
    <t>Formula protected ( Total NG thermal energy used in  Internal Transportation (Internal Raw Material handling,Loco etc)</t>
  </si>
  <si>
    <t>Formula protected ( Total NG  thermal energy used in Process Heating)</t>
  </si>
  <si>
    <t>Formula protected (GHG Emissions from Power Generation)</t>
  </si>
  <si>
    <t>Formula protected (GHG Emissions from Internal transporation)</t>
  </si>
  <si>
    <t>Formula protected (GHG Emissions from process heating)</t>
  </si>
  <si>
    <t>F.2</t>
  </si>
  <si>
    <t>Liquefied Petroleum Gas (LPG)</t>
  </si>
  <si>
    <t>Please provide the gross calorific value of LPG in kcal/kg.</t>
  </si>
  <si>
    <t>Please provide the net calorific value of LPG in kcal/kg.</t>
  </si>
  <si>
    <t>Please provide the Oxidation Factorof LPG</t>
  </si>
  <si>
    <t>Please provide the annual LPG quantity purchase in million kg.</t>
  </si>
  <si>
    <t>Please provide the LPG quantity consumed in power generation in million kg.</t>
  </si>
  <si>
    <t>1) DPR 2) MPR 3) GG Log Sheet 4) SAP Entry in MM/PP/FI module 5) Annual Report</t>
  </si>
  <si>
    <t>Please provide the LPG quantity consumed in process heating million kg</t>
  </si>
  <si>
    <t>Formula protected (Total LPG used in power generation and process heating)</t>
  </si>
  <si>
    <t>Formula protected ( Total LPG thermal energy used in power generation)</t>
  </si>
  <si>
    <t>Formula protected ( Total LPG  thermal energy used in Process Heating)</t>
  </si>
  <si>
    <t>Formula protected (GHG Emissions from Process heating)</t>
  </si>
  <si>
    <t>F.3</t>
  </si>
  <si>
    <t xml:space="preserve">Formula protected [Total gaseous fuel thermal energy used in power generation] </t>
  </si>
  <si>
    <t>F.4</t>
  </si>
  <si>
    <t xml:space="preserve">Formula protected [Total gaseous  fuel thermal energy used in processing] </t>
  </si>
  <si>
    <t xml:space="preserve">F.5 </t>
  </si>
  <si>
    <t>Formula protected [GHG Emissions from Power Generation (Gasesous Fuel)]</t>
  </si>
  <si>
    <t>F.6</t>
  </si>
  <si>
    <t>Formula protected [GHG Emissions from Process heating (Gaseous fuel)]</t>
  </si>
  <si>
    <t>F.7</t>
  </si>
  <si>
    <t>Formula protected [GHG Emissions from Gaseous fuel]</t>
  </si>
  <si>
    <t>G</t>
  </si>
  <si>
    <t>Total Thermal Energy</t>
  </si>
  <si>
    <t>G.1</t>
  </si>
  <si>
    <t>Formula protected [Total thermal energy of all input fuels ( Solid, Liquid and Gaseous) used in power generation]</t>
  </si>
  <si>
    <t>G.2</t>
  </si>
  <si>
    <t>Formula protected [Total thermal energy of all input fuels ( Solid, Liquid and Gaseous) used in process heating]</t>
  </si>
  <si>
    <t>G.3</t>
  </si>
  <si>
    <t xml:space="preserve">Formula protected [Total thermal energy  of all input fuels ( Solid, Liquid and Gaseous) used in power generation and process heating] </t>
  </si>
  <si>
    <t>G.4</t>
  </si>
  <si>
    <t>Formula protected [Total GHG Emissions in Power Generation of all input fuels( Solid, Liquid and Gaseous) used in power generation]</t>
  </si>
  <si>
    <t>G.5</t>
  </si>
  <si>
    <t>Formula protected [Total GHG Emissions in Process of all input fuels ( Solid, Liquid and Gaseous) used in process heating]</t>
  </si>
  <si>
    <t>G.6</t>
  </si>
  <si>
    <t xml:space="preserve">Formula protected [Total GHG Emissions from all input fuels ( Solid, Liquid and Gaseous) used in power generation and process heating] </t>
  </si>
  <si>
    <t>H</t>
  </si>
  <si>
    <t>Gross Heat Rate</t>
  </si>
  <si>
    <t>H.1</t>
  </si>
  <si>
    <t>Formula protected ( Gross heat rate of DG set = Total thermal energy used in DG set/ Total annual generation of DG set)</t>
  </si>
  <si>
    <t>H.2</t>
  </si>
  <si>
    <t>Formula protected ( Gross heat rate of Steam Turbine = Total thermal energy used in Steam Turbine / Total annual generation of Steam Turbine)</t>
  </si>
  <si>
    <t>H.3</t>
  </si>
  <si>
    <t>Formula protected ( Gross heat rate of Gas Turbine = Total thermal energy used in Gas Turbine / Total annual generation of Gas Turbine)</t>
  </si>
  <si>
    <t>H.4</t>
  </si>
  <si>
    <t xml:space="preserve">Formula Protected: weighted average gross heat rate </t>
  </si>
  <si>
    <t>H.5</t>
  </si>
  <si>
    <t>Formula Protected: Weighted Net Heat Rate for import of Intermediary product/export to grid/ colony</t>
  </si>
  <si>
    <t>Performance indicators</t>
  </si>
  <si>
    <t>I.1</t>
  </si>
  <si>
    <t xml:space="preserve">Please provide the thermal SEC of clinker (SEC calculated on Gross Calorific Value (GCV) basis) in kcal/kg of clinker [SEC of kiln= Total Thermal Energy consumed in kiln/Clinker Production in kcal/kg of Clinker]
</t>
  </si>
  <si>
    <t>Weekly, Monthly, Yearly</t>
  </si>
  <si>
    <t>1) Kiln Log book 2) DPR 3) MPR 4) SAP Entry in PP/MM/FI Module 5) Annual Report 6) Fuel test Certificate (Internal and External) 7) Excise Record</t>
  </si>
  <si>
    <t>1)Operator Shift Register 2) Weighfeeder Reading (Kiln Feed and Fuel Feed) 3) Belt Weigher Reading (Clinker and Fuel Firing)</t>
  </si>
  <si>
    <t>I.2</t>
  </si>
  <si>
    <t>Please provide the electrical SEC of clinkerization (includes crushing (Inside Boundary), stacking, reclaiming and grinding of raw material, coal grinding, Pyro-processing and related utilities) in kWh/Ton of product and clinker.</t>
  </si>
  <si>
    <t>1) Kiln Log book 2) DPR 3) MPR 4) SAP Entry in PP/MM/FI Module 5) Annual Report 6) Daily Power Report 7) Monthly Power report 8) Excise Record</t>
  </si>
  <si>
    <t>1)Operator Shift Register 2 Weighfeeder Reading (Kiln Feed) 3) Belt Weigher Reading (Clinker ). 4)  Meter Reading</t>
  </si>
  <si>
    <t>I.3</t>
  </si>
  <si>
    <t>Please provide the electrical SEC of cement grinding (include all the unit and utility operations, after clinkerization to the packaging and dispatch, within the plant boundary) in kWh/Ton of cement.</t>
  </si>
  <si>
    <t>1) Kiln Log book 2) DPR 3) MPR 4) SAP Entry in PP/MM/FI Module 5) Annual Report 6) Daily Power Report 7) Monthly Power report 8) Excise Record 9) CCR Trends</t>
  </si>
  <si>
    <t>1)Operator Shift Register 2 Weighfeeder Reading (Clinker/Additives) 3) Belt Weigher Reading (Cement ). 4) Solid Flow Reading 5) Meter Reading</t>
  </si>
  <si>
    <t>I.4</t>
  </si>
  <si>
    <t>Please provide the electrical SEC of Raw Material crushing (include all the unit and utility operations, within the plant boundary) in kWh/Ton of Limestone [ SEC (Crusher) ]</t>
  </si>
  <si>
    <t xml:space="preserve">1) Crusher Log book 2) DPR 3) MPR 4) SAP Entry in PP/MM/FI Module 5) Annual Report 6) Daily Power Report 7) Monthly Power report 8) Excise Record </t>
  </si>
  <si>
    <t>1)Operator Shift Register 2 Weighfeeder Reading (Limestone or Additive) 3) Belt Weigher Reading (Raw meal ) 5) Meter Reading</t>
  </si>
  <si>
    <t>I.5</t>
  </si>
  <si>
    <t>Please provide the electrical SEC of Raw material Milling (include all the unit and utility operations, within the plant boundary) in kWh/Ton of raw meal [ SEC (Raw Mill) ]</t>
  </si>
  <si>
    <t>1)Raw Mill Log book 2) DPR 3) MPR 4) SAP Entry in PP/MM/FI Module 5) Annual Report 6) Daily Power Report 7) Monthly Power report 8) Excise Record 9) CCR Trends</t>
  </si>
  <si>
    <t>1)Operator Shift Register 2 Weighfeeder Reading (Raw meal) 3) Belt Weigher Reading (Raw meal ). 4) Solid Flow Reading 5) Meter Reading</t>
  </si>
  <si>
    <t>I.6</t>
  </si>
  <si>
    <t>Please provide the electrical SEC of Coal Mill (include all the unit and utility operations, within the plant boundary) in kWh/Ton of Coal [ SEC (Coal Mill) ]</t>
  </si>
  <si>
    <t>1) coal Mill  Logbook 2) DPR 3) MPR 4) SAP Entry in PP/MM/FI Module 5) Annual Report 6) Daily Power Report 7) Monthly Power report 8) Excise Record 9) CCR Trends</t>
  </si>
  <si>
    <t>I.7</t>
  </si>
  <si>
    <t>Please provide the electrical SEC of Pyro or Clinker making (include all the unit of Pyro from Kiln Feed to Storage and utility operations, within the plant boundary) in kWh/Ton of Clinker [ SEC (clinkerisation) ]</t>
  </si>
  <si>
    <t>I.8</t>
  </si>
  <si>
    <t>Please provide the electrical SEC of Packing (include all the unit and utility operations, within the plant boundary) in kWh/Ton of Cement  [ SEC (Packimng) ]</t>
  </si>
  <si>
    <t>1) Packing plant Log book 2) DPR 3) MPR 4) SAP Entry in PP/MM/FI Module 5) Annual Report 6) Daily Power Report 7) Monthly Power report 8) Excise Record 9) CCR Trends</t>
  </si>
  <si>
    <t>I.9</t>
  </si>
  <si>
    <t>Please provide the electrical SEC of GGBS (include all the unit and utility operations, within the plant boundary) in kWh/Ton of GGBS [ SEC (GGBS) ]</t>
  </si>
  <si>
    <t>1) Cement mill Log book 2) DPR 3) MPR 4) SAP Entry in PP/MM/FI Module 5) Annual Report 6) Daily Power Report 7) Monthly Power report 8) Excise Record 9) CCR Trends</t>
  </si>
  <si>
    <t>I.10</t>
  </si>
  <si>
    <t>Please provide the Thermall SEC of GGBS (include all the unit and utility operations, within the plant boundary) in kWh/Ton [of GGBS [ SEC (GGBS) ]</t>
  </si>
  <si>
    <t>1) Cement Mill Log book 2) DPR 3) MPR 4) SAP Entry in PP/MM/FI Module 5) Annual Report 6) Daily Power Report 7) Monthly Power report 8) Excise Record 9) CCR Trends</t>
  </si>
  <si>
    <t>J</t>
  </si>
  <si>
    <t>Raw Material Quality</t>
  </si>
  <si>
    <t>J.1</t>
  </si>
  <si>
    <t>Please provide the bond index of raw material in kWh/short Ton.</t>
  </si>
  <si>
    <t>One sample per Year</t>
  </si>
  <si>
    <t xml:space="preserve">1) Limestone Test Certificate </t>
  </si>
  <si>
    <t>J.2</t>
  </si>
  <si>
    <t>Please provide the burnability of raw material</t>
  </si>
  <si>
    <t>One Sample per Quarter</t>
  </si>
  <si>
    <t>1) Raw material Quality test certificate</t>
  </si>
  <si>
    <t>J.3-J.7</t>
  </si>
  <si>
    <t>Please provide the details of Oxides of Calcium, Magnesium and Iron component in raw Material (Refer A.11 Section)</t>
  </si>
  <si>
    <t>1)Lab Test Report 2) DPR 3) MPR 4) SAP Entry in MM/PP module 5) Raw material stock entry (Stores) 6) Purchase Order</t>
  </si>
  <si>
    <t>K</t>
  </si>
  <si>
    <t>Coal Quality in CPP (As Fired Basis)</t>
  </si>
  <si>
    <t>K.1</t>
  </si>
  <si>
    <t>Please provide the Ash %  in coal used in CPP</t>
  </si>
  <si>
    <t>Location of sampling and Fuel consumption for AS FIRED Fuel analysis: After the Mill</t>
  </si>
  <si>
    <t>1) Lab Register on Fuel Testing for Proximate Analysis 2) Callibration Record of instrument used for testing  3) Lab register 4) Lab analysis prcedure documents 5) Sampling methodology document</t>
  </si>
  <si>
    <t>K.2</t>
  </si>
  <si>
    <t>Please provide the Moisture %  in coal used in CPP</t>
  </si>
  <si>
    <t>K.3</t>
  </si>
  <si>
    <t>Please provide the Hydrogen %  in coal used in CPP</t>
  </si>
  <si>
    <t>K.4</t>
  </si>
  <si>
    <t>Please provide the GCV value of coal used in CPP</t>
  </si>
  <si>
    <t>L</t>
  </si>
  <si>
    <t>Miscelleneous Data</t>
  </si>
  <si>
    <t>L1</t>
  </si>
  <si>
    <t xml:space="preserve">Additional Equipment installation after baseline year due to Environmental Concern </t>
  </si>
  <si>
    <t xml:space="preserve"> (i)</t>
  </si>
  <si>
    <t xml:space="preserve">Please provide the Electrical Energy Consumption with list of additional Equipment installed due to Environmental Concern after baseline year in Sheet! Addl Eqp List-Env. </t>
  </si>
  <si>
    <t xml:space="preserve">List of Equipment to be filled up </t>
  </si>
  <si>
    <t>Daily, Monthly, Annual</t>
  </si>
  <si>
    <t>Energy Meter Readings and Power consumpotion details of each additional equipment installed from 1st Apr to 31st March</t>
  </si>
  <si>
    <t>1) EMS 2) Energy Meter 3) Addition Equipment List with capacity and running load 4) Purchase Order document 5) SAP Data in MM module</t>
  </si>
  <si>
    <t xml:space="preserve"> (ii)</t>
  </si>
  <si>
    <t xml:space="preserve">Please provide the Thermal Energy Consumption with list of additional Equipment installed due to Environmental Concern after baseline year in Sheet! Addl Eqp List-Env. </t>
  </si>
  <si>
    <t>Solid/Liquid/Gaseous Fuel consumption of each additional equipment installed from 1st Apr to 31st March</t>
  </si>
  <si>
    <t>1) Fuel Flow Meter 2) Weigh Feeder 3) Purchase Order document 4) SAP Data in MM module</t>
  </si>
  <si>
    <t>L2</t>
  </si>
  <si>
    <t>Biomass/ Alternate Fuel availability (as per Sr. No D.9/D.10/E.6)</t>
  </si>
  <si>
    <t>Please provide the details of repalcement of Bio-mass with fossil fuel due to un-avaialability. This is required in fossil fuel tonnage in terms of equivalent GCV of Bio-mass (Used in Process)</t>
  </si>
  <si>
    <t>Fossil Fuel: Coal/Lignite/Fuel Oil</t>
  </si>
  <si>
    <t xml:space="preserve">1) Authentic Document in relation to Bio-Mass/Alternate Solid Fuel/Alternate Liquid Fuel availability in the region. 2) Test Certificate of Bio-mass from Government Accredited Lab for GCV in Baseline and assessment year 3) Test Certificate of replaced Fossil Fuel GCV </t>
  </si>
  <si>
    <t>Please provide the details of repalcement of Alternate Solid Fuel with fossil fuel due to un-avaialability.  This is required in fossil fuel tonnage in terms of equivalent GCV of Alternate Solid Fuel (Used in Process)</t>
  </si>
  <si>
    <t>Please provide the details of repalcement of Alternate Liquid Fuel with fossil fuel due to un-avaialability.  This is required in fossil fuel tonnage in terms of equivalent GCV of Alternate Liquid Fuel (Used in Process)</t>
  </si>
  <si>
    <t>L3</t>
  </si>
  <si>
    <t>Project Activities (Construction Phase)</t>
  </si>
  <si>
    <t>Please provide the Electrical Energy Consumption with list of Project Activites and energy consumed during project activities treated as Construction phase in Lakh kwh (The Energy is not to be inlcuded in C.5) Ref: Sheet!Project Activity List</t>
  </si>
  <si>
    <t>Energy Meter Readings of each project activity  with list of equipment installed under each activity from 1st Apr to 31st March</t>
  </si>
  <si>
    <t>1) EMS 2) Energy Meter 3) Addition Equipment List with capacity and running load  3) Purchase Order document 4) SAP Data in MM module</t>
  </si>
  <si>
    <t>Please provide the Thermal Energy Consumption with list of Project Activites and energy consumed during project activities treated as Construction phase in Million kcal converted from different fuel Ref: Sheet!Project Activity List</t>
  </si>
  <si>
    <t>Solid/Liquid/Gaseous Fuel consumption of each project activity with list of equipment under each activity installed from 1st Apr to 31st March</t>
  </si>
  <si>
    <t>L4</t>
  </si>
  <si>
    <t>New Line/Unit Commissioning</t>
  </si>
  <si>
    <t xml:space="preserve">Please provide the electrical energy consumed in Lakh kWh during its commissioning till it attains 70% of the new line capacity utilisation </t>
  </si>
  <si>
    <t>1) Rated Capacity of new Process/line from OEM 2) Energy Meter Readings and Power Consumption record of process/line  with list of equipment installed from 1st Apr to 31st March</t>
  </si>
  <si>
    <t>1) EMS 2) Energy Meter 3) Addition Equipment List with capacity and running load</t>
  </si>
  <si>
    <t>Please provide the thermal energy consumed in Million kcal during its commissioning till it attains 70% of the new line capacity utilisation. The energy is calculated after converting from the different fuel GCV used in the new process/line</t>
  </si>
  <si>
    <t>1) Rated Capacity of new Process/line from OEM 2) Thermal Energy Consumption record with list of equipment  from DPR/Log book/SAP Entry in PP module</t>
  </si>
  <si>
    <t>1) Fuel Flow Meter 2) Weigh Feeder</t>
  </si>
  <si>
    <t>Please provide the clinker production during its commissioning up to 70% of new line/process capacity utilisation in Tonnes</t>
  </si>
  <si>
    <t>1) Rated Capacity of new Process/line from OEM 2) Production record from DPR/Log book/SAP Entry in PP module</t>
  </si>
  <si>
    <t xml:space="preserve">1) Weigh Feeder </t>
  </si>
  <si>
    <t>Please provide the date of achieving 70% capacity utilisation of new process/line</t>
  </si>
  <si>
    <t xml:space="preserve">1) Record/Document from SAP Entry/Log Book Entry/DPR/MPR </t>
  </si>
  <si>
    <t>Operator's Shift Register</t>
  </si>
  <si>
    <t>Please provide the Electrical Energy consumed in Lakh kWh from external source during its commissioning till it attains 70% of the new unit capacity utilisation in Power generation</t>
  </si>
  <si>
    <t>1) Rated Capacity of new unit from OEM 2) Energy Meter Readings and Power Consumption record of unit  from external source with list of equipment installed from 1st Apr to 31st March</t>
  </si>
  <si>
    <t>Please provide the thermal energy consumed in Million kcal during its commissioning till it attains 70% of the new unit capacity utilisation. The energy is calculated after converting from the different fuel GCV used in the new unit  in Power generation</t>
  </si>
  <si>
    <t xml:space="preserve">1) Rated Capacity of new unit from OEM 2) Thermal Energy Consumption record with list of equipment  from DPR/Log book/SAP Entry </t>
  </si>
  <si>
    <t>Please provide the net generation in Lakh kwh from the new unit in power generation, used in the Cement Plant till the new unit achieved 70% of Capacity Utilisation</t>
  </si>
  <si>
    <t>1) EMS 2) Energy Meter</t>
  </si>
  <si>
    <t>Please provide the date of achieving 70% capacity utilisation of new unit in Power generation</t>
  </si>
  <si>
    <t>L5</t>
  </si>
  <si>
    <t>Unforeseen Circumstances</t>
  </si>
  <si>
    <t>Please provide the Electrical Energy Consumption with list of unforeseen circumstances consumed in Lakh kWh claimed for Normalisation</t>
  </si>
  <si>
    <t>Unforeseen Circumstances: Situation not under direct or indirect control of pLant management</t>
  </si>
  <si>
    <t>1) Relevent document on Unforeseen Circumstances beyond the control of plant 2) Energy Meter Readings and Power Consumption during the said period of unforeseen circumstances</t>
  </si>
  <si>
    <t>Please provide the Thermal Energy Consumption with list of unforeseen circumstances consumed in Million kcal claimed for Normalisation</t>
  </si>
  <si>
    <t xml:space="preserve">1) Relevant document on Unforeseen Circumstances beyond the control of plant 2) Thermal Energy Consumption record during the said period of unforeseen circumstances  from DPR/Log book/SAP Entry </t>
  </si>
  <si>
    <t>M</t>
  </si>
  <si>
    <t>Documentation for Normalisation</t>
  </si>
  <si>
    <t>Please select from drop down list on availability of documents for Capacity Utilization Normalisation</t>
  </si>
  <si>
    <t>1) For Normalisation factors, which became applicable due to external factors, authentic documents to be produced by DC for the baseline as well for the assessment year. In absence of these authentic documents, no Normalisation Factor will be applied/Considered. 2) While selecting "No" from the drop down list, the inbuilt calculation automatic treat the Normalisation for particular factor as zero. However, DC needs to submit an undertaking from the Authorised Signatory on non-availability of document</t>
  </si>
  <si>
    <t>Please select from drop down list on availability of documents for Fuel Quality in CPP Normalisation</t>
  </si>
  <si>
    <t>Please select from drop down list on availability of documents for Petcoke Utilization in Kiln Normalisation</t>
  </si>
  <si>
    <t>Please select from drop down list on availability of documents for CPP PLF Normalisation</t>
  </si>
  <si>
    <t>Please select from drop down list on availability of documents for Power Mix Normalisation</t>
  </si>
  <si>
    <t>Please select from drop down list on availability of documents for Product Mix Normalisation</t>
  </si>
  <si>
    <t>Please select from drop down list on availability of documents for Other Factors Normalisation</t>
  </si>
  <si>
    <t>N</t>
  </si>
  <si>
    <t>Energy Saving and Investment</t>
  </si>
  <si>
    <t>Please provide in Rs Million the year wise Investment made towards Energy saving Projects</t>
  </si>
  <si>
    <t>Sum of three years  for Assessment year data entry</t>
  </si>
  <si>
    <t>Please provide the Thermal Energy savings in Million kcal</t>
  </si>
  <si>
    <t>Please provide the Electrical Energy savings in Million kcal</t>
  </si>
  <si>
    <t>O</t>
  </si>
  <si>
    <t xml:space="preserve">Compulsory to attach yearwise Plant's  Process Flow Diagram </t>
  </si>
  <si>
    <t>Please provide the PFD for baseline as well as for assessment year</t>
  </si>
  <si>
    <t>P</t>
  </si>
  <si>
    <t>Process GHG Emissions Estimate</t>
  </si>
  <si>
    <t>P1..P3</t>
  </si>
  <si>
    <t>Formula Protected: Process Emission calcuation based on Input and output method as per CSI methodology and IPCC recommendation</t>
  </si>
  <si>
    <t>Q</t>
  </si>
  <si>
    <t>Document related to external factor</t>
  </si>
  <si>
    <t>Market Demand</t>
  </si>
  <si>
    <t>1)Cement Silo Full record from Cement Mill Log book 2)SAP entry in SD and FI module 3) SAP entry in PP module 4) Document related to sales impact of market</t>
  </si>
  <si>
    <t>Grid Failure</t>
  </si>
  <si>
    <t>1) SLDC Reference No. for planned Stoppages from respective Substation 2) Log book record of Main Electrical Substation of Plant 3) DPR 4) MPR 5) SAP entry in PM module of Electrical department</t>
  </si>
  <si>
    <t>Raw Material un-availability</t>
  </si>
  <si>
    <t>1) Material Order copy and denial document from Mines owner 2) SAP entry in MM/FI module on raw material order 3) DPR 4) MPR</t>
  </si>
  <si>
    <t>Natural Disaster</t>
  </si>
  <si>
    <t>1) Supporting Authentic document from Local district Administration 2) Kiln Log Sheet 3) Kiln operators Report book 4) DPR 5) MPR</t>
  </si>
  <si>
    <t>Major change in government policy hampering plant's process system</t>
  </si>
  <si>
    <t>1)Government Notification or Statutory order 2) Authentic document from plant on effect of kiln production due to policy change 3) DPR 4) MPR 5) SAP Entry on production change</t>
  </si>
  <si>
    <t>Unforeseen circumstances/Labour Strike/Lockouts/Social Unrest/Riots</t>
  </si>
  <si>
    <t xml:space="preserve">1) Relevent document on Unforeseen Circumstances beyond the control of plant 2) Energy Meter Readings and Power Consumption during the said period of unforeseen circumstances 3) Thermal Energy Consumption record during the said period of unfreseen circumstances  from DPR/Log book/SAP Entry </t>
  </si>
  <si>
    <t>The hard copy/Printouts is to be signed by Authorised signatory, if SAP data is used as documents</t>
  </si>
  <si>
    <t>R</t>
  </si>
  <si>
    <t>Abbreviations</t>
  </si>
  <si>
    <t>MPR</t>
  </si>
  <si>
    <t>Monthly Production Report</t>
  </si>
  <si>
    <t>DPR</t>
  </si>
  <si>
    <t>Daily Production Report</t>
  </si>
  <si>
    <t>MM</t>
  </si>
  <si>
    <t>Material Management</t>
  </si>
  <si>
    <t>PP</t>
  </si>
  <si>
    <t>Production and Planning</t>
  </si>
  <si>
    <t>SD</t>
  </si>
  <si>
    <t>Sales and Distribution</t>
  </si>
  <si>
    <t>FI</t>
  </si>
  <si>
    <t>Financial Accounting</t>
  </si>
  <si>
    <t>PM</t>
  </si>
  <si>
    <t>Plant Maintenance</t>
  </si>
  <si>
    <t>EMS</t>
  </si>
  <si>
    <t>SEC</t>
  </si>
  <si>
    <t>Specific Energy Consumption</t>
  </si>
  <si>
    <t>DG</t>
  </si>
  <si>
    <t>Diesel Generator</t>
  </si>
  <si>
    <t>GT</t>
  </si>
  <si>
    <t>Gas Generator</t>
  </si>
  <si>
    <t>CPP</t>
  </si>
  <si>
    <t>Captive Power Plant</t>
  </si>
  <si>
    <t>LSHS</t>
  </si>
  <si>
    <t>Low Sulfur Heavy Stock</t>
  </si>
  <si>
    <t>HSHS</t>
  </si>
  <si>
    <t>High Sulfur Heavy Stock</t>
  </si>
  <si>
    <t>HSD</t>
  </si>
  <si>
    <t>High Speed Diesel</t>
  </si>
  <si>
    <t>LDO</t>
  </si>
  <si>
    <t>Light Diesel Oil</t>
  </si>
  <si>
    <t>Form-Sb ( General Information)</t>
  </si>
  <si>
    <t>Sector :-  Cement Sector</t>
  </si>
  <si>
    <t>Obligated Entity Name</t>
  </si>
  <si>
    <t>(i) Year of Establishment</t>
  </si>
  <si>
    <t>(ii) Registration No (As provided by BEE)</t>
  </si>
  <si>
    <t>Sub-Sector</t>
  </si>
  <si>
    <t>PPC</t>
  </si>
  <si>
    <t>Other Cement (Form Sb-A11.6)</t>
  </si>
  <si>
    <t>Plant Contact Details &amp; Address</t>
  </si>
  <si>
    <t>City/Town/Village</t>
  </si>
  <si>
    <t>Post Office</t>
  </si>
  <si>
    <t>District</t>
  </si>
  <si>
    <t>State</t>
  </si>
  <si>
    <t>Pin</t>
  </si>
  <si>
    <t>515 415</t>
  </si>
  <si>
    <t>Telephone</t>
  </si>
  <si>
    <t>08558-288821</t>
  </si>
  <si>
    <t>Plant's Chief Executive Name</t>
  </si>
  <si>
    <t>Designation</t>
  </si>
  <si>
    <t>Telephone with STD Code</t>
  </si>
  <si>
    <t>Fax</t>
  </si>
  <si>
    <t>Mobile</t>
  </si>
  <si>
    <t>E-mail</t>
  </si>
  <si>
    <t>Registered Office</t>
  </si>
  <si>
    <t>Company's Chief Executive Name</t>
  </si>
  <si>
    <t>Address</t>
  </si>
  <si>
    <t>Energy Manager Details</t>
  </si>
  <si>
    <t xml:space="preserve">Name  </t>
  </si>
  <si>
    <t>EA</t>
  </si>
  <si>
    <t>Energy Auditor (EA)/Energy Manager (EM)Registration No.</t>
  </si>
  <si>
    <t>E-mail ID</t>
  </si>
  <si>
    <t>Current / Assessment / Target Period Details</t>
  </si>
  <si>
    <t>Base Period Details</t>
  </si>
  <si>
    <t>Number of years' data the unit is required to report as 'Base Period Data'</t>
  </si>
  <si>
    <t>Form-1</t>
  </si>
  <si>
    <t>Details of information regarding Total Energy Consumed and Specific Energy Consumption Per unit of Production (Rule3)</t>
  </si>
  <si>
    <t xml:space="preserve">A. </t>
  </si>
  <si>
    <t>General Details</t>
  </si>
  <si>
    <t>Description</t>
  </si>
  <si>
    <t>Name of the Unit</t>
  </si>
  <si>
    <t xml:space="preserve">Sector and Sub-Sector in which the Designated Consumer falls  </t>
  </si>
  <si>
    <t>Sector</t>
  </si>
  <si>
    <t>4. (i)</t>
  </si>
  <si>
    <t>Complete address of DCs Unit location (including Chief Executive's name &amp; designation) with mobile, telephone, fax nos. &amp; e-mail.</t>
  </si>
  <si>
    <t>Registered Office address with telephone, fax nos. &amp; e-mail</t>
  </si>
  <si>
    <t xml:space="preserve">Energy Manager's Name, designation, Registration No., Address, Mobile, Telephone, Fax nos. &amp; e-mail </t>
  </si>
  <si>
    <t xml:space="preserve">B. </t>
  </si>
  <si>
    <t>Production details</t>
  </si>
  <si>
    <t>Manufacturing Industries notified as Designated Consumers</t>
  </si>
  <si>
    <t>Products</t>
  </si>
  <si>
    <t>Unit</t>
  </si>
  <si>
    <t xml:space="preserve">Previous Year </t>
  </si>
  <si>
    <t xml:space="preserve">Current Year </t>
  </si>
  <si>
    <t>(1)</t>
  </si>
  <si>
    <t>(2)</t>
  </si>
  <si>
    <t>(3)</t>
  </si>
  <si>
    <t>Product 1:OPC Production</t>
  </si>
  <si>
    <t>Tonne</t>
  </si>
  <si>
    <t>Product 2: PPC Production</t>
  </si>
  <si>
    <t>Product 3: PSC/Others Production</t>
  </si>
  <si>
    <t>Product (Please add extra rows in case of additional products)</t>
  </si>
  <si>
    <t>Total Equivalent Product</t>
  </si>
  <si>
    <t>Previous Year</t>
  </si>
  <si>
    <t>Current Year</t>
  </si>
  <si>
    <t>Energy Consumption Details of Manufacturing Industries notified as Designated Consumers</t>
  </si>
  <si>
    <t>Item</t>
  </si>
  <si>
    <t>6. (i)</t>
  </si>
  <si>
    <t>Total Electricity Purchased from Grid/Other Source</t>
  </si>
  <si>
    <t>Million kwh</t>
  </si>
  <si>
    <t>Total Electricity Generated</t>
  </si>
  <si>
    <t xml:space="preserve">Total  Electricity Exported </t>
  </si>
  <si>
    <t>Total Electrical Energy Consumption</t>
  </si>
  <si>
    <t xml:space="preserve">Total Solid Fuel Consumption </t>
  </si>
  <si>
    <t>Million kCal</t>
  </si>
  <si>
    <t>Total Liquid Fuel Consumption</t>
  </si>
  <si>
    <t>Total Gaseous Fuel Consumption</t>
  </si>
  <si>
    <t>Total Thermal Energy Consumption</t>
  </si>
  <si>
    <t>Total Normalized Energy Consumption (Thermal + Electrical)</t>
  </si>
  <si>
    <t>TOE</t>
  </si>
  <si>
    <t>Specific Energy Consumption Details</t>
  </si>
  <si>
    <t>7. i</t>
  </si>
  <si>
    <t>Specific Energy Consumption(Without Normalization)</t>
  </si>
  <si>
    <t>TOE/Tonne</t>
  </si>
  <si>
    <t>ii</t>
  </si>
  <si>
    <t>Specific Energy Consumption (Normalized)</t>
  </si>
  <si>
    <t>Power Plants notified as Designated Consumer</t>
  </si>
  <si>
    <t>8. i.</t>
  </si>
  <si>
    <t>Total Capacity</t>
  </si>
  <si>
    <t>MW</t>
  </si>
  <si>
    <t>Unit Configuration</t>
  </si>
  <si>
    <t>No. of units with their capacity</t>
  </si>
  <si>
    <t>iii</t>
  </si>
  <si>
    <t xml:space="preserve">Annual Gross Generation </t>
  </si>
  <si>
    <t>MU</t>
  </si>
  <si>
    <t>iv</t>
  </si>
  <si>
    <t xml:space="preserve">Annual Plant Load Factor (PLF) </t>
  </si>
  <si>
    <t>%</t>
  </si>
  <si>
    <t>v</t>
  </si>
  <si>
    <t>Station Gross Design Heat Rate</t>
  </si>
  <si>
    <t>kcal/kWh</t>
  </si>
  <si>
    <t>vi</t>
  </si>
  <si>
    <t>Station Gross Operative Heat Rate</t>
  </si>
  <si>
    <t>vii</t>
  </si>
  <si>
    <t xml:space="preserve">Auxiliary Power Consumption </t>
  </si>
  <si>
    <t>viii</t>
  </si>
  <si>
    <t>Operative Net Heat Rate</t>
  </si>
  <si>
    <t>ix</t>
  </si>
  <si>
    <t>Operative Net Heat Rate (Normalized)</t>
  </si>
  <si>
    <t>Sector-Wise Details</t>
  </si>
  <si>
    <t>S.No</t>
  </si>
  <si>
    <t>Name of the Sector</t>
  </si>
  <si>
    <t>Form in which the details to be furnished</t>
  </si>
  <si>
    <t>a</t>
  </si>
  <si>
    <t>Aluminium</t>
  </si>
  <si>
    <t>Refinery/Smelter</t>
  </si>
  <si>
    <t>Sa1</t>
  </si>
  <si>
    <t>Cold Rolling Sheet</t>
  </si>
  <si>
    <t>Sa2</t>
  </si>
  <si>
    <t>b</t>
  </si>
  <si>
    <t>Cement</t>
  </si>
  <si>
    <t>Sb</t>
  </si>
  <si>
    <t>c</t>
  </si>
  <si>
    <t>Chlor-Alkali</t>
  </si>
  <si>
    <t>Sc</t>
  </si>
  <si>
    <t>d</t>
  </si>
  <si>
    <t>Fertilizer</t>
  </si>
  <si>
    <t>Sd</t>
  </si>
  <si>
    <t>e</t>
  </si>
  <si>
    <t>Iron and Steel</t>
  </si>
  <si>
    <t>Integrated Steel</t>
  </si>
  <si>
    <t>Se1</t>
  </si>
  <si>
    <t>Sponge Iron</t>
  </si>
  <si>
    <t>Se2</t>
  </si>
  <si>
    <t>f</t>
  </si>
  <si>
    <t>Pulp and Paper</t>
  </si>
  <si>
    <t>Sf</t>
  </si>
  <si>
    <t>g</t>
  </si>
  <si>
    <t>Textile</t>
  </si>
  <si>
    <t>Composite</t>
  </si>
  <si>
    <t>Sg1</t>
  </si>
  <si>
    <t>Fiber</t>
  </si>
  <si>
    <t>Sg2</t>
  </si>
  <si>
    <t>Spinning</t>
  </si>
  <si>
    <t>Sg3</t>
  </si>
  <si>
    <t>Processing</t>
  </si>
  <si>
    <t>Sg4</t>
  </si>
  <si>
    <t>h</t>
  </si>
  <si>
    <t>Thermal Power Plant</t>
  </si>
  <si>
    <t>Sh</t>
  </si>
  <si>
    <t xml:space="preserve">I/we undertake that the information supplied in the Form 1 and pro- forma is accurate to the best of my knowledge and the data furnished in Form 1 has been adhered  to the data given in the concerned pro forma. </t>
  </si>
  <si>
    <t>Authorised Signatory and Seal</t>
  </si>
  <si>
    <t>Signature:-</t>
  </si>
  <si>
    <t xml:space="preserve">Name of Energy Manager: </t>
  </si>
  <si>
    <t>Name of Authorised Signatory</t>
  </si>
  <si>
    <t>Registration Number:</t>
  </si>
  <si>
    <t>Name of the Designated Consumer:</t>
  </si>
  <si>
    <t>Full Address:-</t>
  </si>
  <si>
    <t>Seal</t>
  </si>
  <si>
    <t>Date</t>
  </si>
  <si>
    <t>Form-E2</t>
  </si>
  <si>
    <t>Energy and Emission Form</t>
  </si>
  <si>
    <t>Section-A: General Details</t>
  </si>
  <si>
    <t>Registration No</t>
  </si>
  <si>
    <t xml:space="preserve">Sector and Sub-Sector in which the Obligated Entity falls  </t>
  </si>
  <si>
    <t>Year of Establishment</t>
  </si>
  <si>
    <t>Unit Address (Complete address of Obligated Entity Unit location including Chief Executive's name &amp; designation with mobile, telephone, fax nos. &amp; e-mail.)</t>
  </si>
  <si>
    <t>Registered Office address (with telephone, fax nos. &amp; e-mail)</t>
  </si>
  <si>
    <t>Energy Manager Registration No (Name, designation, Registration No., Address, Mobile, Telephone, Fax nos. &amp; e-mail)</t>
  </si>
  <si>
    <t>Section-B: Production, Energy Consumption and Emission Details</t>
  </si>
  <si>
    <t>B1</t>
  </si>
  <si>
    <t>Production Details</t>
  </si>
  <si>
    <t>Product 3: PSC Production</t>
  </si>
  <si>
    <t>Product 4:Composite Cement (CC) Production</t>
  </si>
  <si>
    <t>Product 5: White Cement (WC) Production</t>
  </si>
  <si>
    <t>Product 6:Other Cement Production</t>
  </si>
  <si>
    <t>B2</t>
  </si>
  <si>
    <t>Energy Consumption and GHG Emissions Details</t>
  </si>
  <si>
    <t>Million kWh</t>
  </si>
  <si>
    <t>Million kcal</t>
  </si>
  <si>
    <t>Total Energy Consumption (Thermal + Electrical)</t>
  </si>
  <si>
    <t>Direct GHG Emissions (Energy related)</t>
  </si>
  <si>
    <t>t CO2 eq</t>
  </si>
  <si>
    <t>Indirect GHG Emissions (Energy related)</t>
  </si>
  <si>
    <t>Direct GHG Emissions (Process related)</t>
  </si>
  <si>
    <t>Total Direct &amp; Indirect Emissions</t>
  </si>
  <si>
    <t>B3</t>
  </si>
  <si>
    <t>Specific Energy Consumption and Specific GHG Emission Details</t>
  </si>
  <si>
    <t>i</t>
  </si>
  <si>
    <t>Specific GHG Emissions</t>
  </si>
  <si>
    <t>t CO2eq/Tonne</t>
  </si>
  <si>
    <t>Section-C: Pro-forma Details</t>
  </si>
  <si>
    <t>Petro-chemical</t>
  </si>
  <si>
    <t>j</t>
  </si>
  <si>
    <t>Petro-Refinery</t>
  </si>
  <si>
    <t>I/we undertake that the information supplied in the Energy and Emission Form and Sector Specific Pro-forma is accurate to the best of my knowledge and the data furnished in Form E2 has been adhered to the data given in the concerned Sector Specific Pro-forma</t>
  </si>
  <si>
    <t>Name of the Obligated Entity:</t>
  </si>
  <si>
    <t>FORM-Sb (Details of Production and Energy Consumption)</t>
  </si>
  <si>
    <t xml:space="preserve">Section Links are available here
 [Please hide the non-relevant section using + sign in the left margin] </t>
  </si>
  <si>
    <t>Production Data</t>
  </si>
  <si>
    <t>Kiln Start/Stop</t>
  </si>
  <si>
    <t>Solid Fuel Data</t>
  </si>
  <si>
    <t>Gaseous Fuel Data</t>
  </si>
  <si>
    <t>Savings &amp; Investments</t>
  </si>
  <si>
    <t xml:space="preserve">Process Data </t>
  </si>
  <si>
    <t xml:space="preserve">Electricity Data </t>
  </si>
  <si>
    <t>Renewable In Plant</t>
  </si>
  <si>
    <t xml:space="preserve">Liquid Fuel Data </t>
  </si>
  <si>
    <t>Performance Indicator</t>
  </si>
  <si>
    <t>Misc Data</t>
  </si>
  <si>
    <t>Process Emission Estimate</t>
  </si>
  <si>
    <t>S. No</t>
  </si>
  <si>
    <t>Particulars</t>
  </si>
  <si>
    <t>Basis/Calculation</t>
  </si>
  <si>
    <t>Baseline Year(s)</t>
  </si>
  <si>
    <t xml:space="preserve">Current/Assessment /Target Year   </t>
  </si>
  <si>
    <t>Source of Data</t>
  </si>
  <si>
    <t>Remarks</t>
  </si>
  <si>
    <t>Check Error#</t>
  </si>
  <si>
    <t xml:space="preserve">Boundary Coverage for GHG emissions </t>
  </si>
  <si>
    <t>(a)</t>
  </si>
  <si>
    <t>Mining &amp; Raw Material Transportation (Quarring, Mining)</t>
  </si>
  <si>
    <t>Yes/No/NA</t>
  </si>
  <si>
    <t>(b)</t>
  </si>
  <si>
    <t>Fuel and Additives Preparatioin</t>
  </si>
  <si>
    <t>(c)</t>
  </si>
  <si>
    <t>Crusher and raw material preparation</t>
  </si>
  <si>
    <t>(d)</t>
  </si>
  <si>
    <t>Raw Mill and Raw Meal Blending</t>
  </si>
  <si>
    <t>(e)</t>
  </si>
  <si>
    <t>Pyro- Processing (Kiln Feed , PreCalciner and preheater, Kiln, Cooler, Clinker Yard and Blending) Kiln Return Dust and Kiln Clinker Dust Handling</t>
  </si>
  <si>
    <t>(f)</t>
  </si>
  <si>
    <t>Cement Mill and Cement blending</t>
  </si>
  <si>
    <t>(g)</t>
  </si>
  <si>
    <t>Packing</t>
  </si>
  <si>
    <t>(h)</t>
  </si>
  <si>
    <t>Internal Transportation (Process and Material)</t>
  </si>
  <si>
    <t>On Site Power generation</t>
  </si>
  <si>
    <t>(j)</t>
  </si>
  <si>
    <t>Admin Buildings</t>
  </si>
  <si>
    <t>Solid Fuel combustion emissions -Process</t>
  </si>
  <si>
    <t>Solid Fuel Combustion emissions -Power Generation</t>
  </si>
  <si>
    <t>Liquid Fuel Combustion - Process</t>
  </si>
  <si>
    <t>Liquid Fuel Combustion - Power Generation</t>
  </si>
  <si>
    <t>Gaseous Fuel Combustion - Power Generation</t>
  </si>
  <si>
    <t>Not Applicable</t>
  </si>
  <si>
    <t>Gaseous Fuel Combustion - Process</t>
  </si>
  <si>
    <t>Process Emissions Calcination</t>
  </si>
  <si>
    <t xml:space="preserve">Material Handling fuel consumption </t>
  </si>
  <si>
    <t>Purchased Electricity</t>
  </si>
  <si>
    <t>Production Capacity (Clinker)</t>
  </si>
  <si>
    <t>Annual Installed Capacity</t>
  </si>
  <si>
    <t>Consent to operate by APPCB</t>
  </si>
  <si>
    <t>Production Capacity (Cement)</t>
  </si>
  <si>
    <t>Total Clinker Production</t>
  </si>
  <si>
    <t xml:space="preserve">SAP T CODE: COOISPI </t>
  </si>
  <si>
    <t>Total Cement Production(All  varieties)</t>
  </si>
  <si>
    <t>COOISPI (SAP T CODE)</t>
  </si>
  <si>
    <t>Opening Clinker Stock [by 31st of March of the respective year, at 1200 MN]</t>
  </si>
  <si>
    <t>sap t code:mb5b</t>
  </si>
  <si>
    <t>Closing Clinker Stock  [by 31st of March of the respective year, at 1200 MN]</t>
  </si>
  <si>
    <t>sap t code: mb5b</t>
  </si>
  <si>
    <t>Opening Cement Stock [by 31st of March of the respective year, at 1200 MN]</t>
  </si>
  <si>
    <t>sap t code: zrpp_umis_dpru</t>
  </si>
  <si>
    <t>Closing Cement Stock  [by 31st of March of the respective year, at 1200 MN]</t>
  </si>
  <si>
    <t>Capacity Utilization (Clinker)*</t>
  </si>
  <si>
    <t>A3x100/A1</t>
  </si>
  <si>
    <t>Capacity Utilization (Cement)*</t>
  </si>
  <si>
    <t>A4x100/A2</t>
  </si>
  <si>
    <t>Type of Cement Produced [ Please mention the name of  the additives used in  the Remarks column in the respective production section]</t>
  </si>
  <si>
    <t>Ordinary Portland Cement (OPC) Production</t>
  </si>
  <si>
    <t>COOISPI (SAP T CODE) (OPC43+OPC53)</t>
  </si>
  <si>
    <t>Quantity of Gypsum used in OPC production</t>
  </si>
  <si>
    <t xml:space="preserve">Quantity of Limestone Used as Additive in OPC Production </t>
  </si>
  <si>
    <t>Quantity of Clay used as additives in OPC production</t>
  </si>
  <si>
    <t>Quantity of any other Additive (Silica fume, Rice husk ash,  Metakaolin used  in OPC Production) [Provide details of the specific additives in Remarks column]</t>
  </si>
  <si>
    <t xml:space="preserve">Quantity of any other Additive Used  in OPC Production </t>
  </si>
  <si>
    <t>Portland Pozzolana Cement (PPC) Production</t>
  </si>
  <si>
    <t>Quantity of Gypsum used in PPC production</t>
  </si>
  <si>
    <t>Quantity of Fly Ash used in PPC Production</t>
  </si>
  <si>
    <t>Quantity of Calcined clay in PPC Production</t>
  </si>
  <si>
    <t xml:space="preserve">Quantity of any other Additive Used  in PPC Production </t>
  </si>
  <si>
    <t>Slag added for CC production on trail basis but is inclued as PPC only</t>
  </si>
  <si>
    <t>Portland Slag Cement (PSC) Production</t>
  </si>
  <si>
    <t>Quantity of Gypsum used in PSC production</t>
  </si>
  <si>
    <t>Quantity of Slag used in PSC Production</t>
  </si>
  <si>
    <t xml:space="preserve">Quantity of any other Additive Used  in PSC Production </t>
  </si>
  <si>
    <t>Composite Cement (CC) Production</t>
  </si>
  <si>
    <t>Quantity of Gypsum used in CC production</t>
  </si>
  <si>
    <t>Quantity of Slag used in CC Production</t>
  </si>
  <si>
    <t>Quantity of Fly Ash used in CC Production</t>
  </si>
  <si>
    <t>Quantity of Clay in CC Production</t>
  </si>
  <si>
    <t xml:space="preserve">Quantity of any other Additive Used  in CC Production </t>
  </si>
  <si>
    <t>White Cement (WC) Production</t>
  </si>
  <si>
    <t>Quantity of Gypsum used in WC production</t>
  </si>
  <si>
    <t xml:space="preserve">Quantity of Limestone used as Additive in WC Production </t>
  </si>
  <si>
    <t xml:space="preserve">Quantity of Dolomite used as Additive in WC Production </t>
  </si>
  <si>
    <t xml:space="preserve">Quantity of Marble used as Additive in WC Production </t>
  </si>
  <si>
    <t>Quantity of Clay in WC Production</t>
  </si>
  <si>
    <t xml:space="preserve">Quantity of any other Additive Used  in WC Production </t>
  </si>
  <si>
    <t>A11.6</t>
  </si>
  <si>
    <t>Quantity of Gypsum used in Other cement production</t>
  </si>
  <si>
    <t>Weather plus cement</t>
  </si>
  <si>
    <t xml:space="preserve">Quantity of  Additive 1 Used  in Other cement Production </t>
  </si>
  <si>
    <t xml:space="preserve">Quantity of  Additive 2 Used  in Other cement Production </t>
  </si>
  <si>
    <t xml:space="preserve">Quantity of  Additive 3 Used  in Other cement Production </t>
  </si>
  <si>
    <t>A11.7</t>
  </si>
  <si>
    <t>Ground Granulated Blast-furnace Slag Cement (GGBS) Production</t>
  </si>
  <si>
    <t>Quantity of GGBS Sold</t>
  </si>
  <si>
    <t>Quantity of GGBS used Internally for cement production</t>
  </si>
  <si>
    <t>Quantity of GGBS (Grinding) directly used for construction</t>
  </si>
  <si>
    <t>Clinker Exported</t>
  </si>
  <si>
    <t>TM1 cognos web</t>
  </si>
  <si>
    <t>Clinker Imported</t>
  </si>
  <si>
    <t>Quantity of Fly Ash used</t>
  </si>
  <si>
    <t>Quantity of Gypsum Used</t>
  </si>
  <si>
    <t>Quantity of Slag Used</t>
  </si>
  <si>
    <t xml:space="preserve">Quantity of Limestone Used as Additive </t>
  </si>
  <si>
    <t xml:space="preserve">Quantity of Clay Used as additives </t>
  </si>
  <si>
    <t xml:space="preserve">Quantity of All other Additive used </t>
  </si>
  <si>
    <t>Total Qty of Additives used in Cement Production</t>
  </si>
  <si>
    <t>Clinker Factors</t>
  </si>
  <si>
    <t>Clinker Factor for OPC</t>
  </si>
  <si>
    <t>Fraction</t>
  </si>
  <si>
    <t>Clinker Factor for PPC</t>
  </si>
  <si>
    <t>Clinker Factor for PSC</t>
  </si>
  <si>
    <t>Clinker Factor for Composite Cement</t>
  </si>
  <si>
    <t>Clinker Factor for White Cement</t>
  </si>
  <si>
    <t xml:space="preserve">Clinker Factor for Other variety of Cement </t>
  </si>
  <si>
    <t>Clinke Factor (Clinker to Cement-OA)</t>
  </si>
  <si>
    <t>Raw Material Net Factor (Raw Meal to Clinker)</t>
  </si>
  <si>
    <t>Fraction of Lime in Clinker (CaO)</t>
  </si>
  <si>
    <t>Fraction of MgO content in Clinker</t>
  </si>
  <si>
    <t>Total raw material consumed (non-carbonate source in raw material consumed) [Dry Weight]</t>
  </si>
  <si>
    <t xml:space="preserve"> CaO content (non-carbonate source in raw material consumed) [Dry Weight]</t>
  </si>
  <si>
    <t xml:space="preserve"> MgO content (non-carbonate source in raw material consumed) [Dry Weight]</t>
  </si>
  <si>
    <t>Ca/Mg-silicate source Raw material consumed [Dry Weight]</t>
  </si>
  <si>
    <t>Ca content of Ca-Silicate raw materials [Dry Weight]</t>
  </si>
  <si>
    <t>Mg content of Mg-Silicate raw materials [Dry Weight]</t>
  </si>
  <si>
    <t>Bypass dust leaving the system</t>
  </si>
  <si>
    <t>CKD leaving the system</t>
  </si>
  <si>
    <t>CKD calcination rate (default value 0% for dry kiln and 100% for other kiln types)</t>
  </si>
  <si>
    <t>Organic Carbon content of raw meal (default value 0.2%)</t>
  </si>
  <si>
    <t>CaCO3</t>
  </si>
  <si>
    <t>Na2CO3</t>
  </si>
  <si>
    <t>(iiii)</t>
  </si>
  <si>
    <t>BaCO3</t>
  </si>
  <si>
    <t>Li2CO3</t>
  </si>
  <si>
    <t>K2CO3</t>
  </si>
  <si>
    <t xml:space="preserve">Note: 1. Qty of Raw material provided should be on moisture free basis. </t>
  </si>
  <si>
    <t>Kiln 1 Start/Stop</t>
  </si>
  <si>
    <t>(i)a</t>
  </si>
  <si>
    <t>Kiln-1 Production</t>
  </si>
  <si>
    <t>SAP t code: ZQM_24AF_N</t>
  </si>
  <si>
    <t>(i)b</t>
  </si>
  <si>
    <t>Kiln-1 Operating Thermal SEC (Including Alternate Fuel)-NCV Basis</t>
  </si>
  <si>
    <t>kcal/kg clinker</t>
  </si>
  <si>
    <t>(i)c</t>
  </si>
  <si>
    <t>Kiln-1 Operating Electrical SEC</t>
  </si>
  <si>
    <t>kWh/t clinker</t>
  </si>
  <si>
    <t>SAP T CODE:  ZRPP_DPWRU_N</t>
  </si>
  <si>
    <t>(i)d</t>
  </si>
  <si>
    <t>Kiln-1 Running Hours</t>
  </si>
  <si>
    <t>Hours</t>
  </si>
  <si>
    <t>SAP t code: COOISPI</t>
  </si>
  <si>
    <t>(i)e</t>
  </si>
  <si>
    <t>Kiln-1 Hot to Hot start (Internal &amp; External)</t>
  </si>
  <si>
    <t>SAP t code: ZRPP_STSP (&lt;48 hrs)</t>
  </si>
  <si>
    <t>Total stoppages nos. 13</t>
  </si>
  <si>
    <t>(i)f</t>
  </si>
  <si>
    <t>Kiln-1 Hot to Cold stop due to external factor</t>
  </si>
  <si>
    <t>SAP t code: ZRPP_STSP</t>
  </si>
  <si>
    <t>(i)g</t>
  </si>
  <si>
    <t>Nos</t>
  </si>
  <si>
    <t>(i)h</t>
  </si>
  <si>
    <t>Kiln-1 Hot to Cold stop due to external factor (Electrical Energy Consumption)</t>
  </si>
  <si>
    <t>Lakh kWh</t>
  </si>
  <si>
    <t>Electrical feeder reading</t>
  </si>
  <si>
    <t>(i)i</t>
  </si>
  <si>
    <t>Kiln-1 Cold to Hot start due to external factors</t>
  </si>
  <si>
    <t>SAP t code: ZRPP_STSP (&gt;48 hrs)</t>
  </si>
  <si>
    <t>(i)j</t>
  </si>
  <si>
    <t>(i)k</t>
  </si>
  <si>
    <t>Kiln-1 Cold to Hot start due to external factors (Electrical Energy Consumption)</t>
  </si>
  <si>
    <t>(i)l</t>
  </si>
  <si>
    <t xml:space="preserve">Kiln-1 Cold to Hot start due to internal factors </t>
  </si>
  <si>
    <t>(i)m</t>
  </si>
  <si>
    <t>Raw Mill-1 Production</t>
  </si>
  <si>
    <t>SAP T CODE:  ZRPP_DPWRU_N (Line-1)</t>
  </si>
  <si>
    <t>(i)n</t>
  </si>
  <si>
    <t>Raw Mill-1 Operating Electrical SEC (Main Motor)</t>
  </si>
  <si>
    <t>kWh/t material</t>
  </si>
  <si>
    <t>Kiln 2 Start/Stop</t>
  </si>
  <si>
    <t>(ii)a</t>
  </si>
  <si>
    <t>Kiln-2 Production</t>
  </si>
  <si>
    <t>(ii)b</t>
  </si>
  <si>
    <t>Kiln-2 Operating Thermal SEC (Including Alternate Fuel)-NCV Basis</t>
  </si>
  <si>
    <t>(ii)c</t>
  </si>
  <si>
    <t>Kiln-2 Operating Electrical SEC</t>
  </si>
  <si>
    <t>(ii)d</t>
  </si>
  <si>
    <t>Kiln-2 Running Hours</t>
  </si>
  <si>
    <t>(ii)e</t>
  </si>
  <si>
    <t>Kiln-2 Hot to Hot start (Internal &amp; External)</t>
  </si>
  <si>
    <t>Total stoppages nos. 8</t>
  </si>
  <si>
    <t>(ii)f</t>
  </si>
  <si>
    <t>Kiln-2 Hot to Cold stop due to external factor</t>
  </si>
  <si>
    <t>(ii)g</t>
  </si>
  <si>
    <t>(ii)h</t>
  </si>
  <si>
    <t>Kiln-2 Hot to Cold stop due to external factor (Electrical Energy Consumption)</t>
  </si>
  <si>
    <t>(ii)i</t>
  </si>
  <si>
    <t>Kiln-2 Cold to Hot start due to external factors</t>
  </si>
  <si>
    <t>(ii)j</t>
  </si>
  <si>
    <t>(ii)k</t>
  </si>
  <si>
    <t>Kiln-2 Cold to Hot start due to external factors (Electrical Energy Consumption)</t>
  </si>
  <si>
    <t>(ii)l</t>
  </si>
  <si>
    <t xml:space="preserve">Kiln-2 Cold to Hot start due to internal factors </t>
  </si>
  <si>
    <t>(ii)m</t>
  </si>
  <si>
    <t>Raw Mill-2 Production</t>
  </si>
  <si>
    <t>(ii)n</t>
  </si>
  <si>
    <t>Raw Mill-2 Operating Electrical SEC (Main Motor)</t>
  </si>
  <si>
    <t>Kiln 3 Start/Stop</t>
  </si>
  <si>
    <t>(iii)a</t>
  </si>
  <si>
    <t>Kiln-3 Production</t>
  </si>
  <si>
    <t>(iii)b</t>
  </si>
  <si>
    <t>Kiln-3 Operating Thermal SEC (Including Alternate Fuel)-NCV Basis</t>
  </si>
  <si>
    <t>(iii)c</t>
  </si>
  <si>
    <t>Kiln-3 Operating Electrical SEC</t>
  </si>
  <si>
    <t>(iii)d</t>
  </si>
  <si>
    <t>Kiln-3 Running Hours</t>
  </si>
  <si>
    <t>(iii)e</t>
  </si>
  <si>
    <t>Kiln-3 Hot to Hot start (Internal &amp; External)</t>
  </si>
  <si>
    <t>(iii)f</t>
  </si>
  <si>
    <t>Kiln-3 Hot to Cold stop due to external factor</t>
  </si>
  <si>
    <t>(iii)g</t>
  </si>
  <si>
    <t>(iii)h</t>
  </si>
  <si>
    <t>Kiln-3 Hot to Cold stop due to external factor (Electrical Energy Consumption)</t>
  </si>
  <si>
    <t>(iii)i</t>
  </si>
  <si>
    <t>Kiln-3 Cold to Hot start due to external factors</t>
  </si>
  <si>
    <t>(iii)j</t>
  </si>
  <si>
    <t>(iii)k</t>
  </si>
  <si>
    <t>Kiln-3 Cold to Hot start due to external factors (Electrical Energy Consumption)</t>
  </si>
  <si>
    <t>(iii)l</t>
  </si>
  <si>
    <t xml:space="preserve">Kiln-3 Cold to Hot start due to internal factors </t>
  </si>
  <si>
    <t>(iii)m</t>
  </si>
  <si>
    <t>Raw Mill-3 Production</t>
  </si>
  <si>
    <t>(iii)n</t>
  </si>
  <si>
    <t>Raw Mill-3 Operating Electrical SEC (Main Motor)</t>
  </si>
  <si>
    <t>Kiln 4 Start/Stop</t>
  </si>
  <si>
    <t>(iv)a</t>
  </si>
  <si>
    <t>Kiln-4 Production</t>
  </si>
  <si>
    <t>(iv)b</t>
  </si>
  <si>
    <t>Kiln-4 Operating Thermal SEC (Including Alternate Fuel)-NCV Basis</t>
  </si>
  <si>
    <t>(iv)c</t>
  </si>
  <si>
    <t>Kiln-4 Operating Electrical SEC</t>
  </si>
  <si>
    <t>(iv)d</t>
  </si>
  <si>
    <t>Kiln-4 Running Hours</t>
  </si>
  <si>
    <t>(iv)e</t>
  </si>
  <si>
    <t>Kiln-4 Hot to Hot start (Internal &amp; External)</t>
  </si>
  <si>
    <t>(iv)f</t>
  </si>
  <si>
    <t>Kiln-4 Hot to Cold stop due to external factor</t>
  </si>
  <si>
    <t>(iv)g</t>
  </si>
  <si>
    <t>(iv)h</t>
  </si>
  <si>
    <t>Kiln-4 Hot to Cold stop due to external factor (Electrical Energy Consumption)</t>
  </si>
  <si>
    <t>(iv)i</t>
  </si>
  <si>
    <t>Kiln-4 Cold to Hot start due to external factors</t>
  </si>
  <si>
    <t>(iv)j</t>
  </si>
  <si>
    <t>(iv)k</t>
  </si>
  <si>
    <t>Kiln-4 Cold to Hot start due to external factors (Electrical Energy Consumption)</t>
  </si>
  <si>
    <t>(iv)l</t>
  </si>
  <si>
    <t xml:space="preserve">Kiln-4 Cold to Hot start due to internal factors </t>
  </si>
  <si>
    <t>(iv)m</t>
  </si>
  <si>
    <t>Raw Mill-4 Production</t>
  </si>
  <si>
    <t>(iv)n</t>
  </si>
  <si>
    <t>Raw Mill-4 Operating Electrical SEC (Main Motor)</t>
  </si>
  <si>
    <t>Kiln 5 Start/Stop</t>
  </si>
  <si>
    <t>(v)a</t>
  </si>
  <si>
    <t>Kiln-5 production</t>
  </si>
  <si>
    <t>(v)b</t>
  </si>
  <si>
    <t>Kiln-5 Operating Thermal SEC (Including Alternate Fuel)-NCV Basis</t>
  </si>
  <si>
    <t>(v)c</t>
  </si>
  <si>
    <t>Kiln-5 Operating Electrical SEC</t>
  </si>
  <si>
    <t>(v)d</t>
  </si>
  <si>
    <t>Kiln-5 Running Hours</t>
  </si>
  <si>
    <t>(v)e</t>
  </si>
  <si>
    <t>Kiln-5 Hot to Hot start (Internal &amp; External)</t>
  </si>
  <si>
    <t>(v)f</t>
  </si>
  <si>
    <t>Kiln-5 Hot to Cold stop due to external factor</t>
  </si>
  <si>
    <t>(v)g</t>
  </si>
  <si>
    <t>(v)h</t>
  </si>
  <si>
    <t>Kiln-5 Hot to Cold stop due to external factor (Electrical Energy Consumption)</t>
  </si>
  <si>
    <t>(v)i</t>
  </si>
  <si>
    <t>Kiln-5 Cold to Hot start due to external factors</t>
  </si>
  <si>
    <t>(v)j</t>
  </si>
  <si>
    <t>(v)k</t>
  </si>
  <si>
    <t>Kiln-5 Cold to Hot start due to external factors (Electrical Energy Consumption)</t>
  </si>
  <si>
    <t>(v)l</t>
  </si>
  <si>
    <t xml:space="preserve">Kiln-5 Cold to Hot start due to internal factors </t>
  </si>
  <si>
    <t>(v)m</t>
  </si>
  <si>
    <t>Raw Mill-5 Production</t>
  </si>
  <si>
    <t>(v)n</t>
  </si>
  <si>
    <t>Raw Mill-5 Operating Electrical SEC (Main Motor)</t>
  </si>
  <si>
    <t xml:space="preserve">Note: </t>
  </si>
  <si>
    <t>For Additional Kiln data, Obligated Entity (OE) /Designated Consumer (DC) needs to submit the information in a separate excel sheet as per the above format</t>
  </si>
  <si>
    <t xml:space="preserve">Electricity Consumption </t>
  </si>
  <si>
    <t>Electricity through Grid / Renewables/Other (Including colony and others)</t>
  </si>
  <si>
    <t>Purchased Electricity from grid (DISCOM)(Other than Renewables PPA)</t>
  </si>
  <si>
    <t>Electricity Bill</t>
  </si>
  <si>
    <t xml:space="preserve">Renewable Electricity On-Shore Wind and Solar (Through Wheeling) </t>
  </si>
  <si>
    <t xml:space="preserve">Renewable Electricity Hydro (Through Wheeling) </t>
  </si>
  <si>
    <t>Renewable Electricity Municipal Solid Waste (MSW) and nonfossil fuel-based cogeneration (Through Wheeling)</t>
  </si>
  <si>
    <t xml:space="preserve">Renewable Electricity Biomass and Biofuel based (Through Wheeling) </t>
  </si>
  <si>
    <t xml:space="preserve">Renewable Electricity through dedicated line </t>
  </si>
  <si>
    <t>Electricity from CPP located outside from plant boundary (Through Wheeling)</t>
  </si>
  <si>
    <t>Emission Factor for Grid Purchased Electricity (DISCOM)[CEA]</t>
  </si>
  <si>
    <t>Average</t>
  </si>
  <si>
    <t>t CO2/MWh</t>
  </si>
  <si>
    <t>Emission factor for CPP located outside plant boundary (Through Wheeling)[CEA]</t>
  </si>
  <si>
    <t>Renewable Purchase Obligation of Sector (RPO) (Non Fossil) notified by MoP SO 4617 ( E)</t>
  </si>
  <si>
    <t>0rder from Ministry of Power , Govt Of India</t>
  </si>
  <si>
    <t xml:space="preserve">Renewable Purchase obligation of plant (RPO) (Solar &amp; Non-Solar) </t>
  </si>
  <si>
    <t>Renewable Energy generator as approved by MNRE</t>
  </si>
  <si>
    <t xml:space="preserve">Quantum of Renewable Energy Certificates (REC) obtained as a Renewal Energy Generator (Solar &amp; Non-Solar) </t>
  </si>
  <si>
    <t>MWh</t>
  </si>
  <si>
    <t>Quantum of Energy sold under preferential tariff</t>
  </si>
  <si>
    <t xml:space="preserve">Plant Connected Load </t>
  </si>
  <si>
    <t>kW</t>
  </si>
  <si>
    <t>Contract Demand with utility</t>
  </si>
  <si>
    <t xml:space="preserve">kVA </t>
  </si>
  <si>
    <t>Contact demand with utility changed from 40000 mva to 25000 mva at 19 th february-2024</t>
  </si>
  <si>
    <t>Notified Specific Energy Consumption/GEI (GHG Emission Intensity)</t>
  </si>
  <si>
    <t>TOE/Tonnes (t CO2/t)</t>
  </si>
  <si>
    <t>Target Specific Energy Consumption/GEI (GHG Emission Intensity)</t>
  </si>
  <si>
    <t>Saving Target in TOE/ton of product as per PAT scheme Notification /CCTS Notification</t>
  </si>
  <si>
    <t>C.1.1.(xii)-C.1.1.(xiii)</t>
  </si>
  <si>
    <t>TOE/Tonnes</t>
  </si>
  <si>
    <t>Equivalent Major Product Output in tonnes as per PAT scheme Notification</t>
  </si>
  <si>
    <t>(saving Target)</t>
  </si>
  <si>
    <t>Tonnes</t>
  </si>
  <si>
    <t>Total Electricity  Purchased from grid/ Other</t>
  </si>
  <si>
    <t>C.1 (i)+ C.1(ii)+ C.1(iii)</t>
  </si>
  <si>
    <t>Total Electricity  Purchased from grid/ Other with out colony/construction  power etc</t>
  </si>
  <si>
    <t>if(C.1 (xvi)&gt; C.5 then C.1 (xvi)-C.5 otherwise 0</t>
  </si>
  <si>
    <t>Equivalent Thermal Energy of Purchased Electricity from Grid / Other without colony/construction power etc</t>
  </si>
  <si>
    <t>(vii)x860/10</t>
  </si>
  <si>
    <t>Total Renewable Energy purchased from Grid (Wheeling/Dedicated line)</t>
  </si>
  <si>
    <t>Indirect GHG Emissions from Purchased Electricity - Grid</t>
  </si>
  <si>
    <t>Indirect GHG Emissions from Purchased electricity (CPP outside boundary)[Through Wheeling &amp; Dedicated line]</t>
  </si>
  <si>
    <t>Total Indirect GHG Emissions from purchased electricity</t>
  </si>
  <si>
    <t>As per REC Regulation 2022, technology multiplier assigned to RE projects which are commissioned after 05.12.2022</t>
  </si>
  <si>
    <t xml:space="preserve">Own Generation </t>
  </si>
  <si>
    <t>Through Diesel Generator (DG) sets</t>
  </si>
  <si>
    <t xml:space="preserve">Grid Connected </t>
  </si>
  <si>
    <t>Yes/No</t>
  </si>
  <si>
    <t>Installed Capacity</t>
  </si>
  <si>
    <t>Annual Gross Unit Generation</t>
  </si>
  <si>
    <t>IBM COGNOS TM1 web 2.06</t>
  </si>
  <si>
    <t xml:space="preserve">Designed Gross Heat Rate </t>
  </si>
  <si>
    <t>Auxilliary Power Consumption (APC)</t>
  </si>
  <si>
    <t>Running Hours</t>
  </si>
  <si>
    <t>Hrs</t>
  </si>
  <si>
    <t>C.2.2</t>
  </si>
  <si>
    <t>Through Steam Turbine/ Generator   (STG)</t>
  </si>
  <si>
    <t>C.2.2.1</t>
  </si>
  <si>
    <t>STG 1</t>
  </si>
  <si>
    <t>Annual Gross Unit generation</t>
  </si>
  <si>
    <t>SAP TCODE: COOISPI</t>
  </si>
  <si>
    <t>IBM Cognos TM1 Web</t>
  </si>
  <si>
    <t xml:space="preserve">Design Gross Heat Rate </t>
  </si>
  <si>
    <t>kcal/ kWh</t>
  </si>
  <si>
    <t>Total Plant Availlable Hours per year</t>
  </si>
  <si>
    <t xml:space="preserve"> = 365 DAYS *24 HRS = 8760 HRS</t>
  </si>
  <si>
    <t>Plant Unavailability hrs due to Planned shutdown, Break down due to internal &amp;  external factor</t>
  </si>
  <si>
    <t>Attached proof in the name of ''TG wise RHS &amp; STOPPAGE HRS'' in the folder</t>
  </si>
  <si>
    <t>Plant low load hrs due to Internal Factors/ Breakdown in Plant</t>
  </si>
  <si>
    <t>Plant low load hrs due to External Factors like Fuel Unavailability/ Market demand/External Condition</t>
  </si>
  <si>
    <t>Average Running Load</t>
  </si>
  <si>
    <t>C.2.2.1 (iii)/VC.2.2.1 (vi)</t>
  </si>
  <si>
    <t>Plant Availability Factor (PAF)</t>
  </si>
  <si>
    <t>{C.2.2.1  (vii)-C.2.2.1(viii)}/C.2.2.1  (vii)</t>
  </si>
  <si>
    <t>Plant Loading Factor (PLF)</t>
  </si>
  <si>
    <t>C.2.2.1(iii) x 10^4/C.2.2.1(ii)*C.2.2.1  (vii)* C.2.2.1 (xii)</t>
  </si>
  <si>
    <t>% of loss due to external Factors</t>
  </si>
  <si>
    <t>C.2.2.1(x)/[C.2.2.1(ix)+C.2.2.1(x)</t>
  </si>
  <si>
    <t>C.2.2.2</t>
  </si>
  <si>
    <t>STG2</t>
  </si>
  <si>
    <t xml:space="preserve">Total Plant Availlable Hours per year </t>
  </si>
  <si>
    <t>C.2.2.2 (iii)/VC.2.2.2 (vi)</t>
  </si>
  <si>
    <t>{C.2.2.2  (vii)-C.2.2.2(viii)}/C.2.2.2  (vii)</t>
  </si>
  <si>
    <t>C.2.2.2(iii) x 10^4/C.2.2.2(ii)*C.2.2.2 (vii)* C.2.2.2 (xii)</t>
  </si>
  <si>
    <t>C.2.2.2(x)/[C.2.2.2(ix)+C.2.2.2(x)</t>
  </si>
  <si>
    <t>C.2.2.3</t>
  </si>
  <si>
    <t>STG3</t>
  </si>
  <si>
    <t>C.2.2.3 (iii)/VC.2.2.3 (vi)</t>
  </si>
  <si>
    <t>{C.2.2.3  (vii)-C.2.2.3(viii)}/C.2.2.3  (vii)</t>
  </si>
  <si>
    <t>C.2.2.3(iii) x 10^4/C.2.2.3(ii)*C.2.2.3 (vii)* C.2.2.3 (xii)</t>
  </si>
  <si>
    <t>C.2.2.3(x)/[C.2.2.3(ix)+C.2.2.3(x)</t>
  </si>
  <si>
    <t>C.2.2.4</t>
  </si>
  <si>
    <t>STG4</t>
  </si>
  <si>
    <t>C.2.2.4 (iii)/VC.2.2.4(vi)</t>
  </si>
  <si>
    <t>{C.2.2.4 (vii)-C.2.2.4(viii)}/C.2.2.4 (vii)</t>
  </si>
  <si>
    <t>C.2.2.4(iii) x 10^4/C.2.2.4(ii)*C.2.2.4 (vii)* C.2.2.4 (xii)</t>
  </si>
  <si>
    <t>C.2.2.4(x)/[C.2.2.4(ix)+C.2.2.4(x)</t>
  </si>
  <si>
    <t>C.2.2.5</t>
  </si>
  <si>
    <t>STG5</t>
  </si>
  <si>
    <t>C.2.2.5 (iii)/VC.2.2.5(vi)</t>
  </si>
  <si>
    <t>{C.2.2.5 (vii)-C.2.2.5(viii)}/C.2.2.5 (vii)</t>
  </si>
  <si>
    <t>C.2.2.5(iii) x 10^4/C.2.2.5(ii)*C.2.2.5 (vii)* C.2.2.5 (xii)</t>
  </si>
  <si>
    <t>C.2.2.5(x)/[C.2.2.5(ix)+C.2.2.5(x)</t>
  </si>
  <si>
    <t xml:space="preserve">STGs </t>
  </si>
  <si>
    <t>C.2.2.6 (iii)/VC.2.2.6(vi)</t>
  </si>
  <si>
    <t>Weighted Average of PAF w.r.t. Gross Generation</t>
  </si>
  <si>
    <t>Plant Load Factor (PLF)</t>
  </si>
  <si>
    <t>Weighted Average of PLF w.r.t. Gross Generation</t>
  </si>
  <si>
    <t>C.2.2.6(x)/[C.2.2.6(ix)+C.2.2.6(x)</t>
  </si>
  <si>
    <t>C.2.3</t>
  </si>
  <si>
    <t>Through Gas Turbine (GT)</t>
  </si>
  <si>
    <t xml:space="preserve">Design Heat Rate </t>
  </si>
  <si>
    <t>Through Waste Heat Recovery</t>
  </si>
  <si>
    <t xml:space="preserve">WHR Installed Capacity </t>
  </si>
  <si>
    <t xml:space="preserve">Gross Annual Generation </t>
  </si>
  <si>
    <t>WHR Running Hours</t>
  </si>
  <si>
    <t>Electricity through dedicated Line from Captive Power Plant (CPP)</t>
  </si>
  <si>
    <t>Power Wheeled through a dedicated line</t>
  </si>
  <si>
    <t xml:space="preserve">Gross Heat Rate of wheeled Electricity from dedicated line </t>
  </si>
  <si>
    <t xml:space="preserve">Net Heat Rate of wheeled Electricity from dedicated line </t>
  </si>
  <si>
    <t>Emission factor for CPP located outside plant boundary</t>
  </si>
  <si>
    <t>Inidrect GHG Emissions from Purchased electricity (CPP outside boundary)</t>
  </si>
  <si>
    <t>tCO2</t>
  </si>
  <si>
    <t>Total Energy Consumed</t>
  </si>
  <si>
    <t>C2.6 (ii) x C.2.6 (iii)/10</t>
  </si>
  <si>
    <t>C2.6</t>
  </si>
  <si>
    <t>C2.6.1</t>
  </si>
  <si>
    <t>Annual gross generation</t>
  </si>
  <si>
    <t>EB Bill</t>
  </si>
  <si>
    <t>Auxiliary Power Consumption</t>
  </si>
  <si>
    <t>C2.6.2</t>
  </si>
  <si>
    <t>Annual generation</t>
  </si>
  <si>
    <t>Average Wind Speed</t>
  </si>
  <si>
    <t>Total Captive Renewable Energy (In Plant)-from all sources</t>
  </si>
  <si>
    <t>Total Renewable Energy (through Wheeling)-from all sources</t>
  </si>
  <si>
    <t>Total Renewable Energy (In plant &amp; through Wheeling)-from all sources</t>
  </si>
  <si>
    <t>Total Own Generation of Electricity</t>
  </si>
  <si>
    <t>C.2.1.(iii)+C.2.26.(iii)+C.2.3.(ii)+C.2.4.(ii)+C.2.5.(ii)</t>
  </si>
  <si>
    <t>C3.1</t>
  </si>
  <si>
    <t>Emission Factor for Own Generation of Electricity</t>
  </si>
  <si>
    <t>g CO2/kcal</t>
  </si>
  <si>
    <t>C3.2</t>
  </si>
  <si>
    <t>Emission Factor for Process</t>
  </si>
  <si>
    <t>Electricity Exported to Grid/others</t>
  </si>
  <si>
    <t>SAP T CODE ZRPP_CPWR</t>
  </si>
  <si>
    <t>Electricity Supplied to Colony/others</t>
  </si>
  <si>
    <t>Colony consumption from EB bill</t>
  </si>
  <si>
    <t>Electricity Supplied to Grid/Colony/others from CPP</t>
  </si>
  <si>
    <t>C.4+[If C.5 &gt; C.1(xvi) then (C.5-C.1(xvi))] otherwsie 0</t>
  </si>
  <si>
    <t>Equivalent Thermal Energy supplied to grid/others</t>
  </si>
  <si>
    <t>C.6*2717/10</t>
  </si>
  <si>
    <t>Total Electricity Consumed</t>
  </si>
  <si>
    <t>if C.5 &gt; C.1.(xvi), C.3-C.4-C.5-C.1.(xvi) otherwise C.1 (xvii) +C.3 -C.4</t>
  </si>
  <si>
    <t>Emission factor for in-plant generation, dedicated line imports and renewables</t>
  </si>
  <si>
    <t xml:space="preserve">t CO2/MWh </t>
  </si>
  <si>
    <t>Emission factor for colony power export &amp; Intermediary product (Grid import/IPP import)</t>
  </si>
  <si>
    <t>Emission to be adjusted for export to grid</t>
  </si>
  <si>
    <t xml:space="preserve">Emission to be adjusted for export to colony </t>
  </si>
  <si>
    <t>Total emission to be adjusted</t>
  </si>
  <si>
    <t xml:space="preserve">Solid Fuel Consumption </t>
  </si>
  <si>
    <t>D.1</t>
  </si>
  <si>
    <t>Coal (Indian)</t>
  </si>
  <si>
    <t>Landed Cost of fuel (Last purchase)</t>
  </si>
  <si>
    <t>Basic Cost+Taxes+Freight</t>
  </si>
  <si>
    <t>Rs/Tonne</t>
  </si>
  <si>
    <t>Average Gross calorific value (Power generation)</t>
  </si>
  <si>
    <t>Annual (Air Dried Basis)</t>
  </si>
  <si>
    <t>kcal/ kg</t>
  </si>
  <si>
    <t xml:space="preserve">Average Gross calorific value (Kiln) </t>
  </si>
  <si>
    <t>Average Net Calorific Value (Power generation)</t>
  </si>
  <si>
    <t>NCV taken as formulae</t>
  </si>
  <si>
    <t xml:space="preserve">Average Net Calorific Value (Kiln) </t>
  </si>
  <si>
    <t>NCV=GCV-[(IM/9)+5]x53</t>
  </si>
  <si>
    <t>Quantity purchased Power</t>
  </si>
  <si>
    <t xml:space="preserve">Quantity purchased - Kiln </t>
  </si>
  <si>
    <t xml:space="preserve">Average Surface Moisture in Fuel - Power </t>
  </si>
  <si>
    <t>Annual(As Received Basis)</t>
  </si>
  <si>
    <t xml:space="preserve">Average Surface Moisture in Fuel -Kiln  </t>
  </si>
  <si>
    <t>% Total Carbon - (Power generation)</t>
  </si>
  <si>
    <t>% Total Carbon - (Kiln)</t>
  </si>
  <si>
    <t>% Oxidation Factor - (Power generation)</t>
  </si>
  <si>
    <t>% Oxidation Factor - (Kiln)</t>
  </si>
  <si>
    <t>Quantity used for power generation (Surface Moisture Free)</t>
  </si>
  <si>
    <t>Quantity used for process (Pyro) (Surface Moisture Free)</t>
  </si>
  <si>
    <t>Pyro-processing</t>
  </si>
  <si>
    <t xml:space="preserve">Emission Factor - (Power Generation) </t>
  </si>
  <si>
    <t>g CO2 eq/kCal</t>
  </si>
  <si>
    <t xml:space="preserve">Emission Factor - (Kiln) </t>
  </si>
  <si>
    <t>Total Quantity Consumed</t>
  </si>
  <si>
    <t>(vi)+(vii)</t>
  </si>
  <si>
    <t>Thermal Energy Used in Power Generation</t>
  </si>
  <si>
    <t>(ii)x(vi)/1000</t>
  </si>
  <si>
    <t>Thermal Energy Used in Process</t>
  </si>
  <si>
    <t>(iii)x(vii)/1000</t>
  </si>
  <si>
    <t xml:space="preserve">GHG Emission from power generation </t>
  </si>
  <si>
    <t>GHG Emission from kiln</t>
  </si>
  <si>
    <t>D.2</t>
  </si>
  <si>
    <t>Petcoke</t>
  </si>
  <si>
    <t>Average Gross calorific value (Kiln)</t>
  </si>
  <si>
    <t>ZRPP_DVTEJ-  &amp; Taken Wt.Avg (SAP)</t>
  </si>
  <si>
    <t>Average Net Calorific Value (Kiln)</t>
  </si>
  <si>
    <t xml:space="preserve">Quantity purchased </t>
  </si>
  <si>
    <t>Average Moisture in Fuel</t>
  </si>
  <si>
    <t>% Carbon - (Power generation)</t>
  </si>
  <si>
    <t>% Carbon - (Kiln)</t>
  </si>
  <si>
    <t>ZRPP_DVTEJ- (SAP)</t>
  </si>
  <si>
    <t>g CO2eq/kCal</t>
  </si>
  <si>
    <t>D.3</t>
  </si>
  <si>
    <t>Coal(Imported)</t>
  </si>
  <si>
    <t>Quantity used for process (Surface Moisture Free)</t>
  </si>
  <si>
    <t>t CO2eq</t>
  </si>
  <si>
    <t>D.4</t>
  </si>
  <si>
    <t>Coal(lignite)</t>
  </si>
  <si>
    <t>g CO2eq /kCal</t>
  </si>
  <si>
    <t>D.5</t>
  </si>
  <si>
    <t>Solid Fuel - Carbon Black/Peat/Dolachar/Other Solid fuel</t>
  </si>
  <si>
    <t>CARBON BLACK</t>
  </si>
  <si>
    <t>Includes carbon black, coal dust, dolachar and charcoal (for CPP) for year 2023-24,2022-23,2021-22</t>
  </si>
  <si>
    <t>D.6</t>
  </si>
  <si>
    <t>Coal 1: Type of Coal (Select from Cell)</t>
  </si>
  <si>
    <t>Other Bituminous Coal</t>
  </si>
  <si>
    <t>Dolachar</t>
  </si>
  <si>
    <t>D.7</t>
  </si>
  <si>
    <t>Coal 2: Type of Coal (Select from Cell)</t>
  </si>
  <si>
    <t>Coal dust</t>
  </si>
  <si>
    <t>D.8</t>
  </si>
  <si>
    <t>Coal 3: Type of Coal (Select from Cell)</t>
  </si>
  <si>
    <t>Emission Factor - (Power Generation)</t>
  </si>
  <si>
    <t>Average Gross calorific value Process</t>
  </si>
  <si>
    <t>Annual (As Dried Basis)</t>
  </si>
  <si>
    <t>Average Net calorific value Process</t>
  </si>
  <si>
    <t xml:space="preserve">Annual </t>
  </si>
  <si>
    <t>% carbon (fossil)</t>
  </si>
  <si>
    <t>% Oxidation factor</t>
  </si>
  <si>
    <t>Quantity purchased &amp; used in process (Surface Moisture Free)</t>
  </si>
  <si>
    <t>Quantity generated from power plant &amp; used in process(Surface Moisture Free)</t>
  </si>
  <si>
    <t xml:space="preserve">GHG Emission Factor </t>
  </si>
  <si>
    <t>Thermal Energy from unburnt fuel in Power Plant</t>
  </si>
  <si>
    <t>(ii)x(iv)/1000</t>
  </si>
  <si>
    <t>GHG Emission (fossil) Process</t>
  </si>
  <si>
    <t>D.10</t>
  </si>
  <si>
    <t>Bio mass or Other purchased Renewable solid fuels (pl. specify) baggase, rice husk, etc.</t>
  </si>
  <si>
    <t>Thermal Energy Input used for process through Biomass not to be taken into account</t>
  </si>
  <si>
    <t>Average Gross calorific value (Power Generation) as fired</t>
  </si>
  <si>
    <t>Annual (As Fired Basis)</t>
  </si>
  <si>
    <t>Average Gross calorific value (Process) as fired</t>
  </si>
  <si>
    <t>Annual (As fired Basis)</t>
  </si>
  <si>
    <t>Average Net calorific value (Power Generation)</t>
  </si>
  <si>
    <t>Average Net calorific value (Process)</t>
  </si>
  <si>
    <t>% Carbon (Power Generation)  (Non-Fossil)</t>
  </si>
  <si>
    <t>% Carbon (Process)  (Non-Fossil)</t>
  </si>
  <si>
    <t>% Oxidation factor (Power Generation)</t>
  </si>
  <si>
    <t>% Oxidation factor (Process)</t>
  </si>
  <si>
    <t>Annual(As Fired Basis)</t>
  </si>
  <si>
    <t xml:space="preserve">Quantity used power generation </t>
  </si>
  <si>
    <t>Quantity used for process heating (Pyro)</t>
  </si>
  <si>
    <t>Non-Fossil Emission Factor (CO2) Power generation</t>
  </si>
  <si>
    <t>g CO2/kCal</t>
  </si>
  <si>
    <t>Non-Fossil Emission Factor (CO2) Process</t>
  </si>
  <si>
    <t xml:space="preserve">CH4 Emission Factor </t>
  </si>
  <si>
    <t>N2O Emission Factor</t>
  </si>
  <si>
    <t>(v)+(vi)</t>
  </si>
  <si>
    <t>(ii)x(v)/1000</t>
  </si>
  <si>
    <t>GHG Emission (Non-Fossil)-Power (CO2)</t>
  </si>
  <si>
    <t>t CO2</t>
  </si>
  <si>
    <t>GHG Emission (Non-Fossil) - Process (CO2)</t>
  </si>
  <si>
    <t>GHG Emissions - Process and Power (CH4 and N2O)</t>
  </si>
  <si>
    <t>D.11</t>
  </si>
  <si>
    <t>Solid Waste (pl. specify) rubber tyres chips, Municipal Solid waste etc.</t>
  </si>
  <si>
    <t>Thermal Energy Input used for process through solid waste, not to be taken into account</t>
  </si>
  <si>
    <t>Average Gross calorific value as fired</t>
  </si>
  <si>
    <t>Average Net Calorific value</t>
  </si>
  <si>
    <t>% Carbon (Non-Fossil)</t>
  </si>
  <si>
    <t>% Carbon (Fossil)</t>
  </si>
  <si>
    <t>Quantity used power generation</t>
  </si>
  <si>
    <t>Quantity used for process heating</t>
  </si>
  <si>
    <t>Non-Fossil Emission Factor (CO2)</t>
  </si>
  <si>
    <t xml:space="preserve">Fossil Emission Factor (CO2) </t>
  </si>
  <si>
    <t>CH4 Emission Factor</t>
  </si>
  <si>
    <t xml:space="preserve">N2O Emission Factor </t>
  </si>
  <si>
    <t>GHG Emission (Non-Fossil) -Power</t>
  </si>
  <si>
    <t>GHG Emission (fossil) -Power</t>
  </si>
  <si>
    <t>GHG Emission (fossil) -Power (CH4 &amp; N2O)</t>
  </si>
  <si>
    <t>GHG Emission (Non-Fossil) -Process</t>
  </si>
  <si>
    <t>GHG Emission (fossil) -Process</t>
  </si>
  <si>
    <t>GHG Emission (fossil) -Process)(CH4 &amp; N2O)</t>
  </si>
  <si>
    <t>Total Solid Fuel Energy Used in Power Generation</t>
  </si>
  <si>
    <t>D.1.(ix)+D.2.(ix)+D.3.(ix)+D.4.(ix)+D.5.(ix)+D.6.(ix)++D.7.(ix)+D.8.(ix)+D.9.(viii)++D.10.(viii) otherwise D.9 (viii) and D.10 (viii) are not considered</t>
  </si>
  <si>
    <t>Total Solid Fuel  Energy Used in Process</t>
  </si>
  <si>
    <t>D.1.(x)+D.2.(x)+D.3.(x)+D.4.(x)+D.5.(x)+D.6.(x)+D.7.(x)+D.8.(x)</t>
  </si>
  <si>
    <t>Total GHG Emissions from Power Generation -Fossil</t>
  </si>
  <si>
    <t>Total GHG Emisisions from Process heating - Fossil</t>
  </si>
  <si>
    <t>Total GHG Emissions from Solid Fuel-Fossil</t>
  </si>
  <si>
    <t>Total GHG Emissions from Power Generation -Non-Fossil</t>
  </si>
  <si>
    <t>Total GHG Emissions from Process - Non-Fossil</t>
  </si>
  <si>
    <t>E.1</t>
  </si>
  <si>
    <t>Gross calorific value</t>
  </si>
  <si>
    <t>Net Calorific value</t>
  </si>
  <si>
    <t>Oxidation Factor</t>
  </si>
  <si>
    <t>Quantity purchased</t>
  </si>
  <si>
    <t>kilo Litre</t>
  </si>
  <si>
    <t xml:space="preserve">Average Density </t>
  </si>
  <si>
    <t>kg/ltr</t>
  </si>
  <si>
    <t xml:space="preserve">GHG Emission Factor (IPCC 2006) </t>
  </si>
  <si>
    <t>Quantity used for power generation (DG Set)</t>
  </si>
  <si>
    <t>Quantity used for power generation (CPP)</t>
  </si>
  <si>
    <t>(including Pyro-processing and cement mill Hot Air Generator)</t>
  </si>
  <si>
    <t>Total Furnace Oil Consumption as fuel</t>
  </si>
  <si>
    <t>((v)+(vi)+(vii)) x(iii)</t>
  </si>
  <si>
    <t>Thermal Energy Used in Power Generation (DG Set)</t>
  </si>
  <si>
    <t>[((v))x(iv)]x(ii)/1000</t>
  </si>
  <si>
    <t>Thermal Energy Used in Power Generation (CPP)</t>
  </si>
  <si>
    <t>[((vi))x(iv)]x(ii)/1000</t>
  </si>
  <si>
    <t>(ii)x(vii)*(iv)/1000</t>
  </si>
  <si>
    <t>GHG Emissions from Power Generation (DG Set)</t>
  </si>
  <si>
    <t>GHG Emissions from Power Generation (CPP)</t>
  </si>
  <si>
    <t xml:space="preserve">GHG Emissions from Process </t>
  </si>
  <si>
    <t>E.2</t>
  </si>
  <si>
    <t>Low Sulphur Heavy Stock (LSHS)</t>
  </si>
  <si>
    <t>Net calorific value</t>
  </si>
  <si>
    <t>Oxidation factor</t>
  </si>
  <si>
    <t>Total LSHS Consumption as fuel</t>
  </si>
  <si>
    <t>(iv)+(v)+(vi)</t>
  </si>
  <si>
    <t>(iv)x(ii)/1000</t>
  </si>
  <si>
    <t>(v)x(ii)/1000</t>
  </si>
  <si>
    <t>(vi)x(ii)/1000</t>
  </si>
  <si>
    <t>GHG Emissions from Power Generation (DG set)</t>
  </si>
  <si>
    <t>GHG Emission from Power Generation (CPP)</t>
  </si>
  <si>
    <t>GHG Emissions from Process heating</t>
  </si>
  <si>
    <t>E.3</t>
  </si>
  <si>
    <t>High Sulphur Heavy Stock (HSHS)/Pyrolysis Oil/Petro Polymer Oil</t>
  </si>
  <si>
    <t>(iiI)</t>
  </si>
  <si>
    <t>GHG Emission Factor</t>
  </si>
  <si>
    <t>SAP</t>
  </si>
  <si>
    <t>PPF density considered 0.8</t>
  </si>
  <si>
    <t>Total HSHS Consumption as fuel</t>
  </si>
  <si>
    <t xml:space="preserve">GHG Emissions from Process heating </t>
  </si>
  <si>
    <t>E.4</t>
  </si>
  <si>
    <t>High Speed Diesel (HSD)</t>
  </si>
  <si>
    <t xml:space="preserve">from oil company HPCL data </t>
  </si>
  <si>
    <t>Average Density</t>
  </si>
  <si>
    <t>Density as per MOP notification no S.O.394(E)12.03.2007</t>
  </si>
  <si>
    <t xml:space="preserve">GHG Emission factor (IPCC 2006 EFDB) </t>
  </si>
  <si>
    <t>Quantity used for Internal material handling / Transportation (Raw material handling , Loco, etc)</t>
  </si>
  <si>
    <t>Total HSD Consumption as fuel</t>
  </si>
  <si>
    <t>[(v)+(vi)+(viii)]x(iv)</t>
  </si>
  <si>
    <t>Thermal Energy Used in Internal Transportation (Internal Raw Material handling,Loco etc)</t>
  </si>
  <si>
    <t>[((vii))x(iv)]x(ii)/1000</t>
  </si>
  <si>
    <t>(viii)x(iv)x(ii)/1000</t>
  </si>
  <si>
    <t xml:space="preserve">GHG Emissions from Internal transportation </t>
  </si>
  <si>
    <t>GHG Emissions from Process</t>
  </si>
  <si>
    <t>E.5</t>
  </si>
  <si>
    <t>Light Diesel Oil (LDO)</t>
  </si>
  <si>
    <t xml:space="preserve">SAP T CODE MB51 - (DIESELLIGHTKL) </t>
  </si>
  <si>
    <t>Quantity used for Internal Transportation, if any</t>
  </si>
  <si>
    <t>Total LDO Consumption as fuel</t>
  </si>
  <si>
    <t>GHG Emissions from Internal Transporation</t>
  </si>
  <si>
    <t xml:space="preserve">Liquid Waste 
(Pl. specify the type of Liquid Waste )  </t>
  </si>
  <si>
    <t>Thermal Energy Input through Liquid waste</t>
  </si>
  <si>
    <t>% carbon (Fossil)</t>
  </si>
  <si>
    <t>% carbon (Non- Fossil)</t>
  </si>
  <si>
    <t xml:space="preserve">GHG Emission factor -Fossil </t>
  </si>
  <si>
    <t>GHG Emission Factor - Non -Fossil</t>
  </si>
  <si>
    <t xml:space="preserve">Quantity used for process </t>
  </si>
  <si>
    <t>Total Liquid waste Consumption as fuel</t>
  </si>
  <si>
    <t>[(v)+(vi)+(vii)]x(iv)</t>
  </si>
  <si>
    <t>(v)x(iv)x(ii)/1000</t>
  </si>
  <si>
    <t>(vi)x(iv)x(ii)/1000</t>
  </si>
  <si>
    <t>GHG Emissions from power generation (DG Set) -Fossil</t>
  </si>
  <si>
    <t>GHG Emissions from Power Generation (CPP) - Fossil</t>
  </si>
  <si>
    <t xml:space="preserve">GHG Emissions from process -Fossil </t>
  </si>
  <si>
    <t>GHG Emissions from power generation (DG Set) -Non Fossil</t>
  </si>
  <si>
    <t>GHG Emissions from Power Generation (CPP) - Non Fossil</t>
  </si>
  <si>
    <t xml:space="preserve">GHG Emissions from process -Non Fossil </t>
  </si>
  <si>
    <t>Total Liquid Energy Used in Power Generation (DG Set)</t>
  </si>
  <si>
    <t>E.1.(ix)+E.2.(viii)+E.3.(viii)+E.4.(x)+E.5.(x)+E.6.(ix) otherwise E.6 (v)  not considered</t>
  </si>
  <si>
    <t>Total Liquid Energy Used in Power Generation (CPP)</t>
  </si>
  <si>
    <t>E.1.(x)+E.2.(ix)+E.3.(ix)+E.4.(xii)+E.5.(xii)+E.6.(x) otherwsie E.6. (x)</t>
  </si>
  <si>
    <t>Total Liquid Energy Used in Process</t>
  </si>
  <si>
    <t>E.1.(xi)+E.2.(x)+E.3.(x)+E.4.(xi)+E.5.(xi)+E.4.(xiii)+E.5.(xiii)</t>
  </si>
  <si>
    <t>Total GHG emission from Power Generation - DG Set (Liquid Fuel) - Fossil</t>
  </si>
  <si>
    <t>Total GHG emission from Power Generation - CPP  (Liquid Fuel) - Fossil</t>
  </si>
  <si>
    <t xml:space="preserve">Total GHG emission from  Process  heating (Liquid Fuel) - Fossil </t>
  </si>
  <si>
    <t xml:space="preserve">Total GHG emission from Power Generation &amp; Process  heating Liquid Fuel - Fossil </t>
  </si>
  <si>
    <t>Total GHG emission from Power Generation - DG Set (Liquid Fuel) - Non Fossil</t>
  </si>
  <si>
    <t>Total GHG emission from Power Generation - CPP  (Liquid Fuel) - Non Fossil</t>
  </si>
  <si>
    <t xml:space="preserve">Total GHG emission from Power Generation - Process  (Liquid Fuel) - Non Fossil </t>
  </si>
  <si>
    <t>Gaseous Fuel</t>
  </si>
  <si>
    <t>Rs/SCM</t>
  </si>
  <si>
    <t xml:space="preserve">Gross calorific value </t>
  </si>
  <si>
    <t>kcal/SCM</t>
  </si>
  <si>
    <t>GHG Emission factor</t>
  </si>
  <si>
    <t>Million SCM</t>
  </si>
  <si>
    <t>Quantity used for power generation</t>
  </si>
  <si>
    <t>Quantity used for Internal transportation, if any</t>
  </si>
  <si>
    <t>Total CNG Consumption as fuel</t>
  </si>
  <si>
    <t>(iv)x(ii)</t>
  </si>
  <si>
    <t>(v)x(ii)</t>
  </si>
  <si>
    <t>(vi)x(ii)</t>
  </si>
  <si>
    <t xml:space="preserve">GHG Emissions from Power Generation </t>
  </si>
  <si>
    <t xml:space="preserve">GHG Emissions from Internal transporation </t>
  </si>
  <si>
    <t>GHG Emissions from process heating</t>
  </si>
  <si>
    <t>kcal/kg</t>
  </si>
  <si>
    <t>Million kg</t>
  </si>
  <si>
    <t xml:space="preserve">GHG Emission factor </t>
  </si>
  <si>
    <t>Total LPG Consumption as fuel</t>
  </si>
  <si>
    <t>(iv)+(v)</t>
  </si>
  <si>
    <t>GHG Emissions from Power Generation</t>
  </si>
  <si>
    <t>Total Gaseous Energy Used in Power Generation</t>
  </si>
  <si>
    <t>F.1.(viii)+F.2.(vii)</t>
  </si>
  <si>
    <t>Total Gaseous Energy Used in Process</t>
  </si>
  <si>
    <t>F.1.(ix)+F.2.(viii) +F.1 (ix)</t>
  </si>
  <si>
    <t>GHG Emissions from Power Generation (Gasesous Fuel)</t>
  </si>
  <si>
    <t>GHG Emissions from Process heating (Gaseous fuel)</t>
  </si>
  <si>
    <t>GHG Emissions from Gaseous fuel</t>
  </si>
  <si>
    <t>Total Thermal Energy Used in Power Generation</t>
  </si>
  <si>
    <t>D.7+E.7+E.8+F.3</t>
  </si>
  <si>
    <t xml:space="preserve"> Total Thermal Energy Used in Process</t>
  </si>
  <si>
    <t>D.8+E.9+F.4</t>
  </si>
  <si>
    <t>Total Thermal Energy Input through all Fuels</t>
  </si>
  <si>
    <t>G.1+G.2+C.2.5.(iv)</t>
  </si>
  <si>
    <t xml:space="preserve">Total GHG Emissions in Power Generation </t>
  </si>
  <si>
    <t xml:space="preserve">Total GHG Emissions in Process </t>
  </si>
  <si>
    <t>Total GHG Emissions from all fuels</t>
  </si>
  <si>
    <t>Gross Heat Rate of DG Set</t>
  </si>
  <si>
    <t>[E.5 (x)+E.4 (x)+ E.3 (viii)+ E.2 (viii)+ E.1 (ix)+E.6 (ix)]x10/C.2.1.(ii)</t>
  </si>
  <si>
    <t>Gross Heat Rate of CPP (Steam Turbine)</t>
  </si>
  <si>
    <t>[(E.1.(x)+E.2.(ix)+E.3.(ix)+E.4.(xii)+E.5.(xii)+E.6.(x))+(D.1.(ix)+D.2.(ix)+D.3.(ix)+D.4.(ix)+D.5.(ix)+D.6.(ix)++D.7.(ix)+D.8.(ix)+D.9.(viii)++D.10.(viii))]x 10/C.2.2.(ii)</t>
  </si>
  <si>
    <t>Gross Heat Rate of CPP (Gas Turbine)</t>
  </si>
  <si>
    <t>F.3x10/C.2.3.(ii)</t>
  </si>
  <si>
    <t xml:space="preserve">Weighted Gross Heat Rate </t>
  </si>
  <si>
    <t>Weighted heat rate w.r.t. generation and power source</t>
  </si>
  <si>
    <t>kcal/kwh</t>
  </si>
  <si>
    <t>Weighted Net Heat Rate for import of Intermediary product/export to grid/ colony</t>
  </si>
  <si>
    <t xml:space="preserve">Weighted net heat rate w.r.t. generation and Grid Power </t>
  </si>
  <si>
    <t>Performance Indicators</t>
  </si>
  <si>
    <t>Thermal SEC</t>
  </si>
  <si>
    <t>kcal/kg Clinker</t>
  </si>
  <si>
    <t>SAP t code: ZQM_24AF_N(taken Wt. Avg of both plant)</t>
  </si>
  <si>
    <t>Electrical SEC (up to Clinkerization)</t>
  </si>
  <si>
    <t>kWh/Tonne Clinker</t>
  </si>
  <si>
    <t xml:space="preserve">Electrical SEC (Cement Grinding) </t>
  </si>
  <si>
    <t>kWh/Tonne Cement</t>
  </si>
  <si>
    <t xml:space="preserve">Electrical SEC (Crusher) </t>
  </si>
  <si>
    <t>kWh/Tonne limetsone</t>
  </si>
  <si>
    <t xml:space="preserve">Electrical SEC (Raw Mill) </t>
  </si>
  <si>
    <t>kWh/Tonne Raw meal</t>
  </si>
  <si>
    <t xml:space="preserve">Electrical SEC (Clinkerisation) </t>
  </si>
  <si>
    <t xml:space="preserve">Electrical SEC (Coal Mill) </t>
  </si>
  <si>
    <t>kWh/Tonne Coal</t>
  </si>
  <si>
    <t xml:space="preserve">Electrical SEC (Packing Plant) </t>
  </si>
  <si>
    <t>Electrical SEC (GGBS)</t>
  </si>
  <si>
    <t>kWh/Tonne GGBS</t>
  </si>
  <si>
    <t>Thermal SEC (GGBS)</t>
  </si>
  <si>
    <t>kcal/kg GGBS</t>
  </si>
  <si>
    <t>Lime Stone Bond Index</t>
  </si>
  <si>
    <t>kWh/short Ton</t>
  </si>
  <si>
    <t>Burnability</t>
  </si>
  <si>
    <t>Factor</t>
  </si>
  <si>
    <t>J.3</t>
  </si>
  <si>
    <t>CaO</t>
  </si>
  <si>
    <t>J.4</t>
  </si>
  <si>
    <t>MgO</t>
  </si>
  <si>
    <t>J.5</t>
  </si>
  <si>
    <t>Organic Matter</t>
  </si>
  <si>
    <t>J.6</t>
  </si>
  <si>
    <t>FeO</t>
  </si>
  <si>
    <t>J.7</t>
  </si>
  <si>
    <t>Fe2O3</t>
  </si>
  <si>
    <t>Ash</t>
  </si>
  <si>
    <t xml:space="preserve">ZRPP_DVTEJ - TPP </t>
  </si>
  <si>
    <t>Moisture</t>
  </si>
  <si>
    <t>Hydrogen</t>
  </si>
  <si>
    <t>GCV</t>
  </si>
  <si>
    <t>K.5</t>
  </si>
  <si>
    <t>% Carbon in Ash (ash generated from CPP)</t>
  </si>
  <si>
    <t>Miscelleneous Data $</t>
  </si>
  <si>
    <t>L.1</t>
  </si>
  <si>
    <t>Additional Electrical Energy Consumed</t>
  </si>
  <si>
    <t>Additional Thermal Energy Consumed</t>
  </si>
  <si>
    <t>L.2</t>
  </si>
  <si>
    <t>Biomass replacement with Fossil fuel due to Biomass un-availability (used in the process)</t>
  </si>
  <si>
    <t>Alternate Solid Fuel replacement with Fossil fuel due to Alternate Solid Fuel un-availability (used in the process)</t>
  </si>
  <si>
    <t>Alternate Liquid Fuel replacement with Fossil fuel due to Alternate Liquid Fuel un-availability (used in the process)</t>
  </si>
  <si>
    <t>L.3</t>
  </si>
  <si>
    <t>Electrical Energy Consumed due to commissioning of Equipment</t>
  </si>
  <si>
    <t>Thermal Energy Consumed due to commissioning of Equipment</t>
  </si>
  <si>
    <t>L.4</t>
  </si>
  <si>
    <t xml:space="preserve">Electrical Energy Consumed due to commissioning of New process Line/Unit till it attains 70% of Capacity Utilisation </t>
  </si>
  <si>
    <t xml:space="preserve">Thermal Energy Consumed due to commissioning of New Process Line/Unit till it attains 70% of Capacity Utilisation </t>
  </si>
  <si>
    <t>Clinker Production till new line attains 70% of Capacity utilisatiion</t>
  </si>
  <si>
    <t>Tonns</t>
  </si>
  <si>
    <t>Date of Commissioning (70% Capacity Utilisation)</t>
  </si>
  <si>
    <t>Electrical Energy Consumed from external source due to commissioning of New Line/Unit till it attains 70% of Capacity Utilisation in Power generation</t>
  </si>
  <si>
    <t>Thermal Energy Consumed due to commissioning of New Line/Unit till it attains 70% of Capacity Utilisation in Power generation</t>
  </si>
  <si>
    <t>Net Electricity Generation till new Line/Unit attains 70% Capacity Utilisation</t>
  </si>
  <si>
    <t>Date of Commissioning (70% Capacity Utilisation) Power Generation</t>
  </si>
  <si>
    <t>L.5</t>
  </si>
  <si>
    <t>Electrical Energy to be Normalised</t>
  </si>
  <si>
    <t>Thermal Energy to be Normalised</t>
  </si>
  <si>
    <t>$ Authentic documents in support of claim in Thermal and Electrical Energy is required</t>
  </si>
  <si>
    <t>Capacity Utilization-Document Available for Normalisation</t>
  </si>
  <si>
    <t>Fuel Quality in CPP-Document Available for Normalisation</t>
  </si>
  <si>
    <t>Petcoke Utilization in Kiln-Document Available for Normalisation</t>
  </si>
  <si>
    <t>CPP PLF- Document Available for Normalisation</t>
  </si>
  <si>
    <t>Power Mix-Document Available for Normalisation</t>
  </si>
  <si>
    <t>Product Mix-Document Available for Normalisation</t>
  </si>
  <si>
    <t>Others Factors-Document Available for Normalisation</t>
  </si>
  <si>
    <t>Bond Index-Document Available for Normailisation</t>
  </si>
  <si>
    <t>Million Rs</t>
  </si>
  <si>
    <t>Investment made for achieving target</t>
  </si>
  <si>
    <t>Thermal Energy Saving during the year</t>
  </si>
  <si>
    <t>Solid Fuel</t>
  </si>
  <si>
    <t>a.1</t>
  </si>
  <si>
    <t>Coal</t>
  </si>
  <si>
    <t>a.2</t>
  </si>
  <si>
    <t>a.3</t>
  </si>
  <si>
    <t>Petro Coke</t>
  </si>
  <si>
    <t>a.4</t>
  </si>
  <si>
    <t>Biomass/Waste</t>
  </si>
  <si>
    <t>Liquid Fuel (FO/HSD/LDO/LSHS/HSHS)</t>
  </si>
  <si>
    <t>Electrical energy Saving during the year</t>
  </si>
  <si>
    <t>Lakh kWH</t>
  </si>
  <si>
    <t>Process Flow Diagram Attached</t>
  </si>
  <si>
    <t>Basis/Formulae</t>
  </si>
  <si>
    <t>P.1</t>
  </si>
  <si>
    <t>Process CO2 Emission Estimate</t>
  </si>
  <si>
    <t>2.a</t>
  </si>
  <si>
    <t>Method for Process CO2 emissions calculation (Type 1)</t>
  </si>
  <si>
    <t>Type 1- Emission Factor (CSI)</t>
  </si>
  <si>
    <t>2.b</t>
  </si>
  <si>
    <t>Method for Process CO2 emissions calculation (Type 2)</t>
  </si>
  <si>
    <t>Type 2-Unit Specific method</t>
  </si>
  <si>
    <t>Select method for Process CO2 emissions calculation</t>
  </si>
  <si>
    <t>-</t>
  </si>
  <si>
    <t>Tier 2 - Emission Factor (CSI)</t>
  </si>
  <si>
    <t>Emission Factor for calcination</t>
  </si>
  <si>
    <t>t CO2/t Clinker</t>
  </si>
  <si>
    <t>Tier 3 - Unit Specific method</t>
  </si>
  <si>
    <t>Total Emissions from Calcination</t>
  </si>
  <si>
    <t>Tier 3 Method based on Simple output method (B1 as per CSI)</t>
  </si>
  <si>
    <t>P.2</t>
  </si>
  <si>
    <t>Calculation of Calcination Emission Factor (based on IPCC GPG)</t>
  </si>
  <si>
    <t xml:space="preserve">Fraction </t>
  </si>
  <si>
    <t>Emission factor calcination without CKD and BPD (By Pass Dust) correction</t>
  </si>
  <si>
    <t>faction of CaO x (44.01/56.08)</t>
  </si>
  <si>
    <t>P3</t>
  </si>
  <si>
    <t xml:space="preserve">Simple Output Method -B1&amp; B2(as per CSI) </t>
  </si>
  <si>
    <t>P3.1</t>
  </si>
  <si>
    <t>Clinker production and composition (Weighted for all Kilns)</t>
  </si>
  <si>
    <t>CaO content (incl. free lime)</t>
  </si>
  <si>
    <t>[%]</t>
  </si>
  <si>
    <t>MgO content</t>
  </si>
  <si>
    <t xml:space="preserve">Qty of CaO </t>
  </si>
  <si>
    <t>Qty of MgO</t>
  </si>
  <si>
    <t>P3.2</t>
  </si>
  <si>
    <t>Raw Meal Consumed (Weighted)</t>
  </si>
  <si>
    <t>Raw Meal Clinker Ratio (default 1.55 or plant specific value)</t>
  </si>
  <si>
    <t>Total Raw Meal Consumed</t>
  </si>
  <si>
    <t>Average Organic Carbon content of raw meal (default value 0.2%)</t>
  </si>
  <si>
    <t>P3.3</t>
  </si>
  <si>
    <t>Correction for non-carbonate sources of CaO, MgO found in clinker (input of CaO and MgO into kiln, e.g. raw materials which are already calcined) [Weighted for all Kilns)</t>
  </si>
  <si>
    <t xml:space="preserve"> CaO content [Dry Weight]</t>
  </si>
  <si>
    <t xml:space="preserve"> MgO content [Dry Weight]</t>
  </si>
  <si>
    <t>Qty of total CaO</t>
  </si>
  <si>
    <t>Qty of total MgO</t>
  </si>
  <si>
    <t>P3.4</t>
  </si>
  <si>
    <t>Correction for Ca/Mg-silicate sources in raw materials</t>
  </si>
  <si>
    <t>CaSi amount</t>
  </si>
  <si>
    <t>MgSi amount</t>
  </si>
  <si>
    <t>P3.5</t>
  </si>
  <si>
    <t>CO2 emissions from raw material calcination</t>
  </si>
  <si>
    <t>Uncorrected CO2 emissions, based on CaO- and MgO content of clinker</t>
  </si>
  <si>
    <t>[t CO2/yr]</t>
  </si>
  <si>
    <t xml:space="preserve">Correction for non-carbonate sources of CaO and MgO </t>
  </si>
  <si>
    <t>Correction for silicate sources of CaO and MgO found in clinker</t>
  </si>
  <si>
    <t>Corrected, direct CO2 emissions</t>
  </si>
  <si>
    <t>P3.6</t>
  </si>
  <si>
    <t>Specific CO2 emissions per ton of clinker</t>
  </si>
  <si>
    <t>Calcination factor, uncorrected</t>
  </si>
  <si>
    <t>[kg CO2/t cli]</t>
  </si>
  <si>
    <t>Calcination emission factor corrected for non-carbonate and silicate sources of CaO,MgO</t>
  </si>
  <si>
    <t>P3.7</t>
  </si>
  <si>
    <t>Data Detailed Output Method (B2)</t>
  </si>
  <si>
    <t xml:space="preserve">Calcination emission factor corrected for non-carbonate and silicate sources of CaO, MgO in clinker </t>
  </si>
  <si>
    <t>P3.8</t>
  </si>
  <si>
    <t xml:space="preserve">CKD and Bypass Dust Correction </t>
  </si>
  <si>
    <t>tonne</t>
  </si>
  <si>
    <t>CKD calcination rate (deafult value 0% for dry kiln and 100% for other kiln types)</t>
  </si>
  <si>
    <t>CO2 emissions from Bypass dust</t>
  </si>
  <si>
    <t>t/year</t>
  </si>
  <si>
    <t>CO2 emissions from CKD</t>
  </si>
  <si>
    <t>CO2 emissions from Organic Carbon content of raw meal</t>
  </si>
  <si>
    <t>Output CalcB2: Calcination emission factor corrected for non-carbonate and silicate sources of CaO, MgO in clinker</t>
  </si>
  <si>
    <t>Total CO2 emissions from calcination of raw material</t>
  </si>
  <si>
    <t>Please leave blank</t>
  </si>
  <si>
    <t>I ……………………………………………….........................…..solemnly declare that to the best of my knowledge the information given in the above Form I there to is correct and complete. I also declare that the information provided for Normalisation is limited to external factors only.</t>
  </si>
  <si>
    <t xml:space="preserve">  (Signature of the Chief Executive)</t>
  </si>
  <si>
    <t>Signature of Energy Manager</t>
  </si>
  <si>
    <t xml:space="preserve">Name </t>
  </si>
  <si>
    <t xml:space="preserve">                                             Organisation Seal</t>
  </si>
  <si>
    <t xml:space="preserve">Date:- </t>
  </si>
  <si>
    <t xml:space="preserve">Place:- </t>
  </si>
  <si>
    <t xml:space="preserve">Form-Sb (Base Line Parameters For PAT Scheme) </t>
  </si>
  <si>
    <t>Total Cement Production(All  varities)</t>
  </si>
  <si>
    <t>Opening Clinker Stock</t>
  </si>
  <si>
    <t>Closing Clinker Stock</t>
  </si>
  <si>
    <t>Opening Cement Stock</t>
  </si>
  <si>
    <t>Closing Cement Stock</t>
  </si>
  <si>
    <t>Capacity Utilization (Clinker)</t>
  </si>
  <si>
    <t>Capacity Utilization (Cement)</t>
  </si>
  <si>
    <t>OPC Production</t>
  </si>
  <si>
    <t>PPC Production</t>
  </si>
  <si>
    <t>PSC Production</t>
  </si>
  <si>
    <t>Composite Cement Production</t>
  </si>
  <si>
    <t>Details of Other Additives Used</t>
  </si>
  <si>
    <t>B4</t>
  </si>
  <si>
    <t>B5</t>
  </si>
  <si>
    <t>Quantity of any other Additive used</t>
  </si>
  <si>
    <t>Conversion Factors (CF) for Clinker to various Cement grades</t>
  </si>
  <si>
    <t>C1</t>
  </si>
  <si>
    <t>C2</t>
  </si>
  <si>
    <t>C3</t>
  </si>
  <si>
    <t>C4</t>
  </si>
  <si>
    <t>C5</t>
  </si>
  <si>
    <t>C6</t>
  </si>
  <si>
    <t>D1</t>
  </si>
  <si>
    <t>D2</t>
  </si>
  <si>
    <t xml:space="preserve"> Electrical SEC (up to Clinkerization)</t>
  </si>
  <si>
    <t>D3</t>
  </si>
  <si>
    <t xml:space="preserve">Details of Electricity Consumption </t>
  </si>
  <si>
    <t>E1</t>
  </si>
  <si>
    <t>Electricity from Grid / Other</t>
  </si>
  <si>
    <t>E2.1</t>
  </si>
  <si>
    <t>Through DG sets</t>
  </si>
  <si>
    <t>Gross Unit Generation</t>
  </si>
  <si>
    <t>Avg. Gross Heat rate of DG Set</t>
  </si>
  <si>
    <t>E.2.2</t>
  </si>
  <si>
    <t xml:space="preserve">Through Steam turbine/ generator   </t>
  </si>
  <si>
    <t>Annual Gross  generation</t>
  </si>
  <si>
    <t xml:space="preserve">Average Gross Heat Rate </t>
  </si>
  <si>
    <t xml:space="preserve">Auxilliary Power Consumption </t>
  </si>
  <si>
    <t xml:space="preserve">Weighted Average Heat Rate </t>
  </si>
  <si>
    <t>Total Generation of Electricity</t>
  </si>
  <si>
    <t>Electricity Supplied to Grid/others</t>
  </si>
  <si>
    <t>GCV of Fuels</t>
  </si>
  <si>
    <t>GCV of Imported Coal (Process Heating)</t>
  </si>
  <si>
    <t>used for kiln</t>
  </si>
  <si>
    <t>GCV of Imported Coal (Power Generation)</t>
  </si>
  <si>
    <t>used for CPP</t>
  </si>
  <si>
    <t>GCV of Indian Coal</t>
  </si>
  <si>
    <t>GCV of Petcoke</t>
  </si>
  <si>
    <t>F.5</t>
  </si>
  <si>
    <t>GCV of Liquid Fuel (FO)</t>
  </si>
  <si>
    <t>GCV of Liquid Fuel (HSD)</t>
  </si>
  <si>
    <t>Weighted Average Heat Rate of CPP Heat Rate All DCs in Cement Sector</t>
  </si>
  <si>
    <t>Date:</t>
  </si>
  <si>
    <t>Place:</t>
  </si>
  <si>
    <t>Form-Sb (Summary Sheet )</t>
  </si>
  <si>
    <t>S.No.</t>
  </si>
  <si>
    <t>Details of Production</t>
  </si>
  <si>
    <t>Annual Production</t>
  </si>
  <si>
    <t>Lakh Tonne</t>
  </si>
  <si>
    <t>Total Combined Cement Production</t>
  </si>
  <si>
    <t>Capacity utilization</t>
  </si>
  <si>
    <t>Annual Clinker</t>
  </si>
  <si>
    <t>Annual Cement</t>
  </si>
  <si>
    <t>Production of OPC</t>
  </si>
  <si>
    <t>Production of PPC</t>
  </si>
  <si>
    <t>k</t>
  </si>
  <si>
    <t>Production of PSC</t>
  </si>
  <si>
    <t>l</t>
  </si>
  <si>
    <t>m</t>
  </si>
  <si>
    <t>n</t>
  </si>
  <si>
    <t>o</t>
  </si>
  <si>
    <t>p</t>
  </si>
  <si>
    <t xml:space="preserve">Clinker Exported </t>
  </si>
  <si>
    <t>q</t>
  </si>
  <si>
    <t>r</t>
  </si>
  <si>
    <t>Clinker Stock</t>
  </si>
  <si>
    <t>(Closing Clinker stock- Opening Clinker Stock)</t>
  </si>
  <si>
    <t>s</t>
  </si>
  <si>
    <t>Total Clinker Exported</t>
  </si>
  <si>
    <t>(Clinker Exported + Clinker exported to clinker stock)</t>
  </si>
  <si>
    <t>t</t>
  </si>
  <si>
    <t>Total Clinker Imported</t>
  </si>
  <si>
    <t>(Clinker imported + Clinker Imported from clinker stock)</t>
  </si>
  <si>
    <t>u</t>
  </si>
  <si>
    <t>Total Cementious product</t>
  </si>
  <si>
    <t>Clinker produced +Mineral Components (MIC) (Additives)</t>
  </si>
  <si>
    <t>Total Cement production w.r.t overall Clinker Factor</t>
  </si>
  <si>
    <t>Total Cement production + Clinker exported * Overall Clinker Factor</t>
  </si>
  <si>
    <t>    Clinker to OPC</t>
  </si>
  <si>
    <t>Clinker used for OPC Production/OPC Produced</t>
  </si>
  <si>
    <t>    Clinker to PPC</t>
  </si>
  <si>
    <t>Clinker used for PPC Production/PPC Produced</t>
  </si>
  <si>
    <t>    Clinker to PSC</t>
  </si>
  <si>
    <t>Clinker used for PSC Production/PSC Produced</t>
  </si>
  <si>
    <t xml:space="preserve">    Clinker to Composite Cement</t>
  </si>
  <si>
    <t>Clinker used for Composite Cement Production/Composite Cement Produced</t>
  </si>
  <si>
    <t>Clinker to Cement factor</t>
  </si>
  <si>
    <t>Clinker Opening + Clinker Production - Clinker Closing -Clinker export + Clinker import</t>
  </si>
  <si>
    <t>[Fuel Consumed (Lakh Tonne) X GCV of Fuel (Kcal/Kg)] X 100</t>
  </si>
  <si>
    <t>Total Electricity consumed within the plant</t>
  </si>
  <si>
    <t>{(Electricity Generated through CPP+Electricity generation through DG Set + Electricity generation through WHR+ Electricity Purchased from Grid) - Electricity exported to Grid}</t>
  </si>
  <si>
    <t>Electricity Purchased from Grid</t>
  </si>
  <si>
    <t>Electricity Exported to Grid/Colony/Others from CPP</t>
  </si>
  <si>
    <t>Total Energy Consumed (Thermal+Electrical)</t>
  </si>
  <si>
    <t xml:space="preserve"> [Total Thermal Energy  (Million kcal)+{(Total Electricity purchased from grid (Lakh kWh) X 860)-Electricity exported (Lakh kWh) X National Heat Rate- Steam Turbime Net heat rate kcal/kWh}/10]</t>
  </si>
  <si>
    <t>Equivalent major grade cement Production for Normalisation</t>
  </si>
  <si>
    <t>OPC Production equivalent to major product</t>
  </si>
  <si>
    <t>(OPC Produced X CF Of OPC)/CF of Major Product</t>
  </si>
  <si>
    <t>PPC Production equivalent to major product</t>
  </si>
  <si>
    <t>(PPC Produced X CF Of PPC)/CF of Major Product</t>
  </si>
  <si>
    <t xml:space="preserve">PSC Cement Production equivalent to major product </t>
  </si>
  <si>
    <t>(PSC Produced X CF Of PSC)/CF of Major Product</t>
  </si>
  <si>
    <t xml:space="preserve">Composite Cement Production equivalent to major product </t>
  </si>
  <si>
    <t>(Composite Cement Produced X CF Of Composite Cement)/CF of Major Product</t>
  </si>
  <si>
    <t xml:space="preserve">White Cement Production equivalent to major product </t>
  </si>
  <si>
    <t xml:space="preserve">Other variety cement  Production equivalent to major product </t>
  </si>
  <si>
    <t>Total Exported clinker to major product</t>
  </si>
  <si>
    <t>Total Exported Clinker/CF of Major Product</t>
  </si>
  <si>
    <t>Total Imported Clinker to major product</t>
  </si>
  <si>
    <t>(Total Imported Clinker)/CF of Major Product</t>
  </si>
  <si>
    <t>Total GGBS to major Product (w.r.t Energy Consumption of GGBS)</t>
  </si>
  <si>
    <t>Total Equivalent major product of Cement</t>
  </si>
  <si>
    <t>(8a)+(8b)+(8c)+(8d)+(8e)</t>
  </si>
  <si>
    <t>Calculation for Notional Energy and Notional CO2 emission</t>
  </si>
  <si>
    <t>Notional Energy Required for grinding of exported Clinker</t>
  </si>
  <si>
    <t xml:space="preserve"> {Major Product of Cement of  Total exported clinker  (Lakh Tonne) x Electrical SEC of cement grinding (kWh/Tonne of cement) x Weighted average Heat Rate (kcal/kWh)}/10</t>
  </si>
  <si>
    <t>a1</t>
  </si>
  <si>
    <t>Notional CO2 emission Required for grinding of exported Clinker</t>
  </si>
  <si>
    <t>tCO2 eq</t>
  </si>
  <si>
    <t>Notional Energy Required for clinkerization of imported Clinker</t>
  </si>
  <si>
    <t xml:space="preserve">[Total Clinker imported (Lakh Tonne) x {Thermal SEC of Clinkerization kCal/kg clinker) x 1000+electrical SEC of clinkerization (kWh/Tonne of clinker)x Weighted average Heat Rate (kCal/kWh)}/10]
</t>
  </si>
  <si>
    <t>b.1</t>
  </si>
  <si>
    <t>Notional CO2 emission for clinkerization of imported Clinker for process</t>
  </si>
  <si>
    <t>b.2</t>
  </si>
  <si>
    <t>Notional CO2 emission for clinkerization of imported Clinker fo Energy</t>
  </si>
  <si>
    <t>Notional Energy for Purchased Power</t>
  </si>
  <si>
    <t>Purchased Electricity (Sr No 5 ) X {Weighted average heat rate of all DCs in cement sector( 3208 kcal/kWh) - 860}/10</t>
  </si>
  <si>
    <t>Gate to Gate Energy Consumption</t>
  </si>
  <si>
    <t>(7)+(10a)+(10b)+(10c)</t>
  </si>
  <si>
    <t>Gate to Gate Specific Energy Consumption</t>
  </si>
  <si>
    <t>(10d)/{(8f)*100} for Clinkerization Units (10d)/{(1a)*100}</t>
  </si>
  <si>
    <t>(11)/10000</t>
  </si>
  <si>
    <t>Normalization Factors</t>
  </si>
  <si>
    <t>Notional Energy for Capacity Utilization</t>
  </si>
  <si>
    <t>NF-1 Capacity Utilization Calculation Sheet</t>
  </si>
  <si>
    <t>Notional Energy for Fuel Quality in CPP</t>
  </si>
  <si>
    <t>NF-2 Fuel Quality in CPP Calculation Sheet</t>
  </si>
  <si>
    <t>Notional Energy for Petcoke Utilization</t>
  </si>
  <si>
    <t>NF-3 Petcoke Utilization Calculation Sheet</t>
  </si>
  <si>
    <t>Notional Energy for PLF</t>
  </si>
  <si>
    <t>NF-4 PLF Calculation Sheet</t>
  </si>
  <si>
    <t>Notional Energy for Power Mix</t>
  </si>
  <si>
    <t>NF-5 Power Mix Calculation Sheet</t>
  </si>
  <si>
    <t>Notional Energy for Product Mix</t>
  </si>
  <si>
    <t>NF-6 Product Mix Calculation Sheet</t>
  </si>
  <si>
    <t>Notional Energy for other Factors</t>
  </si>
  <si>
    <t>NF-7 Others Normalisation</t>
  </si>
  <si>
    <t>Notional Energy for Bond Index</t>
  </si>
  <si>
    <t>(10d)-(12a)-(12b)-(12c)-(12d)-(12e)-(12f)-(12g)</t>
  </si>
  <si>
    <t>Normalized Gate to Gate Specific Energy Consumption</t>
  </si>
  <si>
    <t>(12f)/{(8f)*100} for Clinkerization Units (12f)/{(1a)*100}</t>
  </si>
  <si>
    <t>(13)/10000</t>
  </si>
  <si>
    <t>Renewable Energy Certificates Compliance under PAT Scheme</t>
  </si>
  <si>
    <t>Gate to Gate Energy Consumption after REC compliance</t>
  </si>
  <si>
    <t>Normalized Gate to Gate Specific Energy Consumption after REC compliance</t>
  </si>
  <si>
    <t>Power Source Analysis</t>
  </si>
  <si>
    <t>Generation &amp; Electricity Imports</t>
  </si>
  <si>
    <t>Electricity generated through renewable source (InPlant)</t>
  </si>
  <si>
    <t>Renewable Energy purchased from Grid (Through wheeling)</t>
  </si>
  <si>
    <t>Total Electricity Consumption Avaialbility</t>
  </si>
  <si>
    <t xml:space="preserve">Share of Electricity </t>
  </si>
  <si>
    <t>% Captive Fossil</t>
  </si>
  <si>
    <t xml:space="preserve">% </t>
  </si>
  <si>
    <t>% Grid Discom</t>
  </si>
  <si>
    <t>% Power Plant (Outside- Dedicated and Wheeling)</t>
  </si>
  <si>
    <t>% Captive RE (In Plant)</t>
  </si>
  <si>
    <t>% Outside RE</t>
  </si>
  <si>
    <t>% Total RE</t>
  </si>
  <si>
    <t>% WHRS</t>
  </si>
  <si>
    <t>% RE/overall Energy (ToE/ToE)</t>
  </si>
  <si>
    <t>Emission Analysis</t>
  </si>
  <si>
    <t>Direct Emission (Scope 1)</t>
  </si>
  <si>
    <t>Solid Fossil Fuel consumption</t>
  </si>
  <si>
    <t>Direct Emission generation related (Energy)</t>
  </si>
  <si>
    <t>a2</t>
  </si>
  <si>
    <t>Direct Emission Process related (Energy)</t>
  </si>
  <si>
    <t>Liquid Fossil Fuel consumption</t>
  </si>
  <si>
    <t>b1</t>
  </si>
  <si>
    <t>b2</t>
  </si>
  <si>
    <t>Gaseous Fossil Fuel consumption</t>
  </si>
  <si>
    <t>c1</t>
  </si>
  <si>
    <t>c2</t>
  </si>
  <si>
    <t xml:space="preserve">Calcination Process </t>
  </si>
  <si>
    <t>Total Direct Emission (Scope 1)</t>
  </si>
  <si>
    <t>Indirect Emission (Scope 2)</t>
  </si>
  <si>
    <t>Electricity purchased from outside Plant Boundary</t>
  </si>
  <si>
    <t>Electricity Export to Colony, Grid and Others adjusted</t>
  </si>
  <si>
    <t>Intermediary Product Import Adjustment</t>
  </si>
  <si>
    <t>Intermediary Product Import Adjustment (Energy)</t>
  </si>
  <si>
    <t>Intermediary Product Import Adjustment (Process)</t>
  </si>
  <si>
    <t>Intermediary Product Export Adjustment</t>
  </si>
  <si>
    <t>Total Indirect Emission (Scope 2)</t>
  </si>
  <si>
    <t xml:space="preserve">Total Direct and Indirect Emission </t>
  </si>
  <si>
    <t xml:space="preserve">tCO2 eq </t>
  </si>
  <si>
    <t>GHG Emission Intensity (GEI)</t>
  </si>
  <si>
    <t>Equivalent Product for GEI</t>
  </si>
  <si>
    <t>Equivalent Product</t>
  </si>
  <si>
    <t>GEI [Emission per ton of Equivalent product (OA)]</t>
  </si>
  <si>
    <t>tCO2 eq/tonne of equivalent product</t>
  </si>
  <si>
    <t>GEI [Emission per ton of Equivalent product (Energy)]</t>
  </si>
  <si>
    <t>GEI [Emission per ton of Equivalent product (Calcination process)]</t>
  </si>
  <si>
    <t>GEI [Emission per ton of Cementitious  product (OA)]</t>
  </si>
  <si>
    <t>tCO2 eq/tonne of equivalent cementiteous product</t>
  </si>
  <si>
    <t>GEI [Emission per ton of Cement production w.r.t overall Clinker Factor)]</t>
  </si>
  <si>
    <t>tCO2 eq/tonne of equivalent product w.r.t CF</t>
  </si>
  <si>
    <t>I ……………………………………………….........................…..solemnly declare that to the best of my knowledge the information given in the above summary sheet of  Form 1 there to is correct and complete. I also declare that the information provided for Normalisation is limited to external factors only.</t>
  </si>
  <si>
    <t>Reference Value for Emission Factors and GWP</t>
  </si>
  <si>
    <t>Sr. No</t>
  </si>
  <si>
    <t>Fuel</t>
  </si>
  <si>
    <t>Carbon Dioxide (CO2)</t>
  </si>
  <si>
    <t>Methane (CH4)</t>
  </si>
  <si>
    <t>Nitrous Oxide (N2O)</t>
  </si>
  <si>
    <t>1TJ</t>
  </si>
  <si>
    <t>kcal</t>
  </si>
  <si>
    <t>t CO2/TJ</t>
  </si>
  <si>
    <t>t CO2/toe</t>
  </si>
  <si>
    <t>kg CH4/TJ</t>
  </si>
  <si>
    <t>gm CH4/kcal</t>
  </si>
  <si>
    <t>gm CO2eq/kcal</t>
  </si>
  <si>
    <t>kg N2O/TJ</t>
  </si>
  <si>
    <t>gm N2O/kcal</t>
  </si>
  <si>
    <t>gmCO2eq/kcal</t>
  </si>
  <si>
    <t>Crude Oil</t>
  </si>
  <si>
    <t>Qty</t>
  </si>
  <si>
    <t>Orimulsion</t>
  </si>
  <si>
    <t>tCO2/TJ</t>
  </si>
  <si>
    <t>Natural Gas Liquids</t>
  </si>
  <si>
    <t>gm CO2/kcal</t>
  </si>
  <si>
    <t>Motor Gasoline</t>
  </si>
  <si>
    <t>Aviation Gasoline</t>
  </si>
  <si>
    <t>gm CO2/kg</t>
  </si>
  <si>
    <t>Jet Gasoline</t>
  </si>
  <si>
    <t>kg CO2/kg</t>
  </si>
  <si>
    <t>Jet Kerosene</t>
  </si>
  <si>
    <t>toe</t>
  </si>
  <si>
    <t>Other Kerosene</t>
  </si>
  <si>
    <t>Shale Oil</t>
  </si>
  <si>
    <t>Gas/Diesel Oil</t>
  </si>
  <si>
    <t>Residual Fuel Oil</t>
  </si>
  <si>
    <t>Liquefied Petroleum Gas</t>
  </si>
  <si>
    <t>Ethane</t>
  </si>
  <si>
    <t>Naptha</t>
  </si>
  <si>
    <t>Bitumen</t>
  </si>
  <si>
    <t>Lubricants</t>
  </si>
  <si>
    <t>Petroleum Coke</t>
  </si>
  <si>
    <t>Refinery Feedstock</t>
  </si>
  <si>
    <t>Refinery Gas</t>
  </si>
  <si>
    <t>Paraffin Waxes</t>
  </si>
  <si>
    <t>White Spirit and SBP</t>
  </si>
  <si>
    <t>Other Petroleum Products</t>
  </si>
  <si>
    <t>Anthracite</t>
  </si>
  <si>
    <t>Coking Coal</t>
  </si>
  <si>
    <t>Sub Bituminous Coal</t>
  </si>
  <si>
    <t>Oil Shale and Tar Sands</t>
  </si>
  <si>
    <t>Brown Coal Briquettes</t>
  </si>
  <si>
    <t>Patent Fuel</t>
  </si>
  <si>
    <t>Coke Oven Coke and Lignite Cike</t>
  </si>
  <si>
    <t>Gas Coke</t>
  </si>
  <si>
    <t>Coal Tar</t>
  </si>
  <si>
    <t>Gas Works Gas</t>
  </si>
  <si>
    <t>Coke Oven Gas</t>
  </si>
  <si>
    <t>Blast Furnace Gas</t>
  </si>
  <si>
    <t>Oxygen Steel Furnace Gas</t>
  </si>
  <si>
    <t>Natural Gas</t>
  </si>
  <si>
    <t>Municipal Waste (Non Biomass Fraction)</t>
  </si>
  <si>
    <t>Industrial Waste</t>
  </si>
  <si>
    <t>Waste Oils</t>
  </si>
  <si>
    <t>Peat</t>
  </si>
  <si>
    <t>Wood/Wood Waste</t>
  </si>
  <si>
    <t>Sulphite Lyes (Black Liquor)</t>
  </si>
  <si>
    <t>Other Primary Solid Biomass</t>
  </si>
  <si>
    <t>Charcoal</t>
  </si>
  <si>
    <t>Biogasoline</t>
  </si>
  <si>
    <t>Biodiesel</t>
  </si>
  <si>
    <t>Other Liquid Biofuels</t>
  </si>
  <si>
    <t>Landfill Gas</t>
  </si>
  <si>
    <t>Sludge Gas</t>
  </si>
  <si>
    <t>Other Biogas</t>
  </si>
  <si>
    <t>Municipal Waste (Biomass fraction)</t>
  </si>
  <si>
    <t>Global Warming Potential Values</t>
  </si>
  <si>
    <t>Gas</t>
  </si>
  <si>
    <t>GWP as BUR 3</t>
  </si>
  <si>
    <t>CF4</t>
  </si>
  <si>
    <t>C2F6</t>
  </si>
  <si>
    <t>C4F10</t>
  </si>
  <si>
    <t>C6F14</t>
  </si>
  <si>
    <t xml:space="preserve">Default Process Emission Factor and Parameters </t>
  </si>
  <si>
    <t xml:space="preserve">Unit </t>
  </si>
  <si>
    <t>Value</t>
  </si>
  <si>
    <t>Clinker production</t>
  </si>
  <si>
    <t>t CO2/t clinker</t>
  </si>
  <si>
    <t>As per BU3 P163</t>
  </si>
  <si>
    <t>Aluminium - Prebaked</t>
  </si>
  <si>
    <t>kg C2F6/t aluminium</t>
  </si>
  <si>
    <t>Aluminium - Soderberg</t>
  </si>
  <si>
    <t>Aluminium CF4 (CWPB)</t>
  </si>
  <si>
    <t>kg CF4/t al</t>
  </si>
  <si>
    <t>Aluminium CF4 (SWPB)</t>
  </si>
  <si>
    <t>Aluminium CF4 (VSS)</t>
  </si>
  <si>
    <t>Aluminium CF4 (HSS)</t>
  </si>
  <si>
    <t>Aluminium C2F6 (CWPB)</t>
  </si>
  <si>
    <t>kg C2F6/t al</t>
  </si>
  <si>
    <t>Aluminium C2F6 (SWPB)</t>
  </si>
  <si>
    <t>Aluminium C2F6 (VSS)</t>
  </si>
  <si>
    <t>Aluminium C2F6 (HSS)</t>
  </si>
  <si>
    <t>Slope Coefficient (CWPB)</t>
  </si>
  <si>
    <t>(kg CF4/t al)/ (AE-Mins/cell-day)</t>
  </si>
  <si>
    <t>Slope Coefficient (SWPB)</t>
  </si>
  <si>
    <t>Slope Coefficient (VSS)</t>
  </si>
  <si>
    <t>Slope Coefficient (HSS)</t>
  </si>
  <si>
    <t>Weight Fraction C2F6/CF4 (CWPB)</t>
  </si>
  <si>
    <t>F C2F6/CF4</t>
  </si>
  <si>
    <t xml:space="preserve">Carbonates use emissions </t>
  </si>
  <si>
    <t>Sr.No</t>
  </si>
  <si>
    <t>Material</t>
  </si>
  <si>
    <t>t CO2/t material</t>
  </si>
  <si>
    <t>MgCO3</t>
  </si>
  <si>
    <t>SrCO3</t>
  </si>
  <si>
    <t>NaHCO3</t>
  </si>
  <si>
    <t>FeCO3</t>
  </si>
  <si>
    <t>Urea</t>
  </si>
  <si>
    <t>Molecular weights</t>
  </si>
  <si>
    <t>g/mol</t>
  </si>
  <si>
    <t>CO2</t>
  </si>
  <si>
    <t>Ca</t>
  </si>
  <si>
    <t>Mg</t>
  </si>
  <si>
    <t>Multiplication factor (0.785) is the molecular weight ratio of CO2 to CaO in the raw material</t>
  </si>
  <si>
    <t>FORM-PeC  (Details of Process Emissions - Cement )</t>
  </si>
  <si>
    <t>Year 1 /Previous Year (20.... 20...)</t>
  </si>
  <si>
    <t>Year 2 /Previous Year (20.... 20...)</t>
  </si>
  <si>
    <t>Year 3 /Previous Year (20.... 20...)</t>
  </si>
  <si>
    <t>Baseline Year (Average of year1 to Year 3)</t>
  </si>
  <si>
    <t>Current/Assessment /Target Year    (20__-20__)</t>
  </si>
  <si>
    <t>2017-18</t>
  </si>
  <si>
    <t>(2021-2022)</t>
  </si>
  <si>
    <t xml:space="preserve">Simple Output Method -B1 (as per CSI) </t>
  </si>
  <si>
    <t xml:space="preserve">Clinker Production </t>
  </si>
  <si>
    <t xml:space="preserve">Calcination emisison factor (based on method A) </t>
  </si>
  <si>
    <t>kg CO2/t clinker</t>
  </si>
  <si>
    <t>Raw Meal consumption</t>
  </si>
  <si>
    <t>calculated</t>
  </si>
  <si>
    <t>CO2 emissions from calcination of raw materials consumed for raw material production</t>
  </si>
  <si>
    <t>t CO2/year</t>
  </si>
  <si>
    <t>CO2 emissions from calcination of bypass dust leaving the kiln system</t>
  </si>
  <si>
    <t>CO2 emissions from calcination of CKD leaving the kiln system</t>
  </si>
  <si>
    <t>CO2 emissions from organic carbon content of raw meal</t>
  </si>
  <si>
    <t>Method 2  Detailed Output Method (B2) corrected calcination CO2 emission factor: as per CSI</t>
  </si>
  <si>
    <t xml:space="preserve">Clinker Production and Composition </t>
  </si>
  <si>
    <t>Clinker produced</t>
  </si>
  <si>
    <t>tonnes</t>
  </si>
  <si>
    <t>CaO amount</t>
  </si>
  <si>
    <t>(b2*b1)</t>
  </si>
  <si>
    <t>MgO amount</t>
  </si>
  <si>
    <t>(b3*b1)</t>
  </si>
  <si>
    <t>Correction for non-carbonate sources of CaO, MgO found in clinker (input of CaO and MgO into kiln, e.g. raw materials which are already calcined)</t>
  </si>
  <si>
    <t>Total raw material consumed</t>
  </si>
  <si>
    <t>[t/yr, dry weight]</t>
  </si>
  <si>
    <t>Average CaO content</t>
  </si>
  <si>
    <t>[%, dry weight]</t>
  </si>
  <si>
    <t>Average MgO content</t>
  </si>
  <si>
    <t>Total CaO amount</t>
  </si>
  <si>
    <t>[t/yr]</t>
  </si>
  <si>
    <t>Total MgO amount</t>
  </si>
  <si>
    <t>Ca/Mg-silicate source Raw material consumed</t>
  </si>
  <si>
    <t>Ca content of Ca-Silicate raw materials</t>
  </si>
  <si>
    <t>Mg content of Mg-Silicate raw materials</t>
  </si>
  <si>
    <t>Output CalcB2: Calcination emission factor corrected for non-carbonate and silicate sources of CaO, MgO in clinker (=Plant sheet line 34q)</t>
  </si>
  <si>
    <t xml:space="preserve">List of additional Equipment installed due to Environmental Concern after baseline year </t>
  </si>
  <si>
    <t>Assesment Year 2014-15</t>
  </si>
  <si>
    <t>Equipment Name</t>
  </si>
  <si>
    <t>Equipment Serial No</t>
  </si>
  <si>
    <t>Section</t>
  </si>
  <si>
    <t>Date of Commissioning</t>
  </si>
  <si>
    <t>Electrical Rated Capacity</t>
  </si>
  <si>
    <t>Thermal Rated Capacity</t>
  </si>
  <si>
    <t xml:space="preserve">Running Load </t>
  </si>
  <si>
    <t>Electricity Consumption $</t>
  </si>
  <si>
    <t>Thermal Consumption $$</t>
  </si>
  <si>
    <t>Remarks/ Environmental Law Applicable with Dates</t>
  </si>
  <si>
    <t>Million kcal/annum</t>
  </si>
  <si>
    <t>Hours/ Annum</t>
  </si>
  <si>
    <t>Lakh kWH/ Annum</t>
  </si>
  <si>
    <t>Million kcal/Annum</t>
  </si>
  <si>
    <t>Total</t>
  </si>
  <si>
    <t>$</t>
  </si>
  <si>
    <t>Equipmenmt wise Energy Meter Reading or Energy Management System Data required in support of the claim</t>
  </si>
  <si>
    <t>$$</t>
  </si>
  <si>
    <t>Equipment wise Document related to consumption of Liquid Fuel, Solid Fuel Aleterante Fuel is required in support of the claim</t>
  </si>
  <si>
    <t xml:space="preserve">List of Equipment and Energy consumed during project activity up to commissining during the Assessment year  </t>
  </si>
  <si>
    <t>Project Activity Start Date</t>
  </si>
  <si>
    <t>Normalization Factor for Capacity Utilization*</t>
  </si>
  <si>
    <t>Document Available for Normalisation</t>
  </si>
  <si>
    <t>Kiln-1</t>
  </si>
  <si>
    <t>Kiln-2</t>
  </si>
  <si>
    <t>Kiln-3</t>
  </si>
  <si>
    <t>Kiln-4</t>
  </si>
  <si>
    <t>Kiln-5</t>
  </si>
  <si>
    <t>Basis/ Calculation</t>
  </si>
  <si>
    <t>Units</t>
  </si>
  <si>
    <t>Baseline Year (BY)</t>
  </si>
  <si>
    <t>Kiln Production</t>
  </si>
  <si>
    <t>FormI-Sb!B(i).a …B(v).a</t>
  </si>
  <si>
    <t>Ton</t>
  </si>
  <si>
    <t>Weighted Heat Rate</t>
  </si>
  <si>
    <t>FormI-Sb!H.4</t>
  </si>
  <si>
    <t>No. of running hours</t>
  </si>
  <si>
    <t>FormI-Sb!B(i).d …B(v).d</t>
  </si>
  <si>
    <t>Kiln TPH*</t>
  </si>
  <si>
    <t>(1)/(3)</t>
  </si>
  <si>
    <t>TPH</t>
  </si>
  <si>
    <t>Cold to Hot kiln Start due to external factor</t>
  </si>
  <si>
    <t>FormI-Sb!B(i).j …B(v).j</t>
  </si>
  <si>
    <t>Kiln Cold to Hot Start due to external factor (Electrical Energy Consumption)</t>
  </si>
  <si>
    <t>FormI-Sb!B(i).k …B(v).k</t>
  </si>
  <si>
    <t>Lakh kwh</t>
  </si>
  <si>
    <t>Kiln Hot to Cold stop due to external factor (Electrical Energy Consumption)</t>
  </si>
  <si>
    <t>FormI-Sb!B(i).h …B(v).h</t>
  </si>
  <si>
    <t>Kiln Heat Rate Normalisation (Thermal Energy)</t>
  </si>
  <si>
    <t>Kiln Heat Rate*</t>
  </si>
  <si>
    <t>Kiln heat rate (kcal/kg) in BY + 0.4673 x (TPH in BY- TPH in AY)</t>
  </si>
  <si>
    <t>kcal/kg of Cli</t>
  </si>
  <si>
    <t>Difference in Kiln Heat Rate</t>
  </si>
  <si>
    <t>Kiln Heat Rate (kcal/kg) in AY - Kiln Heat Rate (kcal/kg) in BY</t>
  </si>
  <si>
    <t>Energy to be subtracted w.r.t. additional Kiln Cold startup  for Thermal Energy Consumption</t>
  </si>
  <si>
    <t>(0.1829 x TPH in AY + 197.41 ) x (Nos of Cold Startup in AY-Nos of Cold Startup in BY)</t>
  </si>
  <si>
    <t>Energy to be subtracted w.r.t. Kiln Thermal Energy Consumption</t>
  </si>
  <si>
    <t>(1)AYX(10)AY/1000</t>
  </si>
  <si>
    <t>Kiln Specific Power Consumption Normalisation (Electrical Energy)</t>
  </si>
  <si>
    <t>Kiln SPC</t>
  </si>
  <si>
    <t>Kiln SPC in AY=Kiln SPC in BY+0.0943 x (TPH in BY-TPH in AY)</t>
  </si>
  <si>
    <t>kwh/ton of Cli</t>
  </si>
  <si>
    <t>Difference in SPC</t>
  </si>
  <si>
    <t>Kiln SPC in AY-Kiln SPC in BY (kwh/ton of Cli</t>
  </si>
  <si>
    <t>Energy to be subtracted w.r.t. Kiln Electrical  Energy Consumption for Kiln SPC</t>
  </si>
  <si>
    <t>(1)x(2)x(14)/10^6</t>
  </si>
  <si>
    <t>Energy to be subtracted w.r.t. kiln Cold start up for Electrical Energy Consumption</t>
  </si>
  <si>
    <t>if [kiln AY(6)&gt;Kiln BY(6),(kiln AY(6)-Kiln BY(6)xkiln AY(2),(kiln AY(6)-Kiln BY(6)xkiln BY(2)]</t>
  </si>
  <si>
    <t xml:space="preserve">Energy to be subtracted w.r.t. kiln Hot to Cold Stop </t>
  </si>
  <si>
    <t>if [kiln AY(7)&gt;Kiln BY(7),(kiln AY(7)-Kiln BY(7)xkiln AY(2),(kiln AY(7)-Kiln BY(7)xkiln BY(2)]</t>
  </si>
  <si>
    <t>Energy to be subtracted w.r.t. Kiln Electrical and Thermal Energy Consumption</t>
  </si>
  <si>
    <t>(11)+(12)+(15)+(16)+(17)</t>
  </si>
  <si>
    <t>Total Energy to be subtracted w.r.t. Kiln Electrical and Thermal Energy Consumption</t>
  </si>
  <si>
    <t>Kiln-1 (18) +Kiln-2 (18)+Kiln-3 (18)+Kiln-4 (18)+Kiln-5 (18)</t>
  </si>
  <si>
    <t>Note:</t>
  </si>
  <si>
    <t xml:space="preserve">In the above calculation, installed capacity of kiln/plant is not imminent in the normalization, hence the normalisation is independent of installed capacity </t>
  </si>
  <si>
    <t>Weighted average of all the kilns for overall computation of GtG SEC</t>
  </si>
  <si>
    <t>Kiln Heat rate calculation will be on GCV basis</t>
  </si>
  <si>
    <t>SEC of kiln= Total Thermal Energy consumed kiln/Clinker Production, in kcal/kg of Clinker</t>
  </si>
  <si>
    <t>Kiln SPC= Kiln Specific Power consumption</t>
  </si>
  <si>
    <t>*</t>
  </si>
  <si>
    <t>The normalisation is subjected to the amendments in the Notified Rules  G.S.R. 269 (E ) dated 30/03/2012</t>
  </si>
  <si>
    <t>Normalization Factor for Fuel Quality in CPP</t>
  </si>
  <si>
    <t>CPP Generation</t>
  </si>
  <si>
    <t>FormI-Sb!C.2.2.6.(iii)</t>
  </si>
  <si>
    <t>Actual CPP Heat Rate</t>
  </si>
  <si>
    <t>FormI-Sb!H.2</t>
  </si>
  <si>
    <t>FormI-Sb!K.1</t>
  </si>
  <si>
    <t>FormI-Sb!K.2</t>
  </si>
  <si>
    <t>FormI-Sb!K.3</t>
  </si>
  <si>
    <t>FormI-Sb!K.4</t>
  </si>
  <si>
    <t>Boiler Efficiency</t>
  </si>
  <si>
    <t>92.5- [{50 x (3) + 630x ((4)+ 9x (5))} / (6)]</t>
  </si>
  <si>
    <t>CPP Heat Rate due to Fuel Quality in AY</t>
  </si>
  <si>
    <t>(2)BY x [(7)BY/(7)AY]</t>
  </si>
  <si>
    <t>Difference CPP Heat rate from BY to AY</t>
  </si>
  <si>
    <t>(8)AY-(4)BY</t>
  </si>
  <si>
    <t>Energy to be subtracted w.r.t. Fuel Quality</t>
  </si>
  <si>
    <t>(9)AY x (1)AY/10</t>
  </si>
  <si>
    <t>Normalization Factor for Petcoke Utilization</t>
  </si>
  <si>
    <t>Clinker Production</t>
  </si>
  <si>
    <t>FormI-Sb!A3</t>
  </si>
  <si>
    <t>Thermal SEC of Clinker</t>
  </si>
  <si>
    <t>FormI-Sb!I.1</t>
  </si>
  <si>
    <t>Electrical SEC of Clinker</t>
  </si>
  <si>
    <t>FormI-Sb!I.2</t>
  </si>
  <si>
    <t>kWh/t</t>
  </si>
  <si>
    <t>Petcoke Consumption</t>
  </si>
  <si>
    <t>if (FormI-Sb!H.5=0 then 0, otherwise FormI-Sb!D.2(x) x 100/FormI-Sb!G.2</t>
  </si>
  <si>
    <t>Normalized Thermal SEC</t>
  </si>
  <si>
    <t>(2)BY+0.0954 x [(5)AY-(5)BY]</t>
  </si>
  <si>
    <t>kcal/kg of Clinker</t>
  </si>
  <si>
    <t>Normalized Electrical SEC</t>
  </si>
  <si>
    <t>(3)BY+0.022 x [(5)AY-(5)BY]</t>
  </si>
  <si>
    <t>kWh/t of Clinker</t>
  </si>
  <si>
    <t>Thermal Energy to be subtracted</t>
  </si>
  <si>
    <t>[(6)AY-(2)BY]x(1)AYx100</t>
  </si>
  <si>
    <t>Electrical Energy to be Subtracted</t>
  </si>
  <si>
    <t>[(7)AY-(3)BY]x(1)AY/10</t>
  </si>
  <si>
    <t>Energy to be subtracted w.r.t. change in Fuel</t>
  </si>
  <si>
    <t>(8) + (9)x(4)</t>
  </si>
  <si>
    <t>Normalization Factor for PLF variation in CPP</t>
  </si>
  <si>
    <t>Descriptions</t>
  </si>
  <si>
    <t>Basis/ Calculations</t>
  </si>
  <si>
    <t>Plant Loading Factor (PLF) of CPP as per PAF (Plant Avaialability Factor)</t>
  </si>
  <si>
    <t>Form1-Sb!C2.2.6.(xii)</t>
  </si>
  <si>
    <t>Actual Gross Heat Rate</t>
  </si>
  <si>
    <t>Form1-Sb!H.2</t>
  </si>
  <si>
    <t>Gross generation</t>
  </si>
  <si>
    <t>Form1-Sb!C2.2.6.(iii)</t>
  </si>
  <si>
    <t>% Increase in Heat rate at PLF</t>
  </si>
  <si>
    <t>0.0016 x(1)^2-0.3815 x (1)  +21.959</t>
  </si>
  <si>
    <t>% Difference in Heat Rate between AY and BY at PLF</t>
  </si>
  <si>
    <t>% Increase in heat rate in AY [(4) AY]- % Increase in heat rate in BY [(4) BY]</t>
  </si>
  <si>
    <t xml:space="preserve">% Decrease in loading (PLF) due to external factor </t>
  </si>
  <si>
    <t>Form1-Sb!C2.2.6.(xiii)</t>
  </si>
  <si>
    <t>% Decrease on % increase in Heat Rate  from baseline due to external factor</t>
  </si>
  <si>
    <t>(5) X (6) /100</t>
  </si>
  <si>
    <t>Normalised Gross Heat Rate</t>
  </si>
  <si>
    <t>(2) X [1-(7)/100]</t>
  </si>
  <si>
    <t xml:space="preserve">Energy to be subtracted </t>
  </si>
  <si>
    <t>(3)X[(2)-(8)]/10</t>
  </si>
  <si>
    <t>Normalization Factor for Power Mix</t>
  </si>
  <si>
    <t>Total Electricity Availability</t>
  </si>
  <si>
    <t>1.a</t>
  </si>
  <si>
    <t>Electricity imported from Grid</t>
  </si>
  <si>
    <t>FormI-Sb!C.1.(vii)</t>
  </si>
  <si>
    <t>1.b</t>
  </si>
  <si>
    <t>Electricity generated from DG</t>
  </si>
  <si>
    <t>FormI-Sb!C.2.1.(iii)</t>
  </si>
  <si>
    <t>1.c</t>
  </si>
  <si>
    <t>Electricity generated from Steam Turbine</t>
  </si>
  <si>
    <t>1.d</t>
  </si>
  <si>
    <t>Electricity generated from Gas Turbine</t>
  </si>
  <si>
    <t>FormI-Sb!C.2.3.(ii)</t>
  </si>
  <si>
    <t>1.e</t>
  </si>
  <si>
    <t>Electricity generated from WHR</t>
  </si>
  <si>
    <t>FormI-Sb!C.2.4.(ii)</t>
  </si>
  <si>
    <t>1.f</t>
  </si>
  <si>
    <t>Electricity from Dedicated Line</t>
  </si>
  <si>
    <t>Electricity exported to grid</t>
  </si>
  <si>
    <t>FormI-Sb!C.6</t>
  </si>
  <si>
    <t>Total Electricity Consumption With in plant</t>
  </si>
  <si>
    <t>FormI-Sb!C.8</t>
  </si>
  <si>
    <t>3.a</t>
  </si>
  <si>
    <t>(1.a)</t>
  </si>
  <si>
    <t>3.b</t>
  </si>
  <si>
    <t>(1.b)</t>
  </si>
  <si>
    <t>3.c</t>
  </si>
  <si>
    <t xml:space="preserve">Steam Turbine generated Electricity  Consumption  </t>
  </si>
  <si>
    <t>if(1.c&gt;1.b,1.d,1.e, then (1.c)-(2) otherwise (1.c)</t>
  </si>
  <si>
    <t>3.d</t>
  </si>
  <si>
    <t xml:space="preserve">Gas Turbine generated Electricity  Consumption  </t>
  </si>
  <si>
    <t>(1.d)-(2)</t>
  </si>
  <si>
    <t>3.e</t>
  </si>
  <si>
    <t xml:space="preserve"> WHR generated Electricity  Consumption  </t>
  </si>
  <si>
    <t>(1.e)-(2)</t>
  </si>
  <si>
    <t>3.f</t>
  </si>
  <si>
    <t>Electricity from Dedicated Line consumption</t>
  </si>
  <si>
    <t>Total Electricity Consumption With in plant exculding WHR</t>
  </si>
  <si>
    <t>(3)-(3.e)</t>
  </si>
  <si>
    <t>Grid Heat Rate</t>
  </si>
  <si>
    <t>Base line Parameters!(I)</t>
  </si>
  <si>
    <t>DG Gross Heat Rate</t>
  </si>
  <si>
    <t>FormI-Sb!H.1</t>
  </si>
  <si>
    <t>Steam Turbine  Gross Heat Rate</t>
  </si>
  <si>
    <t>Gas Turbine  Gross Heat Rate</t>
  </si>
  <si>
    <t>FormI-Sb!H.3</t>
  </si>
  <si>
    <t>Dedicated Line Heat Rate</t>
  </si>
  <si>
    <t>APC of DG</t>
  </si>
  <si>
    <t>FormI-Sb!C.2.2.1.(v)</t>
  </si>
  <si>
    <t>APC of Steam Turbine</t>
  </si>
  <si>
    <t>FormI-Sb!C.2.2.6.(iv)</t>
  </si>
  <si>
    <t>APC of Gas Turbine</t>
  </si>
  <si>
    <t>FormI-Sb!C.2.3.(iii)</t>
  </si>
  <si>
    <t>DG  Net Heat Rate</t>
  </si>
  <si>
    <t>(6)/[1-(10)/100]</t>
  </si>
  <si>
    <t>Steam Turbine  Net Heat Rate</t>
  </si>
  <si>
    <t>(7)/[1-(11)/100]</t>
  </si>
  <si>
    <t>Gas Turbine  Net Heat Rate</t>
  </si>
  <si>
    <t>(8)/[1-(12)/100]</t>
  </si>
  <si>
    <t>Dedicated Line Net Heat Rate</t>
  </si>
  <si>
    <t>(9)</t>
  </si>
  <si>
    <t>% share of Grid</t>
  </si>
  <si>
    <t>(3.a)*100/(4)</t>
  </si>
  <si>
    <t>% share of DG</t>
  </si>
  <si>
    <t>(3.b)*100/(4)</t>
  </si>
  <si>
    <t>% share of Steam Turbine</t>
  </si>
  <si>
    <t>(3.c)*100/(4)</t>
  </si>
  <si>
    <t>% share of Gas Turbine</t>
  </si>
  <si>
    <t>(3.d)*100/(4)</t>
  </si>
  <si>
    <t>% share of Dedicated Line</t>
  </si>
  <si>
    <t>(3.f)*100/(4)</t>
  </si>
  <si>
    <t>Weighted Heat Rate of Plant</t>
  </si>
  <si>
    <t>[(3.a)*(5)+(3.b)*(6)+(3.c)*(7)+(3.d)*(8)]+(3.f)*(9)/(4)</t>
  </si>
  <si>
    <t>Normalized Weighted Heat Rate</t>
  </si>
  <si>
    <t>[(5)AY*(16)BY+(6)AY*(17)BY+(7)AY*(18)BY+(8)AY*(19)BY]+(9)AY*(20)BY/100</t>
  </si>
  <si>
    <t>Notional Energy for All Power Source</t>
  </si>
  <si>
    <t>[(4)AY]*[(21)AY-(22)AY]/10</t>
  </si>
  <si>
    <t>kg CO2/kwh</t>
  </si>
  <si>
    <t>Normalization Factor for Product Mix</t>
  </si>
  <si>
    <t>Summary Sheet!1.a</t>
  </si>
  <si>
    <t>Lakh Ton</t>
  </si>
  <si>
    <t>Cement Production</t>
  </si>
  <si>
    <t>Summary Sheet!1.b</t>
  </si>
  <si>
    <t>Summary Sheet!1.i</t>
  </si>
  <si>
    <t>Summary Sheet!1.j</t>
  </si>
  <si>
    <t>Summary Sheet!1.k</t>
  </si>
  <si>
    <t>Clinker to OPC</t>
  </si>
  <si>
    <t xml:space="preserve">Clinker used for OPC Production/OPC Produced </t>
  </si>
  <si>
    <t>Clinker to PPC</t>
  </si>
  <si>
    <t>Clinker to PSC</t>
  </si>
  <si>
    <t>Clinker to Composite Cement</t>
  </si>
  <si>
    <t>Summary Sheet!8.f</t>
  </si>
  <si>
    <t>Summary Sheet!8.d</t>
  </si>
  <si>
    <t>Summary Sheet!9.a</t>
  </si>
  <si>
    <t>Summary Sheet!9.b</t>
  </si>
  <si>
    <t>Summary Sheet!9.c</t>
  </si>
  <si>
    <t>Weighted Average Heat Rate of plant</t>
  </si>
  <si>
    <t>Form I-Sb!H.4</t>
  </si>
  <si>
    <t>Kcal/kWh</t>
  </si>
  <si>
    <t>Weighted CF of PPC , PSC and Composite Cement</t>
  </si>
  <si>
    <t>[(4)*(8)+(5)*(9)+(6)*(10)] / [(4)+(5)+(6)]</t>
  </si>
  <si>
    <t>Notional Energy for Grinding</t>
  </si>
  <si>
    <t>[(11)-(12)-(2)]*(15)*(16)/10</t>
  </si>
  <si>
    <t>Notional Energy for Grinding added in assessment year</t>
  </si>
  <si>
    <t>(18)BY-(18)AY</t>
  </si>
  <si>
    <t>Additional Clinker produced due to change in  production and additive (PPC)</t>
  </si>
  <si>
    <t>If (4)BY=0, then (4)AY*{(7)AY-(8)AY} otherwise [{(7)AY-(8)Ay}-{(7)BY-(8)BY}]</t>
  </si>
  <si>
    <t>Additional Clinker produced due to change in production and additive (PSC)</t>
  </si>
  <si>
    <t>If (5)BY=0, then (5)AY*{(7)AY-(9)AY} otherwise [{(7)AY-(9)AY}-{(7)BY-(89BY}]</t>
  </si>
  <si>
    <t>Additional Clinker produced due to change in production and additive (Composite Cement)</t>
  </si>
  <si>
    <t>If (6)BY=0, then (6)AY*{(7)AY-(10)AY} otherwise [{(7)AY-(10)AY}-{(7)BY-(10)BY}]</t>
  </si>
  <si>
    <t>Additional Clinker produced due to change  production and additive(PPC, PSC and Composite Cement)</t>
  </si>
  <si>
    <t>(18)+(19)+(20)</t>
  </si>
  <si>
    <t>Notional Energy for Additional Clinker Produced due change in production and additives</t>
  </si>
  <si>
    <t>(23)*[(13)AY*1000+(14)AY*(16)AY]/10</t>
  </si>
  <si>
    <t>Total Notional Energy for Product Mix</t>
  </si>
  <si>
    <t>(17)+(21)</t>
  </si>
  <si>
    <t>Normalization Factor- Others</t>
  </si>
  <si>
    <t>Form I-Sb!H4</t>
  </si>
  <si>
    <t xml:space="preserve">Biomass Gross Calorific Value </t>
  </si>
  <si>
    <t>Form I-Sb!D9.(ii)</t>
  </si>
  <si>
    <t>Soild Alternate Fuel Gross Calorific  Value</t>
  </si>
  <si>
    <t>Form I-Sb!D10.(ii)</t>
  </si>
  <si>
    <t>Liquid Alternate Fuel Gross Calorific Value</t>
  </si>
  <si>
    <t>Form I-Sb!E6.(ii)</t>
  </si>
  <si>
    <t>Steam Turbine Net Heat Rate</t>
  </si>
  <si>
    <t>NF-1 Power Mix</t>
  </si>
  <si>
    <t>Form I-Sb!C1.(viii) AY</t>
  </si>
  <si>
    <t>Form I-Sb!C1.(ix) AY</t>
  </si>
  <si>
    <t>Summary Sheet!(13)</t>
  </si>
  <si>
    <t>kcal/tonne</t>
  </si>
  <si>
    <t xml:space="preserve">Saving Target in TOE/ton of product as per PAT scheme Notification </t>
  </si>
  <si>
    <t>Form I-Sb!C1.(xiv) AY</t>
  </si>
  <si>
    <t>toe/tonne</t>
  </si>
  <si>
    <t>Form I-Sb!C1.(xv) AY</t>
  </si>
  <si>
    <t>Additional Electrical &amp; Thermal Energy Consumed due to Environmental Concern</t>
  </si>
  <si>
    <t>Form I-Sb!L1.(i) x (1)/10+Form1-Sb!L1.(ii)</t>
  </si>
  <si>
    <t>Biomass replacement with Fossil fuel due to un-availbility used in the process</t>
  </si>
  <si>
    <t>Form I-Sb!L2.(i) x (2)/1000</t>
  </si>
  <si>
    <t>Alternate Solid Fuel replacement with Fossil fuel due to un-availbility used in the process</t>
  </si>
  <si>
    <t>Form I-Sb!L2.(ii) x (2)/1000</t>
  </si>
  <si>
    <t>Alternate Liquid Fuel replacement with Fossil fuel due to un-availbility used in the process</t>
  </si>
  <si>
    <t>Form I-Sb!L2.(iii) x (2)/1000</t>
  </si>
  <si>
    <t>Additional Electrical &amp; Thermal Energy Consumed due to commissioning of Equipment (Construction Phase)</t>
  </si>
  <si>
    <t>Form I-Sb!L3.(i) x (1)/10+Form1-Sb!L3.(ii)</t>
  </si>
  <si>
    <t xml:space="preserve">Electrical &amp; Thermal Energy Consumed due to commissioning of New process Line/Unit till it attains 70% of Capacity Utilisation </t>
  </si>
  <si>
    <t>Form I-Sb!L4.(i) x (1)/10+Form1-Sb!L4.(ii)</t>
  </si>
  <si>
    <t>Electrical &amp; Thermal Energy Consumed from external source due to commissioning of New Line/Unit till it attains 70% of Capacity Utilisation in Power generation</t>
  </si>
  <si>
    <t>Form I-Sb!L4.(v) x (1)/10+Form1-Sb!L1.(vi)</t>
  </si>
  <si>
    <t>Electrical &amp; Thermal Energy to be Normalised consumed due to unforeseen circumstances</t>
  </si>
  <si>
    <t>Form I-Sb!L5.(i) x (1)/10+Form1-Sb!L5.(ii)</t>
  </si>
  <si>
    <t>Energy to be added for Power generation of a line /unit till it attains 70% of Capacity Utilisation</t>
  </si>
  <si>
    <t>Form I-Sb!L4.(vii) x (1)/10</t>
  </si>
  <si>
    <t xml:space="preserve"> Million kcal</t>
  </si>
  <si>
    <t>Renewable Energy Certificate Normalisation</t>
  </si>
  <si>
    <t>Target Saving to be achieved (PAT obligation)</t>
  </si>
  <si>
    <t>(9) X 10^4</t>
  </si>
  <si>
    <t>kcal/kg equivalent Cement</t>
  </si>
  <si>
    <t>(21) X (10) X1000/10^6</t>
  </si>
  <si>
    <t xml:space="preserve">Target Saving Achieved </t>
  </si>
  <si>
    <t>(8)BY-(8)AY</t>
  </si>
  <si>
    <t>(23)AY X (10)AY X 1000/10^6</t>
  </si>
  <si>
    <t>Additional Saving achieved (After PAT obligation)</t>
  </si>
  <si>
    <t>(23)AY- (21)BY</t>
  </si>
  <si>
    <t>(24)AY-(22)BY</t>
  </si>
  <si>
    <t>Thermal energy conversion for REC and Preferential tariff</t>
  </si>
  <si>
    <t>if[(5)AY=0, {(6)AY+(7)AY} X 2717 X 1000/10^6, otherwise {(6)AY+(7)AY} X (5)AY X 1000/10^6]</t>
  </si>
  <si>
    <t>Thermal Energy to be Normalised for REC and preferential tariff power sell under REC mechanism</t>
  </si>
  <si>
    <t>If[(25)&lt;=0,0,Otherwise if{(27)&gt;(26),(26),otherwise(27)}]</t>
  </si>
  <si>
    <t>Normalization Factor for Bond Index (Limestone)</t>
  </si>
  <si>
    <t>Baseline Year [BY]</t>
  </si>
  <si>
    <t>Current Year (AY)</t>
  </si>
  <si>
    <t>MTPA</t>
  </si>
  <si>
    <t>Raw Mill Production</t>
  </si>
  <si>
    <t>Bond index of Limestone</t>
  </si>
  <si>
    <t>Operating Raw Mill Motor SEC</t>
  </si>
  <si>
    <t>Change in Electrical energy consumption (For Limestone grinding)</t>
  </si>
  <si>
    <t xml:space="preserve">y = (0.8426 X + .0344) where y is % change in  motor power kW, x is % change in Bond Index
Change in electrical power consumption = y X operating motor kW (AY)
</t>
  </si>
  <si>
    <t>kwh/t</t>
  </si>
  <si>
    <t>Energy to be subtracted w.r.t. Bond index of lime stone</t>
  </si>
  <si>
    <t>[5] x [2] (AY)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</si>
</sst>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000"/>
    <numFmt numFmtId="165" formatCode="0.0"/>
    <numFmt numFmtId="166" formatCode="0.000"/>
    <numFmt numFmtId="167" formatCode="0.0000E+00"/>
    <numFmt numFmtId="168" formatCode="_(* #,##0_);_(* \(#,##0\);_(* &quot;-&quot;??_);_(@_)"/>
    <numFmt numFmtId="169" formatCode="_(* #,##0.0_);_(* \(#,##0.0\);_(* &quot;-&quot;??_);_(@_)"/>
    <numFmt numFmtId="170" formatCode="0.00000"/>
    <numFmt numFmtId="171" formatCode="0.00000000"/>
    <numFmt numFmtId="172" formatCode="0.0000000"/>
    <numFmt numFmtId="173" formatCode="0.000000000"/>
    <numFmt numFmtId="174" formatCode="0.0000000E+00"/>
    <numFmt numFmtId="175" formatCode="0.000000"/>
    <numFmt numFmtId="176" formatCode="_ &quot;₹&quot;\ * #,##0.00_ ;_ &quot;₹&quot;\ * \-#,##0.00_ ;_ &quot;₹&quot;\ * &quot;-&quot;??_ ;_ @_ "/>
  </numFmts>
  <fonts count="99" x14ac:knownFonts="1">
    <font>
      <sz val="11"/>
      <color theme="1"/>
      <name val="Calibri"/>
      <family val="2"/>
      <scheme val="minor"/>
    </font>
    <font>
      <sz val="11"/>
      <color indexed="8"/>
      <name val="Calibri"/>
      <family val="2"/>
    </font>
    <font>
      <b/>
      <sz val="11"/>
      <color indexed="8"/>
      <name val="Calibri"/>
      <family val="2"/>
    </font>
    <font>
      <b/>
      <sz val="11"/>
      <color indexed="8"/>
      <name val="Arial"/>
      <family val="2"/>
    </font>
    <font>
      <sz val="11"/>
      <color indexed="8"/>
      <name val="Arial"/>
      <family val="2"/>
    </font>
    <font>
      <sz val="11"/>
      <name val="Calibri"/>
      <family val="2"/>
    </font>
    <font>
      <b/>
      <sz val="11"/>
      <name val="Calibri"/>
      <family val="2"/>
    </font>
    <font>
      <sz val="11"/>
      <color indexed="8"/>
      <name val="Calibri"/>
      <family val="2"/>
    </font>
    <font>
      <b/>
      <sz val="11"/>
      <color indexed="9"/>
      <name val="Calibri"/>
      <family val="2"/>
    </font>
    <font>
      <b/>
      <sz val="11"/>
      <color indexed="8"/>
      <name val="Calibri"/>
      <family val="2"/>
    </font>
    <font>
      <sz val="11"/>
      <color indexed="10"/>
      <name val="Calibri"/>
      <family val="2"/>
    </font>
    <font>
      <sz val="13"/>
      <color indexed="8"/>
      <name val="Calibri"/>
      <family val="2"/>
    </font>
    <font>
      <b/>
      <sz val="13"/>
      <color indexed="8"/>
      <name val="Calibri"/>
      <family val="2"/>
    </font>
    <font>
      <sz val="11"/>
      <name val="Calibri"/>
      <family val="2"/>
    </font>
    <font>
      <b/>
      <sz val="12"/>
      <color indexed="8"/>
      <name val="Calibri"/>
      <family val="2"/>
    </font>
    <font>
      <b/>
      <sz val="11"/>
      <color indexed="8"/>
      <name val="Calibri"/>
      <family val="2"/>
    </font>
    <font>
      <sz val="11"/>
      <color indexed="8"/>
      <name val="Calibri"/>
      <family val="2"/>
    </font>
    <font>
      <b/>
      <i/>
      <sz val="11"/>
      <color indexed="8"/>
      <name val="Calibri"/>
      <family val="2"/>
    </font>
    <font>
      <b/>
      <sz val="11"/>
      <name val="Calibri"/>
      <family val="2"/>
    </font>
    <font>
      <sz val="11"/>
      <color indexed="10"/>
      <name val="Calibri"/>
      <family val="2"/>
    </font>
    <font>
      <b/>
      <sz val="12"/>
      <color indexed="8"/>
      <name val="Calibri"/>
      <family val="2"/>
    </font>
    <font>
      <b/>
      <sz val="10"/>
      <color indexed="8"/>
      <name val="Calibri"/>
      <family val="2"/>
    </font>
    <font>
      <sz val="18"/>
      <color indexed="8"/>
      <name val="Calibri"/>
      <family val="2"/>
    </font>
    <font>
      <sz val="14"/>
      <color indexed="8"/>
      <name val="Calibri"/>
      <family val="2"/>
    </font>
    <font>
      <sz val="10"/>
      <color indexed="8"/>
      <name val="Calibri"/>
      <family val="2"/>
    </font>
    <font>
      <sz val="11"/>
      <color indexed="8"/>
      <name val="Calibri"/>
      <family val="2"/>
    </font>
    <font>
      <sz val="9"/>
      <color indexed="8"/>
      <name val="Calibri"/>
      <family val="2"/>
    </font>
    <font>
      <sz val="9"/>
      <name val="Calibri"/>
      <family val="2"/>
    </font>
    <font>
      <b/>
      <sz val="9"/>
      <color indexed="8"/>
      <name val="Calibri"/>
      <family val="2"/>
    </font>
    <font>
      <sz val="10"/>
      <name val="Calibri"/>
      <family val="2"/>
    </font>
    <font>
      <sz val="11"/>
      <color indexed="8"/>
      <name val="Arial"/>
      <family val="2"/>
    </font>
    <font>
      <b/>
      <sz val="11"/>
      <color indexed="8"/>
      <name val="Arial"/>
      <family val="2"/>
    </font>
    <font>
      <sz val="11"/>
      <color indexed="8"/>
      <name val="Arial"/>
      <family val="2"/>
    </font>
    <font>
      <b/>
      <sz val="12"/>
      <color indexed="8"/>
      <name val="Cambria"/>
      <family val="1"/>
    </font>
    <font>
      <b/>
      <sz val="11"/>
      <color indexed="8"/>
      <name val="Cambria"/>
      <family val="1"/>
    </font>
    <font>
      <b/>
      <sz val="10"/>
      <color indexed="8"/>
      <name val="Cambria"/>
      <family val="1"/>
    </font>
    <font>
      <sz val="11"/>
      <color indexed="8"/>
      <name val="Cambria"/>
      <family val="1"/>
    </font>
    <font>
      <b/>
      <sz val="11"/>
      <color indexed="8"/>
      <name val="Cambria"/>
      <family val="1"/>
    </font>
    <font>
      <b/>
      <sz val="16"/>
      <color indexed="8"/>
      <name val="Calibri"/>
      <family val="2"/>
    </font>
    <font>
      <b/>
      <sz val="11"/>
      <color indexed="10"/>
      <name val="Calibri"/>
      <family val="2"/>
    </font>
    <font>
      <b/>
      <sz val="20"/>
      <color indexed="9"/>
      <name val="Calibri"/>
      <family val="2"/>
    </font>
    <font>
      <b/>
      <sz val="18"/>
      <color indexed="8"/>
      <name val="Calibri"/>
      <family val="2"/>
    </font>
    <font>
      <u/>
      <sz val="11"/>
      <color indexed="12"/>
      <name val="Calibri"/>
      <family val="2"/>
    </font>
    <font>
      <b/>
      <sz val="26"/>
      <color indexed="9"/>
      <name val="Calibri"/>
      <family val="2"/>
    </font>
    <font>
      <b/>
      <sz val="18"/>
      <name val="Calibri"/>
      <family val="2"/>
    </font>
    <font>
      <b/>
      <sz val="22"/>
      <color indexed="9"/>
      <name val="Calibri"/>
      <family val="2"/>
    </font>
    <font>
      <sz val="18"/>
      <color indexed="9"/>
      <name val="Calibri"/>
      <family val="2"/>
    </font>
    <font>
      <b/>
      <sz val="18"/>
      <color indexed="9"/>
      <name val="Calibri"/>
      <family val="2"/>
    </font>
    <font>
      <sz val="12"/>
      <name val="Times New Roman"/>
      <family val="1"/>
    </font>
    <font>
      <sz val="11"/>
      <color theme="0"/>
      <name val="Calibri"/>
      <family val="2"/>
      <scheme val="minor"/>
    </font>
    <font>
      <u/>
      <sz val="11"/>
      <color theme="10"/>
      <name val="Calibri"/>
      <family val="2"/>
    </font>
    <font>
      <b/>
      <sz val="11"/>
      <color theme="1"/>
      <name val="Calibri"/>
      <family val="2"/>
      <scheme val="minor"/>
    </font>
    <font>
      <sz val="11"/>
      <name val="Calibri"/>
      <family val="2"/>
      <scheme val="minor"/>
    </font>
    <font>
      <sz val="11"/>
      <color theme="1"/>
      <name val="Calibri"/>
      <family val="2"/>
      <scheme val="minor"/>
    </font>
    <font>
      <sz val="10"/>
      <name val="Arial"/>
      <family val="2"/>
    </font>
    <font>
      <sz val="11"/>
      <name val="Cambria"/>
      <family val="1"/>
    </font>
    <font>
      <b/>
      <sz val="11"/>
      <name val="Cambria"/>
      <family val="1"/>
    </font>
    <font>
      <sz val="10"/>
      <color theme="1"/>
      <name val="Calibri"/>
      <family val="2"/>
      <scheme val="minor"/>
    </font>
    <font>
      <sz val="12"/>
      <name val="Cambria"/>
      <family val="1"/>
      <scheme val="major"/>
    </font>
    <font>
      <sz val="13"/>
      <color indexed="8"/>
      <name val="Cambria"/>
      <family val="1"/>
    </font>
    <font>
      <b/>
      <i/>
      <sz val="11"/>
      <color theme="1"/>
      <name val="Calibri"/>
      <family val="2"/>
      <scheme val="minor"/>
    </font>
    <font>
      <sz val="11"/>
      <color rgb="FFFF0000"/>
      <name val="Calibri"/>
      <family val="2"/>
      <scheme val="minor"/>
    </font>
    <font>
      <u/>
      <sz val="9"/>
      <color theme="10"/>
      <name val="Calibri"/>
      <family val="2"/>
    </font>
    <font>
      <i/>
      <sz val="11"/>
      <name val="Calibri"/>
      <family val="2"/>
    </font>
    <font>
      <i/>
      <sz val="11"/>
      <name val="Cambria"/>
      <family val="1"/>
    </font>
    <font>
      <i/>
      <sz val="11"/>
      <color indexed="8"/>
      <name val="Cambria"/>
      <family val="1"/>
    </font>
    <font>
      <i/>
      <sz val="11"/>
      <color theme="1"/>
      <name val="Calibri"/>
      <family val="2"/>
      <scheme val="minor"/>
    </font>
    <font>
      <b/>
      <sz val="11"/>
      <name val="Cambria"/>
      <family val="1"/>
      <scheme val="major"/>
    </font>
    <font>
      <sz val="11"/>
      <name val="Cambria"/>
      <family val="1"/>
      <scheme val="major"/>
    </font>
    <font>
      <sz val="11"/>
      <color theme="1"/>
      <name val="Cambria"/>
      <family val="1"/>
      <scheme val="major"/>
    </font>
    <font>
      <b/>
      <sz val="11"/>
      <color rgb="FFFF0000"/>
      <name val="Calibri"/>
      <family val="2"/>
    </font>
    <font>
      <b/>
      <sz val="20"/>
      <color indexed="9"/>
      <name val="Calibri"/>
      <family val="2"/>
      <scheme val="minor"/>
    </font>
    <font>
      <b/>
      <sz val="18"/>
      <color indexed="8"/>
      <name val="Calibri"/>
      <family val="2"/>
      <scheme val="minor"/>
    </font>
    <font>
      <b/>
      <sz val="11"/>
      <color indexed="8"/>
      <name val="Calibri"/>
      <family val="2"/>
      <scheme val="minor"/>
    </font>
    <font>
      <u/>
      <sz val="9"/>
      <color theme="10"/>
      <name val="Calibri"/>
      <family val="2"/>
      <scheme val="minor"/>
    </font>
    <font>
      <sz val="11"/>
      <color indexed="8"/>
      <name val="Calibri"/>
      <family val="2"/>
      <scheme val="minor"/>
    </font>
    <font>
      <sz val="11"/>
      <color indexed="10"/>
      <name val="Calibri"/>
      <family val="2"/>
      <scheme val="minor"/>
    </font>
    <font>
      <b/>
      <i/>
      <sz val="11"/>
      <color indexed="8"/>
      <name val="Calibri"/>
      <family val="2"/>
      <scheme val="minor"/>
    </font>
    <font>
      <b/>
      <sz val="10"/>
      <color indexed="8"/>
      <name val="Calibri"/>
      <family val="2"/>
      <scheme val="minor"/>
    </font>
    <font>
      <b/>
      <i/>
      <sz val="11"/>
      <name val="Calibri"/>
      <family val="2"/>
      <scheme val="minor"/>
    </font>
    <font>
      <b/>
      <sz val="11"/>
      <name val="Calibri"/>
      <family val="2"/>
      <scheme val="minor"/>
    </font>
    <font>
      <sz val="10"/>
      <color indexed="8"/>
      <name val="Calibri"/>
      <family val="2"/>
      <scheme val="minor"/>
    </font>
    <font>
      <sz val="9"/>
      <color indexed="8"/>
      <name val="Calibri"/>
      <family val="2"/>
      <scheme val="minor"/>
    </font>
    <font>
      <sz val="8"/>
      <color indexed="8"/>
      <name val="Calibri"/>
      <family val="2"/>
      <scheme val="minor"/>
    </font>
    <font>
      <sz val="10"/>
      <name val="Calibri"/>
      <family val="2"/>
      <scheme val="minor"/>
    </font>
    <font>
      <b/>
      <sz val="12"/>
      <color indexed="8"/>
      <name val="Calibri"/>
      <family val="2"/>
      <scheme val="minor"/>
    </font>
    <font>
      <b/>
      <sz val="9"/>
      <color indexed="8"/>
      <name val="Calibri"/>
      <family val="2"/>
      <scheme val="minor"/>
    </font>
    <font>
      <i/>
      <sz val="10"/>
      <name val="Calibri"/>
      <family val="2"/>
    </font>
    <font>
      <i/>
      <sz val="10"/>
      <name val="Cambria"/>
      <family val="1"/>
    </font>
    <font>
      <i/>
      <sz val="10"/>
      <color indexed="8"/>
      <name val="Cambria"/>
      <family val="1"/>
    </font>
    <font>
      <i/>
      <sz val="10"/>
      <color theme="1"/>
      <name val="Calibri"/>
      <family val="2"/>
      <scheme val="minor"/>
    </font>
    <font>
      <sz val="11"/>
      <color theme="4" tint="-0.499984740745262"/>
      <name val="Calibri"/>
      <family val="2"/>
      <scheme val="minor"/>
    </font>
    <font>
      <u/>
      <sz val="11"/>
      <color theme="1"/>
      <name val="Calibri"/>
      <family val="2"/>
      <scheme val="minor"/>
    </font>
    <font>
      <b/>
      <u/>
      <sz val="11"/>
      <color theme="10"/>
      <name val="Calibri"/>
      <family val="2"/>
    </font>
    <font>
      <b/>
      <sz val="10"/>
      <color theme="1"/>
      <name val="Calibri"/>
      <family val="2"/>
      <scheme val="minor"/>
    </font>
    <font>
      <sz val="8"/>
      <color theme="1"/>
      <name val="Calibri"/>
      <family val="2"/>
      <scheme val="minor"/>
    </font>
    <font>
      <sz val="9"/>
      <color theme="1"/>
      <name val="Calibri"/>
      <family val="2"/>
      <scheme val="minor"/>
    </font>
    <font>
      <sz val="9"/>
      <name val="Calibri"/>
      <family val="2"/>
      <scheme val="minor"/>
    </font>
    <font>
      <b/>
      <i/>
      <sz val="10"/>
      <color theme="1"/>
      <name val="Calibri"/>
      <family val="2"/>
      <scheme val="minor"/>
    </font>
  </fonts>
  <fills count="30">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indexed="45"/>
        <bgColor indexed="64"/>
      </patternFill>
    </fill>
    <fill>
      <patternFill patternType="solid">
        <fgColor indexed="31"/>
        <bgColor indexed="64"/>
      </patternFill>
    </fill>
    <fill>
      <patternFill patternType="solid">
        <fgColor indexed="55"/>
        <bgColor indexed="64"/>
      </patternFill>
    </fill>
    <fill>
      <patternFill patternType="solid">
        <fgColor indexed="30"/>
        <bgColor indexed="64"/>
      </patternFill>
    </fill>
    <fill>
      <patternFill patternType="solid">
        <fgColor indexed="56"/>
        <bgColor indexed="64"/>
      </patternFill>
    </fill>
    <fill>
      <patternFill patternType="solid">
        <fgColor theme="4"/>
      </patternFill>
    </fill>
    <fill>
      <patternFill patternType="solid">
        <fgColor theme="0" tint="-4.9989318521683403E-2"/>
        <bgColor indexed="64"/>
      </patternFill>
    </fill>
    <fill>
      <patternFill patternType="solid">
        <fgColor theme="0"/>
        <bgColor indexed="64"/>
      </patternFill>
    </fill>
    <fill>
      <patternFill patternType="solid">
        <fgColor rgb="FFFFFF00"/>
        <bgColor indexed="64"/>
      </patternFill>
    </fill>
    <fill>
      <patternFill patternType="solid">
        <fgColor theme="1" tint="0.499984740745262"/>
        <bgColor indexed="64"/>
      </patternFill>
    </fill>
    <fill>
      <patternFill patternType="solid">
        <fgColor theme="2" tint="-0.249977111117893"/>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rgb="FFFF99FF"/>
        <bgColor indexed="64"/>
      </patternFill>
    </fill>
    <fill>
      <patternFill patternType="solid">
        <fgColor theme="3" tint="0.79998168889431442"/>
        <bgColor indexed="64"/>
      </patternFill>
    </fill>
    <fill>
      <patternFill patternType="solid">
        <fgColor theme="4" tint="0.79998168889431442"/>
        <bgColor indexed="64"/>
      </patternFill>
    </fill>
    <fill>
      <patternFill patternType="solid">
        <fgColor theme="0" tint="-0.34998626667073579"/>
        <bgColor indexed="64"/>
      </patternFill>
    </fill>
    <fill>
      <patternFill patternType="solid">
        <fgColor theme="6" tint="0.79998168889431442"/>
        <bgColor indexed="64"/>
      </patternFill>
    </fill>
    <fill>
      <patternFill patternType="solid">
        <fgColor rgb="FF00B0F0"/>
        <bgColor indexed="64"/>
      </patternFill>
    </fill>
    <fill>
      <patternFill patternType="solid">
        <fgColor theme="3" tint="0.59999389629810485"/>
        <bgColor indexed="64"/>
      </patternFill>
    </fill>
    <fill>
      <patternFill patternType="solid">
        <fgColor rgb="FF0070C0"/>
        <bgColor indexed="64"/>
      </patternFill>
    </fill>
    <fill>
      <patternFill patternType="solid">
        <fgColor rgb="FF00FF00"/>
        <bgColor indexed="64"/>
      </patternFill>
    </fill>
    <fill>
      <patternFill patternType="solid">
        <fgColor rgb="FFFF99CC"/>
        <bgColor indexed="64"/>
      </patternFill>
    </fill>
    <fill>
      <patternFill patternType="solid">
        <fgColor rgb="FF92D050"/>
        <bgColor indexed="64"/>
      </patternFill>
    </fill>
    <fill>
      <patternFill patternType="solid">
        <fgColor rgb="FFC5D9F1"/>
        <bgColor indexed="64"/>
      </patternFill>
    </fill>
    <fill>
      <patternFill patternType="solid">
        <fgColor theme="0" tint="-0.249977111117893"/>
        <bgColor indexed="64"/>
      </patternFill>
    </fill>
  </fills>
  <borders count="6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right style="medium">
        <color indexed="64"/>
      </right>
      <top/>
      <bottom/>
      <diagonal/>
    </border>
    <border>
      <left style="medium">
        <color indexed="64"/>
      </left>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bottom/>
      <diagonal/>
    </border>
    <border>
      <left/>
      <right/>
      <top style="medium">
        <color indexed="64"/>
      </top>
      <bottom/>
      <diagonal/>
    </border>
    <border>
      <left/>
      <right style="medium">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medium">
        <color indexed="64"/>
      </bottom>
      <diagonal/>
    </border>
    <border>
      <left/>
      <right/>
      <top style="thin">
        <color indexed="64"/>
      </top>
      <bottom style="medium">
        <color indexed="64"/>
      </bottom>
      <diagonal/>
    </border>
    <border>
      <left/>
      <right/>
      <top style="thin">
        <color indexed="64"/>
      </top>
      <bottom/>
      <diagonal/>
    </border>
    <border>
      <left/>
      <right style="medium">
        <color indexed="64"/>
      </right>
      <top/>
      <bottom style="thin">
        <color indexed="64"/>
      </bottom>
      <diagonal/>
    </border>
    <border>
      <left style="dashed">
        <color indexed="64"/>
      </left>
      <right style="dashed">
        <color indexed="64"/>
      </right>
      <top style="dashed">
        <color indexed="64"/>
      </top>
      <bottom style="medium">
        <color indexed="64"/>
      </bottom>
      <diagonal/>
    </border>
    <border>
      <left style="dashed">
        <color indexed="64"/>
      </left>
      <right style="dashed">
        <color indexed="64"/>
      </right>
      <top style="medium">
        <color indexed="64"/>
      </top>
      <bottom style="dashed">
        <color indexed="64"/>
      </bottom>
      <diagonal/>
    </border>
    <border>
      <left style="medium">
        <color indexed="64"/>
      </left>
      <right style="dashed">
        <color indexed="64"/>
      </right>
      <top style="medium">
        <color indexed="64"/>
      </top>
      <bottom style="dashed">
        <color indexed="64"/>
      </bottom>
      <diagonal/>
    </border>
    <border>
      <left/>
      <right style="medium">
        <color indexed="64"/>
      </right>
      <top style="thin">
        <color indexed="64"/>
      </top>
      <bottom/>
      <diagonal/>
    </border>
    <border>
      <left style="dashed">
        <color indexed="64"/>
      </left>
      <right style="medium">
        <color indexed="64"/>
      </right>
      <top style="dashed">
        <color indexed="64"/>
      </top>
      <bottom/>
      <diagonal/>
    </border>
    <border>
      <left style="thin">
        <color indexed="64"/>
      </left>
      <right/>
      <top/>
      <bottom/>
      <diagonal/>
    </border>
    <border>
      <left/>
      <right style="thin">
        <color indexed="64"/>
      </right>
      <top style="medium">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9">
    <xf numFmtId="0" fontId="0" fillId="0" borderId="0"/>
    <xf numFmtId="0" fontId="48" fillId="0" borderId="0"/>
    <xf numFmtId="0" fontId="49" fillId="9" borderId="0"/>
    <xf numFmtId="0" fontId="50" fillId="0" borderId="0">
      <alignment vertical="top"/>
      <protection locked="0"/>
    </xf>
    <xf numFmtId="9" fontId="25" fillId="0" borderId="0"/>
    <xf numFmtId="9" fontId="25" fillId="0" borderId="0"/>
    <xf numFmtId="43" fontId="53" fillId="0" borderId="0"/>
    <xf numFmtId="176" fontId="53" fillId="0" borderId="0"/>
    <xf numFmtId="9" fontId="25" fillId="0" borderId="0"/>
  </cellStyleXfs>
  <cellXfs count="1115">
    <xf numFmtId="0" fontId="0" fillId="0" borderId="0" xfId="0"/>
    <xf numFmtId="0" fontId="0" fillId="0" borderId="0" xfId="0" applyAlignment="1">
      <alignment horizontal="center"/>
    </xf>
    <xf numFmtId="0" fontId="0" fillId="0" borderId="1" xfId="0" applyBorder="1" applyAlignment="1">
      <alignment horizontal="center" vertical="center" wrapText="1"/>
    </xf>
    <xf numFmtId="0" fontId="0" fillId="0" borderId="1" xfId="0" applyBorder="1" applyAlignment="1">
      <alignment vertical="center" wrapText="1"/>
    </xf>
    <xf numFmtId="0" fontId="0" fillId="0" borderId="0" xfId="0" applyAlignment="1">
      <alignment vertical="top"/>
    </xf>
    <xf numFmtId="0" fontId="0" fillId="0" borderId="1" xfId="0" applyBorder="1" applyAlignment="1">
      <alignment horizontal="center"/>
    </xf>
    <xf numFmtId="0" fontId="9" fillId="2" borderId="1" xfId="0" applyFont="1" applyFill="1" applyBorder="1" applyAlignment="1">
      <alignment horizontal="center" vertical="top" wrapText="1"/>
    </xf>
    <xf numFmtId="0" fontId="9" fillId="2" borderId="1" xfId="0" applyFont="1" applyFill="1" applyBorder="1" applyAlignment="1">
      <alignment vertical="top" wrapText="1"/>
    </xf>
    <xf numFmtId="0" fontId="9" fillId="0" borderId="0" xfId="0" applyFont="1" applyAlignment="1">
      <alignment vertical="top" wrapText="1"/>
    </xf>
    <xf numFmtId="0" fontId="9" fillId="2" borderId="1" xfId="0" applyFont="1" applyFill="1" applyBorder="1" applyAlignment="1">
      <alignment horizontal="center" vertical="top"/>
    </xf>
    <xf numFmtId="0" fontId="9" fillId="2" borderId="1" xfId="0" applyFont="1" applyFill="1" applyBorder="1" applyAlignment="1">
      <alignment vertical="top"/>
    </xf>
    <xf numFmtId="0" fontId="9" fillId="0" borderId="0" xfId="0" applyFont="1" applyAlignment="1">
      <alignment vertical="top"/>
    </xf>
    <xf numFmtId="0" fontId="0" fillId="0" borderId="0" xfId="0" applyAlignment="1">
      <alignment vertical="center"/>
    </xf>
    <xf numFmtId="0" fontId="9" fillId="2" borderId="1" xfId="0" applyFont="1" applyFill="1" applyBorder="1" applyAlignment="1">
      <alignment horizontal="center" vertical="center"/>
    </xf>
    <xf numFmtId="0" fontId="9" fillId="2" borderId="1" xfId="0" applyFont="1" applyFill="1" applyBorder="1" applyAlignment="1">
      <alignment horizontal="left" vertical="center"/>
    </xf>
    <xf numFmtId="0" fontId="9" fillId="2" borderId="1" xfId="0" applyFont="1" applyFill="1" applyBorder="1" applyAlignment="1">
      <alignment horizontal="center" vertical="center" wrapText="1"/>
    </xf>
    <xf numFmtId="0" fontId="0" fillId="0" borderId="1" xfId="0" applyBorder="1" applyAlignment="1">
      <alignment horizontal="left" vertical="center"/>
    </xf>
    <xf numFmtId="2" fontId="0" fillId="0" borderId="1" xfId="0" applyNumberFormat="1" applyBorder="1" applyAlignment="1">
      <alignment horizontal="center" vertical="center"/>
    </xf>
    <xf numFmtId="0" fontId="0" fillId="0" borderId="1" xfId="0" applyBorder="1" applyAlignment="1">
      <alignment horizontal="left" vertical="center" wrapText="1"/>
    </xf>
    <xf numFmtId="0" fontId="0" fillId="3" borderId="2" xfId="0" applyFill="1" applyBorder="1" applyAlignment="1" applyProtection="1">
      <alignment vertical="center" wrapText="1"/>
      <protection locked="0"/>
    </xf>
    <xf numFmtId="0" fontId="0" fillId="0" borderId="1" xfId="0" applyBorder="1" applyAlignment="1">
      <alignment vertical="center"/>
    </xf>
    <xf numFmtId="164" fontId="0" fillId="0" borderId="1" xfId="0" applyNumberFormat="1" applyBorder="1" applyAlignment="1">
      <alignment horizontal="center" vertical="center"/>
    </xf>
    <xf numFmtId="0" fontId="9" fillId="2" borderId="1" xfId="0" applyFont="1" applyFill="1" applyBorder="1" applyAlignment="1">
      <alignment horizontal="left" vertical="center" wrapText="1"/>
    </xf>
    <xf numFmtId="0" fontId="0" fillId="0" borderId="0" xfId="0" applyAlignment="1">
      <alignment horizontal="center" vertical="center"/>
    </xf>
    <xf numFmtId="0" fontId="9" fillId="2" borderId="1" xfId="0" applyFont="1" applyFill="1" applyBorder="1" applyAlignment="1">
      <alignment vertical="center"/>
    </xf>
    <xf numFmtId="0" fontId="9" fillId="2" borderId="1" xfId="0" applyFont="1" applyFill="1" applyBorder="1" applyAlignment="1">
      <alignment vertical="center" wrapText="1"/>
    </xf>
    <xf numFmtId="0" fontId="0" fillId="3" borderId="1" xfId="0" applyFill="1" applyBorder="1" applyAlignment="1" applyProtection="1">
      <alignment vertical="center" wrapText="1"/>
      <protection locked="0"/>
    </xf>
    <xf numFmtId="0" fontId="11" fillId="0" borderId="0" xfId="0" applyFont="1" applyAlignment="1">
      <alignment vertical="center"/>
    </xf>
    <xf numFmtId="0" fontId="9" fillId="0" borderId="1" xfId="0" applyFont="1" applyBorder="1" applyAlignment="1">
      <alignment horizontal="left" vertical="center"/>
    </xf>
    <xf numFmtId="0" fontId="0" fillId="0" borderId="3" xfId="0" applyBorder="1" applyAlignment="1">
      <alignment vertical="center"/>
    </xf>
    <xf numFmtId="0" fontId="0" fillId="0" borderId="1" xfId="0" applyBorder="1" applyAlignment="1" applyProtection="1">
      <alignment vertical="center" wrapText="1"/>
      <protection locked="0"/>
    </xf>
    <xf numFmtId="0" fontId="0" fillId="0" borderId="1" xfId="0" applyBorder="1" applyAlignment="1" applyProtection="1">
      <alignment horizontal="center" vertical="center"/>
      <protection locked="0"/>
    </xf>
    <xf numFmtId="0" fontId="0" fillId="0" borderId="1" xfId="0" applyBorder="1" applyAlignment="1" applyProtection="1">
      <alignment horizontal="center" vertical="center" wrapText="1"/>
      <protection locked="0"/>
    </xf>
    <xf numFmtId="0" fontId="0" fillId="3" borderId="2" xfId="0" applyFill="1" applyBorder="1" applyAlignment="1" applyProtection="1">
      <alignment horizontal="left" vertical="center" wrapText="1"/>
      <protection locked="0"/>
    </xf>
    <xf numFmtId="0" fontId="0" fillId="3" borderId="1" xfId="0" applyFill="1" applyBorder="1" applyAlignment="1" applyProtection="1">
      <alignment horizontal="left" vertical="center" wrapText="1"/>
      <protection locked="0"/>
    </xf>
    <xf numFmtId="0" fontId="0" fillId="0" borderId="6" xfId="0" applyBorder="1" applyAlignment="1">
      <alignment vertical="center"/>
    </xf>
    <xf numFmtId="0" fontId="9" fillId="0" borderId="1" xfId="0" applyFont="1" applyBorder="1" applyAlignment="1">
      <alignment horizontal="center" vertical="center"/>
    </xf>
    <xf numFmtId="0" fontId="13" fillId="0" borderId="8" xfId="0" applyFont="1" applyBorder="1" applyAlignment="1">
      <alignment horizontal="left" vertical="center" wrapText="1"/>
    </xf>
    <xf numFmtId="0" fontId="13" fillId="0" borderId="9" xfId="0" applyFont="1" applyBorder="1" applyAlignment="1">
      <alignment horizontal="left" vertical="center" wrapText="1"/>
    </xf>
    <xf numFmtId="0" fontId="0" fillId="0" borderId="4" xfId="0" applyBorder="1" applyAlignment="1">
      <alignment vertical="center"/>
    </xf>
    <xf numFmtId="0" fontId="0" fillId="0" borderId="11" xfId="0" applyBorder="1" applyAlignment="1">
      <alignment vertical="center" wrapText="1"/>
    </xf>
    <xf numFmtId="0" fontId="0" fillId="0" borderId="11" xfId="0" applyBorder="1" applyAlignment="1">
      <alignment horizontal="center" vertical="center"/>
    </xf>
    <xf numFmtId="0" fontId="0" fillId="0" borderId="11" xfId="0" applyBorder="1" applyAlignment="1">
      <alignment vertical="center"/>
    </xf>
    <xf numFmtId="0" fontId="0" fillId="0" borderId="12" xfId="0" applyBorder="1" applyAlignment="1">
      <alignment vertical="center" wrapText="1"/>
    </xf>
    <xf numFmtId="0" fontId="0" fillId="3" borderId="3" xfId="0" applyFill="1" applyBorder="1" applyAlignment="1">
      <alignment vertical="center"/>
    </xf>
    <xf numFmtId="0" fontId="0" fillId="3" borderId="1" xfId="0" applyFill="1" applyBorder="1" applyAlignment="1">
      <alignment vertical="center"/>
    </xf>
    <xf numFmtId="0" fontId="15" fillId="3" borderId="9" xfId="0" applyFont="1" applyFill="1" applyBorder="1" applyAlignment="1">
      <alignment horizontal="center" vertical="center"/>
    </xf>
    <xf numFmtId="0" fontId="0" fillId="3" borderId="0" xfId="0" applyFill="1" applyAlignment="1">
      <alignment vertical="center"/>
    </xf>
    <xf numFmtId="0" fontId="0" fillId="3" borderId="6" xfId="0" applyFill="1" applyBorder="1" applyAlignment="1">
      <alignment vertical="center"/>
    </xf>
    <xf numFmtId="0" fontId="16" fillId="0" borderId="9" xfId="0" applyFont="1" applyBorder="1" applyAlignment="1">
      <alignment horizontal="center" vertical="center"/>
    </xf>
    <xf numFmtId="0" fontId="0" fillId="0" borderId="8" xfId="0" applyBorder="1" applyAlignment="1">
      <alignment vertical="center" wrapText="1"/>
    </xf>
    <xf numFmtId="2" fontId="16" fillId="0" borderId="1" xfId="0" applyNumberFormat="1" applyFont="1" applyBorder="1" applyAlignment="1">
      <alignment horizontal="center" vertical="center"/>
    </xf>
    <xf numFmtId="0" fontId="0" fillId="0" borderId="1" xfId="0" applyBorder="1" applyAlignment="1">
      <alignment horizontal="center" vertical="center"/>
    </xf>
    <xf numFmtId="0" fontId="16" fillId="0" borderId="1" xfId="0" applyFont="1" applyBorder="1" applyAlignment="1">
      <alignment horizontal="center" vertical="center"/>
    </xf>
    <xf numFmtId="0" fontId="0" fillId="0" borderId="8" xfId="0" applyBorder="1" applyAlignment="1">
      <alignment vertical="center"/>
    </xf>
    <xf numFmtId="2" fontId="15" fillId="3" borderId="3" xfId="0" applyNumberFormat="1" applyFont="1" applyFill="1" applyBorder="1" applyAlignment="1">
      <alignment horizontal="center" vertical="center"/>
    </xf>
    <xf numFmtId="0" fontId="0" fillId="0" borderId="9" xfId="0" applyBorder="1" applyAlignment="1">
      <alignment horizontal="center" vertical="center"/>
    </xf>
    <xf numFmtId="0" fontId="0" fillId="3" borderId="9" xfId="0" applyFill="1" applyBorder="1" applyAlignment="1">
      <alignment horizontal="center" vertical="center"/>
    </xf>
    <xf numFmtId="0" fontId="0" fillId="0" borderId="8" xfId="0" applyBorder="1" applyAlignment="1">
      <alignment horizontal="left" vertical="center" wrapText="1" indent="1"/>
    </xf>
    <xf numFmtId="0" fontId="0" fillId="0" borderId="1" xfId="0" applyBorder="1" applyAlignment="1">
      <alignment horizontal="left" vertical="center" wrapText="1" indent="1"/>
    </xf>
    <xf numFmtId="0" fontId="0" fillId="0" borderId="13" xfId="0" applyBorder="1" applyAlignment="1">
      <alignment horizontal="center" vertical="center" wrapText="1"/>
    </xf>
    <xf numFmtId="0" fontId="17" fillId="3" borderId="9" xfId="0" applyFont="1" applyFill="1" applyBorder="1" applyAlignment="1">
      <alignment horizontal="center" vertical="center"/>
    </xf>
    <xf numFmtId="0" fontId="17" fillId="3" borderId="8" xfId="0" applyFont="1" applyFill="1" applyBorder="1" applyAlignment="1">
      <alignment horizontal="left" vertical="center" wrapText="1" indent="1"/>
    </xf>
    <xf numFmtId="0" fontId="17" fillId="3" borderId="1" xfId="0" applyFont="1" applyFill="1" applyBorder="1" applyAlignment="1">
      <alignment horizontal="left" vertical="center" wrapText="1" indent="1"/>
    </xf>
    <xf numFmtId="0" fontId="0" fillId="3" borderId="1" xfId="0" applyFill="1" applyBorder="1" applyAlignment="1">
      <alignment horizontal="center" vertical="center"/>
    </xf>
    <xf numFmtId="0" fontId="0" fillId="3" borderId="13" xfId="0" applyFill="1" applyBorder="1" applyAlignment="1">
      <alignment horizontal="center" vertical="center" wrapText="1"/>
    </xf>
    <xf numFmtId="0" fontId="0" fillId="3" borderId="13" xfId="0" applyFill="1" applyBorder="1" applyAlignment="1">
      <alignment horizontal="center" vertical="center"/>
    </xf>
    <xf numFmtId="2" fontId="0" fillId="0" borderId="13" xfId="0" applyNumberFormat="1" applyBorder="1" applyAlignment="1">
      <alignment horizontal="center" vertical="center"/>
    </xf>
    <xf numFmtId="0" fontId="15" fillId="3" borderId="14" xfId="0" applyFont="1" applyFill="1" applyBorder="1" applyAlignment="1">
      <alignment horizontal="center" vertical="center"/>
    </xf>
    <xf numFmtId="0" fontId="0" fillId="3" borderId="1" xfId="0" applyFill="1" applyBorder="1" applyAlignment="1">
      <alignment horizontal="center"/>
    </xf>
    <xf numFmtId="0" fontId="0" fillId="0" borderId="15" xfId="0" applyBorder="1" applyAlignment="1">
      <alignment horizontal="center" vertical="center"/>
    </xf>
    <xf numFmtId="0" fontId="0" fillId="0" borderId="16" xfId="0" applyBorder="1" applyAlignment="1">
      <alignment horizontal="left" vertical="center" wrapText="1" indent="1"/>
    </xf>
    <xf numFmtId="0" fontId="0" fillId="0" borderId="5" xfId="0" applyBorder="1" applyAlignment="1">
      <alignment horizontal="left" vertical="center" wrapText="1" indent="1"/>
    </xf>
    <xf numFmtId="0" fontId="0" fillId="0" borderId="5" xfId="0" applyBorder="1" applyAlignment="1">
      <alignment horizontal="center" vertical="center"/>
    </xf>
    <xf numFmtId="2" fontId="0" fillId="3" borderId="1" xfId="0" applyNumberFormat="1" applyFill="1" applyBorder="1" applyAlignment="1">
      <alignment horizontal="center"/>
    </xf>
    <xf numFmtId="0" fontId="18" fillId="3" borderId="8" xfId="0" applyFont="1" applyFill="1" applyBorder="1" applyAlignment="1">
      <alignment horizontal="left" vertical="center" wrapText="1" indent="1"/>
    </xf>
    <xf numFmtId="0" fontId="18" fillId="3" borderId="1" xfId="0" applyFont="1" applyFill="1" applyBorder="1" applyAlignment="1">
      <alignment horizontal="left" vertical="center" wrapText="1" indent="1"/>
    </xf>
    <xf numFmtId="0" fontId="18" fillId="3" borderId="1" xfId="0" applyFont="1" applyFill="1" applyBorder="1" applyAlignment="1">
      <alignment horizontal="center" vertical="center"/>
    </xf>
    <xf numFmtId="2" fontId="18" fillId="3" borderId="1" xfId="0" applyNumberFormat="1" applyFont="1" applyFill="1" applyBorder="1" applyAlignment="1">
      <alignment horizontal="center" vertical="center"/>
    </xf>
    <xf numFmtId="0" fontId="18" fillId="3" borderId="1" xfId="0" applyFont="1" applyFill="1" applyBorder="1" applyAlignment="1">
      <alignment horizontal="center" vertical="center" wrapText="1"/>
    </xf>
    <xf numFmtId="165" fontId="18" fillId="3" borderId="1" xfId="0" applyNumberFormat="1" applyFont="1" applyFill="1" applyBorder="1" applyAlignment="1">
      <alignment horizontal="center" vertical="center"/>
    </xf>
    <xf numFmtId="0" fontId="15" fillId="3" borderId="8" xfId="0" applyFont="1" applyFill="1" applyBorder="1" applyAlignment="1">
      <alignment vertical="center" wrapText="1"/>
    </xf>
    <xf numFmtId="0" fontId="15" fillId="3" borderId="1" xfId="0" applyFont="1" applyFill="1" applyBorder="1" applyAlignment="1">
      <alignment vertical="center" wrapText="1"/>
    </xf>
    <xf numFmtId="0" fontId="15" fillId="3" borderId="1" xfId="0" applyFont="1" applyFill="1" applyBorder="1" applyAlignment="1">
      <alignment horizontal="center" vertical="center"/>
    </xf>
    <xf numFmtId="2" fontId="15" fillId="3" borderId="1" xfId="0" applyNumberFormat="1" applyFont="1" applyFill="1" applyBorder="1" applyAlignment="1">
      <alignment horizontal="center" vertical="center"/>
    </xf>
    <xf numFmtId="0" fontId="15" fillId="3" borderId="8" xfId="0" applyFont="1" applyFill="1" applyBorder="1" applyAlignment="1">
      <alignment horizontal="center" vertical="center"/>
    </xf>
    <xf numFmtId="0" fontId="15" fillId="3" borderId="3" xfId="0" applyFont="1" applyFill="1" applyBorder="1" applyAlignment="1">
      <alignment vertical="center" wrapText="1"/>
    </xf>
    <xf numFmtId="0" fontId="15" fillId="3" borderId="2" xfId="0" applyFont="1" applyFill="1" applyBorder="1" applyAlignment="1">
      <alignment vertical="center" wrapText="1"/>
    </xf>
    <xf numFmtId="2" fontId="15" fillId="3" borderId="2" xfId="0" applyNumberFormat="1" applyFont="1" applyFill="1" applyBorder="1" applyAlignment="1">
      <alignment horizontal="center" vertical="center"/>
    </xf>
    <xf numFmtId="0" fontId="18" fillId="3" borderId="8" xfId="0" applyFont="1" applyFill="1" applyBorder="1" applyAlignment="1">
      <alignment horizontal="center" vertical="center"/>
    </xf>
    <xf numFmtId="0" fontId="18" fillId="3" borderId="17" xfId="0" applyFont="1" applyFill="1" applyBorder="1" applyAlignment="1">
      <alignment horizontal="left" vertical="center" wrapText="1"/>
    </xf>
    <xf numFmtId="0" fontId="18" fillId="3" borderId="2" xfId="0" applyFont="1" applyFill="1" applyBorder="1" applyAlignment="1">
      <alignment horizontal="center" vertical="center"/>
    </xf>
    <xf numFmtId="2" fontId="18" fillId="3" borderId="2" xfId="0" applyNumberFormat="1" applyFont="1" applyFill="1" applyBorder="1" applyAlignment="1">
      <alignment horizontal="center" vertical="center"/>
    </xf>
    <xf numFmtId="0" fontId="19" fillId="3" borderId="0" xfId="0" applyFont="1" applyFill="1" applyAlignment="1">
      <alignment vertical="center"/>
    </xf>
    <xf numFmtId="0" fontId="19" fillId="3" borderId="6" xfId="0" applyFont="1" applyFill="1" applyBorder="1" applyAlignment="1">
      <alignment vertical="center"/>
    </xf>
    <xf numFmtId="0" fontId="19" fillId="4" borderId="0" xfId="0" applyFont="1" applyFill="1" applyAlignment="1">
      <alignment vertical="center"/>
    </xf>
    <xf numFmtId="0" fontId="15" fillId="0" borderId="18" xfId="0" applyFont="1" applyBorder="1" applyAlignment="1">
      <alignment horizontal="left" vertical="top" wrapText="1"/>
    </xf>
    <xf numFmtId="0" fontId="15" fillId="0" borderId="19" xfId="0" applyFont="1" applyBorder="1" applyAlignment="1">
      <alignment horizontal="center" vertical="top" wrapText="1"/>
    </xf>
    <xf numFmtId="0" fontId="15" fillId="0" borderId="20" xfId="0" applyFont="1" applyBorder="1"/>
    <xf numFmtId="0" fontId="15" fillId="0" borderId="21" xfId="0" applyFont="1" applyBorder="1"/>
    <xf numFmtId="0" fontId="19" fillId="4" borderId="20" xfId="0" applyFont="1" applyFill="1" applyBorder="1" applyAlignment="1">
      <alignment vertical="center"/>
    </xf>
    <xf numFmtId="0" fontId="19" fillId="4" borderId="21" xfId="0" applyFont="1" applyFill="1" applyBorder="1" applyAlignment="1">
      <alignment vertical="center"/>
    </xf>
    <xf numFmtId="0" fontId="15" fillId="0" borderId="0" xfId="0" applyFont="1"/>
    <xf numFmtId="0" fontId="20" fillId="0" borderId="0" xfId="0" applyFont="1"/>
    <xf numFmtId="0" fontId="20" fillId="0" borderId="0" xfId="0" applyFont="1" applyAlignment="1">
      <alignment horizontal="center"/>
    </xf>
    <xf numFmtId="0" fontId="20" fillId="0" borderId="6" xfId="0" applyFont="1" applyBorder="1"/>
    <xf numFmtId="0" fontId="21" fillId="0" borderId="0" xfId="0" applyFont="1" applyAlignment="1">
      <alignment horizontal="right"/>
    </xf>
    <xf numFmtId="0" fontId="15" fillId="0" borderId="0" xfId="0" applyFont="1" applyAlignment="1">
      <alignment horizontal="center"/>
    </xf>
    <xf numFmtId="0" fontId="15" fillId="0" borderId="6" xfId="0" applyFont="1" applyBorder="1"/>
    <xf numFmtId="0" fontId="20" fillId="0" borderId="0" xfId="0" applyFont="1" applyAlignment="1">
      <alignment horizontal="left"/>
    </xf>
    <xf numFmtId="0" fontId="0" fillId="3" borderId="0" xfId="0" applyFill="1" applyAlignment="1">
      <alignment vertical="center" wrapText="1"/>
    </xf>
    <xf numFmtId="0" fontId="0" fillId="3" borderId="0" xfId="0" applyFill="1" applyAlignment="1">
      <alignment horizontal="center" vertical="center"/>
    </xf>
    <xf numFmtId="0" fontId="13" fillId="3" borderId="0" xfId="0" applyFont="1" applyFill="1" applyAlignment="1">
      <alignment vertical="center"/>
    </xf>
    <xf numFmtId="0" fontId="18" fillId="3" borderId="22" xfId="0" applyFont="1" applyFill="1" applyBorder="1" applyAlignment="1">
      <alignment horizontal="left" vertical="center" wrapText="1"/>
    </xf>
    <xf numFmtId="0" fontId="18" fillId="3" borderId="22" xfId="0" applyFont="1" applyFill="1" applyBorder="1" applyAlignment="1">
      <alignment horizontal="center" vertical="center" wrapText="1"/>
    </xf>
    <xf numFmtId="0" fontId="18" fillId="3" borderId="23" xfId="0" applyFont="1" applyFill="1" applyBorder="1" applyAlignment="1">
      <alignment horizontal="center" vertical="center" wrapText="1"/>
    </xf>
    <xf numFmtId="0" fontId="18" fillId="3" borderId="3" xfId="0" applyFont="1" applyFill="1" applyBorder="1" applyAlignment="1">
      <alignment vertical="center" wrapText="1"/>
    </xf>
    <xf numFmtId="0" fontId="18" fillId="3" borderId="1" xfId="0" applyFont="1" applyFill="1" applyBorder="1" applyAlignment="1">
      <alignment vertical="center" wrapText="1"/>
    </xf>
    <xf numFmtId="0" fontId="18" fillId="0" borderId="15" xfId="0" applyFont="1" applyBorder="1" applyAlignment="1">
      <alignment horizontal="center" vertical="center" wrapText="1"/>
    </xf>
    <xf numFmtId="0" fontId="18" fillId="0" borderId="9" xfId="0" applyFont="1" applyBorder="1" applyAlignment="1">
      <alignment vertical="center" wrapText="1"/>
    </xf>
    <xf numFmtId="0" fontId="18" fillId="0" borderId="5" xfId="0" applyFont="1" applyBorder="1" applyAlignment="1">
      <alignment horizontal="left"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0" borderId="24" xfId="0" applyNumberFormat="1" applyFont="1" applyBorder="1" applyAlignment="1">
      <alignment horizontal="center" vertical="center" wrapText="1"/>
    </xf>
    <xf numFmtId="0" fontId="13" fillId="0" borderId="9" xfId="0" applyFont="1" applyBorder="1" applyAlignment="1">
      <alignment horizontal="center" vertical="center" wrapText="1"/>
    </xf>
    <xf numFmtId="0" fontId="13" fillId="0" borderId="9" xfId="0" applyFont="1" applyBorder="1" applyAlignment="1">
      <alignment vertical="center" wrapText="1"/>
    </xf>
    <xf numFmtId="0" fontId="13" fillId="0" borderId="1" xfId="0" applyFont="1" applyBorder="1" applyAlignment="1">
      <alignment horizontal="left" vertical="center" wrapText="1"/>
    </xf>
    <xf numFmtId="0" fontId="13" fillId="0" borderId="1" xfId="0" applyFont="1" applyBorder="1" applyAlignment="1">
      <alignment horizontal="center" vertical="center" wrapText="1"/>
    </xf>
    <xf numFmtId="2" fontId="13" fillId="0" borderId="1" xfId="0" applyNumberFormat="1" applyFont="1" applyBorder="1" applyAlignment="1">
      <alignment horizontal="center" vertical="center" wrapText="1"/>
    </xf>
    <xf numFmtId="2" fontId="13" fillId="0" borderId="13" xfId="0" applyNumberFormat="1" applyFont="1" applyBorder="1" applyAlignment="1">
      <alignment horizontal="center" vertical="center" wrapText="1"/>
    </xf>
    <xf numFmtId="166" fontId="13" fillId="0" borderId="1" xfId="0" applyNumberFormat="1" applyFont="1" applyBorder="1" applyAlignment="1">
      <alignment horizontal="center" vertical="center" wrapText="1"/>
    </xf>
    <xf numFmtId="0" fontId="18" fillId="0" borderId="1" xfId="0" applyFont="1" applyBorder="1" applyAlignment="1">
      <alignment horizontal="left" vertical="center" wrapText="1"/>
    </xf>
    <xf numFmtId="0" fontId="13" fillId="0" borderId="13" xfId="0" applyFont="1" applyBorder="1" applyAlignment="1">
      <alignment horizontal="center" vertical="center" wrapText="1"/>
    </xf>
    <xf numFmtId="0" fontId="18" fillId="0" borderId="1" xfId="0" applyFont="1" applyBorder="1" applyAlignment="1">
      <alignment horizontal="center" vertical="center" wrapText="1"/>
    </xf>
    <xf numFmtId="2" fontId="18" fillId="0" borderId="1" xfId="0" applyNumberFormat="1" applyFont="1" applyBorder="1" applyAlignment="1">
      <alignment horizontal="center" vertical="center" wrapText="1"/>
    </xf>
    <xf numFmtId="2" fontId="18" fillId="0" borderId="13" xfId="0" applyNumberFormat="1" applyFont="1" applyBorder="1" applyAlignment="1">
      <alignment horizontal="center" vertical="center" wrapText="1"/>
    </xf>
    <xf numFmtId="0" fontId="13" fillId="3" borderId="9" xfId="0" applyFont="1" applyFill="1" applyBorder="1" applyAlignment="1">
      <alignment vertical="center" wrapText="1"/>
    </xf>
    <xf numFmtId="1" fontId="13" fillId="0" borderId="1" xfId="0" applyNumberFormat="1" applyFont="1" applyBorder="1" applyAlignment="1">
      <alignment horizontal="center" vertical="center" wrapText="1"/>
    </xf>
    <xf numFmtId="1" fontId="13" fillId="0" borderId="13" xfId="0" applyNumberFormat="1" applyFont="1" applyBorder="1" applyAlignment="1">
      <alignment horizontal="center" vertical="center" wrapText="1"/>
    </xf>
    <xf numFmtId="165" fontId="13" fillId="0" borderId="1" xfId="0" applyNumberFormat="1" applyFont="1" applyBorder="1" applyAlignment="1">
      <alignment horizontal="center" vertical="center" wrapText="1"/>
    </xf>
    <xf numFmtId="165" fontId="13" fillId="0" borderId="13" xfId="0" applyNumberFormat="1" applyFont="1" applyBorder="1" applyAlignment="1">
      <alignment horizontal="center" vertical="center" wrapText="1"/>
    </xf>
    <xf numFmtId="0" fontId="16" fillId="0" borderId="1" xfId="0" applyFont="1" applyBorder="1" applyAlignment="1">
      <alignment horizontal="left" vertical="center" wrapText="1"/>
    </xf>
    <xf numFmtId="0" fontId="0" fillId="5" borderId="0" xfId="0" applyFill="1" applyAlignment="1">
      <alignment vertical="center"/>
    </xf>
    <xf numFmtId="0" fontId="0" fillId="4" borderId="0" xfId="0" applyFill="1" applyAlignment="1">
      <alignment vertical="center"/>
    </xf>
    <xf numFmtId="0" fontId="0" fillId="0" borderId="10" xfId="0" applyBorder="1" applyAlignment="1">
      <alignment horizontal="center" vertical="center"/>
    </xf>
    <xf numFmtId="0" fontId="15" fillId="0" borderId="10" xfId="0" applyFont="1" applyBorder="1" applyAlignment="1">
      <alignment horizontal="center" vertical="center"/>
    </xf>
    <xf numFmtId="0" fontId="15" fillId="0" borderId="0" xfId="0" applyFont="1" applyAlignment="1">
      <alignment horizontal="right" vertical="center"/>
    </xf>
    <xf numFmtId="0" fontId="15" fillId="0" borderId="0" xfId="0" applyFont="1" applyAlignment="1">
      <alignment vertical="center"/>
    </xf>
    <xf numFmtId="0" fontId="15" fillId="0" borderId="0" xfId="0" applyFont="1" applyAlignment="1">
      <alignment horizontal="center" vertical="center"/>
    </xf>
    <xf numFmtId="0" fontId="15" fillId="0" borderId="6" xfId="0" applyFont="1" applyBorder="1" applyAlignment="1">
      <alignment vertical="center"/>
    </xf>
    <xf numFmtId="0" fontId="15" fillId="0" borderId="6" xfId="0" applyFont="1" applyBorder="1" applyAlignment="1">
      <alignment horizontal="right" vertical="center"/>
    </xf>
    <xf numFmtId="0" fontId="15" fillId="0" borderId="0" xfId="0" applyFont="1" applyAlignment="1">
      <alignment horizontal="left" vertical="center"/>
    </xf>
    <xf numFmtId="0" fontId="0" fillId="0" borderId="25" xfId="0" applyBorder="1" applyAlignment="1">
      <alignment horizontal="center" vertical="center"/>
    </xf>
    <xf numFmtId="0" fontId="0" fillId="0" borderId="20" xfId="0" applyBorder="1" applyAlignment="1">
      <alignment vertical="center"/>
    </xf>
    <xf numFmtId="0" fontId="0" fillId="0" borderId="20" xfId="0" applyBorder="1" applyAlignment="1">
      <alignment horizontal="center" vertical="center"/>
    </xf>
    <xf numFmtId="0" fontId="0" fillId="0" borderId="21" xfId="0" applyBorder="1" applyAlignment="1">
      <alignment vertical="center"/>
    </xf>
    <xf numFmtId="0" fontId="22" fillId="0" borderId="0" xfId="0" applyFont="1"/>
    <xf numFmtId="0" fontId="23" fillId="0" borderId="0" xfId="0" applyFont="1"/>
    <xf numFmtId="0" fontId="0" fillId="0" borderId="26" xfId="0" applyBorder="1" applyAlignment="1">
      <alignment horizontal="center"/>
    </xf>
    <xf numFmtId="0" fontId="0" fillId="0" borderId="3" xfId="0" applyBorder="1" applyAlignment="1">
      <alignment horizontal="center"/>
    </xf>
    <xf numFmtId="0" fontId="0" fillId="0" borderId="1" xfId="0" applyBorder="1" applyAlignment="1">
      <alignment horizontal="center" vertical="top"/>
    </xf>
    <xf numFmtId="0" fontId="0" fillId="0" borderId="1" xfId="0" applyBorder="1" applyAlignment="1">
      <alignment horizontal="left" vertical="top"/>
    </xf>
    <xf numFmtId="1" fontId="0" fillId="0" borderId="1" xfId="0" applyNumberFormat="1" applyBorder="1" applyAlignment="1">
      <alignment horizontal="center" vertical="top"/>
    </xf>
    <xf numFmtId="1" fontId="0" fillId="0" borderId="1" xfId="0" applyNumberFormat="1" applyBorder="1" applyAlignment="1">
      <alignment horizontal="center"/>
    </xf>
    <xf numFmtId="1" fontId="0" fillId="0" borderId="1" xfId="0" applyNumberFormat="1" applyBorder="1" applyAlignment="1">
      <alignment horizontal="center" vertical="center"/>
    </xf>
    <xf numFmtId="1" fontId="9" fillId="2" borderId="1" xfId="0" applyNumberFormat="1" applyFont="1" applyFill="1" applyBorder="1" applyAlignment="1">
      <alignment horizontal="center"/>
    </xf>
    <xf numFmtId="1" fontId="9" fillId="2" borderId="1" xfId="0" applyNumberFormat="1" applyFont="1" applyFill="1" applyBorder="1" applyAlignment="1">
      <alignment horizontal="center" vertical="center"/>
    </xf>
    <xf numFmtId="166" fontId="0" fillId="0" borderId="1" xfId="0" applyNumberFormat="1" applyBorder="1" applyAlignment="1">
      <alignment horizontal="center"/>
    </xf>
    <xf numFmtId="0" fontId="24" fillId="0" borderId="1" xfId="0" applyFont="1" applyBorder="1" applyAlignment="1">
      <alignment horizontal="left" vertical="center"/>
    </xf>
    <xf numFmtId="0" fontId="23" fillId="0" borderId="0" xfId="0" applyFont="1" applyAlignment="1">
      <alignment vertical="center"/>
    </xf>
    <xf numFmtId="1" fontId="0" fillId="0" borderId="1" xfId="0" applyNumberFormat="1" applyBorder="1" applyAlignment="1">
      <alignment horizontal="center" vertical="center" wrapText="1"/>
    </xf>
    <xf numFmtId="165" fontId="0" fillId="0" borderId="1" xfId="0" applyNumberFormat="1" applyBorder="1" applyAlignment="1">
      <alignment horizontal="center" vertical="center" wrapText="1"/>
    </xf>
    <xf numFmtId="2" fontId="0" fillId="0" borderId="1" xfId="0" applyNumberFormat="1" applyBorder="1" applyAlignment="1">
      <alignment horizontal="center" vertical="center" wrapText="1"/>
    </xf>
    <xf numFmtId="1" fontId="9" fillId="2" borderId="1" xfId="0" applyNumberFormat="1" applyFont="1" applyFill="1" applyBorder="1" applyAlignment="1">
      <alignment horizontal="center" vertical="center" wrapText="1"/>
    </xf>
    <xf numFmtId="0" fontId="0" fillId="0" borderId="0" xfId="0" applyAlignment="1">
      <alignment vertical="center" wrapText="1"/>
    </xf>
    <xf numFmtId="0" fontId="9" fillId="3" borderId="1" xfId="0" applyFont="1" applyFill="1" applyBorder="1" applyAlignment="1">
      <alignment horizontal="left" vertical="center"/>
    </xf>
    <xf numFmtId="2" fontId="9" fillId="3" borderId="1" xfId="0" applyNumberFormat="1" applyFont="1" applyFill="1" applyBorder="1" applyAlignment="1">
      <alignment horizontal="center" vertical="center"/>
    </xf>
    <xf numFmtId="0" fontId="9" fillId="0" borderId="0" xfId="0" applyFont="1" applyAlignment="1">
      <alignment vertical="center"/>
    </xf>
    <xf numFmtId="0" fontId="25" fillId="0" borderId="1" xfId="0" applyFont="1" applyBorder="1" applyAlignment="1">
      <alignment vertical="center" wrapText="1"/>
    </xf>
    <xf numFmtId="0" fontId="0" fillId="3" borderId="1" xfId="0" applyFill="1" applyBorder="1" applyAlignment="1">
      <alignment horizontal="left" vertical="center"/>
    </xf>
    <xf numFmtId="0" fontId="9" fillId="3" borderId="1" xfId="0" applyFont="1" applyFill="1" applyBorder="1" applyAlignment="1">
      <alignment horizontal="left" vertical="center" wrapText="1"/>
    </xf>
    <xf numFmtId="0" fontId="9" fillId="0" borderId="1" xfId="0" applyFont="1" applyBorder="1" applyAlignment="1">
      <alignment horizontal="left" vertical="center" wrapText="1"/>
    </xf>
    <xf numFmtId="2" fontId="9" fillId="0" borderId="1" xfId="0" applyNumberFormat="1" applyFont="1" applyBorder="1" applyAlignment="1">
      <alignment horizontal="center" vertical="center"/>
    </xf>
    <xf numFmtId="2" fontId="7" fillId="0" borderId="1" xfId="4" applyNumberFormat="1" applyFont="1" applyBorder="1" applyAlignment="1">
      <alignment horizontal="center" vertical="center"/>
    </xf>
    <xf numFmtId="2" fontId="9" fillId="2" borderId="1" xfId="0" applyNumberFormat="1" applyFont="1" applyFill="1" applyBorder="1" applyAlignment="1">
      <alignment horizontal="left" vertical="center" wrapText="1"/>
    </xf>
    <xf numFmtId="2" fontId="9" fillId="2" borderId="1" xfId="0" applyNumberFormat="1" applyFont="1" applyFill="1" applyBorder="1" applyAlignment="1">
      <alignment horizontal="center" vertical="center" wrapText="1"/>
    </xf>
    <xf numFmtId="2" fontId="0" fillId="0" borderId="1" xfId="0" applyNumberFormat="1" applyBorder="1" applyAlignment="1">
      <alignment horizontal="left" vertical="center"/>
    </xf>
    <xf numFmtId="2" fontId="0" fillId="0" borderId="1" xfId="0" applyNumberFormat="1" applyBorder="1" applyAlignment="1">
      <alignment horizontal="left" vertical="center" wrapText="1"/>
    </xf>
    <xf numFmtId="1" fontId="0" fillId="0" borderId="27" xfId="0" applyNumberFormat="1" applyBorder="1" applyAlignment="1">
      <alignment horizontal="center" vertical="center"/>
    </xf>
    <xf numFmtId="0" fontId="13" fillId="0" borderId="1" xfId="0" applyFont="1" applyBorder="1" applyAlignment="1">
      <alignment vertical="center" wrapText="1"/>
    </xf>
    <xf numFmtId="0" fontId="13" fillId="3" borderId="1" xfId="0" applyFont="1" applyFill="1" applyBorder="1" applyAlignment="1">
      <alignment horizontal="left" vertical="center" wrapText="1"/>
    </xf>
    <xf numFmtId="1" fontId="0" fillId="0" borderId="0" xfId="0" applyNumberFormat="1" applyAlignment="1">
      <alignment horizontal="center" vertical="center"/>
    </xf>
    <xf numFmtId="2" fontId="0" fillId="0" borderId="0" xfId="0" applyNumberFormat="1" applyAlignment="1">
      <alignment vertical="center"/>
    </xf>
    <xf numFmtId="0" fontId="0" fillId="2" borderId="1" xfId="0" applyFill="1" applyBorder="1"/>
    <xf numFmtId="0" fontId="0" fillId="2" borderId="1" xfId="0" applyFill="1" applyBorder="1" applyAlignment="1">
      <alignment horizontal="center"/>
    </xf>
    <xf numFmtId="0" fontId="9" fillId="2" borderId="2" xfId="0" applyFont="1" applyFill="1" applyBorder="1" applyAlignment="1">
      <alignment horizontal="center" vertical="top" wrapText="1"/>
    </xf>
    <xf numFmtId="0" fontId="9" fillId="2" borderId="5" xfId="0" applyFont="1" applyFill="1" applyBorder="1" applyAlignment="1">
      <alignment horizontal="center" vertical="top" wrapText="1"/>
    </xf>
    <xf numFmtId="2" fontId="9" fillId="0" borderId="1" xfId="0" applyNumberFormat="1" applyFont="1" applyBorder="1" applyAlignment="1">
      <alignment horizontal="left" vertical="center" wrapText="1"/>
    </xf>
    <xf numFmtId="2" fontId="9" fillId="0" borderId="1" xfId="0" applyNumberFormat="1" applyFont="1" applyBorder="1" applyAlignment="1">
      <alignment horizontal="left" vertical="center"/>
    </xf>
    <xf numFmtId="166" fontId="0" fillId="0" borderId="1" xfId="0" applyNumberFormat="1" applyBorder="1" applyAlignment="1">
      <alignment horizontal="center" vertical="center"/>
    </xf>
    <xf numFmtId="0" fontId="9" fillId="0" borderId="1" xfId="0" applyFont="1" applyBorder="1" applyAlignment="1">
      <alignment horizontal="center" vertical="center" wrapText="1"/>
    </xf>
    <xf numFmtId="0" fontId="13" fillId="3" borderId="9" xfId="0" applyFont="1" applyFill="1" applyBorder="1" applyAlignment="1">
      <alignment wrapText="1"/>
    </xf>
    <xf numFmtId="0" fontId="13" fillId="3" borderId="1" xfId="0" applyFont="1" applyFill="1" applyBorder="1" applyAlignment="1">
      <alignment horizontal="center" wrapText="1"/>
    </xf>
    <xf numFmtId="2" fontId="13" fillId="3" borderId="27" xfId="0" applyNumberFormat="1" applyFont="1" applyFill="1" applyBorder="1" applyAlignment="1">
      <alignment horizontal="center" wrapText="1"/>
    </xf>
    <xf numFmtId="0" fontId="15" fillId="2" borderId="9" xfId="0" applyFont="1" applyFill="1" applyBorder="1" applyAlignment="1">
      <alignment horizontal="center" vertical="center"/>
    </xf>
    <xf numFmtId="0" fontId="18" fillId="0" borderId="1" xfId="0" applyFont="1" applyBorder="1" applyAlignment="1">
      <alignment vertical="center" wrapText="1"/>
    </xf>
    <xf numFmtId="0" fontId="18" fillId="2" borderId="14" xfId="0" applyFont="1" applyFill="1" applyBorder="1" applyAlignment="1">
      <alignment horizontal="center" vertical="center" wrapText="1"/>
    </xf>
    <xf numFmtId="0" fontId="18" fillId="2" borderId="14" xfId="0" applyFont="1" applyFill="1" applyBorder="1" applyAlignment="1">
      <alignment vertical="center" wrapText="1"/>
    </xf>
    <xf numFmtId="0" fontId="18" fillId="2" borderId="2" xfId="0" applyFont="1" applyFill="1" applyBorder="1" applyAlignment="1">
      <alignment horizontal="left" vertical="center" wrapText="1"/>
    </xf>
    <xf numFmtId="2" fontId="18" fillId="2" borderId="2" xfId="0" applyNumberFormat="1" applyFont="1" applyFill="1" applyBorder="1" applyAlignment="1">
      <alignment horizontal="center" vertical="center" wrapText="1"/>
    </xf>
    <xf numFmtId="0" fontId="9" fillId="4" borderId="0" xfId="0" applyFont="1" applyFill="1" applyAlignment="1">
      <alignment vertical="center"/>
    </xf>
    <xf numFmtId="0" fontId="0" fillId="0" borderId="2" xfId="0" applyBorder="1" applyAlignment="1">
      <alignment horizontal="center" vertical="center" wrapText="1"/>
    </xf>
    <xf numFmtId="0" fontId="0" fillId="0" borderId="2" xfId="0" applyBorder="1" applyAlignment="1">
      <alignment vertical="center" wrapText="1"/>
    </xf>
    <xf numFmtId="2" fontId="0" fillId="0" borderId="2" xfId="0" applyNumberFormat="1" applyBorder="1" applyAlignment="1">
      <alignment horizontal="center" vertical="center" wrapText="1"/>
    </xf>
    <xf numFmtId="0" fontId="0" fillId="2" borderId="2" xfId="0" applyFill="1" applyBorder="1" applyAlignment="1">
      <alignment horizontal="center" vertical="center" wrapText="1"/>
    </xf>
    <xf numFmtId="0" fontId="0" fillId="2" borderId="2" xfId="0" applyFill="1" applyBorder="1" applyAlignment="1">
      <alignment vertical="center" wrapText="1"/>
    </xf>
    <xf numFmtId="2" fontId="0" fillId="2" borderId="2" xfId="0" applyNumberFormat="1" applyFill="1" applyBorder="1" applyAlignment="1">
      <alignment horizontal="center" vertical="center" wrapText="1"/>
    </xf>
    <xf numFmtId="0" fontId="0" fillId="0" borderId="5" xfId="0" applyBorder="1" applyAlignment="1">
      <alignment vertical="center" wrapText="1"/>
    </xf>
    <xf numFmtId="1" fontId="0" fillId="0" borderId="5" xfId="0" applyNumberFormat="1" applyBorder="1" applyAlignment="1">
      <alignment horizontal="center" vertical="center" wrapText="1"/>
    </xf>
    <xf numFmtId="0" fontId="9" fillId="2" borderId="2" xfId="0" applyFont="1" applyFill="1" applyBorder="1" applyAlignment="1" applyProtection="1">
      <alignment vertical="center" wrapText="1"/>
      <protection locked="0"/>
    </xf>
    <xf numFmtId="0" fontId="9" fillId="2" borderId="5" xfId="0" applyFont="1" applyFill="1" applyBorder="1" applyAlignment="1">
      <alignment vertical="center" wrapText="1"/>
    </xf>
    <xf numFmtId="164" fontId="0" fillId="0" borderId="2" xfId="0" applyNumberFormat="1" applyBorder="1" applyAlignment="1">
      <alignment horizontal="center" vertical="center" wrapText="1"/>
    </xf>
    <xf numFmtId="164" fontId="0" fillId="0" borderId="0" xfId="0" applyNumberFormat="1" applyAlignment="1">
      <alignment vertical="center"/>
    </xf>
    <xf numFmtId="165" fontId="0" fillId="0" borderId="1" xfId="0" applyNumberFormat="1" applyBorder="1" applyAlignment="1">
      <alignment horizontal="center" vertical="center"/>
    </xf>
    <xf numFmtId="0" fontId="0" fillId="0" borderId="1" xfId="0" applyBorder="1" applyAlignment="1" applyProtection="1">
      <alignment horizontal="left" vertical="center"/>
      <protection locked="0"/>
    </xf>
    <xf numFmtId="0" fontId="18" fillId="0" borderId="9" xfId="0" applyFont="1" applyBorder="1" applyAlignment="1">
      <alignment horizontal="center" vertical="center" wrapText="1"/>
    </xf>
    <xf numFmtId="0" fontId="8" fillId="0" borderId="0" xfId="0" applyFont="1" applyAlignment="1">
      <alignment horizontal="center" vertical="center"/>
    </xf>
    <xf numFmtId="0" fontId="0" fillId="0" borderId="1" xfId="0" applyBorder="1"/>
    <xf numFmtId="0" fontId="0" fillId="0" borderId="1" xfId="0" applyBorder="1" applyAlignment="1">
      <alignment vertical="top"/>
    </xf>
    <xf numFmtId="0" fontId="26" fillId="0" borderId="1" xfId="0" applyFont="1" applyBorder="1" applyAlignment="1">
      <alignment vertical="top" wrapText="1"/>
    </xf>
    <xf numFmtId="0" fontId="0" fillId="0" borderId="0" xfId="0" applyAlignment="1">
      <alignment vertical="top" wrapText="1"/>
    </xf>
    <xf numFmtId="0" fontId="14" fillId="6" borderId="1" xfId="0" applyFont="1" applyFill="1" applyBorder="1" applyAlignment="1">
      <alignment horizontal="center" vertical="center" wrapText="1"/>
    </xf>
    <xf numFmtId="0" fontId="9" fillId="6" borderId="1" xfId="0" applyFont="1" applyFill="1" applyBorder="1" applyAlignment="1">
      <alignment horizontal="center" vertical="top" wrapText="1"/>
    </xf>
    <xf numFmtId="0" fontId="9" fillId="0" borderId="0" xfId="0" applyFont="1" applyAlignment="1">
      <alignment horizontal="center" vertical="top" wrapText="1"/>
    </xf>
    <xf numFmtId="0" fontId="9" fillId="0" borderId="1" xfId="0" applyFont="1" applyBorder="1" applyAlignment="1">
      <alignment vertical="center" wrapText="1"/>
    </xf>
    <xf numFmtId="0" fontId="27" fillId="0" borderId="1" xfId="0" applyFont="1" applyBorder="1" applyAlignment="1">
      <alignment vertical="top" wrapText="1"/>
    </xf>
    <xf numFmtId="0" fontId="0" fillId="0" borderId="1" xfId="0" applyBorder="1" applyAlignment="1">
      <alignment vertical="top" wrapText="1"/>
    </xf>
    <xf numFmtId="0" fontId="0" fillId="0" borderId="1" xfId="0" applyBorder="1" applyAlignment="1">
      <alignment horizontal="left" vertical="top" wrapText="1"/>
    </xf>
    <xf numFmtId="0" fontId="9" fillId="0" borderId="1" xfId="0" applyFont="1" applyBorder="1" applyAlignment="1">
      <alignment vertical="top"/>
    </xf>
    <xf numFmtId="0" fontId="28" fillId="0" borderId="1" xfId="0" applyFont="1" applyBorder="1" applyAlignment="1">
      <alignment vertical="top" wrapText="1"/>
    </xf>
    <xf numFmtId="0" fontId="9" fillId="0" borderId="0" xfId="0" applyFont="1"/>
    <xf numFmtId="0" fontId="9" fillId="0" borderId="1" xfId="0" applyFont="1" applyBorder="1" applyAlignment="1">
      <alignment horizontal="center"/>
    </xf>
    <xf numFmtId="0" fontId="9" fillId="3" borderId="1" xfId="0" applyFont="1" applyFill="1" applyBorder="1" applyAlignment="1">
      <alignment vertical="center" wrapText="1"/>
    </xf>
    <xf numFmtId="0" fontId="26" fillId="0" borderId="5" xfId="0" applyFont="1" applyBorder="1" applyAlignment="1">
      <alignment vertical="top" wrapText="1"/>
    </xf>
    <xf numFmtId="0" fontId="0" fillId="3" borderId="1" xfId="0" applyFill="1" applyBorder="1" applyAlignment="1">
      <alignment vertical="center" wrapText="1"/>
    </xf>
    <xf numFmtId="0" fontId="0" fillId="0" borderId="0" xfId="0" applyAlignment="1">
      <alignment horizontal="left" vertical="top" wrapText="1"/>
    </xf>
    <xf numFmtId="0" fontId="26" fillId="0" borderId="1" xfId="0" applyFont="1" applyBorder="1" applyAlignment="1">
      <alignment horizontal="left" vertical="top" wrapText="1"/>
    </xf>
    <xf numFmtId="0" fontId="9" fillId="3" borderId="1" xfId="0" applyFont="1" applyFill="1" applyBorder="1" applyAlignment="1">
      <alignment horizontal="center" vertical="center"/>
    </xf>
    <xf numFmtId="0" fontId="9" fillId="0" borderId="1" xfId="0" applyFont="1" applyBorder="1"/>
    <xf numFmtId="0" fontId="0" fillId="0" borderId="1" xfId="0" applyBorder="1" applyAlignment="1">
      <alignment wrapText="1"/>
    </xf>
    <xf numFmtId="0" fontId="0" fillId="0" borderId="1" xfId="0" applyBorder="1" applyAlignment="1">
      <alignment horizontal="left" wrapText="1"/>
    </xf>
    <xf numFmtId="0" fontId="9" fillId="0" borderId="1" xfId="0" applyFont="1" applyBorder="1" applyAlignment="1">
      <alignment horizontal="left" wrapText="1"/>
    </xf>
    <xf numFmtId="0" fontId="0" fillId="0" borderId="1" xfId="0" applyBorder="1" applyAlignment="1">
      <alignment horizontal="left"/>
    </xf>
    <xf numFmtId="0" fontId="26" fillId="0" borderId="0" xfId="0" applyFont="1" applyAlignment="1">
      <alignment vertical="top" wrapText="1"/>
    </xf>
    <xf numFmtId="0" fontId="9" fillId="2" borderId="8" xfId="0" applyFont="1" applyFill="1" applyBorder="1" applyAlignment="1">
      <alignment horizontal="center" vertical="center" wrapText="1"/>
    </xf>
    <xf numFmtId="0" fontId="0" fillId="2" borderId="1" xfId="0" applyFill="1" applyBorder="1" applyAlignment="1">
      <alignment horizontal="left" vertical="center"/>
    </xf>
    <xf numFmtId="0" fontId="0" fillId="2" borderId="1" xfId="0" applyFill="1" applyBorder="1" applyAlignment="1">
      <alignment vertical="center"/>
    </xf>
    <xf numFmtId="0" fontId="0" fillId="2" borderId="19" xfId="0" applyFill="1" applyBorder="1" applyAlignment="1">
      <alignment vertical="center"/>
    </xf>
    <xf numFmtId="0" fontId="0" fillId="0" borderId="8" xfId="0" applyBorder="1" applyAlignment="1">
      <alignment horizontal="center" vertical="center"/>
    </xf>
    <xf numFmtId="0" fontId="0" fillId="2" borderId="1" xfId="0" applyFill="1" applyBorder="1" applyAlignment="1">
      <alignment horizontal="center" vertical="center"/>
    </xf>
    <xf numFmtId="0" fontId="0" fillId="2" borderId="1" xfId="0" applyFill="1" applyBorder="1" applyAlignment="1">
      <alignment horizontal="center" vertical="center" wrapText="1"/>
    </xf>
    <xf numFmtId="2" fontId="9" fillId="2" borderId="1" xfId="0" applyNumberFormat="1" applyFont="1" applyFill="1" applyBorder="1" applyAlignment="1">
      <alignment vertical="center" wrapText="1"/>
    </xf>
    <xf numFmtId="0" fontId="0" fillId="0" borderId="1" xfId="0" applyBorder="1" applyAlignment="1" applyProtection="1">
      <alignment horizontal="center"/>
      <protection locked="0"/>
    </xf>
    <xf numFmtId="0" fontId="0" fillId="0" borderId="1" xfId="0" applyBorder="1" applyProtection="1">
      <protection locked="0"/>
    </xf>
    <xf numFmtId="0" fontId="0" fillId="0" borderId="1" xfId="0" applyBorder="1" applyAlignment="1" applyProtection="1">
      <alignment vertical="center"/>
      <protection locked="0"/>
    </xf>
    <xf numFmtId="0" fontId="18" fillId="0" borderId="8" xfId="0" applyFont="1" applyBorder="1" applyAlignment="1">
      <alignment horizontal="center" vertical="center" wrapText="1"/>
    </xf>
    <xf numFmtId="166" fontId="18" fillId="0" borderId="13" xfId="0" applyNumberFormat="1" applyFont="1" applyBorder="1" applyAlignment="1">
      <alignment horizontal="center" vertical="center" wrapText="1"/>
    </xf>
    <xf numFmtId="0" fontId="13" fillId="0" borderId="8" xfId="0" applyFont="1" applyBorder="1" applyAlignment="1">
      <alignment horizontal="center" vertical="center" wrapText="1"/>
    </xf>
    <xf numFmtId="166" fontId="13" fillId="0" borderId="13" xfId="0" applyNumberFormat="1" applyFont="1" applyBorder="1" applyAlignment="1">
      <alignment horizontal="center" vertical="center" wrapText="1"/>
    </xf>
    <xf numFmtId="0" fontId="23" fillId="0" borderId="1" xfId="0" applyFont="1" applyBorder="1" applyAlignment="1">
      <alignment horizontal="center" vertical="center"/>
    </xf>
    <xf numFmtId="2" fontId="0" fillId="0" borderId="2" xfId="0" applyNumberFormat="1" applyBorder="1" applyAlignment="1">
      <alignment horizontal="center" vertical="center"/>
    </xf>
    <xf numFmtId="0" fontId="0" fillId="3" borderId="2" xfId="0" applyFill="1" applyBorder="1" applyAlignment="1">
      <alignment vertical="center" wrapText="1"/>
    </xf>
    <xf numFmtId="0" fontId="0" fillId="0" borderId="5" xfId="0" applyBorder="1" applyAlignment="1">
      <alignment horizontal="left" vertical="center"/>
    </xf>
    <xf numFmtId="2" fontId="0" fillId="0" borderId="5" xfId="0" applyNumberFormat="1" applyBorder="1" applyAlignment="1">
      <alignment horizontal="center" vertical="center"/>
    </xf>
    <xf numFmtId="0" fontId="0" fillId="0" borderId="1" xfId="0" quotePrefix="1" applyBorder="1" applyAlignment="1">
      <alignment horizontal="left" vertical="center" wrapText="1"/>
    </xf>
    <xf numFmtId="0" fontId="0" fillId="2" borderId="1" xfId="0" applyFill="1" applyBorder="1" applyAlignment="1">
      <alignment horizontal="left" vertical="center" wrapText="1"/>
    </xf>
    <xf numFmtId="2" fontId="0" fillId="2" borderId="1" xfId="0" applyNumberFormat="1" applyFill="1" applyBorder="1" applyAlignment="1">
      <alignment horizontal="center" vertical="center"/>
    </xf>
    <xf numFmtId="2" fontId="9" fillId="2" borderId="1" xfId="0" applyNumberFormat="1" applyFont="1" applyFill="1" applyBorder="1" applyAlignment="1">
      <alignment horizontal="center" vertical="center"/>
    </xf>
    <xf numFmtId="1" fontId="0" fillId="0" borderId="1" xfId="0" applyNumberFormat="1" applyBorder="1" applyAlignment="1">
      <alignment vertical="center"/>
    </xf>
    <xf numFmtId="2" fontId="0" fillId="0" borderId="1" xfId="0" applyNumberFormat="1" applyBorder="1" applyAlignment="1">
      <alignment vertical="center"/>
    </xf>
    <xf numFmtId="1" fontId="9" fillId="2" borderId="1" xfId="0" applyNumberFormat="1" applyFont="1" applyFill="1" applyBorder="1" applyAlignment="1">
      <alignment vertical="center"/>
    </xf>
    <xf numFmtId="2" fontId="9" fillId="2" borderId="1" xfId="0" applyNumberFormat="1" applyFont="1" applyFill="1" applyBorder="1" applyAlignment="1">
      <alignment vertical="center"/>
    </xf>
    <xf numFmtId="2" fontId="9" fillId="2" borderId="27" xfId="0" applyNumberFormat="1" applyFont="1" applyFill="1" applyBorder="1" applyAlignment="1">
      <alignment horizontal="center" vertical="center"/>
    </xf>
    <xf numFmtId="2" fontId="9" fillId="2" borderId="26" xfId="0" applyNumberFormat="1" applyFont="1" applyFill="1" applyBorder="1" applyAlignment="1">
      <alignment vertical="center"/>
    </xf>
    <xf numFmtId="2" fontId="9" fillId="2" borderId="3" xfId="0" applyNumberFormat="1" applyFont="1" applyFill="1" applyBorder="1" applyAlignment="1">
      <alignment vertical="center"/>
    </xf>
    <xf numFmtId="0" fontId="29" fillId="0" borderId="0" xfId="0" applyFont="1" applyAlignment="1">
      <alignment horizontal="center" vertical="center"/>
    </xf>
    <xf numFmtId="0" fontId="29" fillId="0" borderId="0" xfId="0" applyFont="1" applyAlignment="1">
      <alignment vertical="center"/>
    </xf>
    <xf numFmtId="0" fontId="0" fillId="0" borderId="0" xfId="0" quotePrefix="1" applyAlignment="1">
      <alignment horizontal="center" vertical="center"/>
    </xf>
    <xf numFmtId="0" fontId="0" fillId="0" borderId="26" xfId="0" applyBorder="1" applyAlignment="1">
      <alignment horizontal="center" vertical="center"/>
    </xf>
    <xf numFmtId="0" fontId="15" fillId="0" borderId="0" xfId="0" applyFont="1" applyAlignment="1" applyProtection="1">
      <alignment horizontal="left" vertical="center"/>
      <protection locked="0"/>
    </xf>
    <xf numFmtId="0" fontId="15" fillId="3" borderId="1" xfId="0" applyFont="1" applyFill="1" applyBorder="1" applyAlignment="1">
      <alignment horizontal="left" vertical="center" wrapText="1"/>
    </xf>
    <xf numFmtId="2" fontId="16" fillId="0" borderId="13" xfId="0" applyNumberFormat="1" applyFont="1" applyBorder="1" applyAlignment="1">
      <alignment horizontal="center" vertical="center"/>
    </xf>
    <xf numFmtId="0" fontId="16" fillId="0" borderId="13" xfId="0" applyFont="1" applyBorder="1" applyAlignment="1">
      <alignment horizontal="center" vertical="center"/>
    </xf>
    <xf numFmtId="2" fontId="13" fillId="3" borderId="13" xfId="0" applyNumberFormat="1" applyFont="1" applyFill="1" applyBorder="1" applyAlignment="1">
      <alignment horizontal="center" wrapText="1"/>
    </xf>
    <xf numFmtId="0" fontId="0" fillId="3" borderId="13" xfId="0" applyFill="1" applyBorder="1" applyAlignment="1">
      <alignment horizontal="center"/>
    </xf>
    <xf numFmtId="165" fontId="0" fillId="3" borderId="13" xfId="0" applyNumberFormat="1" applyFill="1" applyBorder="1" applyAlignment="1">
      <alignment horizontal="center"/>
    </xf>
    <xf numFmtId="165" fontId="18" fillId="3" borderId="13" xfId="0" applyNumberFormat="1" applyFont="1" applyFill="1" applyBorder="1" applyAlignment="1">
      <alignment horizontal="center" vertical="center"/>
    </xf>
    <xf numFmtId="0" fontId="18" fillId="3" borderId="13" xfId="0" applyFont="1" applyFill="1" applyBorder="1" applyAlignment="1">
      <alignment horizontal="center" vertical="center" wrapText="1"/>
    </xf>
    <xf numFmtId="2" fontId="18" fillId="3" borderId="13" xfId="0" applyNumberFormat="1" applyFont="1" applyFill="1" applyBorder="1" applyAlignment="1">
      <alignment horizontal="center" vertical="center"/>
    </xf>
    <xf numFmtId="0" fontId="18" fillId="3" borderId="13" xfId="0" applyFont="1" applyFill="1" applyBorder="1" applyAlignment="1">
      <alignment horizontal="center" vertical="center"/>
    </xf>
    <xf numFmtId="2" fontId="15" fillId="3" borderId="13" xfId="0" applyNumberFormat="1" applyFont="1" applyFill="1" applyBorder="1" applyAlignment="1">
      <alignment horizontal="center" vertical="center"/>
    </xf>
    <xf numFmtId="2" fontId="15" fillId="3" borderId="32" xfId="0" applyNumberFormat="1" applyFont="1" applyFill="1" applyBorder="1" applyAlignment="1">
      <alignment horizontal="center" vertical="center"/>
    </xf>
    <xf numFmtId="2" fontId="18" fillId="3" borderId="32" xfId="0" applyNumberFormat="1" applyFont="1" applyFill="1" applyBorder="1" applyAlignment="1">
      <alignment horizontal="center" vertical="center"/>
    </xf>
    <xf numFmtId="0" fontId="15" fillId="0" borderId="33" xfId="0" applyFont="1" applyBorder="1" applyAlignment="1">
      <alignment horizontal="center" vertical="top" wrapText="1"/>
    </xf>
    <xf numFmtId="0" fontId="16" fillId="5" borderId="13" xfId="0" applyFont="1" applyFill="1" applyBorder="1" applyAlignment="1">
      <alignment horizontal="center" vertical="center"/>
    </xf>
    <xf numFmtId="2" fontId="0" fillId="5" borderId="1" xfId="0" applyNumberFormat="1" applyFill="1" applyBorder="1" applyAlignment="1">
      <alignment horizontal="center" vertical="center" wrapText="1"/>
    </xf>
    <xf numFmtId="2" fontId="13" fillId="5" borderId="13" xfId="0" applyNumberFormat="1" applyFont="1" applyFill="1" applyBorder="1" applyAlignment="1">
      <alignment horizontal="center" vertical="center" wrapText="1"/>
    </xf>
    <xf numFmtId="0" fontId="9" fillId="0" borderId="1" xfId="0" applyFont="1" applyBorder="1" applyAlignment="1">
      <alignment horizontal="left" vertical="top" wrapText="1"/>
    </xf>
    <xf numFmtId="0" fontId="28" fillId="0" borderId="1" xfId="0" applyFont="1" applyBorder="1" applyAlignment="1">
      <alignment horizontal="left" vertical="top" wrapText="1"/>
    </xf>
    <xf numFmtId="0" fontId="9" fillId="0" borderId="0" xfId="0" applyFont="1" applyAlignment="1">
      <alignment horizontal="left" vertical="top" wrapText="1"/>
    </xf>
    <xf numFmtId="0" fontId="14" fillId="6" borderId="1" xfId="0" applyFont="1" applyFill="1" applyBorder="1" applyAlignment="1">
      <alignment horizontal="left" vertical="center" wrapText="1"/>
    </xf>
    <xf numFmtId="0" fontId="0" fillId="0" borderId="3" xfId="0" applyBorder="1" applyAlignment="1">
      <alignment horizontal="center" vertical="center"/>
    </xf>
    <xf numFmtId="2" fontId="18" fillId="5" borderId="2" xfId="0" applyNumberFormat="1" applyFont="1" applyFill="1" applyBorder="1" applyAlignment="1">
      <alignment horizontal="center" vertical="center" wrapText="1"/>
    </xf>
    <xf numFmtId="0" fontId="18" fillId="5" borderId="1" xfId="0" applyFont="1" applyFill="1" applyBorder="1" applyAlignment="1">
      <alignment vertical="center" wrapText="1"/>
    </xf>
    <xf numFmtId="0" fontId="18" fillId="5" borderId="1" xfId="0" applyFont="1" applyFill="1" applyBorder="1" applyAlignment="1">
      <alignment horizontal="left" vertical="center" wrapText="1"/>
    </xf>
    <xf numFmtId="2" fontId="18" fillId="5" borderId="17" xfId="0" applyNumberFormat="1" applyFont="1" applyFill="1" applyBorder="1" applyAlignment="1">
      <alignment horizontal="center" vertical="center" wrapText="1"/>
    </xf>
    <xf numFmtId="0" fontId="18" fillId="5" borderId="1" xfId="0" applyFont="1" applyFill="1" applyBorder="1" applyAlignment="1">
      <alignment horizontal="center" vertical="center" wrapText="1"/>
    </xf>
    <xf numFmtId="2" fontId="18" fillId="5" borderId="1" xfId="0" applyNumberFormat="1" applyFont="1" applyFill="1" applyBorder="1" applyAlignment="1">
      <alignment horizontal="center" vertical="center" wrapText="1"/>
    </xf>
    <xf numFmtId="0" fontId="0" fillId="0" borderId="0" xfId="0" applyAlignment="1">
      <alignment horizontal="center" vertical="center" wrapText="1"/>
    </xf>
    <xf numFmtId="1" fontId="0" fillId="2" borderId="1" xfId="0" applyNumberFormat="1" applyFill="1" applyBorder="1" applyAlignment="1">
      <alignment horizontal="center" vertical="center"/>
    </xf>
    <xf numFmtId="0" fontId="13" fillId="2" borderId="1" xfId="0" applyFont="1" applyFill="1" applyBorder="1" applyAlignment="1">
      <alignment horizontal="left" vertical="center" wrapText="1"/>
    </xf>
    <xf numFmtId="2" fontId="0" fillId="2" borderId="1" xfId="0" applyNumberFormat="1" applyFill="1" applyBorder="1" applyAlignment="1">
      <alignment horizontal="left" vertical="center"/>
    </xf>
    <xf numFmtId="0" fontId="10" fillId="2" borderId="1" xfId="0" applyFont="1" applyFill="1" applyBorder="1" applyAlignment="1">
      <alignment horizontal="left" vertical="center"/>
    </xf>
    <xf numFmtId="0" fontId="10" fillId="2" borderId="1" xfId="0" applyFont="1" applyFill="1" applyBorder="1" applyAlignment="1">
      <alignment vertical="center" wrapText="1"/>
    </xf>
    <xf numFmtId="2" fontId="10" fillId="2" borderId="1" xfId="0" applyNumberFormat="1" applyFont="1" applyFill="1" applyBorder="1" applyAlignment="1">
      <alignment horizontal="center" vertical="center"/>
    </xf>
    <xf numFmtId="0" fontId="25" fillId="2" borderId="1" xfId="0" applyFont="1" applyFill="1" applyBorder="1" applyAlignment="1">
      <alignment vertical="center" wrapText="1"/>
    </xf>
    <xf numFmtId="0" fontId="0" fillId="2" borderId="0" xfId="0" applyFill="1" applyAlignment="1">
      <alignment vertical="center"/>
    </xf>
    <xf numFmtId="2" fontId="7" fillId="2" borderId="1" xfId="4" applyNumberFormat="1" applyFont="1" applyFill="1" applyBorder="1" applyAlignment="1">
      <alignment horizontal="center" vertical="center"/>
    </xf>
    <xf numFmtId="0" fontId="30" fillId="0" borderId="1" xfId="0" applyFont="1" applyBorder="1" applyAlignment="1">
      <alignment horizontal="center" vertical="center" wrapText="1"/>
    </xf>
    <xf numFmtId="0" fontId="30" fillId="0" borderId="1" xfId="0" applyFont="1" applyBorder="1" applyAlignment="1">
      <alignment vertical="center" wrapText="1"/>
    </xf>
    <xf numFmtId="0" fontId="30" fillId="0" borderId="1" xfId="0" applyFont="1" applyBorder="1" applyAlignment="1">
      <alignment horizontal="justify" vertical="center" wrapText="1"/>
    </xf>
    <xf numFmtId="0" fontId="31" fillId="0" borderId="1" xfId="0" applyFont="1" applyBorder="1" applyAlignment="1">
      <alignment horizontal="center" vertical="center" wrapText="1"/>
    </xf>
    <xf numFmtId="0" fontId="30" fillId="0" borderId="1" xfId="0" applyFont="1" applyBorder="1" applyAlignment="1">
      <alignment horizontal="center" vertical="center"/>
    </xf>
    <xf numFmtId="0" fontId="31" fillId="0" borderId="1" xfId="0" applyFont="1" applyBorder="1" applyAlignment="1">
      <alignment vertical="center" wrapText="1"/>
    </xf>
    <xf numFmtId="0" fontId="32" fillId="0" borderId="1" xfId="0" applyFont="1" applyBorder="1" applyAlignment="1">
      <alignment vertical="center" wrapText="1"/>
    </xf>
    <xf numFmtId="0" fontId="31" fillId="2" borderId="1" xfId="0" applyFont="1" applyFill="1" applyBorder="1" applyAlignment="1">
      <alignment horizontal="center" vertical="center" wrapText="1"/>
    </xf>
    <xf numFmtId="0" fontId="31" fillId="2" borderId="1" xfId="0" applyFont="1" applyFill="1" applyBorder="1" applyAlignment="1">
      <alignment vertical="center" wrapText="1"/>
    </xf>
    <xf numFmtId="0" fontId="9" fillId="2" borderId="16" xfId="0" applyFont="1" applyFill="1" applyBorder="1" applyAlignment="1">
      <alignment horizontal="center" vertical="center" wrapText="1"/>
    </xf>
    <xf numFmtId="2" fontId="30" fillId="0" borderId="1" xfId="0" applyNumberFormat="1" applyFont="1" applyBorder="1" applyAlignment="1">
      <alignment horizontal="center" vertical="center" wrapText="1"/>
    </xf>
    <xf numFmtId="0" fontId="0" fillId="0" borderId="1" xfId="0" quotePrefix="1" applyBorder="1" applyAlignment="1">
      <alignment horizontal="left" vertical="center"/>
    </xf>
    <xf numFmtId="1" fontId="0" fillId="2" borderId="27" xfId="0" applyNumberFormat="1" applyFill="1" applyBorder="1" applyAlignment="1">
      <alignment horizontal="center" vertical="center"/>
    </xf>
    <xf numFmtId="2" fontId="0" fillId="2" borderId="1" xfId="0" applyNumberFormat="1" applyFill="1" applyBorder="1" applyAlignment="1">
      <alignment horizontal="left" vertical="center" wrapText="1"/>
    </xf>
    <xf numFmtId="164" fontId="0" fillId="2" borderId="1" xfId="0" applyNumberFormat="1" applyFill="1" applyBorder="1" applyAlignment="1">
      <alignment horizontal="center" vertical="center"/>
    </xf>
    <xf numFmtId="2" fontId="0" fillId="2" borderId="2" xfId="0" applyNumberFormat="1" applyFill="1" applyBorder="1" applyAlignment="1">
      <alignment horizontal="left" vertical="center"/>
    </xf>
    <xf numFmtId="2" fontId="9" fillId="2" borderId="1" xfId="0" applyNumberFormat="1" applyFont="1" applyFill="1" applyBorder="1" applyAlignment="1">
      <alignment horizontal="left" vertical="center"/>
    </xf>
    <xf numFmtId="0" fontId="0" fillId="0" borderId="8" xfId="0" applyBorder="1" applyAlignment="1">
      <alignment horizontal="left" vertical="center" wrapText="1"/>
    </xf>
    <xf numFmtId="2" fontId="0" fillId="3" borderId="1" xfId="0" applyNumberFormat="1" applyFill="1" applyBorder="1" applyAlignment="1">
      <alignment horizontal="center" vertical="center"/>
    </xf>
    <xf numFmtId="2" fontId="0" fillId="3" borderId="13" xfId="0" applyNumberFormat="1" applyFill="1" applyBorder="1" applyAlignment="1">
      <alignment horizontal="center" vertical="center"/>
    </xf>
    <xf numFmtId="0" fontId="18" fillId="2" borderId="15" xfId="0" applyFont="1" applyFill="1" applyBorder="1" applyAlignment="1">
      <alignment horizontal="center" vertical="center" wrapText="1"/>
    </xf>
    <xf numFmtId="0" fontId="18" fillId="2" borderId="9" xfId="0" applyFont="1" applyFill="1" applyBorder="1" applyAlignment="1">
      <alignment vertical="center" wrapText="1"/>
    </xf>
    <xf numFmtId="0" fontId="18" fillId="2" borderId="5" xfId="0" applyFont="1" applyFill="1" applyBorder="1" applyAlignment="1">
      <alignment horizontal="left" vertical="center" wrapText="1"/>
    </xf>
    <xf numFmtId="0" fontId="18" fillId="2" borderId="5" xfId="0" applyFont="1" applyFill="1" applyBorder="1" applyAlignment="1">
      <alignment horizontal="center" vertical="center" wrapText="1"/>
    </xf>
    <xf numFmtId="2" fontId="18" fillId="2" borderId="5" xfId="0" applyNumberFormat="1" applyFont="1" applyFill="1" applyBorder="1" applyAlignment="1">
      <alignment horizontal="center" vertical="center" wrapText="1"/>
    </xf>
    <xf numFmtId="0" fontId="18" fillId="3" borderId="35" xfId="0" applyFont="1" applyFill="1" applyBorder="1" applyAlignment="1">
      <alignment horizontal="center" vertical="center" wrapText="1"/>
    </xf>
    <xf numFmtId="0" fontId="18" fillId="3" borderId="35" xfId="0" applyFont="1" applyFill="1" applyBorder="1" applyAlignment="1">
      <alignment horizontal="left" vertical="center" wrapText="1"/>
    </xf>
    <xf numFmtId="0" fontId="18" fillId="3" borderId="0" xfId="0" applyFont="1" applyFill="1" applyAlignment="1">
      <alignment vertical="center" wrapText="1"/>
    </xf>
    <xf numFmtId="0" fontId="30" fillId="2" borderId="1" xfId="0" applyFont="1" applyFill="1" applyBorder="1" applyAlignment="1">
      <alignment horizontal="center" vertical="center"/>
    </xf>
    <xf numFmtId="0" fontId="9" fillId="6" borderId="1" xfId="0" applyFont="1" applyFill="1" applyBorder="1" applyAlignment="1">
      <alignment horizontal="center" vertical="center"/>
    </xf>
    <xf numFmtId="0" fontId="28" fillId="6" borderId="1" xfId="0" applyFont="1" applyFill="1" applyBorder="1" applyAlignment="1">
      <alignment horizontal="center" vertical="center" wrapText="1"/>
    </xf>
    <xf numFmtId="0" fontId="31" fillId="2" borderId="1" xfId="0" applyFont="1" applyFill="1" applyBorder="1" applyAlignment="1">
      <alignment horizontal="center" vertical="center"/>
    </xf>
    <xf numFmtId="0" fontId="33" fillId="2" borderId="1" xfId="0"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quotePrefix="1" applyFont="1" applyFill="1" applyBorder="1" applyAlignment="1">
      <alignment horizontal="center" vertical="center" wrapText="1"/>
    </xf>
    <xf numFmtId="0" fontId="15" fillId="2" borderId="8"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15" fillId="2" borderId="1" xfId="0" applyFont="1" applyFill="1" applyBorder="1" applyAlignment="1">
      <alignment horizontal="center" vertical="center"/>
    </xf>
    <xf numFmtId="2" fontId="15" fillId="2" borderId="1" xfId="0" applyNumberFormat="1" applyFont="1" applyFill="1" applyBorder="1" applyAlignment="1">
      <alignment horizontal="center" vertical="center" wrapText="1"/>
    </xf>
    <xf numFmtId="0" fontId="18" fillId="3" borderId="3" xfId="0" applyFont="1" applyFill="1" applyBorder="1" applyAlignment="1">
      <alignment horizontal="center" vertical="center" wrapText="1"/>
    </xf>
    <xf numFmtId="0" fontId="35" fillId="0" borderId="0" xfId="0" applyFont="1" applyAlignment="1">
      <alignment horizontal="left" vertical="center"/>
    </xf>
    <xf numFmtId="0" fontId="34" fillId="0" borderId="0" xfId="0" applyFont="1" applyAlignment="1">
      <alignment horizontal="left" vertical="center" wrapText="1"/>
    </xf>
    <xf numFmtId="0" fontId="36" fillId="0" borderId="0" xfId="0" applyFont="1" applyAlignment="1">
      <alignment horizontal="center"/>
    </xf>
    <xf numFmtId="0" fontId="36" fillId="0" borderId="0" xfId="0" applyFont="1"/>
    <xf numFmtId="0" fontId="36" fillId="0" borderId="0" xfId="0" applyFont="1" applyAlignment="1">
      <alignment horizontal="center" vertical="center"/>
    </xf>
    <xf numFmtId="0" fontId="35" fillId="0" borderId="0" xfId="0" applyFont="1" applyAlignment="1">
      <alignment vertical="center"/>
    </xf>
    <xf numFmtId="0" fontId="36" fillId="0" borderId="0" xfId="0" applyFont="1" applyAlignment="1">
      <alignment wrapText="1"/>
    </xf>
    <xf numFmtId="0" fontId="35" fillId="0" borderId="0" xfId="0" applyFont="1" applyAlignment="1">
      <alignment horizontal="left" vertical="center" wrapText="1"/>
    </xf>
    <xf numFmtId="0" fontId="37" fillId="0" borderId="0" xfId="0" applyFont="1" applyAlignment="1">
      <alignment horizontal="center" vertical="center" wrapText="1"/>
    </xf>
    <xf numFmtId="0" fontId="36" fillId="0" borderId="0" xfId="0" applyFont="1" applyAlignment="1">
      <alignment horizontal="left" vertical="center" wrapText="1"/>
    </xf>
    <xf numFmtId="0" fontId="36" fillId="0" borderId="0" xfId="0" applyFont="1" applyAlignment="1">
      <alignment horizontal="center" vertical="center" wrapText="1"/>
    </xf>
    <xf numFmtId="164" fontId="30" fillId="0" borderId="1" xfId="0" applyNumberFormat="1" applyFont="1" applyBorder="1" applyAlignment="1">
      <alignment horizontal="center" vertical="center" wrapText="1"/>
    </xf>
    <xf numFmtId="167" fontId="30" fillId="0" borderId="1" xfId="0" applyNumberFormat="1" applyFont="1" applyBorder="1" applyAlignment="1">
      <alignment horizontal="center" vertical="center" wrapText="1"/>
    </xf>
    <xf numFmtId="164" fontId="18" fillId="5" borderId="1" xfId="0" applyNumberFormat="1" applyFont="1" applyFill="1" applyBorder="1" applyAlignment="1">
      <alignment horizontal="center" vertical="center" wrapText="1"/>
    </xf>
    <xf numFmtId="164" fontId="18" fillId="2" borderId="2" xfId="0" applyNumberFormat="1" applyFont="1" applyFill="1" applyBorder="1" applyAlignment="1">
      <alignment horizontal="center" vertical="center" wrapText="1"/>
    </xf>
    <xf numFmtId="0" fontId="2" fillId="2" borderId="1" xfId="0" applyFont="1" applyFill="1" applyBorder="1" applyAlignment="1" applyProtection="1">
      <alignment horizontal="center" vertical="center"/>
      <protection locked="0"/>
    </xf>
    <xf numFmtId="0" fontId="51" fillId="10" borderId="1" xfId="0" applyFont="1" applyFill="1" applyBorder="1" applyAlignment="1">
      <alignment horizontal="center" vertical="center" wrapText="1"/>
    </xf>
    <xf numFmtId="0" fontId="5" fillId="0" borderId="9" xfId="0" applyFont="1" applyBorder="1" applyAlignment="1">
      <alignment horizontal="left" vertical="center" wrapText="1"/>
    </xf>
    <xf numFmtId="0" fontId="1" fillId="0" borderId="1" xfId="0" applyFont="1" applyBorder="1" applyAlignment="1">
      <alignment horizontal="left" vertical="center" wrapText="1"/>
    </xf>
    <xf numFmtId="0" fontId="5" fillId="0" borderId="9" xfId="0" applyFont="1" applyBorder="1" applyAlignment="1">
      <alignment horizontal="center" vertical="center" wrapText="1"/>
    </xf>
    <xf numFmtId="0" fontId="0" fillId="0" borderId="1" xfId="0" quotePrefix="1" applyBorder="1" applyAlignment="1">
      <alignment horizontal="center" vertical="center" wrapText="1"/>
    </xf>
    <xf numFmtId="0" fontId="49" fillId="9" borderId="0" xfId="2"/>
    <xf numFmtId="165" fontId="49" fillId="9" borderId="0" xfId="2" applyNumberFormat="1"/>
    <xf numFmtId="0" fontId="51" fillId="10" borderId="8" xfId="0" applyFont="1" applyFill="1" applyBorder="1" applyAlignment="1">
      <alignment horizontal="center" vertical="center" wrapText="1"/>
    </xf>
    <xf numFmtId="2" fontId="51" fillId="10" borderId="13" xfId="0" applyNumberFormat="1" applyFont="1" applyFill="1" applyBorder="1" applyAlignment="1">
      <alignment horizontal="center" vertical="center" wrapText="1"/>
    </xf>
    <xf numFmtId="1" fontId="0" fillId="0" borderId="13" xfId="0" applyNumberFormat="1" applyBorder="1" applyAlignment="1">
      <alignment horizontal="center" vertical="center"/>
    </xf>
    <xf numFmtId="0" fontId="9" fillId="2" borderId="18" xfId="0" applyFont="1" applyFill="1" applyBorder="1" applyAlignment="1" applyProtection="1">
      <alignment horizontal="center" vertical="center" wrapText="1"/>
      <protection locked="0"/>
    </xf>
    <xf numFmtId="0" fontId="9" fillId="2" borderId="19" xfId="0" applyFont="1" applyFill="1" applyBorder="1" applyAlignment="1" applyProtection="1">
      <alignment vertical="center" wrapText="1"/>
      <protection locked="0"/>
    </xf>
    <xf numFmtId="0" fontId="9" fillId="2" borderId="19" xfId="0" applyFont="1" applyFill="1" applyBorder="1" applyAlignment="1" applyProtection="1">
      <alignment horizontal="center" vertical="center" wrapText="1"/>
      <protection locked="0"/>
    </xf>
    <xf numFmtId="0" fontId="5" fillId="0" borderId="9" xfId="0" applyFont="1" applyBorder="1" applyAlignment="1">
      <alignment vertical="center" wrapText="1"/>
    </xf>
    <xf numFmtId="0" fontId="5" fillId="0" borderId="1" xfId="0" applyFont="1" applyBorder="1" applyAlignment="1">
      <alignment horizontal="left" vertical="center" wrapText="1"/>
    </xf>
    <xf numFmtId="0" fontId="5" fillId="3" borderId="9" xfId="0" applyFont="1" applyFill="1" applyBorder="1" applyAlignment="1">
      <alignment horizontal="center" vertical="center" wrapText="1"/>
    </xf>
    <xf numFmtId="2" fontId="2" fillId="0" borderId="1" xfId="0" applyNumberFormat="1" applyFont="1" applyBorder="1" applyAlignment="1">
      <alignment horizontal="left" vertical="center" wrapText="1"/>
    </xf>
    <xf numFmtId="0" fontId="6" fillId="0" borderId="1" xfId="0" applyFont="1" applyBorder="1" applyAlignment="1">
      <alignment horizontal="left" vertical="center" wrapText="1"/>
    </xf>
    <xf numFmtId="0" fontId="2" fillId="0" borderId="31" xfId="0" applyFont="1" applyBorder="1" applyAlignment="1">
      <alignment horizontal="center" vertical="top" wrapText="1"/>
    </xf>
    <xf numFmtId="0" fontId="2" fillId="2" borderId="1" xfId="0" applyFont="1" applyFill="1" applyBorder="1" applyAlignment="1">
      <alignment horizontal="left" vertical="center" wrapText="1"/>
    </xf>
    <xf numFmtId="0" fontId="2" fillId="2" borderId="1" xfId="0" applyFont="1" applyFill="1" applyBorder="1" applyAlignment="1">
      <alignment horizontal="center" vertical="center"/>
    </xf>
    <xf numFmtId="0" fontId="2" fillId="0" borderId="1" xfId="0" applyFont="1" applyBorder="1" applyAlignment="1" applyProtection="1">
      <alignment horizontal="center" vertical="center"/>
      <protection locked="0"/>
    </xf>
    <xf numFmtId="0" fontId="0" fillId="0" borderId="19" xfId="0" applyBorder="1" applyAlignment="1" applyProtection="1">
      <alignment horizontal="left" vertical="center"/>
      <protection locked="0"/>
    </xf>
    <xf numFmtId="0" fontId="0" fillId="12" borderId="1" xfId="0" applyFill="1" applyBorder="1" applyAlignment="1">
      <alignment vertical="center" wrapText="1"/>
    </xf>
    <xf numFmtId="0" fontId="0" fillId="12" borderId="1" xfId="0" applyFill="1" applyBorder="1" applyAlignment="1">
      <alignment horizontal="center" vertical="center"/>
    </xf>
    <xf numFmtId="0" fontId="2" fillId="12" borderId="1" xfId="0" applyFont="1" applyFill="1" applyBorder="1" applyAlignment="1">
      <alignment horizontal="center" vertical="center"/>
    </xf>
    <xf numFmtId="0" fontId="2" fillId="2" borderId="1" xfId="0" applyFont="1" applyFill="1" applyBorder="1" applyAlignment="1">
      <alignment vertical="center" wrapText="1"/>
    </xf>
    <xf numFmtId="0" fontId="2" fillId="6"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13" borderId="1" xfId="0" applyFont="1" applyFill="1" applyBorder="1" applyAlignment="1">
      <alignment horizontal="center" vertical="center"/>
    </xf>
    <xf numFmtId="0" fontId="2" fillId="13" borderId="1" xfId="0" applyFont="1" applyFill="1" applyBorder="1" applyAlignment="1">
      <alignment vertical="center" wrapText="1"/>
    </xf>
    <xf numFmtId="0" fontId="0" fillId="13" borderId="1" xfId="0" applyFill="1" applyBorder="1"/>
    <xf numFmtId="0" fontId="0" fillId="13" borderId="0" xfId="0" applyFill="1"/>
    <xf numFmtId="0" fontId="2" fillId="6" borderId="1" xfId="0" applyFont="1" applyFill="1" applyBorder="1" applyAlignment="1">
      <alignment vertical="center" wrapText="1"/>
    </xf>
    <xf numFmtId="2" fontId="2" fillId="6"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2" fontId="2" fillId="2" borderId="1" xfId="0" applyNumberFormat="1" applyFont="1" applyFill="1" applyBorder="1" applyAlignment="1" applyProtection="1">
      <alignment horizontal="center" vertical="center"/>
      <protection locked="0"/>
    </xf>
    <xf numFmtId="2" fontId="2" fillId="2" borderId="1" xfId="0" applyNumberFormat="1" applyFont="1" applyFill="1" applyBorder="1" applyAlignment="1" applyProtection="1">
      <alignment horizontal="center" vertical="center" wrapText="1"/>
      <protection locked="0"/>
    </xf>
    <xf numFmtId="0" fontId="2" fillId="13" borderId="1" xfId="0" applyFont="1" applyFill="1" applyBorder="1" applyAlignment="1">
      <alignment vertical="center"/>
    </xf>
    <xf numFmtId="0" fontId="2" fillId="0" borderId="1" xfId="0" applyFont="1" applyBorder="1" applyAlignment="1">
      <alignment vertical="center"/>
    </xf>
    <xf numFmtId="168" fontId="2" fillId="12" borderId="1" xfId="6" applyNumberFormat="1" applyFont="1" applyFill="1" applyBorder="1" applyAlignment="1">
      <alignment horizontal="center" vertical="center"/>
    </xf>
    <xf numFmtId="169" fontId="2" fillId="12" borderId="1" xfId="6" applyNumberFormat="1" applyFont="1" applyFill="1" applyBorder="1" applyAlignment="1">
      <alignment horizontal="center" vertical="center"/>
    </xf>
    <xf numFmtId="43" fontId="2" fillId="12" borderId="1" xfId="6" applyFont="1" applyFill="1" applyBorder="1" applyAlignment="1">
      <alignment horizontal="center" vertical="center"/>
    </xf>
    <xf numFmtId="168" fontId="2" fillId="0" borderId="1" xfId="6" applyNumberFormat="1" applyFont="1" applyBorder="1" applyAlignment="1">
      <alignment horizontal="right" vertical="center"/>
    </xf>
    <xf numFmtId="165" fontId="2" fillId="0" borderId="1" xfId="0" applyNumberFormat="1" applyFont="1" applyBorder="1" applyAlignment="1">
      <alignment horizontal="right" vertical="center"/>
    </xf>
    <xf numFmtId="43" fontId="2" fillId="0" borderId="1" xfId="0" applyNumberFormat="1" applyFont="1" applyBorder="1" applyAlignment="1">
      <alignment horizontal="center" vertical="center"/>
    </xf>
    <xf numFmtId="43" fontId="2" fillId="0" borderId="1" xfId="0" applyNumberFormat="1" applyFont="1" applyBorder="1" applyAlignment="1">
      <alignment horizontal="right" vertical="center"/>
    </xf>
    <xf numFmtId="0" fontId="54" fillId="0" borderId="1" xfId="0" applyFont="1" applyBorder="1" applyAlignment="1">
      <alignment horizontal="center" vertical="center"/>
    </xf>
    <xf numFmtId="0" fontId="51" fillId="13" borderId="1" xfId="0" applyFont="1" applyFill="1" applyBorder="1" applyAlignment="1">
      <alignment horizontal="center" vertical="center" wrapText="1"/>
    </xf>
    <xf numFmtId="0" fontId="51" fillId="13" borderId="1" xfId="0" applyFont="1" applyFill="1" applyBorder="1" applyAlignment="1">
      <alignment vertical="center" wrapText="1"/>
    </xf>
    <xf numFmtId="0" fontId="2" fillId="13" borderId="1" xfId="0" applyFont="1" applyFill="1" applyBorder="1" applyAlignment="1">
      <alignment horizontal="center" vertical="center" wrapText="1"/>
    </xf>
    <xf numFmtId="0" fontId="0" fillId="13" borderId="1" xfId="0" applyFill="1" applyBorder="1" applyAlignment="1">
      <alignment horizontal="right" vertical="center" wrapText="1"/>
    </xf>
    <xf numFmtId="0" fontId="0" fillId="13" borderId="1" xfId="0" applyFill="1" applyBorder="1" applyAlignment="1">
      <alignment vertical="center" wrapText="1"/>
    </xf>
    <xf numFmtId="0" fontId="0" fillId="0" borderId="1" xfId="0" applyBorder="1" applyAlignment="1">
      <alignment horizontal="right" vertical="center" wrapText="1"/>
    </xf>
    <xf numFmtId="0" fontId="6" fillId="0" borderId="1" xfId="0" applyFont="1" applyBorder="1" applyAlignment="1">
      <alignment horizontal="right" vertical="center"/>
    </xf>
    <xf numFmtId="0" fontId="2" fillId="0" borderId="1" xfId="0" applyFont="1" applyBorder="1" applyAlignment="1" applyProtection="1">
      <alignment vertical="center"/>
      <protection locked="0"/>
    </xf>
    <xf numFmtId="0" fontId="2" fillId="0" borderId="1" xfId="0" applyFont="1" applyBorder="1" applyAlignment="1" applyProtection="1">
      <alignment horizontal="center" vertical="center" wrapText="1"/>
      <protection locked="0"/>
    </xf>
    <xf numFmtId="0" fontId="0" fillId="13" borderId="1" xfId="0" applyFill="1" applyBorder="1" applyAlignment="1">
      <alignment horizontal="left" vertical="center" wrapText="1"/>
    </xf>
    <xf numFmtId="0" fontId="51" fillId="0" borderId="0" xfId="0" applyFont="1"/>
    <xf numFmtId="0" fontId="54" fillId="0" borderId="1" xfId="0" applyFont="1" applyBorder="1" applyAlignment="1">
      <alignment vertical="center"/>
    </xf>
    <xf numFmtId="2" fontId="0" fillId="0" borderId="0" xfId="0" applyNumberFormat="1" applyAlignment="1">
      <alignment horizontal="center"/>
    </xf>
    <xf numFmtId="164" fontId="0" fillId="0" borderId="0" xfId="0" applyNumberFormat="1"/>
    <xf numFmtId="0" fontId="0" fillId="2" borderId="1" xfId="0" applyFill="1" applyBorder="1" applyAlignment="1">
      <alignment vertical="center" wrapText="1"/>
    </xf>
    <xf numFmtId="0" fontId="51" fillId="0" borderId="1" xfId="0" applyFont="1" applyBorder="1" applyAlignment="1">
      <alignment horizontal="center"/>
    </xf>
    <xf numFmtId="0" fontId="51" fillId="0" borderId="0" xfId="0" applyFont="1" applyAlignment="1">
      <alignment horizontal="center"/>
    </xf>
    <xf numFmtId="0" fontId="51" fillId="0" borderId="1" xfId="0" applyFont="1" applyBorder="1" applyAlignment="1">
      <alignment horizontal="right"/>
    </xf>
    <xf numFmtId="164" fontId="51" fillId="0" borderId="1" xfId="0" applyNumberFormat="1" applyFont="1" applyBorder="1"/>
    <xf numFmtId="0" fontId="51" fillId="0" borderId="1" xfId="0" applyFont="1" applyBorder="1"/>
    <xf numFmtId="0" fontId="51" fillId="15" borderId="1" xfId="0" applyFont="1" applyFill="1" applyBorder="1" applyAlignment="1">
      <alignment horizontal="center"/>
    </xf>
    <xf numFmtId="0" fontId="51" fillId="15" borderId="5" xfId="0" applyFont="1" applyFill="1" applyBorder="1" applyAlignment="1">
      <alignment horizontal="center"/>
    </xf>
    <xf numFmtId="2" fontId="0" fillId="0" borderId="1" xfId="0" applyNumberFormat="1" applyBorder="1" applyAlignment="1">
      <alignment horizontal="center"/>
    </xf>
    <xf numFmtId="164" fontId="0" fillId="0" borderId="1" xfId="0" applyNumberFormat="1" applyBorder="1" applyAlignment="1">
      <alignment horizontal="center"/>
    </xf>
    <xf numFmtId="170" fontId="0" fillId="0" borderId="1" xfId="0" applyNumberFormat="1" applyBorder="1" applyAlignment="1">
      <alignment horizontal="center"/>
    </xf>
    <xf numFmtId="171" fontId="0" fillId="0" borderId="1" xfId="0" applyNumberFormat="1" applyBorder="1" applyAlignment="1">
      <alignment horizontal="center"/>
    </xf>
    <xf numFmtId="172" fontId="0" fillId="0" borderId="1" xfId="0" applyNumberFormat="1" applyBorder="1" applyAlignment="1">
      <alignment horizontal="center"/>
    </xf>
    <xf numFmtId="173" fontId="0" fillId="0" borderId="1" xfId="0" applyNumberFormat="1" applyBorder="1" applyAlignment="1">
      <alignment horizontal="center"/>
    </xf>
    <xf numFmtId="0" fontId="51" fillId="15" borderId="1" xfId="0" applyFont="1" applyFill="1" applyBorder="1"/>
    <xf numFmtId="0" fontId="51" fillId="15" borderId="1" xfId="0" applyFont="1" applyFill="1" applyBorder="1" applyAlignment="1">
      <alignment horizontal="right"/>
    </xf>
    <xf numFmtId="2" fontId="51" fillId="0" borderId="1" xfId="0" applyNumberFormat="1" applyFont="1" applyBorder="1"/>
    <xf numFmtId="166" fontId="51" fillId="0" borderId="1" xfId="0" applyNumberFormat="1" applyFont="1" applyBorder="1"/>
    <xf numFmtId="2" fontId="0" fillId="0" borderId="0" xfId="0" applyNumberFormat="1"/>
    <xf numFmtId="174" fontId="0" fillId="0" borderId="0" xfId="0" applyNumberFormat="1"/>
    <xf numFmtId="0" fontId="51" fillId="16" borderId="1" xfId="0" applyFont="1" applyFill="1" applyBorder="1"/>
    <xf numFmtId="0" fontId="51" fillId="16" borderId="1" xfId="0" applyFont="1" applyFill="1" applyBorder="1" applyAlignment="1">
      <alignment horizontal="center"/>
    </xf>
    <xf numFmtId="0" fontId="13" fillId="0" borderId="0" xfId="0" applyFont="1" applyAlignment="1">
      <alignment vertical="center"/>
    </xf>
    <xf numFmtId="0" fontId="18" fillId="0" borderId="0" xfId="0" applyFont="1" applyAlignment="1">
      <alignment vertical="center" wrapText="1"/>
    </xf>
    <xf numFmtId="0" fontId="18" fillId="17" borderId="8" xfId="0" applyFont="1" applyFill="1" applyBorder="1" applyAlignment="1">
      <alignment horizontal="center" vertical="center" wrapText="1"/>
    </xf>
    <xf numFmtId="0" fontId="18" fillId="17" borderId="1" xfId="0" applyFont="1" applyFill="1" applyBorder="1" applyAlignment="1">
      <alignment vertical="center" wrapText="1"/>
    </xf>
    <xf numFmtId="0" fontId="18" fillId="17" borderId="1" xfId="0" applyFont="1" applyFill="1" applyBorder="1" applyAlignment="1">
      <alignment horizontal="center" vertical="center" wrapText="1"/>
    </xf>
    <xf numFmtId="166" fontId="18" fillId="17" borderId="13" xfId="0" applyNumberFormat="1" applyFont="1" applyFill="1" applyBorder="1" applyAlignment="1">
      <alignment horizontal="center" vertical="center" wrapText="1"/>
    </xf>
    <xf numFmtId="164" fontId="18" fillId="17" borderId="13" xfId="0" applyNumberFormat="1" applyFont="1" applyFill="1" applyBorder="1" applyAlignment="1">
      <alignment horizontal="center" vertical="center" wrapText="1"/>
    </xf>
    <xf numFmtId="164" fontId="18" fillId="0" borderId="1" xfId="0" applyNumberFormat="1" applyFont="1" applyBorder="1" applyAlignment="1">
      <alignment horizontal="center" vertical="center" wrapText="1"/>
    </xf>
    <xf numFmtId="0" fontId="9" fillId="2" borderId="27" xfId="0" applyFont="1" applyFill="1" applyBorder="1" applyAlignment="1">
      <alignment horizontal="left" vertical="center"/>
    </xf>
    <xf numFmtId="0" fontId="12" fillId="0" borderId="0" xfId="0" applyFont="1" applyAlignment="1">
      <alignment horizontal="center" vertical="center" wrapText="1"/>
    </xf>
    <xf numFmtId="0" fontId="11" fillId="0" borderId="0" xfId="0" applyFont="1" applyAlignment="1">
      <alignment horizontal="left" vertical="center"/>
    </xf>
    <xf numFmtId="0" fontId="11" fillId="0" borderId="0" xfId="0" applyFont="1" applyAlignment="1">
      <alignment horizontal="center" vertical="center"/>
    </xf>
    <xf numFmtId="0" fontId="11" fillId="0" borderId="39" xfId="0" applyFont="1" applyBorder="1" applyAlignment="1">
      <alignment vertical="center"/>
    </xf>
    <xf numFmtId="0" fontId="0" fillId="2" borderId="19" xfId="0" applyFill="1" applyBorder="1" applyAlignment="1">
      <alignment vertical="center" wrapText="1"/>
    </xf>
    <xf numFmtId="0" fontId="59" fillId="0" borderId="0" xfId="0" applyFont="1" applyAlignment="1" applyProtection="1">
      <alignment vertical="center"/>
      <protection locked="0"/>
    </xf>
    <xf numFmtId="0" fontId="51" fillId="2" borderId="1" xfId="0" applyFont="1" applyFill="1" applyBorder="1" applyAlignment="1">
      <alignment horizontal="center" vertical="center" wrapText="1"/>
    </xf>
    <xf numFmtId="2" fontId="51" fillId="4" borderId="1" xfId="0" applyNumberFormat="1" applyFont="1" applyFill="1" applyBorder="1" applyAlignment="1">
      <alignment horizontal="center" vertical="center"/>
    </xf>
    <xf numFmtId="166" fontId="51" fillId="4" borderId="1" xfId="0" applyNumberFormat="1" applyFont="1" applyFill="1" applyBorder="1" applyAlignment="1">
      <alignment horizontal="center" vertical="center"/>
    </xf>
    <xf numFmtId="0" fontId="58" fillId="19" borderId="1" xfId="0" applyFont="1" applyFill="1" applyBorder="1" applyAlignment="1" applyProtection="1">
      <alignment horizontal="center" vertical="center"/>
      <protection locked="0"/>
    </xf>
    <xf numFmtId="166" fontId="54" fillId="0" borderId="36" xfId="0" applyNumberFormat="1" applyFont="1" applyBorder="1" applyAlignment="1">
      <alignment horizontal="center" vertical="center"/>
    </xf>
    <xf numFmtId="166" fontId="54" fillId="0" borderId="1" xfId="0" applyNumberFormat="1" applyFont="1" applyBorder="1" applyAlignment="1">
      <alignment horizontal="center" vertical="center"/>
    </xf>
    <xf numFmtId="0" fontId="0" fillId="12" borderId="1" xfId="0" applyFill="1" applyBorder="1" applyAlignment="1">
      <alignment horizontal="left" vertical="center"/>
    </xf>
    <xf numFmtId="0" fontId="0" fillId="12" borderId="1" xfId="0" applyFill="1" applyBorder="1" applyAlignment="1">
      <alignment vertical="center"/>
    </xf>
    <xf numFmtId="2" fontId="0" fillId="12" borderId="1" xfId="0" applyNumberFormat="1" applyFill="1" applyBorder="1" applyAlignment="1">
      <alignment horizontal="center" vertical="center"/>
    </xf>
    <xf numFmtId="166" fontId="0" fillId="12" borderId="1" xfId="0" applyNumberFormat="1" applyFill="1" applyBorder="1" applyAlignment="1">
      <alignment horizontal="center" vertical="center"/>
    </xf>
    <xf numFmtId="0" fontId="16" fillId="12" borderId="9" xfId="0" applyFont="1" applyFill="1" applyBorder="1" applyAlignment="1">
      <alignment horizontal="center" vertical="center"/>
    </xf>
    <xf numFmtId="0" fontId="0" fillId="12" borderId="8" xfId="0" applyFill="1" applyBorder="1" applyAlignment="1">
      <alignment vertical="center" wrapText="1"/>
    </xf>
    <xf numFmtId="2" fontId="16" fillId="12" borderId="1" xfId="0" applyNumberFormat="1" applyFont="1" applyFill="1" applyBorder="1" applyAlignment="1">
      <alignment horizontal="center" vertical="center"/>
    </xf>
    <xf numFmtId="2" fontId="0" fillId="0" borderId="0" xfId="0" applyNumberFormat="1" applyAlignment="1">
      <alignment horizontal="center" vertical="center"/>
    </xf>
    <xf numFmtId="0" fontId="1" fillId="12" borderId="9" xfId="0" applyFont="1" applyFill="1" applyBorder="1" applyAlignment="1">
      <alignment horizontal="center" vertical="center"/>
    </xf>
    <xf numFmtId="0" fontId="13" fillId="0" borderId="26" xfId="0" applyFont="1" applyBorder="1" applyAlignment="1">
      <alignment vertical="center" wrapText="1"/>
    </xf>
    <xf numFmtId="0" fontId="5" fillId="0" borderId="1" xfId="0" applyFont="1" applyBorder="1" applyAlignment="1">
      <alignment horizontal="center" vertical="center" wrapText="1"/>
    </xf>
    <xf numFmtId="0" fontId="18" fillId="12" borderId="1" xfId="0" applyFont="1" applyFill="1" applyBorder="1" applyAlignment="1">
      <alignment horizontal="center" vertical="center" wrapText="1"/>
    </xf>
    <xf numFmtId="0" fontId="36" fillId="12" borderId="1" xfId="0" applyFont="1" applyFill="1" applyBorder="1" applyAlignment="1">
      <alignment horizontal="center" vertical="center" wrapText="1"/>
    </xf>
    <xf numFmtId="1" fontId="18" fillId="12" borderId="1" xfId="0" applyNumberFormat="1" applyFont="1" applyFill="1" applyBorder="1" applyAlignment="1">
      <alignment horizontal="center" vertical="center" wrapText="1"/>
    </xf>
    <xf numFmtId="2" fontId="18" fillId="12" borderId="1" xfId="0" applyNumberFormat="1" applyFont="1" applyFill="1" applyBorder="1" applyAlignment="1">
      <alignment horizontal="center" vertical="center" wrapText="1"/>
    </xf>
    <xf numFmtId="0" fontId="34" fillId="1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2" borderId="1" xfId="0" applyFont="1" applyFill="1" applyBorder="1" applyAlignment="1">
      <alignment vertical="center" wrapText="1"/>
    </xf>
    <xf numFmtId="0" fontId="4" fillId="11" borderId="1" xfId="0" applyFont="1" applyFill="1" applyBorder="1" applyAlignment="1">
      <alignment horizontal="center" vertical="center" wrapText="1"/>
    </xf>
    <xf numFmtId="0" fontId="4" fillId="11" borderId="1" xfId="0" applyFont="1" applyFill="1" applyBorder="1" applyAlignment="1">
      <alignment vertical="center" wrapText="1"/>
    </xf>
    <xf numFmtId="0" fontId="4" fillId="0" borderId="1" xfId="0" applyFont="1" applyBorder="1" applyAlignment="1">
      <alignment horizontal="center" vertical="center" wrapText="1"/>
    </xf>
    <xf numFmtId="0" fontId="4" fillId="0" borderId="1" xfId="0" applyFont="1" applyBorder="1" applyAlignment="1">
      <alignment vertical="center" wrapText="1"/>
    </xf>
    <xf numFmtId="0" fontId="4" fillId="0" borderId="1" xfId="0" applyFont="1" applyBorder="1" applyAlignment="1">
      <alignment horizontal="justify" vertical="center" wrapText="1"/>
    </xf>
    <xf numFmtId="0" fontId="4" fillId="0" borderId="1" xfId="0" applyFont="1" applyBorder="1" applyAlignment="1">
      <alignment horizontal="center" vertical="center"/>
    </xf>
    <xf numFmtId="0" fontId="4" fillId="0" borderId="28" xfId="0" applyFont="1" applyBorder="1" applyAlignment="1">
      <alignment horizontal="center" vertical="center" wrapText="1"/>
    </xf>
    <xf numFmtId="0" fontId="30" fillId="12" borderId="1" xfId="0" applyFont="1" applyFill="1" applyBorder="1" applyAlignment="1">
      <alignment horizontal="center" vertical="center" wrapText="1"/>
    </xf>
    <xf numFmtId="0" fontId="30" fillId="16" borderId="1" xfId="0" applyFont="1" applyFill="1" applyBorder="1" applyAlignment="1">
      <alignment vertical="center" wrapText="1"/>
    </xf>
    <xf numFmtId="0" fontId="2" fillId="2" borderId="1" xfId="0" applyFont="1" applyFill="1" applyBorder="1" applyAlignment="1">
      <alignment horizontal="left" vertical="center"/>
    </xf>
    <xf numFmtId="164" fontId="51" fillId="4" borderId="1" xfId="0" applyNumberFormat="1" applyFont="1" applyFill="1" applyBorder="1" applyAlignment="1">
      <alignment horizontal="center" vertical="center"/>
    </xf>
    <xf numFmtId="0" fontId="51" fillId="0" borderId="1" xfId="0" applyFont="1" applyBorder="1" applyAlignment="1" applyProtection="1">
      <alignment horizontal="center" vertical="center" wrapText="1"/>
      <protection locked="0"/>
    </xf>
    <xf numFmtId="0" fontId="52" fillId="0" borderId="1" xfId="0" applyFont="1" applyBorder="1" applyAlignment="1" applyProtection="1">
      <alignment horizontal="center" vertical="center" wrapText="1"/>
      <protection locked="0"/>
    </xf>
    <xf numFmtId="170" fontId="51" fillId="4" borderId="1" xfId="0" applyNumberFormat="1" applyFont="1" applyFill="1" applyBorder="1" applyAlignment="1">
      <alignment horizontal="center" vertical="center"/>
    </xf>
    <xf numFmtId="175" fontId="51" fillId="4" borderId="1" xfId="0" applyNumberFormat="1" applyFont="1" applyFill="1" applyBorder="1" applyAlignment="1">
      <alignment horizontal="center" vertical="center"/>
    </xf>
    <xf numFmtId="0" fontId="51" fillId="0" borderId="1" xfId="0" applyFont="1" applyBorder="1" applyAlignment="1">
      <alignment vertical="center" wrapText="1"/>
    </xf>
    <xf numFmtId="0" fontId="51" fillId="0" borderId="1" xfId="0" applyFont="1" applyBorder="1" applyAlignment="1">
      <alignment horizontal="center" vertical="center"/>
    </xf>
    <xf numFmtId="1" fontId="6" fillId="12" borderId="1" xfId="0" applyNumberFormat="1" applyFont="1" applyFill="1" applyBorder="1" applyAlignment="1">
      <alignment horizontal="center" vertical="center" wrapText="1"/>
    </xf>
    <xf numFmtId="2" fontId="6" fillId="12" borderId="1" xfId="0" applyNumberFormat="1" applyFont="1" applyFill="1" applyBorder="1" applyAlignment="1">
      <alignment horizontal="center" vertical="center" wrapText="1"/>
    </xf>
    <xf numFmtId="0" fontId="51" fillId="0" borderId="0" xfId="0" applyFont="1" applyAlignment="1">
      <alignment vertical="center"/>
    </xf>
    <xf numFmtId="0" fontId="65" fillId="12" borderId="1" xfId="0" applyFont="1" applyFill="1" applyBorder="1" applyAlignment="1">
      <alignment horizontal="center" vertical="center" wrapText="1"/>
    </xf>
    <xf numFmtId="0" fontId="66" fillId="0" borderId="0" xfId="0" applyFont="1" applyAlignment="1">
      <alignment vertical="center"/>
    </xf>
    <xf numFmtId="2" fontId="63" fillId="12" borderId="1" xfId="0" applyNumberFormat="1" applyFont="1" applyFill="1" applyBorder="1" applyAlignment="1">
      <alignment horizontal="center" vertical="center" wrapText="1"/>
    </xf>
    <xf numFmtId="164" fontId="63" fillId="12" borderId="1" xfId="0" applyNumberFormat="1" applyFont="1" applyFill="1" applyBorder="1" applyAlignment="1">
      <alignment horizontal="center" vertical="center" wrapText="1"/>
    </xf>
    <xf numFmtId="0" fontId="65" fillId="12" borderId="5" xfId="0" applyFont="1" applyFill="1" applyBorder="1" applyAlignment="1">
      <alignment horizontal="center" vertical="center" wrapText="1"/>
    </xf>
    <xf numFmtId="164" fontId="63" fillId="12" borderId="5" xfId="0" applyNumberFormat="1" applyFont="1" applyFill="1" applyBorder="1" applyAlignment="1">
      <alignment horizontal="center" vertical="center" wrapText="1"/>
    </xf>
    <xf numFmtId="0" fontId="34" fillId="12" borderId="46" xfId="0" applyFont="1" applyFill="1" applyBorder="1" applyAlignment="1">
      <alignment horizontal="center" vertical="center" wrapText="1"/>
    </xf>
    <xf numFmtId="164" fontId="18" fillId="12" borderId="46" xfId="0" applyNumberFormat="1" applyFont="1" applyFill="1" applyBorder="1" applyAlignment="1">
      <alignment horizontal="center" vertical="center" wrapText="1"/>
    </xf>
    <xf numFmtId="0" fontId="69" fillId="0" borderId="0" xfId="0" applyFont="1" applyAlignment="1">
      <alignment vertical="center"/>
    </xf>
    <xf numFmtId="0" fontId="61" fillId="0" borderId="0" xfId="0" applyFont="1" applyAlignment="1">
      <alignment vertical="center"/>
    </xf>
    <xf numFmtId="0" fontId="62" fillId="21" borderId="53" xfId="3" applyFont="1" applyFill="1" applyBorder="1" applyAlignment="1" applyProtection="1">
      <alignment horizontal="center" vertical="center"/>
    </xf>
    <xf numFmtId="1" fontId="0" fillId="0" borderId="0" xfId="0" applyNumberFormat="1"/>
    <xf numFmtId="165" fontId="0" fillId="0" borderId="0" xfId="0" applyNumberFormat="1"/>
    <xf numFmtId="0" fontId="0" fillId="0" borderId="0" xfId="0" applyAlignment="1">
      <alignment horizontal="right"/>
    </xf>
    <xf numFmtId="175" fontId="51" fillId="15" borderId="1" xfId="0" applyNumberFormat="1" applyFont="1" applyFill="1" applyBorder="1" applyAlignment="1">
      <alignment horizontal="center"/>
    </xf>
    <xf numFmtId="0" fontId="73" fillId="0" borderId="1" xfId="0" applyFont="1" applyBorder="1" applyAlignment="1">
      <alignment horizontal="center" vertical="center"/>
    </xf>
    <xf numFmtId="0" fontId="74" fillId="21" borderId="53" xfId="3" applyFont="1" applyFill="1" applyBorder="1" applyAlignment="1" applyProtection="1">
      <alignment horizontal="center" vertical="center"/>
    </xf>
    <xf numFmtId="0" fontId="73" fillId="0" borderId="12" xfId="0" applyFont="1" applyBorder="1" applyAlignment="1">
      <alignment horizontal="center" vertical="center"/>
    </xf>
    <xf numFmtId="0" fontId="73" fillId="0" borderId="55" xfId="0" applyFont="1" applyBorder="1" applyAlignment="1">
      <alignment horizontal="center" vertical="center"/>
    </xf>
    <xf numFmtId="2" fontId="73" fillId="6" borderId="5" xfId="0" applyNumberFormat="1" applyFont="1" applyFill="1" applyBorder="1" applyAlignment="1">
      <alignment vertical="center" wrapText="1"/>
    </xf>
    <xf numFmtId="2" fontId="73" fillId="6" borderId="5" xfId="0" applyNumberFormat="1" applyFont="1" applyFill="1" applyBorder="1" applyAlignment="1">
      <alignment horizontal="center" vertical="center" wrapText="1"/>
    </xf>
    <xf numFmtId="2" fontId="73" fillId="6" borderId="1" xfId="0" applyNumberFormat="1" applyFont="1" applyFill="1" applyBorder="1" applyAlignment="1">
      <alignment horizontal="center" vertical="center" wrapText="1"/>
    </xf>
    <xf numFmtId="0" fontId="0" fillId="3" borderId="1" xfId="0" applyFill="1" applyBorder="1" applyAlignment="1" applyProtection="1">
      <alignment vertical="center"/>
      <protection locked="0"/>
    </xf>
    <xf numFmtId="0" fontId="0" fillId="3" borderId="1" xfId="0" applyFill="1" applyBorder="1" applyAlignment="1" applyProtection="1">
      <alignment horizontal="center" vertical="center" wrapText="1"/>
      <protection locked="0"/>
    </xf>
    <xf numFmtId="0" fontId="0" fillId="3" borderId="1" xfId="0" applyFill="1" applyBorder="1" applyAlignment="1" applyProtection="1">
      <alignment horizontal="center" vertical="center"/>
      <protection locked="0"/>
    </xf>
    <xf numFmtId="0" fontId="73" fillId="2" borderId="1" xfId="0" applyFont="1" applyFill="1" applyBorder="1" applyAlignment="1">
      <alignment horizontal="center" vertical="center" wrapText="1"/>
    </xf>
    <xf numFmtId="0" fontId="73" fillId="2" borderId="1" xfId="0" applyFont="1" applyFill="1" applyBorder="1" applyAlignment="1">
      <alignment horizontal="center" vertical="center"/>
    </xf>
    <xf numFmtId="1" fontId="75" fillId="2" borderId="1" xfId="0" applyNumberFormat="1" applyFont="1" applyFill="1" applyBorder="1" applyAlignment="1">
      <alignment horizontal="center" vertical="center" wrapText="1"/>
    </xf>
    <xf numFmtId="0" fontId="73" fillId="2" borderId="1" xfId="0" applyFont="1" applyFill="1" applyBorder="1" applyAlignment="1">
      <alignment vertical="center" wrapText="1"/>
    </xf>
    <xf numFmtId="0" fontId="73" fillId="2" borderId="1" xfId="0" applyFont="1" applyFill="1" applyBorder="1" applyAlignment="1" applyProtection="1">
      <alignment vertical="center"/>
      <protection locked="0"/>
    </xf>
    <xf numFmtId="2" fontId="73" fillId="2" borderId="1" xfId="0" applyNumberFormat="1" applyFont="1" applyFill="1" applyBorder="1" applyAlignment="1" applyProtection="1">
      <alignment horizontal="center" vertical="center"/>
      <protection locked="0"/>
    </xf>
    <xf numFmtId="0" fontId="73" fillId="2" borderId="1" xfId="0" applyFont="1" applyFill="1" applyBorder="1" applyAlignment="1" applyProtection="1">
      <alignment horizontal="center" vertical="center"/>
      <protection locked="0"/>
    </xf>
    <xf numFmtId="2" fontId="73" fillId="2" borderId="1" xfId="0" applyNumberFormat="1" applyFont="1" applyFill="1" applyBorder="1" applyAlignment="1" applyProtection="1">
      <alignment horizontal="center" vertical="center" wrapText="1"/>
      <protection locked="0"/>
    </xf>
    <xf numFmtId="0" fontId="0" fillId="11" borderId="1" xfId="0" applyFill="1" applyBorder="1" applyAlignment="1" applyProtection="1">
      <alignment horizontal="center" vertical="center" wrapText="1"/>
      <protection locked="0"/>
    </xf>
    <xf numFmtId="2" fontId="0" fillId="4" borderId="1" xfId="0" applyNumberFormat="1" applyFill="1" applyBorder="1" applyAlignment="1">
      <alignment horizontal="center" vertical="center"/>
    </xf>
    <xf numFmtId="1" fontId="0" fillId="11" borderId="1" xfId="0" applyNumberFormat="1" applyFill="1" applyBorder="1" applyAlignment="1" applyProtection="1">
      <alignment horizontal="center" vertical="center" wrapText="1"/>
      <protection locked="0"/>
    </xf>
    <xf numFmtId="0" fontId="73" fillId="4" borderId="1" xfId="0" applyFont="1" applyFill="1" applyBorder="1" applyAlignment="1">
      <alignment horizontal="center" vertical="center" wrapText="1"/>
    </xf>
    <xf numFmtId="0" fontId="73" fillId="4" borderId="1" xfId="0" applyFont="1" applyFill="1" applyBorder="1" applyAlignment="1">
      <alignment vertical="center" wrapText="1"/>
    </xf>
    <xf numFmtId="2" fontId="73" fillId="4" borderId="1" xfId="0" applyNumberFormat="1" applyFont="1" applyFill="1" applyBorder="1" applyAlignment="1">
      <alignment horizontal="center" vertical="center" wrapText="1"/>
    </xf>
    <xf numFmtId="2" fontId="73" fillId="0" borderId="1" xfId="0" applyNumberFormat="1" applyFont="1" applyBorder="1" applyAlignment="1">
      <alignment horizontal="center" vertical="center" wrapText="1"/>
    </xf>
    <xf numFmtId="2" fontId="73" fillId="16" borderId="1" xfId="0" applyNumberFormat="1" applyFont="1" applyFill="1" applyBorder="1" applyAlignment="1">
      <alignment horizontal="center" vertical="center" wrapText="1"/>
    </xf>
    <xf numFmtId="2" fontId="73" fillId="16" borderId="1" xfId="0" applyNumberFormat="1" applyFont="1" applyFill="1" applyBorder="1" applyAlignment="1">
      <alignment vertical="center" wrapText="1"/>
    </xf>
    <xf numFmtId="0" fontId="0" fillId="0" borderId="0" xfId="0" applyAlignment="1" applyProtection="1">
      <alignment vertical="center"/>
      <protection locked="0"/>
    </xf>
    <xf numFmtId="0" fontId="0" fillId="0" borderId="0" xfId="0" applyAlignment="1">
      <alignment horizontal="left"/>
    </xf>
    <xf numFmtId="0" fontId="0" fillId="16" borderId="1" xfId="0" applyFill="1" applyBorder="1" applyAlignment="1" applyProtection="1">
      <alignment horizontal="center" vertical="center" wrapText="1"/>
      <protection locked="0"/>
    </xf>
    <xf numFmtId="0" fontId="0" fillId="16" borderId="1" xfId="0" applyFill="1" applyBorder="1" applyAlignment="1" applyProtection="1">
      <alignment vertical="center" wrapText="1"/>
      <protection locked="0"/>
    </xf>
    <xf numFmtId="1" fontId="0" fillId="16" borderId="1" xfId="0" applyNumberFormat="1" applyFill="1" applyBorder="1" applyAlignment="1" applyProtection="1">
      <alignment horizontal="center" vertical="center" wrapText="1"/>
      <protection locked="0"/>
    </xf>
    <xf numFmtId="166" fontId="0" fillId="4" borderId="1" xfId="0" applyNumberFormat="1" applyFill="1" applyBorder="1" applyAlignment="1">
      <alignment horizontal="center" vertical="center"/>
    </xf>
    <xf numFmtId="0" fontId="0" fillId="16" borderId="1" xfId="0" applyFill="1" applyBorder="1" applyAlignment="1" applyProtection="1">
      <alignment horizontal="center" vertical="center"/>
      <protection locked="0"/>
    </xf>
    <xf numFmtId="0" fontId="73" fillId="2" borderId="1" xfId="0" applyFont="1" applyFill="1" applyBorder="1" applyAlignment="1" applyProtection="1">
      <alignment vertical="center" wrapText="1"/>
      <protection locked="0"/>
    </xf>
    <xf numFmtId="0" fontId="73" fillId="10" borderId="1" xfId="0" applyFont="1" applyFill="1" applyBorder="1" applyAlignment="1">
      <alignment horizontal="center" vertical="center" wrapText="1"/>
    </xf>
    <xf numFmtId="0" fontId="73" fillId="10" borderId="1" xfId="0" applyFont="1" applyFill="1" applyBorder="1" applyAlignment="1" applyProtection="1">
      <alignment vertical="center" wrapText="1"/>
      <protection locked="0"/>
    </xf>
    <xf numFmtId="0" fontId="73" fillId="0" borderId="1" xfId="0" applyFont="1" applyBorder="1" applyAlignment="1">
      <alignment horizontal="center" vertical="center" wrapText="1"/>
    </xf>
    <xf numFmtId="0" fontId="73" fillId="0" borderId="1" xfId="0" applyFont="1" applyBorder="1" applyAlignment="1" applyProtection="1">
      <alignment vertical="center" wrapText="1"/>
      <protection locked="0"/>
    </xf>
    <xf numFmtId="2" fontId="73" fillId="0" borderId="1" xfId="0" applyNumberFormat="1" applyFont="1" applyBorder="1" applyAlignment="1" applyProtection="1">
      <alignment horizontal="center" vertical="center" wrapText="1"/>
      <protection locked="0"/>
    </xf>
    <xf numFmtId="0" fontId="73" fillId="0" borderId="1" xfId="0" applyFont="1" applyBorder="1" applyAlignment="1" applyProtection="1">
      <alignment horizontal="left" vertical="center" wrapText="1"/>
      <protection locked="0"/>
    </xf>
    <xf numFmtId="0" fontId="0" fillId="2" borderId="1" xfId="0" applyFill="1" applyBorder="1" applyAlignment="1" applyProtection="1">
      <alignment vertical="center"/>
      <protection locked="0"/>
    </xf>
    <xf numFmtId="2" fontId="0" fillId="2" borderId="1" xfId="0" applyNumberFormat="1" applyFill="1" applyBorder="1" applyAlignment="1" applyProtection="1">
      <alignment horizontal="center" vertical="center"/>
      <protection locked="0"/>
    </xf>
    <xf numFmtId="0" fontId="0" fillId="2" borderId="1" xfId="0" applyFill="1" applyBorder="1" applyAlignment="1" applyProtection="1">
      <alignment horizontal="center" vertical="center" wrapText="1"/>
      <protection locked="0"/>
    </xf>
    <xf numFmtId="0" fontId="0" fillId="11" borderId="1" xfId="0" applyFill="1" applyBorder="1" applyAlignment="1" applyProtection="1">
      <alignment horizontal="center" vertical="center"/>
      <protection locked="0"/>
    </xf>
    <xf numFmtId="0" fontId="0" fillId="11" borderId="1" xfId="0" applyFill="1" applyBorder="1" applyAlignment="1" applyProtection="1">
      <alignment horizontal="center"/>
      <protection locked="0"/>
    </xf>
    <xf numFmtId="2" fontId="0" fillId="0" borderId="1" xfId="0" applyNumberFormat="1" applyBorder="1" applyAlignment="1" applyProtection="1">
      <alignment horizontal="center" vertical="center"/>
      <protection locked="0"/>
    </xf>
    <xf numFmtId="0" fontId="77" fillId="2" borderId="1" xfId="0" applyFont="1" applyFill="1" applyBorder="1" applyAlignment="1">
      <alignment horizontal="center" vertical="center"/>
    </xf>
    <xf numFmtId="0" fontId="77" fillId="2" borderId="1" xfId="0" applyFont="1" applyFill="1" applyBorder="1" applyAlignment="1">
      <alignment vertical="center" wrapText="1"/>
    </xf>
    <xf numFmtId="0" fontId="77" fillId="2" borderId="1" xfId="0" applyFont="1" applyFill="1" applyBorder="1" applyAlignment="1">
      <alignment horizontal="center" vertical="center" wrapText="1"/>
    </xf>
    <xf numFmtId="0" fontId="73" fillId="4" borderId="1" xfId="0" applyFont="1" applyFill="1" applyBorder="1" applyAlignment="1">
      <alignment horizontal="center" vertical="center"/>
    </xf>
    <xf numFmtId="0" fontId="73" fillId="4" borderId="1" xfId="0" applyFont="1" applyFill="1" applyBorder="1" applyAlignment="1">
      <alignment vertical="center"/>
    </xf>
    <xf numFmtId="2" fontId="73" fillId="4" borderId="1" xfId="0" applyNumberFormat="1" applyFont="1" applyFill="1" applyBorder="1" applyAlignment="1">
      <alignment horizontal="center" vertical="center"/>
    </xf>
    <xf numFmtId="2" fontId="73" fillId="0" borderId="1" xfId="0" applyNumberFormat="1" applyFont="1" applyBorder="1" applyAlignment="1">
      <alignment horizontal="center" vertical="center"/>
    </xf>
    <xf numFmtId="0" fontId="73" fillId="0" borderId="1" xfId="0" applyFont="1" applyBorder="1" applyAlignment="1">
      <alignment vertical="center"/>
    </xf>
    <xf numFmtId="2" fontId="73" fillId="0" borderId="1" xfId="0" applyNumberFormat="1" applyFont="1" applyBorder="1" applyAlignment="1">
      <alignment vertical="center"/>
    </xf>
    <xf numFmtId="0" fontId="77" fillId="2" borderId="1" xfId="0" applyFont="1" applyFill="1" applyBorder="1" applyAlignment="1">
      <alignment vertical="center"/>
    </xf>
    <xf numFmtId="0" fontId="79" fillId="10" borderId="1" xfId="0" applyFont="1" applyFill="1" applyBorder="1" applyAlignment="1">
      <alignment horizontal="center" vertical="center"/>
    </xf>
    <xf numFmtId="0" fontId="79" fillId="10" borderId="1" xfId="0" applyFont="1" applyFill="1" applyBorder="1" applyAlignment="1">
      <alignment horizontal="center" vertical="center" wrapText="1"/>
    </xf>
    <xf numFmtId="0" fontId="52" fillId="0" borderId="1" xfId="0" applyFont="1" applyBorder="1" applyAlignment="1">
      <alignment horizontal="center" vertical="center"/>
    </xf>
    <xf numFmtId="0" fontId="52" fillId="3" borderId="1" xfId="0" applyFont="1" applyFill="1" applyBorder="1" applyAlignment="1">
      <alignment horizontal="center" vertical="center"/>
    </xf>
    <xf numFmtId="166" fontId="73" fillId="4" borderId="1" xfId="0" applyNumberFormat="1" applyFont="1" applyFill="1" applyBorder="1" applyAlignment="1">
      <alignment horizontal="center" vertical="center" wrapText="1"/>
    </xf>
    <xf numFmtId="165" fontId="73" fillId="4" borderId="1" xfId="0" applyNumberFormat="1" applyFont="1" applyFill="1" applyBorder="1" applyAlignment="1">
      <alignment horizontal="center" vertical="center" wrapText="1"/>
    </xf>
    <xf numFmtId="0" fontId="0" fillId="6" borderId="1" xfId="0" applyFill="1" applyBorder="1" applyAlignment="1">
      <alignment horizontal="center" vertical="center"/>
    </xf>
    <xf numFmtId="0" fontId="0" fillId="6" borderId="1" xfId="0" applyFill="1" applyBorder="1" applyAlignment="1">
      <alignment vertical="center"/>
    </xf>
    <xf numFmtId="0" fontId="0" fillId="6" borderId="1" xfId="0" applyFill="1" applyBorder="1" applyAlignment="1" applyProtection="1">
      <alignment horizontal="center" vertical="center" wrapText="1"/>
      <protection locked="0"/>
    </xf>
    <xf numFmtId="0" fontId="0" fillId="18" borderId="1" xfId="0" applyFill="1" applyBorder="1" applyAlignment="1" applyProtection="1">
      <alignment horizontal="center" vertical="center"/>
      <protection locked="0"/>
    </xf>
    <xf numFmtId="1" fontId="0" fillId="0" borderId="1" xfId="0" applyNumberFormat="1" applyBorder="1" applyAlignment="1" applyProtection="1">
      <alignment horizontal="center"/>
      <protection locked="0"/>
    </xf>
    <xf numFmtId="0" fontId="73" fillId="0" borderId="1" xfId="0" applyFont="1" applyBorder="1" applyAlignment="1" applyProtection="1">
      <alignment horizontal="center" vertical="center"/>
      <protection locked="0"/>
    </xf>
    <xf numFmtId="0" fontId="73" fillId="18" borderId="1" xfId="0" applyFont="1" applyFill="1" applyBorder="1" applyAlignment="1" applyProtection="1">
      <alignment horizontal="center" vertical="center"/>
      <protection locked="0"/>
    </xf>
    <xf numFmtId="2" fontId="0" fillId="11" borderId="1" xfId="0" applyNumberFormat="1" applyFill="1" applyBorder="1" applyAlignment="1" applyProtection="1">
      <alignment horizontal="center" vertical="center" wrapText="1"/>
      <protection locked="0"/>
    </xf>
    <xf numFmtId="165" fontId="73" fillId="4" borderId="1" xfId="0" applyNumberFormat="1" applyFont="1" applyFill="1" applyBorder="1" applyAlignment="1">
      <alignment horizontal="center" vertical="center"/>
    </xf>
    <xf numFmtId="0" fontId="0" fillId="11" borderId="1" xfId="0" applyFill="1" applyBorder="1" applyAlignment="1" applyProtection="1">
      <alignment vertical="center" wrapText="1"/>
      <protection locked="0"/>
    </xf>
    <xf numFmtId="1" fontId="73" fillId="4" borderId="1" xfId="0" applyNumberFormat="1" applyFont="1" applyFill="1" applyBorder="1" applyAlignment="1">
      <alignment horizontal="center" vertical="center"/>
    </xf>
    <xf numFmtId="166" fontId="73" fillId="4" borderId="1" xfId="0" applyNumberFormat="1" applyFont="1" applyFill="1" applyBorder="1" applyAlignment="1">
      <alignment horizontal="center" vertical="center"/>
    </xf>
    <xf numFmtId="0" fontId="73" fillId="0" borderId="1" xfId="0" applyFont="1" applyBorder="1" applyAlignment="1">
      <alignment vertical="center" wrapText="1"/>
    </xf>
    <xf numFmtId="0" fontId="52" fillId="11" borderId="1" xfId="0" applyFont="1" applyFill="1" applyBorder="1" applyAlignment="1" applyProtection="1">
      <alignment vertical="center" wrapText="1"/>
      <protection locked="0"/>
    </xf>
    <xf numFmtId="0" fontId="0" fillId="11" borderId="0" xfId="0" applyFill="1"/>
    <xf numFmtId="2" fontId="0" fillId="2" borderId="1" xfId="0" applyNumberFormat="1" applyFill="1" applyBorder="1" applyAlignment="1" applyProtection="1">
      <alignment horizontal="center" vertical="center" wrapText="1"/>
      <protection locked="0"/>
    </xf>
    <xf numFmtId="4" fontId="0" fillId="0" borderId="1" xfId="0" applyNumberFormat="1" applyBorder="1" applyAlignment="1" applyProtection="1">
      <alignment horizontal="center" vertical="center" wrapText="1"/>
      <protection locked="0"/>
    </xf>
    <xf numFmtId="164" fontId="73" fillId="4" borderId="1" xfId="0" applyNumberFormat="1" applyFont="1" applyFill="1" applyBorder="1" applyAlignment="1">
      <alignment horizontal="center" vertical="center"/>
    </xf>
    <xf numFmtId="0" fontId="73" fillId="3" borderId="1" xfId="0" applyFont="1" applyFill="1" applyBorder="1" applyAlignment="1">
      <alignment horizontal="center" vertical="center"/>
    </xf>
    <xf numFmtId="0" fontId="73" fillId="3" borderId="1" xfId="0" applyFont="1" applyFill="1" applyBorder="1" applyAlignment="1">
      <alignment vertical="center"/>
    </xf>
    <xf numFmtId="0" fontId="73" fillId="3" borderId="1" xfId="0" applyFont="1" applyFill="1" applyBorder="1" applyAlignment="1" applyProtection="1">
      <alignment horizontal="center" vertical="center"/>
      <protection locked="0"/>
    </xf>
    <xf numFmtId="0" fontId="73" fillId="2" borderId="1" xfId="0" applyFont="1" applyFill="1" applyBorder="1" applyAlignment="1">
      <alignment vertical="center"/>
    </xf>
    <xf numFmtId="2" fontId="73" fillId="0" borderId="1" xfId="0" applyNumberFormat="1" applyFont="1" applyBorder="1" applyAlignment="1" applyProtection="1">
      <alignment horizontal="center" vertical="center"/>
      <protection locked="0"/>
    </xf>
    <xf numFmtId="2" fontId="0" fillId="0" borderId="1" xfId="0" applyNumberFormat="1" applyBorder="1" applyAlignment="1" applyProtection="1">
      <alignment horizontal="center" vertical="center" wrapText="1"/>
      <protection locked="0"/>
    </xf>
    <xf numFmtId="0" fontId="0" fillId="2" borderId="1" xfId="0" applyFill="1" applyBorder="1" applyAlignment="1" applyProtection="1">
      <alignment vertical="center" wrapText="1"/>
      <protection locked="0"/>
    </xf>
    <xf numFmtId="0" fontId="73" fillId="11" borderId="1" xfId="0" applyFont="1" applyFill="1" applyBorder="1" applyAlignment="1" applyProtection="1">
      <alignment vertical="center" wrapText="1"/>
      <protection locked="0"/>
    </xf>
    <xf numFmtId="2" fontId="0" fillId="7" borderId="1" xfId="0" applyNumberFormat="1" applyFill="1" applyBorder="1" applyAlignment="1" applyProtection="1">
      <alignment horizontal="center" vertical="center"/>
      <protection locked="0"/>
    </xf>
    <xf numFmtId="2" fontId="0" fillId="7" borderId="1" xfId="0" applyNumberFormat="1" applyFill="1" applyBorder="1" applyAlignment="1" applyProtection="1">
      <alignment vertical="center"/>
      <protection locked="0"/>
    </xf>
    <xf numFmtId="2" fontId="0" fillId="7" borderId="1" xfId="0" applyNumberFormat="1" applyFill="1" applyBorder="1" applyAlignment="1">
      <alignment horizontal="center" vertical="center"/>
    </xf>
    <xf numFmtId="0" fontId="0" fillId="7" borderId="1" xfId="0" applyFill="1" applyBorder="1" applyAlignment="1">
      <alignment vertical="center" wrapText="1"/>
    </xf>
    <xf numFmtId="0" fontId="0" fillId="7" borderId="1" xfId="0" applyFill="1" applyBorder="1" applyAlignment="1">
      <alignment horizontal="center" vertical="center" wrapText="1"/>
    </xf>
    <xf numFmtId="0" fontId="73" fillId="0" borderId="1" xfId="0" applyFont="1" applyBorder="1" applyAlignment="1" applyProtection="1">
      <alignment horizontal="center" vertical="center" wrapText="1"/>
      <protection locked="0"/>
    </xf>
    <xf numFmtId="0" fontId="73" fillId="0" borderId="0" xfId="0" applyFont="1"/>
    <xf numFmtId="0" fontId="0" fillId="2" borderId="1" xfId="0" applyFill="1" applyBorder="1" applyAlignment="1" applyProtection="1">
      <alignment horizontal="center" vertical="center"/>
      <protection locked="0"/>
    </xf>
    <xf numFmtId="0" fontId="0" fillId="14" borderId="1" xfId="0" applyFill="1" applyBorder="1" applyAlignment="1" applyProtection="1">
      <alignment vertical="center" wrapText="1"/>
      <protection locked="0"/>
    </xf>
    <xf numFmtId="0" fontId="0" fillId="14" borderId="1" xfId="0" applyFill="1" applyBorder="1" applyAlignment="1" applyProtection="1">
      <alignment horizontal="center" vertical="center" wrapText="1"/>
      <protection locked="0"/>
    </xf>
    <xf numFmtId="2" fontId="0" fillId="14" borderId="1" xfId="0" applyNumberFormat="1" applyFill="1" applyBorder="1" applyAlignment="1" applyProtection="1">
      <alignment horizontal="center" vertical="center"/>
      <protection locked="0"/>
    </xf>
    <xf numFmtId="2" fontId="73" fillId="2" borderId="1" xfId="0" applyNumberFormat="1" applyFont="1" applyFill="1" applyBorder="1" applyAlignment="1">
      <alignment horizontal="center" vertical="center"/>
    </xf>
    <xf numFmtId="2" fontId="73" fillId="11" borderId="1" xfId="0" applyNumberFormat="1" applyFont="1" applyFill="1" applyBorder="1" applyAlignment="1" applyProtection="1">
      <alignment horizontal="center" vertical="center" wrapText="1"/>
      <protection locked="0"/>
    </xf>
    <xf numFmtId="0" fontId="83" fillId="0" borderId="1" xfId="0" applyFont="1" applyBorder="1" applyAlignment="1" applyProtection="1">
      <alignment horizontal="center" vertical="center"/>
      <protection locked="0"/>
    </xf>
    <xf numFmtId="0" fontId="73" fillId="13" borderId="1" xfId="0" applyFont="1" applyFill="1" applyBorder="1" applyAlignment="1">
      <alignment horizontal="center" vertical="center"/>
    </xf>
    <xf numFmtId="0" fontId="73" fillId="13" borderId="1" xfId="0" applyFont="1" applyFill="1" applyBorder="1" applyAlignment="1">
      <alignment vertical="center"/>
    </xf>
    <xf numFmtId="0" fontId="73" fillId="20" borderId="1" xfId="0" applyFont="1" applyFill="1" applyBorder="1" applyAlignment="1">
      <alignment horizontal="center" vertical="center"/>
    </xf>
    <xf numFmtId="0" fontId="73" fillId="20" borderId="1" xfId="0" applyFont="1" applyFill="1" applyBorder="1" applyAlignment="1">
      <alignment vertical="center" wrapText="1"/>
    </xf>
    <xf numFmtId="0" fontId="73" fillId="0" borderId="1" xfId="0" applyFont="1" applyBorder="1"/>
    <xf numFmtId="0" fontId="0" fillId="0" borderId="0" xfId="0" applyAlignment="1" applyProtection="1">
      <alignment horizontal="center" vertical="center" wrapText="1"/>
      <protection locked="0"/>
    </xf>
    <xf numFmtId="0" fontId="0" fillId="0" borderId="0" xfId="0" applyAlignment="1" applyProtection="1">
      <alignment vertical="center" wrapText="1"/>
      <protection locked="0"/>
    </xf>
    <xf numFmtId="2" fontId="0" fillId="0" borderId="0" xfId="0" applyNumberFormat="1" applyAlignment="1" applyProtection="1">
      <alignment horizontal="center" vertical="center"/>
      <protection locked="0"/>
    </xf>
    <xf numFmtId="2" fontId="0" fillId="0" borderId="6" xfId="0" applyNumberFormat="1" applyBorder="1" applyAlignment="1" applyProtection="1">
      <alignment horizontal="center" vertical="center"/>
      <protection locked="0"/>
    </xf>
    <xf numFmtId="0" fontId="73" fillId="0" borderId="0" xfId="0" applyFont="1" applyAlignment="1" applyProtection="1">
      <alignment horizontal="center" vertical="center" wrapText="1"/>
      <protection locked="0"/>
    </xf>
    <xf numFmtId="0" fontId="73" fillId="0" borderId="0" xfId="0" applyFont="1" applyAlignment="1" applyProtection="1">
      <alignment horizontal="center" vertical="center"/>
      <protection locked="0"/>
    </xf>
    <xf numFmtId="0" fontId="73" fillId="0" borderId="0" xfId="0" applyFont="1" applyAlignment="1" applyProtection="1">
      <alignment vertical="center"/>
      <protection locked="0"/>
    </xf>
    <xf numFmtId="0" fontId="73" fillId="0" borderId="6" xfId="0" applyFont="1" applyBorder="1" applyAlignment="1" applyProtection="1">
      <alignment horizontal="center" vertical="center"/>
      <protection locked="0"/>
    </xf>
    <xf numFmtId="0" fontId="0" fillId="0" borderId="10" xfId="0" applyBorder="1" applyAlignment="1">
      <alignment vertical="center" wrapText="1"/>
    </xf>
    <xf numFmtId="0" fontId="73" fillId="0" borderId="0" xfId="0" applyFont="1" applyAlignment="1">
      <alignment horizontal="center" vertical="center" wrapText="1"/>
    </xf>
    <xf numFmtId="0" fontId="73" fillId="0" borderId="0" xfId="0" applyFont="1" applyAlignment="1">
      <alignment horizontal="center" vertical="center"/>
    </xf>
    <xf numFmtId="0" fontId="73" fillId="0" borderId="0" xfId="0" applyFont="1" applyAlignment="1">
      <alignment vertical="center"/>
    </xf>
    <xf numFmtId="0" fontId="73" fillId="0" borderId="6" xfId="0" applyFont="1" applyBorder="1" applyAlignment="1">
      <alignment horizontal="center" vertical="center"/>
    </xf>
    <xf numFmtId="0" fontId="80" fillId="0" borderId="10" xfId="0" applyFont="1" applyBorder="1" applyAlignment="1">
      <alignment vertical="center"/>
    </xf>
    <xf numFmtId="0" fontId="80" fillId="0" borderId="10" xfId="0" applyFont="1" applyBorder="1" applyAlignment="1">
      <alignment horizontal="left" vertical="center"/>
    </xf>
    <xf numFmtId="0" fontId="73" fillId="0" borderId="10" xfId="0" applyFont="1" applyBorder="1" applyAlignment="1" applyProtection="1">
      <alignment horizontal="center" vertical="center"/>
      <protection locked="0"/>
    </xf>
    <xf numFmtId="0" fontId="73" fillId="0" borderId="20" xfId="0" applyFont="1" applyBorder="1" applyAlignment="1" applyProtection="1">
      <alignment horizontal="center" vertical="center" wrapText="1"/>
      <protection locked="0"/>
    </xf>
    <xf numFmtId="0" fontId="73" fillId="0" borderId="20" xfId="0" applyFont="1" applyBorder="1" applyAlignment="1" applyProtection="1">
      <alignment horizontal="center" vertical="center"/>
      <protection locked="0"/>
    </xf>
    <xf numFmtId="0" fontId="73" fillId="0" borderId="20" xfId="0" applyFont="1" applyBorder="1" applyAlignment="1" applyProtection="1">
      <alignment vertical="center"/>
      <protection locked="0"/>
    </xf>
    <xf numFmtId="0" fontId="73" fillId="0" borderId="21" xfId="0" applyFont="1" applyBorder="1" applyAlignment="1" applyProtection="1">
      <alignment horizontal="center" vertical="center"/>
      <protection locked="0"/>
    </xf>
    <xf numFmtId="0" fontId="73" fillId="0" borderId="10" xfId="0" applyFont="1" applyBorder="1" applyAlignment="1" applyProtection="1">
      <alignment vertical="center"/>
      <protection locked="0"/>
    </xf>
    <xf numFmtId="0" fontId="78" fillId="0" borderId="0" xfId="0" applyFont="1" applyAlignment="1" applyProtection="1">
      <alignment vertical="center"/>
      <protection locked="0"/>
    </xf>
    <xf numFmtId="0" fontId="85" fillId="0" borderId="0" xfId="0" applyFont="1" applyAlignment="1" applyProtection="1">
      <alignment vertical="center"/>
      <protection locked="0"/>
    </xf>
    <xf numFmtId="0" fontId="51" fillId="0" borderId="1" xfId="0" applyFont="1" applyBorder="1" applyAlignment="1">
      <alignment horizontal="center" vertical="center" wrapText="1"/>
    </xf>
    <xf numFmtId="0" fontId="18" fillId="16" borderId="9" xfId="0" applyFont="1" applyFill="1" applyBorder="1" applyAlignment="1">
      <alignment horizontal="center" vertical="center" wrapText="1"/>
    </xf>
    <xf numFmtId="0" fontId="18" fillId="16" borderId="8" xfId="0" applyFont="1" applyFill="1" applyBorder="1" applyAlignment="1">
      <alignment horizontal="left" vertical="center" wrapText="1"/>
    </xf>
    <xf numFmtId="0" fontId="18" fillId="16" borderId="1" xfId="0" applyFont="1" applyFill="1" applyBorder="1" applyAlignment="1">
      <alignment horizontal="left" vertical="center" wrapText="1"/>
    </xf>
    <xf numFmtId="0" fontId="18" fillId="16" borderId="13" xfId="0" applyFont="1" applyFill="1" applyBorder="1" applyAlignment="1">
      <alignment horizontal="left" vertical="center" wrapText="1"/>
    </xf>
    <xf numFmtId="0" fontId="18" fillId="16" borderId="1" xfId="0" applyFont="1" applyFill="1" applyBorder="1" applyAlignment="1">
      <alignment horizontal="center" vertical="center" wrapText="1"/>
    </xf>
    <xf numFmtId="2" fontId="18" fillId="16" borderId="1" xfId="0" applyNumberFormat="1" applyFont="1" applyFill="1" applyBorder="1" applyAlignment="1">
      <alignment horizontal="center" vertical="center" wrapText="1"/>
    </xf>
    <xf numFmtId="2" fontId="18" fillId="16" borderId="13" xfId="0" applyNumberFormat="1" applyFont="1" applyFill="1" applyBorder="1" applyAlignment="1">
      <alignment horizontal="center" vertical="center" wrapText="1"/>
    </xf>
    <xf numFmtId="0" fontId="18" fillId="16" borderId="9" xfId="0" applyFont="1" applyFill="1" applyBorder="1" applyAlignment="1">
      <alignment vertical="center" wrapText="1"/>
    </xf>
    <xf numFmtId="0" fontId="18" fillId="16" borderId="10" xfId="0" applyFont="1" applyFill="1" applyBorder="1" applyAlignment="1">
      <alignment horizontal="center" vertical="center" wrapText="1"/>
    </xf>
    <xf numFmtId="0" fontId="18" fillId="16" borderId="5" xfId="0" applyFont="1" applyFill="1" applyBorder="1" applyAlignment="1">
      <alignment horizontal="center" vertical="center" wrapText="1"/>
    </xf>
    <xf numFmtId="2" fontId="18" fillId="16" borderId="5" xfId="0" applyNumberFormat="1" applyFont="1" applyFill="1" applyBorder="1" applyAlignment="1">
      <alignment horizontal="center" vertical="center" wrapText="1"/>
    </xf>
    <xf numFmtId="2" fontId="18" fillId="16" borderId="24" xfId="0" applyNumberFormat="1" applyFont="1" applyFill="1" applyBorder="1" applyAlignment="1">
      <alignment horizontal="center" vertical="center" wrapText="1"/>
    </xf>
    <xf numFmtId="0" fontId="67" fillId="16" borderId="3" xfId="0" applyFont="1" applyFill="1" applyBorder="1" applyAlignment="1">
      <alignment horizontal="center" vertical="center" wrapText="1"/>
    </xf>
    <xf numFmtId="0" fontId="67" fillId="16" borderId="9" xfId="0" applyFont="1" applyFill="1" applyBorder="1" applyAlignment="1">
      <alignment vertical="center" wrapText="1"/>
    </xf>
    <xf numFmtId="0" fontId="67" fillId="16" borderId="1" xfId="0" applyFont="1" applyFill="1" applyBorder="1" applyAlignment="1">
      <alignment vertical="center" wrapText="1"/>
    </xf>
    <xf numFmtId="0" fontId="67" fillId="16" borderId="1" xfId="0" applyFont="1" applyFill="1" applyBorder="1" applyAlignment="1">
      <alignment horizontal="center" vertical="center" wrapText="1"/>
    </xf>
    <xf numFmtId="164" fontId="67" fillId="16" borderId="27" xfId="0" applyNumberFormat="1" applyFont="1" applyFill="1" applyBorder="1" applyAlignment="1">
      <alignment horizontal="center" vertical="center" wrapText="1"/>
    </xf>
    <xf numFmtId="0" fontId="56" fillId="16" borderId="1" xfId="0" applyFont="1" applyFill="1" applyBorder="1" applyAlignment="1">
      <alignment horizontal="left" vertical="center" wrapText="1"/>
    </xf>
    <xf numFmtId="0" fontId="18" fillId="16" borderId="1" xfId="0" applyFont="1" applyFill="1" applyBorder="1" applyAlignment="1">
      <alignment vertical="center" wrapText="1"/>
    </xf>
    <xf numFmtId="0" fontId="36" fillId="16" borderId="1" xfId="0" applyFont="1" applyFill="1" applyBorder="1" applyAlignment="1">
      <alignment horizontal="center" vertical="center" wrapText="1"/>
    </xf>
    <xf numFmtId="164" fontId="18" fillId="16" borderId="1" xfId="0" applyNumberFormat="1" applyFont="1" applyFill="1" applyBorder="1" applyAlignment="1">
      <alignment horizontal="center" vertical="center" wrapText="1"/>
    </xf>
    <xf numFmtId="0" fontId="62" fillId="21" borderId="25" xfId="3" applyFont="1" applyFill="1" applyBorder="1" applyAlignment="1" applyProtection="1">
      <alignment horizontal="center" vertical="center"/>
    </xf>
    <xf numFmtId="0" fontId="86" fillId="0" borderId="52" xfId="0" applyFont="1" applyBorder="1" applyAlignment="1">
      <alignment horizontal="center" vertical="center"/>
    </xf>
    <xf numFmtId="0" fontId="86" fillId="0" borderId="51" xfId="0" applyFont="1" applyBorder="1" applyAlignment="1">
      <alignment horizontal="center" vertical="center"/>
    </xf>
    <xf numFmtId="2" fontId="30" fillId="22" borderId="1" xfId="0" applyNumberFormat="1" applyFont="1" applyFill="1" applyBorder="1" applyAlignment="1">
      <alignment horizontal="center" vertical="center" wrapText="1"/>
    </xf>
    <xf numFmtId="0" fontId="89" fillId="12" borderId="1" xfId="0" applyFont="1" applyFill="1" applyBorder="1" applyAlignment="1">
      <alignment horizontal="center" vertical="center" wrapText="1"/>
    </xf>
    <xf numFmtId="2" fontId="87" fillId="12" borderId="1" xfId="0" applyNumberFormat="1" applyFont="1" applyFill="1" applyBorder="1" applyAlignment="1">
      <alignment horizontal="center" vertical="center" wrapText="1"/>
    </xf>
    <xf numFmtId="0" fontId="90" fillId="0" borderId="0" xfId="0" applyFont="1" applyAlignment="1">
      <alignment vertical="center"/>
    </xf>
    <xf numFmtId="1" fontId="87" fillId="12" borderId="1" xfId="0" applyNumberFormat="1" applyFont="1" applyFill="1" applyBorder="1" applyAlignment="1">
      <alignment horizontal="center" vertical="center" wrapText="1"/>
    </xf>
    <xf numFmtId="0" fontId="50" fillId="21" borderId="25" xfId="3" applyFill="1" applyBorder="1" applyAlignment="1" applyProtection="1">
      <alignment horizontal="center" vertical="center"/>
    </xf>
    <xf numFmtId="0" fontId="50" fillId="21" borderId="53" xfId="3" applyFill="1" applyBorder="1" applyAlignment="1" applyProtection="1">
      <alignment horizontal="center" vertical="center"/>
    </xf>
    <xf numFmtId="0" fontId="36" fillId="12" borderId="28" xfId="0" applyFont="1" applyFill="1" applyBorder="1" applyAlignment="1">
      <alignment horizontal="center" vertical="center" wrapText="1"/>
    </xf>
    <xf numFmtId="2" fontId="18" fillId="12" borderId="28" xfId="0" applyNumberFormat="1" applyFont="1" applyFill="1" applyBorder="1" applyAlignment="1">
      <alignment horizontal="center" vertical="center" wrapText="1"/>
    </xf>
    <xf numFmtId="2" fontId="5" fillId="0" borderId="1" xfId="0" applyNumberFormat="1" applyFont="1" applyBorder="1" applyAlignment="1">
      <alignment horizontal="center" vertical="center" wrapText="1"/>
    </xf>
    <xf numFmtId="0" fontId="75" fillId="0" borderId="1" xfId="0" applyFont="1" applyBorder="1" applyAlignment="1" applyProtection="1">
      <alignment horizontal="center" vertical="center"/>
      <protection locked="0"/>
    </xf>
    <xf numFmtId="0" fontId="9" fillId="0" borderId="5" xfId="0" applyFont="1" applyBorder="1" applyAlignment="1">
      <alignment horizontal="center" vertical="center" wrapText="1"/>
    </xf>
    <xf numFmtId="0" fontId="9" fillId="0" borderId="5" xfId="0" applyFont="1" applyBorder="1" applyAlignment="1">
      <alignment vertical="center" wrapText="1"/>
    </xf>
    <xf numFmtId="0" fontId="0" fillId="0" borderId="5" xfId="0" applyBorder="1" applyAlignment="1">
      <alignment vertical="top"/>
    </xf>
    <xf numFmtId="0" fontId="6" fillId="0" borderId="1" xfId="0" applyFont="1" applyBorder="1" applyAlignment="1">
      <alignment horizontal="center" vertical="top" wrapText="1"/>
    </xf>
    <xf numFmtId="0" fontId="52" fillId="0" borderId="1" xfId="0" applyFont="1" applyBorder="1"/>
    <xf numFmtId="0" fontId="5" fillId="0" borderId="1" xfId="0" applyFont="1" applyBorder="1" applyAlignment="1">
      <alignment horizontal="center" vertical="top" wrapText="1"/>
    </xf>
    <xf numFmtId="2" fontId="73" fillId="26" borderId="1" xfId="0" applyNumberFormat="1" applyFont="1" applyFill="1" applyBorder="1" applyAlignment="1">
      <alignment horizontal="center" vertical="center" wrapText="1"/>
    </xf>
    <xf numFmtId="0" fontId="73" fillId="26" borderId="1" xfId="0" applyFont="1" applyFill="1" applyBorder="1" applyAlignment="1">
      <alignment horizontal="center" vertical="center"/>
    </xf>
    <xf numFmtId="1" fontId="73" fillId="26" borderId="1" xfId="0" applyNumberFormat="1" applyFont="1" applyFill="1" applyBorder="1" applyAlignment="1">
      <alignment horizontal="center" vertical="center"/>
    </xf>
    <xf numFmtId="0" fontId="51" fillId="11" borderId="1" xfId="0" applyFont="1" applyFill="1" applyBorder="1" applyAlignment="1" applyProtection="1">
      <alignment horizontal="center" vertical="center" wrapText="1"/>
      <protection locked="0"/>
    </xf>
    <xf numFmtId="166" fontId="51" fillId="26" borderId="1" xfId="0" applyNumberFormat="1" applyFont="1" applyFill="1" applyBorder="1" applyAlignment="1">
      <alignment horizontal="center" vertical="center"/>
    </xf>
    <xf numFmtId="166" fontId="73" fillId="26" borderId="1" xfId="0" applyNumberFormat="1" applyFont="1" applyFill="1" applyBorder="1" applyAlignment="1">
      <alignment horizontal="center" vertical="center"/>
    </xf>
    <xf numFmtId="0" fontId="93" fillId="21" borderId="53" xfId="3" applyFont="1" applyFill="1" applyBorder="1" applyAlignment="1" applyProtection="1">
      <alignment horizontal="center" vertical="center"/>
    </xf>
    <xf numFmtId="0" fontId="93" fillId="21" borderId="25" xfId="3" applyFont="1" applyFill="1" applyBorder="1" applyAlignment="1" applyProtection="1">
      <alignment horizontal="center" vertical="center"/>
    </xf>
    <xf numFmtId="2" fontId="51" fillId="0" borderId="1" xfId="0" applyNumberFormat="1" applyFont="1" applyBorder="1" applyAlignment="1" applyProtection="1">
      <alignment horizontal="center" vertical="center"/>
      <protection locked="0"/>
    </xf>
    <xf numFmtId="164" fontId="13" fillId="0" borderId="1" xfId="0" applyNumberFormat="1" applyFont="1" applyBorder="1" applyAlignment="1">
      <alignment horizontal="center" vertical="center" wrapText="1"/>
    </xf>
    <xf numFmtId="0" fontId="5" fillId="0" borderId="9" xfId="0" applyFont="1" applyBorder="1" applyAlignment="1">
      <alignment horizontal="left" vertical="center" wrapText="1" indent="1"/>
    </xf>
    <xf numFmtId="0" fontId="67" fillId="0" borderId="3" xfId="0" applyFont="1" applyBorder="1" applyAlignment="1">
      <alignment horizontal="center" vertical="center" wrapText="1"/>
    </xf>
    <xf numFmtId="0" fontId="67" fillId="0" borderId="1" xfId="0" applyFont="1" applyBorder="1" applyAlignment="1">
      <alignment vertical="center" wrapText="1"/>
    </xf>
    <xf numFmtId="0" fontId="67" fillId="0" borderId="1" xfId="0" applyFont="1" applyBorder="1" applyAlignment="1">
      <alignment horizontal="center" vertical="center" wrapText="1"/>
    </xf>
    <xf numFmtId="164" fontId="67" fillId="0" borderId="27" xfId="0" applyNumberFormat="1" applyFont="1" applyBorder="1" applyAlignment="1">
      <alignment horizontal="center" vertical="center" wrapText="1"/>
    </xf>
    <xf numFmtId="0" fontId="67" fillId="0" borderId="26" xfId="0" applyFont="1" applyBorder="1" applyAlignment="1">
      <alignment vertical="center" wrapText="1"/>
    </xf>
    <xf numFmtId="0" fontId="68" fillId="0" borderId="3" xfId="0" applyFont="1" applyBorder="1" applyAlignment="1">
      <alignment horizontal="center" vertical="center" wrapText="1"/>
    </xf>
    <xf numFmtId="0" fontId="68" fillId="0" borderId="9" xfId="0" applyFont="1" applyBorder="1" applyAlignment="1">
      <alignment vertical="center" wrapText="1"/>
    </xf>
    <xf numFmtId="0" fontId="68" fillId="0" borderId="1" xfId="0" applyFont="1" applyBorder="1" applyAlignment="1">
      <alignment vertical="center" wrapText="1"/>
    </xf>
    <xf numFmtId="0" fontId="68" fillId="0" borderId="1" xfId="0" applyFont="1" applyBorder="1" applyAlignment="1">
      <alignment horizontal="center" vertical="center" wrapText="1"/>
    </xf>
    <xf numFmtId="166" fontId="68" fillId="0" borderId="1" xfId="0" applyNumberFormat="1" applyFont="1" applyBorder="1" applyAlignment="1">
      <alignment horizontal="center" vertical="center" wrapText="1"/>
    </xf>
    <xf numFmtId="0" fontId="68" fillId="0" borderId="9" xfId="0" applyFont="1" applyBorder="1" applyAlignment="1">
      <alignment horizontal="left" vertical="center" wrapText="1"/>
    </xf>
    <xf numFmtId="2" fontId="68" fillId="0" borderId="1" xfId="0" applyNumberFormat="1" applyFont="1" applyBorder="1" applyAlignment="1">
      <alignment horizontal="center" vertical="center" wrapText="1"/>
    </xf>
    <xf numFmtId="0" fontId="67" fillId="0" borderId="9" xfId="0" applyFont="1" applyBorder="1" applyAlignment="1">
      <alignment vertical="center" wrapText="1"/>
    </xf>
    <xf numFmtId="166" fontId="67" fillId="0" borderId="1" xfId="0" applyNumberFormat="1" applyFont="1" applyBorder="1" applyAlignment="1">
      <alignment horizontal="center" vertical="center" wrapText="1"/>
    </xf>
    <xf numFmtId="10" fontId="67" fillId="0" borderId="1" xfId="4" applyNumberFormat="1" applyFont="1" applyBorder="1" applyAlignment="1">
      <alignment horizontal="center" vertical="center" wrapText="1"/>
    </xf>
    <xf numFmtId="0" fontId="73" fillId="0" borderId="0" xfId="0" applyFont="1" applyAlignment="1">
      <alignment horizontal="left" vertical="center"/>
    </xf>
    <xf numFmtId="0" fontId="52" fillId="0" borderId="1" xfId="0" applyFont="1" applyBorder="1" applyAlignment="1">
      <alignment horizontal="center"/>
    </xf>
    <xf numFmtId="0" fontId="0" fillId="0" borderId="7" xfId="0" applyBorder="1" applyAlignment="1">
      <alignment horizontal="center" vertical="center"/>
    </xf>
    <xf numFmtId="0" fontId="0" fillId="4" borderId="7" xfId="0" applyFill="1" applyBorder="1" applyAlignment="1">
      <alignment horizontal="center" vertical="center"/>
    </xf>
    <xf numFmtId="0" fontId="0" fillId="7" borderId="7" xfId="0" applyFill="1" applyBorder="1" applyAlignment="1">
      <alignment horizontal="center" vertical="center"/>
    </xf>
    <xf numFmtId="0" fontId="0" fillId="12" borderId="27" xfId="0" applyFill="1" applyBorder="1" applyAlignment="1">
      <alignment horizontal="center" vertical="center" wrapText="1"/>
    </xf>
    <xf numFmtId="0" fontId="0" fillId="0" borderId="28" xfId="0" applyBorder="1" applyAlignment="1">
      <alignment horizontal="center" vertical="center"/>
    </xf>
    <xf numFmtId="0" fontId="0" fillId="0" borderId="27" xfId="0" applyBorder="1" applyAlignment="1">
      <alignment horizontal="center" vertical="center"/>
    </xf>
    <xf numFmtId="0" fontId="2" fillId="0" borderId="1" xfId="0" applyFont="1" applyBorder="1" applyAlignment="1">
      <alignment vertical="center" wrapText="1"/>
    </xf>
    <xf numFmtId="0" fontId="51" fillId="0" borderId="1" xfId="0" applyFont="1" applyBorder="1" applyAlignment="1">
      <alignment vertical="top"/>
    </xf>
    <xf numFmtId="0" fontId="51" fillId="0" borderId="0" xfId="0" applyFont="1" applyAlignment="1">
      <alignment vertical="top" wrapText="1"/>
    </xf>
    <xf numFmtId="0" fontId="51" fillId="0" borderId="1" xfId="0" applyFont="1" applyBorder="1" applyAlignment="1">
      <alignment vertical="top" wrapText="1"/>
    </xf>
    <xf numFmtId="0" fontId="94" fillId="0" borderId="1" xfId="0" applyFont="1" applyBorder="1" applyAlignment="1">
      <alignment vertical="top"/>
    </xf>
    <xf numFmtId="0" fontId="95" fillId="0" borderId="1" xfId="0" applyFont="1" applyBorder="1" applyAlignment="1">
      <alignment vertical="top" wrapText="1"/>
    </xf>
    <xf numFmtId="0" fontId="0" fillId="0" borderId="1" xfId="0" applyBorder="1" applyAlignment="1">
      <alignment horizontal="center" vertical="top" wrapText="1"/>
    </xf>
    <xf numFmtId="0" fontId="96" fillId="0" borderId="1" xfId="0" applyFont="1" applyBorder="1" applyAlignment="1">
      <alignment vertical="center" wrapText="1"/>
    </xf>
    <xf numFmtId="0" fontId="96" fillId="0" borderId="1" xfId="0" applyFont="1" applyBorder="1" applyAlignment="1">
      <alignment vertical="top" wrapText="1"/>
    </xf>
    <xf numFmtId="0" fontId="26" fillId="0" borderId="2" xfId="0" applyFont="1" applyBorder="1" applyAlignment="1">
      <alignment vertical="top" wrapText="1"/>
    </xf>
    <xf numFmtId="0" fontId="6" fillId="0" borderId="1" xfId="0" applyFont="1" applyBorder="1" applyAlignment="1">
      <alignment horizontal="center" vertical="center" wrapText="1"/>
    </xf>
    <xf numFmtId="0" fontId="6" fillId="0" borderId="1" xfId="0" applyFont="1" applyBorder="1" applyAlignment="1">
      <alignment horizontal="left" vertical="center"/>
    </xf>
    <xf numFmtId="0" fontId="75" fillId="0" borderId="1" xfId="0" applyFont="1" applyBorder="1" applyAlignment="1">
      <alignment horizontal="center" vertical="center"/>
    </xf>
    <xf numFmtId="0" fontId="26" fillId="0" borderId="2" xfId="0" applyFont="1" applyBorder="1" applyAlignment="1">
      <alignment vertical="center" wrapText="1"/>
    </xf>
    <xf numFmtId="0" fontId="96" fillId="0" borderId="2" xfId="0" applyFont="1" applyBorder="1" applyAlignment="1">
      <alignment vertical="center" wrapText="1"/>
    </xf>
    <xf numFmtId="0" fontId="27" fillId="0" borderId="1" xfId="0" applyFont="1" applyBorder="1" applyAlignment="1">
      <alignment horizontal="center" vertical="center" wrapText="1"/>
    </xf>
    <xf numFmtId="0" fontId="27" fillId="0" borderId="1" xfId="0" applyFont="1" applyBorder="1" applyAlignment="1">
      <alignment horizontal="left" vertical="center" wrapText="1"/>
    </xf>
    <xf numFmtId="0" fontId="97" fillId="0" borderId="1" xfId="0" applyFont="1" applyBorder="1" applyAlignment="1">
      <alignment vertical="center" wrapText="1"/>
    </xf>
    <xf numFmtId="0" fontId="97" fillId="0" borderId="1" xfId="0" applyFont="1" applyBorder="1" applyAlignment="1">
      <alignment horizontal="left" vertical="center" wrapText="1"/>
    </xf>
    <xf numFmtId="0" fontId="96" fillId="0" borderId="1" xfId="0" applyFont="1" applyBorder="1" applyAlignment="1">
      <alignment vertical="center"/>
    </xf>
    <xf numFmtId="0" fontId="96" fillId="0" borderId="1" xfId="0" applyFont="1" applyBorder="1" applyAlignment="1">
      <alignment horizontal="left" vertical="center" wrapText="1"/>
    </xf>
    <xf numFmtId="0" fontId="73" fillId="0" borderId="1" xfId="0" applyFont="1" applyBorder="1" applyAlignment="1">
      <alignment horizontal="left" vertical="center"/>
    </xf>
    <xf numFmtId="0" fontId="73" fillId="0" borderId="1" xfId="0" applyFont="1" applyBorder="1" applyAlignment="1">
      <alignment horizontal="left" vertical="center" wrapText="1"/>
    </xf>
    <xf numFmtId="0" fontId="2" fillId="0" borderId="1" xfId="0" applyFont="1" applyBorder="1" applyAlignment="1">
      <alignment horizontal="center"/>
    </xf>
    <xf numFmtId="0" fontId="80" fillId="0" borderId="1" xfId="0" applyFont="1" applyBorder="1" applyAlignment="1">
      <alignment horizontal="center" vertical="center"/>
    </xf>
    <xf numFmtId="0" fontId="80" fillId="0" borderId="1" xfId="0" applyFont="1" applyBorder="1" applyAlignment="1">
      <alignment horizontal="left" vertical="center" wrapText="1"/>
    </xf>
    <xf numFmtId="0" fontId="79" fillId="0" borderId="1" xfId="0" applyFont="1" applyBorder="1" applyAlignment="1">
      <alignment horizontal="left" vertical="center" wrapText="1"/>
    </xf>
    <xf numFmtId="0" fontId="0" fillId="2" borderId="26" xfId="0" applyFill="1" applyBorder="1" applyAlignment="1">
      <alignment vertical="center" wrapText="1"/>
    </xf>
    <xf numFmtId="0" fontId="0" fillId="2" borderId="3" xfId="0" applyFill="1" applyBorder="1" applyAlignment="1">
      <alignment vertical="center" wrapText="1"/>
    </xf>
    <xf numFmtId="0" fontId="73" fillId="11" borderId="1" xfId="0" applyFont="1" applyFill="1" applyBorder="1" applyAlignment="1">
      <alignment vertical="center"/>
    </xf>
    <xf numFmtId="0" fontId="73" fillId="0" borderId="10" xfId="0" applyFont="1" applyBorder="1" applyAlignment="1">
      <alignment vertical="center"/>
    </xf>
    <xf numFmtId="0" fontId="73" fillId="0" borderId="6" xfId="0" applyFont="1" applyBorder="1" applyAlignment="1">
      <alignment vertical="center"/>
    </xf>
    <xf numFmtId="0" fontId="51" fillId="3" borderId="1" xfId="0" applyFont="1" applyFill="1" applyBorder="1" applyAlignment="1">
      <alignment horizontal="center" vertical="center"/>
    </xf>
    <xf numFmtId="2" fontId="51" fillId="4" borderId="1" xfId="0" applyNumberFormat="1" applyFont="1" applyFill="1" applyBorder="1" applyAlignment="1">
      <alignment horizontal="center" vertical="center" wrapText="1"/>
    </xf>
    <xf numFmtId="2" fontId="51" fillId="16" borderId="1" xfId="0" applyNumberFormat="1" applyFont="1" applyFill="1" applyBorder="1" applyAlignment="1">
      <alignment horizontal="center" vertical="center"/>
    </xf>
    <xf numFmtId="2" fontId="51" fillId="0" borderId="1" xfId="0" applyNumberFormat="1" applyFont="1" applyBorder="1" applyAlignment="1">
      <alignment horizontal="center" vertical="center"/>
    </xf>
    <xf numFmtId="2" fontId="51" fillId="3" borderId="1" xfId="0" applyNumberFormat="1" applyFont="1" applyFill="1" applyBorder="1" applyAlignment="1">
      <alignment horizontal="center" vertical="center"/>
    </xf>
    <xf numFmtId="2" fontId="73" fillId="2" borderId="1" xfId="0" applyNumberFormat="1" applyFont="1" applyFill="1" applyBorder="1" applyAlignment="1">
      <alignment horizontal="center" vertical="center" wrapText="1"/>
    </xf>
    <xf numFmtId="2" fontId="73" fillId="10" borderId="1" xfId="0" applyNumberFormat="1" applyFont="1" applyFill="1" applyBorder="1" applyAlignment="1">
      <alignment horizontal="center" vertical="center" wrapText="1"/>
    </xf>
    <xf numFmtId="2" fontId="51" fillId="2" borderId="1" xfId="0" applyNumberFormat="1" applyFont="1" applyFill="1" applyBorder="1" applyAlignment="1">
      <alignment horizontal="center" vertical="center"/>
    </xf>
    <xf numFmtId="164" fontId="73" fillId="4" borderId="1" xfId="0" applyNumberFormat="1" applyFont="1" applyFill="1" applyBorder="1" applyAlignment="1">
      <alignment horizontal="center" vertical="center" wrapText="1"/>
    </xf>
    <xf numFmtId="2" fontId="51" fillId="6" borderId="1" xfId="0" applyNumberFormat="1" applyFont="1" applyFill="1" applyBorder="1" applyAlignment="1">
      <alignment horizontal="center" vertical="center"/>
    </xf>
    <xf numFmtId="0" fontId="51" fillId="2" borderId="1" xfId="0" applyFont="1" applyFill="1" applyBorder="1" applyAlignment="1">
      <alignment horizontal="center" vertical="center"/>
    </xf>
    <xf numFmtId="2" fontId="73" fillId="3" borderId="1" xfId="0" applyNumberFormat="1" applyFont="1" applyFill="1" applyBorder="1" applyAlignment="1">
      <alignment horizontal="center" vertical="center"/>
    </xf>
    <xf numFmtId="2" fontId="51" fillId="7" borderId="1" xfId="0" applyNumberFormat="1" applyFont="1" applyFill="1" applyBorder="1" applyAlignment="1">
      <alignment horizontal="center" vertical="center"/>
    </xf>
    <xf numFmtId="2" fontId="51" fillId="14" borderId="1" xfId="0" applyNumberFormat="1" applyFont="1" applyFill="1" applyBorder="1" applyAlignment="1">
      <alignment horizontal="center" vertical="center"/>
    </xf>
    <xf numFmtId="0" fontId="51" fillId="13" borderId="1" xfId="0" applyFont="1" applyFill="1" applyBorder="1" applyAlignment="1">
      <alignment horizontal="center"/>
    </xf>
    <xf numFmtId="0" fontId="51" fillId="7" borderId="1" xfId="0" applyFont="1" applyFill="1" applyBorder="1" applyAlignment="1">
      <alignment vertical="center" wrapText="1"/>
    </xf>
    <xf numFmtId="0" fontId="73" fillId="20" borderId="1" xfId="0" applyFont="1" applyFill="1" applyBorder="1" applyAlignment="1">
      <alignment horizontal="center" vertical="center" wrapText="1"/>
    </xf>
    <xf numFmtId="2" fontId="51" fillId="0" borderId="0" xfId="0" applyNumberFormat="1" applyFont="1" applyAlignment="1">
      <alignment horizontal="center" vertical="center"/>
    </xf>
    <xf numFmtId="0" fontId="73" fillId="6" borderId="1" xfId="0" applyFont="1" applyFill="1" applyBorder="1" applyAlignment="1">
      <alignment horizontal="center" vertical="center" wrapText="1"/>
    </xf>
    <xf numFmtId="0" fontId="73" fillId="6" borderId="1" xfId="0" applyFont="1" applyFill="1" applyBorder="1" applyAlignment="1">
      <alignment vertical="center" wrapText="1"/>
    </xf>
    <xf numFmtId="0" fontId="73" fillId="6" borderId="5" xfId="0" applyFont="1" applyFill="1" applyBorder="1" applyAlignment="1">
      <alignment horizontal="center" vertical="center" wrapText="1"/>
    </xf>
    <xf numFmtId="0" fontId="0" fillId="3" borderId="1" xfId="0" applyFill="1" applyBorder="1" applyAlignment="1">
      <alignment horizontal="center" vertical="center" wrapText="1"/>
    </xf>
    <xf numFmtId="0" fontId="75" fillId="0" borderId="1" xfId="0" applyFont="1" applyBorder="1" applyAlignment="1">
      <alignment horizontal="left" vertical="center"/>
    </xf>
    <xf numFmtId="0" fontId="75" fillId="0" borderId="1" xfId="0" applyFont="1" applyBorder="1" applyAlignment="1">
      <alignment horizontal="left" vertical="center" wrapText="1"/>
    </xf>
    <xf numFmtId="176" fontId="73" fillId="0" borderId="1" xfId="7" applyFont="1" applyBorder="1" applyAlignment="1">
      <alignment horizontal="center" vertical="center"/>
    </xf>
    <xf numFmtId="176" fontId="75" fillId="0" borderId="1" xfId="7" applyFont="1" applyBorder="1" applyAlignment="1">
      <alignment horizontal="left" vertical="center"/>
    </xf>
    <xf numFmtId="0" fontId="73" fillId="16" borderId="1" xfId="0" applyFont="1" applyFill="1" applyBorder="1" applyAlignment="1">
      <alignment horizontal="center" vertical="center" wrapText="1"/>
    </xf>
    <xf numFmtId="0" fontId="73" fillId="16" borderId="1" xfId="0" applyFont="1" applyFill="1" applyBorder="1" applyAlignment="1">
      <alignment vertical="center" wrapText="1"/>
    </xf>
    <xf numFmtId="0" fontId="0" fillId="16" borderId="1" xfId="0" applyFill="1" applyBorder="1" applyAlignment="1">
      <alignment horizontal="center" vertical="center"/>
    </xf>
    <xf numFmtId="0" fontId="0" fillId="16" borderId="1" xfId="0" applyFill="1" applyBorder="1" applyAlignment="1">
      <alignment horizontal="center" vertical="center" wrapText="1"/>
    </xf>
    <xf numFmtId="0" fontId="51" fillId="26" borderId="1" xfId="0" applyFont="1" applyFill="1" applyBorder="1" applyAlignment="1">
      <alignment horizontal="center" vertical="center"/>
    </xf>
    <xf numFmtId="0" fontId="51" fillId="26" borderId="1" xfId="0" applyFont="1" applyFill="1" applyBorder="1" applyAlignment="1">
      <alignment vertical="center" wrapText="1"/>
    </xf>
    <xf numFmtId="0" fontId="51" fillId="26" borderId="1" xfId="0" applyFont="1" applyFill="1" applyBorder="1" applyAlignment="1">
      <alignment horizontal="center" vertical="center" wrapText="1"/>
    </xf>
    <xf numFmtId="0" fontId="51" fillId="16" borderId="1" xfId="0" applyFont="1" applyFill="1" applyBorder="1" applyAlignment="1">
      <alignment vertical="center" wrapText="1"/>
    </xf>
    <xf numFmtId="0" fontId="73" fillId="10" borderId="1" xfId="0" applyFont="1" applyFill="1" applyBorder="1" applyAlignment="1">
      <alignment horizontal="center" vertical="center"/>
    </xf>
    <xf numFmtId="0" fontId="73" fillId="10" borderId="1" xfId="0" applyFont="1" applyFill="1" applyBorder="1" applyAlignment="1">
      <alignment vertical="center" wrapText="1"/>
    </xf>
    <xf numFmtId="2" fontId="51" fillId="4" borderId="1" xfId="0" applyNumberFormat="1" applyFont="1" applyFill="1" applyBorder="1" applyAlignment="1">
      <alignment horizontal="left" vertical="center" wrapText="1"/>
    </xf>
    <xf numFmtId="0" fontId="60" fillId="0" borderId="1" xfId="0" applyFont="1" applyBorder="1" applyAlignment="1">
      <alignment horizontal="center" vertical="center" wrapText="1"/>
    </xf>
    <xf numFmtId="0" fontId="77" fillId="0" borderId="1" xfId="0" applyFont="1" applyBorder="1" applyAlignment="1">
      <alignment horizontal="center" vertical="center" wrapText="1"/>
    </xf>
    <xf numFmtId="0" fontId="78" fillId="4" borderId="1" xfId="0" applyFont="1" applyFill="1" applyBorder="1" applyAlignment="1">
      <alignment horizontal="center" vertical="center" wrapText="1"/>
    </xf>
    <xf numFmtId="0" fontId="73" fillId="4" borderId="1" xfId="0" applyFont="1" applyFill="1" applyBorder="1" applyAlignment="1">
      <alignment horizontal="left" vertical="center" wrapText="1"/>
    </xf>
    <xf numFmtId="0" fontId="79" fillId="10" borderId="1" xfId="0" applyFont="1" applyFill="1" applyBorder="1" applyAlignment="1">
      <alignment horizontal="left" vertical="center" wrapText="1"/>
    </xf>
    <xf numFmtId="0" fontId="79" fillId="10" borderId="1" xfId="0" applyFont="1" applyFill="1" applyBorder="1" applyAlignment="1">
      <alignment vertical="center" wrapText="1"/>
    </xf>
    <xf numFmtId="0" fontId="52" fillId="0" borderId="1" xfId="0" applyFont="1" applyBorder="1" applyAlignment="1">
      <alignment horizontal="left" vertical="center" wrapText="1"/>
    </xf>
    <xf numFmtId="1" fontId="52" fillId="0" borderId="1" xfId="0" applyNumberFormat="1" applyFont="1" applyBorder="1" applyAlignment="1">
      <alignment horizontal="center" vertical="center" wrapText="1"/>
    </xf>
    <xf numFmtId="0" fontId="52" fillId="10" borderId="1" xfId="0" applyFont="1" applyFill="1" applyBorder="1" applyAlignment="1">
      <alignment horizontal="left" vertical="center" wrapText="1"/>
    </xf>
    <xf numFmtId="0" fontId="80" fillId="26" borderId="1" xfId="0" applyFont="1" applyFill="1" applyBorder="1" applyAlignment="1">
      <alignment horizontal="center" vertical="center"/>
    </xf>
    <xf numFmtId="0" fontId="80" fillId="26" borderId="1" xfId="0" applyFont="1" applyFill="1" applyBorder="1" applyAlignment="1">
      <alignment horizontal="left" vertical="center" wrapText="1"/>
    </xf>
    <xf numFmtId="1" fontId="80" fillId="26" borderId="1" xfId="0" applyNumberFormat="1" applyFont="1" applyFill="1" applyBorder="1" applyAlignment="1">
      <alignment horizontal="center" vertical="center" wrapText="1"/>
    </xf>
    <xf numFmtId="1" fontId="80" fillId="0" borderId="1" xfId="0" applyNumberFormat="1" applyFont="1" applyBorder="1" applyAlignment="1">
      <alignment horizontal="center" vertical="center" wrapText="1"/>
    </xf>
    <xf numFmtId="0" fontId="73" fillId="26" borderId="1" xfId="0" applyFont="1" applyFill="1" applyBorder="1" applyAlignment="1">
      <alignment horizontal="center" vertical="center" wrapText="1"/>
    </xf>
    <xf numFmtId="0" fontId="73" fillId="26" borderId="1" xfId="0" applyFont="1" applyFill="1" applyBorder="1" applyAlignment="1">
      <alignment horizontal="left" vertical="center" wrapText="1"/>
    </xf>
    <xf numFmtId="0" fontId="73" fillId="6" borderId="1" xfId="0" applyFont="1" applyFill="1" applyBorder="1" applyAlignment="1">
      <alignment horizontal="center" vertical="center"/>
    </xf>
    <xf numFmtId="0" fontId="81" fillId="0" borderId="1" xfId="0" applyFont="1" applyBorder="1" applyAlignment="1">
      <alignment horizontal="center" vertical="center" wrapText="1"/>
    </xf>
    <xf numFmtId="0" fontId="73" fillId="26" borderId="1" xfId="0" applyFont="1" applyFill="1" applyBorder="1" applyAlignment="1">
      <alignment vertical="center"/>
    </xf>
    <xf numFmtId="0" fontId="0" fillId="26" borderId="1" xfId="0" applyFill="1" applyBorder="1" applyAlignment="1">
      <alignment horizontal="center" vertical="center"/>
    </xf>
    <xf numFmtId="2" fontId="73" fillId="27" borderId="1" xfId="0" applyNumberFormat="1" applyFont="1" applyFill="1" applyBorder="1" applyAlignment="1">
      <alignment horizontal="center" vertical="center"/>
    </xf>
    <xf numFmtId="0" fontId="82" fillId="0" borderId="1" xfId="0" applyFont="1" applyBorder="1" applyAlignment="1">
      <alignment horizontal="center" vertical="center" wrapText="1"/>
    </xf>
    <xf numFmtId="0" fontId="73" fillId="26" borderId="1" xfId="0" applyFont="1" applyFill="1" applyBorder="1" applyAlignment="1">
      <alignment vertical="center" wrapText="1"/>
    </xf>
    <xf numFmtId="0" fontId="77" fillId="0" borderId="1" xfId="0" applyFont="1" applyBorder="1" applyAlignment="1">
      <alignment horizontal="center" vertical="center"/>
    </xf>
    <xf numFmtId="0" fontId="77" fillId="0" borderId="1" xfId="0" applyFont="1" applyBorder="1" applyAlignment="1">
      <alignment vertical="center" wrapText="1"/>
    </xf>
    <xf numFmtId="0" fontId="0" fillId="2" borderId="27" xfId="0" applyFill="1" applyBorder="1" applyAlignment="1">
      <alignment vertical="center"/>
    </xf>
    <xf numFmtId="0" fontId="73" fillId="4" borderId="1" xfId="0" applyFont="1" applyFill="1" applyBorder="1" applyAlignment="1">
      <alignment horizontal="left" vertical="center"/>
    </xf>
    <xf numFmtId="0" fontId="73" fillId="26" borderId="1" xfId="0" applyFont="1" applyFill="1" applyBorder="1" applyAlignment="1">
      <alignment horizontal="left" vertical="center"/>
    </xf>
    <xf numFmtId="0" fontId="73" fillId="3" borderId="1" xfId="0" applyFont="1" applyFill="1" applyBorder="1" applyAlignment="1">
      <alignment horizontal="center" vertical="center" wrapText="1"/>
    </xf>
    <xf numFmtId="0" fontId="0" fillId="14" borderId="1" xfId="0" applyFill="1" applyBorder="1" applyAlignment="1">
      <alignment horizontal="center" vertical="center"/>
    </xf>
    <xf numFmtId="0" fontId="0" fillId="14" borderId="1" xfId="0" applyFill="1" applyBorder="1" applyAlignment="1">
      <alignment vertical="center" wrapText="1"/>
    </xf>
    <xf numFmtId="0" fontId="0" fillId="14" borderId="1" xfId="0" applyFill="1" applyBorder="1" applyAlignment="1">
      <alignment horizontal="center" vertical="center" wrapText="1"/>
    </xf>
    <xf numFmtId="0" fontId="51" fillId="13" borderId="1" xfId="0" applyFont="1" applyFill="1" applyBorder="1"/>
    <xf numFmtId="0" fontId="75" fillId="11" borderId="1" xfId="0" applyFont="1" applyFill="1" applyBorder="1" applyAlignment="1">
      <alignment horizontal="center" vertical="center"/>
    </xf>
    <xf numFmtId="0" fontId="75" fillId="11" borderId="1" xfId="0" applyFont="1" applyFill="1" applyBorder="1" applyAlignment="1">
      <alignment vertical="center" wrapText="1"/>
    </xf>
    <xf numFmtId="0" fontId="75" fillId="11" borderId="1" xfId="0" applyFont="1" applyFill="1" applyBorder="1" applyAlignment="1">
      <alignment horizontal="center" vertical="center" wrapText="1"/>
    </xf>
    <xf numFmtId="0" fontId="73" fillId="13" borderId="1" xfId="0" applyFont="1" applyFill="1" applyBorder="1" applyAlignment="1">
      <alignment vertical="center" wrapText="1"/>
    </xf>
    <xf numFmtId="0" fontId="75" fillId="0" borderId="1" xfId="0" applyFont="1" applyBorder="1" applyAlignment="1">
      <alignment horizontal="center" vertical="center" wrapText="1"/>
    </xf>
    <xf numFmtId="0" fontId="84" fillId="0" borderId="1" xfId="0" applyFont="1" applyBorder="1" applyAlignment="1">
      <alignment horizontal="center" vertical="center"/>
    </xf>
    <xf numFmtId="0" fontId="84" fillId="0" borderId="1" xfId="0" applyFont="1" applyBorder="1" applyAlignment="1">
      <alignment vertical="center"/>
    </xf>
    <xf numFmtId="0" fontId="84" fillId="0" borderId="1" xfId="0" applyFont="1" applyBorder="1" applyAlignment="1">
      <alignment vertical="top" wrapText="1"/>
    </xf>
    <xf numFmtId="0" fontId="84" fillId="0" borderId="1" xfId="0" applyFont="1" applyBorder="1" applyAlignment="1">
      <alignment vertical="center" wrapText="1"/>
    </xf>
    <xf numFmtId="0" fontId="0" fillId="5" borderId="25" xfId="0" applyFill="1" applyBorder="1" applyAlignment="1">
      <alignment horizontal="center" vertical="center"/>
    </xf>
    <xf numFmtId="0" fontId="0" fillId="11" borderId="2" xfId="0" applyFill="1" applyBorder="1" applyAlignment="1">
      <alignment horizontal="center" vertical="center" wrapText="1"/>
    </xf>
    <xf numFmtId="0" fontId="0" fillId="0" borderId="0" xfId="0" applyAlignment="1">
      <alignment horizontal="center" vertical="top" wrapText="1"/>
    </xf>
    <xf numFmtId="0" fontId="51" fillId="0" borderId="1" xfId="0" applyFont="1" applyBorder="1" applyAlignment="1" applyProtection="1">
      <alignment vertical="center" wrapText="1"/>
      <protection locked="0"/>
    </xf>
    <xf numFmtId="2" fontId="73" fillId="27" borderId="1" xfId="0" applyNumberFormat="1" applyFont="1" applyFill="1" applyBorder="1" applyAlignment="1" applyProtection="1">
      <alignment horizontal="center" vertical="center"/>
      <protection locked="0"/>
    </xf>
    <xf numFmtId="0" fontId="73" fillId="15" borderId="1" xfId="0" applyFont="1" applyFill="1" applyBorder="1" applyAlignment="1" applyProtection="1">
      <alignment horizontal="center" vertical="center"/>
      <protection locked="0"/>
    </xf>
    <xf numFmtId="2" fontId="73" fillId="16" borderId="1" xfId="0" applyNumberFormat="1" applyFont="1" applyFill="1" applyBorder="1" applyAlignment="1" applyProtection="1">
      <alignment horizontal="center" vertical="center" wrapText="1"/>
      <protection locked="0"/>
    </xf>
    <xf numFmtId="2" fontId="0" fillId="0" borderId="1" xfId="0" applyNumberFormat="1" applyBorder="1" applyAlignment="1" applyProtection="1">
      <alignment vertical="center"/>
      <protection locked="0"/>
    </xf>
    <xf numFmtId="2" fontId="51" fillId="0" borderId="1" xfId="0" applyNumberFormat="1" applyFont="1" applyBorder="1" applyAlignment="1" applyProtection="1">
      <alignment vertical="center"/>
      <protection locked="0"/>
    </xf>
    <xf numFmtId="0" fontId="0" fillId="0" borderId="0" xfId="0" applyProtection="1">
      <protection locked="0"/>
    </xf>
    <xf numFmtId="0" fontId="79" fillId="10" borderId="1" xfId="0" applyFont="1" applyFill="1" applyBorder="1" applyAlignment="1" applyProtection="1">
      <alignment horizontal="center" vertical="center" wrapText="1"/>
      <protection locked="0"/>
    </xf>
    <xf numFmtId="0" fontId="79" fillId="0" borderId="1" xfId="0" applyFont="1" applyBorder="1" applyAlignment="1" applyProtection="1">
      <alignment horizontal="center" vertical="center" wrapText="1"/>
      <protection locked="0"/>
    </xf>
    <xf numFmtId="2" fontId="73" fillId="0" borderId="1" xfId="0" applyNumberFormat="1" applyFont="1" applyBorder="1" applyAlignment="1" applyProtection="1">
      <alignment vertical="center" wrapText="1"/>
      <protection locked="0"/>
    </xf>
    <xf numFmtId="166" fontId="73" fillId="0" borderId="1" xfId="0" applyNumberFormat="1" applyFont="1" applyBorder="1" applyAlignment="1" applyProtection="1">
      <alignment horizontal="center" vertical="center" wrapText="1"/>
      <protection locked="0"/>
    </xf>
    <xf numFmtId="166" fontId="51" fillId="0" borderId="1" xfId="0" applyNumberFormat="1" applyFont="1" applyBorder="1" applyAlignment="1" applyProtection="1">
      <alignment horizontal="center" vertical="center"/>
      <protection locked="0"/>
    </xf>
    <xf numFmtId="0" fontId="73" fillId="0" borderId="1" xfId="0" applyFont="1" applyBorder="1" applyAlignment="1" applyProtection="1">
      <alignment vertical="center"/>
      <protection locked="0"/>
    </xf>
    <xf numFmtId="1" fontId="73" fillId="0" borderId="1" xfId="0" applyNumberFormat="1" applyFont="1" applyBorder="1" applyAlignment="1" applyProtection="1">
      <alignment horizontal="center" vertical="center"/>
      <protection locked="0"/>
    </xf>
    <xf numFmtId="166" fontId="73" fillId="0" borderId="1" xfId="0" applyNumberFormat="1" applyFont="1" applyBorder="1" applyAlignment="1" applyProtection="1">
      <alignment horizontal="center" vertical="center"/>
      <protection locked="0"/>
    </xf>
    <xf numFmtId="164" fontId="73" fillId="0" borderId="1" xfId="0" applyNumberFormat="1" applyFont="1" applyBorder="1" applyAlignment="1" applyProtection="1">
      <alignment horizontal="center" vertical="center"/>
      <protection locked="0"/>
    </xf>
    <xf numFmtId="2" fontId="73" fillId="6" borderId="1" xfId="0" applyNumberFormat="1" applyFont="1" applyFill="1" applyBorder="1" applyAlignment="1" applyProtection="1">
      <alignment horizontal="center" vertical="center" wrapText="1"/>
      <protection locked="0"/>
    </xf>
    <xf numFmtId="0" fontId="0" fillId="13" borderId="1" xfId="0" applyFill="1" applyBorder="1" applyProtection="1">
      <protection locked="0"/>
    </xf>
    <xf numFmtId="0" fontId="73" fillId="11" borderId="1" xfId="0" applyFont="1" applyFill="1" applyBorder="1" applyAlignment="1" applyProtection="1">
      <alignment vertical="center"/>
      <protection locked="0"/>
    </xf>
    <xf numFmtId="0" fontId="73" fillId="13" borderId="1" xfId="0" applyFont="1" applyFill="1" applyBorder="1" applyAlignment="1" applyProtection="1">
      <alignment horizontal="center" vertical="center"/>
      <protection locked="0"/>
    </xf>
    <xf numFmtId="0" fontId="73" fillId="20" borderId="1" xfId="0" applyFont="1" applyFill="1" applyBorder="1" applyAlignment="1" applyProtection="1">
      <alignment horizontal="center" vertical="center"/>
      <protection locked="0"/>
    </xf>
    <xf numFmtId="0" fontId="73" fillId="20" borderId="1" xfId="0" applyFont="1" applyFill="1" applyBorder="1" applyAlignment="1" applyProtection="1">
      <alignment vertical="center" wrapText="1"/>
      <protection locked="0"/>
    </xf>
    <xf numFmtId="0" fontId="0" fillId="0" borderId="17" xfId="0" applyBorder="1"/>
    <xf numFmtId="0" fontId="0" fillId="0" borderId="39" xfId="0" applyBorder="1"/>
    <xf numFmtId="0" fontId="55" fillId="12" borderId="1" xfId="0" applyFont="1" applyFill="1" applyBorder="1" applyAlignment="1">
      <alignment horizontal="center" vertical="center" wrapText="1"/>
    </xf>
    <xf numFmtId="166" fontId="51" fillId="4" borderId="1" xfId="0" applyNumberFormat="1" applyFont="1" applyFill="1" applyBorder="1" applyAlignment="1">
      <alignment horizontal="left" vertical="center"/>
    </xf>
    <xf numFmtId="2" fontId="51" fillId="4" borderId="1" xfId="0" applyNumberFormat="1" applyFont="1" applyFill="1" applyBorder="1" applyAlignment="1">
      <alignment horizontal="left" vertical="center"/>
    </xf>
    <xf numFmtId="0" fontId="0" fillId="28" borderId="1" xfId="0" applyFill="1" applyBorder="1" applyAlignment="1" applyProtection="1">
      <alignment horizontal="center" vertical="center"/>
      <protection locked="0"/>
    </xf>
    <xf numFmtId="0" fontId="0" fillId="28" borderId="1" xfId="0" applyFill="1" applyBorder="1" applyAlignment="1" applyProtection="1">
      <alignment horizontal="center" vertical="center" wrapText="1"/>
      <protection locked="0"/>
    </xf>
    <xf numFmtId="0" fontId="58" fillId="19" borderId="1" xfId="0" applyFont="1" applyFill="1" applyBorder="1" applyAlignment="1">
      <alignment horizontal="center" vertical="center"/>
    </xf>
    <xf numFmtId="0" fontId="58" fillId="19" borderId="2" xfId="0" applyFont="1" applyFill="1" applyBorder="1" applyAlignment="1">
      <alignment horizontal="center" vertical="center"/>
    </xf>
    <xf numFmtId="0" fontId="56" fillId="0" borderId="1" xfId="0" applyFont="1" applyBorder="1" applyAlignment="1">
      <alignment horizontal="left" vertical="center" wrapText="1"/>
    </xf>
    <xf numFmtId="0" fontId="6" fillId="0" borderId="1" xfId="0" applyFont="1" applyBorder="1" applyAlignment="1">
      <alignment vertical="center" wrapText="1"/>
    </xf>
    <xf numFmtId="0" fontId="87" fillId="0" borderId="1" xfId="0" applyFont="1" applyBorder="1" applyAlignment="1">
      <alignment horizontal="center" vertical="center" wrapText="1"/>
    </xf>
    <xf numFmtId="0" fontId="88" fillId="0" borderId="1" xfId="0" applyFont="1" applyBorder="1" applyAlignment="1">
      <alignment horizontal="left" vertical="center" wrapText="1" indent="1"/>
    </xf>
    <xf numFmtId="0" fontId="87" fillId="0" borderId="1" xfId="0" applyFont="1" applyBorder="1" applyAlignment="1">
      <alignment vertical="center" wrapText="1"/>
    </xf>
    <xf numFmtId="0" fontId="55" fillId="0" borderId="1" xfId="0" applyFont="1" applyBorder="1" applyAlignment="1">
      <alignment horizontal="left" vertical="center" wrapText="1"/>
    </xf>
    <xf numFmtId="0" fontId="70" fillId="0" borderId="1" xfId="0" applyFont="1" applyBorder="1" applyAlignment="1">
      <alignment vertical="center" wrapText="1"/>
    </xf>
    <xf numFmtId="0" fontId="34" fillId="0" borderId="1" xfId="0" applyFont="1" applyBorder="1" applyAlignment="1">
      <alignment vertical="center"/>
    </xf>
    <xf numFmtId="0" fontId="18" fillId="0" borderId="39" xfId="0" applyFont="1" applyBorder="1" applyAlignment="1">
      <alignment horizontal="center" vertical="center" wrapText="1"/>
    </xf>
    <xf numFmtId="0" fontId="56" fillId="0" borderId="28" xfId="0" applyFont="1" applyBorder="1" applyAlignment="1">
      <alignment horizontal="left" vertical="center" wrapText="1"/>
    </xf>
    <xf numFmtId="0" fontId="18" fillId="0" borderId="28" xfId="0" applyFont="1" applyBorder="1" applyAlignment="1">
      <alignment vertical="center" wrapText="1"/>
    </xf>
    <xf numFmtId="0" fontId="18" fillId="0" borderId="45" xfId="0" applyFont="1" applyBorder="1" applyAlignment="1">
      <alignment horizontal="center" vertical="center" wrapText="1"/>
    </xf>
    <xf numFmtId="0" fontId="56" fillId="0" borderId="46" xfId="0" applyFont="1" applyBorder="1" applyAlignment="1">
      <alignment horizontal="left" vertical="center" wrapText="1"/>
    </xf>
    <xf numFmtId="0" fontId="18" fillId="0" borderId="46" xfId="0" applyFont="1" applyBorder="1" applyAlignment="1">
      <alignment vertical="center" wrapText="1"/>
    </xf>
    <xf numFmtId="0" fontId="63" fillId="0" borderId="5" xfId="0" applyFont="1" applyBorder="1" applyAlignment="1">
      <alignment horizontal="center" vertical="center" wrapText="1"/>
    </xf>
    <xf numFmtId="0" fontId="64" fillId="0" borderId="5" xfId="0" applyFont="1" applyBorder="1" applyAlignment="1">
      <alignment horizontal="left" vertical="center" wrapText="1" indent="1"/>
    </xf>
    <xf numFmtId="0" fontId="63" fillId="0" borderId="5" xfId="0" applyFont="1" applyBorder="1" applyAlignment="1">
      <alignment vertical="center" wrapText="1"/>
    </xf>
    <xf numFmtId="0" fontId="63" fillId="0" borderId="1" xfId="0" applyFont="1" applyBorder="1" applyAlignment="1">
      <alignment horizontal="center" vertical="center" wrapText="1"/>
    </xf>
    <xf numFmtId="0" fontId="64" fillId="0" borderId="1" xfId="0" applyFont="1" applyBorder="1" applyAlignment="1">
      <alignment horizontal="left" vertical="center" wrapText="1" indent="1"/>
    </xf>
    <xf numFmtId="0" fontId="63" fillId="0" borderId="1" xfId="0" applyFont="1" applyBorder="1" applyAlignment="1">
      <alignment vertical="center" wrapText="1"/>
    </xf>
    <xf numFmtId="0" fontId="0" fillId="12" borderId="1" xfId="0" applyFill="1" applyBorder="1" applyAlignment="1" applyProtection="1">
      <alignment horizontal="center" vertical="center" wrapText="1"/>
      <protection locked="0"/>
    </xf>
    <xf numFmtId="0" fontId="51" fillId="12" borderId="1" xfId="0" applyFont="1" applyFill="1" applyBorder="1" applyAlignment="1" applyProtection="1">
      <alignment horizontal="center" vertical="center" wrapText="1"/>
      <protection locked="0"/>
    </xf>
    <xf numFmtId="0" fontId="81" fillId="11" borderId="1" xfId="0" applyFont="1" applyFill="1" applyBorder="1" applyAlignment="1" applyProtection="1">
      <alignment horizontal="center" vertical="center" wrapText="1"/>
      <protection locked="0"/>
    </xf>
    <xf numFmtId="0" fontId="52" fillId="29" borderId="1" xfId="0" applyFont="1" applyFill="1" applyBorder="1" applyAlignment="1">
      <alignment horizontal="center" vertical="center"/>
    </xf>
    <xf numFmtId="0" fontId="52" fillId="29" borderId="1" xfId="0" applyFont="1" applyFill="1" applyBorder="1" applyAlignment="1">
      <alignment horizontal="left" vertical="center" wrapText="1"/>
    </xf>
    <xf numFmtId="0" fontId="79" fillId="29" borderId="1" xfId="0" applyFont="1" applyFill="1" applyBorder="1" applyAlignment="1">
      <alignment horizontal="center" vertical="center" wrapText="1"/>
    </xf>
    <xf numFmtId="0" fontId="0" fillId="29" borderId="1" xfId="0" applyFill="1" applyBorder="1" applyAlignment="1" applyProtection="1">
      <alignment horizontal="center" vertical="center"/>
      <protection locked="0"/>
    </xf>
    <xf numFmtId="0" fontId="51" fillId="29" borderId="1" xfId="0" applyFont="1" applyFill="1" applyBorder="1" applyAlignment="1" applyProtection="1">
      <alignment horizontal="center" vertical="center"/>
      <protection locked="0"/>
    </xf>
    <xf numFmtId="0" fontId="76" fillId="0" borderId="1" xfId="0" applyFont="1" applyBorder="1" applyAlignment="1" applyProtection="1">
      <alignment horizontal="center" vertical="center" wrapText="1"/>
      <protection locked="0"/>
    </xf>
    <xf numFmtId="0" fontId="98" fillId="0" borderId="1" xfId="0" applyFont="1" applyBorder="1" applyAlignment="1">
      <alignment horizontal="center" vertical="center"/>
    </xf>
    <xf numFmtId="0" fontId="98" fillId="0" borderId="1" xfId="0" applyFont="1" applyBorder="1" applyAlignment="1">
      <alignment vertical="center" wrapText="1"/>
    </xf>
    <xf numFmtId="0" fontId="0" fillId="11" borderId="1" xfId="0" applyFill="1" applyBorder="1" applyAlignment="1" applyProtection="1">
      <alignment horizontal="left" vertical="center" wrapText="1"/>
      <protection locked="0"/>
    </xf>
    <xf numFmtId="0" fontId="0" fillId="0" borderId="1" xfId="0" applyBorder="1" applyAlignment="1" applyProtection="1">
      <alignment horizontal="left" vertical="center" wrapText="1"/>
      <protection locked="0"/>
    </xf>
    <xf numFmtId="0" fontId="1" fillId="0" borderId="1" xfId="0" applyFont="1" applyBorder="1" applyAlignment="1" applyProtection="1">
      <alignment horizontal="left" vertical="center" wrapText="1"/>
      <protection locked="0"/>
    </xf>
    <xf numFmtId="0" fontId="5" fillId="0" borderId="1" xfId="0" applyFont="1" applyBorder="1" applyAlignment="1" applyProtection="1">
      <alignment horizontal="left" vertical="center" wrapText="1"/>
      <protection locked="0"/>
    </xf>
    <xf numFmtId="0" fontId="91" fillId="0" borderId="1" xfId="0" applyFont="1" applyBorder="1" applyAlignment="1">
      <alignment horizontal="left"/>
    </xf>
    <xf numFmtId="0" fontId="0" fillId="0" borderId="26" xfId="0" applyBorder="1"/>
    <xf numFmtId="0" fontId="0" fillId="0" borderId="3" xfId="0" applyBorder="1"/>
    <xf numFmtId="0" fontId="49" fillId="24" borderId="1" xfId="0" applyFont="1" applyFill="1" applyBorder="1" applyAlignment="1">
      <alignment horizontal="center"/>
    </xf>
    <xf numFmtId="0" fontId="50" fillId="0" borderId="1" xfId="3" applyBorder="1" applyAlignment="1" applyProtection="1">
      <alignment horizontal="center"/>
    </xf>
    <xf numFmtId="0" fontId="91" fillId="0" borderId="1" xfId="0" applyFont="1" applyBorder="1" applyAlignment="1">
      <alignment horizontal="left" vertical="top" wrapText="1"/>
    </xf>
    <xf numFmtId="0" fontId="0" fillId="0" borderId="49" xfId="0" applyBorder="1"/>
    <xf numFmtId="0" fontId="0" fillId="0" borderId="17" xfId="0" applyBorder="1"/>
    <xf numFmtId="0" fontId="0" fillId="0" borderId="56" xfId="0" applyBorder="1"/>
    <xf numFmtId="0" fontId="0" fillId="0" borderId="0" xfId="0"/>
    <xf numFmtId="0" fontId="0" fillId="0" borderId="39" xfId="0" applyBorder="1"/>
    <xf numFmtId="0" fontId="0" fillId="0" borderId="58" xfId="0" applyBorder="1"/>
    <xf numFmtId="0" fontId="0" fillId="0" borderId="35" xfId="0" applyBorder="1"/>
    <xf numFmtId="0" fontId="0" fillId="0" borderId="44" xfId="0" applyBorder="1"/>
    <xf numFmtId="0" fontId="0" fillId="7" borderId="45" xfId="0" applyFill="1" applyBorder="1" applyAlignment="1">
      <alignment horizontal="center" vertical="center"/>
    </xf>
    <xf numFmtId="0" fontId="0" fillId="0" borderId="41" xfId="0" applyBorder="1"/>
    <xf numFmtId="0" fontId="0" fillId="0" borderId="57" xfId="0" applyBorder="1"/>
    <xf numFmtId="0" fontId="51" fillId="25" borderId="1" xfId="0" applyFont="1" applyFill="1" applyBorder="1" applyAlignment="1">
      <alignment horizontal="left" vertical="top" wrapText="1"/>
    </xf>
    <xf numFmtId="0" fontId="91" fillId="0" borderId="2" xfId="0" applyFont="1" applyBorder="1" applyAlignment="1">
      <alignment horizontal="left" vertical="top" wrapText="1"/>
    </xf>
    <xf numFmtId="0" fontId="52" fillId="0" borderId="1" xfId="0" applyFont="1" applyBorder="1" applyAlignment="1">
      <alignment horizontal="center" vertical="center"/>
    </xf>
    <xf numFmtId="0" fontId="0" fillId="0" borderId="5" xfId="0" applyBorder="1"/>
    <xf numFmtId="0" fontId="0" fillId="0" borderId="1" xfId="0" applyBorder="1" applyAlignment="1">
      <alignment horizontal="center" vertical="center"/>
    </xf>
    <xf numFmtId="0" fontId="0" fillId="0" borderId="28" xfId="0" applyBorder="1"/>
    <xf numFmtId="0" fontId="92" fillId="0" borderId="1" xfId="0" applyFont="1" applyBorder="1" applyAlignment="1">
      <alignment horizontal="left"/>
    </xf>
    <xf numFmtId="0" fontId="91" fillId="0" borderId="1" xfId="0" applyFont="1" applyBorder="1" applyAlignment="1">
      <alignment horizontal="left" wrapText="1"/>
    </xf>
    <xf numFmtId="0" fontId="0" fillId="0" borderId="36" xfId="0" applyBorder="1" applyAlignment="1">
      <alignment horizontal="center" vertical="center"/>
    </xf>
    <xf numFmtId="0" fontId="0" fillId="0" borderId="22" xfId="0" applyBorder="1"/>
    <xf numFmtId="0" fontId="0" fillId="0" borderId="43" xfId="0" applyBorder="1"/>
    <xf numFmtId="0" fontId="0" fillId="18" borderId="19" xfId="0" applyFill="1" applyBorder="1" applyAlignment="1" applyProtection="1">
      <alignment horizontal="center" vertical="center"/>
      <protection locked="0"/>
    </xf>
    <xf numFmtId="0" fontId="0" fillId="0" borderId="48" xfId="0" applyBorder="1" applyProtection="1">
      <protection locked="0"/>
    </xf>
    <xf numFmtId="0" fontId="0" fillId="0" borderId="40" xfId="0" applyBorder="1" applyProtection="1">
      <protection locked="0"/>
    </xf>
    <xf numFmtId="0" fontId="61" fillId="0" borderId="1" xfId="0" applyFont="1" applyBorder="1" applyAlignment="1">
      <alignment horizontal="left" vertical="top" wrapText="1"/>
    </xf>
    <xf numFmtId="0" fontId="0" fillId="0" borderId="1" xfId="0" applyBorder="1" applyAlignment="1">
      <alignment horizontal="center"/>
    </xf>
    <xf numFmtId="0" fontId="0" fillId="11" borderId="1" xfId="0" applyFill="1" applyBorder="1" applyAlignment="1" applyProtection="1">
      <alignment horizontal="center" vertical="center" wrapText="1"/>
      <protection locked="0"/>
    </xf>
    <xf numFmtId="0" fontId="0" fillId="0" borderId="26" xfId="0" applyBorder="1" applyProtection="1">
      <protection locked="0"/>
    </xf>
    <xf numFmtId="0" fontId="0" fillId="0" borderId="3" xfId="0" applyBorder="1" applyProtection="1">
      <protection locked="0"/>
    </xf>
    <xf numFmtId="0" fontId="50" fillId="0" borderId="1" xfId="3" applyBorder="1" applyAlignment="1" applyProtection="1">
      <alignment horizontal="center" wrapText="1"/>
    </xf>
    <xf numFmtId="0" fontId="0" fillId="12" borderId="1" xfId="0" applyFill="1" applyBorder="1" applyAlignment="1">
      <alignment horizontal="center" vertical="center" wrapText="1"/>
    </xf>
    <xf numFmtId="0" fontId="0" fillId="4" borderId="45" xfId="0" applyFill="1" applyBorder="1" applyAlignment="1">
      <alignment horizontal="center" vertical="center"/>
    </xf>
    <xf numFmtId="2" fontId="73" fillId="27" borderId="1" xfId="0" applyNumberFormat="1" applyFont="1" applyFill="1" applyBorder="1" applyAlignment="1">
      <alignment horizontal="center" vertical="center"/>
    </xf>
    <xf numFmtId="0" fontId="0" fillId="0" borderId="45" xfId="0" applyBorder="1" applyAlignment="1">
      <alignment horizontal="center" vertical="center"/>
    </xf>
    <xf numFmtId="0" fontId="26" fillId="0" borderId="1" xfId="0" applyFont="1" applyBorder="1" applyAlignment="1">
      <alignment horizontal="left" vertical="top" wrapText="1"/>
    </xf>
    <xf numFmtId="0" fontId="26" fillId="0" borderId="1" xfId="0" applyFont="1" applyBorder="1" applyAlignment="1">
      <alignment horizontal="left" vertical="center" wrapText="1"/>
    </xf>
    <xf numFmtId="0" fontId="96" fillId="0" borderId="1" xfId="0" applyFont="1" applyBorder="1" applyAlignment="1">
      <alignment horizontal="left" vertical="center" wrapText="1"/>
    </xf>
    <xf numFmtId="0" fontId="0" fillId="0" borderId="1" xfId="0" applyBorder="1" applyAlignment="1">
      <alignment horizontal="center" vertical="top" wrapText="1"/>
    </xf>
    <xf numFmtId="0" fontId="40" fillId="8" borderId="1" xfId="0" applyFont="1" applyFill="1" applyBorder="1" applyAlignment="1">
      <alignment horizontal="center" vertical="center"/>
    </xf>
    <xf numFmtId="0" fontId="39" fillId="23" borderId="2" xfId="0" applyFont="1" applyFill="1" applyBorder="1" applyAlignment="1">
      <alignment horizontal="center" vertical="center" wrapText="1"/>
    </xf>
    <xf numFmtId="0" fontId="0" fillId="0" borderId="1" xfId="0" applyBorder="1" applyAlignment="1">
      <alignment horizontal="left" vertical="top" wrapText="1"/>
    </xf>
    <xf numFmtId="0" fontId="38" fillId="23" borderId="1" xfId="0" applyFont="1" applyFill="1" applyBorder="1" applyAlignment="1">
      <alignment horizontal="center" vertical="center" wrapText="1"/>
    </xf>
    <xf numFmtId="0" fontId="0" fillId="0" borderId="1" xfId="0" applyBorder="1" applyAlignment="1" applyProtection="1">
      <alignment horizontal="center" vertical="center"/>
      <protection locked="0"/>
    </xf>
    <xf numFmtId="0" fontId="0" fillId="0" borderId="1" xfId="0" applyBorder="1" applyAlignment="1" applyProtection="1">
      <alignment horizontal="left" vertical="center"/>
      <protection locked="0"/>
    </xf>
    <xf numFmtId="0" fontId="0" fillId="2" borderId="8" xfId="0" applyFill="1" applyBorder="1" applyAlignment="1">
      <alignment horizontal="center" vertical="center" wrapText="1"/>
    </xf>
    <xf numFmtId="0" fontId="0" fillId="0" borderId="30" xfId="0" applyBorder="1"/>
    <xf numFmtId="0" fontId="0" fillId="0" borderId="16" xfId="0" applyBorder="1"/>
    <xf numFmtId="0" fontId="9" fillId="2" borderId="1" xfId="0" applyFont="1" applyFill="1" applyBorder="1" applyAlignment="1">
      <alignment horizontal="left" vertical="center"/>
    </xf>
    <xf numFmtId="0" fontId="0" fillId="0" borderId="19" xfId="0" applyBorder="1" applyAlignment="1">
      <alignment horizontal="center" vertical="center" wrapText="1"/>
    </xf>
    <xf numFmtId="0" fontId="0" fillId="0" borderId="48" xfId="0" applyBorder="1"/>
    <xf numFmtId="0" fontId="0" fillId="0" borderId="40" xfId="0" applyBorder="1"/>
    <xf numFmtId="0" fontId="39" fillId="0" borderId="1" xfId="0" applyFont="1" applyBorder="1" applyAlignment="1" applyProtection="1">
      <alignment horizontal="left" vertical="center"/>
      <protection locked="0"/>
    </xf>
    <xf numFmtId="0" fontId="0" fillId="0" borderId="3" xfId="0" applyBorder="1" applyAlignment="1" applyProtection="1">
      <alignment horizontal="center" vertical="center"/>
      <protection locked="0"/>
    </xf>
    <xf numFmtId="0" fontId="0" fillId="0" borderId="1" xfId="0" applyBorder="1" applyAlignment="1" applyProtection="1">
      <alignment vertical="center"/>
      <protection locked="0"/>
    </xf>
    <xf numFmtId="0" fontId="0" fillId="2" borderId="1" xfId="0" applyFill="1" applyBorder="1" applyAlignment="1">
      <alignment horizontal="center" vertical="center"/>
    </xf>
    <xf numFmtId="0" fontId="0" fillId="2" borderId="18" xfId="0" applyFill="1" applyBorder="1" applyAlignment="1">
      <alignment horizontal="center" vertical="center" wrapText="1"/>
    </xf>
    <xf numFmtId="0" fontId="0" fillId="0" borderId="47" xfId="0" applyBorder="1"/>
    <xf numFmtId="0" fontId="42" fillId="0" borderId="1" xfId="3" applyFont="1" applyBorder="1" applyAlignment="1">
      <alignment horizontal="center" vertical="center"/>
      <protection locked="0"/>
    </xf>
    <xf numFmtId="0" fontId="9" fillId="2" borderId="8" xfId="0" applyFont="1" applyFill="1" applyBorder="1" applyAlignment="1">
      <alignment horizontal="center" vertical="center" wrapText="1"/>
    </xf>
    <xf numFmtId="0" fontId="0" fillId="2" borderId="29" xfId="0" applyFill="1" applyBorder="1" applyAlignment="1">
      <alignment horizontal="center" vertical="center" wrapText="1"/>
    </xf>
    <xf numFmtId="0" fontId="41" fillId="2" borderId="8" xfId="0" applyFont="1" applyFill="1" applyBorder="1" applyAlignment="1">
      <alignment horizontal="center" vertical="center"/>
    </xf>
    <xf numFmtId="0" fontId="0" fillId="0" borderId="17" xfId="0" applyBorder="1" applyAlignment="1" applyProtection="1">
      <alignment horizontal="center" vertical="center"/>
      <protection locked="0"/>
    </xf>
    <xf numFmtId="0" fontId="0" fillId="0" borderId="49" xfId="0" applyBorder="1" applyProtection="1">
      <protection locked="0"/>
    </xf>
    <xf numFmtId="0" fontId="0" fillId="0" borderId="17" xfId="0" applyBorder="1" applyProtection="1">
      <protection locked="0"/>
    </xf>
    <xf numFmtId="0" fontId="30" fillId="0" borderId="1" xfId="0" applyFont="1" applyBorder="1" applyAlignment="1">
      <alignment horizontal="center" vertical="center" wrapText="1"/>
    </xf>
    <xf numFmtId="0" fontId="30" fillId="2" borderId="1" xfId="0" applyFont="1" applyFill="1" applyBorder="1" applyAlignment="1">
      <alignment vertical="center" wrapText="1"/>
    </xf>
    <xf numFmtId="0" fontId="30" fillId="0" borderId="1" xfId="0" applyFont="1" applyBorder="1" applyAlignment="1">
      <alignment horizontal="center" vertical="center"/>
    </xf>
    <xf numFmtId="0" fontId="30" fillId="0" borderId="1" xfId="0" applyFont="1" applyBorder="1" applyAlignment="1">
      <alignment vertical="center" wrapText="1"/>
    </xf>
    <xf numFmtId="0" fontId="31" fillId="0" borderId="1" xfId="0" applyFont="1" applyBorder="1" applyAlignment="1">
      <alignment horizontal="center" vertical="center" wrapText="1"/>
    </xf>
    <xf numFmtId="0" fontId="34" fillId="2" borderId="1" xfId="0" applyFont="1" applyFill="1" applyBorder="1" applyAlignment="1">
      <alignment horizontal="left" vertical="center" wrapText="1"/>
    </xf>
    <xf numFmtId="0" fontId="34" fillId="2" borderId="1" xfId="0" applyFont="1" applyFill="1" applyBorder="1" applyAlignment="1">
      <alignment horizontal="center" vertical="center" wrapText="1"/>
    </xf>
    <xf numFmtId="0" fontId="33" fillId="2" borderId="1" xfId="0" applyFont="1" applyFill="1" applyBorder="1" applyAlignment="1">
      <alignment horizontal="justify" vertical="center" wrapText="1"/>
    </xf>
    <xf numFmtId="0" fontId="31" fillId="2" borderId="1" xfId="0" applyFont="1" applyFill="1" applyBorder="1" applyAlignment="1">
      <alignment vertical="center" wrapText="1"/>
    </xf>
    <xf numFmtId="0" fontId="31" fillId="2" borderId="1" xfId="0" applyFont="1" applyFill="1" applyBorder="1" applyAlignment="1">
      <alignment horizontal="center" vertical="center"/>
    </xf>
    <xf numFmtId="0" fontId="34" fillId="0" borderId="0" xfId="0" applyFont="1" applyAlignment="1">
      <alignment horizontal="left" vertical="center" wrapText="1"/>
    </xf>
    <xf numFmtId="0" fontId="31" fillId="0" borderId="1" xfId="0" applyFont="1" applyBorder="1" applyAlignment="1">
      <alignment vertical="center" wrapText="1"/>
    </xf>
    <xf numFmtId="0" fontId="31" fillId="2" borderId="1" xfId="0" applyFont="1" applyFill="1" applyBorder="1" applyAlignment="1">
      <alignment horizontal="center" vertical="center" wrapText="1"/>
    </xf>
    <xf numFmtId="0" fontId="3" fillId="2" borderId="1" xfId="0" applyFont="1" applyFill="1" applyBorder="1" applyAlignment="1">
      <alignment horizontal="left" vertical="center"/>
    </xf>
    <xf numFmtId="0" fontId="30" fillId="12" borderId="1" xfId="0" applyFont="1" applyFill="1" applyBorder="1" applyAlignment="1">
      <alignment horizontal="center" vertical="center"/>
    </xf>
    <xf numFmtId="0" fontId="4"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2" borderId="27" xfId="0" applyFont="1" applyFill="1" applyBorder="1" applyAlignment="1">
      <alignment horizontal="left" vertical="center" wrapText="1"/>
    </xf>
    <xf numFmtId="0" fontId="3" fillId="0" borderId="1" xfId="0" applyFont="1" applyBorder="1" applyAlignment="1">
      <alignment horizontal="left" vertical="center" wrapText="1"/>
    </xf>
    <xf numFmtId="0" fontId="30" fillId="16" borderId="1" xfId="0" applyFont="1" applyFill="1" applyBorder="1" applyAlignment="1">
      <alignment horizontal="center" vertical="center" wrapText="1"/>
    </xf>
    <xf numFmtId="0" fontId="4" fillId="22" borderId="1" xfId="0" applyFont="1" applyFill="1" applyBorder="1" applyAlignment="1">
      <alignment vertical="center" wrapText="1"/>
    </xf>
    <xf numFmtId="0" fontId="3" fillId="2" borderId="1" xfId="0" applyFont="1" applyFill="1" applyBorder="1" applyAlignment="1">
      <alignment horizontal="left" vertical="center" wrapText="1"/>
    </xf>
    <xf numFmtId="0" fontId="73" fillId="0" borderId="8" xfId="0" applyFont="1" applyBorder="1" applyAlignment="1">
      <alignment horizontal="center" vertical="center"/>
    </xf>
    <xf numFmtId="0" fontId="85" fillId="0" borderId="0" xfId="0" applyFont="1" applyAlignment="1" applyProtection="1">
      <alignment horizontal="right" vertical="center"/>
      <protection locked="0"/>
    </xf>
    <xf numFmtId="0" fontId="0" fillId="0" borderId="0" xfId="0" applyProtection="1">
      <protection locked="0"/>
    </xf>
    <xf numFmtId="0" fontId="73" fillId="0" borderId="38" xfId="0" applyFont="1" applyBorder="1" applyAlignment="1">
      <alignment horizontal="center" vertical="center" wrapText="1"/>
    </xf>
    <xf numFmtId="0" fontId="0" fillId="0" borderId="54" xfId="0" applyBorder="1"/>
    <xf numFmtId="0" fontId="0" fillId="0" borderId="50" xfId="0" applyBorder="1"/>
    <xf numFmtId="0" fontId="0" fillId="0" borderId="0" xfId="0" applyAlignment="1" applyProtection="1">
      <alignment horizontal="left" vertical="center" wrapText="1"/>
      <protection locked="0"/>
    </xf>
    <xf numFmtId="0" fontId="73" fillId="0" borderId="6" xfId="0" applyFont="1" applyBorder="1" applyAlignment="1">
      <alignment horizontal="right" vertical="center"/>
    </xf>
    <xf numFmtId="0" fontId="0" fillId="0" borderId="6" xfId="0" applyBorder="1"/>
    <xf numFmtId="0" fontId="77" fillId="2" borderId="1" xfId="0" applyFont="1" applyFill="1" applyBorder="1" applyAlignment="1">
      <alignment horizontal="center" vertical="center" wrapText="1"/>
    </xf>
    <xf numFmtId="0" fontId="72" fillId="0" borderId="8" xfId="0" applyFont="1" applyBorder="1" applyAlignment="1">
      <alignment horizontal="center" vertical="center"/>
    </xf>
    <xf numFmtId="0" fontId="0" fillId="0" borderId="0" xfId="0" applyAlignment="1">
      <alignment horizontal="left"/>
    </xf>
    <xf numFmtId="0" fontId="73" fillId="0" borderId="25" xfId="0" applyFont="1" applyBorder="1" applyAlignment="1" applyProtection="1">
      <alignment horizontal="left" vertical="center"/>
      <protection locked="0"/>
    </xf>
    <xf numFmtId="0" fontId="0" fillId="0" borderId="20" xfId="0" applyBorder="1" applyProtection="1">
      <protection locked="0"/>
    </xf>
    <xf numFmtId="0" fontId="73" fillId="0" borderId="2" xfId="0" applyFont="1" applyBorder="1" applyAlignment="1">
      <alignment horizontal="center" vertical="center"/>
    </xf>
    <xf numFmtId="0" fontId="73" fillId="0" borderId="59" xfId="0" applyFont="1" applyBorder="1" applyAlignment="1">
      <alignment horizontal="center" vertical="center" wrapText="1"/>
    </xf>
    <xf numFmtId="0" fontId="51" fillId="0" borderId="0" xfId="0" applyFont="1" applyAlignment="1">
      <alignment horizontal="center"/>
    </xf>
    <xf numFmtId="0" fontId="0" fillId="0" borderId="10" xfId="0" applyBorder="1"/>
    <xf numFmtId="0" fontId="73" fillId="0" borderId="10" xfId="0" applyFont="1" applyBorder="1" applyAlignment="1" applyProtection="1">
      <alignment horizontal="left" vertical="center"/>
      <protection locked="0"/>
    </xf>
    <xf numFmtId="0" fontId="71" fillId="8" borderId="37" xfId="0" applyFont="1" applyFill="1" applyBorder="1" applyAlignment="1">
      <alignment horizontal="center" vertical="center"/>
    </xf>
    <xf numFmtId="0" fontId="0" fillId="0" borderId="0" xfId="0" applyAlignment="1">
      <alignment horizontal="center" vertical="top" wrapText="1"/>
    </xf>
    <xf numFmtId="0" fontId="20" fillId="0" borderId="6" xfId="0" applyFont="1" applyBorder="1" applyAlignment="1">
      <alignment horizontal="right"/>
    </xf>
    <xf numFmtId="0" fontId="0" fillId="0" borderId="0" xfId="0" applyAlignment="1">
      <alignment vertical="center"/>
    </xf>
    <xf numFmtId="0" fontId="43" fillId="8" borderId="61" xfId="0" applyFont="1" applyFill="1" applyBorder="1" applyAlignment="1">
      <alignment horizontal="center" vertical="center"/>
    </xf>
    <xf numFmtId="0" fontId="0" fillId="0" borderId="23" xfId="0" applyBorder="1"/>
    <xf numFmtId="0" fontId="15" fillId="2" borderId="60" xfId="0" applyFont="1" applyFill="1" applyBorder="1" applyAlignment="1">
      <alignment horizontal="left" vertical="center" wrapText="1"/>
    </xf>
    <xf numFmtId="0" fontId="0" fillId="0" borderId="38" xfId="0" applyBorder="1"/>
    <xf numFmtId="0" fontId="15" fillId="3" borderId="38" xfId="0" applyFont="1" applyFill="1" applyBorder="1" applyAlignment="1">
      <alignment horizontal="left" vertical="center" wrapText="1"/>
    </xf>
    <xf numFmtId="0" fontId="15" fillId="3" borderId="60" xfId="0" applyFont="1" applyFill="1" applyBorder="1" applyAlignment="1">
      <alignment horizontal="left" vertical="center" wrapText="1"/>
    </xf>
    <xf numFmtId="0" fontId="9" fillId="0" borderId="8" xfId="0" applyFont="1" applyBorder="1" applyAlignment="1">
      <alignment horizontal="center" vertical="center"/>
    </xf>
    <xf numFmtId="0" fontId="41" fillId="3" borderId="60" xfId="0" applyFont="1" applyFill="1" applyBorder="1" applyAlignment="1">
      <alignment horizontal="center" vertical="center"/>
    </xf>
    <xf numFmtId="0" fontId="9" fillId="0" borderId="1" xfId="0" applyFont="1" applyBorder="1" applyAlignment="1">
      <alignment horizontal="center" vertical="center" wrapText="1"/>
    </xf>
    <xf numFmtId="0" fontId="15" fillId="3" borderId="26" xfId="0" applyFont="1" applyFill="1" applyBorder="1" applyAlignment="1">
      <alignment horizontal="left" vertical="center" wrapText="1"/>
    </xf>
    <xf numFmtId="0" fontId="15" fillId="3" borderId="1" xfId="0" applyFont="1" applyFill="1" applyBorder="1" applyAlignment="1">
      <alignment horizontal="left" vertical="center" wrapText="1"/>
    </xf>
    <xf numFmtId="0" fontId="20" fillId="3" borderId="60" xfId="0" applyFont="1" applyFill="1" applyBorder="1" applyAlignment="1">
      <alignment horizontal="left" vertical="center" wrapText="1"/>
    </xf>
    <xf numFmtId="0" fontId="18" fillId="3" borderId="8" xfId="0" applyFont="1" applyFill="1" applyBorder="1" applyAlignment="1">
      <alignment horizontal="center" vertical="center" wrapText="1"/>
    </xf>
    <xf numFmtId="0" fontId="44" fillId="3" borderId="62" xfId="0" applyFont="1" applyFill="1" applyBorder="1" applyAlignment="1">
      <alignment horizontal="center" vertical="center" wrapText="1"/>
    </xf>
    <xf numFmtId="0" fontId="0" fillId="0" borderId="42" xfId="0" applyBorder="1"/>
    <xf numFmtId="0" fontId="45" fillId="8" borderId="62" xfId="0" applyFont="1" applyFill="1" applyBorder="1" applyAlignment="1">
      <alignment horizontal="center" vertical="center"/>
    </xf>
    <xf numFmtId="0" fontId="18" fillId="16" borderId="16" xfId="0" applyFont="1" applyFill="1" applyBorder="1" applyAlignment="1">
      <alignment horizontal="center" vertical="center" wrapText="1"/>
    </xf>
    <xf numFmtId="0" fontId="15" fillId="0" borderId="59" xfId="0" applyFont="1" applyBorder="1" applyAlignment="1">
      <alignment horizontal="center" vertical="center" wrapText="1"/>
    </xf>
    <xf numFmtId="0" fontId="0" fillId="0" borderId="0" xfId="0" applyAlignment="1">
      <alignment horizontal="center" vertical="center"/>
    </xf>
    <xf numFmtId="0" fontId="6" fillId="16" borderId="8" xfId="0" applyFont="1" applyFill="1" applyBorder="1" applyAlignment="1">
      <alignment horizontal="center" vertical="center" wrapText="1"/>
    </xf>
    <xf numFmtId="0" fontId="18" fillId="3" borderId="37" xfId="0" applyFont="1" applyFill="1" applyBorder="1" applyAlignment="1">
      <alignment horizontal="center" vertical="center" wrapText="1"/>
    </xf>
    <xf numFmtId="0" fontId="0" fillId="0" borderId="27" xfId="0" applyBorder="1" applyAlignment="1">
      <alignment horizontal="left"/>
    </xf>
    <xf numFmtId="0" fontId="57" fillId="0" borderId="27" xfId="0" applyFont="1" applyBorder="1" applyAlignment="1">
      <alignment horizontal="left"/>
    </xf>
    <xf numFmtId="0" fontId="0" fillId="0" borderId="1" xfId="0" applyBorder="1" applyAlignment="1">
      <alignment horizontal="left"/>
    </xf>
    <xf numFmtId="0" fontId="54" fillId="0" borderId="1" xfId="0" applyFont="1" applyBorder="1" applyAlignment="1">
      <alignment horizontal="center" vertical="center"/>
    </xf>
    <xf numFmtId="0" fontId="51" fillId="15" borderId="1" xfId="0" applyFont="1" applyFill="1" applyBorder="1" applyAlignment="1">
      <alignment horizontal="center"/>
    </xf>
    <xf numFmtId="0" fontId="51" fillId="15" borderId="1" xfId="0" applyFont="1" applyFill="1" applyBorder="1" applyAlignment="1">
      <alignment horizontal="center" vertical="center"/>
    </xf>
    <xf numFmtId="0" fontId="51" fillId="16" borderId="1" xfId="0" applyFont="1" applyFill="1" applyBorder="1" applyAlignment="1">
      <alignment horizontal="center"/>
    </xf>
    <xf numFmtId="0" fontId="51" fillId="16" borderId="1" xfId="0" applyFont="1" applyFill="1" applyBorder="1" applyAlignment="1">
      <alignment horizontal="left"/>
    </xf>
    <xf numFmtId="0" fontId="51" fillId="0" borderId="1" xfId="0" applyFont="1" applyBorder="1" applyAlignment="1">
      <alignment horizontal="center"/>
    </xf>
    <xf numFmtId="0" fontId="51" fillId="16" borderId="1" xfId="0" applyFont="1" applyFill="1" applyBorder="1" applyAlignment="1">
      <alignment horizontal="center" vertical="center"/>
    </xf>
    <xf numFmtId="0" fontId="51" fillId="0" borderId="27" xfId="0" applyFont="1" applyBorder="1" applyAlignment="1">
      <alignment horizontal="left"/>
    </xf>
    <xf numFmtId="0" fontId="14" fillId="0" borderId="1" xfId="0" applyFont="1" applyBorder="1" applyAlignment="1" applyProtection="1">
      <alignment horizontal="right" vertical="center"/>
      <protection locked="0"/>
    </xf>
    <xf numFmtId="0" fontId="2" fillId="0" borderId="1" xfId="0" applyFont="1" applyBorder="1" applyAlignment="1">
      <alignment horizontal="center" vertical="center"/>
    </xf>
    <xf numFmtId="0" fontId="2" fillId="0" borderId="1" xfId="0" applyFont="1" applyBorder="1" applyAlignment="1">
      <alignment horizontal="right" vertical="center"/>
    </xf>
    <xf numFmtId="0" fontId="41" fillId="0" borderId="1" xfId="0" applyFont="1" applyBorder="1" applyAlignment="1">
      <alignment horizontal="center" vertical="center"/>
    </xf>
    <xf numFmtId="0" fontId="0" fillId="0" borderId="1" xfId="0" applyBorder="1" applyAlignment="1">
      <alignment horizontal="center" vertical="top"/>
    </xf>
    <xf numFmtId="0" fontId="18" fillId="0" borderId="3" xfId="0" applyFont="1" applyBorder="1" applyAlignment="1">
      <alignment horizontal="center" vertical="center"/>
    </xf>
    <xf numFmtId="0" fontId="9" fillId="2" borderId="1" xfId="0" applyFont="1" applyFill="1" applyBorder="1" applyAlignment="1">
      <alignment horizontal="center" vertical="top" wrapText="1"/>
    </xf>
    <xf numFmtId="0" fontId="40" fillId="8" borderId="34" xfId="0" applyFont="1" applyFill="1" applyBorder="1" applyAlignment="1">
      <alignment horizontal="center" vertical="center"/>
    </xf>
    <xf numFmtId="0" fontId="0" fillId="0" borderId="3" xfId="0" applyBorder="1" applyAlignment="1">
      <alignment horizontal="center" vertical="top"/>
    </xf>
    <xf numFmtId="0" fontId="9" fillId="0" borderId="1" xfId="0" applyFont="1" applyBorder="1" applyAlignment="1">
      <alignment horizontal="center" vertical="center"/>
    </xf>
    <xf numFmtId="0" fontId="0" fillId="2" borderId="1" xfId="0" applyFill="1" applyBorder="1" applyAlignment="1">
      <alignment horizontal="center"/>
    </xf>
    <xf numFmtId="0" fontId="0" fillId="0" borderId="27" xfId="0" applyBorder="1" applyAlignment="1">
      <alignment horizontal="center" vertical="top"/>
    </xf>
    <xf numFmtId="0" fontId="18" fillId="0" borderId="27" xfId="0" applyFont="1" applyBorder="1" applyAlignment="1">
      <alignment horizontal="center" vertical="center"/>
    </xf>
    <xf numFmtId="0" fontId="29" fillId="0" borderId="0" xfId="0" applyFont="1" applyAlignment="1">
      <alignment horizontal="left" vertical="center"/>
    </xf>
    <xf numFmtId="0" fontId="46" fillId="8" borderId="35" xfId="0" applyFont="1" applyFill="1" applyBorder="1" applyAlignment="1">
      <alignment horizontal="center" vertical="center"/>
    </xf>
    <xf numFmtId="0" fontId="29" fillId="0" borderId="0" xfId="0" applyFont="1" applyAlignment="1">
      <alignment horizontal="left" vertical="top" wrapText="1"/>
    </xf>
    <xf numFmtId="0" fontId="23" fillId="0" borderId="1" xfId="0" applyFont="1" applyBorder="1" applyAlignment="1">
      <alignment horizontal="center" vertical="center"/>
    </xf>
    <xf numFmtId="0" fontId="23" fillId="0" borderId="1" xfId="0" applyFont="1" applyBorder="1" applyAlignment="1">
      <alignment horizontal="left" vertical="center"/>
    </xf>
    <xf numFmtId="0" fontId="9" fillId="0" borderId="1" xfId="0" applyFont="1" applyBorder="1" applyAlignment="1">
      <alignment horizontal="left"/>
    </xf>
    <xf numFmtId="0" fontId="0" fillId="0" borderId="0" xfId="0" applyAlignment="1">
      <alignment horizontal="left" wrapText="1"/>
    </xf>
    <xf numFmtId="0" fontId="23" fillId="0" borderId="2" xfId="0" applyFont="1" applyBorder="1" applyAlignment="1">
      <alignment horizontal="left" vertical="center"/>
    </xf>
    <xf numFmtId="0" fontId="23" fillId="0" borderId="3" xfId="0" applyFont="1" applyBorder="1" applyAlignment="1">
      <alignment horizontal="center" vertical="center"/>
    </xf>
    <xf numFmtId="0" fontId="29" fillId="0" borderId="0" xfId="0" applyFont="1" applyAlignment="1">
      <alignment horizontal="left" vertical="center" wrapText="1"/>
    </xf>
    <xf numFmtId="0" fontId="9" fillId="0" borderId="1" xfId="0" applyFont="1" applyBorder="1" applyAlignment="1">
      <alignment horizontal="center"/>
    </xf>
    <xf numFmtId="0" fontId="23" fillId="0" borderId="1" xfId="0" applyFont="1" applyBorder="1" applyAlignment="1">
      <alignment horizontal="center"/>
    </xf>
    <xf numFmtId="0" fontId="46" fillId="8" borderId="1" xfId="0" applyFont="1" applyFill="1" applyBorder="1" applyAlignment="1">
      <alignment horizontal="center"/>
    </xf>
    <xf numFmtId="0" fontId="23" fillId="0" borderId="1" xfId="0" applyFont="1" applyBorder="1" applyAlignment="1">
      <alignment horizontal="left"/>
    </xf>
    <xf numFmtId="0" fontId="23" fillId="0" borderId="3" xfId="0" applyFont="1" applyBorder="1" applyAlignment="1">
      <alignment horizontal="center" vertical="center" wrapText="1"/>
    </xf>
    <xf numFmtId="0" fontId="46" fillId="8" borderId="1" xfId="0" applyFont="1" applyFill="1" applyBorder="1" applyAlignment="1">
      <alignment horizontal="center" vertical="center" wrapText="1"/>
    </xf>
    <xf numFmtId="0" fontId="23" fillId="0" borderId="27" xfId="0" applyFont="1" applyBorder="1" applyAlignment="1">
      <alignment horizontal="left" vertical="center" wrapText="1"/>
    </xf>
    <xf numFmtId="0" fontId="0" fillId="0" borderId="1" xfId="0" applyBorder="1" applyAlignment="1">
      <alignment horizontal="left" vertical="center"/>
    </xf>
    <xf numFmtId="0" fontId="47" fillId="8" borderId="1" xfId="0" applyFont="1" applyFill="1" applyBorder="1" applyAlignment="1">
      <alignment horizontal="center" vertical="center"/>
    </xf>
    <xf numFmtId="2" fontId="23" fillId="0" borderId="1" xfId="0" applyNumberFormat="1" applyFont="1" applyBorder="1" applyAlignment="1">
      <alignment horizontal="center" vertical="center"/>
    </xf>
    <xf numFmtId="2" fontId="46" fillId="8" borderId="1" xfId="0" applyNumberFormat="1" applyFont="1" applyFill="1" applyBorder="1" applyAlignment="1">
      <alignment horizontal="center" vertical="center"/>
    </xf>
    <xf numFmtId="0" fontId="23" fillId="0" borderId="27" xfId="0" applyFont="1" applyBorder="1" applyAlignment="1">
      <alignment horizontal="center" vertical="center" wrapText="1"/>
    </xf>
    <xf numFmtId="0" fontId="9" fillId="2" borderId="19" xfId="0" applyFont="1" applyFill="1" applyBorder="1" applyAlignment="1">
      <alignment horizontal="center" vertical="center" wrapText="1"/>
    </xf>
    <xf numFmtId="2" fontId="0" fillId="0" borderId="1" xfId="0" applyNumberFormat="1" applyBorder="1" applyAlignment="1">
      <alignment horizontal="center" vertical="center"/>
    </xf>
    <xf numFmtId="0" fontId="0" fillId="0" borderId="8" xfId="0" applyBorder="1" applyAlignment="1">
      <alignment horizontal="left" vertical="center"/>
    </xf>
  </cellXfs>
  <cellStyles count="9">
    <cellStyle name="0,0_x000d__x000a_NA_x000d__x000a_" xfId="1" xr:uid="{00000000-0005-0000-0000-000001000000}"/>
    <cellStyle name="Accent1" xfId="2" builtinId="29"/>
    <cellStyle name="Comma" xfId="6" builtinId="3"/>
    <cellStyle name="Currency" xfId="7" builtinId="4"/>
    <cellStyle name="Hyperlink" xfId="3" builtinId="8"/>
    <cellStyle name="Normal" xfId="0" builtinId="0"/>
    <cellStyle name="Percent" xfId="4" builtinId="5"/>
    <cellStyle name="Percent 10" xfId="8" xr:uid="{00000000-0005-0000-0000-000008000000}"/>
    <cellStyle name="Percent 3" xfId="5" xr:uid="{00000000-0005-0000-0000-000005000000}"/>
  </cellStyles>
  <dxfs count="361">
    <dxf>
      <fill>
        <patternFill>
          <bgColor theme="0" tint="-0.34998626667073579"/>
        </patternFill>
      </fill>
    </dxf>
    <dxf>
      <fill>
        <patternFill>
          <bgColor theme="0" tint="-0.14993743705557422"/>
        </patternFill>
      </fill>
    </dxf>
    <dxf>
      <fill>
        <patternFill>
          <bgColor indexed="55"/>
        </patternFill>
      </fill>
    </dxf>
    <dxf>
      <fill>
        <patternFill>
          <bgColor indexed="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font>
      <fill>
        <patternFill>
          <bgColor theme="5" tint="-0.49998474074526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font>
      <fill>
        <patternFill>
          <bgColor theme="5" tint="-0.49998474074526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ont>
        <color theme="5" tint="0.39994506668294322"/>
      </font>
    </dxf>
    <dxf>
      <font>
        <color theme="5" tint="0.39994506668294322"/>
      </font>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9" tint="0.399945066682943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ont>
        <color theme="5" tint="0.39994506668294322"/>
      </font>
    </dxf>
    <dxf>
      <fill>
        <patternFill>
          <bgColor theme="0" tint="-0.14993743705557422"/>
        </patternFill>
      </fill>
    </dxf>
    <dxf>
      <fill>
        <patternFill>
          <bgColor theme="0" tint="-0.34998626667073579"/>
        </patternFill>
      </fill>
    </dxf>
    <dxf>
      <fill>
        <patternFill>
          <bgColor theme="0" tint="-0.34998626667073579"/>
        </patternFill>
      </fill>
    </dxf>
    <dxf>
      <fill>
        <patternFill>
          <bgColor theme="0" tint="-0.14993743705557422"/>
        </patternFill>
      </fill>
    </dxf>
    <dxf>
      <font>
        <strike val="0"/>
        <color theme="0"/>
      </font>
      <fill>
        <patternFill>
          <bgColor indexed="65"/>
        </patternFill>
      </fill>
      <border>
        <right style="thin">
          <color auto="1"/>
        </right>
        <top style="thin">
          <color auto="1"/>
        </top>
        <bottom style="thin">
          <color auto="1"/>
        </bottom>
      </border>
    </dxf>
    <dxf>
      <font>
        <strike val="0"/>
        <color theme="0"/>
      </font>
      <fill>
        <patternFill>
          <bgColor auto="1"/>
        </patternFill>
      </fill>
      <border>
        <left style="thin">
          <color auto="1"/>
        </left>
        <right style="thin">
          <color auto="1"/>
        </right>
        <top style="thin">
          <color auto="1"/>
        </top>
        <bottom style="thin">
          <color auto="1"/>
        </bottom>
      </border>
    </dxf>
    <dxf>
      <fill>
        <patternFill>
          <bgColor theme="0" tint="-0.34998626667073579"/>
        </patternFill>
      </fill>
    </dxf>
    <dxf>
      <fill>
        <patternFill>
          <bgColor theme="0" tint="-0.14993743705557422"/>
        </patternFill>
      </fill>
    </dxf>
    <dxf>
      <fill>
        <patternFill>
          <bgColor theme="0" tint="-0.34998626667073579"/>
        </patternFill>
      </fill>
    </dxf>
    <dxf>
      <fill>
        <patternFill>
          <bgColor theme="0" tint="-0.14993743705557422"/>
        </patternFill>
      </fill>
    </dxf>
    <dxf>
      <fill>
        <patternFill>
          <bgColor theme="5" tint="0.39994506668294322"/>
        </patternFill>
      </fill>
    </dxf>
    <dxf>
      <font>
        <color theme="5" tint="0.39994506668294322"/>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4"/>
  <sheetViews>
    <sheetView zoomScale="91" zoomScaleNormal="91" workbookViewId="0">
      <selection activeCell="B9" sqref="B9:P11"/>
    </sheetView>
  </sheetViews>
  <sheetFormatPr defaultColWidth="0" defaultRowHeight="14.5" x14ac:dyDescent="0.35"/>
  <cols>
    <col min="1" max="16" width="8.81640625" customWidth="1"/>
    <col min="17" max="18" width="8.81640625" hidden="1" customWidth="1"/>
    <col min="19" max="19" width="40.1796875" hidden="1" customWidth="1"/>
    <col min="20" max="20" width="8.81640625" hidden="1" customWidth="1"/>
    <col min="21" max="16384" width="8.81640625" hidden="1"/>
  </cols>
  <sheetData>
    <row r="1" spans="1:16" x14ac:dyDescent="0.35">
      <c r="A1" s="950">
        <v>1</v>
      </c>
      <c r="B1" s="933" t="s">
        <v>0</v>
      </c>
      <c r="C1" s="930"/>
      <c r="D1" s="931"/>
      <c r="E1" s="933" t="s">
        <v>1</v>
      </c>
      <c r="F1" s="930"/>
      <c r="G1" s="931"/>
      <c r="H1" s="933" t="s">
        <v>2</v>
      </c>
      <c r="I1" s="930"/>
      <c r="J1" s="931"/>
      <c r="K1" s="933" t="s">
        <v>3</v>
      </c>
      <c r="L1" s="930"/>
      <c r="M1" s="931"/>
      <c r="N1" s="933" t="s">
        <v>4</v>
      </c>
      <c r="O1" s="930"/>
      <c r="P1" s="931"/>
    </row>
    <row r="2" spans="1:16" x14ac:dyDescent="0.35">
      <c r="A2" s="951"/>
      <c r="B2" s="933" t="s">
        <v>5</v>
      </c>
      <c r="C2" s="930"/>
      <c r="D2" s="931"/>
      <c r="E2" s="933" t="s">
        <v>6</v>
      </c>
      <c r="F2" s="930"/>
      <c r="G2" s="931"/>
      <c r="H2" s="933" t="s">
        <v>7</v>
      </c>
      <c r="I2" s="930"/>
      <c r="J2" s="931"/>
      <c r="K2" s="933" t="s">
        <v>8</v>
      </c>
      <c r="L2" s="930"/>
      <c r="M2" s="931"/>
      <c r="N2" s="933" t="s">
        <v>9</v>
      </c>
      <c r="O2" s="930"/>
      <c r="P2" s="931"/>
    </row>
    <row r="3" spans="1:16" x14ac:dyDescent="0.35">
      <c r="A3" s="949"/>
      <c r="B3" s="933" t="s">
        <v>10</v>
      </c>
      <c r="C3" s="930"/>
      <c r="D3" s="931"/>
      <c r="E3" s="965" t="s">
        <v>11</v>
      </c>
      <c r="F3" s="930"/>
      <c r="G3" s="931"/>
      <c r="H3" s="933" t="s">
        <v>12</v>
      </c>
      <c r="I3" s="930"/>
      <c r="J3" s="931"/>
      <c r="K3" s="933" t="s">
        <v>13</v>
      </c>
      <c r="L3" s="930"/>
      <c r="M3" s="931"/>
      <c r="N3" s="933" t="s">
        <v>14</v>
      </c>
      <c r="O3" s="930"/>
      <c r="P3" s="931"/>
    </row>
    <row r="4" spans="1:16" x14ac:dyDescent="0.35">
      <c r="A4" s="52"/>
      <c r="B4" s="933" t="s">
        <v>15</v>
      </c>
      <c r="C4" s="930"/>
      <c r="D4" s="931"/>
      <c r="E4" s="965" t="s">
        <v>16</v>
      </c>
      <c r="F4" s="930"/>
      <c r="G4" s="931"/>
      <c r="H4" s="933" t="s">
        <v>17</v>
      </c>
      <c r="I4" s="930"/>
      <c r="J4" s="931"/>
      <c r="K4" s="961"/>
      <c r="L4" s="930"/>
      <c r="M4" s="931"/>
      <c r="N4" s="961"/>
      <c r="O4" s="930"/>
      <c r="P4" s="931"/>
    </row>
    <row r="5" spans="1:16" x14ac:dyDescent="0.35">
      <c r="A5" s="932" t="s">
        <v>18</v>
      </c>
      <c r="B5" s="930"/>
      <c r="C5" s="930"/>
      <c r="D5" s="930"/>
      <c r="E5" s="930"/>
      <c r="F5" s="930"/>
      <c r="G5" s="930"/>
      <c r="H5" s="930"/>
      <c r="I5" s="930"/>
      <c r="J5" s="930"/>
      <c r="K5" s="930"/>
      <c r="L5" s="930"/>
      <c r="M5" s="930"/>
      <c r="N5" s="930"/>
      <c r="O5" s="930"/>
      <c r="P5" s="931"/>
    </row>
    <row r="6" spans="1:16" ht="14.5" customHeight="1" x14ac:dyDescent="0.35">
      <c r="A6" s="948">
        <v>2</v>
      </c>
      <c r="B6" s="947" t="s">
        <v>19</v>
      </c>
      <c r="C6" s="935"/>
      <c r="D6" s="935"/>
      <c r="E6" s="935"/>
      <c r="F6" s="935"/>
      <c r="G6" s="935"/>
      <c r="H6" s="935"/>
      <c r="I6" s="935"/>
      <c r="J6" s="935"/>
      <c r="K6" s="935"/>
      <c r="L6" s="935"/>
      <c r="M6" s="935"/>
      <c r="N6" s="935"/>
      <c r="O6" s="935"/>
      <c r="P6" s="936"/>
    </row>
    <row r="7" spans="1:16" x14ac:dyDescent="0.35">
      <c r="A7" s="949"/>
      <c r="B7" s="937"/>
      <c r="C7" s="938"/>
      <c r="D7" s="938"/>
      <c r="E7" s="938"/>
      <c r="F7" s="938"/>
      <c r="G7" s="938"/>
      <c r="H7" s="938"/>
      <c r="I7" s="938"/>
      <c r="J7" s="938"/>
      <c r="K7" s="938"/>
      <c r="L7" s="938"/>
      <c r="M7" s="938"/>
      <c r="N7" s="938"/>
      <c r="O7" s="938"/>
      <c r="P7" s="939"/>
    </row>
    <row r="8" spans="1:16" x14ac:dyDescent="0.35">
      <c r="A8" s="743">
        <v>3</v>
      </c>
      <c r="B8" s="947" t="s">
        <v>20</v>
      </c>
      <c r="C8" s="935"/>
      <c r="D8" s="935"/>
      <c r="E8" s="935"/>
      <c r="F8" s="935"/>
      <c r="G8" s="935"/>
      <c r="H8" s="935"/>
      <c r="I8" s="935"/>
      <c r="J8" s="935"/>
      <c r="K8" s="935"/>
      <c r="L8" s="935"/>
      <c r="M8" s="935"/>
      <c r="N8" s="935"/>
      <c r="O8" s="935"/>
      <c r="P8" s="936"/>
    </row>
    <row r="9" spans="1:16" x14ac:dyDescent="0.35">
      <c r="A9" s="950">
        <v>4</v>
      </c>
      <c r="B9" s="947" t="s">
        <v>21</v>
      </c>
      <c r="C9" s="935"/>
      <c r="D9" s="935"/>
      <c r="E9" s="935"/>
      <c r="F9" s="935"/>
      <c r="G9" s="935"/>
      <c r="H9" s="935"/>
      <c r="I9" s="935"/>
      <c r="J9" s="935"/>
      <c r="K9" s="935"/>
      <c r="L9" s="935"/>
      <c r="M9" s="935"/>
      <c r="N9" s="935"/>
      <c r="O9" s="935"/>
      <c r="P9" s="936"/>
    </row>
    <row r="10" spans="1:16" x14ac:dyDescent="0.35">
      <c r="A10" s="951"/>
      <c r="B10" s="937"/>
      <c r="C10" s="938"/>
      <c r="D10" s="938"/>
      <c r="E10" s="938"/>
      <c r="F10" s="938"/>
      <c r="G10" s="938"/>
      <c r="H10" s="938"/>
      <c r="I10" s="938"/>
      <c r="J10" s="938"/>
      <c r="K10" s="938"/>
      <c r="L10" s="938"/>
      <c r="M10" s="938"/>
      <c r="N10" s="938"/>
      <c r="O10" s="938"/>
      <c r="P10" s="939"/>
    </row>
    <row r="11" spans="1:16" x14ac:dyDescent="0.35">
      <c r="A11" s="949"/>
      <c r="B11" s="937"/>
      <c r="C11" s="938"/>
      <c r="D11" s="938"/>
      <c r="E11" s="938"/>
      <c r="F11" s="938"/>
      <c r="G11" s="938"/>
      <c r="H11" s="938"/>
      <c r="I11" s="938"/>
      <c r="J11" s="938"/>
      <c r="K11" s="938"/>
      <c r="L11" s="938"/>
      <c r="M11" s="938"/>
      <c r="N11" s="938"/>
      <c r="O11" s="938"/>
      <c r="P11" s="939"/>
    </row>
    <row r="12" spans="1:16" x14ac:dyDescent="0.35">
      <c r="A12" s="52">
        <v>5</v>
      </c>
      <c r="B12" s="934" t="s">
        <v>22</v>
      </c>
      <c r="C12" s="930"/>
      <c r="D12" s="930"/>
      <c r="E12" s="930"/>
      <c r="F12" s="930"/>
      <c r="G12" s="930"/>
      <c r="H12" s="930"/>
      <c r="I12" s="930"/>
      <c r="J12" s="930"/>
      <c r="K12" s="930"/>
      <c r="L12" s="930"/>
      <c r="M12" s="930"/>
      <c r="N12" s="930"/>
      <c r="O12" s="930"/>
      <c r="P12" s="931"/>
    </row>
    <row r="13" spans="1:16" x14ac:dyDescent="0.35">
      <c r="A13" s="950">
        <v>6</v>
      </c>
      <c r="B13" s="934" t="s">
        <v>23</v>
      </c>
      <c r="C13" s="935"/>
      <c r="D13" s="935"/>
      <c r="E13" s="935"/>
      <c r="F13" s="935"/>
      <c r="G13" s="935"/>
      <c r="H13" s="935"/>
      <c r="I13" s="935"/>
      <c r="J13" s="935"/>
      <c r="K13" s="935"/>
      <c r="L13" s="935"/>
      <c r="M13" s="935"/>
      <c r="N13" s="935"/>
      <c r="O13" s="935"/>
      <c r="P13" s="936"/>
    </row>
    <row r="14" spans="1:16" x14ac:dyDescent="0.35">
      <c r="A14" s="951"/>
      <c r="B14" s="937"/>
      <c r="C14" s="938"/>
      <c r="D14" s="938"/>
      <c r="E14" s="938"/>
      <c r="F14" s="938"/>
      <c r="G14" s="938"/>
      <c r="H14" s="938"/>
      <c r="I14" s="938"/>
      <c r="J14" s="938"/>
      <c r="K14" s="938"/>
      <c r="L14" s="938"/>
      <c r="M14" s="938"/>
      <c r="N14" s="938"/>
      <c r="O14" s="938"/>
      <c r="P14" s="939"/>
    </row>
    <row r="15" spans="1:16" x14ac:dyDescent="0.35">
      <c r="A15" s="949"/>
      <c r="B15" s="940"/>
      <c r="C15" s="941"/>
      <c r="D15" s="941"/>
      <c r="E15" s="941"/>
      <c r="F15" s="941"/>
      <c r="G15" s="941"/>
      <c r="H15" s="941"/>
      <c r="I15" s="941"/>
      <c r="J15" s="941"/>
      <c r="K15" s="941"/>
      <c r="L15" s="941"/>
      <c r="M15" s="941"/>
      <c r="N15" s="941"/>
      <c r="O15" s="941"/>
      <c r="P15" s="942"/>
    </row>
    <row r="16" spans="1:16" x14ac:dyDescent="0.35">
      <c r="A16" s="950">
        <v>7</v>
      </c>
      <c r="B16" s="934" t="s">
        <v>24</v>
      </c>
      <c r="C16" s="935"/>
      <c r="D16" s="935"/>
      <c r="E16" s="935"/>
      <c r="F16" s="935"/>
      <c r="G16" s="935"/>
      <c r="H16" s="935"/>
      <c r="I16" s="935"/>
      <c r="J16" s="935"/>
      <c r="K16" s="935"/>
      <c r="L16" s="935"/>
      <c r="M16" s="935"/>
      <c r="N16" s="935"/>
      <c r="O16" s="935"/>
      <c r="P16" s="936"/>
    </row>
    <row r="17" spans="1:19" x14ac:dyDescent="0.35">
      <c r="A17" s="951"/>
      <c r="B17" s="937"/>
      <c r="C17" s="938"/>
      <c r="D17" s="938"/>
      <c r="E17" s="938"/>
      <c r="F17" s="938"/>
      <c r="G17" s="938"/>
      <c r="H17" s="938"/>
      <c r="I17" s="938"/>
      <c r="J17" s="938"/>
      <c r="K17" s="938"/>
      <c r="L17" s="938"/>
      <c r="M17" s="938"/>
      <c r="N17" s="938"/>
      <c r="O17" s="938"/>
      <c r="P17" s="939"/>
    </row>
    <row r="18" spans="1:19" x14ac:dyDescent="0.35">
      <c r="A18" s="949"/>
      <c r="B18" s="940"/>
      <c r="C18" s="941"/>
      <c r="D18" s="941"/>
      <c r="E18" s="941"/>
      <c r="F18" s="941"/>
      <c r="G18" s="941"/>
      <c r="H18" s="941"/>
      <c r="I18" s="941"/>
      <c r="J18" s="941"/>
      <c r="K18" s="941"/>
      <c r="L18" s="941"/>
      <c r="M18" s="941"/>
      <c r="N18" s="941"/>
      <c r="O18" s="941"/>
      <c r="P18" s="942"/>
    </row>
    <row r="19" spans="1:19" x14ac:dyDescent="0.35">
      <c r="A19" s="950">
        <v>8</v>
      </c>
      <c r="B19" s="952" t="s">
        <v>25</v>
      </c>
      <c r="C19" s="930"/>
      <c r="D19" s="930"/>
      <c r="E19" s="930"/>
      <c r="F19" s="930"/>
      <c r="G19" s="930"/>
      <c r="H19" s="930"/>
      <c r="I19" s="930"/>
      <c r="J19" s="930"/>
      <c r="K19" s="930"/>
      <c r="L19" s="930"/>
      <c r="M19" s="930"/>
      <c r="N19" s="930"/>
      <c r="O19" s="930"/>
      <c r="P19" s="931"/>
    </row>
    <row r="20" spans="1:19" ht="15" customHeight="1" thickBot="1" x14ac:dyDescent="0.4">
      <c r="A20" s="951"/>
      <c r="B20" s="957"/>
      <c r="C20" s="958"/>
      <c r="D20" s="959"/>
      <c r="E20" s="929" t="s">
        <v>26</v>
      </c>
      <c r="F20" s="930"/>
      <c r="G20" s="930"/>
      <c r="H20" s="930"/>
      <c r="I20" s="930"/>
      <c r="J20" s="930"/>
      <c r="K20" s="930"/>
      <c r="L20" s="930"/>
      <c r="M20" s="930"/>
      <c r="N20" s="930"/>
      <c r="O20" s="930"/>
      <c r="P20" s="931"/>
      <c r="R20" s="23"/>
      <c r="S20" s="174"/>
    </row>
    <row r="21" spans="1:19" ht="15" customHeight="1" thickBot="1" x14ac:dyDescent="0.4">
      <c r="A21" s="951"/>
      <c r="B21" s="969"/>
      <c r="C21" s="944"/>
      <c r="D21" s="945"/>
      <c r="E21" s="929" t="s">
        <v>27</v>
      </c>
      <c r="F21" s="930"/>
      <c r="G21" s="930"/>
      <c r="H21" s="930"/>
      <c r="I21" s="930"/>
      <c r="J21" s="930"/>
      <c r="K21" s="930"/>
      <c r="L21" s="930"/>
      <c r="M21" s="930"/>
      <c r="N21" s="930"/>
      <c r="O21" s="930"/>
      <c r="P21" s="931"/>
      <c r="R21" s="23"/>
      <c r="S21" s="742"/>
    </row>
    <row r="22" spans="1:19" ht="15" customHeight="1" thickBot="1" x14ac:dyDescent="0.4">
      <c r="A22" s="951"/>
      <c r="B22" s="967"/>
      <c r="C22" s="944"/>
      <c r="D22" s="945"/>
      <c r="E22" s="929" t="s">
        <v>28</v>
      </c>
      <c r="F22" s="930"/>
      <c r="G22" s="930"/>
      <c r="H22" s="930"/>
      <c r="I22" s="930"/>
      <c r="J22" s="930"/>
      <c r="K22" s="930"/>
      <c r="L22" s="930"/>
      <c r="M22" s="930"/>
      <c r="N22" s="930"/>
      <c r="O22" s="930"/>
      <c r="P22" s="931"/>
      <c r="R22" s="23"/>
      <c r="S22" s="174"/>
    </row>
    <row r="23" spans="1:19" ht="15" customHeight="1" thickBot="1" x14ac:dyDescent="0.4">
      <c r="A23" s="951"/>
      <c r="B23" s="943"/>
      <c r="C23" s="944"/>
      <c r="D23" s="945"/>
      <c r="E23" s="929" t="s">
        <v>29</v>
      </c>
      <c r="F23" s="930"/>
      <c r="G23" s="930"/>
      <c r="H23" s="930"/>
      <c r="I23" s="930"/>
      <c r="J23" s="930"/>
      <c r="K23" s="930"/>
      <c r="L23" s="930"/>
      <c r="M23" s="930"/>
      <c r="N23" s="930"/>
      <c r="O23" s="930"/>
      <c r="P23" s="931"/>
      <c r="R23" s="23"/>
      <c r="S23" s="174"/>
    </row>
    <row r="24" spans="1:19" x14ac:dyDescent="0.35">
      <c r="A24" s="951"/>
      <c r="B24" s="954" t="s">
        <v>30</v>
      </c>
      <c r="C24" s="955"/>
      <c r="D24" s="956"/>
      <c r="E24" s="929" t="s">
        <v>31</v>
      </c>
      <c r="F24" s="930"/>
      <c r="G24" s="930"/>
      <c r="H24" s="930"/>
      <c r="I24" s="930"/>
      <c r="J24" s="930"/>
      <c r="K24" s="930"/>
      <c r="L24" s="930"/>
      <c r="M24" s="930"/>
      <c r="N24" s="930"/>
      <c r="O24" s="930"/>
      <c r="P24" s="931"/>
      <c r="R24" s="23"/>
      <c r="S24" s="174"/>
    </row>
    <row r="25" spans="1:19" x14ac:dyDescent="0.35">
      <c r="A25" s="951"/>
      <c r="B25" s="966" t="s">
        <v>32</v>
      </c>
      <c r="C25" s="930"/>
      <c r="D25" s="931"/>
      <c r="E25" s="929" t="s">
        <v>33</v>
      </c>
      <c r="F25" s="930"/>
      <c r="G25" s="930"/>
      <c r="H25" s="930"/>
      <c r="I25" s="930"/>
      <c r="J25" s="930"/>
      <c r="K25" s="930"/>
      <c r="L25" s="930"/>
      <c r="M25" s="930"/>
      <c r="N25" s="930"/>
      <c r="O25" s="930"/>
      <c r="P25" s="931"/>
      <c r="R25" s="23"/>
      <c r="S25" s="174"/>
    </row>
    <row r="26" spans="1:19" x14ac:dyDescent="0.35">
      <c r="A26" s="951"/>
      <c r="B26" s="962"/>
      <c r="C26" s="963"/>
      <c r="D26" s="964"/>
      <c r="E26" s="929" t="s">
        <v>34</v>
      </c>
      <c r="F26" s="930"/>
      <c r="G26" s="930"/>
      <c r="H26" s="930"/>
      <c r="I26" s="930"/>
      <c r="J26" s="930"/>
      <c r="K26" s="930"/>
      <c r="L26" s="930"/>
      <c r="M26" s="930"/>
      <c r="N26" s="930"/>
      <c r="O26" s="930"/>
      <c r="P26" s="931"/>
      <c r="R26" s="23"/>
      <c r="S26" s="174"/>
    </row>
    <row r="27" spans="1:19" x14ac:dyDescent="0.35">
      <c r="A27" s="949"/>
      <c r="B27" s="968" t="s">
        <v>35</v>
      </c>
      <c r="C27" s="930"/>
      <c r="D27" s="931"/>
      <c r="E27" s="929" t="s">
        <v>36</v>
      </c>
      <c r="F27" s="930"/>
      <c r="G27" s="930"/>
      <c r="H27" s="930"/>
      <c r="I27" s="930"/>
      <c r="J27" s="930"/>
      <c r="K27" s="930"/>
      <c r="L27" s="930"/>
      <c r="M27" s="930"/>
      <c r="N27" s="930"/>
      <c r="O27" s="930"/>
      <c r="P27" s="931"/>
      <c r="R27" s="23"/>
      <c r="S27" s="174"/>
    </row>
    <row r="28" spans="1:19" x14ac:dyDescent="0.35">
      <c r="A28" s="950">
        <v>9</v>
      </c>
      <c r="B28" s="953" t="s">
        <v>37</v>
      </c>
      <c r="C28" s="935"/>
      <c r="D28" s="935"/>
      <c r="E28" s="935"/>
      <c r="F28" s="935"/>
      <c r="G28" s="935"/>
      <c r="H28" s="935"/>
      <c r="I28" s="935"/>
      <c r="J28" s="935"/>
      <c r="K28" s="935"/>
      <c r="L28" s="935"/>
      <c r="M28" s="935"/>
      <c r="N28" s="935"/>
      <c r="O28" s="935"/>
      <c r="P28" s="936"/>
      <c r="R28" s="23"/>
    </row>
    <row r="29" spans="1:19" x14ac:dyDescent="0.35">
      <c r="A29" s="951"/>
      <c r="B29" s="937"/>
      <c r="C29" s="938"/>
      <c r="D29" s="938"/>
      <c r="E29" s="938"/>
      <c r="F29" s="938"/>
      <c r="G29" s="938"/>
      <c r="H29" s="938"/>
      <c r="I29" s="938"/>
      <c r="J29" s="938"/>
      <c r="K29" s="938"/>
      <c r="L29" s="938"/>
      <c r="M29" s="938"/>
      <c r="N29" s="938"/>
      <c r="O29" s="938"/>
      <c r="P29" s="939"/>
    </row>
    <row r="30" spans="1:19" x14ac:dyDescent="0.35">
      <c r="A30" s="949"/>
      <c r="B30" s="940"/>
      <c r="C30" s="941"/>
      <c r="D30" s="941"/>
      <c r="E30" s="941"/>
      <c r="F30" s="941"/>
      <c r="G30" s="941"/>
      <c r="H30" s="941"/>
      <c r="I30" s="941"/>
      <c r="J30" s="941"/>
      <c r="K30" s="941"/>
      <c r="L30" s="941"/>
      <c r="M30" s="941"/>
      <c r="N30" s="941"/>
      <c r="O30" s="941"/>
      <c r="P30" s="942"/>
    </row>
    <row r="31" spans="1:19" x14ac:dyDescent="0.35">
      <c r="A31" s="950">
        <v>10</v>
      </c>
      <c r="B31" s="953" t="s">
        <v>38</v>
      </c>
      <c r="C31" s="935"/>
      <c r="D31" s="935"/>
      <c r="E31" s="935"/>
      <c r="F31" s="935"/>
      <c r="G31" s="935"/>
      <c r="H31" s="935"/>
      <c r="I31" s="935"/>
      <c r="J31" s="935"/>
      <c r="K31" s="935"/>
      <c r="L31" s="935"/>
      <c r="M31" s="935"/>
      <c r="N31" s="935"/>
      <c r="O31" s="935"/>
      <c r="P31" s="936"/>
    </row>
    <row r="32" spans="1:19" x14ac:dyDescent="0.35">
      <c r="A32" s="951"/>
      <c r="B32" s="937"/>
      <c r="C32" s="938"/>
      <c r="D32" s="938"/>
      <c r="E32" s="938"/>
      <c r="F32" s="938"/>
      <c r="G32" s="938"/>
      <c r="H32" s="938"/>
      <c r="I32" s="938"/>
      <c r="J32" s="938"/>
      <c r="K32" s="938"/>
      <c r="L32" s="938"/>
      <c r="M32" s="938"/>
      <c r="N32" s="938"/>
      <c r="O32" s="938"/>
      <c r="P32" s="939"/>
    </row>
    <row r="33" spans="1:16" x14ac:dyDescent="0.35">
      <c r="A33" s="949"/>
      <c r="B33" s="940"/>
      <c r="C33" s="941"/>
      <c r="D33" s="941"/>
      <c r="E33" s="941"/>
      <c r="F33" s="941"/>
      <c r="G33" s="941"/>
      <c r="H33" s="941"/>
      <c r="I33" s="941"/>
      <c r="J33" s="941"/>
      <c r="K33" s="941"/>
      <c r="L33" s="941"/>
      <c r="M33" s="941"/>
      <c r="N33" s="941"/>
      <c r="O33" s="941"/>
      <c r="P33" s="942"/>
    </row>
    <row r="34" spans="1:16" x14ac:dyDescent="0.35">
      <c r="A34" s="950">
        <v>11</v>
      </c>
      <c r="B34" s="960" t="s">
        <v>39</v>
      </c>
      <c r="C34" s="935"/>
      <c r="D34" s="935"/>
      <c r="E34" s="935"/>
      <c r="F34" s="935"/>
      <c r="G34" s="935"/>
      <c r="H34" s="935"/>
      <c r="I34" s="935"/>
      <c r="J34" s="935"/>
      <c r="K34" s="935"/>
      <c r="L34" s="935"/>
      <c r="M34" s="935"/>
      <c r="N34" s="935"/>
      <c r="O34" s="935"/>
      <c r="P34" s="936"/>
    </row>
    <row r="35" spans="1:16" x14ac:dyDescent="0.35">
      <c r="A35" s="951"/>
      <c r="B35" s="937"/>
      <c r="C35" s="938"/>
      <c r="D35" s="938"/>
      <c r="E35" s="938"/>
      <c r="F35" s="938"/>
      <c r="G35" s="938"/>
      <c r="H35" s="938"/>
      <c r="I35" s="938"/>
      <c r="J35" s="938"/>
      <c r="K35" s="938"/>
      <c r="L35" s="938"/>
      <c r="M35" s="938"/>
      <c r="N35" s="938"/>
      <c r="O35" s="938"/>
      <c r="P35" s="939"/>
    </row>
    <row r="36" spans="1:16" x14ac:dyDescent="0.35">
      <c r="A36" s="949"/>
      <c r="B36" s="940"/>
      <c r="C36" s="941"/>
      <c r="D36" s="941"/>
      <c r="E36" s="941"/>
      <c r="F36" s="941"/>
      <c r="G36" s="941"/>
      <c r="H36" s="941"/>
      <c r="I36" s="941"/>
      <c r="J36" s="941"/>
      <c r="K36" s="941"/>
      <c r="L36" s="941"/>
      <c r="M36" s="941"/>
      <c r="N36" s="941"/>
      <c r="O36" s="941"/>
      <c r="P36" s="942"/>
    </row>
    <row r="37" spans="1:16" x14ac:dyDescent="0.35">
      <c r="A37" s="950">
        <v>12</v>
      </c>
      <c r="B37" s="934" t="s">
        <v>40</v>
      </c>
      <c r="C37" s="935"/>
      <c r="D37" s="935"/>
      <c r="E37" s="935"/>
      <c r="F37" s="935"/>
      <c r="G37" s="935"/>
      <c r="H37" s="935"/>
      <c r="I37" s="935"/>
      <c r="J37" s="935"/>
      <c r="K37" s="935"/>
      <c r="L37" s="935"/>
      <c r="M37" s="935"/>
      <c r="N37" s="935"/>
      <c r="O37" s="935"/>
      <c r="P37" s="936"/>
    </row>
    <row r="38" spans="1:16" x14ac:dyDescent="0.35">
      <c r="A38" s="951"/>
      <c r="B38" s="937"/>
      <c r="C38" s="938"/>
      <c r="D38" s="938"/>
      <c r="E38" s="938"/>
      <c r="F38" s="938"/>
      <c r="G38" s="938"/>
      <c r="H38" s="938"/>
      <c r="I38" s="938"/>
      <c r="J38" s="938"/>
      <c r="K38" s="938"/>
      <c r="L38" s="938"/>
      <c r="M38" s="938"/>
      <c r="N38" s="938"/>
      <c r="O38" s="938"/>
      <c r="P38" s="939"/>
    </row>
    <row r="39" spans="1:16" x14ac:dyDescent="0.35">
      <c r="A39" s="951"/>
      <c r="B39" s="937"/>
      <c r="C39" s="938"/>
      <c r="D39" s="938"/>
      <c r="E39" s="938"/>
      <c r="F39" s="938"/>
      <c r="G39" s="938"/>
      <c r="H39" s="938"/>
      <c r="I39" s="938"/>
      <c r="J39" s="938"/>
      <c r="K39" s="938"/>
      <c r="L39" s="938"/>
      <c r="M39" s="938"/>
      <c r="N39" s="938"/>
      <c r="O39" s="938"/>
      <c r="P39" s="939"/>
    </row>
    <row r="40" spans="1:16" x14ac:dyDescent="0.35">
      <c r="A40" s="949"/>
      <c r="B40" s="940"/>
      <c r="C40" s="941"/>
      <c r="D40" s="941"/>
      <c r="E40" s="941"/>
      <c r="F40" s="941"/>
      <c r="G40" s="941"/>
      <c r="H40" s="941"/>
      <c r="I40" s="941"/>
      <c r="J40" s="941"/>
      <c r="K40" s="941"/>
      <c r="L40" s="941"/>
      <c r="M40" s="941"/>
      <c r="N40" s="941"/>
      <c r="O40" s="941"/>
      <c r="P40" s="942"/>
    </row>
    <row r="41" spans="1:16" x14ac:dyDescent="0.35">
      <c r="A41" s="961"/>
      <c r="B41" s="930"/>
      <c r="C41" s="930"/>
      <c r="D41" s="930"/>
      <c r="E41" s="930"/>
      <c r="F41" s="930"/>
      <c r="G41" s="930"/>
      <c r="H41" s="930"/>
      <c r="I41" s="930"/>
      <c r="J41" s="930"/>
      <c r="K41" s="930"/>
      <c r="L41" s="930"/>
      <c r="M41" s="930"/>
      <c r="N41" s="930"/>
      <c r="O41" s="930"/>
      <c r="P41" s="931"/>
    </row>
    <row r="42" spans="1:16" x14ac:dyDescent="0.35">
      <c r="A42" s="950">
        <v>11</v>
      </c>
      <c r="B42" s="946" t="s">
        <v>41</v>
      </c>
      <c r="C42" s="935"/>
      <c r="D42" s="935"/>
      <c r="E42" s="935"/>
      <c r="F42" s="935"/>
      <c r="G42" s="935"/>
      <c r="H42" s="935"/>
      <c r="I42" s="935"/>
      <c r="J42" s="935"/>
      <c r="K42" s="935"/>
      <c r="L42" s="935"/>
      <c r="M42" s="935"/>
      <c r="N42" s="935"/>
      <c r="O42" s="935"/>
      <c r="P42" s="936"/>
    </row>
    <row r="43" spans="1:16" x14ac:dyDescent="0.35">
      <c r="A43" s="951"/>
      <c r="B43" s="937"/>
      <c r="C43" s="938"/>
      <c r="D43" s="938"/>
      <c r="E43" s="938"/>
      <c r="F43" s="938"/>
      <c r="G43" s="938"/>
      <c r="H43" s="938"/>
      <c r="I43" s="938"/>
      <c r="J43" s="938"/>
      <c r="K43" s="938"/>
      <c r="L43" s="938"/>
      <c r="M43" s="938"/>
      <c r="N43" s="938"/>
      <c r="O43" s="938"/>
      <c r="P43" s="939"/>
    </row>
    <row r="44" spans="1:16" ht="28.25" customHeight="1" x14ac:dyDescent="0.35">
      <c r="A44" s="949"/>
      <c r="B44" s="940"/>
      <c r="C44" s="941"/>
      <c r="D44" s="941"/>
      <c r="E44" s="941"/>
      <c r="F44" s="941"/>
      <c r="G44" s="941"/>
      <c r="H44" s="941"/>
      <c r="I44" s="941"/>
      <c r="J44" s="941"/>
      <c r="K44" s="941"/>
      <c r="L44" s="941"/>
      <c r="M44" s="941"/>
      <c r="N44" s="941"/>
      <c r="O44" s="941"/>
      <c r="P44" s="942"/>
    </row>
  </sheetData>
  <sheetProtection algorithmName="SHA-512" hashValue="eAgKWZn1Gaq75MGfBznwOr1L+CfxTwiFbLsB5kKA3L4uqwG9rXMyEeyxifoD2T82fy3PqxHQt7FTELzQdiK2Fw==" saltValue="Kjl4rmmh8Sz4w4xEKWxsSA==" spinCount="100000" sheet="1" objects="1" scenarios="1"/>
  <mergeCells count="61">
    <mergeCell ref="A42:A44"/>
    <mergeCell ref="B2:D2"/>
    <mergeCell ref="E1:G1"/>
    <mergeCell ref="K1:M1"/>
    <mergeCell ref="A41:P41"/>
    <mergeCell ref="H1:J1"/>
    <mergeCell ref="B3:D3"/>
    <mergeCell ref="E24:P24"/>
    <mergeCell ref="A16:A18"/>
    <mergeCell ref="B22:D22"/>
    <mergeCell ref="B16:P18"/>
    <mergeCell ref="B6:P7"/>
    <mergeCell ref="H4:J4"/>
    <mergeCell ref="E23:P23"/>
    <mergeCell ref="B27:D27"/>
    <mergeCell ref="E4:G4"/>
    <mergeCell ref="B21:D21"/>
    <mergeCell ref="B31:P33"/>
    <mergeCell ref="B12:P12"/>
    <mergeCell ref="E3:G3"/>
    <mergeCell ref="N4:P4"/>
    <mergeCell ref="K3:M3"/>
    <mergeCell ref="B25:D25"/>
    <mergeCell ref="E21:P21"/>
    <mergeCell ref="E25:P25"/>
    <mergeCell ref="K4:M4"/>
    <mergeCell ref="B4:D4"/>
    <mergeCell ref="B26:D26"/>
    <mergeCell ref="E22:P22"/>
    <mergeCell ref="B1:D1"/>
    <mergeCell ref="B42:P44"/>
    <mergeCell ref="N1:P1"/>
    <mergeCell ref="B8:P8"/>
    <mergeCell ref="H2:J2"/>
    <mergeCell ref="B13:P15"/>
    <mergeCell ref="E2:G2"/>
    <mergeCell ref="K2:M2"/>
    <mergeCell ref="B9:P11"/>
    <mergeCell ref="B19:P19"/>
    <mergeCell ref="E27:P27"/>
    <mergeCell ref="B28:P30"/>
    <mergeCell ref="N3:P3"/>
    <mergeCell ref="E26:P26"/>
    <mergeCell ref="H3:J3"/>
    <mergeCell ref="B24:D24"/>
    <mergeCell ref="E20:P20"/>
    <mergeCell ref="A5:P5"/>
    <mergeCell ref="N2:P2"/>
    <mergeCell ref="B37:P40"/>
    <mergeCell ref="B23:D23"/>
    <mergeCell ref="A6:A7"/>
    <mergeCell ref="A13:A15"/>
    <mergeCell ref="A34:A36"/>
    <mergeCell ref="A28:A30"/>
    <mergeCell ref="A19:A27"/>
    <mergeCell ref="A31:A33"/>
    <mergeCell ref="A37:A40"/>
    <mergeCell ref="A9:A11"/>
    <mergeCell ref="B20:D20"/>
    <mergeCell ref="B34:P36"/>
    <mergeCell ref="A1:A3"/>
  </mergeCells>
  <conditionalFormatting sqref="B25">
    <cfRule type="containsText" dxfId="360" priority="2" operator="containsText" text="Select">
      <formula>NOT(ISERROR(SEARCH("Select",B25)))</formula>
    </cfRule>
  </conditionalFormatting>
  <conditionalFormatting sqref="B26">
    <cfRule type="expression" dxfId="359" priority="1">
      <formula>$K$12&lt;3</formula>
    </cfRule>
  </conditionalFormatting>
  <dataValidations count="3">
    <dataValidation type="list" allowBlank="1" showInputMessage="1" showErrorMessage="1" sqref="B25" xr:uid="{00000000-0002-0000-0000-000000000000}">
      <formula1>"Select,Yes,No,Not Applicable"</formula1>
    </dataValidation>
    <dataValidation type="decimal" operator="notEqual" allowBlank="1" showInputMessage="1" showErrorMessage="1" errorTitle="Numeric value only" error="Plesse do not enter &quot;0&quot; or text" promptTitle="Numeric only" prompt="Please enter numeric value or leave blank" sqref="B26" xr:uid="{00000000-0002-0000-0000-000001000000}">
      <formula1>0</formula1>
    </dataValidation>
    <dataValidation type="list" allowBlank="1" showInputMessage="1" showErrorMessage="1" sqref="B24" xr:uid="{00000000-0002-0000-0000-000002000000}">
      <formula1>"Yes,No"</formula1>
    </dataValidation>
  </dataValidations>
  <hyperlinks>
    <hyperlink ref="B1" location="'Instructions Sheet'!A1" display="Instruction Sheet" xr:uid="{00000000-0004-0000-0000-000000000000}"/>
    <hyperlink ref="E1" location="'General Information'!A1" display="General Information" xr:uid="{00000000-0004-0000-0000-000001000000}"/>
    <hyperlink ref="H1" location="'Form 1'!A1" display="Form 1" xr:uid="{00000000-0004-0000-0000-000002000000}"/>
    <hyperlink ref="K1" location="'Form E2'!A1" display="Form E2" xr:uid="{00000000-0004-0000-0000-000003000000}"/>
    <hyperlink ref="N1" location="'Form-Sb'!A1" display="Form-Sb" xr:uid="{00000000-0004-0000-0000-000004000000}"/>
    <hyperlink ref="B2" location="'Base line Parameters'!A1" display="Baseline Parameters" xr:uid="{00000000-0004-0000-0000-000005000000}"/>
    <hyperlink ref="E2" location="'Summary Sheet'!A1" display="Summary Sheet" xr:uid="{00000000-0004-0000-0000-000006000000}"/>
    <hyperlink ref="H2" location="'Emission Factor &amp; GWP Backup'!A1" display="Emission Factor &amp; GWP Backup" xr:uid="{00000000-0004-0000-0000-000007000000}"/>
    <hyperlink ref="K2" location="'Annex Addl Eqp List-Env'!A1" display="Annex Addl Eqp List-Env" xr:uid="{00000000-0004-0000-0000-000008000000}"/>
    <hyperlink ref="N2" location="'Annex Project Activites List'!A1" display="Annex Project Activites List" xr:uid="{00000000-0004-0000-0000-000009000000}"/>
    <hyperlink ref="B3" location="'NF-1 CU'!A1" display="NF-1 CU" xr:uid="{00000000-0004-0000-0000-00000A000000}"/>
    <hyperlink ref="E3" location="'NF-2 Fuel Quality in CPP'!A1" display="NF-2 Fuel Quality in CPP" xr:uid="{00000000-0004-0000-0000-00000B000000}"/>
    <hyperlink ref="H3" location="'NF-3 Petcoke'!A1" display="NF-3 Petcoke" xr:uid="{00000000-0004-0000-0000-00000C000000}"/>
    <hyperlink ref="K3" location="'NF-4 PLF'!A1" display="NF-4 PLF" xr:uid="{00000000-0004-0000-0000-00000D000000}"/>
    <hyperlink ref="N3" location="'NF-5 Power Mix'!A1" display="NF-5 Power Mix" xr:uid="{00000000-0004-0000-0000-00000E000000}"/>
    <hyperlink ref="B4" location="'NF-6 Product Mix'!A1" display="NF-6 Product Mix" xr:uid="{00000000-0004-0000-0000-00000F000000}"/>
    <hyperlink ref="E4" location="'NF-7 Others'!A1" display="NF-7 Others" xr:uid="{00000000-0004-0000-0000-000010000000}"/>
    <hyperlink ref="H4" location="'NF-8 Bond Index'!A1" display="NF-8 Bond Index" xr:uid="{00000000-0004-0000-0000-00001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I518"/>
  <sheetViews>
    <sheetView topLeftCell="A251" zoomScale="93" zoomScaleNormal="93" workbookViewId="0">
      <selection activeCell="B254" sqref="B254"/>
    </sheetView>
  </sheetViews>
  <sheetFormatPr defaultColWidth="0" defaultRowHeight="14.5" x14ac:dyDescent="0.35"/>
  <cols>
    <col min="1" max="1" width="10.1796875" style="1" customWidth="1"/>
    <col min="2" max="2" width="79.54296875" customWidth="1"/>
    <col min="3" max="3" width="28" style="4" customWidth="1"/>
    <col min="4" max="4" width="16.453125" style="253" bestFit="1" customWidth="1"/>
    <col min="5" max="5" width="35.453125" style="4" customWidth="1"/>
    <col min="6" max="6" width="33.54296875" style="253" customWidth="1"/>
    <col min="7" max="7" width="9" style="230" hidden="1" customWidth="1"/>
    <col min="8" max="8" width="4.54296875" hidden="1" customWidth="1"/>
    <col min="9" max="9" width="23.453125" hidden="1" customWidth="1"/>
  </cols>
  <sheetData>
    <row r="1" spans="1:7" ht="45.75" customHeight="1" x14ac:dyDescent="0.35">
      <c r="A1" s="974" t="s">
        <v>42</v>
      </c>
      <c r="B1" s="930"/>
      <c r="C1" s="930"/>
      <c r="D1" s="930"/>
      <c r="E1" s="930"/>
      <c r="F1" s="931"/>
      <c r="G1" s="226"/>
    </row>
    <row r="2" spans="1:7" x14ac:dyDescent="0.35">
      <c r="A2" s="5"/>
      <c r="B2" s="227"/>
      <c r="C2" s="228"/>
      <c r="D2" s="229"/>
      <c r="E2" s="228"/>
      <c r="F2" s="229"/>
    </row>
    <row r="3" spans="1:7" ht="58" customHeight="1" x14ac:dyDescent="0.35">
      <c r="A3" s="231" t="s">
        <v>43</v>
      </c>
      <c r="B3" s="310" t="s">
        <v>44</v>
      </c>
      <c r="C3" s="357" t="s">
        <v>45</v>
      </c>
      <c r="D3" s="358" t="s">
        <v>46</v>
      </c>
      <c r="E3" s="232" t="s">
        <v>47</v>
      </c>
      <c r="F3" s="232" t="s">
        <v>48</v>
      </c>
      <c r="G3" s="233"/>
    </row>
    <row r="4" spans="1:7" ht="21" customHeight="1" x14ac:dyDescent="0.35">
      <c r="A4" s="977" t="s">
        <v>49</v>
      </c>
      <c r="B4" s="930"/>
      <c r="C4" s="930"/>
      <c r="D4" s="930"/>
      <c r="E4" s="930"/>
      <c r="F4" s="931"/>
      <c r="G4" s="233"/>
    </row>
    <row r="5" spans="1:7" ht="21" customHeight="1" x14ac:dyDescent="0.35">
      <c r="A5" s="975" t="s">
        <v>50</v>
      </c>
      <c r="B5" s="935"/>
      <c r="C5" s="935"/>
      <c r="D5" s="935"/>
      <c r="E5" s="935"/>
      <c r="F5" s="936"/>
      <c r="G5" s="233"/>
    </row>
    <row r="6" spans="1:7" s="714" customFormat="1" ht="21" customHeight="1" x14ac:dyDescent="0.35">
      <c r="A6" s="760" t="s">
        <v>51</v>
      </c>
      <c r="B6" s="761" t="s">
        <v>52</v>
      </c>
      <c r="C6" s="760"/>
      <c r="D6" s="760"/>
      <c r="E6" s="760"/>
      <c r="F6" s="760"/>
      <c r="G6" s="713"/>
    </row>
    <row r="7" spans="1:7" s="714" customFormat="1" ht="43.5" customHeight="1" x14ac:dyDescent="0.35">
      <c r="A7" s="500" t="s">
        <v>53</v>
      </c>
      <c r="B7" s="398" t="s">
        <v>54</v>
      </c>
      <c r="C7" s="398" t="s">
        <v>55</v>
      </c>
      <c r="D7" s="765" t="s">
        <v>56</v>
      </c>
      <c r="E7" s="766" t="s">
        <v>57</v>
      </c>
      <c r="F7" s="766" t="s">
        <v>58</v>
      </c>
      <c r="G7" s="715"/>
    </row>
    <row r="8" spans="1:7" s="714" customFormat="1" ht="21" customHeight="1" x14ac:dyDescent="0.35">
      <c r="A8" s="500" t="s">
        <v>59</v>
      </c>
      <c r="B8" s="401" t="s">
        <v>60</v>
      </c>
      <c r="C8" s="500"/>
      <c r="D8" s="765"/>
      <c r="E8" s="765"/>
      <c r="F8" s="765"/>
      <c r="G8" s="715"/>
    </row>
    <row r="9" spans="1:7" s="714" customFormat="1" ht="42" customHeight="1" x14ac:dyDescent="0.35">
      <c r="A9" s="762" t="s">
        <v>61</v>
      </c>
      <c r="B9" s="398" t="s">
        <v>62</v>
      </c>
      <c r="C9" s="398" t="s">
        <v>55</v>
      </c>
      <c r="D9" s="765" t="s">
        <v>56</v>
      </c>
      <c r="E9" s="766" t="s">
        <v>63</v>
      </c>
      <c r="F9" s="766" t="s">
        <v>64</v>
      </c>
      <c r="G9" s="715"/>
    </row>
    <row r="10" spans="1:7" ht="26.25" customHeight="1" x14ac:dyDescent="0.35">
      <c r="A10" s="710" t="s">
        <v>65</v>
      </c>
      <c r="B10" s="711" t="s">
        <v>66</v>
      </c>
      <c r="C10" s="712"/>
      <c r="D10" s="243"/>
      <c r="E10" s="243"/>
      <c r="F10" s="243"/>
    </row>
    <row r="11" spans="1:7" ht="36" customHeight="1" x14ac:dyDescent="0.35">
      <c r="A11" s="2" t="s">
        <v>67</v>
      </c>
      <c r="B11" s="3" t="s">
        <v>68</v>
      </c>
      <c r="C11" s="228" t="s">
        <v>69</v>
      </c>
      <c r="D11" s="229" t="s">
        <v>56</v>
      </c>
      <c r="E11" s="235" t="s">
        <v>70</v>
      </c>
      <c r="F11" s="229" t="s">
        <v>71</v>
      </c>
    </row>
    <row r="12" spans="1:7" ht="36" customHeight="1" x14ac:dyDescent="0.35">
      <c r="A12" s="2" t="s">
        <v>72</v>
      </c>
      <c r="B12" s="3" t="s">
        <v>73</v>
      </c>
      <c r="C12" s="236" t="s">
        <v>74</v>
      </c>
      <c r="D12" s="229" t="s">
        <v>56</v>
      </c>
      <c r="E12" s="235" t="s">
        <v>75</v>
      </c>
      <c r="F12" s="229" t="s">
        <v>71</v>
      </c>
    </row>
    <row r="13" spans="1:7" ht="36" customHeight="1" x14ac:dyDescent="0.35">
      <c r="A13" s="2" t="s">
        <v>76</v>
      </c>
      <c r="B13" s="3" t="s">
        <v>77</v>
      </c>
      <c r="C13" s="237" t="s">
        <v>78</v>
      </c>
      <c r="D13" s="229" t="s">
        <v>79</v>
      </c>
      <c r="E13" s="235" t="s">
        <v>80</v>
      </c>
      <c r="F13" s="229" t="s">
        <v>81</v>
      </c>
    </row>
    <row r="14" spans="1:7" ht="36" customHeight="1" x14ac:dyDescent="0.35">
      <c r="A14" s="2" t="s">
        <v>82</v>
      </c>
      <c r="B14" s="3" t="s">
        <v>83</v>
      </c>
      <c r="C14" s="236" t="s">
        <v>84</v>
      </c>
      <c r="D14" s="229" t="s">
        <v>85</v>
      </c>
      <c r="E14" s="229" t="s">
        <v>80</v>
      </c>
      <c r="F14" s="229" t="s">
        <v>81</v>
      </c>
    </row>
    <row r="15" spans="1:7" ht="29" customHeight="1" x14ac:dyDescent="0.35">
      <c r="A15" s="2" t="s">
        <v>86</v>
      </c>
      <c r="B15" s="3" t="s">
        <v>87</v>
      </c>
      <c r="C15" s="236" t="s">
        <v>88</v>
      </c>
      <c r="D15" s="229" t="s">
        <v>89</v>
      </c>
      <c r="E15" s="229" t="s">
        <v>90</v>
      </c>
      <c r="F15" s="229" t="s">
        <v>91</v>
      </c>
    </row>
    <row r="16" spans="1:7" ht="29" customHeight="1" x14ac:dyDescent="0.35">
      <c r="A16" s="2" t="s">
        <v>92</v>
      </c>
      <c r="B16" s="3" t="s">
        <v>93</v>
      </c>
      <c r="C16" s="236" t="s">
        <v>88</v>
      </c>
      <c r="D16" s="229" t="s">
        <v>89</v>
      </c>
      <c r="E16" s="229" t="s">
        <v>90</v>
      </c>
      <c r="F16" s="229" t="s">
        <v>91</v>
      </c>
    </row>
    <row r="17" spans="1:7" ht="29" customHeight="1" x14ac:dyDescent="0.35">
      <c r="A17" s="2" t="s">
        <v>94</v>
      </c>
      <c r="B17" s="3" t="s">
        <v>95</v>
      </c>
      <c r="C17" s="236" t="s">
        <v>88</v>
      </c>
      <c r="D17" s="229" t="s">
        <v>89</v>
      </c>
      <c r="E17" s="229" t="s">
        <v>90</v>
      </c>
      <c r="F17" s="229" t="s">
        <v>96</v>
      </c>
    </row>
    <row r="18" spans="1:7" ht="29" customHeight="1" x14ac:dyDescent="0.35">
      <c r="A18" s="2" t="s">
        <v>97</v>
      </c>
      <c r="B18" s="3" t="s">
        <v>98</v>
      </c>
      <c r="C18" s="236" t="s">
        <v>88</v>
      </c>
      <c r="D18" s="229" t="s">
        <v>89</v>
      </c>
      <c r="E18" s="229" t="s">
        <v>90</v>
      </c>
      <c r="F18" s="229" t="s">
        <v>96</v>
      </c>
    </row>
    <row r="19" spans="1:7" x14ac:dyDescent="0.35">
      <c r="A19" s="200" t="s">
        <v>99</v>
      </c>
      <c r="B19" s="234" t="s">
        <v>100</v>
      </c>
      <c r="C19" s="228"/>
      <c r="D19" s="229"/>
      <c r="E19" s="229"/>
      <c r="F19" s="229"/>
    </row>
    <row r="20" spans="1:7" x14ac:dyDescent="0.35">
      <c r="A20" s="200" t="s">
        <v>101</v>
      </c>
      <c r="B20" s="234" t="s">
        <v>102</v>
      </c>
      <c r="C20" s="228"/>
      <c r="D20" s="229"/>
      <c r="E20" s="229"/>
      <c r="F20" s="229"/>
    </row>
    <row r="21" spans="1:7" ht="58" customHeight="1" x14ac:dyDescent="0.35">
      <c r="A21" s="412" t="s">
        <v>103</v>
      </c>
      <c r="B21" s="750" t="s">
        <v>104</v>
      </c>
      <c r="C21" s="236" t="s">
        <v>105</v>
      </c>
      <c r="D21" s="229"/>
      <c r="E21" s="229"/>
      <c r="F21" s="229"/>
    </row>
    <row r="22" spans="1:7" s="443" customFormat="1" ht="55.25" customHeight="1" x14ac:dyDescent="0.35">
      <c r="A22" s="674" t="s">
        <v>106</v>
      </c>
      <c r="B22" s="523" t="s">
        <v>107</v>
      </c>
      <c r="C22" s="751"/>
      <c r="D22" s="239" t="s">
        <v>79</v>
      </c>
      <c r="E22" s="239" t="s">
        <v>108</v>
      </c>
      <c r="F22" s="239" t="s">
        <v>109</v>
      </c>
      <c r="G22" s="752"/>
    </row>
    <row r="23" spans="1:7" ht="48" customHeight="1" x14ac:dyDescent="0.35">
      <c r="A23" s="52" t="s">
        <v>110</v>
      </c>
      <c r="B23" s="3" t="s">
        <v>111</v>
      </c>
      <c r="C23" s="236" t="s">
        <v>112</v>
      </c>
      <c r="D23" s="229" t="s">
        <v>89</v>
      </c>
      <c r="E23" s="229" t="s">
        <v>113</v>
      </c>
      <c r="F23" s="229" t="s">
        <v>114</v>
      </c>
    </row>
    <row r="24" spans="1:7" ht="36" customHeight="1" x14ac:dyDescent="0.35">
      <c r="A24" s="52" t="s">
        <v>115</v>
      </c>
      <c r="B24" s="3" t="s">
        <v>116</v>
      </c>
      <c r="C24" s="228" t="s">
        <v>117</v>
      </c>
      <c r="D24" s="229" t="s">
        <v>89</v>
      </c>
      <c r="E24" s="229" t="s">
        <v>113</v>
      </c>
      <c r="F24" s="229" t="s">
        <v>114</v>
      </c>
    </row>
    <row r="25" spans="1:7" ht="36" customHeight="1" x14ac:dyDescent="0.35">
      <c r="A25" s="52" t="s">
        <v>118</v>
      </c>
      <c r="B25" s="3" t="s">
        <v>119</v>
      </c>
      <c r="C25" s="228" t="s">
        <v>120</v>
      </c>
      <c r="D25" s="229" t="s">
        <v>89</v>
      </c>
      <c r="E25" s="229" t="s">
        <v>113</v>
      </c>
      <c r="F25" s="229" t="s">
        <v>114</v>
      </c>
    </row>
    <row r="26" spans="1:7" ht="43.5" customHeight="1" x14ac:dyDescent="0.35">
      <c r="A26" s="52" t="s">
        <v>121</v>
      </c>
      <c r="B26" s="3" t="s">
        <v>122</v>
      </c>
      <c r="C26" s="236" t="s">
        <v>123</v>
      </c>
      <c r="D26" s="229" t="s">
        <v>89</v>
      </c>
      <c r="E26" s="229" t="s">
        <v>113</v>
      </c>
      <c r="F26" s="229" t="s">
        <v>114</v>
      </c>
    </row>
    <row r="27" spans="1:7" ht="43.5" customHeight="1" x14ac:dyDescent="0.35">
      <c r="A27" s="52" t="s">
        <v>124</v>
      </c>
      <c r="B27" s="3" t="s">
        <v>125</v>
      </c>
      <c r="C27" s="236" t="s">
        <v>123</v>
      </c>
      <c r="D27" s="229" t="s">
        <v>89</v>
      </c>
      <c r="E27" s="229" t="s">
        <v>113</v>
      </c>
      <c r="F27" s="229" t="s">
        <v>114</v>
      </c>
    </row>
    <row r="28" spans="1:7" s="443" customFormat="1" ht="49.25" customHeight="1" x14ac:dyDescent="0.35">
      <c r="A28" s="674" t="s">
        <v>126</v>
      </c>
      <c r="B28" s="523" t="s">
        <v>127</v>
      </c>
      <c r="C28" s="751"/>
      <c r="D28" s="239" t="s">
        <v>79</v>
      </c>
      <c r="E28" s="239" t="s">
        <v>128</v>
      </c>
      <c r="F28" s="239" t="s">
        <v>109</v>
      </c>
      <c r="G28" s="752"/>
    </row>
    <row r="29" spans="1:7" ht="36" customHeight="1" x14ac:dyDescent="0.35">
      <c r="A29" s="52" t="s">
        <v>110</v>
      </c>
      <c r="B29" s="3" t="s">
        <v>129</v>
      </c>
      <c r="C29" s="236" t="s">
        <v>112</v>
      </c>
      <c r="D29" s="229" t="s">
        <v>89</v>
      </c>
      <c r="E29" s="229" t="s">
        <v>113</v>
      </c>
      <c r="F29" s="229" t="s">
        <v>114</v>
      </c>
    </row>
    <row r="30" spans="1:7" ht="36" customHeight="1" x14ac:dyDescent="0.35">
      <c r="A30" s="52" t="s">
        <v>115</v>
      </c>
      <c r="B30" s="3" t="s">
        <v>130</v>
      </c>
      <c r="C30" s="236" t="s">
        <v>131</v>
      </c>
      <c r="D30" s="229" t="s">
        <v>89</v>
      </c>
      <c r="E30" s="229" t="s">
        <v>113</v>
      </c>
      <c r="F30" s="229" t="s">
        <v>114</v>
      </c>
    </row>
    <row r="31" spans="1:7" ht="36" customHeight="1" x14ac:dyDescent="0.35">
      <c r="A31" s="52" t="s">
        <v>118</v>
      </c>
      <c r="B31" s="3" t="s">
        <v>132</v>
      </c>
      <c r="C31" s="236" t="s">
        <v>133</v>
      </c>
      <c r="D31" s="229" t="s">
        <v>89</v>
      </c>
      <c r="E31" s="229" t="s">
        <v>113</v>
      </c>
      <c r="F31" s="229" t="s">
        <v>114</v>
      </c>
    </row>
    <row r="32" spans="1:7" ht="43.5" customHeight="1" x14ac:dyDescent="0.35">
      <c r="A32" s="52" t="s">
        <v>121</v>
      </c>
      <c r="B32" s="3" t="s">
        <v>134</v>
      </c>
      <c r="C32" s="236" t="s">
        <v>123</v>
      </c>
      <c r="D32" s="229" t="s">
        <v>89</v>
      </c>
      <c r="E32" s="229" t="s">
        <v>113</v>
      </c>
      <c r="F32" s="229" t="s">
        <v>114</v>
      </c>
    </row>
    <row r="33" spans="1:7" s="443" customFormat="1" ht="51" customHeight="1" x14ac:dyDescent="0.35">
      <c r="A33" s="674" t="s">
        <v>135</v>
      </c>
      <c r="B33" s="523" t="s">
        <v>136</v>
      </c>
      <c r="C33" s="751"/>
      <c r="D33" s="239" t="s">
        <v>79</v>
      </c>
      <c r="E33" s="239" t="s">
        <v>128</v>
      </c>
      <c r="F33" s="239" t="s">
        <v>109</v>
      </c>
      <c r="G33" s="752"/>
    </row>
    <row r="34" spans="1:7" ht="36" customHeight="1" x14ac:dyDescent="0.35">
      <c r="A34" s="52" t="s">
        <v>110</v>
      </c>
      <c r="B34" s="3" t="s">
        <v>137</v>
      </c>
      <c r="C34" s="236" t="s">
        <v>138</v>
      </c>
      <c r="D34" s="229" t="s">
        <v>89</v>
      </c>
      <c r="E34" s="229" t="s">
        <v>113</v>
      </c>
      <c r="F34" s="229" t="s">
        <v>114</v>
      </c>
    </row>
    <row r="35" spans="1:7" ht="36" customHeight="1" x14ac:dyDescent="0.35">
      <c r="A35" s="52" t="s">
        <v>115</v>
      </c>
      <c r="B35" s="3" t="s">
        <v>139</v>
      </c>
      <c r="C35" s="236" t="s">
        <v>140</v>
      </c>
      <c r="D35" s="229" t="s">
        <v>89</v>
      </c>
      <c r="E35" s="229" t="s">
        <v>113</v>
      </c>
      <c r="F35" s="229" t="s">
        <v>114</v>
      </c>
    </row>
    <row r="36" spans="1:7" ht="43.5" customHeight="1" x14ac:dyDescent="0.35">
      <c r="A36" s="52" t="s">
        <v>118</v>
      </c>
      <c r="B36" s="3" t="s">
        <v>141</v>
      </c>
      <c r="C36" s="236" t="s">
        <v>123</v>
      </c>
      <c r="D36" s="229" t="s">
        <v>89</v>
      </c>
      <c r="E36" s="229" t="s">
        <v>113</v>
      </c>
      <c r="F36" s="229" t="s">
        <v>114</v>
      </c>
    </row>
    <row r="37" spans="1:7" s="443" customFormat="1" ht="36" customHeight="1" x14ac:dyDescent="0.35">
      <c r="A37" s="674" t="s">
        <v>142</v>
      </c>
      <c r="B37" s="523" t="s">
        <v>143</v>
      </c>
      <c r="C37" s="751"/>
      <c r="D37" s="239" t="s">
        <v>79</v>
      </c>
      <c r="E37" s="239" t="s">
        <v>128</v>
      </c>
      <c r="F37" s="239" t="s">
        <v>109</v>
      </c>
      <c r="G37" s="752"/>
    </row>
    <row r="38" spans="1:7" ht="36" customHeight="1" x14ac:dyDescent="0.35">
      <c r="A38" s="52" t="s">
        <v>110</v>
      </c>
      <c r="B38" s="3" t="s">
        <v>144</v>
      </c>
      <c r="C38" s="236" t="s">
        <v>145</v>
      </c>
      <c r="D38" s="229" t="s">
        <v>89</v>
      </c>
      <c r="E38" s="229" t="s">
        <v>113</v>
      </c>
      <c r="F38" s="229" t="s">
        <v>114</v>
      </c>
    </row>
    <row r="39" spans="1:7" ht="36" customHeight="1" x14ac:dyDescent="0.35">
      <c r="A39" s="52" t="s">
        <v>115</v>
      </c>
      <c r="B39" s="3" t="s">
        <v>146</v>
      </c>
      <c r="C39" s="236" t="s">
        <v>140</v>
      </c>
      <c r="D39" s="229" t="s">
        <v>89</v>
      </c>
      <c r="E39" s="229" t="s">
        <v>113</v>
      </c>
      <c r="F39" s="229" t="s">
        <v>114</v>
      </c>
    </row>
    <row r="40" spans="1:7" ht="36" customHeight="1" x14ac:dyDescent="0.35">
      <c r="A40" s="52" t="s">
        <v>118</v>
      </c>
      <c r="B40" s="3" t="s">
        <v>147</v>
      </c>
      <c r="C40" s="236" t="s">
        <v>131</v>
      </c>
      <c r="D40" s="229" t="s">
        <v>89</v>
      </c>
      <c r="E40" s="229" t="s">
        <v>113</v>
      </c>
      <c r="F40" s="229" t="s">
        <v>114</v>
      </c>
    </row>
    <row r="41" spans="1:7" ht="36" customHeight="1" x14ac:dyDescent="0.35">
      <c r="A41" s="52" t="s">
        <v>121</v>
      </c>
      <c r="B41" s="3" t="s">
        <v>148</v>
      </c>
      <c r="C41" s="236" t="s">
        <v>133</v>
      </c>
      <c r="D41" s="229" t="s">
        <v>89</v>
      </c>
      <c r="E41" s="229" t="s">
        <v>113</v>
      </c>
      <c r="F41" s="229" t="s">
        <v>114</v>
      </c>
    </row>
    <row r="42" spans="1:7" ht="43.5" customHeight="1" x14ac:dyDescent="0.35">
      <c r="A42" s="52" t="s">
        <v>124</v>
      </c>
      <c r="B42" s="3" t="s">
        <v>149</v>
      </c>
      <c r="C42" s="236" t="s">
        <v>123</v>
      </c>
      <c r="D42" s="229" t="s">
        <v>89</v>
      </c>
      <c r="E42" s="229" t="s">
        <v>113</v>
      </c>
      <c r="F42" s="229" t="s">
        <v>114</v>
      </c>
    </row>
    <row r="43" spans="1:7" s="443" customFormat="1" ht="36" customHeight="1" x14ac:dyDescent="0.35">
      <c r="A43" s="674" t="s">
        <v>150</v>
      </c>
      <c r="B43" s="523" t="s">
        <v>151</v>
      </c>
      <c r="C43" s="751"/>
      <c r="D43" s="239" t="s">
        <v>79</v>
      </c>
      <c r="E43" s="239" t="s">
        <v>128</v>
      </c>
      <c r="F43" s="239" t="s">
        <v>109</v>
      </c>
      <c r="G43" s="752"/>
    </row>
    <row r="44" spans="1:7" ht="36" customHeight="1" x14ac:dyDescent="0.35">
      <c r="A44" s="52" t="s">
        <v>110</v>
      </c>
      <c r="B44" s="3" t="s">
        <v>152</v>
      </c>
      <c r="C44" s="236" t="s">
        <v>153</v>
      </c>
      <c r="D44" s="229" t="s">
        <v>89</v>
      </c>
      <c r="E44" s="229" t="s">
        <v>113</v>
      </c>
      <c r="F44" s="229" t="s">
        <v>114</v>
      </c>
    </row>
    <row r="45" spans="1:7" ht="36" customHeight="1" x14ac:dyDescent="0.35">
      <c r="A45" s="52" t="s">
        <v>115</v>
      </c>
      <c r="B45" s="3" t="s">
        <v>154</v>
      </c>
      <c r="C45" s="236" t="s">
        <v>155</v>
      </c>
      <c r="D45" s="229" t="s">
        <v>89</v>
      </c>
      <c r="E45" s="229" t="s">
        <v>113</v>
      </c>
      <c r="F45" s="229" t="s">
        <v>114</v>
      </c>
    </row>
    <row r="46" spans="1:7" ht="36" customHeight="1" x14ac:dyDescent="0.35">
      <c r="A46" s="52" t="s">
        <v>118</v>
      </c>
      <c r="B46" s="3" t="s">
        <v>156</v>
      </c>
      <c r="C46" s="236" t="s">
        <v>157</v>
      </c>
      <c r="D46" s="229" t="s">
        <v>89</v>
      </c>
      <c r="E46" s="229" t="s">
        <v>113</v>
      </c>
      <c r="F46" s="229" t="s">
        <v>114</v>
      </c>
    </row>
    <row r="47" spans="1:7" ht="36" customHeight="1" x14ac:dyDescent="0.35">
      <c r="A47" s="52" t="s">
        <v>121</v>
      </c>
      <c r="B47" s="3" t="s">
        <v>158</v>
      </c>
      <c r="C47" s="236" t="s">
        <v>159</v>
      </c>
      <c r="D47" s="229" t="s">
        <v>89</v>
      </c>
      <c r="E47" s="229" t="s">
        <v>113</v>
      </c>
      <c r="F47" s="229" t="s">
        <v>114</v>
      </c>
    </row>
    <row r="48" spans="1:7" ht="36" customHeight="1" x14ac:dyDescent="0.35">
      <c r="A48" s="52" t="s">
        <v>124</v>
      </c>
      <c r="B48" s="3" t="s">
        <v>160</v>
      </c>
      <c r="C48" s="236" t="s">
        <v>161</v>
      </c>
      <c r="D48" s="229" t="s">
        <v>89</v>
      </c>
      <c r="E48" s="229" t="s">
        <v>113</v>
      </c>
      <c r="F48" s="229" t="s">
        <v>114</v>
      </c>
    </row>
    <row r="49" spans="1:7" ht="43.5" customHeight="1" x14ac:dyDescent="0.35">
      <c r="A49" s="52" t="s">
        <v>162</v>
      </c>
      <c r="B49" s="3" t="s">
        <v>163</v>
      </c>
      <c r="C49" s="236" t="s">
        <v>123</v>
      </c>
      <c r="D49" s="229" t="s">
        <v>89</v>
      </c>
      <c r="E49" s="229" t="s">
        <v>113</v>
      </c>
      <c r="F49" s="229" t="s">
        <v>114</v>
      </c>
    </row>
    <row r="50" spans="1:7" s="443" customFormat="1" ht="57.65" customHeight="1" x14ac:dyDescent="0.35">
      <c r="A50" s="674" t="s">
        <v>150</v>
      </c>
      <c r="B50" s="523" t="s">
        <v>164</v>
      </c>
      <c r="C50" s="753" t="s">
        <v>165</v>
      </c>
      <c r="D50" s="239" t="s">
        <v>79</v>
      </c>
      <c r="E50" s="239" t="s">
        <v>128</v>
      </c>
      <c r="F50" s="239" t="s">
        <v>109</v>
      </c>
      <c r="G50" s="752"/>
    </row>
    <row r="51" spans="1:7" ht="36" customHeight="1" x14ac:dyDescent="0.35">
      <c r="A51" s="52" t="s">
        <v>110</v>
      </c>
      <c r="B51" s="3" t="s">
        <v>166</v>
      </c>
      <c r="C51" s="236" t="s">
        <v>167</v>
      </c>
      <c r="D51" s="229" t="s">
        <v>89</v>
      </c>
      <c r="E51" s="229" t="s">
        <v>113</v>
      </c>
      <c r="F51" s="229" t="s">
        <v>114</v>
      </c>
    </row>
    <row r="52" spans="1:7" ht="36" customHeight="1" x14ac:dyDescent="0.35">
      <c r="A52" s="52" t="s">
        <v>115</v>
      </c>
      <c r="B52" s="3" t="s">
        <v>168</v>
      </c>
      <c r="C52" s="236"/>
      <c r="D52" s="229" t="s">
        <v>89</v>
      </c>
      <c r="E52" s="229" t="s">
        <v>113</v>
      </c>
      <c r="F52" s="229" t="s">
        <v>114</v>
      </c>
    </row>
    <row r="53" spans="1:7" ht="36" customHeight="1" x14ac:dyDescent="0.35">
      <c r="A53" s="52" t="s">
        <v>118</v>
      </c>
      <c r="B53" s="3" t="s">
        <v>169</v>
      </c>
      <c r="C53" s="236"/>
      <c r="D53" s="229" t="s">
        <v>89</v>
      </c>
      <c r="E53" s="229" t="s">
        <v>113</v>
      </c>
      <c r="F53" s="229" t="s">
        <v>114</v>
      </c>
    </row>
    <row r="54" spans="1:7" ht="36" customHeight="1" x14ac:dyDescent="0.35">
      <c r="A54" s="52" t="s">
        <v>121</v>
      </c>
      <c r="B54" s="3" t="s">
        <v>170</v>
      </c>
      <c r="C54" s="236"/>
      <c r="D54" s="229" t="s">
        <v>89</v>
      </c>
      <c r="E54" s="229" t="s">
        <v>113</v>
      </c>
      <c r="F54" s="229" t="s">
        <v>114</v>
      </c>
    </row>
    <row r="55" spans="1:7" s="443" customFormat="1" ht="65.5" customHeight="1" x14ac:dyDescent="0.35">
      <c r="A55" s="674" t="s">
        <v>150</v>
      </c>
      <c r="B55" s="523" t="s">
        <v>171</v>
      </c>
      <c r="C55" s="753"/>
      <c r="D55" s="239" t="s">
        <v>79</v>
      </c>
      <c r="E55" s="239" t="s">
        <v>128</v>
      </c>
      <c r="F55" s="239" t="s">
        <v>109</v>
      </c>
      <c r="G55" s="752"/>
    </row>
    <row r="56" spans="1:7" ht="24" customHeight="1" x14ac:dyDescent="0.35">
      <c r="A56" s="52" t="s">
        <v>110</v>
      </c>
      <c r="B56" s="3" t="s">
        <v>172</v>
      </c>
      <c r="C56" s="228"/>
      <c r="D56" s="229" t="s">
        <v>89</v>
      </c>
      <c r="E56" s="229" t="s">
        <v>173</v>
      </c>
      <c r="F56" s="229" t="s">
        <v>174</v>
      </c>
    </row>
    <row r="57" spans="1:7" ht="24" customHeight="1" x14ac:dyDescent="0.35">
      <c r="A57" s="52" t="s">
        <v>115</v>
      </c>
      <c r="B57" s="3" t="s">
        <v>175</v>
      </c>
      <c r="C57" s="228"/>
      <c r="D57" s="229" t="s">
        <v>89</v>
      </c>
      <c r="E57" s="229" t="s">
        <v>173</v>
      </c>
      <c r="F57" s="229" t="s">
        <v>174</v>
      </c>
    </row>
    <row r="58" spans="1:7" ht="24" customHeight="1" x14ac:dyDescent="0.35">
      <c r="A58" s="52" t="s">
        <v>118</v>
      </c>
      <c r="B58" s="3" t="s">
        <v>176</v>
      </c>
      <c r="C58" s="228"/>
      <c r="D58" s="229" t="s">
        <v>89</v>
      </c>
      <c r="E58" s="229" t="s">
        <v>173</v>
      </c>
      <c r="F58" s="229" t="s">
        <v>174</v>
      </c>
    </row>
    <row r="59" spans="1:7" s="443" customFormat="1" x14ac:dyDescent="0.35">
      <c r="A59" s="524" t="s">
        <v>177</v>
      </c>
      <c r="B59" s="523" t="s">
        <v>178</v>
      </c>
      <c r="C59" s="751"/>
      <c r="D59" s="239"/>
      <c r="E59" s="239"/>
      <c r="F59" s="239"/>
      <c r="G59" s="752"/>
    </row>
    <row r="60" spans="1:7" ht="29" customHeight="1" x14ac:dyDescent="0.35">
      <c r="A60" s="52" t="s">
        <v>110</v>
      </c>
      <c r="B60" s="3" t="s">
        <v>179</v>
      </c>
      <c r="C60" s="236" t="s">
        <v>180</v>
      </c>
      <c r="D60" s="229" t="s">
        <v>89</v>
      </c>
      <c r="E60" s="229" t="s">
        <v>173</v>
      </c>
      <c r="F60" s="229" t="s">
        <v>174</v>
      </c>
    </row>
    <row r="61" spans="1:7" ht="29" customHeight="1" x14ac:dyDescent="0.35">
      <c r="A61" s="52" t="s">
        <v>115</v>
      </c>
      <c r="B61" s="3" t="s">
        <v>181</v>
      </c>
      <c r="C61" s="236" t="s">
        <v>180</v>
      </c>
      <c r="D61" s="229" t="s">
        <v>89</v>
      </c>
      <c r="E61" s="229" t="s">
        <v>173</v>
      </c>
      <c r="F61" s="229" t="s">
        <v>174</v>
      </c>
    </row>
    <row r="62" spans="1:7" x14ac:dyDescent="0.35">
      <c r="A62" s="2" t="s">
        <v>182</v>
      </c>
      <c r="B62" s="523" t="s">
        <v>183</v>
      </c>
      <c r="C62" s="228"/>
      <c r="D62" s="229"/>
      <c r="E62" s="229"/>
      <c r="F62" s="229"/>
    </row>
    <row r="63" spans="1:7" x14ac:dyDescent="0.35">
      <c r="A63" s="2" t="s">
        <v>184</v>
      </c>
      <c r="B63" s="523" t="s">
        <v>185</v>
      </c>
      <c r="C63" s="228"/>
      <c r="D63" s="229"/>
      <c r="E63" s="229"/>
      <c r="F63" s="229"/>
    </row>
    <row r="64" spans="1:7" x14ac:dyDescent="0.35">
      <c r="A64" s="2" t="s">
        <v>186</v>
      </c>
      <c r="B64" s="523" t="s">
        <v>187</v>
      </c>
      <c r="C64" s="228"/>
      <c r="D64" s="229"/>
      <c r="E64" s="229"/>
      <c r="F64" s="229"/>
    </row>
    <row r="65" spans="1:6" x14ac:dyDescent="0.35">
      <c r="A65" s="2" t="s">
        <v>188</v>
      </c>
      <c r="B65" s="523" t="s">
        <v>189</v>
      </c>
      <c r="C65" s="228"/>
      <c r="D65" s="229"/>
      <c r="E65" s="229"/>
      <c r="F65" s="229"/>
    </row>
    <row r="66" spans="1:6" x14ac:dyDescent="0.35">
      <c r="A66" s="2" t="s">
        <v>190</v>
      </c>
      <c r="B66" s="523" t="s">
        <v>191</v>
      </c>
      <c r="C66" s="228"/>
      <c r="D66" s="229"/>
      <c r="E66" s="229"/>
      <c r="F66" s="229"/>
    </row>
    <row r="67" spans="1:6" x14ac:dyDescent="0.35">
      <c r="A67" s="2" t="s">
        <v>192</v>
      </c>
      <c r="B67" s="523" t="s">
        <v>193</v>
      </c>
      <c r="C67" s="228"/>
      <c r="D67" s="229"/>
      <c r="E67" s="229"/>
      <c r="F67" s="229"/>
    </row>
    <row r="68" spans="1:6" x14ac:dyDescent="0.35">
      <c r="A68" s="2" t="s">
        <v>194</v>
      </c>
      <c r="B68" s="523" t="s">
        <v>195</v>
      </c>
      <c r="C68" s="228"/>
      <c r="D68" s="229"/>
      <c r="E68" s="229"/>
      <c r="F68" s="229"/>
    </row>
    <row r="69" spans="1:6" x14ac:dyDescent="0.35">
      <c r="A69" s="2" t="s">
        <v>196</v>
      </c>
      <c r="B69" s="523" t="s">
        <v>197</v>
      </c>
      <c r="C69" s="228"/>
      <c r="D69" s="229"/>
      <c r="E69" s="229"/>
      <c r="F69" s="229"/>
    </row>
    <row r="70" spans="1:6" ht="29" customHeight="1" x14ac:dyDescent="0.35">
      <c r="A70" s="2" t="s">
        <v>110</v>
      </c>
      <c r="B70" s="523" t="s">
        <v>198</v>
      </c>
      <c r="C70" s="228"/>
      <c r="D70" s="229"/>
      <c r="E70" s="229"/>
      <c r="F70" s="758" t="s">
        <v>199</v>
      </c>
    </row>
    <row r="71" spans="1:6" ht="29" customHeight="1" x14ac:dyDescent="0.35">
      <c r="A71" s="2" t="s">
        <v>115</v>
      </c>
      <c r="B71" s="523" t="s">
        <v>200</v>
      </c>
      <c r="C71" s="228"/>
      <c r="D71" s="229"/>
      <c r="E71" s="229"/>
      <c r="F71" s="758" t="s">
        <v>199</v>
      </c>
    </row>
    <row r="72" spans="1:6" ht="29" customHeight="1" x14ac:dyDescent="0.35">
      <c r="A72" s="2" t="s">
        <v>118</v>
      </c>
      <c r="B72" s="523" t="s">
        <v>201</v>
      </c>
      <c r="C72" s="228"/>
      <c r="D72" s="229"/>
      <c r="E72" s="229"/>
      <c r="F72" s="758" t="s">
        <v>199</v>
      </c>
    </row>
    <row r="73" spans="1:6" ht="29" customHeight="1" x14ac:dyDescent="0.35">
      <c r="A73" s="2" t="s">
        <v>121</v>
      </c>
      <c r="B73" s="523" t="s">
        <v>201</v>
      </c>
      <c r="C73" s="228"/>
      <c r="D73" s="229"/>
      <c r="E73" s="229"/>
      <c r="F73" s="758" t="s">
        <v>199</v>
      </c>
    </row>
    <row r="74" spans="1:6" ht="29" customHeight="1" x14ac:dyDescent="0.35">
      <c r="A74" s="2" t="s">
        <v>124</v>
      </c>
      <c r="B74" s="523" t="s">
        <v>201</v>
      </c>
      <c r="C74" s="228"/>
      <c r="D74" s="229"/>
      <c r="E74" s="229"/>
      <c r="F74" s="758" t="s">
        <v>199</v>
      </c>
    </row>
    <row r="75" spans="1:6" ht="29" customHeight="1" x14ac:dyDescent="0.35">
      <c r="A75" s="2" t="s">
        <v>162</v>
      </c>
      <c r="B75" s="523" t="s">
        <v>201</v>
      </c>
      <c r="C75" s="228"/>
      <c r="D75" s="229"/>
      <c r="E75" s="229"/>
      <c r="F75" s="758" t="s">
        <v>199</v>
      </c>
    </row>
    <row r="76" spans="1:6" ht="29" customHeight="1" x14ac:dyDescent="0.35">
      <c r="A76" s="2" t="s">
        <v>202</v>
      </c>
      <c r="B76" s="523" t="s">
        <v>201</v>
      </c>
      <c r="C76" s="228"/>
      <c r="D76" s="229"/>
      <c r="E76" s="229"/>
      <c r="F76" s="758" t="s">
        <v>199</v>
      </c>
    </row>
    <row r="77" spans="1:6" ht="36" customHeight="1" x14ac:dyDescent="0.35">
      <c r="A77" s="2" t="s">
        <v>203</v>
      </c>
      <c r="B77" s="3" t="s">
        <v>204</v>
      </c>
      <c r="C77" s="228"/>
      <c r="D77" s="229" t="s">
        <v>89</v>
      </c>
      <c r="E77" s="229" t="s">
        <v>205</v>
      </c>
      <c r="F77" s="229" t="s">
        <v>114</v>
      </c>
    </row>
    <row r="78" spans="1:6" x14ac:dyDescent="0.35">
      <c r="A78" s="674" t="s">
        <v>206</v>
      </c>
      <c r="B78" s="523" t="s">
        <v>207</v>
      </c>
      <c r="C78" s="228"/>
      <c r="D78" s="229"/>
      <c r="E78" s="229"/>
      <c r="F78" s="229"/>
    </row>
    <row r="79" spans="1:6" ht="60" customHeight="1" x14ac:dyDescent="0.35">
      <c r="A79" s="52" t="s">
        <v>110</v>
      </c>
      <c r="B79" s="3" t="s">
        <v>208</v>
      </c>
      <c r="C79" s="228"/>
      <c r="D79" s="229" t="s">
        <v>209</v>
      </c>
      <c r="E79" s="229" t="s">
        <v>210</v>
      </c>
      <c r="F79" s="229" t="s">
        <v>211</v>
      </c>
    </row>
    <row r="80" spans="1:6" ht="60" customHeight="1" x14ac:dyDescent="0.35">
      <c r="A80" s="52" t="s">
        <v>115</v>
      </c>
      <c r="B80" s="3" t="s">
        <v>212</v>
      </c>
      <c r="C80" s="228"/>
      <c r="D80" s="229" t="s">
        <v>209</v>
      </c>
      <c r="E80" s="229" t="s">
        <v>213</v>
      </c>
      <c r="F80" s="229" t="s">
        <v>214</v>
      </c>
    </row>
    <row r="81" spans="1:7" ht="36" customHeight="1" x14ac:dyDescent="0.35">
      <c r="A81" s="52" t="s">
        <v>118</v>
      </c>
      <c r="B81" s="3" t="s">
        <v>215</v>
      </c>
      <c r="C81" s="228"/>
      <c r="D81" s="229" t="s">
        <v>209</v>
      </c>
      <c r="E81" s="229" t="s">
        <v>113</v>
      </c>
      <c r="F81" s="229" t="s">
        <v>216</v>
      </c>
    </row>
    <row r="82" spans="1:7" ht="48" customHeight="1" x14ac:dyDescent="0.35">
      <c r="A82" s="52" t="s">
        <v>121</v>
      </c>
      <c r="B82" s="3" t="s">
        <v>217</v>
      </c>
      <c r="C82" s="228"/>
      <c r="D82" s="229" t="s">
        <v>209</v>
      </c>
      <c r="E82" s="229" t="s">
        <v>218</v>
      </c>
      <c r="F82" s="229" t="s">
        <v>211</v>
      </c>
    </row>
    <row r="83" spans="1:7" ht="60" customHeight="1" x14ac:dyDescent="0.35">
      <c r="A83" s="52" t="s">
        <v>124</v>
      </c>
      <c r="B83" s="3" t="s">
        <v>219</v>
      </c>
      <c r="C83" s="228"/>
      <c r="D83" s="229" t="s">
        <v>209</v>
      </c>
      <c r="E83" s="229" t="s">
        <v>213</v>
      </c>
      <c r="F83" s="229" t="s">
        <v>214</v>
      </c>
    </row>
    <row r="84" spans="1:7" ht="36" customHeight="1" x14ac:dyDescent="0.35">
      <c r="A84" s="52" t="s">
        <v>162</v>
      </c>
      <c r="B84" s="3" t="s">
        <v>220</v>
      </c>
      <c r="C84" s="228"/>
      <c r="D84" s="229" t="s">
        <v>209</v>
      </c>
      <c r="E84" s="229" t="s">
        <v>221</v>
      </c>
      <c r="F84" s="229" t="s">
        <v>222</v>
      </c>
    </row>
    <row r="85" spans="1:7" ht="48" customHeight="1" x14ac:dyDescent="0.35">
      <c r="A85" s="52" t="s">
        <v>202</v>
      </c>
      <c r="B85" s="3" t="s">
        <v>223</v>
      </c>
      <c r="C85" s="228"/>
      <c r="D85" s="229" t="s">
        <v>209</v>
      </c>
      <c r="E85" s="229" t="s">
        <v>218</v>
      </c>
      <c r="F85" s="229" t="s">
        <v>211</v>
      </c>
    </row>
    <row r="86" spans="1:7" ht="36" customHeight="1" x14ac:dyDescent="0.35">
      <c r="A86" s="52" t="s">
        <v>203</v>
      </c>
      <c r="B86" s="3" t="s">
        <v>224</v>
      </c>
      <c r="C86" s="228"/>
      <c r="D86" s="229" t="s">
        <v>209</v>
      </c>
      <c r="E86" s="229" t="s">
        <v>221</v>
      </c>
      <c r="F86" s="229" t="s">
        <v>222</v>
      </c>
    </row>
    <row r="87" spans="1:7" ht="60" customHeight="1" x14ac:dyDescent="0.35">
      <c r="A87" s="52" t="s">
        <v>225</v>
      </c>
      <c r="B87" s="3" t="s">
        <v>226</v>
      </c>
      <c r="C87" s="228"/>
      <c r="D87" s="229" t="s">
        <v>209</v>
      </c>
      <c r="E87" s="229" t="s">
        <v>227</v>
      </c>
      <c r="F87" s="229" t="s">
        <v>228</v>
      </c>
    </row>
    <row r="88" spans="1:7" ht="60" customHeight="1" x14ac:dyDescent="0.35">
      <c r="A88" s="52" t="s">
        <v>229</v>
      </c>
      <c r="B88" s="3" t="s">
        <v>230</v>
      </c>
      <c r="C88" s="228"/>
      <c r="D88" s="229" t="s">
        <v>209</v>
      </c>
      <c r="E88" s="229" t="s">
        <v>231</v>
      </c>
      <c r="F88" s="229" t="s">
        <v>232</v>
      </c>
    </row>
    <row r="89" spans="1:7" ht="48" customHeight="1" x14ac:dyDescent="0.35">
      <c r="A89" s="52" t="s">
        <v>233</v>
      </c>
      <c r="B89" s="3" t="s">
        <v>234</v>
      </c>
      <c r="C89" s="228" t="s">
        <v>235</v>
      </c>
      <c r="D89" s="229" t="s">
        <v>209</v>
      </c>
      <c r="E89" s="229" t="s">
        <v>236</v>
      </c>
      <c r="F89" s="229" t="s">
        <v>237</v>
      </c>
    </row>
    <row r="90" spans="1:7" ht="48" customHeight="1" x14ac:dyDescent="0.35">
      <c r="A90" s="52" t="s">
        <v>238</v>
      </c>
      <c r="B90" s="3" t="s">
        <v>239</v>
      </c>
      <c r="C90" s="756" t="s">
        <v>240</v>
      </c>
      <c r="D90" s="229" t="s">
        <v>209</v>
      </c>
      <c r="E90" s="229" t="s">
        <v>241</v>
      </c>
      <c r="F90" s="229" t="s">
        <v>242</v>
      </c>
    </row>
    <row r="91" spans="1:7" s="443" customFormat="1" x14ac:dyDescent="0.35">
      <c r="A91" s="674" t="s">
        <v>243</v>
      </c>
      <c r="B91" s="523" t="s">
        <v>244</v>
      </c>
      <c r="C91" s="751"/>
      <c r="D91" s="239"/>
      <c r="E91" s="239"/>
      <c r="F91" s="239"/>
      <c r="G91" s="752"/>
    </row>
    <row r="92" spans="1:7" ht="60" customHeight="1" x14ac:dyDescent="0.35">
      <c r="A92" s="2" t="s">
        <v>245</v>
      </c>
      <c r="B92" s="3" t="s">
        <v>246</v>
      </c>
      <c r="C92" s="755" t="s">
        <v>247</v>
      </c>
      <c r="D92" s="229" t="s">
        <v>248</v>
      </c>
      <c r="E92" s="229" t="s">
        <v>249</v>
      </c>
      <c r="F92" s="229" t="s">
        <v>250</v>
      </c>
    </row>
    <row r="93" spans="1:7" x14ac:dyDescent="0.35">
      <c r="A93" s="200" t="s">
        <v>251</v>
      </c>
      <c r="B93" s="234" t="s">
        <v>252</v>
      </c>
      <c r="C93" s="228"/>
      <c r="D93" s="229"/>
      <c r="E93" s="229"/>
      <c r="F93" s="229"/>
    </row>
    <row r="94" spans="1:7" ht="24" customHeight="1" x14ac:dyDescent="0.35">
      <c r="A94" s="2" t="s">
        <v>253</v>
      </c>
      <c r="B94" s="3" t="s">
        <v>254</v>
      </c>
      <c r="C94" s="228"/>
      <c r="D94" s="229" t="s">
        <v>79</v>
      </c>
      <c r="E94" s="229" t="s">
        <v>255</v>
      </c>
      <c r="F94" s="229" t="s">
        <v>81</v>
      </c>
    </row>
    <row r="95" spans="1:7" ht="29" customHeight="1" x14ac:dyDescent="0.35">
      <c r="A95" s="2" t="s">
        <v>256</v>
      </c>
      <c r="B95" s="3" t="s">
        <v>257</v>
      </c>
      <c r="C95" s="228"/>
      <c r="D95" s="229" t="s">
        <v>79</v>
      </c>
      <c r="E95" s="229" t="s">
        <v>258</v>
      </c>
      <c r="F95" s="229" t="s">
        <v>81</v>
      </c>
    </row>
    <row r="96" spans="1:7" ht="29" customHeight="1" x14ac:dyDescent="0.35">
      <c r="A96" s="2" t="s">
        <v>259</v>
      </c>
      <c r="B96" s="3" t="s">
        <v>260</v>
      </c>
      <c r="C96" s="228"/>
      <c r="D96" s="229" t="s">
        <v>79</v>
      </c>
      <c r="E96" s="229" t="s">
        <v>261</v>
      </c>
      <c r="F96" s="229" t="s">
        <v>262</v>
      </c>
    </row>
    <row r="97" spans="1:6" ht="24" customHeight="1" x14ac:dyDescent="0.35">
      <c r="A97" s="2" t="s">
        <v>263</v>
      </c>
      <c r="B97" s="3" t="s">
        <v>264</v>
      </c>
      <c r="C97" s="228"/>
      <c r="D97" s="229" t="s">
        <v>79</v>
      </c>
      <c r="E97" s="229" t="s">
        <v>265</v>
      </c>
      <c r="F97" s="229" t="s">
        <v>266</v>
      </c>
    </row>
    <row r="98" spans="1:6" ht="24" customHeight="1" x14ac:dyDescent="0.35">
      <c r="A98" s="2" t="s">
        <v>267</v>
      </c>
      <c r="B98" s="3" t="s">
        <v>268</v>
      </c>
      <c r="C98" s="228"/>
      <c r="D98" s="229" t="s">
        <v>79</v>
      </c>
      <c r="E98" s="229" t="s">
        <v>265</v>
      </c>
      <c r="F98" s="229" t="s">
        <v>266</v>
      </c>
    </row>
    <row r="99" spans="1:6" ht="24" customHeight="1" x14ac:dyDescent="0.35">
      <c r="A99" s="2" t="s">
        <v>269</v>
      </c>
      <c r="B99" s="3" t="s">
        <v>270</v>
      </c>
      <c r="C99" s="976" t="s">
        <v>271</v>
      </c>
      <c r="D99" s="229" t="s">
        <v>79</v>
      </c>
      <c r="E99" s="229" t="s">
        <v>265</v>
      </c>
      <c r="F99" s="229" t="s">
        <v>266</v>
      </c>
    </row>
    <row r="100" spans="1:6" ht="24" customHeight="1" x14ac:dyDescent="0.35">
      <c r="A100" s="2" t="s">
        <v>272</v>
      </c>
      <c r="B100" s="3" t="s">
        <v>273</v>
      </c>
      <c r="C100" s="951"/>
      <c r="D100" s="229" t="s">
        <v>79</v>
      </c>
      <c r="E100" s="229" t="s">
        <v>265</v>
      </c>
      <c r="F100" s="229" t="s">
        <v>266</v>
      </c>
    </row>
    <row r="101" spans="1:6" ht="36" customHeight="1" x14ac:dyDescent="0.35">
      <c r="A101" s="2" t="s">
        <v>274</v>
      </c>
      <c r="B101" s="3" t="s">
        <v>275</v>
      </c>
      <c r="C101" s="951"/>
      <c r="D101" s="229" t="s">
        <v>79</v>
      </c>
      <c r="E101" s="229" t="s">
        <v>276</v>
      </c>
      <c r="F101" s="229" t="s">
        <v>266</v>
      </c>
    </row>
    <row r="102" spans="1:6" ht="36" customHeight="1" x14ac:dyDescent="0.35">
      <c r="A102" s="2" t="s">
        <v>277</v>
      </c>
      <c r="B102" s="3" t="s">
        <v>278</v>
      </c>
      <c r="C102" s="951"/>
      <c r="D102" s="229" t="s">
        <v>79</v>
      </c>
      <c r="E102" s="229" t="s">
        <v>279</v>
      </c>
      <c r="F102" s="229" t="s">
        <v>266</v>
      </c>
    </row>
    <row r="103" spans="1:6" ht="36" customHeight="1" x14ac:dyDescent="0.35">
      <c r="A103" s="2" t="s">
        <v>280</v>
      </c>
      <c r="B103" s="3" t="s">
        <v>281</v>
      </c>
      <c r="C103" s="951"/>
      <c r="D103" s="229" t="s">
        <v>79</v>
      </c>
      <c r="E103" s="229" t="s">
        <v>282</v>
      </c>
      <c r="F103" s="229" t="s">
        <v>266</v>
      </c>
    </row>
    <row r="104" spans="1:6" ht="36" customHeight="1" x14ac:dyDescent="0.35">
      <c r="A104" s="2" t="s">
        <v>283</v>
      </c>
      <c r="B104" s="3" t="s">
        <v>284</v>
      </c>
      <c r="C104" s="949"/>
      <c r="D104" s="229" t="s">
        <v>79</v>
      </c>
      <c r="E104" s="229" t="s">
        <v>285</v>
      </c>
      <c r="F104" s="229" t="s">
        <v>266</v>
      </c>
    </row>
    <row r="105" spans="1:6" ht="36" customHeight="1" x14ac:dyDescent="0.35">
      <c r="A105" s="2" t="s">
        <v>286</v>
      </c>
      <c r="B105" s="3" t="s">
        <v>287</v>
      </c>
      <c r="C105" s="228" t="s">
        <v>288</v>
      </c>
      <c r="D105" s="229" t="s">
        <v>79</v>
      </c>
      <c r="E105" s="229" t="s">
        <v>289</v>
      </c>
      <c r="F105" s="229" t="s">
        <v>266</v>
      </c>
    </row>
    <row r="106" spans="1:6" x14ac:dyDescent="0.35">
      <c r="A106" s="2"/>
      <c r="B106" s="3"/>
      <c r="C106" s="228"/>
      <c r="D106" s="229"/>
      <c r="E106" s="229"/>
      <c r="F106" s="229"/>
    </row>
    <row r="107" spans="1:6" x14ac:dyDescent="0.35">
      <c r="A107" s="200" t="s">
        <v>290</v>
      </c>
      <c r="B107" s="234" t="s">
        <v>291</v>
      </c>
      <c r="C107" s="228"/>
      <c r="D107" s="229"/>
      <c r="E107" s="229"/>
      <c r="F107" s="229"/>
    </row>
    <row r="108" spans="1:6" ht="29" customHeight="1" x14ac:dyDescent="0.35">
      <c r="A108" s="200" t="s">
        <v>292</v>
      </c>
      <c r="B108" s="234" t="s">
        <v>293</v>
      </c>
      <c r="C108" s="228"/>
      <c r="D108" s="229"/>
      <c r="E108" s="229"/>
      <c r="F108" s="229"/>
    </row>
    <row r="109" spans="1:6" ht="24" customHeight="1" x14ac:dyDescent="0.35">
      <c r="A109" s="52" t="s">
        <v>110</v>
      </c>
      <c r="B109" s="3" t="s">
        <v>294</v>
      </c>
      <c r="C109" s="228"/>
      <c r="D109" s="229" t="s">
        <v>89</v>
      </c>
      <c r="E109" s="229" t="s">
        <v>295</v>
      </c>
      <c r="F109" s="229" t="s">
        <v>296</v>
      </c>
    </row>
    <row r="110" spans="1:6" ht="60" customHeight="1" x14ac:dyDescent="0.35">
      <c r="A110" s="52" t="s">
        <v>115</v>
      </c>
      <c r="B110" s="3" t="s">
        <v>297</v>
      </c>
      <c r="C110" s="228"/>
      <c r="D110" s="229" t="s">
        <v>89</v>
      </c>
      <c r="E110" s="229" t="s">
        <v>298</v>
      </c>
      <c r="F110" s="229" t="s">
        <v>299</v>
      </c>
    </row>
    <row r="111" spans="1:6" ht="60" customHeight="1" x14ac:dyDescent="0.35">
      <c r="A111" s="52" t="s">
        <v>118</v>
      </c>
      <c r="B111" s="3" t="s">
        <v>300</v>
      </c>
      <c r="C111" s="228"/>
      <c r="D111" s="229" t="s">
        <v>89</v>
      </c>
      <c r="E111" s="229" t="s">
        <v>298</v>
      </c>
      <c r="F111" s="229" t="s">
        <v>299</v>
      </c>
    </row>
    <row r="112" spans="1:6" ht="60" customHeight="1" x14ac:dyDescent="0.35">
      <c r="A112" s="52" t="s">
        <v>121</v>
      </c>
      <c r="B112" s="3" t="s">
        <v>301</v>
      </c>
      <c r="C112" s="228"/>
      <c r="D112" s="229" t="s">
        <v>89</v>
      </c>
      <c r="E112" s="229" t="s">
        <v>298</v>
      </c>
      <c r="F112" s="229" t="s">
        <v>299</v>
      </c>
    </row>
    <row r="113" spans="1:6" ht="132" customHeight="1" x14ac:dyDescent="0.35">
      <c r="A113" s="52" t="s">
        <v>124</v>
      </c>
      <c r="B113" s="3" t="s">
        <v>302</v>
      </c>
      <c r="C113" s="758" t="s">
        <v>303</v>
      </c>
      <c r="D113" s="229" t="s">
        <v>89</v>
      </c>
      <c r="E113" s="229" t="s">
        <v>298</v>
      </c>
      <c r="F113" s="229" t="s">
        <v>299</v>
      </c>
    </row>
    <row r="114" spans="1:6" ht="48" customHeight="1" x14ac:dyDescent="0.35">
      <c r="A114" s="52" t="s">
        <v>162</v>
      </c>
      <c r="B114" s="3" t="s">
        <v>304</v>
      </c>
      <c r="C114" s="758"/>
      <c r="D114" s="229" t="s">
        <v>89</v>
      </c>
      <c r="E114" s="229" t="s">
        <v>305</v>
      </c>
      <c r="F114" s="229" t="s">
        <v>306</v>
      </c>
    </row>
    <row r="115" spans="1:6" ht="29" customHeight="1" x14ac:dyDescent="0.35">
      <c r="A115" s="52" t="s">
        <v>202</v>
      </c>
      <c r="B115" s="3" t="s">
        <v>307</v>
      </c>
      <c r="C115" s="228"/>
      <c r="D115" s="229" t="s">
        <v>89</v>
      </c>
      <c r="E115" s="229" t="s">
        <v>308</v>
      </c>
      <c r="F115" s="229" t="s">
        <v>296</v>
      </c>
    </row>
    <row r="116" spans="1:6" ht="29" customHeight="1" x14ac:dyDescent="0.35">
      <c r="A116" s="52" t="s">
        <v>203</v>
      </c>
      <c r="B116" s="18" t="s">
        <v>309</v>
      </c>
      <c r="C116" s="236" t="s">
        <v>310</v>
      </c>
      <c r="D116" s="229"/>
      <c r="E116" s="229"/>
      <c r="F116" s="229"/>
    </row>
    <row r="117" spans="1:6" ht="132" customHeight="1" x14ac:dyDescent="0.35">
      <c r="A117" s="52" t="s">
        <v>225</v>
      </c>
      <c r="B117" s="3" t="s">
        <v>311</v>
      </c>
      <c r="C117" s="758" t="s">
        <v>303</v>
      </c>
      <c r="D117" s="229"/>
      <c r="E117" s="229"/>
      <c r="F117" s="229"/>
    </row>
    <row r="118" spans="1:6" ht="29" customHeight="1" x14ac:dyDescent="0.35">
      <c r="A118" s="52" t="s">
        <v>229</v>
      </c>
      <c r="B118" s="3" t="s">
        <v>312</v>
      </c>
      <c r="C118" s="758"/>
      <c r="D118" s="229"/>
      <c r="E118" s="229"/>
      <c r="F118" s="229"/>
    </row>
    <row r="119" spans="1:6" ht="29" customHeight="1" x14ac:dyDescent="0.35">
      <c r="A119" s="52" t="s">
        <v>233</v>
      </c>
      <c r="B119" s="3" t="s">
        <v>313</v>
      </c>
      <c r="C119" s="228"/>
      <c r="D119" s="229" t="s">
        <v>314</v>
      </c>
      <c r="E119" s="229" t="s">
        <v>315</v>
      </c>
      <c r="F119" s="229"/>
    </row>
    <row r="120" spans="1:6" ht="29" customHeight="1" x14ac:dyDescent="0.35">
      <c r="A120" s="52" t="s">
        <v>238</v>
      </c>
      <c r="B120" s="3" t="s">
        <v>316</v>
      </c>
      <c r="C120" s="228"/>
      <c r="D120" s="229" t="s">
        <v>314</v>
      </c>
      <c r="E120" s="229" t="s">
        <v>315</v>
      </c>
      <c r="F120" s="229"/>
    </row>
    <row r="121" spans="1:6" ht="29" customHeight="1" x14ac:dyDescent="0.35">
      <c r="A121" s="52" t="s">
        <v>317</v>
      </c>
      <c r="B121" s="3" t="s">
        <v>318</v>
      </c>
      <c r="C121" s="228"/>
      <c r="D121" s="229" t="s">
        <v>314</v>
      </c>
      <c r="E121" s="229" t="s">
        <v>315</v>
      </c>
      <c r="F121" s="229"/>
    </row>
    <row r="122" spans="1:6" ht="60" customHeight="1" x14ac:dyDescent="0.35">
      <c r="A122" s="52" t="s">
        <v>319</v>
      </c>
      <c r="B122" s="3" t="s">
        <v>320</v>
      </c>
      <c r="C122" s="228"/>
      <c r="D122" s="229" t="s">
        <v>314</v>
      </c>
      <c r="E122" s="229" t="s">
        <v>321</v>
      </c>
      <c r="F122" s="229"/>
    </row>
    <row r="123" spans="1:6" ht="120" customHeight="1" x14ac:dyDescent="0.35">
      <c r="A123" s="52" t="s">
        <v>322</v>
      </c>
      <c r="B123" s="3" t="s">
        <v>323</v>
      </c>
      <c r="C123" s="229" t="s">
        <v>324</v>
      </c>
      <c r="D123" s="229" t="s">
        <v>325</v>
      </c>
      <c r="E123" s="229" t="s">
        <v>326</v>
      </c>
      <c r="F123" s="229"/>
    </row>
    <row r="124" spans="1:6" ht="120" customHeight="1" x14ac:dyDescent="0.35">
      <c r="A124" s="17" t="s">
        <v>327</v>
      </c>
      <c r="B124" s="3" t="s">
        <v>328</v>
      </c>
      <c r="C124" s="229" t="s">
        <v>329</v>
      </c>
      <c r="D124" s="229" t="s">
        <v>330</v>
      </c>
      <c r="E124" s="229" t="s">
        <v>331</v>
      </c>
      <c r="F124" s="229"/>
    </row>
    <row r="125" spans="1:6" ht="24" customHeight="1" x14ac:dyDescent="0.35">
      <c r="A125" s="52" t="s">
        <v>332</v>
      </c>
      <c r="B125" s="3" t="s">
        <v>333</v>
      </c>
      <c r="C125" s="228"/>
      <c r="D125" s="229" t="s">
        <v>334</v>
      </c>
      <c r="E125" s="229" t="s">
        <v>335</v>
      </c>
      <c r="F125" s="229" t="s">
        <v>336</v>
      </c>
    </row>
    <row r="126" spans="1:6" x14ac:dyDescent="0.35">
      <c r="A126" s="52" t="s">
        <v>337</v>
      </c>
      <c r="B126" s="3" t="s">
        <v>338</v>
      </c>
      <c r="C126" s="228"/>
      <c r="D126" s="229" t="s">
        <v>334</v>
      </c>
      <c r="E126" s="229" t="s">
        <v>339</v>
      </c>
      <c r="F126" s="229"/>
    </row>
    <row r="127" spans="1:6" ht="24" customHeight="1" x14ac:dyDescent="0.35">
      <c r="A127" s="52" t="s">
        <v>340</v>
      </c>
      <c r="B127" s="3" t="s">
        <v>341</v>
      </c>
      <c r="C127" s="229" t="s">
        <v>342</v>
      </c>
      <c r="D127" s="229"/>
      <c r="E127" s="229" t="s">
        <v>343</v>
      </c>
      <c r="F127" s="229"/>
    </row>
    <row r="128" spans="1:6" ht="24" customHeight="1" x14ac:dyDescent="0.35">
      <c r="A128" s="52" t="s">
        <v>344</v>
      </c>
      <c r="B128" s="3" t="s">
        <v>345</v>
      </c>
      <c r="C128" s="229" t="s">
        <v>346</v>
      </c>
      <c r="D128" s="229"/>
      <c r="E128" s="229" t="s">
        <v>347</v>
      </c>
      <c r="F128" s="229"/>
    </row>
    <row r="129" spans="1:6" x14ac:dyDescent="0.35">
      <c r="A129" s="580" t="s">
        <v>348</v>
      </c>
      <c r="B129" s="3" t="s">
        <v>349</v>
      </c>
      <c r="C129" s="228"/>
      <c r="D129" s="229"/>
      <c r="E129" s="229"/>
      <c r="F129" s="229"/>
    </row>
    <row r="130" spans="1:6" ht="24" customHeight="1" x14ac:dyDescent="0.35">
      <c r="A130" s="580" t="s">
        <v>350</v>
      </c>
      <c r="B130" s="3" t="s">
        <v>351</v>
      </c>
      <c r="C130" s="229" t="s">
        <v>346</v>
      </c>
      <c r="D130" s="229"/>
      <c r="E130" s="229" t="s">
        <v>347</v>
      </c>
      <c r="F130" s="229"/>
    </row>
    <row r="131" spans="1:6" ht="43.5" customHeight="1" x14ac:dyDescent="0.35">
      <c r="A131" s="580" t="s">
        <v>352</v>
      </c>
      <c r="B131" s="234" t="s">
        <v>353</v>
      </c>
      <c r="C131" s="228"/>
      <c r="D131" s="229"/>
      <c r="E131" s="229"/>
      <c r="F131" s="229"/>
    </row>
    <row r="132" spans="1:6" ht="29" customHeight="1" x14ac:dyDescent="0.35">
      <c r="A132" s="580" t="s">
        <v>354</v>
      </c>
      <c r="B132" s="234" t="s">
        <v>355</v>
      </c>
      <c r="C132" s="228"/>
      <c r="D132" s="229"/>
      <c r="E132" s="229"/>
      <c r="F132" s="229"/>
    </row>
    <row r="133" spans="1:6" ht="29" customHeight="1" x14ac:dyDescent="0.35">
      <c r="A133" s="580" t="s">
        <v>356</v>
      </c>
      <c r="B133" s="234" t="s">
        <v>357</v>
      </c>
      <c r="C133" s="228"/>
      <c r="D133" s="229"/>
      <c r="E133" s="229"/>
      <c r="F133" s="229"/>
    </row>
    <row r="134" spans="1:6" ht="29" customHeight="1" x14ac:dyDescent="0.35">
      <c r="A134" s="580" t="s">
        <v>358</v>
      </c>
      <c r="B134" s="618" t="s">
        <v>359</v>
      </c>
      <c r="C134" s="228"/>
      <c r="D134" s="229"/>
      <c r="E134" s="229"/>
      <c r="F134" s="229"/>
    </row>
    <row r="135" spans="1:6" x14ac:dyDescent="0.35">
      <c r="A135" s="580" t="s">
        <v>360</v>
      </c>
      <c r="B135" s="618" t="s">
        <v>361</v>
      </c>
      <c r="C135" s="228"/>
      <c r="D135" s="229"/>
      <c r="E135" s="229"/>
      <c r="F135" s="229"/>
    </row>
    <row r="136" spans="1:6" ht="29" customHeight="1" x14ac:dyDescent="0.35">
      <c r="A136" s="580" t="s">
        <v>362</v>
      </c>
      <c r="B136" s="618" t="s">
        <v>363</v>
      </c>
      <c r="C136" s="228"/>
      <c r="D136" s="229"/>
      <c r="E136" s="229"/>
      <c r="F136" s="229"/>
    </row>
    <row r="137" spans="1:6" x14ac:dyDescent="0.35">
      <c r="A137" s="580" t="s">
        <v>364</v>
      </c>
      <c r="B137" s="618" t="s">
        <v>365</v>
      </c>
      <c r="C137" s="228"/>
      <c r="D137" s="229"/>
      <c r="E137" s="229"/>
      <c r="F137" s="229"/>
    </row>
    <row r="138" spans="1:6" x14ac:dyDescent="0.35">
      <c r="A138" s="200"/>
      <c r="B138" s="234"/>
      <c r="C138" s="228"/>
      <c r="D138" s="229"/>
      <c r="E138" s="229"/>
      <c r="F138" s="229"/>
    </row>
    <row r="139" spans="1:6" x14ac:dyDescent="0.35">
      <c r="A139" s="200" t="s">
        <v>366</v>
      </c>
      <c r="B139" s="234" t="s">
        <v>367</v>
      </c>
      <c r="C139" s="228"/>
      <c r="D139" s="229"/>
      <c r="E139" s="229"/>
      <c r="F139" s="229"/>
    </row>
    <row r="140" spans="1:6" x14ac:dyDescent="0.35">
      <c r="A140" s="200" t="s">
        <v>368</v>
      </c>
      <c r="B140" s="234" t="s">
        <v>369</v>
      </c>
      <c r="C140" s="228"/>
      <c r="D140" s="229"/>
      <c r="E140" s="229"/>
      <c r="F140" s="229"/>
    </row>
    <row r="141" spans="1:6" ht="43.5" customHeight="1" x14ac:dyDescent="0.35">
      <c r="A141" s="2" t="s">
        <v>110</v>
      </c>
      <c r="B141" s="3" t="s">
        <v>370</v>
      </c>
      <c r="C141" s="236" t="s">
        <v>371</v>
      </c>
      <c r="D141" s="229"/>
      <c r="E141" s="229" t="s">
        <v>372</v>
      </c>
      <c r="F141" s="229"/>
    </row>
    <row r="142" spans="1:6" ht="24" customHeight="1" x14ac:dyDescent="0.35">
      <c r="A142" s="2" t="s">
        <v>115</v>
      </c>
      <c r="B142" s="3" t="s">
        <v>373</v>
      </c>
      <c r="C142" s="228"/>
      <c r="D142" s="229" t="s">
        <v>56</v>
      </c>
      <c r="E142" s="229" t="s">
        <v>374</v>
      </c>
      <c r="F142" s="229" t="s">
        <v>375</v>
      </c>
    </row>
    <row r="143" spans="1:6" ht="36" customHeight="1" x14ac:dyDescent="0.35">
      <c r="A143" s="2" t="s">
        <v>118</v>
      </c>
      <c r="B143" s="3" t="s">
        <v>376</v>
      </c>
      <c r="C143" s="228"/>
      <c r="D143" s="229" t="s">
        <v>377</v>
      </c>
      <c r="E143" s="229" t="s">
        <v>378</v>
      </c>
      <c r="F143" s="229" t="s">
        <v>379</v>
      </c>
    </row>
    <row r="144" spans="1:6" ht="24" customHeight="1" x14ac:dyDescent="0.35">
      <c r="A144" s="2" t="s">
        <v>121</v>
      </c>
      <c r="B144" s="3" t="s">
        <v>380</v>
      </c>
      <c r="C144" s="228"/>
      <c r="D144" s="229" t="s">
        <v>56</v>
      </c>
      <c r="E144" s="229" t="s">
        <v>381</v>
      </c>
      <c r="F144" s="229"/>
    </row>
    <row r="145" spans="1:7" ht="36" customHeight="1" x14ac:dyDescent="0.35">
      <c r="A145" s="2" t="s">
        <v>124</v>
      </c>
      <c r="B145" s="3" t="s">
        <v>382</v>
      </c>
      <c r="C145" s="228"/>
      <c r="D145" s="229" t="s">
        <v>377</v>
      </c>
      <c r="E145" s="229" t="s">
        <v>383</v>
      </c>
      <c r="F145" s="229" t="s">
        <v>379</v>
      </c>
    </row>
    <row r="146" spans="1:7" x14ac:dyDescent="0.35">
      <c r="A146" s="2"/>
      <c r="B146" s="3"/>
      <c r="C146" s="228"/>
      <c r="D146" s="229"/>
      <c r="E146" s="229"/>
      <c r="F146" s="229"/>
    </row>
    <row r="147" spans="1:7" ht="29" customHeight="1" x14ac:dyDescent="0.35">
      <c r="A147" s="200" t="s">
        <v>384</v>
      </c>
      <c r="B147" s="234" t="s">
        <v>385</v>
      </c>
      <c r="C147" s="228"/>
      <c r="D147" s="229"/>
      <c r="E147" s="229"/>
      <c r="F147" s="229"/>
    </row>
    <row r="148" spans="1:7" ht="43.5" customHeight="1" x14ac:dyDescent="0.35">
      <c r="A148" s="2" t="s">
        <v>110</v>
      </c>
      <c r="B148" s="3" t="s">
        <v>370</v>
      </c>
      <c r="C148" s="236" t="s">
        <v>371</v>
      </c>
      <c r="D148" s="229"/>
      <c r="E148" s="229" t="s">
        <v>372</v>
      </c>
      <c r="F148" s="229"/>
    </row>
    <row r="149" spans="1:7" ht="24" customHeight="1" x14ac:dyDescent="0.35">
      <c r="A149" s="2" t="s">
        <v>115</v>
      </c>
      <c r="B149" s="3" t="s">
        <v>386</v>
      </c>
      <c r="C149" s="228"/>
      <c r="D149" s="229" t="s">
        <v>56</v>
      </c>
      <c r="E149" s="229" t="s">
        <v>374</v>
      </c>
      <c r="F149" s="229" t="s">
        <v>387</v>
      </c>
    </row>
    <row r="150" spans="1:7" ht="36" customHeight="1" x14ac:dyDescent="0.35">
      <c r="A150" s="2" t="s">
        <v>118</v>
      </c>
      <c r="B150" s="3" t="s">
        <v>388</v>
      </c>
      <c r="C150" s="228"/>
      <c r="D150" s="229" t="s">
        <v>377</v>
      </c>
      <c r="E150" s="229" t="s">
        <v>389</v>
      </c>
      <c r="F150" s="229" t="s">
        <v>390</v>
      </c>
    </row>
    <row r="151" spans="1:7" ht="36" customHeight="1" x14ac:dyDescent="0.35">
      <c r="A151" s="2" t="s">
        <v>121</v>
      </c>
      <c r="B151" s="3" t="s">
        <v>391</v>
      </c>
      <c r="C151" s="228"/>
      <c r="D151" s="229" t="s">
        <v>377</v>
      </c>
      <c r="E151" s="229" t="s">
        <v>392</v>
      </c>
      <c r="F151" s="229" t="s">
        <v>393</v>
      </c>
    </row>
    <row r="152" spans="1:7" x14ac:dyDescent="0.35">
      <c r="A152" s="2" t="s">
        <v>124</v>
      </c>
      <c r="B152" s="3" t="s">
        <v>394</v>
      </c>
      <c r="C152" s="228"/>
      <c r="D152" s="229" t="s">
        <v>56</v>
      </c>
      <c r="E152" s="229" t="s">
        <v>395</v>
      </c>
      <c r="F152" s="229" t="s">
        <v>396</v>
      </c>
    </row>
    <row r="153" spans="1:7" ht="24" customHeight="1" x14ac:dyDescent="0.35">
      <c r="A153" s="2" t="s">
        <v>162</v>
      </c>
      <c r="B153" s="3" t="s">
        <v>397</v>
      </c>
      <c r="C153" s="228"/>
      <c r="D153" s="229" t="s">
        <v>377</v>
      </c>
      <c r="E153" s="229" t="s">
        <v>398</v>
      </c>
      <c r="F153" s="229" t="s">
        <v>399</v>
      </c>
    </row>
    <row r="154" spans="1:7" ht="29" customHeight="1" x14ac:dyDescent="0.35">
      <c r="A154" s="2" t="s">
        <v>202</v>
      </c>
      <c r="B154" s="3" t="s">
        <v>400</v>
      </c>
      <c r="C154" s="228"/>
      <c r="D154" s="229" t="s">
        <v>377</v>
      </c>
      <c r="E154" s="229" t="s">
        <v>398</v>
      </c>
      <c r="F154" s="229" t="s">
        <v>399</v>
      </c>
    </row>
    <row r="155" spans="1:7" ht="36" customHeight="1" x14ac:dyDescent="0.35">
      <c r="A155" s="2" t="s">
        <v>203</v>
      </c>
      <c r="B155" s="3" t="s">
        <v>401</v>
      </c>
      <c r="C155" s="228"/>
      <c r="D155" s="229" t="s">
        <v>402</v>
      </c>
      <c r="E155" s="229" t="s">
        <v>403</v>
      </c>
      <c r="F155" s="229" t="s">
        <v>404</v>
      </c>
    </row>
    <row r="156" spans="1:7" ht="36" customHeight="1" x14ac:dyDescent="0.35">
      <c r="A156" s="2" t="s">
        <v>225</v>
      </c>
      <c r="B156" s="3" t="s">
        <v>405</v>
      </c>
      <c r="C156" s="228"/>
      <c r="D156" s="229" t="s">
        <v>402</v>
      </c>
      <c r="E156" s="229" t="s">
        <v>403</v>
      </c>
      <c r="F156" s="229" t="s">
        <v>404</v>
      </c>
    </row>
    <row r="157" spans="1:7" ht="36" customHeight="1" x14ac:dyDescent="0.35">
      <c r="A157" s="2" t="s">
        <v>229</v>
      </c>
      <c r="B157" s="3" t="s">
        <v>406</v>
      </c>
      <c r="C157" s="228"/>
      <c r="D157" s="229" t="s">
        <v>402</v>
      </c>
      <c r="E157" s="229" t="s">
        <v>403</v>
      </c>
      <c r="F157" s="229" t="s">
        <v>404</v>
      </c>
    </row>
    <row r="158" spans="1:7" ht="29" customHeight="1" x14ac:dyDescent="0.35">
      <c r="A158" s="200" t="s">
        <v>233</v>
      </c>
      <c r="B158" s="234" t="s">
        <v>407</v>
      </c>
      <c r="C158" s="228"/>
      <c r="D158" s="229"/>
      <c r="E158" s="229"/>
      <c r="F158" s="229"/>
    </row>
    <row r="159" spans="1:7" s="240" customFormat="1" ht="43.5" customHeight="1" x14ac:dyDescent="0.35">
      <c r="A159" s="200" t="s">
        <v>238</v>
      </c>
      <c r="B159" s="234" t="s">
        <v>408</v>
      </c>
      <c r="C159" s="238" t="s">
        <v>409</v>
      </c>
      <c r="D159" s="239"/>
      <c r="E159" s="239"/>
      <c r="F159" s="239"/>
      <c r="G159" s="8"/>
    </row>
    <row r="160" spans="1:7" s="240" customFormat="1" ht="29" customHeight="1" x14ac:dyDescent="0.35">
      <c r="A160" s="200" t="s">
        <v>317</v>
      </c>
      <c r="B160" s="234" t="s">
        <v>410</v>
      </c>
      <c r="C160" s="238" t="s">
        <v>411</v>
      </c>
      <c r="D160" s="239"/>
      <c r="E160" s="239"/>
      <c r="F160" s="239"/>
      <c r="G160" s="8"/>
    </row>
    <row r="161" spans="1:7" s="240" customFormat="1" ht="58" customHeight="1" x14ac:dyDescent="0.35">
      <c r="A161" s="200" t="s">
        <v>319</v>
      </c>
      <c r="B161" s="234" t="s">
        <v>412</v>
      </c>
      <c r="C161" s="238"/>
      <c r="D161" s="239"/>
      <c r="E161" s="239"/>
      <c r="F161" s="239"/>
      <c r="G161" s="8"/>
    </row>
    <row r="162" spans="1:7" s="240" customFormat="1" x14ac:dyDescent="0.35">
      <c r="A162" s="200" t="s">
        <v>413</v>
      </c>
      <c r="B162" s="234" t="s">
        <v>414</v>
      </c>
      <c r="C162" s="238"/>
      <c r="D162" s="239"/>
      <c r="E162" s="239"/>
      <c r="F162" s="239"/>
      <c r="G162" s="8"/>
    </row>
    <row r="163" spans="1:7" x14ac:dyDescent="0.35">
      <c r="A163" s="2"/>
      <c r="B163" s="3"/>
      <c r="C163" s="228"/>
      <c r="D163" s="229"/>
      <c r="E163" s="229"/>
      <c r="F163" s="229"/>
    </row>
    <row r="164" spans="1:7" x14ac:dyDescent="0.35">
      <c r="A164" s="200" t="s">
        <v>415</v>
      </c>
      <c r="B164" s="234" t="s">
        <v>416</v>
      </c>
      <c r="C164" s="228"/>
      <c r="D164" s="229"/>
      <c r="E164" s="229"/>
      <c r="F164" s="229"/>
    </row>
    <row r="165" spans="1:7" ht="24" customHeight="1" x14ac:dyDescent="0.35">
      <c r="A165" s="2" t="s">
        <v>110</v>
      </c>
      <c r="B165" s="3" t="s">
        <v>417</v>
      </c>
      <c r="C165" s="228"/>
      <c r="D165" s="229" t="s">
        <v>56</v>
      </c>
      <c r="E165" s="229" t="s">
        <v>374</v>
      </c>
      <c r="F165" s="229"/>
    </row>
    <row r="166" spans="1:7" ht="36" customHeight="1" x14ac:dyDescent="0.35">
      <c r="A166" s="2" t="s">
        <v>115</v>
      </c>
      <c r="B166" s="3" t="s">
        <v>418</v>
      </c>
      <c r="C166" s="228"/>
      <c r="D166" s="229" t="s">
        <v>402</v>
      </c>
      <c r="E166" s="229" t="s">
        <v>419</v>
      </c>
      <c r="F166" s="229" t="s">
        <v>420</v>
      </c>
    </row>
    <row r="167" spans="1:7" ht="36" customHeight="1" x14ac:dyDescent="0.35">
      <c r="A167" s="2" t="s">
        <v>118</v>
      </c>
      <c r="B167" s="3" t="s">
        <v>421</v>
      </c>
      <c r="C167" s="228"/>
      <c r="D167" s="229" t="s">
        <v>402</v>
      </c>
      <c r="E167" s="229" t="s">
        <v>419</v>
      </c>
      <c r="F167" s="229" t="s">
        <v>399</v>
      </c>
    </row>
    <row r="168" spans="1:7" x14ac:dyDescent="0.35">
      <c r="A168" s="2"/>
      <c r="B168" s="3"/>
      <c r="C168" s="228"/>
      <c r="D168" s="229"/>
      <c r="E168" s="229"/>
      <c r="F168" s="229"/>
    </row>
    <row r="169" spans="1:7" x14ac:dyDescent="0.35">
      <c r="A169" s="200" t="s">
        <v>422</v>
      </c>
      <c r="B169" s="234" t="s">
        <v>423</v>
      </c>
      <c r="C169" s="228"/>
      <c r="D169" s="229"/>
      <c r="E169" s="229"/>
      <c r="F169" s="229"/>
    </row>
    <row r="170" spans="1:7" ht="24" customHeight="1" x14ac:dyDescent="0.35">
      <c r="A170" s="2" t="s">
        <v>110</v>
      </c>
      <c r="B170" s="3" t="s">
        <v>424</v>
      </c>
      <c r="C170" s="228"/>
      <c r="D170" s="229" t="s">
        <v>425</v>
      </c>
      <c r="E170" s="229" t="s">
        <v>426</v>
      </c>
      <c r="F170" s="229" t="s">
        <v>427</v>
      </c>
    </row>
    <row r="171" spans="1:7" ht="48" customHeight="1" x14ac:dyDescent="0.35">
      <c r="A171" s="2" t="s">
        <v>115</v>
      </c>
      <c r="B171" s="3" t="s">
        <v>428</v>
      </c>
      <c r="C171" s="228"/>
      <c r="D171" s="229"/>
      <c r="E171" s="229" t="s">
        <v>305</v>
      </c>
      <c r="F171" s="229" t="s">
        <v>306</v>
      </c>
    </row>
    <row r="172" spans="1:7" ht="48" customHeight="1" x14ac:dyDescent="0.35">
      <c r="A172" s="2" t="s">
        <v>118</v>
      </c>
      <c r="B172" s="3" t="s">
        <v>429</v>
      </c>
      <c r="C172" s="228"/>
      <c r="D172" s="229" t="s">
        <v>430</v>
      </c>
      <c r="E172" s="229" t="s">
        <v>431</v>
      </c>
      <c r="F172" s="229" t="s">
        <v>306</v>
      </c>
    </row>
    <row r="173" spans="1:7" ht="48" customHeight="1" x14ac:dyDescent="0.35">
      <c r="A173" s="2" t="s">
        <v>121</v>
      </c>
      <c r="B173" s="3" t="s">
        <v>432</v>
      </c>
      <c r="C173" s="228"/>
      <c r="D173" s="229" t="s">
        <v>430</v>
      </c>
      <c r="E173" s="229" t="s">
        <v>431</v>
      </c>
      <c r="F173" s="229" t="s">
        <v>306</v>
      </c>
    </row>
    <row r="174" spans="1:7" ht="132" customHeight="1" x14ac:dyDescent="0.35">
      <c r="A174" s="2" t="s">
        <v>124</v>
      </c>
      <c r="B174" s="523" t="s">
        <v>433</v>
      </c>
      <c r="C174" s="758" t="s">
        <v>303</v>
      </c>
      <c r="D174" s="229"/>
      <c r="E174" s="229" t="s">
        <v>434</v>
      </c>
      <c r="F174" s="229" t="s">
        <v>435</v>
      </c>
    </row>
    <row r="175" spans="1:7" x14ac:dyDescent="0.35">
      <c r="A175" s="674" t="s">
        <v>162</v>
      </c>
      <c r="B175" s="523" t="s">
        <v>436</v>
      </c>
      <c r="C175" s="228"/>
      <c r="D175" s="229"/>
      <c r="E175" s="229"/>
      <c r="F175" s="229"/>
    </row>
    <row r="176" spans="1:7" x14ac:dyDescent="0.35">
      <c r="A176" s="2"/>
      <c r="B176" s="3"/>
      <c r="C176" s="228"/>
      <c r="D176" s="229"/>
      <c r="E176" s="229"/>
      <c r="F176" s="229"/>
    </row>
    <row r="177" spans="1:6" x14ac:dyDescent="0.35">
      <c r="A177" s="674" t="s">
        <v>437</v>
      </c>
      <c r="B177" s="523" t="s">
        <v>438</v>
      </c>
      <c r="C177" s="228"/>
      <c r="D177" s="229"/>
      <c r="E177" s="229"/>
      <c r="F177" s="229"/>
    </row>
    <row r="178" spans="1:6" x14ac:dyDescent="0.35">
      <c r="A178" s="674" t="s">
        <v>439</v>
      </c>
      <c r="B178" s="523" t="s">
        <v>440</v>
      </c>
      <c r="C178" s="228"/>
      <c r="D178" s="229"/>
      <c r="E178" s="229"/>
      <c r="F178" s="229"/>
    </row>
    <row r="179" spans="1:6" ht="43.5" customHeight="1" x14ac:dyDescent="0.35">
      <c r="A179" s="602" t="s">
        <v>110</v>
      </c>
      <c r="B179" s="3" t="s">
        <v>370</v>
      </c>
      <c r="C179" s="236" t="s">
        <v>371</v>
      </c>
      <c r="D179" s="229"/>
      <c r="E179" s="229" t="s">
        <v>441</v>
      </c>
      <c r="F179" s="229"/>
    </row>
    <row r="180" spans="1:6" ht="24" customHeight="1" x14ac:dyDescent="0.35">
      <c r="A180" s="602" t="s">
        <v>115</v>
      </c>
      <c r="B180" s="3" t="s">
        <v>442</v>
      </c>
      <c r="C180" s="228"/>
      <c r="D180" s="229" t="s">
        <v>56</v>
      </c>
      <c r="E180" s="229" t="s">
        <v>443</v>
      </c>
      <c r="F180" s="229" t="s">
        <v>387</v>
      </c>
    </row>
    <row r="181" spans="1:6" ht="36" customHeight="1" x14ac:dyDescent="0.35">
      <c r="A181" s="602" t="s">
        <v>118</v>
      </c>
      <c r="B181" s="3" t="s">
        <v>444</v>
      </c>
      <c r="C181" s="228"/>
      <c r="D181" s="229" t="s">
        <v>377</v>
      </c>
      <c r="E181" s="229" t="s">
        <v>445</v>
      </c>
      <c r="F181" s="229" t="s">
        <v>390</v>
      </c>
    </row>
    <row r="182" spans="1:6" ht="36" customHeight="1" x14ac:dyDescent="0.35">
      <c r="A182" s="602" t="s">
        <v>121</v>
      </c>
      <c r="B182" s="3" t="s">
        <v>446</v>
      </c>
      <c r="C182" s="228"/>
      <c r="D182" s="229" t="s">
        <v>377</v>
      </c>
      <c r="E182" s="229" t="s">
        <v>447</v>
      </c>
      <c r="F182" s="229" t="s">
        <v>393</v>
      </c>
    </row>
    <row r="183" spans="1:6" ht="36" customHeight="1" x14ac:dyDescent="0.35">
      <c r="A183" s="603" t="s">
        <v>124</v>
      </c>
      <c r="B183" s="3" t="s">
        <v>448</v>
      </c>
      <c r="C183" s="228"/>
      <c r="D183" s="229" t="s">
        <v>377</v>
      </c>
      <c r="E183" s="229" t="s">
        <v>447</v>
      </c>
      <c r="F183" s="229" t="s">
        <v>393</v>
      </c>
    </row>
    <row r="184" spans="1:6" ht="24" customHeight="1" x14ac:dyDescent="0.35">
      <c r="A184" s="603" t="s">
        <v>162</v>
      </c>
      <c r="B184" s="3" t="s">
        <v>449</v>
      </c>
      <c r="C184" s="228"/>
      <c r="D184" s="229" t="s">
        <v>377</v>
      </c>
      <c r="E184" s="229" t="s">
        <v>398</v>
      </c>
      <c r="F184" s="229" t="s">
        <v>399</v>
      </c>
    </row>
    <row r="185" spans="1:6" x14ac:dyDescent="0.35">
      <c r="A185" s="674" t="s">
        <v>439</v>
      </c>
      <c r="B185" s="523" t="s">
        <v>450</v>
      </c>
      <c r="C185" s="228"/>
      <c r="D185" s="229"/>
      <c r="E185" s="229"/>
      <c r="F185" s="229"/>
    </row>
    <row r="186" spans="1:6" ht="43.5" customHeight="1" x14ac:dyDescent="0.35">
      <c r="A186" s="602" t="s">
        <v>110</v>
      </c>
      <c r="B186" s="3" t="s">
        <v>370</v>
      </c>
      <c r="C186" s="236" t="s">
        <v>371</v>
      </c>
      <c r="D186" s="229"/>
      <c r="E186" s="229" t="s">
        <v>441</v>
      </c>
      <c r="F186" s="229"/>
    </row>
    <row r="187" spans="1:6" ht="24" customHeight="1" x14ac:dyDescent="0.35">
      <c r="A187" s="602" t="s">
        <v>115</v>
      </c>
      <c r="B187" s="3" t="s">
        <v>451</v>
      </c>
      <c r="C187" s="228"/>
      <c r="D187" s="229" t="s">
        <v>56</v>
      </c>
      <c r="E187" s="229" t="s">
        <v>452</v>
      </c>
      <c r="F187" s="229" t="s">
        <v>453</v>
      </c>
    </row>
    <row r="188" spans="1:6" ht="36" customHeight="1" x14ac:dyDescent="0.35">
      <c r="A188" s="602" t="s">
        <v>118</v>
      </c>
      <c r="B188" s="3" t="s">
        <v>454</v>
      </c>
      <c r="C188" s="228"/>
      <c r="D188" s="229" t="s">
        <v>377</v>
      </c>
      <c r="E188" s="229" t="s">
        <v>455</v>
      </c>
      <c r="F188" s="229" t="s">
        <v>390</v>
      </c>
    </row>
    <row r="189" spans="1:6" ht="36" customHeight="1" x14ac:dyDescent="0.35">
      <c r="A189" s="602" t="s">
        <v>121</v>
      </c>
      <c r="B189" s="3" t="s">
        <v>446</v>
      </c>
      <c r="C189" s="228"/>
      <c r="D189" s="229" t="s">
        <v>377</v>
      </c>
      <c r="E189" s="229" t="s">
        <v>456</v>
      </c>
      <c r="F189" s="229" t="s">
        <v>393</v>
      </c>
    </row>
    <row r="190" spans="1:6" ht="36" customHeight="1" x14ac:dyDescent="0.35">
      <c r="A190" s="603" t="s">
        <v>124</v>
      </c>
      <c r="B190" s="3" t="s">
        <v>448</v>
      </c>
      <c r="C190" s="228"/>
      <c r="D190" s="229" t="s">
        <v>377</v>
      </c>
      <c r="E190" s="229" t="s">
        <v>456</v>
      </c>
      <c r="F190" s="229" t="s">
        <v>393</v>
      </c>
    </row>
    <row r="191" spans="1:6" ht="24" customHeight="1" x14ac:dyDescent="0.35">
      <c r="A191" s="603" t="s">
        <v>162</v>
      </c>
      <c r="B191" s="3" t="s">
        <v>457</v>
      </c>
      <c r="C191" s="228"/>
      <c r="D191" s="229" t="s">
        <v>377</v>
      </c>
      <c r="E191" s="229" t="s">
        <v>458</v>
      </c>
      <c r="F191" s="229" t="s">
        <v>459</v>
      </c>
    </row>
    <row r="192" spans="1:6" x14ac:dyDescent="0.35">
      <c r="A192" s="774" t="s">
        <v>162</v>
      </c>
      <c r="B192" s="775" t="s">
        <v>460</v>
      </c>
      <c r="C192" s="228"/>
      <c r="D192" s="229"/>
      <c r="E192" s="229"/>
      <c r="F192" s="229"/>
    </row>
    <row r="193" spans="1:6" x14ac:dyDescent="0.35">
      <c r="A193" s="774" t="s">
        <v>202</v>
      </c>
      <c r="B193" s="775" t="s">
        <v>461</v>
      </c>
      <c r="C193" s="228"/>
      <c r="D193" s="229"/>
      <c r="F193" s="229"/>
    </row>
    <row r="194" spans="1:6" x14ac:dyDescent="0.35">
      <c r="A194" s="774" t="s">
        <v>203</v>
      </c>
      <c r="B194" s="775" t="s">
        <v>462</v>
      </c>
      <c r="C194" s="228"/>
      <c r="D194" s="229"/>
      <c r="E194" s="229"/>
      <c r="F194" s="229"/>
    </row>
    <row r="195" spans="1:6" x14ac:dyDescent="0.35">
      <c r="A195" s="200" t="s">
        <v>463</v>
      </c>
      <c r="B195" s="750" t="s">
        <v>464</v>
      </c>
      <c r="C195" s="228"/>
      <c r="D195" s="229"/>
      <c r="E195" s="229"/>
      <c r="F195" s="229"/>
    </row>
    <row r="196" spans="1:6" ht="29" customHeight="1" x14ac:dyDescent="0.35">
      <c r="A196" s="412" t="s">
        <v>465</v>
      </c>
      <c r="B196" s="750" t="s">
        <v>466</v>
      </c>
      <c r="C196" s="236" t="s">
        <v>467</v>
      </c>
      <c r="D196" s="229"/>
      <c r="E196" s="229"/>
      <c r="F196" s="229"/>
    </row>
    <row r="197" spans="1:6" ht="48" customHeight="1" x14ac:dyDescent="0.35">
      <c r="A197" s="2" t="s">
        <v>468</v>
      </c>
      <c r="B197" s="3" t="s">
        <v>469</v>
      </c>
      <c r="C197" s="228"/>
      <c r="D197" s="229" t="s">
        <v>377</v>
      </c>
      <c r="E197" s="229" t="s">
        <v>470</v>
      </c>
      <c r="F197" s="229" t="s">
        <v>471</v>
      </c>
    </row>
    <row r="198" spans="1:6" ht="36" customHeight="1" x14ac:dyDescent="0.35">
      <c r="A198" s="2" t="s">
        <v>472</v>
      </c>
      <c r="B198" s="3" t="s">
        <v>473</v>
      </c>
      <c r="C198" s="228"/>
      <c r="D198" s="229" t="s">
        <v>377</v>
      </c>
      <c r="E198" s="229" t="s">
        <v>474</v>
      </c>
      <c r="F198" s="229" t="s">
        <v>475</v>
      </c>
    </row>
    <row r="199" spans="1:6" x14ac:dyDescent="0.35">
      <c r="A199" s="2" t="s">
        <v>476</v>
      </c>
      <c r="B199" s="234" t="s">
        <v>477</v>
      </c>
      <c r="C199" s="228"/>
      <c r="D199" s="229"/>
      <c r="E199" s="229"/>
      <c r="F199" s="229"/>
    </row>
    <row r="200" spans="1:6" x14ac:dyDescent="0.35">
      <c r="A200" s="200" t="s">
        <v>478</v>
      </c>
      <c r="B200" s="234" t="s">
        <v>479</v>
      </c>
      <c r="C200" s="228"/>
      <c r="D200" s="229"/>
      <c r="E200" s="229"/>
      <c r="F200" s="229"/>
    </row>
    <row r="201" spans="1:6" x14ac:dyDescent="0.35">
      <c r="A201" s="200" t="s">
        <v>480</v>
      </c>
      <c r="B201" s="234" t="s">
        <v>481</v>
      </c>
      <c r="C201" s="228"/>
      <c r="D201" s="229"/>
      <c r="E201" s="229"/>
      <c r="F201" s="229"/>
    </row>
    <row r="202" spans="1:6" x14ac:dyDescent="0.35">
      <c r="A202" s="600" t="s">
        <v>482</v>
      </c>
      <c r="B202" s="776" t="s">
        <v>483</v>
      </c>
      <c r="C202" s="228"/>
      <c r="D202" s="229"/>
      <c r="E202" s="229"/>
      <c r="F202" s="229"/>
    </row>
    <row r="203" spans="1:6" ht="29" customHeight="1" x14ac:dyDescent="0.35">
      <c r="A203" s="524" t="s">
        <v>110</v>
      </c>
      <c r="B203" s="523" t="s">
        <v>484</v>
      </c>
      <c r="C203" s="228"/>
      <c r="D203" s="229"/>
      <c r="E203" s="229"/>
      <c r="F203" s="229"/>
    </row>
    <row r="204" spans="1:6" ht="29" customHeight="1" x14ac:dyDescent="0.35">
      <c r="A204" s="524" t="s">
        <v>115</v>
      </c>
      <c r="B204" s="523" t="s">
        <v>485</v>
      </c>
      <c r="C204" s="228"/>
      <c r="D204" s="229"/>
      <c r="E204" s="229"/>
      <c r="F204" s="229"/>
    </row>
    <row r="205" spans="1:6" x14ac:dyDescent="0.35">
      <c r="A205" s="524" t="s">
        <v>118</v>
      </c>
      <c r="B205" s="523" t="s">
        <v>486</v>
      </c>
      <c r="C205" s="228"/>
      <c r="D205" s="229"/>
      <c r="E205" s="229"/>
      <c r="F205" s="229"/>
    </row>
    <row r="206" spans="1:6" x14ac:dyDescent="0.35">
      <c r="A206" s="524" t="s">
        <v>121</v>
      </c>
      <c r="B206" s="523" t="s">
        <v>487</v>
      </c>
      <c r="C206" s="228"/>
      <c r="D206" s="229"/>
      <c r="E206" s="229"/>
      <c r="F206" s="229"/>
    </row>
    <row r="207" spans="1:6" x14ac:dyDescent="0.35">
      <c r="A207" s="524" t="s">
        <v>124</v>
      </c>
      <c r="B207" s="523" t="s">
        <v>488</v>
      </c>
      <c r="C207" s="228"/>
      <c r="D207" s="229"/>
      <c r="E207" s="229"/>
      <c r="F207" s="229"/>
    </row>
    <row r="208" spans="1:6" x14ac:dyDescent="0.35">
      <c r="A208" s="2"/>
      <c r="B208" s="3"/>
      <c r="C208" s="228"/>
      <c r="D208" s="229"/>
      <c r="E208" s="229"/>
      <c r="F208" s="229"/>
    </row>
    <row r="209" spans="1:6" x14ac:dyDescent="0.35">
      <c r="A209" s="200" t="s">
        <v>489</v>
      </c>
      <c r="B209" s="234" t="s">
        <v>490</v>
      </c>
      <c r="C209" s="228"/>
      <c r="D209" s="229"/>
      <c r="E209" s="229"/>
      <c r="F209" s="229"/>
    </row>
    <row r="210" spans="1:6" ht="58" customHeight="1" x14ac:dyDescent="0.35">
      <c r="A210" s="200" t="s">
        <v>491</v>
      </c>
      <c r="B210" s="234" t="s">
        <v>492</v>
      </c>
      <c r="C210" s="237" t="s">
        <v>493</v>
      </c>
      <c r="D210" s="229"/>
      <c r="E210" s="229"/>
      <c r="F210" s="229"/>
    </row>
    <row r="211" spans="1:6" ht="29" customHeight="1" x14ac:dyDescent="0.35">
      <c r="A211" s="52" t="s">
        <v>110</v>
      </c>
      <c r="B211" s="3" t="s">
        <v>494</v>
      </c>
      <c r="C211" s="228"/>
      <c r="D211" s="229" t="s">
        <v>56</v>
      </c>
      <c r="E211" s="229" t="s">
        <v>495</v>
      </c>
      <c r="F211" s="227"/>
    </row>
    <row r="212" spans="1:6" ht="120" customHeight="1" x14ac:dyDescent="0.35">
      <c r="A212" s="52" t="s">
        <v>115</v>
      </c>
      <c r="B212" s="3" t="s">
        <v>496</v>
      </c>
      <c r="C212" s="971" t="s">
        <v>497</v>
      </c>
      <c r="D212" s="229" t="s">
        <v>498</v>
      </c>
      <c r="E212" s="229" t="s">
        <v>499</v>
      </c>
      <c r="F212" s="229" t="s">
        <v>435</v>
      </c>
    </row>
    <row r="213" spans="1:6" ht="108" customHeight="1" x14ac:dyDescent="0.35">
      <c r="A213" s="52" t="s">
        <v>118</v>
      </c>
      <c r="B213" s="3" t="s">
        <v>500</v>
      </c>
      <c r="C213" s="949"/>
      <c r="D213" s="229" t="s">
        <v>498</v>
      </c>
      <c r="E213" s="229" t="s">
        <v>499</v>
      </c>
      <c r="F213" s="229" t="s">
        <v>435</v>
      </c>
    </row>
    <row r="214" spans="1:6" ht="120" customHeight="1" x14ac:dyDescent="0.35">
      <c r="A214" s="52" t="s">
        <v>121</v>
      </c>
      <c r="B214" s="3" t="s">
        <v>501</v>
      </c>
      <c r="C214" s="970" t="s">
        <v>502</v>
      </c>
      <c r="D214" s="229" t="s">
        <v>498</v>
      </c>
      <c r="E214" s="229" t="s">
        <v>499</v>
      </c>
      <c r="F214" s="229" t="s">
        <v>503</v>
      </c>
    </row>
    <row r="215" spans="1:6" ht="108" customHeight="1" x14ac:dyDescent="0.35">
      <c r="A215" s="52" t="s">
        <v>124</v>
      </c>
      <c r="B215" s="3" t="s">
        <v>504</v>
      </c>
      <c r="C215" s="949"/>
      <c r="D215" s="229" t="s">
        <v>498</v>
      </c>
      <c r="E215" s="229" t="s">
        <v>499</v>
      </c>
      <c r="F215" s="229" t="s">
        <v>503</v>
      </c>
    </row>
    <row r="216" spans="1:6" ht="24" customHeight="1" x14ac:dyDescent="0.35">
      <c r="A216" s="52" t="s">
        <v>162</v>
      </c>
      <c r="B216" s="3" t="s">
        <v>505</v>
      </c>
      <c r="C216" s="228"/>
      <c r="D216" s="229" t="s">
        <v>506</v>
      </c>
      <c r="E216" s="229" t="s">
        <v>507</v>
      </c>
      <c r="F216" s="229" t="s">
        <v>508</v>
      </c>
    </row>
    <row r="217" spans="1:6" ht="24" customHeight="1" x14ac:dyDescent="0.35">
      <c r="A217" s="52" t="s">
        <v>202</v>
      </c>
      <c r="B217" s="3" t="s">
        <v>509</v>
      </c>
      <c r="C217" s="228"/>
      <c r="D217" s="229" t="s">
        <v>506</v>
      </c>
      <c r="E217" s="229" t="s">
        <v>507</v>
      </c>
      <c r="F217" s="229" t="s">
        <v>508</v>
      </c>
    </row>
    <row r="218" spans="1:6" ht="72" customHeight="1" x14ac:dyDescent="0.35">
      <c r="A218" s="52" t="s">
        <v>203</v>
      </c>
      <c r="B218" s="3" t="s">
        <v>510</v>
      </c>
      <c r="C218" s="228"/>
      <c r="D218" s="229" t="s">
        <v>506</v>
      </c>
      <c r="E218" s="229" t="s">
        <v>511</v>
      </c>
      <c r="F218" s="229" t="s">
        <v>512</v>
      </c>
    </row>
    <row r="219" spans="1:6" ht="72" customHeight="1" x14ac:dyDescent="0.35">
      <c r="A219" s="52" t="s">
        <v>225</v>
      </c>
      <c r="B219" s="3" t="s">
        <v>513</v>
      </c>
      <c r="C219" s="228"/>
      <c r="D219" s="229" t="s">
        <v>506</v>
      </c>
      <c r="E219" s="229" t="s">
        <v>511</v>
      </c>
      <c r="F219" s="229" t="s">
        <v>514</v>
      </c>
    </row>
    <row r="220" spans="1:6" ht="84" customHeight="1" x14ac:dyDescent="0.35">
      <c r="A220" s="2" t="s">
        <v>229</v>
      </c>
      <c r="B220" s="3" t="s">
        <v>515</v>
      </c>
      <c r="C220" s="972" t="s">
        <v>516</v>
      </c>
      <c r="D220" s="229" t="s">
        <v>506</v>
      </c>
      <c r="E220" s="229" t="s">
        <v>511</v>
      </c>
      <c r="F220" s="229" t="s">
        <v>514</v>
      </c>
    </row>
    <row r="221" spans="1:6" ht="63" customHeight="1" x14ac:dyDescent="0.35">
      <c r="A221" s="2" t="s">
        <v>233</v>
      </c>
      <c r="B221" s="3" t="s">
        <v>517</v>
      </c>
      <c r="C221" s="949"/>
      <c r="D221" s="229" t="s">
        <v>506</v>
      </c>
      <c r="E221" s="229" t="s">
        <v>518</v>
      </c>
      <c r="F221" s="229" t="s">
        <v>514</v>
      </c>
    </row>
    <row r="222" spans="1:6" ht="48" customHeight="1" x14ac:dyDescent="0.35">
      <c r="A222" s="2" t="s">
        <v>238</v>
      </c>
      <c r="B222" s="3" t="s">
        <v>519</v>
      </c>
      <c r="C222" s="972" t="s">
        <v>520</v>
      </c>
      <c r="D222" s="229" t="s">
        <v>506</v>
      </c>
      <c r="E222" s="229" t="s">
        <v>521</v>
      </c>
      <c r="F222" s="229" t="s">
        <v>521</v>
      </c>
    </row>
    <row r="223" spans="1:6" ht="68.5" customHeight="1" x14ac:dyDescent="0.35">
      <c r="A223" s="2" t="s">
        <v>317</v>
      </c>
      <c r="B223" s="3" t="s">
        <v>522</v>
      </c>
      <c r="C223" s="949"/>
      <c r="D223" s="229" t="s">
        <v>506</v>
      </c>
      <c r="E223" s="229" t="s">
        <v>521</v>
      </c>
      <c r="F223" s="229" t="s">
        <v>521</v>
      </c>
    </row>
    <row r="224" spans="1:6" ht="24" customHeight="1" x14ac:dyDescent="0.35">
      <c r="A224" s="543" t="s">
        <v>319</v>
      </c>
      <c r="B224" s="3" t="s">
        <v>523</v>
      </c>
      <c r="C224" s="228"/>
      <c r="D224" s="229" t="s">
        <v>524</v>
      </c>
      <c r="E224" s="229" t="s">
        <v>525</v>
      </c>
      <c r="F224" s="229" t="s">
        <v>526</v>
      </c>
    </row>
    <row r="225" spans="1:6" ht="24" customHeight="1" x14ac:dyDescent="0.35">
      <c r="A225" s="543" t="s">
        <v>322</v>
      </c>
      <c r="B225" s="3" t="s">
        <v>527</v>
      </c>
      <c r="C225" s="228"/>
      <c r="D225" s="229" t="s">
        <v>524</v>
      </c>
      <c r="E225" s="229" t="s">
        <v>528</v>
      </c>
      <c r="F225" s="229" t="s">
        <v>529</v>
      </c>
    </row>
    <row r="226" spans="1:6" ht="24" customHeight="1" x14ac:dyDescent="0.35">
      <c r="A226" s="543" t="s">
        <v>327</v>
      </c>
      <c r="B226" s="523" t="s">
        <v>530</v>
      </c>
      <c r="C226" s="768" t="s">
        <v>531</v>
      </c>
      <c r="D226" s="229"/>
      <c r="E226" s="768" t="s">
        <v>532</v>
      </c>
      <c r="F226" s="768" t="s">
        <v>533</v>
      </c>
    </row>
    <row r="227" spans="1:6" ht="36" customHeight="1" x14ac:dyDescent="0.35">
      <c r="A227" s="543" t="s">
        <v>332</v>
      </c>
      <c r="B227" s="523" t="s">
        <v>534</v>
      </c>
      <c r="C227" s="768" t="s">
        <v>535</v>
      </c>
      <c r="D227" s="229"/>
      <c r="E227" s="768" t="s">
        <v>536</v>
      </c>
      <c r="F227" s="768" t="s">
        <v>533</v>
      </c>
    </row>
    <row r="228" spans="1:6" x14ac:dyDescent="0.35">
      <c r="A228" s="543" t="s">
        <v>337</v>
      </c>
      <c r="B228" s="750" t="s">
        <v>537</v>
      </c>
      <c r="C228" s="228"/>
      <c r="D228" s="229"/>
      <c r="E228" s="229"/>
      <c r="F228" s="229"/>
    </row>
    <row r="229" spans="1:6" x14ac:dyDescent="0.35">
      <c r="A229" s="543" t="s">
        <v>340</v>
      </c>
      <c r="B229" s="234" t="s">
        <v>538</v>
      </c>
      <c r="C229" s="228"/>
      <c r="D229" s="229"/>
      <c r="E229" s="229"/>
      <c r="F229" s="229"/>
    </row>
    <row r="230" spans="1:6" x14ac:dyDescent="0.35">
      <c r="A230" s="543" t="s">
        <v>344</v>
      </c>
      <c r="B230" s="750" t="s">
        <v>539</v>
      </c>
      <c r="C230" s="228"/>
      <c r="D230" s="229"/>
      <c r="E230" s="229"/>
      <c r="F230" s="229"/>
    </row>
    <row r="231" spans="1:6" x14ac:dyDescent="0.35">
      <c r="A231" s="543" t="s">
        <v>348</v>
      </c>
      <c r="B231" s="597" t="s">
        <v>540</v>
      </c>
      <c r="C231" s="228"/>
      <c r="D231" s="229"/>
      <c r="E231" s="229"/>
      <c r="F231" s="229"/>
    </row>
    <row r="232" spans="1:6" x14ac:dyDescent="0.35">
      <c r="A232" s="543" t="s">
        <v>348</v>
      </c>
      <c r="B232" s="597" t="s">
        <v>541</v>
      </c>
      <c r="C232" s="228"/>
      <c r="D232" s="229"/>
      <c r="E232" s="229"/>
      <c r="F232" s="229"/>
    </row>
    <row r="233" spans="1:6" x14ac:dyDescent="0.35">
      <c r="A233" s="543"/>
      <c r="B233" s="597"/>
      <c r="C233" s="228"/>
      <c r="D233" s="229"/>
      <c r="E233" s="229"/>
      <c r="F233" s="229"/>
    </row>
    <row r="234" spans="1:6" x14ac:dyDescent="0.35">
      <c r="A234" s="543" t="s">
        <v>542</v>
      </c>
      <c r="B234" s="597" t="s">
        <v>543</v>
      </c>
      <c r="C234" s="228"/>
      <c r="D234" s="229"/>
      <c r="E234" s="229"/>
      <c r="F234" s="229"/>
    </row>
    <row r="235" spans="1:6" ht="29" customHeight="1" x14ac:dyDescent="0.35">
      <c r="A235" s="52" t="s">
        <v>110</v>
      </c>
      <c r="B235" s="3" t="s">
        <v>494</v>
      </c>
      <c r="C235" s="228"/>
      <c r="D235" s="229" t="s">
        <v>56</v>
      </c>
      <c r="E235" s="229" t="s">
        <v>495</v>
      </c>
      <c r="F235" s="227"/>
    </row>
    <row r="236" spans="1:6" ht="216" customHeight="1" x14ac:dyDescent="0.35">
      <c r="A236" s="52" t="s">
        <v>115</v>
      </c>
      <c r="B236" s="3" t="s">
        <v>500</v>
      </c>
      <c r="C236" s="763" t="s">
        <v>497</v>
      </c>
      <c r="D236" s="229" t="s">
        <v>498</v>
      </c>
      <c r="E236" s="229" t="s">
        <v>499</v>
      </c>
      <c r="F236" s="229" t="s">
        <v>435</v>
      </c>
    </row>
    <row r="237" spans="1:6" ht="132" customHeight="1" x14ac:dyDescent="0.35">
      <c r="A237" s="52" t="s">
        <v>118</v>
      </c>
      <c r="B237" s="3" t="s">
        <v>504</v>
      </c>
      <c r="C237" s="759" t="s">
        <v>502</v>
      </c>
      <c r="D237" s="229" t="s">
        <v>498</v>
      </c>
      <c r="E237" s="229" t="s">
        <v>499</v>
      </c>
      <c r="F237" s="229" t="s">
        <v>503</v>
      </c>
    </row>
    <row r="238" spans="1:6" ht="72" customHeight="1" x14ac:dyDescent="0.35">
      <c r="A238" s="52" t="s">
        <v>121</v>
      </c>
      <c r="B238" s="3" t="s">
        <v>544</v>
      </c>
      <c r="C238" s="764" t="s">
        <v>516</v>
      </c>
      <c r="D238" s="229" t="s">
        <v>506</v>
      </c>
      <c r="E238" s="229" t="s">
        <v>518</v>
      </c>
      <c r="F238" s="229" t="s">
        <v>514</v>
      </c>
    </row>
    <row r="239" spans="1:6" ht="84" customHeight="1" x14ac:dyDescent="0.35">
      <c r="A239" s="52" t="s">
        <v>124</v>
      </c>
      <c r="B239" s="3" t="s">
        <v>522</v>
      </c>
      <c r="C239" s="764" t="s">
        <v>520</v>
      </c>
      <c r="D239" s="229" t="s">
        <v>506</v>
      </c>
      <c r="E239" s="229" t="s">
        <v>521</v>
      </c>
      <c r="F239" s="229" t="s">
        <v>521</v>
      </c>
    </row>
    <row r="240" spans="1:6" ht="24" customHeight="1" x14ac:dyDescent="0.35">
      <c r="A240" s="52" t="s">
        <v>162</v>
      </c>
      <c r="B240" s="3" t="s">
        <v>545</v>
      </c>
      <c r="C240" s="228"/>
      <c r="D240" s="229" t="s">
        <v>524</v>
      </c>
      <c r="E240" s="229" t="s">
        <v>525</v>
      </c>
      <c r="F240" s="229" t="s">
        <v>526</v>
      </c>
    </row>
    <row r="241" spans="1:6" ht="24" customHeight="1" x14ac:dyDescent="0.35">
      <c r="A241" s="52" t="s">
        <v>202</v>
      </c>
      <c r="B241" s="3" t="s">
        <v>546</v>
      </c>
      <c r="C241" s="228"/>
      <c r="D241" s="229" t="s">
        <v>524</v>
      </c>
      <c r="E241" s="229" t="s">
        <v>528</v>
      </c>
      <c r="F241" s="229" t="s">
        <v>529</v>
      </c>
    </row>
    <row r="242" spans="1:6" ht="36" customHeight="1" x14ac:dyDescent="0.35">
      <c r="A242" s="524" t="s">
        <v>203</v>
      </c>
      <c r="B242" s="523" t="s">
        <v>547</v>
      </c>
      <c r="C242" s="768" t="s">
        <v>548</v>
      </c>
      <c r="D242" s="229"/>
      <c r="E242" s="768" t="s">
        <v>532</v>
      </c>
      <c r="F242" s="768" t="s">
        <v>533</v>
      </c>
    </row>
    <row r="243" spans="1:6" x14ac:dyDescent="0.35">
      <c r="A243" s="543" t="s">
        <v>225</v>
      </c>
      <c r="B243" s="597" t="s">
        <v>549</v>
      </c>
      <c r="C243" s="768"/>
      <c r="D243" s="229"/>
      <c r="E243" s="768"/>
      <c r="F243" s="768"/>
    </row>
    <row r="244" spans="1:6" x14ac:dyDescent="0.35">
      <c r="A244" s="543" t="s">
        <v>229</v>
      </c>
      <c r="B244" s="597" t="s">
        <v>550</v>
      </c>
      <c r="C244" s="228"/>
      <c r="D244" s="229"/>
      <c r="E244" s="229"/>
      <c r="F244" s="229"/>
    </row>
    <row r="245" spans="1:6" x14ac:dyDescent="0.35">
      <c r="A245" s="543" t="s">
        <v>233</v>
      </c>
      <c r="B245" s="597" t="s">
        <v>551</v>
      </c>
      <c r="C245" s="228"/>
      <c r="D245" s="229"/>
      <c r="E245" s="229"/>
      <c r="F245" s="229"/>
    </row>
    <row r="246" spans="1:6" x14ac:dyDescent="0.35">
      <c r="A246" s="543"/>
      <c r="B246" s="597"/>
      <c r="C246" s="228"/>
      <c r="D246" s="229"/>
      <c r="E246" s="229"/>
      <c r="F246" s="229"/>
    </row>
    <row r="247" spans="1:6" x14ac:dyDescent="0.35">
      <c r="A247" s="412" t="s">
        <v>552</v>
      </c>
      <c r="B247" s="234" t="s">
        <v>553</v>
      </c>
      <c r="C247" s="754" t="s">
        <v>554</v>
      </c>
      <c r="D247" s="229"/>
      <c r="E247" s="229"/>
      <c r="F247" s="229"/>
    </row>
    <row r="248" spans="1:6" ht="29" customHeight="1" x14ac:dyDescent="0.35">
      <c r="A248" s="52" t="s">
        <v>110</v>
      </c>
      <c r="B248" s="3" t="s">
        <v>494</v>
      </c>
      <c r="C248" s="228"/>
      <c r="D248" s="229" t="s">
        <v>314</v>
      </c>
      <c r="E248" s="229" t="s">
        <v>495</v>
      </c>
      <c r="F248" s="229"/>
    </row>
    <row r="249" spans="1:6" ht="216" customHeight="1" x14ac:dyDescent="0.35">
      <c r="A249" s="52" t="s">
        <v>115</v>
      </c>
      <c r="B249" s="3" t="s">
        <v>555</v>
      </c>
      <c r="C249" s="763" t="s">
        <v>497</v>
      </c>
      <c r="D249" s="229" t="s">
        <v>498</v>
      </c>
      <c r="E249" s="229" t="s">
        <v>499</v>
      </c>
      <c r="F249" s="229" t="s">
        <v>435</v>
      </c>
    </row>
    <row r="250" spans="1:6" ht="132" customHeight="1" x14ac:dyDescent="0.35">
      <c r="A250" s="52" t="s">
        <v>118</v>
      </c>
      <c r="B250" s="3" t="s">
        <v>556</v>
      </c>
      <c r="C250" s="759" t="s">
        <v>502</v>
      </c>
      <c r="D250" s="229" t="s">
        <v>498</v>
      </c>
      <c r="E250" s="229" t="s">
        <v>499</v>
      </c>
      <c r="F250" s="229" t="s">
        <v>503</v>
      </c>
    </row>
    <row r="251" spans="1:6" ht="72" customHeight="1" x14ac:dyDescent="0.35">
      <c r="A251" s="52" t="s">
        <v>121</v>
      </c>
      <c r="B251" s="3" t="s">
        <v>557</v>
      </c>
      <c r="C251" s="764" t="s">
        <v>516</v>
      </c>
      <c r="D251" s="229" t="s">
        <v>506</v>
      </c>
      <c r="E251" s="229" t="s">
        <v>511</v>
      </c>
      <c r="F251" s="229" t="s">
        <v>514</v>
      </c>
    </row>
    <row r="252" spans="1:6" ht="84" customHeight="1" x14ac:dyDescent="0.35">
      <c r="A252" s="52" t="s">
        <v>124</v>
      </c>
      <c r="B252" s="3" t="s">
        <v>558</v>
      </c>
      <c r="C252" s="764" t="s">
        <v>520</v>
      </c>
      <c r="D252" s="229" t="s">
        <v>506</v>
      </c>
      <c r="E252" s="229" t="s">
        <v>521</v>
      </c>
      <c r="F252" s="229" t="s">
        <v>521</v>
      </c>
    </row>
    <row r="253" spans="1:6" ht="24" customHeight="1" x14ac:dyDescent="0.35">
      <c r="A253" s="52" t="s">
        <v>162</v>
      </c>
      <c r="B253" s="3" t="s">
        <v>559</v>
      </c>
      <c r="C253" s="228"/>
      <c r="D253" s="229" t="s">
        <v>506</v>
      </c>
      <c r="E253" s="229" t="s">
        <v>507</v>
      </c>
      <c r="F253" s="229" t="s">
        <v>508</v>
      </c>
    </row>
    <row r="254" spans="1:6" ht="36" customHeight="1" x14ac:dyDescent="0.35">
      <c r="A254" s="52" t="s">
        <v>202</v>
      </c>
      <c r="B254" s="3" t="s">
        <v>560</v>
      </c>
      <c r="C254" s="228"/>
      <c r="D254" s="229" t="s">
        <v>506</v>
      </c>
      <c r="E254" s="229" t="s">
        <v>561</v>
      </c>
      <c r="F254" s="229" t="s">
        <v>562</v>
      </c>
    </row>
    <row r="255" spans="1:6" ht="24" customHeight="1" x14ac:dyDescent="0.35">
      <c r="A255" s="52" t="s">
        <v>203</v>
      </c>
      <c r="B255" s="3" t="s">
        <v>563</v>
      </c>
      <c r="C255" s="228"/>
      <c r="D255" s="229" t="s">
        <v>524</v>
      </c>
      <c r="E255" s="229" t="s">
        <v>564</v>
      </c>
      <c r="F255" s="229" t="s">
        <v>526</v>
      </c>
    </row>
    <row r="256" spans="1:6" ht="24" customHeight="1" x14ac:dyDescent="0.35">
      <c r="A256" s="52" t="s">
        <v>225</v>
      </c>
      <c r="B256" s="3" t="s">
        <v>565</v>
      </c>
      <c r="C256" s="228"/>
      <c r="D256" s="229" t="s">
        <v>524</v>
      </c>
      <c r="E256" s="229" t="s">
        <v>528</v>
      </c>
      <c r="F256" s="229" t="s">
        <v>529</v>
      </c>
    </row>
    <row r="257" spans="1:6" ht="24" customHeight="1" x14ac:dyDescent="0.35">
      <c r="A257" s="52" t="s">
        <v>229</v>
      </c>
      <c r="B257" s="523" t="s">
        <v>566</v>
      </c>
      <c r="C257" s="768" t="s">
        <v>531</v>
      </c>
      <c r="D257" s="229"/>
      <c r="E257" s="768" t="s">
        <v>532</v>
      </c>
      <c r="F257" s="768" t="s">
        <v>533</v>
      </c>
    </row>
    <row r="258" spans="1:6" ht="36" customHeight="1" x14ac:dyDescent="0.35">
      <c r="A258" s="52" t="s">
        <v>233</v>
      </c>
      <c r="B258" s="523" t="s">
        <v>567</v>
      </c>
      <c r="C258" s="768" t="s">
        <v>535</v>
      </c>
      <c r="D258" s="229"/>
      <c r="E258" s="768" t="s">
        <v>536</v>
      </c>
      <c r="F258" s="768" t="s">
        <v>533</v>
      </c>
    </row>
    <row r="259" spans="1:6" ht="24" customHeight="1" x14ac:dyDescent="0.35">
      <c r="A259" s="52" t="s">
        <v>238</v>
      </c>
      <c r="B259" s="523" t="s">
        <v>568</v>
      </c>
      <c r="C259" s="767" t="s">
        <v>569</v>
      </c>
      <c r="D259" s="229"/>
      <c r="E259" s="229"/>
      <c r="F259" s="768" t="s">
        <v>533</v>
      </c>
    </row>
    <row r="260" spans="1:6" ht="24" customHeight="1" x14ac:dyDescent="0.35">
      <c r="A260" s="543" t="s">
        <v>317</v>
      </c>
      <c r="B260" s="523" t="s">
        <v>570</v>
      </c>
      <c r="C260" s="767" t="s">
        <v>569</v>
      </c>
      <c r="D260" s="229"/>
      <c r="E260" s="229"/>
      <c r="F260" s="768" t="s">
        <v>533</v>
      </c>
    </row>
    <row r="261" spans="1:6" ht="29" customHeight="1" x14ac:dyDescent="0.35">
      <c r="A261" s="543" t="s">
        <v>319</v>
      </c>
      <c r="B261" s="750" t="s">
        <v>571</v>
      </c>
      <c r="C261" s="228"/>
      <c r="D261" s="229"/>
      <c r="E261" s="229"/>
      <c r="F261" s="229"/>
    </row>
    <row r="262" spans="1:6" x14ac:dyDescent="0.35">
      <c r="A262" s="543" t="s">
        <v>322</v>
      </c>
      <c r="B262" s="234" t="s">
        <v>538</v>
      </c>
      <c r="C262" s="228"/>
      <c r="D262" s="229"/>
      <c r="E262" s="229"/>
      <c r="F262" s="229"/>
    </row>
    <row r="263" spans="1:6" x14ac:dyDescent="0.35">
      <c r="A263" s="543" t="s">
        <v>327</v>
      </c>
      <c r="B263" s="234" t="s">
        <v>539</v>
      </c>
      <c r="C263" s="228"/>
      <c r="D263" s="229"/>
      <c r="E263" s="229"/>
      <c r="F263" s="229"/>
    </row>
    <row r="264" spans="1:6" x14ac:dyDescent="0.35">
      <c r="A264" s="543" t="s">
        <v>332</v>
      </c>
      <c r="B264" s="597" t="s">
        <v>572</v>
      </c>
      <c r="C264" s="228"/>
      <c r="D264" s="229"/>
      <c r="E264" s="229"/>
      <c r="F264" s="229"/>
    </row>
    <row r="265" spans="1:6" x14ac:dyDescent="0.35">
      <c r="A265" s="580" t="s">
        <v>337</v>
      </c>
      <c r="B265" s="597" t="s">
        <v>573</v>
      </c>
      <c r="C265" s="228"/>
      <c r="D265" s="229"/>
      <c r="E265" s="229"/>
      <c r="F265" s="229"/>
    </row>
    <row r="266" spans="1:6" x14ac:dyDescent="0.35">
      <c r="A266" s="580" t="s">
        <v>340</v>
      </c>
      <c r="B266" s="597" t="s">
        <v>574</v>
      </c>
      <c r="C266" s="228"/>
      <c r="D266" s="229"/>
      <c r="E266" s="229"/>
      <c r="F266" s="229"/>
    </row>
    <row r="267" spans="1:6" ht="29" customHeight="1" x14ac:dyDescent="0.35">
      <c r="A267" s="543" t="s">
        <v>575</v>
      </c>
      <c r="B267" s="234" t="s">
        <v>576</v>
      </c>
      <c r="C267" s="228"/>
      <c r="D267" s="229"/>
      <c r="E267" s="229"/>
      <c r="F267" s="229"/>
    </row>
    <row r="268" spans="1:6" ht="29" customHeight="1" x14ac:dyDescent="0.35">
      <c r="A268" s="543" t="s">
        <v>577</v>
      </c>
      <c r="B268" s="750" t="s">
        <v>578</v>
      </c>
      <c r="C268" s="228"/>
      <c r="D268" s="229"/>
      <c r="E268" s="229"/>
      <c r="F268" s="229"/>
    </row>
    <row r="269" spans="1:6" x14ac:dyDescent="0.35">
      <c r="A269" s="543" t="s">
        <v>579</v>
      </c>
      <c r="B269" s="597" t="s">
        <v>580</v>
      </c>
      <c r="C269" s="228"/>
      <c r="D269" s="229"/>
      <c r="E269" s="229"/>
      <c r="F269" s="229"/>
    </row>
    <row r="270" spans="1:6" x14ac:dyDescent="0.35">
      <c r="A270" s="543" t="s">
        <v>581</v>
      </c>
      <c r="B270" s="597" t="s">
        <v>582</v>
      </c>
      <c r="C270" s="228"/>
      <c r="D270" s="229"/>
      <c r="E270" s="229"/>
      <c r="F270" s="229"/>
    </row>
    <row r="271" spans="1:6" x14ac:dyDescent="0.35">
      <c r="A271" s="543" t="s">
        <v>583</v>
      </c>
      <c r="B271" s="597" t="s">
        <v>584</v>
      </c>
      <c r="C271" s="228"/>
      <c r="D271" s="229"/>
      <c r="E271" s="229"/>
      <c r="F271" s="229"/>
    </row>
    <row r="272" spans="1:6" x14ac:dyDescent="0.35">
      <c r="A272" s="543" t="s">
        <v>585</v>
      </c>
      <c r="B272" s="597" t="s">
        <v>586</v>
      </c>
      <c r="C272" s="228"/>
      <c r="D272" s="229"/>
      <c r="E272" s="229"/>
      <c r="F272" s="229"/>
    </row>
    <row r="273" spans="1:6" x14ac:dyDescent="0.35">
      <c r="A273" s="543" t="s">
        <v>587</v>
      </c>
      <c r="B273" s="597" t="s">
        <v>588</v>
      </c>
      <c r="C273" s="228"/>
      <c r="D273" s="229"/>
      <c r="E273" s="229"/>
      <c r="F273" s="229"/>
    </row>
    <row r="274" spans="1:6" x14ac:dyDescent="0.35">
      <c r="A274" s="200" t="s">
        <v>589</v>
      </c>
      <c r="B274" s="234" t="s">
        <v>590</v>
      </c>
      <c r="C274" s="228"/>
      <c r="D274" s="229"/>
      <c r="E274" s="229"/>
      <c r="F274" s="229"/>
    </row>
    <row r="275" spans="1:6" x14ac:dyDescent="0.35">
      <c r="A275" s="412" t="s">
        <v>591</v>
      </c>
      <c r="B275" s="750" t="s">
        <v>592</v>
      </c>
      <c r="C275" s="228"/>
      <c r="D275" s="229"/>
      <c r="E275" s="229"/>
      <c r="F275" s="229"/>
    </row>
    <row r="276" spans="1:6" ht="29" customHeight="1" x14ac:dyDescent="0.35">
      <c r="A276" s="52" t="s">
        <v>110</v>
      </c>
      <c r="B276" s="3" t="s">
        <v>494</v>
      </c>
      <c r="C276" s="228"/>
      <c r="D276" s="229" t="s">
        <v>56</v>
      </c>
      <c r="E276" s="229" t="s">
        <v>495</v>
      </c>
      <c r="F276" s="229"/>
    </row>
    <row r="277" spans="1:6" ht="132" customHeight="1" x14ac:dyDescent="0.35">
      <c r="A277" s="52" t="s">
        <v>115</v>
      </c>
      <c r="B277" s="3" t="s">
        <v>593</v>
      </c>
      <c r="C277" s="763" t="s">
        <v>594</v>
      </c>
      <c r="D277" s="229" t="s">
        <v>595</v>
      </c>
      <c r="E277" s="229" t="s">
        <v>596</v>
      </c>
      <c r="F277" s="229" t="s">
        <v>597</v>
      </c>
    </row>
    <row r="278" spans="1:6" ht="132" customHeight="1" x14ac:dyDescent="0.35">
      <c r="A278" s="52" t="s">
        <v>118</v>
      </c>
      <c r="B278" s="3" t="s">
        <v>598</v>
      </c>
      <c r="C278" s="759" t="s">
        <v>599</v>
      </c>
      <c r="D278" s="229" t="s">
        <v>498</v>
      </c>
      <c r="E278" s="229" t="s">
        <v>596</v>
      </c>
      <c r="F278" s="229" t="s">
        <v>597</v>
      </c>
    </row>
    <row r="279" spans="1:6" ht="84" customHeight="1" x14ac:dyDescent="0.35">
      <c r="A279" s="52" t="s">
        <v>121</v>
      </c>
      <c r="B279" s="3" t="s">
        <v>600</v>
      </c>
      <c r="C279" s="764" t="s">
        <v>520</v>
      </c>
      <c r="D279" s="229" t="s">
        <v>506</v>
      </c>
      <c r="E279" s="229" t="s">
        <v>521</v>
      </c>
      <c r="F279" s="229" t="s">
        <v>521</v>
      </c>
    </row>
    <row r="280" spans="1:6" ht="24" customHeight="1" x14ac:dyDescent="0.35">
      <c r="A280" s="52" t="s">
        <v>124</v>
      </c>
      <c r="B280" s="3" t="s">
        <v>601</v>
      </c>
      <c r="C280" s="228"/>
      <c r="D280" s="229" t="s">
        <v>595</v>
      </c>
      <c r="E280" s="229" t="s">
        <v>507</v>
      </c>
      <c r="F280" s="229" t="s">
        <v>602</v>
      </c>
    </row>
    <row r="281" spans="1:6" ht="48" customHeight="1" x14ac:dyDescent="0.35">
      <c r="A281" s="52" t="s">
        <v>162</v>
      </c>
      <c r="B281" s="3" t="s">
        <v>603</v>
      </c>
      <c r="C281" s="228"/>
      <c r="D281" s="229" t="s">
        <v>595</v>
      </c>
      <c r="E281" s="229" t="s">
        <v>604</v>
      </c>
      <c r="F281" s="229" t="s">
        <v>605</v>
      </c>
    </row>
    <row r="282" spans="1:6" ht="24" customHeight="1" x14ac:dyDescent="0.35">
      <c r="A282" s="524" t="s">
        <v>202</v>
      </c>
      <c r="B282" s="523" t="s">
        <v>606</v>
      </c>
      <c r="C282" s="768" t="s">
        <v>607</v>
      </c>
      <c r="D282" s="229"/>
      <c r="E282" s="768"/>
      <c r="F282" s="768"/>
    </row>
    <row r="283" spans="1:6" ht="36" customHeight="1" x14ac:dyDescent="0.35">
      <c r="A283" s="524" t="s">
        <v>203</v>
      </c>
      <c r="B283" s="3" t="s">
        <v>608</v>
      </c>
      <c r="C283" s="228"/>
      <c r="D283" s="229" t="s">
        <v>609</v>
      </c>
      <c r="E283" s="229" t="s">
        <v>610</v>
      </c>
      <c r="F283" s="229" t="s">
        <v>611</v>
      </c>
    </row>
    <row r="284" spans="1:6" ht="36" customHeight="1" x14ac:dyDescent="0.35">
      <c r="A284" s="52" t="s">
        <v>225</v>
      </c>
      <c r="B284" s="3" t="s">
        <v>612</v>
      </c>
      <c r="C284" s="228"/>
      <c r="D284" s="229" t="s">
        <v>609</v>
      </c>
      <c r="E284" s="229" t="s">
        <v>613</v>
      </c>
      <c r="F284" s="229" t="s">
        <v>611</v>
      </c>
    </row>
    <row r="285" spans="1:6" ht="36" customHeight="1" x14ac:dyDescent="0.35">
      <c r="A285" s="52" t="s">
        <v>229</v>
      </c>
      <c r="B285" s="3" t="s">
        <v>614</v>
      </c>
      <c r="C285" s="228"/>
      <c r="D285" s="229" t="s">
        <v>609</v>
      </c>
      <c r="E285" s="229" t="s">
        <v>615</v>
      </c>
      <c r="F285" s="229" t="s">
        <v>611</v>
      </c>
    </row>
    <row r="286" spans="1:6" ht="29" customHeight="1" x14ac:dyDescent="0.35">
      <c r="A286" s="543" t="s">
        <v>233</v>
      </c>
      <c r="B286" s="234" t="s">
        <v>616</v>
      </c>
      <c r="C286" s="228"/>
      <c r="D286" s="229"/>
      <c r="E286" s="229"/>
      <c r="F286" s="229"/>
    </row>
    <row r="287" spans="1:6" x14ac:dyDescent="0.35">
      <c r="A287" s="543" t="s">
        <v>238</v>
      </c>
      <c r="B287" s="750" t="s">
        <v>617</v>
      </c>
      <c r="C287" s="228"/>
      <c r="D287" s="229"/>
      <c r="E287" s="229"/>
      <c r="F287" s="229"/>
    </row>
    <row r="288" spans="1:6" x14ac:dyDescent="0.35">
      <c r="A288" s="543" t="s">
        <v>317</v>
      </c>
      <c r="B288" s="234" t="s">
        <v>618</v>
      </c>
      <c r="C288" s="228"/>
      <c r="D288" s="229"/>
      <c r="E288" s="229"/>
      <c r="F288" s="229"/>
    </row>
    <row r="289" spans="1:6" x14ac:dyDescent="0.35">
      <c r="A289" s="543" t="s">
        <v>319</v>
      </c>
      <c r="B289" s="234" t="s">
        <v>619</v>
      </c>
      <c r="C289" s="228"/>
      <c r="D289" s="229"/>
      <c r="E289" s="229"/>
      <c r="F289" s="229"/>
    </row>
    <row r="290" spans="1:6" x14ac:dyDescent="0.35">
      <c r="A290" s="543" t="s">
        <v>317</v>
      </c>
      <c r="B290" s="597" t="s">
        <v>620</v>
      </c>
      <c r="C290" s="228"/>
      <c r="D290" s="229"/>
      <c r="E290" s="229"/>
      <c r="F290" s="229"/>
    </row>
    <row r="291" spans="1:6" x14ac:dyDescent="0.35">
      <c r="A291" s="543" t="s">
        <v>319</v>
      </c>
      <c r="B291" s="597" t="s">
        <v>621</v>
      </c>
      <c r="C291" s="228"/>
      <c r="D291" s="229"/>
      <c r="E291" s="229"/>
      <c r="F291" s="229"/>
    </row>
    <row r="292" spans="1:6" x14ac:dyDescent="0.35">
      <c r="A292" s="543" t="s">
        <v>322</v>
      </c>
      <c r="B292" s="597" t="s">
        <v>622</v>
      </c>
      <c r="C292" s="228"/>
      <c r="D292" s="229"/>
      <c r="E292" s="229"/>
      <c r="F292" s="229"/>
    </row>
    <row r="293" spans="1:6" x14ac:dyDescent="0.35">
      <c r="A293" s="2"/>
      <c r="B293" s="3"/>
      <c r="C293" s="228"/>
      <c r="D293" s="229"/>
      <c r="E293" s="229"/>
      <c r="F293" s="229"/>
    </row>
    <row r="294" spans="1:6" x14ac:dyDescent="0.35">
      <c r="A294" s="200" t="s">
        <v>623</v>
      </c>
      <c r="B294" s="591" t="s">
        <v>624</v>
      </c>
      <c r="C294" s="228"/>
      <c r="D294" s="229"/>
      <c r="E294" s="229"/>
      <c r="F294" s="229"/>
    </row>
    <row r="295" spans="1:6" ht="29" customHeight="1" x14ac:dyDescent="0.35">
      <c r="A295" s="52" t="s">
        <v>110</v>
      </c>
      <c r="B295" s="3" t="s">
        <v>494</v>
      </c>
      <c r="C295" s="228"/>
      <c r="D295" s="229" t="s">
        <v>56</v>
      </c>
      <c r="E295" s="229" t="s">
        <v>495</v>
      </c>
      <c r="F295" s="229"/>
    </row>
    <row r="296" spans="1:6" ht="132" customHeight="1" x14ac:dyDescent="0.35">
      <c r="A296" s="52" t="s">
        <v>115</v>
      </c>
      <c r="B296" s="3" t="s">
        <v>625</v>
      </c>
      <c r="C296" s="763" t="s">
        <v>594</v>
      </c>
      <c r="D296" s="229" t="s">
        <v>595</v>
      </c>
      <c r="E296" s="229" t="s">
        <v>596</v>
      </c>
      <c r="F296" s="229" t="s">
        <v>597</v>
      </c>
    </row>
    <row r="297" spans="1:6" ht="132" customHeight="1" x14ac:dyDescent="0.35">
      <c r="A297" s="52" t="s">
        <v>118</v>
      </c>
      <c r="B297" s="3" t="s">
        <v>626</v>
      </c>
      <c r="C297" s="759" t="s">
        <v>599</v>
      </c>
      <c r="D297" s="229" t="s">
        <v>498</v>
      </c>
      <c r="E297" s="229" t="s">
        <v>596</v>
      </c>
      <c r="F297" s="229" t="s">
        <v>597</v>
      </c>
    </row>
    <row r="298" spans="1:6" ht="84" customHeight="1" x14ac:dyDescent="0.35">
      <c r="A298" s="52" t="s">
        <v>121</v>
      </c>
      <c r="B298" s="3" t="s">
        <v>600</v>
      </c>
      <c r="C298" s="764" t="s">
        <v>520</v>
      </c>
      <c r="D298" s="229" t="s">
        <v>506</v>
      </c>
      <c r="E298" s="229" t="s">
        <v>521</v>
      </c>
      <c r="F298" s="229" t="s">
        <v>521</v>
      </c>
    </row>
    <row r="299" spans="1:6" ht="24" customHeight="1" x14ac:dyDescent="0.35">
      <c r="A299" s="52" t="s">
        <v>124</v>
      </c>
      <c r="B299" s="3" t="s">
        <v>627</v>
      </c>
      <c r="C299" s="228"/>
      <c r="D299" s="229" t="s">
        <v>595</v>
      </c>
      <c r="E299" s="229" t="s">
        <v>507</v>
      </c>
      <c r="F299" s="229" t="s">
        <v>602</v>
      </c>
    </row>
    <row r="300" spans="1:6" ht="24" customHeight="1" x14ac:dyDescent="0.35">
      <c r="A300" s="52" t="s">
        <v>162</v>
      </c>
      <c r="B300" s="523" t="s">
        <v>606</v>
      </c>
      <c r="C300" s="768" t="s">
        <v>607</v>
      </c>
      <c r="D300" s="229"/>
      <c r="E300" s="229"/>
      <c r="F300" s="229"/>
    </row>
    <row r="301" spans="1:6" ht="36" customHeight="1" x14ac:dyDescent="0.35">
      <c r="A301" s="524" t="s">
        <v>202</v>
      </c>
      <c r="B301" s="3" t="s">
        <v>628</v>
      </c>
      <c r="C301" s="228"/>
      <c r="D301" s="229" t="s">
        <v>609</v>
      </c>
      <c r="E301" s="229" t="s">
        <v>610</v>
      </c>
      <c r="F301" s="229" t="s">
        <v>611</v>
      </c>
    </row>
    <row r="302" spans="1:6" ht="36" customHeight="1" x14ac:dyDescent="0.35">
      <c r="A302" s="524" t="s">
        <v>203</v>
      </c>
      <c r="B302" s="3" t="s">
        <v>629</v>
      </c>
      <c r="C302" s="228"/>
      <c r="D302" s="229" t="s">
        <v>609</v>
      </c>
      <c r="E302" s="229" t="s">
        <v>613</v>
      </c>
      <c r="F302" s="229" t="s">
        <v>611</v>
      </c>
    </row>
    <row r="303" spans="1:6" ht="36" customHeight="1" x14ac:dyDescent="0.35">
      <c r="A303" s="52" t="s">
        <v>225</v>
      </c>
      <c r="B303" s="3" t="s">
        <v>630</v>
      </c>
      <c r="C303" s="228"/>
      <c r="D303" s="229" t="s">
        <v>609</v>
      </c>
      <c r="E303" s="229" t="s">
        <v>615</v>
      </c>
      <c r="F303" s="229" t="s">
        <v>611</v>
      </c>
    </row>
    <row r="304" spans="1:6" x14ac:dyDescent="0.35">
      <c r="A304" s="52" t="s">
        <v>229</v>
      </c>
      <c r="B304" s="750" t="s">
        <v>631</v>
      </c>
      <c r="C304" s="228"/>
      <c r="D304" s="229"/>
      <c r="E304" s="229"/>
      <c r="F304" s="229"/>
    </row>
    <row r="305" spans="1:6" x14ac:dyDescent="0.35">
      <c r="A305" s="543" t="s">
        <v>233</v>
      </c>
      <c r="B305" s="750" t="s">
        <v>632</v>
      </c>
      <c r="C305" s="228"/>
      <c r="D305" s="229"/>
      <c r="E305" s="229"/>
      <c r="F305" s="229"/>
    </row>
    <row r="306" spans="1:6" x14ac:dyDescent="0.35">
      <c r="A306" s="543" t="s">
        <v>238</v>
      </c>
      <c r="B306" s="750" t="s">
        <v>633</v>
      </c>
      <c r="C306" s="228"/>
      <c r="D306" s="229"/>
      <c r="E306" s="229"/>
      <c r="F306" s="229"/>
    </row>
    <row r="307" spans="1:6" x14ac:dyDescent="0.35">
      <c r="A307" s="543" t="s">
        <v>317</v>
      </c>
      <c r="B307" s="750" t="s">
        <v>634</v>
      </c>
      <c r="C307" s="228"/>
      <c r="D307" s="229"/>
      <c r="E307" s="229"/>
      <c r="F307" s="229"/>
    </row>
    <row r="308" spans="1:6" x14ac:dyDescent="0.35">
      <c r="A308" s="543" t="s">
        <v>319</v>
      </c>
      <c r="B308" s="597" t="s">
        <v>620</v>
      </c>
      <c r="C308" s="228"/>
      <c r="D308" s="229"/>
      <c r="E308" s="229"/>
      <c r="F308" s="229"/>
    </row>
    <row r="309" spans="1:6" x14ac:dyDescent="0.35">
      <c r="A309" s="543" t="s">
        <v>322</v>
      </c>
      <c r="B309" s="597" t="s">
        <v>621</v>
      </c>
      <c r="C309" s="228"/>
      <c r="D309" s="229"/>
      <c r="E309" s="229"/>
      <c r="F309" s="229"/>
    </row>
    <row r="310" spans="1:6" x14ac:dyDescent="0.35">
      <c r="A310" s="543" t="s">
        <v>327</v>
      </c>
      <c r="B310" s="597" t="s">
        <v>622</v>
      </c>
      <c r="C310" s="228"/>
      <c r="D310" s="229"/>
      <c r="E310" s="229"/>
      <c r="F310" s="229"/>
    </row>
    <row r="311" spans="1:6" x14ac:dyDescent="0.35">
      <c r="A311" s="2"/>
      <c r="B311" s="3"/>
      <c r="C311" s="228"/>
      <c r="D311" s="229"/>
      <c r="E311" s="229"/>
      <c r="F311" s="229"/>
    </row>
    <row r="312" spans="1:6" x14ac:dyDescent="0.35">
      <c r="A312" s="200" t="s">
        <v>635</v>
      </c>
      <c r="B312" s="750" t="s">
        <v>636</v>
      </c>
      <c r="C312" s="228"/>
      <c r="D312" s="229"/>
      <c r="E312" s="229"/>
      <c r="F312" s="229"/>
    </row>
    <row r="313" spans="1:6" ht="29" customHeight="1" x14ac:dyDescent="0.35">
      <c r="A313" s="52" t="s">
        <v>110</v>
      </c>
      <c r="B313" s="3" t="s">
        <v>494</v>
      </c>
      <c r="C313" s="228"/>
      <c r="D313" s="229" t="s">
        <v>56</v>
      </c>
      <c r="E313" s="229" t="s">
        <v>495</v>
      </c>
      <c r="F313" s="229"/>
    </row>
    <row r="314" spans="1:6" ht="132" customHeight="1" x14ac:dyDescent="0.35">
      <c r="A314" s="52" t="s">
        <v>115</v>
      </c>
      <c r="B314" s="3" t="s">
        <v>637</v>
      </c>
      <c r="C314" s="763" t="s">
        <v>594</v>
      </c>
      <c r="D314" s="229" t="s">
        <v>595</v>
      </c>
      <c r="E314" s="229" t="s">
        <v>596</v>
      </c>
      <c r="F314" s="229" t="s">
        <v>597</v>
      </c>
    </row>
    <row r="315" spans="1:6" ht="132" customHeight="1" x14ac:dyDescent="0.35">
      <c r="A315" s="52" t="s">
        <v>118</v>
      </c>
      <c r="B315" s="3" t="s">
        <v>638</v>
      </c>
      <c r="C315" s="759" t="s">
        <v>599</v>
      </c>
      <c r="D315" s="229" t="s">
        <v>498</v>
      </c>
      <c r="E315" s="229" t="s">
        <v>596</v>
      </c>
      <c r="F315" s="229" t="s">
        <v>597</v>
      </c>
    </row>
    <row r="316" spans="1:6" ht="84" customHeight="1" x14ac:dyDescent="0.35">
      <c r="A316" s="52" t="s">
        <v>121</v>
      </c>
      <c r="B316" s="3" t="s">
        <v>600</v>
      </c>
      <c r="C316" s="764" t="s">
        <v>520</v>
      </c>
      <c r="D316" s="229" t="s">
        <v>506</v>
      </c>
      <c r="E316" s="229" t="s">
        <v>521</v>
      </c>
      <c r="F316" s="229" t="s">
        <v>521</v>
      </c>
    </row>
    <row r="317" spans="1:6" ht="24" customHeight="1" x14ac:dyDescent="0.35">
      <c r="A317" s="52" t="s">
        <v>124</v>
      </c>
      <c r="B317" s="3" t="s">
        <v>639</v>
      </c>
      <c r="C317" s="228"/>
      <c r="D317" s="229" t="s">
        <v>595</v>
      </c>
      <c r="E317" s="229" t="s">
        <v>507</v>
      </c>
      <c r="F317" s="229" t="s">
        <v>602</v>
      </c>
    </row>
    <row r="318" spans="1:6" ht="48" customHeight="1" x14ac:dyDescent="0.35">
      <c r="A318" s="52" t="s">
        <v>162</v>
      </c>
      <c r="B318" s="3" t="s">
        <v>640</v>
      </c>
      <c r="C318" s="228"/>
      <c r="D318" s="229" t="s">
        <v>595</v>
      </c>
      <c r="E318" s="229" t="s">
        <v>604</v>
      </c>
      <c r="F318" s="229" t="s">
        <v>605</v>
      </c>
    </row>
    <row r="319" spans="1:6" ht="24" customHeight="1" x14ac:dyDescent="0.35">
      <c r="A319" s="524" t="s">
        <v>202</v>
      </c>
      <c r="B319" s="523" t="s">
        <v>606</v>
      </c>
      <c r="C319" s="768" t="s">
        <v>607</v>
      </c>
      <c r="D319" s="229"/>
      <c r="E319" s="229"/>
      <c r="F319" s="229"/>
    </row>
    <row r="320" spans="1:6" ht="36" customHeight="1" x14ac:dyDescent="0.35">
      <c r="A320" s="524" t="s">
        <v>203</v>
      </c>
      <c r="B320" s="3" t="s">
        <v>641</v>
      </c>
      <c r="C320" s="228"/>
      <c r="D320" s="229" t="s">
        <v>609</v>
      </c>
      <c r="E320" s="229" t="s">
        <v>610</v>
      </c>
      <c r="F320" s="229" t="s">
        <v>611</v>
      </c>
    </row>
    <row r="321" spans="1:6" ht="36" customHeight="1" x14ac:dyDescent="0.35">
      <c r="A321" s="52" t="s">
        <v>225</v>
      </c>
      <c r="B321" s="3" t="s">
        <v>642</v>
      </c>
      <c r="C321" s="228"/>
      <c r="D321" s="229" t="s">
        <v>609</v>
      </c>
      <c r="E321" s="229" t="s">
        <v>613</v>
      </c>
      <c r="F321" s="229" t="s">
        <v>611</v>
      </c>
    </row>
    <row r="322" spans="1:6" ht="36" customHeight="1" x14ac:dyDescent="0.35">
      <c r="A322" s="52" t="s">
        <v>229</v>
      </c>
      <c r="B322" s="3" t="s">
        <v>643</v>
      </c>
      <c r="C322" s="228"/>
      <c r="D322" s="229" t="s">
        <v>609</v>
      </c>
      <c r="E322" s="229" t="s">
        <v>644</v>
      </c>
      <c r="F322" s="229"/>
    </row>
    <row r="323" spans="1:6" ht="36" customHeight="1" x14ac:dyDescent="0.35">
      <c r="A323" s="543" t="s">
        <v>233</v>
      </c>
      <c r="B323" s="3" t="s">
        <v>645</v>
      </c>
      <c r="C323" s="228"/>
      <c r="D323" s="229" t="s">
        <v>609</v>
      </c>
      <c r="E323" s="229" t="s">
        <v>615</v>
      </c>
      <c r="F323" s="229" t="s">
        <v>611</v>
      </c>
    </row>
    <row r="324" spans="1:6" ht="29" customHeight="1" x14ac:dyDescent="0.35">
      <c r="A324" s="543" t="s">
        <v>238</v>
      </c>
      <c r="B324" s="234" t="s">
        <v>646</v>
      </c>
      <c r="C324" s="228"/>
      <c r="D324" s="229"/>
      <c r="E324" s="229"/>
      <c r="F324" s="229"/>
    </row>
    <row r="325" spans="1:6" x14ac:dyDescent="0.35">
      <c r="A325" s="543" t="s">
        <v>317</v>
      </c>
      <c r="B325" s="234" t="s">
        <v>647</v>
      </c>
      <c r="C325" s="228"/>
      <c r="D325" s="229"/>
      <c r="E325" s="229"/>
      <c r="F325" s="229"/>
    </row>
    <row r="326" spans="1:6" ht="29" customHeight="1" x14ac:dyDescent="0.35">
      <c r="A326" s="543" t="s">
        <v>319</v>
      </c>
      <c r="B326" s="234" t="s">
        <v>648</v>
      </c>
      <c r="C326" s="228"/>
      <c r="D326" s="229"/>
      <c r="E326" s="229"/>
      <c r="F326" s="229"/>
    </row>
    <row r="327" spans="1:6" x14ac:dyDescent="0.35">
      <c r="A327" s="543" t="s">
        <v>322</v>
      </c>
      <c r="B327" s="234" t="s">
        <v>649</v>
      </c>
      <c r="C327" s="228"/>
      <c r="D327" s="229"/>
      <c r="E327" s="229"/>
      <c r="F327" s="229"/>
    </row>
    <row r="328" spans="1:6" x14ac:dyDescent="0.35">
      <c r="A328" s="543" t="s">
        <v>327</v>
      </c>
      <c r="B328" s="234" t="s">
        <v>650</v>
      </c>
      <c r="C328" s="228"/>
      <c r="D328" s="229"/>
      <c r="E328" s="229"/>
      <c r="F328" s="229"/>
    </row>
    <row r="329" spans="1:6" x14ac:dyDescent="0.35">
      <c r="A329" s="543" t="s">
        <v>332</v>
      </c>
      <c r="B329" s="597" t="s">
        <v>620</v>
      </c>
      <c r="C329" s="228"/>
      <c r="D329" s="229"/>
      <c r="E329" s="229"/>
      <c r="F329" s="229"/>
    </row>
    <row r="330" spans="1:6" x14ac:dyDescent="0.35">
      <c r="A330" s="543" t="s">
        <v>337</v>
      </c>
      <c r="B330" s="597" t="s">
        <v>621</v>
      </c>
      <c r="C330" s="228"/>
      <c r="D330" s="229"/>
      <c r="E330" s="229"/>
      <c r="F330" s="229"/>
    </row>
    <row r="331" spans="1:6" x14ac:dyDescent="0.35">
      <c r="A331" s="543" t="s">
        <v>340</v>
      </c>
      <c r="B331" s="597" t="s">
        <v>622</v>
      </c>
      <c r="C331" s="228"/>
      <c r="D331" s="229"/>
      <c r="E331" s="229"/>
      <c r="F331" s="229"/>
    </row>
    <row r="332" spans="1:6" x14ac:dyDescent="0.35">
      <c r="A332" s="2"/>
      <c r="B332" s="3"/>
      <c r="C332" s="228"/>
      <c r="D332" s="229"/>
      <c r="E332" s="229"/>
      <c r="F332" s="229"/>
    </row>
    <row r="333" spans="1:6" x14ac:dyDescent="0.35">
      <c r="A333" s="200" t="s">
        <v>651</v>
      </c>
      <c r="B333" s="234" t="s">
        <v>652</v>
      </c>
      <c r="C333" s="228"/>
      <c r="D333" s="229"/>
      <c r="E333" s="229"/>
      <c r="F333" s="229"/>
    </row>
    <row r="334" spans="1:6" ht="29" customHeight="1" x14ac:dyDescent="0.35">
      <c r="A334" s="52" t="s">
        <v>110</v>
      </c>
      <c r="B334" s="3" t="s">
        <v>494</v>
      </c>
      <c r="C334" s="228"/>
      <c r="D334" s="229" t="s">
        <v>56</v>
      </c>
      <c r="E334" s="229" t="s">
        <v>495</v>
      </c>
      <c r="F334" s="229"/>
    </row>
    <row r="335" spans="1:6" ht="132" customHeight="1" x14ac:dyDescent="0.35">
      <c r="A335" s="52" t="s">
        <v>115</v>
      </c>
      <c r="B335" s="3" t="s">
        <v>653</v>
      </c>
      <c r="C335" s="763" t="s">
        <v>594</v>
      </c>
      <c r="D335" s="229" t="s">
        <v>595</v>
      </c>
      <c r="E335" s="229" t="s">
        <v>596</v>
      </c>
      <c r="F335" s="229" t="s">
        <v>597</v>
      </c>
    </row>
    <row r="336" spans="1:6" ht="132" customHeight="1" x14ac:dyDescent="0.35">
      <c r="A336" s="52" t="s">
        <v>118</v>
      </c>
      <c r="B336" s="3" t="s">
        <v>654</v>
      </c>
      <c r="C336" s="759" t="s">
        <v>599</v>
      </c>
      <c r="D336" s="229" t="s">
        <v>498</v>
      </c>
      <c r="E336" s="229" t="s">
        <v>596</v>
      </c>
      <c r="F336" s="229" t="s">
        <v>597</v>
      </c>
    </row>
    <row r="337" spans="1:6" ht="84" customHeight="1" x14ac:dyDescent="0.35">
      <c r="A337" s="52" t="s">
        <v>121</v>
      </c>
      <c r="B337" s="3" t="s">
        <v>600</v>
      </c>
      <c r="C337" s="764" t="s">
        <v>520</v>
      </c>
      <c r="D337" s="229" t="s">
        <v>506</v>
      </c>
      <c r="E337" s="229" t="s">
        <v>521</v>
      </c>
      <c r="F337" s="229" t="s">
        <v>521</v>
      </c>
    </row>
    <row r="338" spans="1:6" ht="24" customHeight="1" x14ac:dyDescent="0.35">
      <c r="A338" s="52" t="s">
        <v>124</v>
      </c>
      <c r="B338" s="3" t="s">
        <v>655</v>
      </c>
      <c r="C338" s="228"/>
      <c r="D338" s="229" t="s">
        <v>595</v>
      </c>
      <c r="E338" s="229" t="s">
        <v>507</v>
      </c>
      <c r="F338" s="229" t="s">
        <v>602</v>
      </c>
    </row>
    <row r="339" spans="1:6" ht="48" customHeight="1" x14ac:dyDescent="0.35">
      <c r="A339" s="52" t="s">
        <v>162</v>
      </c>
      <c r="B339" s="3" t="s">
        <v>656</v>
      </c>
      <c r="C339" s="228"/>
      <c r="D339" s="229" t="s">
        <v>595</v>
      </c>
      <c r="E339" s="229" t="s">
        <v>604</v>
      </c>
      <c r="F339" s="229" t="s">
        <v>605</v>
      </c>
    </row>
    <row r="340" spans="1:6" ht="72" customHeight="1" x14ac:dyDescent="0.35">
      <c r="A340" s="52" t="s">
        <v>202</v>
      </c>
      <c r="B340" s="3" t="s">
        <v>657</v>
      </c>
      <c r="C340" s="764" t="s">
        <v>516</v>
      </c>
      <c r="D340" s="229" t="s">
        <v>506</v>
      </c>
      <c r="E340" s="229" t="s">
        <v>658</v>
      </c>
      <c r="F340" s="229" t="s">
        <v>514</v>
      </c>
    </row>
    <row r="341" spans="1:6" ht="84" customHeight="1" x14ac:dyDescent="0.35">
      <c r="A341" s="52" t="s">
        <v>203</v>
      </c>
      <c r="B341" s="3" t="s">
        <v>659</v>
      </c>
      <c r="C341" s="764" t="s">
        <v>520</v>
      </c>
      <c r="D341" s="229" t="s">
        <v>506</v>
      </c>
      <c r="E341" s="229" t="s">
        <v>521</v>
      </c>
      <c r="F341" s="229" t="s">
        <v>521</v>
      </c>
    </row>
    <row r="342" spans="1:6" ht="48" customHeight="1" x14ac:dyDescent="0.35">
      <c r="A342" s="524" t="s">
        <v>225</v>
      </c>
      <c r="B342" s="523" t="s">
        <v>660</v>
      </c>
      <c r="C342" s="768" t="s">
        <v>661</v>
      </c>
      <c r="D342" s="229"/>
      <c r="E342" s="229"/>
      <c r="F342" s="229"/>
    </row>
    <row r="343" spans="1:6" ht="48" customHeight="1" x14ac:dyDescent="0.35">
      <c r="A343" s="524" t="s">
        <v>229</v>
      </c>
      <c r="B343" s="523" t="s">
        <v>662</v>
      </c>
      <c r="C343" s="768" t="s">
        <v>661</v>
      </c>
      <c r="D343" s="229"/>
      <c r="E343" s="229"/>
      <c r="F343" s="229"/>
    </row>
    <row r="344" spans="1:6" ht="36" customHeight="1" x14ac:dyDescent="0.35">
      <c r="A344" s="52" t="s">
        <v>233</v>
      </c>
      <c r="B344" s="3" t="s">
        <v>663</v>
      </c>
      <c r="C344" s="228"/>
      <c r="D344" s="229" t="s">
        <v>609</v>
      </c>
      <c r="E344" s="229" t="s">
        <v>610</v>
      </c>
      <c r="F344" s="229" t="s">
        <v>611</v>
      </c>
    </row>
    <row r="345" spans="1:6" ht="36" customHeight="1" x14ac:dyDescent="0.35">
      <c r="A345" s="52" t="s">
        <v>238</v>
      </c>
      <c r="B345" s="3" t="s">
        <v>664</v>
      </c>
      <c r="C345" s="228"/>
      <c r="D345" s="229" t="s">
        <v>609</v>
      </c>
      <c r="E345" s="229" t="s">
        <v>613</v>
      </c>
      <c r="F345" s="229" t="s">
        <v>611</v>
      </c>
    </row>
    <row r="346" spans="1:6" ht="36" customHeight="1" x14ac:dyDescent="0.35">
      <c r="A346" s="52" t="s">
        <v>317</v>
      </c>
      <c r="B346" s="3" t="s">
        <v>665</v>
      </c>
      <c r="C346" s="228"/>
      <c r="D346" s="229" t="s">
        <v>609</v>
      </c>
      <c r="E346" s="229" t="s">
        <v>615</v>
      </c>
      <c r="F346" s="229" t="s">
        <v>611</v>
      </c>
    </row>
    <row r="347" spans="1:6" ht="29" customHeight="1" x14ac:dyDescent="0.35">
      <c r="A347" s="543" t="s">
        <v>319</v>
      </c>
      <c r="B347" s="234" t="s">
        <v>666</v>
      </c>
      <c r="C347" s="228"/>
      <c r="D347" s="229"/>
      <c r="E347" s="229"/>
      <c r="F347" s="229"/>
    </row>
    <row r="348" spans="1:6" x14ac:dyDescent="0.35">
      <c r="A348" s="543" t="s">
        <v>322</v>
      </c>
      <c r="B348" s="750" t="s">
        <v>667</v>
      </c>
      <c r="C348" s="228"/>
      <c r="D348" s="229"/>
      <c r="E348" s="229"/>
      <c r="F348" s="229"/>
    </row>
    <row r="349" spans="1:6" x14ac:dyDescent="0.35">
      <c r="A349" s="543" t="s">
        <v>327</v>
      </c>
      <c r="B349" s="234" t="s">
        <v>668</v>
      </c>
      <c r="C349" s="228"/>
      <c r="D349" s="229"/>
      <c r="E349" s="229"/>
      <c r="F349" s="229"/>
    </row>
    <row r="350" spans="1:6" x14ac:dyDescent="0.35">
      <c r="A350" s="543" t="s">
        <v>332</v>
      </c>
      <c r="B350" s="234" t="s">
        <v>669</v>
      </c>
      <c r="C350" s="228"/>
      <c r="D350" s="229"/>
      <c r="E350" s="229"/>
      <c r="F350" s="229"/>
    </row>
    <row r="351" spans="1:6" x14ac:dyDescent="0.35">
      <c r="A351" s="543" t="s">
        <v>337</v>
      </c>
      <c r="B351" s="597" t="s">
        <v>670</v>
      </c>
      <c r="C351" s="228"/>
      <c r="D351" s="229"/>
      <c r="E351" s="229"/>
      <c r="F351" s="229"/>
    </row>
    <row r="352" spans="1:6" x14ac:dyDescent="0.35">
      <c r="A352" s="543" t="s">
        <v>340</v>
      </c>
      <c r="B352" s="597" t="s">
        <v>671</v>
      </c>
      <c r="C352" s="228"/>
      <c r="D352" s="229"/>
      <c r="E352" s="229"/>
      <c r="F352" s="229"/>
    </row>
    <row r="353" spans="1:6" x14ac:dyDescent="0.35">
      <c r="A353" s="543" t="s">
        <v>344</v>
      </c>
      <c r="B353" s="597" t="s">
        <v>672</v>
      </c>
      <c r="C353" s="228"/>
      <c r="D353" s="229"/>
      <c r="E353" s="229"/>
      <c r="F353" s="229"/>
    </row>
    <row r="354" spans="1:6" x14ac:dyDescent="0.35">
      <c r="A354" s="412" t="s">
        <v>348</v>
      </c>
      <c r="B354" s="597" t="s">
        <v>673</v>
      </c>
      <c r="C354" s="228"/>
      <c r="D354" s="229"/>
      <c r="E354" s="229"/>
      <c r="F354" s="229"/>
    </row>
    <row r="355" spans="1:6" x14ac:dyDescent="0.35">
      <c r="A355" s="543" t="s">
        <v>350</v>
      </c>
      <c r="B355" s="597" t="s">
        <v>674</v>
      </c>
      <c r="C355" s="228"/>
      <c r="D355" s="229"/>
      <c r="E355" s="229"/>
      <c r="F355" s="229"/>
    </row>
    <row r="356" spans="1:6" x14ac:dyDescent="0.35">
      <c r="A356" s="412" t="s">
        <v>350</v>
      </c>
      <c r="B356" s="597" t="s">
        <v>675</v>
      </c>
      <c r="C356" s="228"/>
      <c r="D356" s="229"/>
      <c r="E356" s="229"/>
      <c r="F356" s="229"/>
    </row>
    <row r="357" spans="1:6" x14ac:dyDescent="0.35">
      <c r="A357" s="2"/>
      <c r="B357" s="3"/>
      <c r="C357" s="228"/>
      <c r="D357" s="229"/>
      <c r="E357" s="229"/>
      <c r="F357" s="229"/>
    </row>
    <row r="358" spans="1:6" ht="29" customHeight="1" x14ac:dyDescent="0.35">
      <c r="A358" s="200" t="s">
        <v>676</v>
      </c>
      <c r="B358" s="234" t="s">
        <v>677</v>
      </c>
      <c r="C358" s="228"/>
      <c r="D358" s="229"/>
      <c r="E358" s="229"/>
      <c r="F358" s="229"/>
    </row>
    <row r="359" spans="1:6" ht="29" customHeight="1" x14ac:dyDescent="0.35">
      <c r="A359" s="200" t="s">
        <v>678</v>
      </c>
      <c r="B359" s="234" t="s">
        <v>679</v>
      </c>
      <c r="C359" s="228"/>
      <c r="D359" s="229"/>
      <c r="E359" s="229"/>
      <c r="F359" s="229"/>
    </row>
    <row r="360" spans="1:6" ht="29" customHeight="1" x14ac:dyDescent="0.35">
      <c r="A360" s="200" t="s">
        <v>680</v>
      </c>
      <c r="B360" s="234" t="s">
        <v>681</v>
      </c>
      <c r="C360" s="228"/>
      <c r="D360" s="229"/>
      <c r="E360" s="229"/>
      <c r="F360" s="229"/>
    </row>
    <row r="361" spans="1:6" ht="29" customHeight="1" x14ac:dyDescent="0.35">
      <c r="A361" s="200" t="s">
        <v>682</v>
      </c>
      <c r="B361" s="618" t="s">
        <v>683</v>
      </c>
      <c r="C361" s="228"/>
      <c r="D361" s="229"/>
      <c r="E361" s="229"/>
      <c r="F361" s="229"/>
    </row>
    <row r="362" spans="1:6" x14ac:dyDescent="0.35">
      <c r="A362" s="200" t="s">
        <v>684</v>
      </c>
      <c r="B362" s="618" t="s">
        <v>685</v>
      </c>
      <c r="C362" s="228"/>
      <c r="D362" s="229"/>
      <c r="E362" s="229"/>
      <c r="F362" s="229"/>
    </row>
    <row r="363" spans="1:6" x14ac:dyDescent="0.35">
      <c r="A363" s="200" t="s">
        <v>686</v>
      </c>
      <c r="B363" s="618" t="s">
        <v>687</v>
      </c>
      <c r="C363" s="228"/>
      <c r="D363" s="229"/>
      <c r="E363" s="229"/>
      <c r="F363" s="229"/>
    </row>
    <row r="364" spans="1:6" ht="29" customHeight="1" x14ac:dyDescent="0.35">
      <c r="A364" s="200" t="s">
        <v>688</v>
      </c>
      <c r="B364" s="618" t="s">
        <v>689</v>
      </c>
      <c r="C364" s="228"/>
      <c r="D364" s="229"/>
      <c r="E364" s="229"/>
      <c r="F364" s="229"/>
    </row>
    <row r="365" spans="1:6" ht="29" customHeight="1" x14ac:dyDescent="0.35">
      <c r="A365" s="200" t="s">
        <v>690</v>
      </c>
      <c r="B365" s="618" t="s">
        <v>691</v>
      </c>
      <c r="C365" s="228"/>
      <c r="D365" s="229"/>
      <c r="E365" s="229"/>
      <c r="F365" s="229"/>
    </row>
    <row r="366" spans="1:6" ht="29" customHeight="1" x14ac:dyDescent="0.35">
      <c r="A366" s="200" t="s">
        <v>692</v>
      </c>
      <c r="B366" s="618" t="s">
        <v>693</v>
      </c>
      <c r="C366" s="228"/>
      <c r="D366" s="229"/>
      <c r="E366" s="229"/>
      <c r="F366" s="229"/>
    </row>
    <row r="367" spans="1:6" ht="29" customHeight="1" x14ac:dyDescent="0.35">
      <c r="A367" s="200" t="s">
        <v>694</v>
      </c>
      <c r="B367" s="618" t="s">
        <v>695</v>
      </c>
      <c r="C367" s="228"/>
      <c r="D367" s="229"/>
      <c r="E367" s="229"/>
      <c r="F367" s="229"/>
    </row>
    <row r="368" spans="1:6" x14ac:dyDescent="0.35">
      <c r="A368" s="200"/>
      <c r="B368" s="618"/>
      <c r="C368" s="228"/>
      <c r="D368" s="229"/>
      <c r="E368" s="229"/>
      <c r="F368" s="229"/>
    </row>
    <row r="369" spans="1:6" x14ac:dyDescent="0.35">
      <c r="A369" s="200" t="s">
        <v>696</v>
      </c>
      <c r="B369" s="234" t="s">
        <v>697</v>
      </c>
      <c r="C369" s="228"/>
      <c r="D369" s="229"/>
      <c r="E369" s="229"/>
      <c r="F369" s="229"/>
    </row>
    <row r="370" spans="1:6" x14ac:dyDescent="0.35">
      <c r="A370" s="200" t="s">
        <v>698</v>
      </c>
      <c r="B370" s="234" t="s">
        <v>699</v>
      </c>
      <c r="C370" s="228"/>
      <c r="D370" s="229"/>
      <c r="E370" s="229"/>
      <c r="F370" s="229"/>
    </row>
    <row r="371" spans="1:6" ht="29" customHeight="1" x14ac:dyDescent="0.35">
      <c r="A371" s="52" t="s">
        <v>110</v>
      </c>
      <c r="B371" s="3" t="s">
        <v>494</v>
      </c>
      <c r="C371" s="228"/>
      <c r="D371" s="229" t="s">
        <v>56</v>
      </c>
      <c r="E371" s="229" t="s">
        <v>495</v>
      </c>
      <c r="F371" s="229"/>
    </row>
    <row r="372" spans="1:6" ht="36" customHeight="1" x14ac:dyDescent="0.35">
      <c r="A372" s="52" t="s">
        <v>115</v>
      </c>
      <c r="B372" s="3" t="s">
        <v>700</v>
      </c>
      <c r="C372" s="228"/>
      <c r="D372" s="229" t="s">
        <v>595</v>
      </c>
      <c r="E372" s="229" t="s">
        <v>701</v>
      </c>
      <c r="F372" s="229"/>
    </row>
    <row r="373" spans="1:6" ht="36" customHeight="1" x14ac:dyDescent="0.35">
      <c r="A373" s="52" t="s">
        <v>118</v>
      </c>
      <c r="B373" s="3" t="s">
        <v>702</v>
      </c>
      <c r="C373" s="768" t="s">
        <v>703</v>
      </c>
      <c r="D373" s="769"/>
      <c r="E373" s="757" t="s">
        <v>595</v>
      </c>
      <c r="F373" s="757" t="s">
        <v>704</v>
      </c>
    </row>
    <row r="374" spans="1:6" ht="36" customHeight="1" x14ac:dyDescent="0.35">
      <c r="A374" s="52" t="s">
        <v>121</v>
      </c>
      <c r="B374" s="3" t="s">
        <v>705</v>
      </c>
      <c r="C374" s="770" t="s">
        <v>706</v>
      </c>
      <c r="D374" s="769"/>
      <c r="E374" s="757" t="s">
        <v>595</v>
      </c>
      <c r="F374" s="757" t="s">
        <v>704</v>
      </c>
    </row>
    <row r="375" spans="1:6" ht="36" customHeight="1" x14ac:dyDescent="0.35">
      <c r="A375" s="52" t="s">
        <v>124</v>
      </c>
      <c r="B375" s="523" t="s">
        <v>707</v>
      </c>
      <c r="C375" s="770" t="s">
        <v>708</v>
      </c>
      <c r="D375" s="229"/>
      <c r="E375" s="229"/>
      <c r="F375" s="229"/>
    </row>
    <row r="376" spans="1:6" ht="24" customHeight="1" x14ac:dyDescent="0.35">
      <c r="A376" s="52" t="s">
        <v>162</v>
      </c>
      <c r="B376" s="3" t="s">
        <v>709</v>
      </c>
      <c r="C376" s="228"/>
      <c r="D376" s="229" t="s">
        <v>710</v>
      </c>
      <c r="E376" s="229" t="s">
        <v>507</v>
      </c>
      <c r="F376" s="229" t="s">
        <v>711</v>
      </c>
    </row>
    <row r="377" spans="1:6" ht="36" customHeight="1" x14ac:dyDescent="0.35">
      <c r="A377" s="52" t="s">
        <v>202</v>
      </c>
      <c r="B377" s="3" t="s">
        <v>712</v>
      </c>
      <c r="C377" s="228"/>
      <c r="D377" s="229" t="s">
        <v>713</v>
      </c>
      <c r="E377" s="229" t="s">
        <v>714</v>
      </c>
      <c r="F377" s="229" t="s">
        <v>711</v>
      </c>
    </row>
    <row r="378" spans="1:6" ht="36" customHeight="1" x14ac:dyDescent="0.35">
      <c r="A378" s="52" t="s">
        <v>203</v>
      </c>
      <c r="B378" s="3" t="s">
        <v>715</v>
      </c>
      <c r="C378" s="228"/>
      <c r="D378" s="229" t="s">
        <v>609</v>
      </c>
      <c r="E378" s="229" t="s">
        <v>644</v>
      </c>
      <c r="F378" s="229" t="s">
        <v>711</v>
      </c>
    </row>
    <row r="379" spans="1:6" ht="36" customHeight="1" x14ac:dyDescent="0.35">
      <c r="A379" s="524" t="s">
        <v>225</v>
      </c>
      <c r="B379" s="3" t="s">
        <v>716</v>
      </c>
      <c r="C379" s="228"/>
      <c r="D379" s="229" t="s">
        <v>609</v>
      </c>
      <c r="E379" s="229" t="s">
        <v>615</v>
      </c>
      <c r="F379" s="229" t="s">
        <v>711</v>
      </c>
    </row>
    <row r="380" spans="1:6" x14ac:dyDescent="0.35">
      <c r="A380" s="524" t="s">
        <v>229</v>
      </c>
      <c r="B380" s="750" t="s">
        <v>717</v>
      </c>
      <c r="C380" s="228"/>
      <c r="D380" s="229"/>
      <c r="E380" s="229"/>
      <c r="F380" s="229"/>
    </row>
    <row r="381" spans="1:6" x14ac:dyDescent="0.35">
      <c r="A381" s="52" t="s">
        <v>233</v>
      </c>
      <c r="B381" s="234" t="s">
        <v>718</v>
      </c>
      <c r="C381" s="228"/>
      <c r="D381" s="229"/>
      <c r="E381" s="229"/>
      <c r="F381" s="229"/>
    </row>
    <row r="382" spans="1:6" ht="29" customHeight="1" x14ac:dyDescent="0.35">
      <c r="A382" s="52" t="s">
        <v>238</v>
      </c>
      <c r="B382" s="234" t="s">
        <v>719</v>
      </c>
      <c r="C382" s="228"/>
      <c r="D382" s="229"/>
      <c r="E382" s="229"/>
      <c r="F382" s="229"/>
    </row>
    <row r="383" spans="1:6" x14ac:dyDescent="0.35">
      <c r="A383" s="52" t="s">
        <v>317</v>
      </c>
      <c r="B383" s="234" t="s">
        <v>720</v>
      </c>
      <c r="C383" s="228"/>
      <c r="D383" s="229"/>
      <c r="E383" s="229"/>
      <c r="F383" s="229"/>
    </row>
    <row r="384" spans="1:6" x14ac:dyDescent="0.35">
      <c r="A384" s="543" t="s">
        <v>319</v>
      </c>
      <c r="B384" s="771" t="s">
        <v>721</v>
      </c>
      <c r="C384" s="228"/>
      <c r="D384" s="229"/>
      <c r="E384" s="229"/>
      <c r="F384" s="229"/>
    </row>
    <row r="385" spans="1:6" x14ac:dyDescent="0.35">
      <c r="A385" s="543" t="s">
        <v>322</v>
      </c>
      <c r="B385" s="771" t="s">
        <v>722</v>
      </c>
      <c r="C385" s="228"/>
      <c r="D385" s="229"/>
      <c r="E385" s="229"/>
      <c r="F385" s="229"/>
    </row>
    <row r="386" spans="1:6" x14ac:dyDescent="0.35">
      <c r="A386" s="543" t="s">
        <v>327</v>
      </c>
      <c r="B386" s="771" t="s">
        <v>723</v>
      </c>
      <c r="C386" s="228"/>
      <c r="D386" s="229"/>
      <c r="E386" s="229"/>
      <c r="F386" s="229"/>
    </row>
    <row r="387" spans="1:6" x14ac:dyDescent="0.35">
      <c r="A387" s="200" t="s">
        <v>724</v>
      </c>
      <c r="B387" s="234" t="s">
        <v>725</v>
      </c>
      <c r="C387" s="228"/>
      <c r="D387" s="229"/>
      <c r="E387" s="229"/>
      <c r="F387" s="229"/>
    </row>
    <row r="388" spans="1:6" ht="29" customHeight="1" x14ac:dyDescent="0.35">
      <c r="A388" s="52" t="s">
        <v>110</v>
      </c>
      <c r="B388" s="3" t="s">
        <v>494</v>
      </c>
      <c r="C388" s="228"/>
      <c r="D388" s="229" t="s">
        <v>56</v>
      </c>
      <c r="E388" s="229" t="s">
        <v>495</v>
      </c>
      <c r="F388" s="229"/>
    </row>
    <row r="389" spans="1:6" ht="36" customHeight="1" x14ac:dyDescent="0.35">
      <c r="A389" s="52" t="s">
        <v>115</v>
      </c>
      <c r="B389" s="3" t="s">
        <v>726</v>
      </c>
      <c r="C389" s="228"/>
      <c r="D389" s="229" t="s">
        <v>710</v>
      </c>
      <c r="E389" s="229" t="s">
        <v>701</v>
      </c>
      <c r="F389" s="229"/>
    </row>
    <row r="390" spans="1:6" ht="36" customHeight="1" x14ac:dyDescent="0.35">
      <c r="A390" s="52" t="s">
        <v>118</v>
      </c>
      <c r="B390" s="3" t="s">
        <v>727</v>
      </c>
      <c r="C390" s="768" t="s">
        <v>703</v>
      </c>
      <c r="D390" s="769"/>
      <c r="E390" s="757" t="s">
        <v>595</v>
      </c>
      <c r="F390" s="757" t="s">
        <v>704</v>
      </c>
    </row>
    <row r="391" spans="1:6" ht="36" customHeight="1" x14ac:dyDescent="0.35">
      <c r="A391" s="52" t="s">
        <v>121</v>
      </c>
      <c r="B391" s="3" t="s">
        <v>728</v>
      </c>
      <c r="C391" s="770" t="s">
        <v>706</v>
      </c>
      <c r="D391" s="769"/>
      <c r="E391" s="757" t="s">
        <v>595</v>
      </c>
      <c r="F391" s="757" t="s">
        <v>704</v>
      </c>
    </row>
    <row r="392" spans="1:6" ht="36" customHeight="1" x14ac:dyDescent="0.35">
      <c r="A392" s="52" t="s">
        <v>124</v>
      </c>
      <c r="B392" s="523" t="s">
        <v>707</v>
      </c>
      <c r="C392" s="770" t="s">
        <v>708</v>
      </c>
      <c r="D392" s="229"/>
      <c r="E392" s="229"/>
      <c r="F392" s="229"/>
    </row>
    <row r="393" spans="1:6" ht="24" customHeight="1" x14ac:dyDescent="0.35">
      <c r="A393" s="52" t="s">
        <v>162</v>
      </c>
      <c r="B393" s="3" t="s">
        <v>729</v>
      </c>
      <c r="C393" s="228"/>
      <c r="D393" s="229" t="s">
        <v>710</v>
      </c>
      <c r="E393" s="229" t="s">
        <v>507</v>
      </c>
      <c r="F393" s="229" t="s">
        <v>711</v>
      </c>
    </row>
    <row r="394" spans="1:6" ht="24" customHeight="1" x14ac:dyDescent="0.35">
      <c r="A394" s="52" t="s">
        <v>202</v>
      </c>
      <c r="B394" s="3" t="s">
        <v>730</v>
      </c>
      <c r="C394" s="228"/>
      <c r="D394" s="229" t="s">
        <v>609</v>
      </c>
      <c r="E394" s="229" t="s">
        <v>731</v>
      </c>
      <c r="F394" s="229" t="s">
        <v>711</v>
      </c>
    </row>
    <row r="395" spans="1:6" ht="36" customHeight="1" x14ac:dyDescent="0.35">
      <c r="A395" s="52" t="s">
        <v>203</v>
      </c>
      <c r="B395" s="3" t="s">
        <v>732</v>
      </c>
      <c r="C395" s="228"/>
      <c r="D395" s="229" t="s">
        <v>609</v>
      </c>
      <c r="E395" s="229" t="s">
        <v>615</v>
      </c>
      <c r="F395" s="229" t="s">
        <v>711</v>
      </c>
    </row>
    <row r="396" spans="1:6" x14ac:dyDescent="0.35">
      <c r="A396" s="524" t="s">
        <v>225</v>
      </c>
      <c r="B396" s="750" t="s">
        <v>733</v>
      </c>
      <c r="C396" s="228"/>
      <c r="D396" s="229"/>
      <c r="E396" s="229"/>
      <c r="F396" s="229"/>
    </row>
    <row r="397" spans="1:6" x14ac:dyDescent="0.35">
      <c r="A397" s="524" t="s">
        <v>229</v>
      </c>
      <c r="B397" s="234" t="s">
        <v>734</v>
      </c>
      <c r="C397" s="228"/>
      <c r="D397" s="229"/>
      <c r="E397" s="229"/>
      <c r="F397" s="229"/>
    </row>
    <row r="398" spans="1:6" x14ac:dyDescent="0.35">
      <c r="A398" s="52" t="s">
        <v>233</v>
      </c>
      <c r="B398" s="234" t="s">
        <v>735</v>
      </c>
      <c r="C398" s="228"/>
      <c r="D398" s="229"/>
      <c r="E398" s="229"/>
      <c r="F398" s="229"/>
    </row>
    <row r="399" spans="1:6" x14ac:dyDescent="0.35">
      <c r="A399" s="52" t="s">
        <v>238</v>
      </c>
      <c r="B399" s="771" t="s">
        <v>721</v>
      </c>
      <c r="C399" s="228"/>
      <c r="D399" s="229"/>
      <c r="E399" s="229"/>
      <c r="F399" s="229"/>
    </row>
    <row r="400" spans="1:6" x14ac:dyDescent="0.35">
      <c r="A400" s="52" t="s">
        <v>317</v>
      </c>
      <c r="B400" s="771" t="s">
        <v>736</v>
      </c>
      <c r="C400" s="228"/>
      <c r="D400" s="229"/>
      <c r="E400" s="229"/>
      <c r="F400" s="229"/>
    </row>
    <row r="401" spans="1:6" x14ac:dyDescent="0.35">
      <c r="A401" s="2"/>
      <c r="B401" s="3"/>
      <c r="C401" s="228"/>
      <c r="D401" s="229"/>
      <c r="E401" s="229"/>
      <c r="F401" s="229"/>
    </row>
    <row r="402" spans="1:6" x14ac:dyDescent="0.35">
      <c r="A402" s="200" t="s">
        <v>737</v>
      </c>
      <c r="B402" s="750" t="s">
        <v>738</v>
      </c>
      <c r="C402" s="228"/>
      <c r="D402" s="229"/>
      <c r="E402" s="229"/>
      <c r="F402" s="229"/>
    </row>
    <row r="403" spans="1:6" x14ac:dyDescent="0.35">
      <c r="A403" s="200" t="s">
        <v>739</v>
      </c>
      <c r="B403" s="234" t="s">
        <v>740</v>
      </c>
      <c r="C403" s="228"/>
      <c r="D403" s="229"/>
      <c r="E403" s="229"/>
      <c r="F403" s="229"/>
    </row>
    <row r="404" spans="1:6" x14ac:dyDescent="0.35">
      <c r="A404" s="543" t="s">
        <v>741</v>
      </c>
      <c r="B404" s="771" t="s">
        <v>742</v>
      </c>
      <c r="C404" s="228"/>
      <c r="D404" s="229"/>
      <c r="E404" s="229"/>
      <c r="F404" s="229"/>
    </row>
    <row r="405" spans="1:6" x14ac:dyDescent="0.35">
      <c r="A405" s="543" t="s">
        <v>743</v>
      </c>
      <c r="B405" s="771" t="s">
        <v>744</v>
      </c>
      <c r="C405" s="228"/>
      <c r="D405" s="229"/>
      <c r="E405" s="229"/>
      <c r="F405" s="229"/>
    </row>
    <row r="406" spans="1:6" x14ac:dyDescent="0.35">
      <c r="A406" s="543" t="s">
        <v>745</v>
      </c>
      <c r="B406" s="771" t="s">
        <v>746</v>
      </c>
      <c r="C406" s="228"/>
      <c r="D406" s="229"/>
      <c r="E406" s="229"/>
      <c r="F406" s="229"/>
    </row>
    <row r="407" spans="1:6" x14ac:dyDescent="0.35">
      <c r="A407" s="2"/>
      <c r="B407" s="3"/>
      <c r="C407" s="228"/>
      <c r="D407" s="229"/>
      <c r="E407" s="229"/>
      <c r="F407" s="229"/>
    </row>
    <row r="408" spans="1:6" x14ac:dyDescent="0.35">
      <c r="A408" s="200" t="s">
        <v>747</v>
      </c>
      <c r="B408" s="234" t="s">
        <v>748</v>
      </c>
      <c r="C408" s="228"/>
      <c r="D408" s="229"/>
      <c r="E408" s="229"/>
      <c r="F408" s="229"/>
    </row>
    <row r="409" spans="1:6" ht="29" customHeight="1" x14ac:dyDescent="0.35">
      <c r="A409" s="200" t="s">
        <v>749</v>
      </c>
      <c r="B409" s="750" t="s">
        <v>750</v>
      </c>
      <c r="C409" s="228"/>
      <c r="D409" s="229"/>
      <c r="E409" s="229"/>
      <c r="F409" s="229"/>
    </row>
    <row r="410" spans="1:6" ht="29" customHeight="1" x14ac:dyDescent="0.35">
      <c r="A410" s="200" t="s">
        <v>751</v>
      </c>
      <c r="B410" s="750" t="s">
        <v>752</v>
      </c>
      <c r="C410" s="228"/>
      <c r="D410" s="229"/>
      <c r="E410" s="229"/>
      <c r="F410" s="229"/>
    </row>
    <row r="411" spans="1:6" ht="29" customHeight="1" x14ac:dyDescent="0.35">
      <c r="A411" s="200" t="s">
        <v>753</v>
      </c>
      <c r="B411" s="750" t="s">
        <v>754</v>
      </c>
      <c r="C411" s="228"/>
      <c r="D411" s="229"/>
      <c r="E411" s="229"/>
      <c r="F411" s="229"/>
    </row>
    <row r="412" spans="1:6" ht="29" customHeight="1" x14ac:dyDescent="0.35">
      <c r="A412" s="543" t="s">
        <v>755</v>
      </c>
      <c r="B412" s="772" t="s">
        <v>756</v>
      </c>
      <c r="C412" s="228"/>
      <c r="D412" s="229"/>
      <c r="E412" s="229"/>
      <c r="F412" s="229"/>
    </row>
    <row r="413" spans="1:6" ht="29" customHeight="1" x14ac:dyDescent="0.35">
      <c r="A413" s="543" t="s">
        <v>757</v>
      </c>
      <c r="B413" s="772" t="s">
        <v>758</v>
      </c>
      <c r="C413" s="228"/>
      <c r="D413" s="229"/>
      <c r="E413" s="229"/>
      <c r="F413" s="229"/>
    </row>
    <row r="414" spans="1:6" ht="29" customHeight="1" x14ac:dyDescent="0.35">
      <c r="A414" s="543" t="s">
        <v>759</v>
      </c>
      <c r="B414" s="772" t="s">
        <v>760</v>
      </c>
      <c r="C414" s="228"/>
      <c r="D414" s="229"/>
      <c r="E414" s="229"/>
      <c r="F414" s="229"/>
    </row>
    <row r="415" spans="1:6" x14ac:dyDescent="0.35">
      <c r="A415" s="2"/>
      <c r="B415" s="3"/>
      <c r="C415" s="228"/>
      <c r="D415" s="229"/>
      <c r="E415" s="229"/>
      <c r="F415" s="229"/>
    </row>
    <row r="416" spans="1:6" x14ac:dyDescent="0.35">
      <c r="A416" s="200" t="s">
        <v>761</v>
      </c>
      <c r="B416" s="234" t="s">
        <v>762</v>
      </c>
      <c r="C416" s="228"/>
      <c r="D416" s="229"/>
      <c r="E416" s="229"/>
      <c r="F416" s="229"/>
    </row>
    <row r="417" spans="1:6" ht="29" customHeight="1" x14ac:dyDescent="0.35">
      <c r="A417" s="200" t="s">
        <v>763</v>
      </c>
      <c r="B417" s="234" t="s">
        <v>764</v>
      </c>
      <c r="C417" s="228"/>
      <c r="D417" s="229"/>
      <c r="E417" s="229"/>
      <c r="F417" s="229"/>
    </row>
    <row r="418" spans="1:6" ht="29" customHeight="1" x14ac:dyDescent="0.35">
      <c r="A418" s="200" t="s">
        <v>765</v>
      </c>
      <c r="B418" s="234" t="s">
        <v>766</v>
      </c>
      <c r="C418" s="228"/>
      <c r="D418" s="229"/>
      <c r="E418" s="229"/>
      <c r="F418" s="229"/>
    </row>
    <row r="419" spans="1:6" ht="29" customHeight="1" x14ac:dyDescent="0.35">
      <c r="A419" s="200" t="s">
        <v>767</v>
      </c>
      <c r="B419" s="234" t="s">
        <v>768</v>
      </c>
      <c r="C419" s="228"/>
      <c r="D419" s="229"/>
      <c r="E419" s="229"/>
      <c r="F419" s="229"/>
    </row>
    <row r="420" spans="1:6" x14ac:dyDescent="0.35">
      <c r="A420" s="2" t="s">
        <v>769</v>
      </c>
      <c r="B420" s="750" t="s">
        <v>770</v>
      </c>
      <c r="C420" s="228"/>
      <c r="D420" s="229"/>
      <c r="E420" s="229"/>
      <c r="F420" s="227"/>
    </row>
    <row r="421" spans="1:6" ht="29" customHeight="1" x14ac:dyDescent="0.35">
      <c r="A421" s="2" t="s">
        <v>771</v>
      </c>
      <c r="B421" s="772" t="s">
        <v>772</v>
      </c>
      <c r="C421" s="228"/>
      <c r="D421" s="229"/>
      <c r="E421" s="229"/>
      <c r="F421" s="227"/>
    </row>
    <row r="422" spans="1:6" x14ac:dyDescent="0.35">
      <c r="A422" s="2"/>
      <c r="B422" s="3"/>
      <c r="C422" s="228"/>
      <c r="D422" s="229"/>
      <c r="E422" s="229"/>
      <c r="F422" s="229"/>
    </row>
    <row r="423" spans="1:6" x14ac:dyDescent="0.35">
      <c r="A423" s="200" t="s">
        <v>51</v>
      </c>
      <c r="B423" s="234" t="s">
        <v>773</v>
      </c>
      <c r="C423" s="228"/>
      <c r="D423" s="229"/>
      <c r="E423" s="229"/>
      <c r="F423" s="229"/>
    </row>
    <row r="424" spans="1:6" ht="58" customHeight="1" x14ac:dyDescent="0.35">
      <c r="A424" s="2" t="s">
        <v>774</v>
      </c>
      <c r="B424" s="3" t="s">
        <v>775</v>
      </c>
      <c r="C424" s="228"/>
      <c r="D424" s="229" t="s">
        <v>776</v>
      </c>
      <c r="E424" s="229" t="s">
        <v>777</v>
      </c>
      <c r="F424" s="229" t="s">
        <v>778</v>
      </c>
    </row>
    <row r="425" spans="1:6" ht="43.5" customHeight="1" x14ac:dyDescent="0.35">
      <c r="A425" s="2" t="s">
        <v>779</v>
      </c>
      <c r="B425" s="3" t="s">
        <v>780</v>
      </c>
      <c r="C425" s="228"/>
      <c r="D425" s="229" t="s">
        <v>776</v>
      </c>
      <c r="E425" s="229" t="s">
        <v>781</v>
      </c>
      <c r="F425" s="229" t="s">
        <v>782</v>
      </c>
    </row>
    <row r="426" spans="1:6" ht="48" customHeight="1" x14ac:dyDescent="0.35">
      <c r="A426" s="2" t="s">
        <v>783</v>
      </c>
      <c r="B426" s="3" t="s">
        <v>784</v>
      </c>
      <c r="C426" s="228"/>
      <c r="D426" s="229" t="s">
        <v>776</v>
      </c>
      <c r="E426" s="229" t="s">
        <v>785</v>
      </c>
      <c r="F426" s="229" t="s">
        <v>786</v>
      </c>
    </row>
    <row r="427" spans="1:6" ht="36" customHeight="1" x14ac:dyDescent="0.35">
      <c r="A427" s="2" t="s">
        <v>787</v>
      </c>
      <c r="B427" s="3" t="s">
        <v>788</v>
      </c>
      <c r="C427" s="228"/>
      <c r="D427" s="229" t="s">
        <v>776</v>
      </c>
      <c r="E427" s="229" t="s">
        <v>789</v>
      </c>
      <c r="F427" s="229" t="s">
        <v>790</v>
      </c>
    </row>
    <row r="428" spans="1:6" ht="48" customHeight="1" x14ac:dyDescent="0.35">
      <c r="A428" s="2" t="s">
        <v>791</v>
      </c>
      <c r="B428" s="3" t="s">
        <v>792</v>
      </c>
      <c r="C428" s="228"/>
      <c r="D428" s="229" t="s">
        <v>776</v>
      </c>
      <c r="E428" s="229" t="s">
        <v>793</v>
      </c>
      <c r="F428" s="229" t="s">
        <v>794</v>
      </c>
    </row>
    <row r="429" spans="1:6" ht="48" customHeight="1" x14ac:dyDescent="0.35">
      <c r="A429" s="2" t="s">
        <v>795</v>
      </c>
      <c r="B429" s="3" t="s">
        <v>796</v>
      </c>
      <c r="C429" s="228"/>
      <c r="D429" s="229" t="s">
        <v>776</v>
      </c>
      <c r="E429" s="229" t="s">
        <v>797</v>
      </c>
      <c r="F429" s="229" t="s">
        <v>786</v>
      </c>
    </row>
    <row r="430" spans="1:6" ht="48" customHeight="1" x14ac:dyDescent="0.35">
      <c r="A430" s="2" t="s">
        <v>798</v>
      </c>
      <c r="B430" s="3" t="s">
        <v>799</v>
      </c>
      <c r="C430" s="228"/>
      <c r="D430" s="229" t="s">
        <v>776</v>
      </c>
      <c r="E430" s="229" t="s">
        <v>785</v>
      </c>
      <c r="F430" s="229" t="s">
        <v>786</v>
      </c>
    </row>
    <row r="431" spans="1:6" ht="48" customHeight="1" x14ac:dyDescent="0.35">
      <c r="A431" s="2" t="s">
        <v>800</v>
      </c>
      <c r="B431" s="3" t="s">
        <v>801</v>
      </c>
      <c r="C431" s="228"/>
      <c r="D431" s="229" t="s">
        <v>776</v>
      </c>
      <c r="E431" s="229" t="s">
        <v>802</v>
      </c>
      <c r="F431" s="229" t="s">
        <v>786</v>
      </c>
    </row>
    <row r="432" spans="1:6" ht="48" customHeight="1" x14ac:dyDescent="0.35">
      <c r="A432" s="2" t="s">
        <v>803</v>
      </c>
      <c r="B432" s="3" t="s">
        <v>804</v>
      </c>
      <c r="C432" s="228"/>
      <c r="D432" s="229" t="s">
        <v>776</v>
      </c>
      <c r="E432" s="229" t="s">
        <v>805</v>
      </c>
      <c r="F432" s="229" t="s">
        <v>786</v>
      </c>
    </row>
    <row r="433" spans="1:6" ht="48" customHeight="1" x14ac:dyDescent="0.35">
      <c r="A433" s="2" t="s">
        <v>806</v>
      </c>
      <c r="B433" s="3" t="s">
        <v>807</v>
      </c>
      <c r="C433" s="228"/>
      <c r="D433" s="229" t="s">
        <v>776</v>
      </c>
      <c r="E433" s="229" t="s">
        <v>808</v>
      </c>
      <c r="F433" s="229" t="s">
        <v>786</v>
      </c>
    </row>
    <row r="434" spans="1:6" x14ac:dyDescent="0.35">
      <c r="A434" s="2"/>
      <c r="B434" s="3"/>
      <c r="C434" s="228"/>
      <c r="D434" s="229"/>
      <c r="E434" s="229"/>
      <c r="F434" s="229"/>
    </row>
    <row r="435" spans="1:6" x14ac:dyDescent="0.35">
      <c r="A435" s="200" t="s">
        <v>809</v>
      </c>
      <c r="B435" s="234" t="s">
        <v>810</v>
      </c>
      <c r="C435" s="228"/>
      <c r="D435" s="229"/>
      <c r="E435" s="229"/>
      <c r="F435" s="229"/>
    </row>
    <row r="436" spans="1:6" x14ac:dyDescent="0.35">
      <c r="A436" s="2" t="s">
        <v>811</v>
      </c>
      <c r="B436" s="3" t="s">
        <v>812</v>
      </c>
      <c r="C436" s="228" t="s">
        <v>813</v>
      </c>
      <c r="D436" s="229" t="s">
        <v>209</v>
      </c>
      <c r="E436" s="229" t="s">
        <v>814</v>
      </c>
      <c r="F436" s="229"/>
    </row>
    <row r="437" spans="1:6" x14ac:dyDescent="0.35">
      <c r="A437" s="2" t="s">
        <v>815</v>
      </c>
      <c r="B437" s="3" t="s">
        <v>816</v>
      </c>
      <c r="C437" s="228" t="s">
        <v>817</v>
      </c>
      <c r="D437" s="229" t="s">
        <v>209</v>
      </c>
      <c r="E437" s="229" t="s">
        <v>818</v>
      </c>
      <c r="F437" s="229"/>
    </row>
    <row r="438" spans="1:6" ht="36" customHeight="1" x14ac:dyDescent="0.35">
      <c r="A438" s="2" t="s">
        <v>819</v>
      </c>
      <c r="B438" s="3" t="s">
        <v>820</v>
      </c>
      <c r="C438" s="228" t="s">
        <v>817</v>
      </c>
      <c r="D438" s="229" t="s">
        <v>209</v>
      </c>
      <c r="E438" s="229" t="s">
        <v>821</v>
      </c>
      <c r="F438" s="229" t="s">
        <v>114</v>
      </c>
    </row>
    <row r="439" spans="1:6" x14ac:dyDescent="0.35">
      <c r="A439" s="2"/>
      <c r="B439" s="227"/>
      <c r="C439" s="228"/>
      <c r="D439" s="229"/>
      <c r="E439" s="229"/>
      <c r="F439" s="229"/>
    </row>
    <row r="440" spans="1:6" x14ac:dyDescent="0.35">
      <c r="A440" s="200" t="s">
        <v>822</v>
      </c>
      <c r="B440" s="234" t="s">
        <v>823</v>
      </c>
      <c r="C440" s="228"/>
      <c r="D440" s="229"/>
      <c r="E440" s="229"/>
      <c r="F440" s="229"/>
    </row>
    <row r="441" spans="1:6" ht="29.15" customHeight="1" x14ac:dyDescent="0.35">
      <c r="A441" s="2" t="s">
        <v>824</v>
      </c>
      <c r="B441" s="3" t="s">
        <v>825</v>
      </c>
      <c r="C441" s="976" t="s">
        <v>826</v>
      </c>
      <c r="D441" s="970" t="s">
        <v>498</v>
      </c>
      <c r="E441" s="970" t="s">
        <v>499</v>
      </c>
      <c r="F441" s="970" t="s">
        <v>827</v>
      </c>
    </row>
    <row r="442" spans="1:6" ht="24.65" customHeight="1" x14ac:dyDescent="0.35">
      <c r="A442" s="2" t="s">
        <v>828</v>
      </c>
      <c r="B442" s="3" t="s">
        <v>829</v>
      </c>
      <c r="C442" s="951"/>
      <c r="D442" s="951"/>
      <c r="E442" s="951"/>
      <c r="F442" s="951"/>
    </row>
    <row r="443" spans="1:6" ht="29.5" customHeight="1" x14ac:dyDescent="0.35">
      <c r="A443" s="2" t="s">
        <v>830</v>
      </c>
      <c r="B443" s="3" t="s">
        <v>831</v>
      </c>
      <c r="C443" s="951"/>
      <c r="D443" s="951"/>
      <c r="E443" s="951"/>
      <c r="F443" s="951"/>
    </row>
    <row r="444" spans="1:6" ht="39.65" customHeight="1" x14ac:dyDescent="0.35">
      <c r="A444" s="2" t="s">
        <v>832</v>
      </c>
      <c r="B444" s="3" t="s">
        <v>833</v>
      </c>
      <c r="C444" s="949"/>
      <c r="D444" s="949"/>
      <c r="E444" s="949"/>
      <c r="F444" s="949"/>
    </row>
    <row r="445" spans="1:6" x14ac:dyDescent="0.35">
      <c r="A445" s="200" t="s">
        <v>834</v>
      </c>
      <c r="B445" s="242" t="s">
        <v>835</v>
      </c>
      <c r="C445" s="228"/>
      <c r="D445" s="229"/>
      <c r="E445" s="243"/>
      <c r="F445" s="229"/>
    </row>
    <row r="446" spans="1:6" x14ac:dyDescent="0.35">
      <c r="A446" s="200" t="s">
        <v>836</v>
      </c>
      <c r="B446" s="242" t="s">
        <v>837</v>
      </c>
      <c r="C446" s="228"/>
      <c r="D446" s="229"/>
      <c r="E446" s="229"/>
      <c r="F446" s="229"/>
    </row>
    <row r="447" spans="1:6" ht="36" customHeight="1" x14ac:dyDescent="0.35">
      <c r="A447" s="2" t="s">
        <v>838</v>
      </c>
      <c r="B447" s="244" t="s">
        <v>839</v>
      </c>
      <c r="C447" s="236" t="s">
        <v>840</v>
      </c>
      <c r="D447" s="229" t="s">
        <v>841</v>
      </c>
      <c r="E447" s="229" t="s">
        <v>842</v>
      </c>
      <c r="F447" s="229" t="s">
        <v>843</v>
      </c>
    </row>
    <row r="448" spans="1:6" ht="36" customHeight="1" x14ac:dyDescent="0.35">
      <c r="A448" s="2" t="s">
        <v>844</v>
      </c>
      <c r="B448" s="244" t="s">
        <v>845</v>
      </c>
      <c r="C448" s="236" t="s">
        <v>840</v>
      </c>
      <c r="D448" s="229" t="s">
        <v>841</v>
      </c>
      <c r="E448" s="229" t="s">
        <v>846</v>
      </c>
      <c r="F448" s="229" t="s">
        <v>847</v>
      </c>
    </row>
    <row r="449" spans="1:7" x14ac:dyDescent="0.35">
      <c r="A449" s="200" t="s">
        <v>848</v>
      </c>
      <c r="B449" s="242" t="s">
        <v>849</v>
      </c>
      <c r="C449" s="228"/>
      <c r="D449" s="229"/>
      <c r="E449" s="229"/>
      <c r="F449" s="229"/>
    </row>
    <row r="450" spans="1:7" ht="55.4" customHeight="1" x14ac:dyDescent="0.35">
      <c r="A450" s="2" t="s">
        <v>110</v>
      </c>
      <c r="B450" s="244" t="s">
        <v>850</v>
      </c>
      <c r="C450" s="228" t="s">
        <v>851</v>
      </c>
      <c r="D450" s="229" t="s">
        <v>334</v>
      </c>
      <c r="E450" s="970" t="s">
        <v>852</v>
      </c>
      <c r="F450" s="229"/>
      <c r="G450" s="245"/>
    </row>
    <row r="451" spans="1:7" ht="43.5" customHeight="1" x14ac:dyDescent="0.35">
      <c r="A451" s="2" t="s">
        <v>115</v>
      </c>
      <c r="B451" s="244" t="s">
        <v>853</v>
      </c>
      <c r="C451" s="228"/>
      <c r="D451" s="229" t="s">
        <v>334</v>
      </c>
      <c r="E451" s="951"/>
      <c r="F451" s="229"/>
      <c r="G451" s="245"/>
    </row>
    <row r="452" spans="1:7" ht="43.5" customHeight="1" x14ac:dyDescent="0.35">
      <c r="A452" s="2" t="s">
        <v>118</v>
      </c>
      <c r="B452" s="244" t="s">
        <v>854</v>
      </c>
      <c r="C452" s="228"/>
      <c r="D452" s="229" t="s">
        <v>334</v>
      </c>
      <c r="E452" s="949"/>
      <c r="F452" s="229"/>
      <c r="G452" s="245"/>
    </row>
    <row r="453" spans="1:7" x14ac:dyDescent="0.35">
      <c r="A453" s="200" t="s">
        <v>855</v>
      </c>
      <c r="B453" s="242" t="s">
        <v>856</v>
      </c>
      <c r="C453" s="228"/>
      <c r="D453" s="229"/>
      <c r="E453" s="229"/>
      <c r="F453" s="229"/>
    </row>
    <row r="454" spans="1:7" ht="43.5" customHeight="1" x14ac:dyDescent="0.35">
      <c r="A454" s="2" t="s">
        <v>110</v>
      </c>
      <c r="B454" s="244" t="s">
        <v>857</v>
      </c>
      <c r="C454" s="236" t="s">
        <v>840</v>
      </c>
      <c r="D454" s="229" t="s">
        <v>89</v>
      </c>
      <c r="E454" s="229" t="s">
        <v>858</v>
      </c>
      <c r="F454" s="229" t="s">
        <v>859</v>
      </c>
    </row>
    <row r="455" spans="1:7" ht="47.15" customHeight="1" x14ac:dyDescent="0.35">
      <c r="A455" s="2" t="s">
        <v>115</v>
      </c>
      <c r="B455" s="244" t="s">
        <v>860</v>
      </c>
      <c r="C455" s="228" t="s">
        <v>840</v>
      </c>
      <c r="D455" s="229" t="s">
        <v>89</v>
      </c>
      <c r="E455" s="229" t="s">
        <v>861</v>
      </c>
      <c r="F455" s="229" t="s">
        <v>847</v>
      </c>
    </row>
    <row r="456" spans="1:7" x14ac:dyDescent="0.35">
      <c r="A456" s="2" t="s">
        <v>862</v>
      </c>
      <c r="B456" s="242" t="s">
        <v>863</v>
      </c>
      <c r="C456" s="228"/>
      <c r="D456" s="229"/>
      <c r="E456" s="229"/>
      <c r="F456" s="229"/>
    </row>
    <row r="457" spans="1:7" ht="48" customHeight="1" x14ac:dyDescent="0.35">
      <c r="A457" s="2" t="s">
        <v>110</v>
      </c>
      <c r="B457" s="244" t="s">
        <v>864</v>
      </c>
      <c r="C457" s="228"/>
      <c r="D457" s="229" t="s">
        <v>89</v>
      </c>
      <c r="E457" s="246" t="s">
        <v>865</v>
      </c>
      <c r="F457" s="229" t="s">
        <v>866</v>
      </c>
      <c r="G457" s="245"/>
    </row>
    <row r="458" spans="1:7" ht="48" customHeight="1" x14ac:dyDescent="0.35">
      <c r="A458" s="2" t="s">
        <v>115</v>
      </c>
      <c r="B458" s="244" t="s">
        <v>867</v>
      </c>
      <c r="C458" s="228"/>
      <c r="D458" s="229" t="s">
        <v>89</v>
      </c>
      <c r="E458" s="246" t="s">
        <v>868</v>
      </c>
      <c r="F458" s="229" t="s">
        <v>869</v>
      </c>
      <c r="G458" s="245"/>
    </row>
    <row r="459" spans="1:7" ht="36" customHeight="1" x14ac:dyDescent="0.35">
      <c r="A459" s="2" t="s">
        <v>118</v>
      </c>
      <c r="B459" s="244" t="s">
        <v>870</v>
      </c>
      <c r="C459" s="228"/>
      <c r="D459" s="229" t="s">
        <v>89</v>
      </c>
      <c r="E459" s="246" t="s">
        <v>871</v>
      </c>
      <c r="F459" s="229" t="s">
        <v>872</v>
      </c>
      <c r="G459" s="245"/>
    </row>
    <row r="460" spans="1:7" ht="24" customHeight="1" x14ac:dyDescent="0.35">
      <c r="A460" s="2" t="s">
        <v>121</v>
      </c>
      <c r="B460" s="244" t="s">
        <v>873</v>
      </c>
      <c r="C460" s="228"/>
      <c r="D460" s="229"/>
      <c r="E460" s="246" t="s">
        <v>874</v>
      </c>
      <c r="F460" s="229" t="s">
        <v>875</v>
      </c>
      <c r="G460" s="245"/>
    </row>
    <row r="461" spans="1:7" ht="48" customHeight="1" x14ac:dyDescent="0.35">
      <c r="A461" s="2" t="s">
        <v>124</v>
      </c>
      <c r="B461" s="244" t="s">
        <v>876</v>
      </c>
      <c r="C461" s="228"/>
      <c r="D461" s="229" t="s">
        <v>89</v>
      </c>
      <c r="E461" s="246" t="s">
        <v>877</v>
      </c>
      <c r="F461" s="229" t="s">
        <v>866</v>
      </c>
      <c r="G461" s="245"/>
    </row>
    <row r="462" spans="1:7" ht="43.5" customHeight="1" x14ac:dyDescent="0.35">
      <c r="A462" s="2" t="s">
        <v>162</v>
      </c>
      <c r="B462" s="244" t="s">
        <v>878</v>
      </c>
      <c r="C462" s="228"/>
      <c r="D462" s="229" t="s">
        <v>89</v>
      </c>
      <c r="E462" s="246" t="s">
        <v>879</v>
      </c>
      <c r="F462" s="229" t="s">
        <v>869</v>
      </c>
      <c r="G462" s="245"/>
    </row>
    <row r="463" spans="1:7" ht="29" customHeight="1" x14ac:dyDescent="0.35">
      <c r="A463" s="2" t="s">
        <v>202</v>
      </c>
      <c r="B463" s="244" t="s">
        <v>880</v>
      </c>
      <c r="C463" s="228"/>
      <c r="D463" s="229" t="s">
        <v>89</v>
      </c>
      <c r="E463" s="246" t="s">
        <v>874</v>
      </c>
      <c r="F463" s="229" t="s">
        <v>881</v>
      </c>
      <c r="G463" s="245"/>
    </row>
    <row r="464" spans="1:7" ht="24" customHeight="1" x14ac:dyDescent="0.35">
      <c r="A464" s="2" t="s">
        <v>203</v>
      </c>
      <c r="B464" s="244" t="s">
        <v>882</v>
      </c>
      <c r="C464" s="228"/>
      <c r="D464" s="229"/>
      <c r="E464" s="246" t="s">
        <v>874</v>
      </c>
      <c r="F464" s="227"/>
      <c r="G464" s="245"/>
    </row>
    <row r="465" spans="1:7" x14ac:dyDescent="0.35">
      <c r="A465" s="2" t="s">
        <v>883</v>
      </c>
      <c r="B465" s="242" t="s">
        <v>884</v>
      </c>
      <c r="C465" s="228"/>
      <c r="D465" s="229"/>
      <c r="E465" s="246"/>
      <c r="F465" s="227"/>
      <c r="G465" s="245"/>
    </row>
    <row r="466" spans="1:7" ht="48" customHeight="1" x14ac:dyDescent="0.35">
      <c r="A466" s="2" t="s">
        <v>110</v>
      </c>
      <c r="B466" s="244" t="s">
        <v>885</v>
      </c>
      <c r="C466" s="976" t="s">
        <v>886</v>
      </c>
      <c r="D466" s="246"/>
      <c r="E466" s="246" t="s">
        <v>887</v>
      </c>
      <c r="F466" s="229" t="s">
        <v>866</v>
      </c>
      <c r="G466" s="245"/>
    </row>
    <row r="467" spans="1:7" ht="60" customHeight="1" x14ac:dyDescent="0.35">
      <c r="A467" s="2" t="s">
        <v>115</v>
      </c>
      <c r="B467" s="244" t="s">
        <v>888</v>
      </c>
      <c r="C467" s="949"/>
      <c r="D467" s="246"/>
      <c r="E467" s="246" t="s">
        <v>889</v>
      </c>
      <c r="F467" s="229" t="s">
        <v>869</v>
      </c>
      <c r="G467" s="245"/>
    </row>
    <row r="468" spans="1:7" x14ac:dyDescent="0.35">
      <c r="A468" s="247" t="s">
        <v>890</v>
      </c>
      <c r="B468" s="242" t="s">
        <v>891</v>
      </c>
      <c r="C468" s="237"/>
      <c r="D468" s="246"/>
      <c r="E468" s="246"/>
      <c r="F468" s="227"/>
      <c r="G468" s="245"/>
    </row>
    <row r="469" spans="1:7" ht="29" customHeight="1" x14ac:dyDescent="0.35">
      <c r="A469" s="2" t="s">
        <v>110</v>
      </c>
      <c r="B469" s="244" t="s">
        <v>892</v>
      </c>
      <c r="C469" s="237"/>
      <c r="D469" s="246"/>
      <c r="E469" s="970" t="s">
        <v>893</v>
      </c>
      <c r="F469" s="227"/>
      <c r="G469" s="245"/>
    </row>
    <row r="470" spans="1:7" ht="29" customHeight="1" x14ac:dyDescent="0.35">
      <c r="A470" s="2" t="s">
        <v>115</v>
      </c>
      <c r="B470" s="244" t="s">
        <v>894</v>
      </c>
      <c r="C470" s="237"/>
      <c r="D470" s="246"/>
      <c r="E470" s="951"/>
      <c r="F470" s="227"/>
      <c r="G470" s="245"/>
    </row>
    <row r="471" spans="1:7" ht="29" customHeight="1" x14ac:dyDescent="0.35">
      <c r="A471" s="2" t="s">
        <v>118</v>
      </c>
      <c r="B471" s="244" t="s">
        <v>895</v>
      </c>
      <c r="C471" s="237"/>
      <c r="D471" s="246"/>
      <c r="E471" s="951"/>
      <c r="F471" s="227"/>
      <c r="G471" s="245"/>
    </row>
    <row r="472" spans="1:7" x14ac:dyDescent="0.35">
      <c r="A472" s="2" t="s">
        <v>121</v>
      </c>
      <c r="B472" s="244" t="s">
        <v>896</v>
      </c>
      <c r="C472" s="237"/>
      <c r="D472" s="246"/>
      <c r="E472" s="951"/>
      <c r="F472" s="227"/>
      <c r="G472" s="245"/>
    </row>
    <row r="473" spans="1:7" x14ac:dyDescent="0.35">
      <c r="A473" s="2" t="s">
        <v>124</v>
      </c>
      <c r="B473" s="244" t="s">
        <v>897</v>
      </c>
      <c r="C473" s="237"/>
      <c r="D473" s="246"/>
      <c r="E473" s="951"/>
      <c r="F473" s="227"/>
      <c r="G473" s="245"/>
    </row>
    <row r="474" spans="1:7" x14ac:dyDescent="0.35">
      <c r="A474" s="2" t="s">
        <v>162</v>
      </c>
      <c r="B474" s="244" t="s">
        <v>898</v>
      </c>
      <c r="C474" s="237"/>
      <c r="D474" s="246"/>
      <c r="E474" s="951"/>
      <c r="F474" s="227"/>
      <c r="G474" s="245"/>
    </row>
    <row r="475" spans="1:7" ht="41.5" customHeight="1" x14ac:dyDescent="0.35">
      <c r="A475" s="2" t="s">
        <v>202</v>
      </c>
      <c r="B475" s="244" t="s">
        <v>899</v>
      </c>
      <c r="C475" s="237"/>
      <c r="D475" s="246"/>
      <c r="E475" s="949"/>
      <c r="F475" s="227"/>
      <c r="G475" s="245"/>
    </row>
    <row r="476" spans="1:7" s="240" customFormat="1" x14ac:dyDescent="0.35">
      <c r="A476" s="200" t="s">
        <v>900</v>
      </c>
      <c r="B476" s="242" t="s">
        <v>901</v>
      </c>
      <c r="C476" s="307"/>
      <c r="D476" s="308"/>
      <c r="E476" s="308"/>
      <c r="F476" s="248"/>
      <c r="G476" s="309"/>
    </row>
    <row r="477" spans="1:7" ht="29.15" customHeight="1" x14ac:dyDescent="0.35">
      <c r="A477" s="2" t="s">
        <v>110</v>
      </c>
      <c r="B477" s="244" t="s">
        <v>902</v>
      </c>
      <c r="C477" s="973" t="s">
        <v>903</v>
      </c>
      <c r="D477" s="246"/>
      <c r="E477" s="246"/>
      <c r="F477" s="227"/>
      <c r="G477" s="245"/>
    </row>
    <row r="478" spans="1:7" x14ac:dyDescent="0.35">
      <c r="A478" s="2" t="s">
        <v>115</v>
      </c>
      <c r="B478" s="244" t="s">
        <v>904</v>
      </c>
      <c r="C478" s="951"/>
      <c r="D478" s="246"/>
      <c r="E478" s="246"/>
      <c r="F478" s="227"/>
      <c r="G478" s="245"/>
    </row>
    <row r="479" spans="1:7" x14ac:dyDescent="0.35">
      <c r="A479" s="2" t="s">
        <v>118</v>
      </c>
      <c r="B479" s="244" t="s">
        <v>905</v>
      </c>
      <c r="C479" s="949"/>
      <c r="D479" s="246"/>
      <c r="E479" s="246"/>
      <c r="F479" s="227"/>
      <c r="G479" s="245"/>
    </row>
    <row r="480" spans="1:7" s="240" customFormat="1" x14ac:dyDescent="0.35">
      <c r="A480" s="200"/>
      <c r="B480" s="242"/>
      <c r="C480" s="307"/>
      <c r="D480" s="308"/>
      <c r="E480" s="308"/>
      <c r="F480" s="248"/>
      <c r="G480" s="309"/>
    </row>
    <row r="481" spans="1:7" s="240" customFormat="1" x14ac:dyDescent="0.35">
      <c r="A481" s="200" t="s">
        <v>906</v>
      </c>
      <c r="B481" s="234" t="s">
        <v>907</v>
      </c>
      <c r="C481" s="238"/>
      <c r="D481" s="239"/>
      <c r="E481" s="239"/>
      <c r="F481" s="248"/>
      <c r="G481" s="8"/>
    </row>
    <row r="482" spans="1:7" x14ac:dyDescent="0.35">
      <c r="A482" s="5" t="s">
        <v>110</v>
      </c>
      <c r="B482" s="227" t="s">
        <v>908</v>
      </c>
      <c r="C482" s="228"/>
      <c r="D482" s="229"/>
      <c r="E482" s="229"/>
      <c r="F482" s="229"/>
    </row>
    <row r="483" spans="1:7" s="443" customFormat="1" x14ac:dyDescent="0.35">
      <c r="A483" s="448" t="s">
        <v>909</v>
      </c>
      <c r="B483" s="452" t="s">
        <v>910</v>
      </c>
      <c r="C483" s="751"/>
      <c r="D483" s="239"/>
      <c r="E483" s="239"/>
      <c r="F483" s="239"/>
      <c r="G483" s="752"/>
    </row>
    <row r="484" spans="1:7" ht="29" customHeight="1" x14ac:dyDescent="0.35">
      <c r="A484" s="52" t="s">
        <v>911</v>
      </c>
      <c r="B484" s="249" t="s">
        <v>912</v>
      </c>
      <c r="C484" s="228"/>
      <c r="D484" s="229"/>
      <c r="E484" s="229"/>
      <c r="F484" s="229"/>
    </row>
    <row r="485" spans="1:7" x14ac:dyDescent="0.35">
      <c r="A485" s="5"/>
      <c r="B485" s="227"/>
      <c r="C485" s="228"/>
      <c r="D485" s="229"/>
      <c r="E485" s="229"/>
      <c r="F485" s="229"/>
    </row>
    <row r="486" spans="1:7" x14ac:dyDescent="0.35">
      <c r="A486" s="773" t="s">
        <v>913</v>
      </c>
      <c r="B486" s="248" t="s">
        <v>914</v>
      </c>
      <c r="C486" s="228"/>
      <c r="D486" s="229"/>
      <c r="E486" s="229"/>
      <c r="F486" s="229"/>
    </row>
    <row r="487" spans="1:7" x14ac:dyDescent="0.35">
      <c r="A487" s="5" t="s">
        <v>110</v>
      </c>
      <c r="B487" s="248" t="s">
        <v>915</v>
      </c>
      <c r="C487" s="228"/>
      <c r="D487" s="229"/>
      <c r="E487" s="229"/>
      <c r="F487" s="229"/>
    </row>
    <row r="488" spans="1:7" ht="29" customHeight="1" x14ac:dyDescent="0.35">
      <c r="A488" s="5"/>
      <c r="B488" s="249" t="s">
        <v>916</v>
      </c>
      <c r="C488" s="228"/>
      <c r="D488" s="229"/>
      <c r="E488" s="229"/>
      <c r="F488" s="229"/>
    </row>
    <row r="489" spans="1:7" x14ac:dyDescent="0.35">
      <c r="A489" s="5" t="s">
        <v>115</v>
      </c>
      <c r="B489" s="248" t="s">
        <v>917</v>
      </c>
      <c r="C489" s="228"/>
      <c r="D489" s="229"/>
      <c r="E489" s="229"/>
      <c r="F489" s="229"/>
    </row>
    <row r="490" spans="1:7" ht="43.5" customHeight="1" x14ac:dyDescent="0.35">
      <c r="A490" s="5"/>
      <c r="B490" s="249" t="s">
        <v>918</v>
      </c>
      <c r="C490" s="228"/>
      <c r="D490" s="229"/>
      <c r="E490" s="229"/>
      <c r="F490" s="227"/>
    </row>
    <row r="491" spans="1:7" x14ac:dyDescent="0.35">
      <c r="A491" s="5" t="s">
        <v>118</v>
      </c>
      <c r="B491" s="248" t="s">
        <v>919</v>
      </c>
      <c r="C491" s="228"/>
      <c r="D491" s="229"/>
      <c r="E491" s="229"/>
      <c r="F491" s="229"/>
    </row>
    <row r="492" spans="1:7" s="240" customFormat="1" ht="29" customHeight="1" x14ac:dyDescent="0.35">
      <c r="A492" s="241"/>
      <c r="B492" s="250" t="s">
        <v>920</v>
      </c>
      <c r="C492" s="238"/>
      <c r="D492" s="239"/>
      <c r="E492" s="239"/>
      <c r="F492" s="248"/>
      <c r="G492" s="8"/>
    </row>
    <row r="493" spans="1:7" x14ac:dyDescent="0.35">
      <c r="A493" s="5" t="s">
        <v>121</v>
      </c>
      <c r="B493" s="248" t="s">
        <v>921</v>
      </c>
      <c r="C493" s="228"/>
      <c r="D493" s="229"/>
      <c r="E493" s="229"/>
      <c r="F493" s="229"/>
    </row>
    <row r="494" spans="1:7" ht="29" customHeight="1" x14ac:dyDescent="0.35">
      <c r="A494" s="5"/>
      <c r="B494" s="237" t="s">
        <v>922</v>
      </c>
      <c r="C494" s="228"/>
      <c r="D494" s="229"/>
      <c r="E494" s="229"/>
      <c r="F494" s="229"/>
    </row>
    <row r="495" spans="1:7" x14ac:dyDescent="0.35">
      <c r="A495" s="5" t="s">
        <v>124</v>
      </c>
      <c r="B495" s="248" t="s">
        <v>923</v>
      </c>
      <c r="C495" s="228"/>
      <c r="D495" s="229"/>
      <c r="E495" s="229"/>
      <c r="F495" s="229"/>
    </row>
    <row r="496" spans="1:7" ht="29" customHeight="1" x14ac:dyDescent="0.35">
      <c r="A496" s="5"/>
      <c r="B496" s="250" t="s">
        <v>924</v>
      </c>
      <c r="C496" s="228"/>
      <c r="D496" s="229"/>
      <c r="E496" s="229"/>
      <c r="F496" s="229"/>
    </row>
    <row r="497" spans="1:7" x14ac:dyDescent="0.35">
      <c r="A497" s="5" t="s">
        <v>162</v>
      </c>
      <c r="B497" s="248" t="s">
        <v>925</v>
      </c>
      <c r="C497" s="228"/>
      <c r="D497" s="229"/>
      <c r="E497" s="229"/>
      <c r="F497" s="229"/>
    </row>
    <row r="498" spans="1:7" ht="58" customHeight="1" x14ac:dyDescent="0.35">
      <c r="A498" s="5"/>
      <c r="B498" s="250" t="s">
        <v>926</v>
      </c>
      <c r="C498" s="228"/>
      <c r="D498" s="229"/>
      <c r="E498" s="229"/>
      <c r="F498" s="229"/>
    </row>
    <row r="499" spans="1:7" s="240" customFormat="1" x14ac:dyDescent="0.35">
      <c r="A499" s="241" t="s">
        <v>913</v>
      </c>
      <c r="B499" s="251" t="s">
        <v>45</v>
      </c>
      <c r="C499" s="238"/>
      <c r="D499" s="239"/>
      <c r="E499" s="239"/>
      <c r="F499" s="239"/>
      <c r="G499" s="8"/>
    </row>
    <row r="500" spans="1:7" ht="29" customHeight="1" x14ac:dyDescent="0.35">
      <c r="A500" s="52" t="s">
        <v>110</v>
      </c>
      <c r="B500" s="18" t="s">
        <v>927</v>
      </c>
      <c r="C500" s="228"/>
      <c r="D500" s="229"/>
      <c r="E500" s="229"/>
      <c r="F500" s="229"/>
    </row>
    <row r="501" spans="1:7" x14ac:dyDescent="0.35">
      <c r="A501" s="5"/>
      <c r="B501" s="250"/>
      <c r="C501" s="228"/>
      <c r="D501" s="229"/>
      <c r="E501" s="229"/>
      <c r="F501" s="229"/>
    </row>
    <row r="502" spans="1:7" x14ac:dyDescent="0.35">
      <c r="A502" s="241" t="s">
        <v>928</v>
      </c>
      <c r="B502" s="248" t="s">
        <v>929</v>
      </c>
      <c r="C502" s="228"/>
      <c r="D502" s="229"/>
      <c r="E502" s="228"/>
      <c r="F502" s="229"/>
    </row>
    <row r="503" spans="1:7" x14ac:dyDescent="0.35">
      <c r="A503" s="5" t="s">
        <v>930</v>
      </c>
      <c r="B503" s="227" t="s">
        <v>931</v>
      </c>
      <c r="C503" s="228"/>
      <c r="D503" s="229"/>
      <c r="E503" s="228"/>
      <c r="F503" s="229"/>
    </row>
    <row r="504" spans="1:7" x14ac:dyDescent="0.35">
      <c r="A504" s="5" t="s">
        <v>932</v>
      </c>
      <c r="B504" s="227" t="s">
        <v>933</v>
      </c>
      <c r="C504" s="228"/>
      <c r="D504" s="229"/>
      <c r="E504" s="228"/>
      <c r="F504" s="229"/>
    </row>
    <row r="505" spans="1:7" x14ac:dyDescent="0.35">
      <c r="A505" s="5" t="s">
        <v>934</v>
      </c>
      <c r="B505" s="227" t="s">
        <v>935</v>
      </c>
      <c r="C505" s="228"/>
      <c r="D505" s="229"/>
      <c r="E505" s="228"/>
      <c r="F505" s="229"/>
    </row>
    <row r="506" spans="1:7" x14ac:dyDescent="0.35">
      <c r="A506" s="5" t="s">
        <v>936</v>
      </c>
      <c r="B506" s="227" t="s">
        <v>937</v>
      </c>
      <c r="C506" s="228"/>
      <c r="D506" s="229"/>
      <c r="E506" s="228"/>
      <c r="F506" s="229"/>
    </row>
    <row r="507" spans="1:7" x14ac:dyDescent="0.35">
      <c r="A507" s="5" t="s">
        <v>938</v>
      </c>
      <c r="B507" s="252" t="s">
        <v>939</v>
      </c>
      <c r="C507" s="228"/>
      <c r="D507" s="229"/>
      <c r="E507" s="228"/>
      <c r="F507" s="229"/>
    </row>
    <row r="508" spans="1:7" x14ac:dyDescent="0.35">
      <c r="A508" s="5" t="s">
        <v>940</v>
      </c>
      <c r="B508" s="252" t="s">
        <v>941</v>
      </c>
      <c r="C508" s="228"/>
      <c r="D508" s="229"/>
      <c r="E508" s="228"/>
      <c r="F508" s="229"/>
    </row>
    <row r="509" spans="1:7" x14ac:dyDescent="0.35">
      <c r="A509" s="5" t="s">
        <v>942</v>
      </c>
      <c r="B509" s="252" t="s">
        <v>943</v>
      </c>
      <c r="C509" s="228"/>
      <c r="D509" s="229"/>
      <c r="E509" s="228"/>
      <c r="F509" s="229"/>
    </row>
    <row r="510" spans="1:7" x14ac:dyDescent="0.35">
      <c r="A510" s="5" t="s">
        <v>944</v>
      </c>
      <c r="B510" s="227" t="s">
        <v>296</v>
      </c>
      <c r="C510" s="228"/>
      <c r="D510" s="229"/>
      <c r="E510" s="228"/>
      <c r="F510" s="229"/>
    </row>
    <row r="511" spans="1:7" x14ac:dyDescent="0.35">
      <c r="A511" s="5" t="s">
        <v>945</v>
      </c>
      <c r="B511" s="227" t="s">
        <v>946</v>
      </c>
      <c r="C511" s="228"/>
      <c r="D511" s="229"/>
      <c r="E511" s="228"/>
      <c r="F511" s="229"/>
    </row>
    <row r="512" spans="1:7" x14ac:dyDescent="0.35">
      <c r="A512" s="5" t="s">
        <v>947</v>
      </c>
      <c r="B512" s="227" t="s">
        <v>948</v>
      </c>
      <c r="C512" s="228"/>
      <c r="D512" s="229"/>
      <c r="E512" s="228"/>
      <c r="F512" s="229"/>
    </row>
    <row r="513" spans="1:6" x14ac:dyDescent="0.35">
      <c r="A513" s="5" t="s">
        <v>949</v>
      </c>
      <c r="B513" s="227" t="s">
        <v>950</v>
      </c>
      <c r="C513" s="228"/>
      <c r="D513" s="229"/>
      <c r="E513" s="228"/>
      <c r="F513" s="229"/>
    </row>
    <row r="514" spans="1:6" x14ac:dyDescent="0.35">
      <c r="A514" s="5" t="s">
        <v>951</v>
      </c>
      <c r="B514" s="227" t="s">
        <v>952</v>
      </c>
      <c r="C514" s="228"/>
      <c r="D514" s="229"/>
      <c r="E514" s="228"/>
      <c r="F514" s="229"/>
    </row>
    <row r="515" spans="1:6" x14ac:dyDescent="0.35">
      <c r="A515" s="5" t="s">
        <v>953</v>
      </c>
      <c r="B515" s="227" t="s">
        <v>954</v>
      </c>
      <c r="C515" s="228"/>
      <c r="D515" s="229"/>
      <c r="E515" s="228"/>
      <c r="F515" s="229"/>
    </row>
    <row r="516" spans="1:6" x14ac:dyDescent="0.35">
      <c r="A516" s="5" t="s">
        <v>955</v>
      </c>
      <c r="B516" s="227" t="s">
        <v>956</v>
      </c>
      <c r="C516" s="228"/>
      <c r="D516" s="229"/>
      <c r="E516" s="228"/>
      <c r="F516" s="229"/>
    </row>
    <row r="517" spans="1:6" x14ac:dyDescent="0.35">
      <c r="A517" s="5" t="s">
        <v>957</v>
      </c>
      <c r="B517" s="227" t="s">
        <v>958</v>
      </c>
      <c r="C517" s="228"/>
      <c r="D517" s="229"/>
      <c r="E517" s="228"/>
      <c r="F517" s="229"/>
    </row>
    <row r="518" spans="1:6" x14ac:dyDescent="0.35">
      <c r="A518" s="5" t="s">
        <v>959</v>
      </c>
      <c r="B518" s="227" t="s">
        <v>960</v>
      </c>
      <c r="C518" s="228"/>
      <c r="D518" s="229"/>
      <c r="E518" s="228"/>
      <c r="F518" s="229"/>
    </row>
  </sheetData>
  <sheetProtection algorithmName="SHA-512" hashValue="2566FDz5JLLwCV/c54V9G6HL/t8y5v1RnagyWPF8Ge7yuFyODs6dINa1B2MGUgnWN/PPtrzqc4AcILwiPy0zjA==" saltValue="RcJfr16HiIgeinpYKglzlg==" spinCount="100000" sheet="1" objects="1" scenarios="1"/>
  <mergeCells count="16">
    <mergeCell ref="A1:F1"/>
    <mergeCell ref="A5:F5"/>
    <mergeCell ref="E450:E452"/>
    <mergeCell ref="C99:C104"/>
    <mergeCell ref="C441:C444"/>
    <mergeCell ref="D441:D444"/>
    <mergeCell ref="E441:E444"/>
    <mergeCell ref="A4:F4"/>
    <mergeCell ref="F441:F444"/>
    <mergeCell ref="C220:C221"/>
    <mergeCell ref="E469:E475"/>
    <mergeCell ref="C212:C213"/>
    <mergeCell ref="C222:C223"/>
    <mergeCell ref="C477:C479"/>
    <mergeCell ref="C214:C215"/>
    <mergeCell ref="C466:C467"/>
  </mergeCells>
  <conditionalFormatting sqref="A124">
    <cfRule type="cellIs" dxfId="358" priority="5" stopIfTrue="1" operator="equal">
      <formula>"NA"</formula>
    </cfRule>
    <cfRule type="cellIs" dxfId="357" priority="6" stopIfTrue="1" operator="equal">
      <formula>"NA"</formula>
    </cfRule>
  </conditionalFormatting>
  <conditionalFormatting sqref="A129:A137">
    <cfRule type="cellIs" dxfId="356" priority="1" stopIfTrue="1" operator="equal">
      <formula>"NA"</formula>
    </cfRule>
    <cfRule type="cellIs" dxfId="355" priority="2" stopIfTrue="1" operator="equal">
      <formula>"NA"</formula>
    </cfRule>
  </conditionalFormatting>
  <printOptions horizontalCentered="1"/>
  <pageMargins left="0.11811023622047249" right="0" top="0.35433070866141742" bottom="0.35433070866141742" header="0.31496062992125978" footer="0.31496062992125978"/>
  <pageSetup paperSize="9" scale="70" orientation="landscape"/>
  <headerFooter>
    <oddFooter>&amp;C&amp;P&amp;RNote: Not to be quoted and not to be published without prior permission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H38"/>
  <sheetViews>
    <sheetView zoomScale="51" workbookViewId="0">
      <selection activeCell="C3" sqref="C3:G3"/>
    </sheetView>
  </sheetViews>
  <sheetFormatPr defaultColWidth="0" defaultRowHeight="0" customHeight="1" zeroHeight="1" x14ac:dyDescent="0.35"/>
  <cols>
    <col min="1" max="1" width="6.453125" style="478" customWidth="1"/>
    <col min="2" max="2" width="48.81640625" style="479" customWidth="1"/>
    <col min="3" max="3" width="17.453125" style="480" customWidth="1"/>
    <col min="4" max="4" width="14.54296875" style="27" customWidth="1"/>
    <col min="5" max="5" width="28.1796875" style="27" customWidth="1"/>
    <col min="6" max="6" width="12.54296875" style="27" customWidth="1"/>
    <col min="7" max="7" width="16" style="481" customWidth="1"/>
    <col min="8" max="8" width="9.1796875" style="27" hidden="1" customWidth="1"/>
    <col min="9" max="16384" width="9.1796875" style="27" hidden="1"/>
  </cols>
  <sheetData>
    <row r="1" spans="1:7" ht="30" customHeight="1" x14ac:dyDescent="0.35">
      <c r="A1" s="974" t="s">
        <v>961</v>
      </c>
      <c r="B1" s="930"/>
      <c r="C1" s="930"/>
      <c r="D1" s="930"/>
      <c r="E1" s="930"/>
      <c r="F1" s="930"/>
      <c r="G1" s="931"/>
    </row>
    <row r="2" spans="1:7" ht="30" customHeight="1" x14ac:dyDescent="0.35">
      <c r="A2" s="996" t="s">
        <v>962</v>
      </c>
      <c r="B2" s="930"/>
      <c r="C2" s="930"/>
      <c r="D2" s="930"/>
      <c r="E2" s="930"/>
      <c r="F2" s="930"/>
      <c r="G2" s="931"/>
    </row>
    <row r="3" spans="1:7" ht="17" customHeight="1" x14ac:dyDescent="0.35">
      <c r="A3" s="254">
        <v>1</v>
      </c>
      <c r="B3" s="517" t="s">
        <v>963</v>
      </c>
      <c r="C3" s="979"/>
      <c r="D3" s="963"/>
      <c r="E3" s="963"/>
      <c r="F3" s="963"/>
      <c r="G3" s="964"/>
    </row>
    <row r="4" spans="1:7" ht="17" customHeight="1" x14ac:dyDescent="0.35">
      <c r="A4" s="994">
        <v>2</v>
      </c>
      <c r="B4" s="14" t="s">
        <v>964</v>
      </c>
      <c r="C4" s="979"/>
      <c r="D4" s="963"/>
      <c r="E4" s="963"/>
      <c r="F4" s="963"/>
      <c r="G4" s="964"/>
    </row>
    <row r="5" spans="1:7" ht="17" customHeight="1" x14ac:dyDescent="0.35">
      <c r="A5" s="982"/>
      <c r="B5" s="14" t="s">
        <v>965</v>
      </c>
      <c r="C5" s="987"/>
      <c r="D5" s="963"/>
      <c r="E5" s="963"/>
      <c r="F5" s="963"/>
      <c r="G5" s="964"/>
    </row>
    <row r="6" spans="1:7" ht="17" customHeight="1" x14ac:dyDescent="0.35">
      <c r="A6" s="337">
        <v>3</v>
      </c>
      <c r="B6" s="14" t="s">
        <v>966</v>
      </c>
      <c r="C6" s="978" t="s">
        <v>967</v>
      </c>
      <c r="D6" s="964"/>
      <c r="E6" s="256" t="s">
        <v>968</v>
      </c>
      <c r="F6" s="978" t="s">
        <v>967</v>
      </c>
      <c r="G6" s="964"/>
    </row>
    <row r="7" spans="1:7" ht="17" customHeight="1" x14ac:dyDescent="0.35">
      <c r="A7" s="254">
        <v>4</v>
      </c>
      <c r="B7" s="983" t="s">
        <v>969</v>
      </c>
      <c r="C7" s="930"/>
      <c r="D7" s="930"/>
      <c r="E7" s="930"/>
      <c r="F7" s="930"/>
      <c r="G7" s="931"/>
    </row>
    <row r="8" spans="1:7" ht="17" customHeight="1" x14ac:dyDescent="0.35">
      <c r="A8" s="980" t="s">
        <v>65</v>
      </c>
      <c r="B8" s="255" t="s">
        <v>970</v>
      </c>
      <c r="C8" s="989"/>
      <c r="D8" s="963"/>
      <c r="E8" s="963"/>
      <c r="F8" s="963"/>
      <c r="G8" s="964"/>
    </row>
    <row r="9" spans="1:7" ht="17" customHeight="1" x14ac:dyDescent="0.35">
      <c r="A9" s="981"/>
      <c r="B9" s="255" t="s">
        <v>971</v>
      </c>
      <c r="C9" s="989"/>
      <c r="D9" s="963"/>
      <c r="E9" s="963"/>
      <c r="F9" s="963"/>
      <c r="G9" s="964"/>
    </row>
    <row r="10" spans="1:7" ht="17" customHeight="1" x14ac:dyDescent="0.35">
      <c r="A10" s="981"/>
      <c r="B10" s="255" t="s">
        <v>972</v>
      </c>
      <c r="C10" s="989"/>
      <c r="D10" s="963"/>
      <c r="E10" s="963"/>
      <c r="F10" s="963"/>
      <c r="G10" s="964"/>
    </row>
    <row r="11" spans="1:7" ht="17" customHeight="1" x14ac:dyDescent="0.35">
      <c r="A11" s="981"/>
      <c r="B11" s="255" t="s">
        <v>973</v>
      </c>
      <c r="C11" s="979"/>
      <c r="D11" s="963"/>
      <c r="E11" s="964"/>
      <c r="F11" s="256" t="s">
        <v>974</v>
      </c>
      <c r="G11" s="264" t="s">
        <v>975</v>
      </c>
    </row>
    <row r="12" spans="1:7" ht="17" customHeight="1" x14ac:dyDescent="0.35">
      <c r="A12" s="982"/>
      <c r="B12" s="255" t="s">
        <v>976</v>
      </c>
      <c r="C12" s="979"/>
      <c r="D12" s="964"/>
      <c r="E12" s="256"/>
      <c r="F12" s="979" t="s">
        <v>977</v>
      </c>
      <c r="G12" s="964"/>
    </row>
    <row r="13" spans="1:7" ht="17" customHeight="1" x14ac:dyDescent="0.35">
      <c r="A13" s="980" t="s">
        <v>251</v>
      </c>
      <c r="B13" s="24" t="s">
        <v>978</v>
      </c>
      <c r="C13" s="979"/>
      <c r="D13" s="963"/>
      <c r="E13" s="963"/>
      <c r="F13" s="963"/>
      <c r="G13" s="964"/>
    </row>
    <row r="14" spans="1:7" ht="17" customHeight="1" x14ac:dyDescent="0.35">
      <c r="A14" s="981"/>
      <c r="B14" s="256" t="s">
        <v>979</v>
      </c>
      <c r="C14" s="979"/>
      <c r="D14" s="963"/>
      <c r="E14" s="963"/>
      <c r="F14" s="963"/>
      <c r="G14" s="964"/>
    </row>
    <row r="15" spans="1:7" ht="17" customHeight="1" x14ac:dyDescent="0.35">
      <c r="A15" s="981"/>
      <c r="B15" s="255" t="s">
        <v>980</v>
      </c>
      <c r="C15" s="979"/>
      <c r="D15" s="964"/>
      <c r="E15" s="256" t="s">
        <v>981</v>
      </c>
      <c r="F15" s="979"/>
      <c r="G15" s="964"/>
    </row>
    <row r="16" spans="1:7" ht="17" customHeight="1" x14ac:dyDescent="0.35">
      <c r="A16" s="982"/>
      <c r="B16" s="256" t="s">
        <v>982</v>
      </c>
      <c r="C16" s="224"/>
      <c r="D16" s="256" t="s">
        <v>983</v>
      </c>
      <c r="E16" s="993"/>
      <c r="F16" s="963"/>
      <c r="G16" s="964"/>
    </row>
    <row r="17" spans="1:8" ht="17" customHeight="1" x14ac:dyDescent="0.35">
      <c r="A17" s="254">
        <v>5</v>
      </c>
      <c r="B17" s="983" t="s">
        <v>984</v>
      </c>
      <c r="C17" s="930"/>
      <c r="D17" s="930"/>
      <c r="E17" s="930"/>
      <c r="F17" s="930"/>
      <c r="G17" s="931"/>
    </row>
    <row r="18" spans="1:8" ht="17" customHeight="1" x14ac:dyDescent="0.35">
      <c r="A18" s="980" t="s">
        <v>65</v>
      </c>
      <c r="B18" s="24" t="s">
        <v>985</v>
      </c>
      <c r="C18" s="979"/>
      <c r="D18" s="963"/>
      <c r="E18" s="963"/>
      <c r="F18" s="963"/>
      <c r="G18" s="964"/>
    </row>
    <row r="19" spans="1:8" ht="17" customHeight="1" x14ac:dyDescent="0.35">
      <c r="A19" s="981"/>
      <c r="B19" s="256" t="s">
        <v>979</v>
      </c>
      <c r="C19" s="979"/>
      <c r="D19" s="963"/>
      <c r="E19" s="963"/>
      <c r="F19" s="963"/>
      <c r="G19" s="964"/>
    </row>
    <row r="20" spans="1:8" ht="17" customHeight="1" x14ac:dyDescent="0.35">
      <c r="A20" s="981"/>
      <c r="B20" s="256" t="s">
        <v>986</v>
      </c>
      <c r="C20" s="979"/>
      <c r="D20" s="963"/>
      <c r="E20" s="963"/>
      <c r="F20" s="963"/>
      <c r="G20" s="964"/>
    </row>
    <row r="21" spans="1:8" ht="17" customHeight="1" x14ac:dyDescent="0.35">
      <c r="A21" s="981"/>
      <c r="B21" s="255" t="s">
        <v>970</v>
      </c>
      <c r="C21" s="979"/>
      <c r="D21" s="963"/>
      <c r="E21" s="963"/>
      <c r="F21" s="963"/>
      <c r="G21" s="964"/>
    </row>
    <row r="22" spans="1:8" ht="17" customHeight="1" x14ac:dyDescent="0.35">
      <c r="A22" s="981"/>
      <c r="B22" s="255" t="s">
        <v>971</v>
      </c>
      <c r="C22" s="979"/>
      <c r="D22" s="963"/>
      <c r="E22" s="963"/>
      <c r="F22" s="963"/>
      <c r="G22" s="964"/>
    </row>
    <row r="23" spans="1:8" ht="17" customHeight="1" x14ac:dyDescent="0.35">
      <c r="A23" s="981"/>
      <c r="B23" s="255" t="s">
        <v>972</v>
      </c>
      <c r="C23" s="979"/>
      <c r="D23" s="963"/>
      <c r="E23" s="963"/>
      <c r="F23" s="963"/>
      <c r="G23" s="964"/>
    </row>
    <row r="24" spans="1:8" ht="17" customHeight="1" x14ac:dyDescent="0.35">
      <c r="A24" s="981"/>
      <c r="B24" s="255" t="s">
        <v>973</v>
      </c>
      <c r="C24" s="979"/>
      <c r="D24" s="963"/>
      <c r="E24" s="964"/>
      <c r="F24" s="256" t="s">
        <v>974</v>
      </c>
      <c r="G24" s="224">
        <v>515415</v>
      </c>
    </row>
    <row r="25" spans="1:8" ht="17" customHeight="1" x14ac:dyDescent="0.35">
      <c r="A25" s="982"/>
      <c r="B25" s="255" t="s">
        <v>980</v>
      </c>
      <c r="C25" s="978"/>
      <c r="D25" s="964"/>
      <c r="E25" s="256"/>
      <c r="F25" s="978"/>
      <c r="G25" s="964"/>
    </row>
    <row r="26" spans="1:8" ht="17" customHeight="1" x14ac:dyDescent="0.35">
      <c r="A26" s="254">
        <v>6</v>
      </c>
      <c r="B26" s="983" t="s">
        <v>987</v>
      </c>
      <c r="C26" s="930"/>
      <c r="D26" s="930"/>
      <c r="E26" s="930"/>
      <c r="F26" s="930"/>
      <c r="G26" s="931"/>
    </row>
    <row r="27" spans="1:8" ht="17" customHeight="1" x14ac:dyDescent="0.35">
      <c r="A27" s="995" t="s">
        <v>65</v>
      </c>
      <c r="B27" s="14" t="s">
        <v>988</v>
      </c>
      <c r="C27" s="979"/>
      <c r="D27" s="963"/>
      <c r="E27" s="963"/>
      <c r="F27" s="963"/>
      <c r="G27" s="964"/>
    </row>
    <row r="28" spans="1:8" ht="17" customHeight="1" x14ac:dyDescent="0.35">
      <c r="A28" s="981"/>
      <c r="B28" s="255" t="s">
        <v>979</v>
      </c>
      <c r="C28" s="979"/>
      <c r="D28" s="964"/>
      <c r="E28" s="990"/>
      <c r="F28" s="931"/>
      <c r="G28" s="264" t="s">
        <v>989</v>
      </c>
    </row>
    <row r="29" spans="1:8" ht="17" customHeight="1" x14ac:dyDescent="0.35">
      <c r="A29" s="981"/>
      <c r="B29" s="256" t="s">
        <v>990</v>
      </c>
      <c r="C29" s="979"/>
      <c r="D29" s="963"/>
      <c r="E29" s="963"/>
      <c r="F29" s="963"/>
      <c r="G29" s="964"/>
    </row>
    <row r="30" spans="1:8" ht="17" customHeight="1" x14ac:dyDescent="0.35">
      <c r="A30" s="981"/>
      <c r="B30" s="255" t="s">
        <v>976</v>
      </c>
      <c r="C30" s="979"/>
      <c r="D30" s="964"/>
      <c r="E30" s="256"/>
      <c r="F30" s="978"/>
      <c r="G30" s="964"/>
    </row>
    <row r="31" spans="1:8" ht="17.5" customHeight="1" thickBot="1" x14ac:dyDescent="0.4">
      <c r="A31" s="981"/>
      <c r="B31" s="257" t="s">
        <v>982</v>
      </c>
      <c r="C31" s="406"/>
      <c r="D31" s="257" t="s">
        <v>991</v>
      </c>
      <c r="E31" s="984"/>
      <c r="F31" s="985"/>
      <c r="G31" s="986"/>
    </row>
    <row r="32" spans="1:8" ht="17" customHeight="1" x14ac:dyDescent="0.35">
      <c r="A32" s="484">
        <v>7</v>
      </c>
      <c r="B32" s="983" t="s">
        <v>992</v>
      </c>
      <c r="C32" s="930"/>
      <c r="D32" s="930"/>
      <c r="E32" s="930"/>
      <c r="F32" s="930"/>
      <c r="G32" s="931"/>
      <c r="H32" s="477"/>
    </row>
    <row r="33" spans="1:8" ht="35" customHeight="1" thickBot="1" x14ac:dyDescent="0.4">
      <c r="A33" s="447"/>
      <c r="B33" s="482" t="str">
        <f>"Current / Assessment / Target Year Corresponds to"</f>
        <v>Current / Assessment / Target Year Corresponds to</v>
      </c>
      <c r="C33" s="487"/>
      <c r="D33" s="988"/>
      <c r="E33" s="963"/>
      <c r="F33" s="963"/>
      <c r="G33" s="964"/>
    </row>
    <row r="34" spans="1:8" s="483" customFormat="1" ht="16.5" customHeight="1" x14ac:dyDescent="0.35">
      <c r="A34" s="484">
        <v>8</v>
      </c>
      <c r="B34" s="983" t="s">
        <v>993</v>
      </c>
      <c r="C34" s="930"/>
      <c r="D34" s="930"/>
      <c r="E34" s="930"/>
      <c r="F34" s="930"/>
      <c r="G34" s="931"/>
      <c r="H34" s="477"/>
    </row>
    <row r="35" spans="1:8" ht="29.5" customHeight="1" thickBot="1" x14ac:dyDescent="0.4">
      <c r="A35" s="260" t="s">
        <v>65</v>
      </c>
      <c r="B35" s="482" t="s">
        <v>994</v>
      </c>
      <c r="C35" s="487"/>
      <c r="D35" s="978"/>
      <c r="E35" s="963"/>
      <c r="F35" s="963"/>
      <c r="G35" s="964"/>
    </row>
    <row r="36" spans="1:8" ht="17.5" customHeight="1" thickBot="1" x14ac:dyDescent="0.4">
      <c r="A36" s="991" t="s">
        <v>251</v>
      </c>
      <c r="B36" s="482" t="str">
        <f>IF(C35=1,"Base Year Corresponds to","First Base Period Year Corresponds to")</f>
        <v>First Base Period Year Corresponds to</v>
      </c>
      <c r="C36" s="892"/>
      <c r="D36" s="988"/>
      <c r="E36" s="963"/>
      <c r="F36" s="963"/>
      <c r="G36" s="964"/>
    </row>
    <row r="37" spans="1:8" ht="17" customHeight="1" x14ac:dyDescent="0.35">
      <c r="A37" s="981"/>
      <c r="B37" s="215" t="str">
        <f>IF(C35=1," ","Second Base Period Year Corresponds to")</f>
        <v>Second Base Period Year Corresponds to</v>
      </c>
      <c r="C37" s="893"/>
      <c r="D37" s="997"/>
      <c r="E37" s="998"/>
      <c r="F37" s="998"/>
      <c r="G37" s="999"/>
    </row>
    <row r="38" spans="1:8" ht="17.5" customHeight="1" thickBot="1" x14ac:dyDescent="0.4">
      <c r="A38" s="992"/>
      <c r="B38" s="447" t="str">
        <f>IF(C35=3,"Third Base Period Year Corresponds to"," ")</f>
        <v xml:space="preserve"> </v>
      </c>
      <c r="C38" s="892"/>
      <c r="D38" s="950"/>
      <c r="E38" s="930"/>
      <c r="F38" s="930"/>
      <c r="G38" s="931"/>
    </row>
  </sheetData>
  <sheetProtection algorithmName="SHA-512" hashValue="YbraH7ERUpU5lVKdFh4wVNyXuz7CturpexrR044g2EjyU0J9JqgHVCA3TNbjvxs1Uk9AbFt1A5rDPd/OPgAluA==" saltValue="1cjApOJ5I4SD8uZSxZJCwA==" spinCount="100000" sheet="1" objects="1" scenarios="1"/>
  <mergeCells count="50">
    <mergeCell ref="A2:G2"/>
    <mergeCell ref="C28:D28"/>
    <mergeCell ref="C13:G13"/>
    <mergeCell ref="D37:G37"/>
    <mergeCell ref="C18:G18"/>
    <mergeCell ref="C29:G29"/>
    <mergeCell ref="C3:G3"/>
    <mergeCell ref="A36:A38"/>
    <mergeCell ref="E16:G16"/>
    <mergeCell ref="C12:D12"/>
    <mergeCell ref="C21:G21"/>
    <mergeCell ref="A1:G1"/>
    <mergeCell ref="D36:G36"/>
    <mergeCell ref="A4:A5"/>
    <mergeCell ref="B32:G32"/>
    <mergeCell ref="C27:G27"/>
    <mergeCell ref="B26:G26"/>
    <mergeCell ref="C23:G23"/>
    <mergeCell ref="C8:G8"/>
    <mergeCell ref="A18:A25"/>
    <mergeCell ref="B7:G7"/>
    <mergeCell ref="C24:E24"/>
    <mergeCell ref="A13:A16"/>
    <mergeCell ref="D38:G38"/>
    <mergeCell ref="B34:G34"/>
    <mergeCell ref="C4:G4"/>
    <mergeCell ref="F12:G12"/>
    <mergeCell ref="C20:G20"/>
    <mergeCell ref="C11:E11"/>
    <mergeCell ref="F30:G30"/>
    <mergeCell ref="F15:G15"/>
    <mergeCell ref="D35:G35"/>
    <mergeCell ref="C10:G10"/>
    <mergeCell ref="C25:D25"/>
    <mergeCell ref="E28:F28"/>
    <mergeCell ref="C22:G22"/>
    <mergeCell ref="C9:G9"/>
    <mergeCell ref="C19:G19"/>
    <mergeCell ref="E31:G31"/>
    <mergeCell ref="C5:G5"/>
    <mergeCell ref="F6:G6"/>
    <mergeCell ref="D33:G33"/>
    <mergeCell ref="C14:G14"/>
    <mergeCell ref="C6:D6"/>
    <mergeCell ref="C30:D30"/>
    <mergeCell ref="C15:D15"/>
    <mergeCell ref="A8:A12"/>
    <mergeCell ref="B17:G17"/>
    <mergeCell ref="F25:G25"/>
    <mergeCell ref="A27:A31"/>
  </mergeCells>
  <conditionalFormatting sqref="C37">
    <cfRule type="expression" dxfId="354" priority="2" stopIfTrue="1">
      <formula>$C$35=1</formula>
    </cfRule>
  </conditionalFormatting>
  <conditionalFormatting sqref="C38">
    <cfRule type="expression" dxfId="353" priority="1" stopIfTrue="1">
      <formula>$C$35&lt;3</formula>
    </cfRule>
  </conditionalFormatting>
  <dataValidations count="4">
    <dataValidation type="list" allowBlank="1" showInputMessage="1" showErrorMessage="1" sqref="C6:D6" xr:uid="{00000000-0002-0000-0200-000000000000}">
      <formula1>"PPC,OPC,PSC, White Cement, Wet, Grinding, Clinkerization,Composite Cement"</formula1>
    </dataValidation>
    <dataValidation type="list" allowBlank="1" showInputMessage="1" showErrorMessage="1" sqref="C33" xr:uid="{00000000-0002-0000-0200-000001000000}">
      <formula1>"2018-19,2019-20,2020-21,2021-22,2022-23,2023-24,2024-25,2025-26,2026-27,2027-28,2028-29,2029-30,2030-31,2031-32,2032-33,2033-34,2034-35,2035-36,2036-37,2037-38,2038-39,2039-40"</formula1>
    </dataValidation>
    <dataValidation type="list" allowBlank="1" showInputMessage="1" showErrorMessage="1" sqref="C35" xr:uid="{00000000-0002-0000-0200-000002000000}">
      <formula1>"1,2,3"</formula1>
    </dataValidation>
    <dataValidation type="list" allowBlank="1" showInputMessage="1" showErrorMessage="1" sqref="C36:C38" xr:uid="{00000000-0002-0000-0200-000003000000}">
      <formula1>"2010-11,2011-12,2012-13,2013-14,2014-15,2015-16,2016-17,2017-18,2018-19,2019-20,2020-21,2021-22,2022-23,2023-24,2024-25,2025-26,2026-27,2027-28,2028-29,2029-30,2030-31,2031-32,2032-33,2033-34,2034-35,2035-36,2036-37,2037-38,2038-39,2039-40"</formula1>
    </dataValidation>
  </dataValidations>
  <printOptions horizontalCentered="1"/>
  <pageMargins left="0.11811023622047249" right="0.19685039370078741" top="0.15748031496062989" bottom="0" header="0.31496062992125978" footer="0.31496062992125978"/>
  <pageSetup paperSize="9" scale="83" orientation="landscape" horizontalDpi="4294967295" verticalDpi="4294967295"/>
  <headerFooter>
    <oddFooter>&amp;C&amp;P&amp;RNote: Not to be quoted and not to be published without prior permission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E79"/>
  <sheetViews>
    <sheetView topLeftCell="A23" zoomScale="90" zoomScaleNormal="90" workbookViewId="0">
      <selection activeCell="D19" sqref="D19"/>
    </sheetView>
  </sheetViews>
  <sheetFormatPr defaultColWidth="0" defaultRowHeight="14.5" zeroHeight="1" x14ac:dyDescent="0.35"/>
  <cols>
    <col min="1" max="1" width="9.1796875" customWidth="1"/>
    <col min="2" max="2" width="63.54296875" customWidth="1"/>
    <col min="3" max="3" width="20.453125" customWidth="1"/>
    <col min="4" max="5" width="18.453125" customWidth="1"/>
    <col min="6" max="6" width="9.1796875" hidden="1" customWidth="1"/>
    <col min="7" max="16384" width="9.1796875" hidden="1"/>
  </cols>
  <sheetData>
    <row r="1" spans="1:5" x14ac:dyDescent="0.35">
      <c r="A1" s="1004" t="s">
        <v>995</v>
      </c>
      <c r="B1" s="930"/>
      <c r="C1" s="930"/>
      <c r="D1" s="930"/>
      <c r="E1" s="931"/>
    </row>
    <row r="2" spans="1:5" x14ac:dyDescent="0.35">
      <c r="A2" s="1004" t="s">
        <v>996</v>
      </c>
      <c r="B2" s="930"/>
      <c r="C2" s="930"/>
      <c r="D2" s="930"/>
      <c r="E2" s="931"/>
    </row>
    <row r="3" spans="1:5" x14ac:dyDescent="0.35">
      <c r="A3" s="335" t="s">
        <v>997</v>
      </c>
      <c r="B3" s="336" t="s">
        <v>998</v>
      </c>
      <c r="C3" s="1009" t="s">
        <v>999</v>
      </c>
      <c r="D3" s="930"/>
      <c r="E3" s="931"/>
    </row>
    <row r="4" spans="1:5" x14ac:dyDescent="0.35">
      <c r="A4" s="328"/>
      <c r="B4" s="329" t="s">
        <v>1000</v>
      </c>
      <c r="C4" s="1002">
        <f>'General Information'!C3:G3</f>
        <v>0</v>
      </c>
      <c r="D4" s="930"/>
      <c r="E4" s="931"/>
    </row>
    <row r="5" spans="1:5" x14ac:dyDescent="0.35">
      <c r="A5" s="1000"/>
      <c r="B5" s="329" t="s">
        <v>964</v>
      </c>
      <c r="C5" s="1002">
        <f>'General Information'!C4:G4</f>
        <v>0</v>
      </c>
      <c r="D5" s="930"/>
      <c r="E5" s="931"/>
    </row>
    <row r="6" spans="1:5" x14ac:dyDescent="0.35">
      <c r="A6" s="949"/>
      <c r="B6" s="329" t="s">
        <v>965</v>
      </c>
      <c r="C6" s="1002">
        <f>'General Information'!C5</f>
        <v>0</v>
      </c>
      <c r="D6" s="930"/>
      <c r="E6" s="931"/>
    </row>
    <row r="7" spans="1:5" ht="14.5" customHeight="1" x14ac:dyDescent="0.35">
      <c r="A7" s="1000"/>
      <c r="B7" s="1003" t="s">
        <v>1001</v>
      </c>
      <c r="C7" s="1000" t="s">
        <v>1002</v>
      </c>
      <c r="D7" s="931"/>
      <c r="E7" s="329" t="s">
        <v>966</v>
      </c>
    </row>
    <row r="8" spans="1:5" ht="14.5" customHeight="1" x14ac:dyDescent="0.35">
      <c r="A8" s="949"/>
      <c r="B8" s="949"/>
      <c r="C8" s="1000" t="str">
        <f>'General Information'!A2</f>
        <v>Sector :-  Cement Sector</v>
      </c>
      <c r="D8" s="931"/>
      <c r="E8" s="515" t="str">
        <f>'General Information'!C6</f>
        <v>PPC</v>
      </c>
    </row>
    <row r="9" spans="1:5" ht="69.650000000000006" customHeight="1" x14ac:dyDescent="0.35">
      <c r="A9" s="328" t="s">
        <v>1003</v>
      </c>
      <c r="B9" s="329" t="s">
        <v>1004</v>
      </c>
      <c r="C9" s="1000" t="str">
        <f>'General Information'!C8&amp;", "&amp;'General Information'!C9&amp;", "&amp;'General Information'!C10&amp;", "&amp;'General Information'!C11&amp;"- "&amp;'General Information'!F11&amp;", "&amp;'General Information'!B12&amp;"- "&amp;'General Information'!C12&amp;", "&amp;'General Information'!E12&amp;"- "&amp;'General Information'!F12&amp;", "&amp;'General Information'!C13&amp;", "&amp; 'General Information'!C14&amp;", "&amp;'General Information'!B15&amp;"- "&amp;'General Information'!C15&amp;", "&amp;'General Information'!E15&amp;"- "&amp;'General Information'!F15&amp;", "&amp;'General Information'!B16&amp;"-"&amp;'General Information'!C16&amp;", "&amp;'General Information'!D16&amp;"- "&amp;'General Information'!E16</f>
        <v xml:space="preserve">, , , - Pin, Telephone- , - 08558-288821, , , Telephone with STD Code- , Fax- , Mobile-, E-mail- </v>
      </c>
      <c r="D9" s="930"/>
      <c r="E9" s="931"/>
    </row>
    <row r="10" spans="1:5" ht="69.650000000000006" customHeight="1" x14ac:dyDescent="0.35">
      <c r="A10" s="328" t="s">
        <v>115</v>
      </c>
      <c r="B10" s="330" t="s">
        <v>1005</v>
      </c>
      <c r="C10" s="1000" t="str">
        <f>'General Information'!B18&amp;":"&amp;'General Information'!C18:F18&amp;","&amp;'General Information'!B19&amp;":"&amp;'General Information'!C19:F19&amp;","&amp;'General Information'!B20&amp;":"&amp;'General Information'!C20:F20&amp;","&amp;'General Information'!B21&amp;"-"&amp;'General Information'!C21:D21&amp;","&amp;'General Information'!E21&amp;"-"&amp;'General Information'!F21&amp;", "&amp;'General Information'!B22&amp;"-"&amp;'General Information'!C22:D22&amp;","&amp;'General Information'!B23&amp;"-"&amp;'General Information'!C23:D23&amp;","&amp;'General Information'!E23&amp;"-"&amp;'General Information'!F23&amp;", "&amp;'General Information'!B24&amp;"-"&amp;'General Information'!C24:D24&amp;","&amp;'General Information'!E24&amp;"-"&amp;'General Information'!F24&amp;"-"&amp;'General Information'!G24&amp;","&amp;'General Information'!B25&amp;"-"&amp;'General Information'!C25&amp;","&amp;'General Information'!E25&amp;"-"&amp;'General Information'!F25</f>
        <v>Company's Chief Executive Name:,Designation:,Address:,City/Town/Village-,-, Post Office-,District-,-, State-,-Pin-515415,Telephone with STD Code-,-</v>
      </c>
      <c r="D10" s="930"/>
      <c r="E10" s="931"/>
    </row>
    <row r="11" spans="1:5" ht="72" customHeight="1" x14ac:dyDescent="0.35">
      <c r="A11" s="328" t="s">
        <v>118</v>
      </c>
      <c r="B11" s="330" t="s">
        <v>1006</v>
      </c>
      <c r="C11" s="1000" t="str">
        <f>'General Information'!C26&amp;", "&amp; 'General Information'!C27&amp;", "&amp;'General Information'!F27&amp;", "&amp;'General Information'!B28&amp;"- "&amp;'General Information'!C28&amp;", "&amp;'General Information'!B29&amp;"-"&amp;'General Information'!C29&amp;", "&amp;'General Information'!E29&amp;"- "&amp;'General Information'!F29&amp;", "&amp;'General Information'!B30&amp;"- "&amp;'General Information'!C30&amp;", "&amp;'General Information'!D30&amp;"-"&amp;'General Information'!E30</f>
        <v>, , , Designation- , Energy Auditor (EA)/Energy Manager (EM)Registration No.-, - , Telephone- , -</v>
      </c>
      <c r="D11" s="930"/>
      <c r="E11" s="931"/>
    </row>
    <row r="12" spans="1:5" x14ac:dyDescent="0.35">
      <c r="A12" s="335" t="s">
        <v>1007</v>
      </c>
      <c r="B12" s="1008" t="s">
        <v>1008</v>
      </c>
      <c r="C12" s="930"/>
      <c r="D12" s="930"/>
      <c r="E12" s="931"/>
    </row>
    <row r="13" spans="1:5" x14ac:dyDescent="0.35">
      <c r="A13" s="361"/>
      <c r="B13" s="1005" t="s">
        <v>1009</v>
      </c>
      <c r="C13" s="930"/>
      <c r="D13" s="930"/>
      <c r="E13" s="931"/>
    </row>
    <row r="14" spans="1:5" ht="14.5" customHeight="1" x14ac:dyDescent="0.35">
      <c r="A14" s="1006" t="s">
        <v>43</v>
      </c>
      <c r="B14" s="1005" t="s">
        <v>1010</v>
      </c>
      <c r="C14" s="361" t="s">
        <v>1011</v>
      </c>
      <c r="D14" s="361" t="s">
        <v>1012</v>
      </c>
      <c r="E14" s="361" t="s">
        <v>1013</v>
      </c>
    </row>
    <row r="15" spans="1:5" ht="14.5" customHeight="1" x14ac:dyDescent="0.35">
      <c r="A15" s="949"/>
      <c r="B15" s="949"/>
      <c r="C15" s="362" t="s">
        <v>1014</v>
      </c>
      <c r="D15" s="362" t="s">
        <v>1015</v>
      </c>
      <c r="E15" s="362" t="s">
        <v>1016</v>
      </c>
    </row>
    <row r="16" spans="1:5" x14ac:dyDescent="0.35">
      <c r="A16" s="332" t="s">
        <v>110</v>
      </c>
      <c r="B16" s="334" t="s">
        <v>1017</v>
      </c>
      <c r="C16" s="328" t="s">
        <v>1018</v>
      </c>
      <c r="D16" s="338">
        <f>'Form-Sb'!H42</f>
        <v>0</v>
      </c>
      <c r="E16" s="328">
        <f>'Form-Sb'!I42</f>
        <v>0</v>
      </c>
    </row>
    <row r="17" spans="1:5" x14ac:dyDescent="0.35">
      <c r="A17" s="332" t="s">
        <v>115</v>
      </c>
      <c r="B17" s="334" t="s">
        <v>1019</v>
      </c>
      <c r="C17" s="328" t="s">
        <v>1018</v>
      </c>
      <c r="D17" s="338">
        <f>'Form-Sb'!H48</f>
        <v>0</v>
      </c>
      <c r="E17" s="328">
        <f>'Form-Sb'!I48</f>
        <v>0</v>
      </c>
    </row>
    <row r="18" spans="1:5" x14ac:dyDescent="0.35">
      <c r="A18" s="332" t="s">
        <v>118</v>
      </c>
      <c r="B18" s="334" t="s">
        <v>1020</v>
      </c>
      <c r="C18" s="328" t="s">
        <v>1018</v>
      </c>
      <c r="D18" s="338">
        <f>'Form-Sb'!H53</f>
        <v>0</v>
      </c>
      <c r="E18" s="328">
        <f>'Form-Sb'!I53</f>
        <v>0</v>
      </c>
    </row>
    <row r="19" spans="1:5" x14ac:dyDescent="0.35">
      <c r="A19" s="332" t="s">
        <v>121</v>
      </c>
      <c r="B19" s="334" t="s">
        <v>1021</v>
      </c>
      <c r="C19" s="328" t="s">
        <v>1018</v>
      </c>
      <c r="D19" s="328"/>
      <c r="E19" s="328"/>
    </row>
    <row r="20" spans="1:5" x14ac:dyDescent="0.35">
      <c r="A20" s="332" t="s">
        <v>124</v>
      </c>
      <c r="B20" s="334" t="s">
        <v>1022</v>
      </c>
      <c r="C20" s="328" t="s">
        <v>1018</v>
      </c>
      <c r="D20" s="338">
        <f>'Summary Sheet'!E52</f>
        <v>0</v>
      </c>
      <c r="E20" s="338">
        <f>'Summary Sheet'!F52</f>
        <v>0</v>
      </c>
    </row>
    <row r="21" spans="1:5" ht="15" customHeight="1" x14ac:dyDescent="0.35">
      <c r="A21" s="1002"/>
      <c r="B21" s="931"/>
      <c r="C21" s="331" t="s">
        <v>1011</v>
      </c>
      <c r="D21" s="331" t="s">
        <v>1023</v>
      </c>
      <c r="E21" s="331" t="s">
        <v>1024</v>
      </c>
    </row>
    <row r="22" spans="1:5" ht="14.5" customHeight="1" x14ac:dyDescent="0.35">
      <c r="A22" s="360" t="s">
        <v>290</v>
      </c>
      <c r="B22" s="1007" t="s">
        <v>1025</v>
      </c>
      <c r="C22" s="930"/>
      <c r="D22" s="930"/>
      <c r="E22" s="931"/>
    </row>
    <row r="23" spans="1:5" x14ac:dyDescent="0.35">
      <c r="A23" s="1006" t="s">
        <v>43</v>
      </c>
      <c r="B23" s="1006" t="s">
        <v>1026</v>
      </c>
      <c r="C23" s="361" t="s">
        <v>1011</v>
      </c>
      <c r="D23" s="361" t="s">
        <v>1012</v>
      </c>
      <c r="E23" s="361" t="s">
        <v>1013</v>
      </c>
    </row>
    <row r="24" spans="1:5" x14ac:dyDescent="0.35">
      <c r="A24" s="949"/>
      <c r="B24" s="949"/>
      <c r="C24" s="362" t="s">
        <v>1014</v>
      </c>
      <c r="D24" s="362" t="s">
        <v>1015</v>
      </c>
      <c r="E24" s="362" t="s">
        <v>1016</v>
      </c>
    </row>
    <row r="25" spans="1:5" x14ac:dyDescent="0.35">
      <c r="A25" s="332" t="s">
        <v>1027</v>
      </c>
      <c r="B25" s="329" t="s">
        <v>1028</v>
      </c>
      <c r="C25" s="328" t="s">
        <v>1029</v>
      </c>
      <c r="D25" s="338">
        <f>'Summary Sheet'!E39/10</f>
        <v>0</v>
      </c>
      <c r="E25" s="338">
        <f>'Summary Sheet'!F39/10</f>
        <v>0</v>
      </c>
    </row>
    <row r="26" spans="1:5" x14ac:dyDescent="0.35">
      <c r="A26" s="332" t="s">
        <v>115</v>
      </c>
      <c r="B26" s="329" t="s">
        <v>1030</v>
      </c>
      <c r="C26" s="328" t="s">
        <v>1029</v>
      </c>
      <c r="D26" s="338">
        <f>'Form-Sb'!H377/10</f>
        <v>95.328000000000003</v>
      </c>
      <c r="E26" s="328">
        <f>'Form-Sb'!I377/10</f>
        <v>0</v>
      </c>
    </row>
    <row r="27" spans="1:5" x14ac:dyDescent="0.35">
      <c r="A27" s="332" t="s">
        <v>118</v>
      </c>
      <c r="B27" s="329" t="s">
        <v>1031</v>
      </c>
      <c r="C27" s="328" t="s">
        <v>1029</v>
      </c>
      <c r="D27" s="338">
        <f>'Form-Sb'!H380/10</f>
        <v>0</v>
      </c>
      <c r="E27" s="328">
        <f>'Form-Sb'!I380/10</f>
        <v>0</v>
      </c>
    </row>
    <row r="28" spans="1:5" x14ac:dyDescent="0.35">
      <c r="A28" s="332" t="s">
        <v>121</v>
      </c>
      <c r="B28" s="329" t="s">
        <v>1032</v>
      </c>
      <c r="C28" s="328" t="s">
        <v>1029</v>
      </c>
      <c r="D28" s="338">
        <f>'Form-Sb'!H384/10</f>
        <v>95.328000000000003</v>
      </c>
      <c r="E28" s="328">
        <f>'Form-Sb'!I384/10</f>
        <v>0</v>
      </c>
    </row>
    <row r="29" spans="1:5" x14ac:dyDescent="0.35">
      <c r="A29" s="332" t="s">
        <v>124</v>
      </c>
      <c r="B29" s="329" t="s">
        <v>1033</v>
      </c>
      <c r="C29" s="328" t="s">
        <v>1034</v>
      </c>
      <c r="D29" s="338">
        <f>'Form-Sb'!H632+'Form-Sb'!H633</f>
        <v>0</v>
      </c>
      <c r="E29" s="328">
        <f>'Form-Sb'!I632+'Form-Sb'!I633</f>
        <v>0</v>
      </c>
    </row>
    <row r="30" spans="1:5" x14ac:dyDescent="0.35">
      <c r="A30" s="328" t="s">
        <v>162</v>
      </c>
      <c r="B30" s="329" t="s">
        <v>1035</v>
      </c>
      <c r="C30" s="328" t="s">
        <v>1034</v>
      </c>
      <c r="D30" s="338">
        <f>'Form-Sb'!H764+'Form-Sb'!H765+'Form-Sb'!H766</f>
        <v>0</v>
      </c>
      <c r="E30" s="328">
        <f>'Form-Sb'!I764+'Form-Sb'!I765+'Form-Sb'!I766</f>
        <v>0</v>
      </c>
    </row>
    <row r="31" spans="1:5" x14ac:dyDescent="0.35">
      <c r="A31" s="328" t="s">
        <v>202</v>
      </c>
      <c r="B31" s="329" t="s">
        <v>1036</v>
      </c>
      <c r="C31" s="328" t="s">
        <v>1034</v>
      </c>
      <c r="D31" s="338">
        <f>'Form-Sb'!H808+'Form-Sb'!H809</f>
        <v>0</v>
      </c>
      <c r="E31" s="328">
        <f>'Form-Sb'!I808+'Form-Sb'!I809</f>
        <v>0</v>
      </c>
    </row>
    <row r="32" spans="1:5" x14ac:dyDescent="0.35">
      <c r="A32" s="328" t="s">
        <v>203</v>
      </c>
      <c r="B32" s="329" t="s">
        <v>1037</v>
      </c>
      <c r="C32" s="328" t="s">
        <v>1034</v>
      </c>
      <c r="D32" s="338">
        <f>'Form-Sb'!H817</f>
        <v>0</v>
      </c>
      <c r="E32" s="328">
        <f>'Form-Sb'!I817</f>
        <v>0</v>
      </c>
    </row>
    <row r="33" spans="1:5" x14ac:dyDescent="0.35">
      <c r="A33" s="328" t="s">
        <v>225</v>
      </c>
      <c r="B33" s="329" t="s">
        <v>1038</v>
      </c>
      <c r="C33" s="328" t="s">
        <v>1039</v>
      </c>
      <c r="D33" s="338" t="e">
        <f>'Summary Sheet'!E76/10</f>
        <v>#DIV/0!</v>
      </c>
      <c r="E33" s="338">
        <f>'Summary Sheet'!F76/10</f>
        <v>0</v>
      </c>
    </row>
    <row r="34" spans="1:5" x14ac:dyDescent="0.35">
      <c r="A34" s="331" t="s">
        <v>489</v>
      </c>
      <c r="B34" s="1011" t="s">
        <v>1040</v>
      </c>
      <c r="C34" s="930"/>
      <c r="D34" s="930"/>
      <c r="E34" s="931"/>
    </row>
    <row r="35" spans="1:5" x14ac:dyDescent="0.35">
      <c r="A35" s="332" t="s">
        <v>1041</v>
      </c>
      <c r="B35" s="329" t="s">
        <v>1042</v>
      </c>
      <c r="C35" s="328" t="s">
        <v>1043</v>
      </c>
      <c r="D35" s="379">
        <f>'Summary Sheet'!E66</f>
        <v>0</v>
      </c>
      <c r="E35" s="379">
        <f>'Summary Sheet'!F66</f>
        <v>0</v>
      </c>
    </row>
    <row r="36" spans="1:5" x14ac:dyDescent="0.35">
      <c r="A36" s="332" t="s">
        <v>1044</v>
      </c>
      <c r="B36" s="329" t="s">
        <v>1045</v>
      </c>
      <c r="C36" s="328" t="s">
        <v>1043</v>
      </c>
      <c r="D36" s="328"/>
      <c r="E36" s="380">
        <f>'Summary Sheet'!F82</f>
        <v>0</v>
      </c>
    </row>
    <row r="37" spans="1:5" x14ac:dyDescent="0.35">
      <c r="A37" s="1002"/>
      <c r="B37" s="930"/>
      <c r="C37" s="930"/>
      <c r="D37" s="930"/>
      <c r="E37" s="931"/>
    </row>
    <row r="38" spans="1:5" x14ac:dyDescent="0.35">
      <c r="A38" s="335" t="s">
        <v>589</v>
      </c>
      <c r="B38" s="1008" t="s">
        <v>1046</v>
      </c>
      <c r="C38" s="930"/>
      <c r="D38" s="930"/>
      <c r="E38" s="931"/>
    </row>
    <row r="39" spans="1:5" x14ac:dyDescent="0.35">
      <c r="A39" s="332" t="s">
        <v>1047</v>
      </c>
      <c r="B39" s="334" t="s">
        <v>1048</v>
      </c>
      <c r="C39" s="328" t="s">
        <v>1049</v>
      </c>
      <c r="D39" s="329"/>
      <c r="E39" s="328"/>
    </row>
    <row r="40" spans="1:5" ht="28" customHeight="1" x14ac:dyDescent="0.35">
      <c r="A40" s="332" t="s">
        <v>1044</v>
      </c>
      <c r="B40" s="334" t="s">
        <v>1050</v>
      </c>
      <c r="C40" s="328" t="s">
        <v>1051</v>
      </c>
      <c r="D40" s="329"/>
      <c r="E40" s="328"/>
    </row>
    <row r="41" spans="1:5" x14ac:dyDescent="0.35">
      <c r="A41" s="332" t="s">
        <v>1052</v>
      </c>
      <c r="B41" s="334" t="s">
        <v>1053</v>
      </c>
      <c r="C41" s="328" t="s">
        <v>1054</v>
      </c>
      <c r="D41" s="329"/>
      <c r="E41" s="328"/>
    </row>
    <row r="42" spans="1:5" x14ac:dyDescent="0.35">
      <c r="A42" s="332" t="s">
        <v>1055</v>
      </c>
      <c r="B42" s="334" t="s">
        <v>1056</v>
      </c>
      <c r="C42" s="328" t="s">
        <v>1057</v>
      </c>
      <c r="D42" s="329"/>
      <c r="E42" s="328"/>
    </row>
    <row r="43" spans="1:5" x14ac:dyDescent="0.35">
      <c r="A43" s="332" t="s">
        <v>1058</v>
      </c>
      <c r="B43" s="334" t="s">
        <v>1059</v>
      </c>
      <c r="C43" s="328" t="s">
        <v>1060</v>
      </c>
      <c r="D43" s="329"/>
      <c r="E43" s="328"/>
    </row>
    <row r="44" spans="1:5" x14ac:dyDescent="0.35">
      <c r="A44" s="332" t="s">
        <v>1061</v>
      </c>
      <c r="B44" s="334" t="s">
        <v>1062</v>
      </c>
      <c r="C44" s="328" t="s">
        <v>1060</v>
      </c>
      <c r="D44" s="329"/>
      <c r="E44" s="328"/>
    </row>
    <row r="45" spans="1:5" x14ac:dyDescent="0.35">
      <c r="A45" s="332" t="s">
        <v>1063</v>
      </c>
      <c r="B45" s="334" t="s">
        <v>1064</v>
      </c>
      <c r="C45" s="328" t="s">
        <v>1057</v>
      </c>
      <c r="D45" s="329"/>
      <c r="E45" s="328"/>
    </row>
    <row r="46" spans="1:5" x14ac:dyDescent="0.35">
      <c r="A46" s="332" t="s">
        <v>1065</v>
      </c>
      <c r="B46" s="334" t="s">
        <v>1066</v>
      </c>
      <c r="C46" s="328" t="s">
        <v>1060</v>
      </c>
      <c r="D46" s="329"/>
      <c r="E46" s="328"/>
    </row>
    <row r="47" spans="1:5" x14ac:dyDescent="0.35">
      <c r="A47" s="332" t="s">
        <v>1067</v>
      </c>
      <c r="B47" s="334" t="s">
        <v>1068</v>
      </c>
      <c r="C47" s="328" t="s">
        <v>1060</v>
      </c>
      <c r="D47" s="333"/>
      <c r="E47" s="333"/>
    </row>
    <row r="48" spans="1:5" x14ac:dyDescent="0.35">
      <c r="A48" s="332"/>
      <c r="B48" s="334"/>
      <c r="C48" s="328"/>
      <c r="D48" s="333"/>
      <c r="E48" s="333"/>
    </row>
    <row r="49" spans="1:5" x14ac:dyDescent="0.35">
      <c r="A49" s="356" t="s">
        <v>696</v>
      </c>
      <c r="B49" s="1001" t="s">
        <v>1069</v>
      </c>
      <c r="C49" s="930"/>
      <c r="D49" s="930"/>
      <c r="E49" s="931"/>
    </row>
    <row r="50" spans="1:5" s="240" customFormat="1" ht="38.5" customHeight="1" x14ac:dyDescent="0.35">
      <c r="A50" s="359" t="s">
        <v>1070</v>
      </c>
      <c r="B50" s="336" t="s">
        <v>1071</v>
      </c>
      <c r="C50" s="336" t="s">
        <v>966</v>
      </c>
      <c r="D50" s="1012" t="s">
        <v>1072</v>
      </c>
      <c r="E50" s="931"/>
    </row>
    <row r="51" spans="1:5" ht="15" customHeight="1" x14ac:dyDescent="0.35">
      <c r="A51" s="1002" t="s">
        <v>1073</v>
      </c>
      <c r="B51" s="1003" t="s">
        <v>1074</v>
      </c>
      <c r="C51" s="329" t="s">
        <v>1075</v>
      </c>
      <c r="D51" s="1000" t="s">
        <v>1076</v>
      </c>
      <c r="E51" s="931"/>
    </row>
    <row r="52" spans="1:5" ht="15" customHeight="1" x14ac:dyDescent="0.35">
      <c r="A52" s="949"/>
      <c r="B52" s="949"/>
      <c r="C52" s="329" t="s">
        <v>1077</v>
      </c>
      <c r="D52" s="1000" t="s">
        <v>1078</v>
      </c>
      <c r="E52" s="931"/>
    </row>
    <row r="53" spans="1:5" x14ac:dyDescent="0.35">
      <c r="A53" s="332" t="s">
        <v>1079</v>
      </c>
      <c r="B53" s="329" t="s">
        <v>1080</v>
      </c>
      <c r="C53" s="329" t="s">
        <v>1080</v>
      </c>
      <c r="D53" s="1000" t="s">
        <v>1081</v>
      </c>
      <c r="E53" s="931"/>
    </row>
    <row r="54" spans="1:5" x14ac:dyDescent="0.35">
      <c r="A54" s="332" t="s">
        <v>1082</v>
      </c>
      <c r="B54" s="329" t="s">
        <v>1083</v>
      </c>
      <c r="C54" s="329" t="s">
        <v>1083</v>
      </c>
      <c r="D54" s="1000" t="s">
        <v>1084</v>
      </c>
      <c r="E54" s="931"/>
    </row>
    <row r="55" spans="1:5" x14ac:dyDescent="0.35">
      <c r="A55" s="332" t="s">
        <v>1085</v>
      </c>
      <c r="B55" s="329" t="s">
        <v>1086</v>
      </c>
      <c r="C55" s="329" t="s">
        <v>1086</v>
      </c>
      <c r="D55" s="1000" t="s">
        <v>1087</v>
      </c>
      <c r="E55" s="931"/>
    </row>
    <row r="56" spans="1:5" ht="15" customHeight="1" x14ac:dyDescent="0.35">
      <c r="A56" s="1002" t="s">
        <v>1088</v>
      </c>
      <c r="B56" s="1003" t="s">
        <v>1089</v>
      </c>
      <c r="C56" s="329" t="s">
        <v>1090</v>
      </c>
      <c r="D56" s="1000" t="s">
        <v>1091</v>
      </c>
      <c r="E56" s="931"/>
    </row>
    <row r="57" spans="1:5" ht="14.5" customHeight="1" x14ac:dyDescent="0.35">
      <c r="A57" s="949"/>
      <c r="B57" s="949"/>
      <c r="C57" s="329" t="s">
        <v>1092</v>
      </c>
      <c r="D57" s="1000" t="s">
        <v>1093</v>
      </c>
      <c r="E57" s="931"/>
    </row>
    <row r="58" spans="1:5" ht="15" customHeight="1" x14ac:dyDescent="0.35">
      <c r="A58" s="332" t="s">
        <v>1094</v>
      </c>
      <c r="B58" s="329" t="s">
        <v>1095</v>
      </c>
      <c r="C58" s="329" t="s">
        <v>1095</v>
      </c>
      <c r="D58" s="1000" t="s">
        <v>1096</v>
      </c>
      <c r="E58" s="931"/>
    </row>
    <row r="59" spans="1:5" ht="14.5" customHeight="1" x14ac:dyDescent="0.35">
      <c r="A59" s="1002" t="s">
        <v>1097</v>
      </c>
      <c r="B59" s="1003" t="s">
        <v>1098</v>
      </c>
      <c r="C59" s="329" t="s">
        <v>1099</v>
      </c>
      <c r="D59" s="1000" t="s">
        <v>1100</v>
      </c>
      <c r="E59" s="931"/>
    </row>
    <row r="60" spans="1:5" ht="14.5" customHeight="1" x14ac:dyDescent="0.35">
      <c r="A60" s="951"/>
      <c r="B60" s="951"/>
      <c r="C60" s="329" t="s">
        <v>1101</v>
      </c>
      <c r="D60" s="1000" t="s">
        <v>1102</v>
      </c>
      <c r="E60" s="931"/>
    </row>
    <row r="61" spans="1:5" ht="14.5" customHeight="1" x14ac:dyDescent="0.35">
      <c r="A61" s="951"/>
      <c r="B61" s="951"/>
      <c r="C61" s="329" t="s">
        <v>1103</v>
      </c>
      <c r="D61" s="1000" t="s">
        <v>1104</v>
      </c>
      <c r="E61" s="931"/>
    </row>
    <row r="62" spans="1:5" ht="14.5" customHeight="1" x14ac:dyDescent="0.35">
      <c r="A62" s="949"/>
      <c r="B62" s="949"/>
      <c r="C62" s="329" t="s">
        <v>1105</v>
      </c>
      <c r="D62" s="1000" t="s">
        <v>1106</v>
      </c>
      <c r="E62" s="931"/>
    </row>
    <row r="63" spans="1:5" ht="15" customHeight="1" x14ac:dyDescent="0.35">
      <c r="A63" s="332" t="s">
        <v>1107</v>
      </c>
      <c r="B63" s="329" t="s">
        <v>1108</v>
      </c>
      <c r="C63" s="329" t="s">
        <v>1108</v>
      </c>
      <c r="D63" s="1000" t="s">
        <v>1109</v>
      </c>
      <c r="E63" s="931"/>
    </row>
    <row r="66" spans="1:5" x14ac:dyDescent="0.35">
      <c r="A66" s="1010" t="s">
        <v>1110</v>
      </c>
      <c r="B66" s="938"/>
      <c r="C66" s="938"/>
      <c r="D66" s="938"/>
      <c r="E66" s="938"/>
    </row>
    <row r="67" spans="1:5" x14ac:dyDescent="0.35">
      <c r="A67" s="938"/>
      <c r="B67" s="938"/>
      <c r="C67" s="938"/>
      <c r="D67" s="938"/>
      <c r="E67" s="938"/>
    </row>
    <row r="68" spans="1:5" x14ac:dyDescent="0.35">
      <c r="A68" s="368" t="s">
        <v>1111</v>
      </c>
      <c r="B68" s="369"/>
      <c r="C68" s="369"/>
      <c r="D68" s="369"/>
      <c r="E68" s="369"/>
    </row>
    <row r="69" spans="1:5" x14ac:dyDescent="0.35">
      <c r="A69" s="370"/>
      <c r="B69" s="371"/>
      <c r="C69" s="372"/>
      <c r="D69" s="373" t="s">
        <v>1112</v>
      </c>
      <c r="E69" s="374"/>
    </row>
    <row r="70" spans="1:5" x14ac:dyDescent="0.35">
      <c r="A70" s="370"/>
      <c r="B70" s="371"/>
      <c r="C70" s="372"/>
      <c r="D70" s="368" t="s">
        <v>1113</v>
      </c>
      <c r="E70" s="374"/>
    </row>
    <row r="71" spans="1:5" x14ac:dyDescent="0.35">
      <c r="A71" s="373" t="s">
        <v>1114</v>
      </c>
      <c r="B71" s="371"/>
      <c r="C71" s="372"/>
      <c r="D71" s="368" t="s">
        <v>1115</v>
      </c>
      <c r="E71" s="374"/>
    </row>
    <row r="72" spans="1:5" x14ac:dyDescent="0.35">
      <c r="A72" s="368" t="s">
        <v>1116</v>
      </c>
      <c r="B72" s="371"/>
      <c r="C72" s="372"/>
      <c r="D72" s="371"/>
      <c r="E72" s="374"/>
    </row>
    <row r="73" spans="1:5" x14ac:dyDescent="0.35">
      <c r="A73" s="368" t="s">
        <v>1117</v>
      </c>
      <c r="B73" s="371"/>
      <c r="C73" s="371"/>
      <c r="D73" s="371"/>
      <c r="E73" s="374"/>
    </row>
    <row r="74" spans="1:5" x14ac:dyDescent="0.35">
      <c r="A74" s="368"/>
      <c r="B74" s="371"/>
      <c r="C74" s="371"/>
      <c r="D74" s="371"/>
      <c r="E74" s="374"/>
    </row>
    <row r="75" spans="1:5" x14ac:dyDescent="0.35">
      <c r="A75" s="375"/>
      <c r="B75" s="374"/>
      <c r="C75" s="374"/>
      <c r="D75" s="371"/>
      <c r="E75" s="374"/>
    </row>
    <row r="76" spans="1:5" x14ac:dyDescent="0.35">
      <c r="A76" s="368" t="s">
        <v>1118</v>
      </c>
      <c r="B76" s="374"/>
      <c r="C76" s="374"/>
      <c r="D76" s="374"/>
      <c r="E76" s="374"/>
    </row>
    <row r="77" spans="1:5" x14ac:dyDescent="0.35">
      <c r="A77" s="376"/>
      <c r="B77" s="377"/>
      <c r="C77" s="378"/>
      <c r="D77" s="378"/>
      <c r="E77" s="378"/>
    </row>
    <row r="78" spans="1:5" x14ac:dyDescent="0.35">
      <c r="A78" s="370"/>
      <c r="B78" s="371"/>
      <c r="C78" s="371"/>
      <c r="D78" s="371"/>
      <c r="E78" s="371"/>
    </row>
    <row r="79" spans="1:5" x14ac:dyDescent="0.35">
      <c r="A79" s="375" t="s">
        <v>1119</v>
      </c>
      <c r="B79" s="371"/>
      <c r="C79" s="371"/>
      <c r="D79" s="371"/>
      <c r="E79" s="371"/>
    </row>
  </sheetData>
  <sheetProtection algorithmName="SHA-512" hashValue="sfj2Gz0okaqdwbNUiKoVBNutCsvUGRlwAiwpcy2Oa2OtsazPv0HhExlmJZVQE6xgMun1/C3lRd7u++TUHvA03w==" saltValue="uiD6Dfs4BCOx2so2dJg1Ww==" spinCount="100000" sheet="1" objects="1" scenarios="1"/>
  <mergeCells count="47">
    <mergeCell ref="B7:B8"/>
    <mergeCell ref="C4:E4"/>
    <mergeCell ref="A66:E67"/>
    <mergeCell ref="D54:E54"/>
    <mergeCell ref="B34:E34"/>
    <mergeCell ref="D50:E50"/>
    <mergeCell ref="A59:A62"/>
    <mergeCell ref="D59:E59"/>
    <mergeCell ref="C10:E10"/>
    <mergeCell ref="A2:E2"/>
    <mergeCell ref="B12:E12"/>
    <mergeCell ref="A23:A24"/>
    <mergeCell ref="C3:E3"/>
    <mergeCell ref="D62:E62"/>
    <mergeCell ref="D56:E56"/>
    <mergeCell ref="D58:E58"/>
    <mergeCell ref="C8:D8"/>
    <mergeCell ref="C6:E6"/>
    <mergeCell ref="D55:E55"/>
    <mergeCell ref="B51:B52"/>
    <mergeCell ref="C7:D7"/>
    <mergeCell ref="C5:E5"/>
    <mergeCell ref="B13:E13"/>
    <mergeCell ref="B38:E38"/>
    <mergeCell ref="D51:E51"/>
    <mergeCell ref="A7:A8"/>
    <mergeCell ref="B59:B62"/>
    <mergeCell ref="A1:E1"/>
    <mergeCell ref="B14:B15"/>
    <mergeCell ref="B23:B24"/>
    <mergeCell ref="C11:E11"/>
    <mergeCell ref="D52:E52"/>
    <mergeCell ref="A56:A57"/>
    <mergeCell ref="D57:E57"/>
    <mergeCell ref="D61:E61"/>
    <mergeCell ref="A37:E37"/>
    <mergeCell ref="B22:E22"/>
    <mergeCell ref="A14:A15"/>
    <mergeCell ref="D53:E53"/>
    <mergeCell ref="A5:A6"/>
    <mergeCell ref="A21:B21"/>
    <mergeCell ref="D60:E60"/>
    <mergeCell ref="B49:E49"/>
    <mergeCell ref="D63:E63"/>
    <mergeCell ref="A51:A52"/>
    <mergeCell ref="C9:E9"/>
    <mergeCell ref="B56:B57"/>
  </mergeCells>
  <pageMargins left="0.7" right="0.7" top="0.75" bottom="0.75" header="0.3" footer="0.3"/>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2"/>
  <sheetViews>
    <sheetView zoomScale="61" zoomScaleNormal="90" workbookViewId="0">
      <selection activeCell="D23" sqref="D23"/>
    </sheetView>
  </sheetViews>
  <sheetFormatPr defaultColWidth="0" defaultRowHeight="14.5" x14ac:dyDescent="0.35"/>
  <cols>
    <col min="1" max="1" width="9.1796875" customWidth="1"/>
    <col min="2" max="2" width="63.54296875" customWidth="1"/>
    <col min="3" max="3" width="20.453125" customWidth="1"/>
    <col min="4" max="5" width="18.453125" customWidth="1"/>
    <col min="6" max="7" width="9.1796875" hidden="1" customWidth="1"/>
    <col min="8" max="8" width="14.1796875" hidden="1" customWidth="1"/>
    <col min="9" max="9" width="9.1796875" hidden="1" customWidth="1"/>
    <col min="10" max="16384" width="9.1796875" hidden="1"/>
  </cols>
  <sheetData>
    <row r="1" spans="1:8" x14ac:dyDescent="0.35">
      <c r="A1" s="1016" t="s">
        <v>1120</v>
      </c>
      <c r="B1" s="930"/>
      <c r="C1" s="930"/>
      <c r="D1" s="930"/>
      <c r="E1" s="931"/>
    </row>
    <row r="2" spans="1:8" x14ac:dyDescent="0.35">
      <c r="A2" s="1016" t="s">
        <v>1121</v>
      </c>
      <c r="B2" s="930"/>
      <c r="C2" s="930"/>
      <c r="D2" s="930"/>
      <c r="E2" s="931"/>
    </row>
    <row r="3" spans="1:8" x14ac:dyDescent="0.35">
      <c r="A3" s="1018" t="s">
        <v>1122</v>
      </c>
      <c r="B3" s="930"/>
      <c r="C3" s="930"/>
      <c r="D3" s="930"/>
      <c r="E3" s="931"/>
    </row>
    <row r="4" spans="1:8" x14ac:dyDescent="0.35">
      <c r="A4" s="506" t="s">
        <v>43</v>
      </c>
      <c r="B4" s="507" t="s">
        <v>44</v>
      </c>
      <c r="C4" s="1009" t="s">
        <v>999</v>
      </c>
      <c r="D4" s="930"/>
      <c r="E4" s="931"/>
    </row>
    <row r="5" spans="1:8" x14ac:dyDescent="0.35">
      <c r="A5" s="508" t="s">
        <v>67</v>
      </c>
      <c r="B5" s="509" t="s">
        <v>1123</v>
      </c>
      <c r="C5" s="1014">
        <f>'General Information'!C5</f>
        <v>0</v>
      </c>
      <c r="D5" s="930"/>
      <c r="E5" s="931"/>
    </row>
    <row r="6" spans="1:8" x14ac:dyDescent="0.35">
      <c r="A6" s="510" t="s">
        <v>72</v>
      </c>
      <c r="B6" s="511" t="s">
        <v>963</v>
      </c>
      <c r="C6" s="1002">
        <f>'General Information'!C3:G3</f>
        <v>0</v>
      </c>
      <c r="D6" s="930"/>
      <c r="E6" s="931"/>
    </row>
    <row r="7" spans="1:8" ht="14.5" customHeight="1" x14ac:dyDescent="0.35">
      <c r="A7" s="1015" t="s">
        <v>76</v>
      </c>
      <c r="B7" s="1020" t="s">
        <v>1124</v>
      </c>
      <c r="C7" s="1019" t="s">
        <v>1002</v>
      </c>
      <c r="D7" s="931"/>
      <c r="E7" s="516" t="s">
        <v>966</v>
      </c>
    </row>
    <row r="8" spans="1:8" ht="14.5" customHeight="1" x14ac:dyDescent="0.35">
      <c r="A8" s="949"/>
      <c r="B8" s="949"/>
      <c r="C8" s="1000" t="str">
        <f>'General Information'!A2</f>
        <v>Sector :-  Cement Sector</v>
      </c>
      <c r="D8" s="931"/>
      <c r="E8" s="328" t="str">
        <f>'General Information'!C6</f>
        <v>PPC</v>
      </c>
    </row>
    <row r="9" spans="1:8" ht="14.5" customHeight="1" x14ac:dyDescent="0.35">
      <c r="A9" s="510" t="s">
        <v>82</v>
      </c>
      <c r="B9" s="511" t="s">
        <v>1125</v>
      </c>
      <c r="C9" s="1014">
        <f>'General Information'!C4:G4</f>
        <v>0</v>
      </c>
      <c r="D9" s="930"/>
      <c r="E9" s="931"/>
    </row>
    <row r="10" spans="1:8" ht="69.650000000000006" customHeight="1" x14ac:dyDescent="0.35">
      <c r="A10" s="510" t="s">
        <v>86</v>
      </c>
      <c r="B10" s="511" t="s">
        <v>1126</v>
      </c>
      <c r="C10" s="1000" t="str">
        <f>'General Information'!C8&amp;", "&amp;'General Information'!C9&amp;", "&amp;'General Information'!C10&amp;", "&amp;'General Information'!C11&amp;"- "&amp;'General Information'!F11&amp;", "&amp;'General Information'!B12&amp;"- "&amp;'General Information'!C12&amp;", "&amp;'General Information'!E12&amp;"- "&amp;'General Information'!F12&amp;", "&amp;'General Information'!C13&amp;", "&amp; 'General Information'!C14&amp;", "&amp;'General Information'!B15&amp;"- "&amp;'General Information'!C15&amp;", "&amp;'General Information'!E15&amp;"- "&amp;'General Information'!F15&amp;", "&amp;'General Information'!B16&amp;"-"&amp;'General Information'!C16&amp;", "&amp;'General Information'!D16&amp;"- "&amp;'General Information'!E16</f>
        <v xml:space="preserve">, , , - Pin, Telephone- , - 08558-288821, , , Telephone with STD Code- , Fax- , Mobile-, E-mail- </v>
      </c>
      <c r="D10" s="930"/>
      <c r="E10" s="931"/>
      <c r="H10" t="str">
        <f>C9&amp;", "&amp;C5&amp;", "&amp;C7&amp;""</f>
        <v>0, 0, Sector</v>
      </c>
    </row>
    <row r="11" spans="1:8" ht="69.650000000000006" customHeight="1" x14ac:dyDescent="0.35">
      <c r="A11" s="510" t="s">
        <v>92</v>
      </c>
      <c r="B11" s="512" t="s">
        <v>1127</v>
      </c>
      <c r="C11" s="1000" t="str">
        <f>'General Information'!B18&amp;":"&amp;'General Information'!C18:F18&amp;","&amp;'General Information'!B19&amp;":"&amp;'General Information'!C19:F19&amp;","&amp;'General Information'!B20&amp;":"&amp;'General Information'!C20:F20&amp;","&amp;'General Information'!B21&amp;"-"&amp;'General Information'!C21:D21&amp;","&amp;'General Information'!E21&amp;"-"&amp;'General Information'!F21&amp;", "&amp;'General Information'!B22&amp;"-"&amp;'General Information'!C22:D22&amp;","&amp;'General Information'!B23&amp;"-"&amp;'General Information'!C23:D23&amp;","&amp;'General Information'!E23&amp;"-"&amp;'General Information'!F23&amp;", "&amp;'General Information'!B24&amp;"-"&amp;'General Information'!C24:D24&amp;","&amp;'General Information'!E24&amp;"-"&amp;'General Information'!F24&amp;"-"&amp;'General Information'!G24&amp;","&amp;'General Information'!B25&amp;"-"&amp;'General Information'!C25&amp;","&amp;'General Information'!E25&amp;"-"&amp;'General Information'!F25</f>
        <v>Company's Chief Executive Name:,Designation:,Address:,City/Town/Village-,-, Post Office-,District-,-, State-,-Pin-515415,Telephone with STD Code-,-</v>
      </c>
      <c r="D11" s="930"/>
      <c r="E11" s="931"/>
    </row>
    <row r="12" spans="1:8" ht="72" customHeight="1" x14ac:dyDescent="0.35">
      <c r="A12" s="510" t="s">
        <v>94</v>
      </c>
      <c r="B12" s="512" t="s">
        <v>1128</v>
      </c>
      <c r="C12" s="1000" t="str">
        <f>'General Information'!C26&amp;", "&amp; 'General Information'!C27&amp;", "&amp;'General Information'!F27&amp;", "&amp;'General Information'!B28&amp;"- "&amp;'General Information'!C28&amp;", "&amp;'General Information'!B29&amp;"-"&amp;'General Information'!C29&amp;", "&amp;'General Information'!E29&amp;"- "&amp;'General Information'!F29&amp;", "&amp;'General Information'!B30&amp;"- "&amp;'General Information'!C30&amp;", "&amp;'General Information'!D30&amp;"-"&amp;'General Information'!E30</f>
        <v>, , , Designation- , Energy Auditor (EA)/Energy Manager (EM)Registration No.-, - , Telephone- , -</v>
      </c>
      <c r="D12" s="930"/>
      <c r="E12" s="931"/>
    </row>
    <row r="13" spans="1:8" x14ac:dyDescent="0.35">
      <c r="A13" s="1021" t="s">
        <v>1129</v>
      </c>
      <c r="B13" s="930"/>
      <c r="C13" s="930"/>
      <c r="D13" s="930"/>
      <c r="E13" s="931"/>
    </row>
    <row r="14" spans="1:8" x14ac:dyDescent="0.35">
      <c r="A14" s="361" t="s">
        <v>1130</v>
      </c>
      <c r="B14" s="1017" t="s">
        <v>1131</v>
      </c>
      <c r="C14" s="930"/>
      <c r="D14" s="930"/>
      <c r="E14" s="930"/>
    </row>
    <row r="15" spans="1:8" ht="14.5" customHeight="1" x14ac:dyDescent="0.35">
      <c r="A15" s="1006" t="s">
        <v>43</v>
      </c>
      <c r="B15" s="1005" t="s">
        <v>1010</v>
      </c>
      <c r="C15" s="361" t="s">
        <v>1011</v>
      </c>
      <c r="D15" s="361" t="s">
        <v>1012</v>
      </c>
      <c r="E15" s="361" t="s">
        <v>1013</v>
      </c>
    </row>
    <row r="16" spans="1:8" ht="14.5" customHeight="1" x14ac:dyDescent="0.35">
      <c r="A16" s="949"/>
      <c r="B16" s="949"/>
      <c r="C16" s="362" t="s">
        <v>1014</v>
      </c>
      <c r="D16" s="362" t="s">
        <v>1015</v>
      </c>
      <c r="E16" s="362" t="s">
        <v>1016</v>
      </c>
    </row>
    <row r="17" spans="1:5" x14ac:dyDescent="0.35">
      <c r="A17" s="332" t="s">
        <v>110</v>
      </c>
      <c r="B17" s="334" t="s">
        <v>1017</v>
      </c>
      <c r="C17" s="328" t="s">
        <v>1018</v>
      </c>
      <c r="D17" s="338">
        <f>'Form-Sb'!H42</f>
        <v>0</v>
      </c>
      <c r="E17" s="328">
        <f>'Form-Sb'!I42</f>
        <v>0</v>
      </c>
    </row>
    <row r="18" spans="1:5" x14ac:dyDescent="0.35">
      <c r="A18" s="332" t="s">
        <v>115</v>
      </c>
      <c r="B18" s="334" t="s">
        <v>1019</v>
      </c>
      <c r="C18" s="328" t="s">
        <v>1018</v>
      </c>
      <c r="D18" s="338">
        <f>'Form-Sb'!H48</f>
        <v>0</v>
      </c>
      <c r="E18" s="328">
        <f>'Form-Sb'!I48</f>
        <v>0</v>
      </c>
    </row>
    <row r="19" spans="1:5" x14ac:dyDescent="0.35">
      <c r="A19" s="332" t="s">
        <v>118</v>
      </c>
      <c r="B19" s="511" t="s">
        <v>1132</v>
      </c>
      <c r="C19" s="328" t="s">
        <v>1018</v>
      </c>
      <c r="D19" s="338">
        <f>'Form-Sb'!H53</f>
        <v>0</v>
      </c>
      <c r="E19" s="328">
        <f>'Form-Sb'!I53</f>
        <v>0</v>
      </c>
    </row>
    <row r="20" spans="1:5" x14ac:dyDescent="0.35">
      <c r="A20" s="513" t="s">
        <v>121</v>
      </c>
      <c r="B20" s="511" t="s">
        <v>1133</v>
      </c>
      <c r="C20" s="328" t="s">
        <v>1018</v>
      </c>
      <c r="D20" s="338">
        <f>'Form-Sb'!H57</f>
        <v>0</v>
      </c>
      <c r="E20" s="338">
        <f>'Form-Sb'!I57</f>
        <v>0</v>
      </c>
    </row>
    <row r="21" spans="1:5" x14ac:dyDescent="0.35">
      <c r="A21" s="513" t="s">
        <v>124</v>
      </c>
      <c r="B21" s="511" t="s">
        <v>1134</v>
      </c>
      <c r="C21" s="328" t="s">
        <v>1018</v>
      </c>
      <c r="D21" s="338">
        <f>'Form-Sb'!H63</f>
        <v>0</v>
      </c>
      <c r="E21" s="338">
        <f>'Form-Sb'!I63</f>
        <v>0</v>
      </c>
    </row>
    <row r="22" spans="1:5" x14ac:dyDescent="0.35">
      <c r="A22" s="513" t="s">
        <v>162</v>
      </c>
      <c r="B22" s="511" t="s">
        <v>1135</v>
      </c>
      <c r="C22" s="328" t="s">
        <v>1018</v>
      </c>
      <c r="D22" s="338">
        <f>'Form-Sb'!H70</f>
        <v>0</v>
      </c>
      <c r="E22" s="338">
        <f>'Form-Sb'!I70</f>
        <v>0</v>
      </c>
    </row>
    <row r="23" spans="1:5" x14ac:dyDescent="0.35">
      <c r="A23" s="513" t="s">
        <v>202</v>
      </c>
      <c r="B23" s="334" t="s">
        <v>1021</v>
      </c>
      <c r="C23" s="328" t="s">
        <v>1018</v>
      </c>
      <c r="D23" s="338"/>
      <c r="E23" s="328"/>
    </row>
    <row r="24" spans="1:5" x14ac:dyDescent="0.35">
      <c r="A24" s="513" t="s">
        <v>203</v>
      </c>
      <c r="B24" s="334" t="s">
        <v>1022</v>
      </c>
      <c r="C24" s="510" t="s">
        <v>1018</v>
      </c>
      <c r="D24" s="699">
        <f>'Summary Sheet'!E52*10^5</f>
        <v>0</v>
      </c>
      <c r="E24" s="699">
        <f>'Summary Sheet'!F52*10^5</f>
        <v>0</v>
      </c>
    </row>
    <row r="25" spans="1:5" ht="15" customHeight="1" x14ac:dyDescent="0.35">
      <c r="A25" s="1002"/>
      <c r="B25" s="931"/>
      <c r="C25" s="331" t="s">
        <v>1011</v>
      </c>
      <c r="D25" s="331" t="s">
        <v>1023</v>
      </c>
      <c r="E25" s="331" t="s">
        <v>1024</v>
      </c>
    </row>
    <row r="26" spans="1:5" ht="14.5" customHeight="1" x14ac:dyDescent="0.35">
      <c r="A26" s="360" t="s">
        <v>1136</v>
      </c>
      <c r="B26" s="1017" t="s">
        <v>1137</v>
      </c>
      <c r="C26" s="930"/>
      <c r="D26" s="930"/>
      <c r="E26" s="930"/>
    </row>
    <row r="27" spans="1:5" x14ac:dyDescent="0.35">
      <c r="A27" s="1006" t="s">
        <v>43</v>
      </c>
      <c r="B27" s="1006" t="s">
        <v>1026</v>
      </c>
      <c r="C27" s="361" t="s">
        <v>1011</v>
      </c>
      <c r="D27" s="361" t="s">
        <v>1012</v>
      </c>
      <c r="E27" s="361" t="s">
        <v>1013</v>
      </c>
    </row>
    <row r="28" spans="1:5" x14ac:dyDescent="0.35">
      <c r="A28" s="949"/>
      <c r="B28" s="949"/>
      <c r="C28" s="362" t="s">
        <v>1014</v>
      </c>
      <c r="D28" s="362" t="s">
        <v>1015</v>
      </c>
      <c r="E28" s="362" t="s">
        <v>1016</v>
      </c>
    </row>
    <row r="29" spans="1:5" x14ac:dyDescent="0.35">
      <c r="A29" s="513" t="s">
        <v>110</v>
      </c>
      <c r="B29" s="329" t="s">
        <v>1028</v>
      </c>
      <c r="C29" s="510" t="s">
        <v>1138</v>
      </c>
      <c r="D29" s="338">
        <f>'Summary Sheet'!E39/10</f>
        <v>0</v>
      </c>
      <c r="E29" s="338">
        <f>'Summary Sheet'!F39/10</f>
        <v>0</v>
      </c>
    </row>
    <row r="30" spans="1:5" x14ac:dyDescent="0.35">
      <c r="A30" s="332" t="s">
        <v>115</v>
      </c>
      <c r="B30" s="329" t="s">
        <v>1030</v>
      </c>
      <c r="C30" s="510" t="s">
        <v>1138</v>
      </c>
      <c r="D30" s="338">
        <f>'Form-Sb'!H377/10</f>
        <v>95.328000000000003</v>
      </c>
      <c r="E30" s="328">
        <f>'Form-Sb'!I377/10</f>
        <v>0</v>
      </c>
    </row>
    <row r="31" spans="1:5" x14ac:dyDescent="0.35">
      <c r="A31" s="332" t="s">
        <v>118</v>
      </c>
      <c r="B31" s="329" t="s">
        <v>1031</v>
      </c>
      <c r="C31" s="510" t="s">
        <v>1138</v>
      </c>
      <c r="D31" s="338">
        <f>'Form-Sb'!H380/10</f>
        <v>0</v>
      </c>
      <c r="E31" s="328">
        <f>'Form-Sb'!I380/10</f>
        <v>0</v>
      </c>
    </row>
    <row r="32" spans="1:5" x14ac:dyDescent="0.35">
      <c r="A32" s="332" t="s">
        <v>121</v>
      </c>
      <c r="B32" s="329" t="s">
        <v>1032</v>
      </c>
      <c r="C32" s="510" t="s">
        <v>1138</v>
      </c>
      <c r="D32" s="338">
        <f>'Form-Sb'!H384/10</f>
        <v>95.328000000000003</v>
      </c>
      <c r="E32" s="328">
        <f>'Form-Sb'!I384/10</f>
        <v>0</v>
      </c>
    </row>
    <row r="33" spans="1:5" x14ac:dyDescent="0.35">
      <c r="A33" s="332" t="s">
        <v>124</v>
      </c>
      <c r="B33" s="329" t="s">
        <v>1033</v>
      </c>
      <c r="C33" s="510" t="s">
        <v>1139</v>
      </c>
      <c r="D33" s="338">
        <f>'Form-Sb'!H632+'Form-Sb'!H633</f>
        <v>0</v>
      </c>
      <c r="E33" s="328">
        <f>'Form-Sb'!I632+'Form-Sb'!I633</f>
        <v>0</v>
      </c>
    </row>
    <row r="34" spans="1:5" x14ac:dyDescent="0.35">
      <c r="A34" s="328" t="s">
        <v>162</v>
      </c>
      <c r="B34" s="329" t="s">
        <v>1035</v>
      </c>
      <c r="C34" s="510" t="s">
        <v>1139</v>
      </c>
      <c r="D34" s="338">
        <f>'Form-Sb'!H764+'Form-Sb'!H765+'Form-Sb'!H766</f>
        <v>0</v>
      </c>
      <c r="E34" s="328">
        <f>'Form-Sb'!I764+'Form-Sb'!I765+'Form-Sb'!I766</f>
        <v>0</v>
      </c>
    </row>
    <row r="35" spans="1:5" x14ac:dyDescent="0.35">
      <c r="A35" s="328" t="s">
        <v>202</v>
      </c>
      <c r="B35" s="329" t="s">
        <v>1036</v>
      </c>
      <c r="C35" s="510" t="s">
        <v>1139</v>
      </c>
      <c r="D35" s="338">
        <f>'Form-Sb'!H808+'Form-Sb'!H809</f>
        <v>0</v>
      </c>
      <c r="E35" s="328">
        <f>'Form-Sb'!I808+'Form-Sb'!I809</f>
        <v>0</v>
      </c>
    </row>
    <row r="36" spans="1:5" x14ac:dyDescent="0.35">
      <c r="A36" s="328" t="s">
        <v>203</v>
      </c>
      <c r="B36" s="329" t="s">
        <v>1037</v>
      </c>
      <c r="C36" s="510" t="s">
        <v>1139</v>
      </c>
      <c r="D36" s="338">
        <f>'Form-Sb'!H817</f>
        <v>0</v>
      </c>
      <c r="E36" s="328">
        <f>'Form-Sb'!I817</f>
        <v>0</v>
      </c>
    </row>
    <row r="37" spans="1:5" x14ac:dyDescent="0.35">
      <c r="A37" s="328" t="s">
        <v>225</v>
      </c>
      <c r="B37" s="511" t="s">
        <v>1140</v>
      </c>
      <c r="C37" s="328" t="s">
        <v>1039</v>
      </c>
      <c r="D37" s="338" t="e">
        <f>'Summary Sheet'!E64/10</f>
        <v>#DIV/0!</v>
      </c>
      <c r="E37" s="338">
        <f>'Summary Sheet'!F64/10</f>
        <v>0</v>
      </c>
    </row>
    <row r="38" spans="1:5" x14ac:dyDescent="0.35">
      <c r="A38" s="514" t="s">
        <v>229</v>
      </c>
      <c r="B38" s="329" t="s">
        <v>1038</v>
      </c>
      <c r="C38" s="328" t="s">
        <v>1039</v>
      </c>
      <c r="D38" s="338" t="e">
        <f>'Summary Sheet'!E76/10</f>
        <v>#DIV/0!</v>
      </c>
      <c r="E38" s="338">
        <f>'Summary Sheet'!F76/10</f>
        <v>0</v>
      </c>
    </row>
    <row r="39" spans="1:5" x14ac:dyDescent="0.35">
      <c r="A39" s="510" t="s">
        <v>233</v>
      </c>
      <c r="B39" s="329" t="s">
        <v>1141</v>
      </c>
      <c r="C39" s="510" t="s">
        <v>1142</v>
      </c>
      <c r="D39" s="338">
        <f>'Summary Sheet'!E117-'Summary Sheet'!E116</f>
        <v>0</v>
      </c>
      <c r="E39" s="338">
        <f>'Summary Sheet'!F117-'Summary Sheet'!F116</f>
        <v>0</v>
      </c>
    </row>
    <row r="40" spans="1:5" x14ac:dyDescent="0.35">
      <c r="A40" s="510" t="s">
        <v>238</v>
      </c>
      <c r="B40" s="329" t="s">
        <v>1143</v>
      </c>
      <c r="C40" s="510" t="s">
        <v>1142</v>
      </c>
      <c r="D40" s="338" t="e">
        <f>'Summary Sheet'!E126</f>
        <v>#DIV/0!</v>
      </c>
      <c r="E40" s="338">
        <f>'Summary Sheet'!F126</f>
        <v>0</v>
      </c>
    </row>
    <row r="41" spans="1:5" x14ac:dyDescent="0.35">
      <c r="A41" s="510" t="s">
        <v>317</v>
      </c>
      <c r="B41" s="329" t="s">
        <v>1144</v>
      </c>
      <c r="C41" s="510" t="s">
        <v>1142</v>
      </c>
      <c r="D41" s="338">
        <f>'Summary Sheet'!E116</f>
        <v>0</v>
      </c>
      <c r="E41" s="338">
        <f>'Summary Sheet'!F116</f>
        <v>0</v>
      </c>
    </row>
    <row r="42" spans="1:5" x14ac:dyDescent="0.35">
      <c r="A42" s="510" t="s">
        <v>319</v>
      </c>
      <c r="B42" s="329" t="s">
        <v>1145</v>
      </c>
      <c r="C42" s="510" t="s">
        <v>1142</v>
      </c>
      <c r="D42" s="338" t="e">
        <f>'Summary Sheet'!E128</f>
        <v>#DIV/0!</v>
      </c>
      <c r="E42" s="338">
        <f>'Summary Sheet'!F128</f>
        <v>0</v>
      </c>
    </row>
    <row r="43" spans="1:5" ht="15" customHeight="1" x14ac:dyDescent="0.35">
      <c r="A43" s="360" t="s">
        <v>1146</v>
      </c>
      <c r="B43" s="1017" t="s">
        <v>1147</v>
      </c>
      <c r="C43" s="930"/>
      <c r="D43" s="930"/>
      <c r="E43" s="930"/>
    </row>
    <row r="44" spans="1:5" x14ac:dyDescent="0.35">
      <c r="A44" s="513" t="s">
        <v>1148</v>
      </c>
      <c r="B44" s="329" t="s">
        <v>1042</v>
      </c>
      <c r="C44" s="328" t="s">
        <v>1043</v>
      </c>
      <c r="D44" s="379">
        <f>'Summary Sheet'!E66</f>
        <v>0</v>
      </c>
      <c r="E44" s="379">
        <f>'Summary Sheet'!F66</f>
        <v>0</v>
      </c>
    </row>
    <row r="45" spans="1:5" x14ac:dyDescent="0.35">
      <c r="A45" s="332" t="s">
        <v>1044</v>
      </c>
      <c r="B45" s="329" t="s">
        <v>1045</v>
      </c>
      <c r="C45" s="328" t="s">
        <v>1043</v>
      </c>
      <c r="D45" s="328"/>
      <c r="E45" s="380">
        <f>'Summary Sheet'!F82</f>
        <v>0</v>
      </c>
    </row>
    <row r="46" spans="1:5" x14ac:dyDescent="0.35">
      <c r="A46" s="513" t="s">
        <v>1052</v>
      </c>
      <c r="B46" s="511" t="s">
        <v>1149</v>
      </c>
      <c r="C46" s="510" t="s">
        <v>1150</v>
      </c>
      <c r="D46" s="379">
        <f>'Summary Sheet'!E131</f>
        <v>0</v>
      </c>
      <c r="E46" s="379">
        <f>'Summary Sheet'!F131</f>
        <v>0</v>
      </c>
    </row>
    <row r="47" spans="1:5" x14ac:dyDescent="0.35">
      <c r="A47" s="1002"/>
      <c r="B47" s="930"/>
      <c r="C47" s="930"/>
      <c r="D47" s="930"/>
      <c r="E47" s="931"/>
    </row>
    <row r="48" spans="1:5" x14ac:dyDescent="0.35">
      <c r="A48" s="335" t="s">
        <v>589</v>
      </c>
      <c r="B48" s="1008" t="s">
        <v>1046</v>
      </c>
      <c r="C48" s="930"/>
      <c r="D48" s="930"/>
      <c r="E48" s="931"/>
    </row>
    <row r="49" spans="1:5" x14ac:dyDescent="0.35">
      <c r="A49" s="332" t="s">
        <v>1047</v>
      </c>
      <c r="B49" s="334" t="s">
        <v>1048</v>
      </c>
      <c r="C49" s="328" t="s">
        <v>1049</v>
      </c>
      <c r="D49" s="329"/>
      <c r="E49" s="328"/>
    </row>
    <row r="50" spans="1:5" ht="28" customHeight="1" x14ac:dyDescent="0.35">
      <c r="A50" s="332" t="s">
        <v>1044</v>
      </c>
      <c r="B50" s="334" t="s">
        <v>1050</v>
      </c>
      <c r="C50" s="328" t="s">
        <v>1051</v>
      </c>
      <c r="D50" s="329"/>
      <c r="E50" s="328"/>
    </row>
    <row r="51" spans="1:5" x14ac:dyDescent="0.35">
      <c r="A51" s="332" t="s">
        <v>1052</v>
      </c>
      <c r="B51" s="334" t="s">
        <v>1053</v>
      </c>
      <c r="C51" s="328" t="s">
        <v>1054</v>
      </c>
      <c r="D51" s="329"/>
      <c r="E51" s="328"/>
    </row>
    <row r="52" spans="1:5" x14ac:dyDescent="0.35">
      <c r="A52" s="332" t="s">
        <v>1055</v>
      </c>
      <c r="B52" s="334" t="s">
        <v>1056</v>
      </c>
      <c r="C52" s="328" t="s">
        <v>1057</v>
      </c>
      <c r="D52" s="329"/>
      <c r="E52" s="328"/>
    </row>
    <row r="53" spans="1:5" x14ac:dyDescent="0.35">
      <c r="A53" s="332" t="s">
        <v>1058</v>
      </c>
      <c r="B53" s="334" t="s">
        <v>1059</v>
      </c>
      <c r="C53" s="328" t="s">
        <v>1060</v>
      </c>
      <c r="D53" s="329"/>
      <c r="E53" s="328"/>
    </row>
    <row r="54" spans="1:5" x14ac:dyDescent="0.35">
      <c r="A54" s="332" t="s">
        <v>1061</v>
      </c>
      <c r="B54" s="334" t="s">
        <v>1062</v>
      </c>
      <c r="C54" s="328" t="s">
        <v>1060</v>
      </c>
      <c r="D54" s="329"/>
      <c r="E54" s="328"/>
    </row>
    <row r="55" spans="1:5" x14ac:dyDescent="0.35">
      <c r="A55" s="332" t="s">
        <v>1063</v>
      </c>
      <c r="B55" s="334" t="s">
        <v>1064</v>
      </c>
      <c r="C55" s="328" t="s">
        <v>1057</v>
      </c>
      <c r="D55" s="329"/>
      <c r="E55" s="328"/>
    </row>
    <row r="56" spans="1:5" x14ac:dyDescent="0.35">
      <c r="A56" s="332" t="s">
        <v>1065</v>
      </c>
      <c r="B56" s="334" t="s">
        <v>1066</v>
      </c>
      <c r="C56" s="328" t="s">
        <v>1060</v>
      </c>
      <c r="D56" s="329"/>
      <c r="E56" s="328"/>
    </row>
    <row r="57" spans="1:5" x14ac:dyDescent="0.35">
      <c r="A57" s="332" t="s">
        <v>1067</v>
      </c>
      <c r="B57" s="334" t="s">
        <v>1068</v>
      </c>
      <c r="C57" s="328" t="s">
        <v>1060</v>
      </c>
      <c r="D57" s="333"/>
      <c r="E57" s="333"/>
    </row>
    <row r="58" spans="1:5" x14ac:dyDescent="0.35">
      <c r="A58" s="332"/>
      <c r="B58" s="334"/>
      <c r="C58" s="328"/>
      <c r="D58" s="333"/>
      <c r="E58" s="333"/>
    </row>
    <row r="59" spans="1:5" x14ac:dyDescent="0.35">
      <c r="A59" s="1013" t="s">
        <v>1151</v>
      </c>
      <c r="B59" s="930"/>
      <c r="C59" s="930"/>
      <c r="D59" s="930"/>
      <c r="E59" s="931"/>
    </row>
    <row r="60" spans="1:5" s="240" customFormat="1" ht="38.5" customHeight="1" x14ac:dyDescent="0.35">
      <c r="A60" s="359" t="s">
        <v>1070</v>
      </c>
      <c r="B60" s="336" t="s">
        <v>1071</v>
      </c>
      <c r="C60" s="336" t="s">
        <v>966</v>
      </c>
      <c r="D60" s="1012" t="s">
        <v>1072</v>
      </c>
      <c r="E60" s="931"/>
    </row>
    <row r="61" spans="1:5" ht="15" customHeight="1" x14ac:dyDescent="0.35">
      <c r="A61" s="1002" t="s">
        <v>1073</v>
      </c>
      <c r="B61" s="1003" t="s">
        <v>1074</v>
      </c>
      <c r="C61" s="329" t="s">
        <v>1075</v>
      </c>
      <c r="D61" s="1000" t="s">
        <v>1076</v>
      </c>
      <c r="E61" s="931"/>
    </row>
    <row r="62" spans="1:5" ht="15" customHeight="1" x14ac:dyDescent="0.35">
      <c r="A62" s="949"/>
      <c r="B62" s="949"/>
      <c r="C62" s="329" t="s">
        <v>1077</v>
      </c>
      <c r="D62" s="1000" t="s">
        <v>1078</v>
      </c>
      <c r="E62" s="931"/>
    </row>
    <row r="63" spans="1:5" x14ac:dyDescent="0.35">
      <c r="A63" s="332" t="s">
        <v>1079</v>
      </c>
      <c r="B63" s="329" t="s">
        <v>1080</v>
      </c>
      <c r="C63" s="329" t="s">
        <v>1080</v>
      </c>
      <c r="D63" s="1000" t="s">
        <v>1081</v>
      </c>
      <c r="E63" s="931"/>
    </row>
    <row r="64" spans="1:5" x14ac:dyDescent="0.35">
      <c r="A64" s="332" t="s">
        <v>1082</v>
      </c>
      <c r="B64" s="329" t="s">
        <v>1083</v>
      </c>
      <c r="C64" s="329" t="s">
        <v>1083</v>
      </c>
      <c r="D64" s="1000" t="s">
        <v>1084</v>
      </c>
      <c r="E64" s="931"/>
    </row>
    <row r="65" spans="1:5" x14ac:dyDescent="0.35">
      <c r="A65" s="332" t="s">
        <v>1085</v>
      </c>
      <c r="B65" s="329" t="s">
        <v>1086</v>
      </c>
      <c r="C65" s="329" t="s">
        <v>1086</v>
      </c>
      <c r="D65" s="1000" t="s">
        <v>1087</v>
      </c>
      <c r="E65" s="931"/>
    </row>
    <row r="66" spans="1:5" ht="15" customHeight="1" x14ac:dyDescent="0.35">
      <c r="A66" s="1002" t="s">
        <v>1088</v>
      </c>
      <c r="B66" s="1003" t="s">
        <v>1089</v>
      </c>
      <c r="C66" s="329" t="s">
        <v>1090</v>
      </c>
      <c r="D66" s="1000" t="s">
        <v>1091</v>
      </c>
      <c r="E66" s="931"/>
    </row>
    <row r="67" spans="1:5" ht="14.5" customHeight="1" x14ac:dyDescent="0.35">
      <c r="A67" s="949"/>
      <c r="B67" s="949"/>
      <c r="C67" s="329" t="s">
        <v>1092</v>
      </c>
      <c r="D67" s="1000" t="s">
        <v>1093</v>
      </c>
      <c r="E67" s="931"/>
    </row>
    <row r="68" spans="1:5" ht="15" customHeight="1" x14ac:dyDescent="0.35">
      <c r="A68" s="332" t="s">
        <v>1094</v>
      </c>
      <c r="B68" s="329" t="s">
        <v>1095</v>
      </c>
      <c r="C68" s="329" t="s">
        <v>1095</v>
      </c>
      <c r="D68" s="1000" t="s">
        <v>1096</v>
      </c>
      <c r="E68" s="931"/>
    </row>
    <row r="69" spans="1:5" ht="14.5" customHeight="1" x14ac:dyDescent="0.35">
      <c r="A69" s="1002" t="s">
        <v>1097</v>
      </c>
      <c r="B69" s="1003" t="s">
        <v>1098</v>
      </c>
      <c r="C69" s="329" t="s">
        <v>1099</v>
      </c>
      <c r="D69" s="1000" t="s">
        <v>1100</v>
      </c>
      <c r="E69" s="931"/>
    </row>
    <row r="70" spans="1:5" ht="14.5" customHeight="1" x14ac:dyDescent="0.35">
      <c r="A70" s="951"/>
      <c r="B70" s="951"/>
      <c r="C70" s="329" t="s">
        <v>1101</v>
      </c>
      <c r="D70" s="1000" t="s">
        <v>1102</v>
      </c>
      <c r="E70" s="931"/>
    </row>
    <row r="71" spans="1:5" ht="14.5" customHeight="1" x14ac:dyDescent="0.35">
      <c r="A71" s="951"/>
      <c r="B71" s="951"/>
      <c r="C71" s="329" t="s">
        <v>1103</v>
      </c>
      <c r="D71" s="1000" t="s">
        <v>1104</v>
      </c>
      <c r="E71" s="931"/>
    </row>
    <row r="72" spans="1:5" ht="14.5" customHeight="1" x14ac:dyDescent="0.35">
      <c r="A72" s="949"/>
      <c r="B72" s="949"/>
      <c r="C72" s="329" t="s">
        <v>1105</v>
      </c>
      <c r="D72" s="1000" t="s">
        <v>1106</v>
      </c>
      <c r="E72" s="931"/>
    </row>
    <row r="73" spans="1:5" ht="15" customHeight="1" x14ac:dyDescent="0.35">
      <c r="A73" s="332" t="s">
        <v>1107</v>
      </c>
      <c r="B73" s="329" t="s">
        <v>1108</v>
      </c>
      <c r="C73" s="329" t="s">
        <v>1108</v>
      </c>
      <c r="D73" s="1000" t="s">
        <v>1109</v>
      </c>
      <c r="E73" s="931"/>
    </row>
    <row r="74" spans="1:5" ht="14.5" customHeight="1" x14ac:dyDescent="0.35">
      <c r="A74" s="513" t="s">
        <v>1148</v>
      </c>
      <c r="B74" s="511" t="s">
        <v>1152</v>
      </c>
      <c r="C74" s="511" t="s">
        <v>1152</v>
      </c>
      <c r="D74" s="1000"/>
      <c r="E74" s="931"/>
    </row>
    <row r="75" spans="1:5" ht="14.5" customHeight="1" x14ac:dyDescent="0.35">
      <c r="A75" s="513" t="s">
        <v>1153</v>
      </c>
      <c r="B75" s="511" t="s">
        <v>1154</v>
      </c>
      <c r="C75" s="511" t="s">
        <v>1154</v>
      </c>
      <c r="D75" s="1000"/>
      <c r="E75" s="931"/>
    </row>
    <row r="79" spans="1:5" x14ac:dyDescent="0.35">
      <c r="A79" s="1010" t="s">
        <v>1155</v>
      </c>
      <c r="B79" s="938"/>
      <c r="C79" s="938"/>
      <c r="D79" s="938"/>
      <c r="E79" s="938"/>
    </row>
    <row r="80" spans="1:5" x14ac:dyDescent="0.35">
      <c r="A80" s="938"/>
      <c r="B80" s="938"/>
      <c r="C80" s="938"/>
      <c r="D80" s="938"/>
      <c r="E80" s="938"/>
    </row>
    <row r="81" spans="1:5" x14ac:dyDescent="0.35">
      <c r="A81" s="368" t="s">
        <v>1111</v>
      </c>
      <c r="B81" s="369"/>
      <c r="C81" s="369"/>
      <c r="D81" s="369"/>
      <c r="E81" s="369"/>
    </row>
    <row r="82" spans="1:5" x14ac:dyDescent="0.35">
      <c r="A82" s="370"/>
      <c r="B82" s="371"/>
      <c r="C82" s="372"/>
      <c r="D82" s="373" t="s">
        <v>1112</v>
      </c>
      <c r="E82" s="374"/>
    </row>
    <row r="83" spans="1:5" x14ac:dyDescent="0.35">
      <c r="A83" s="370"/>
      <c r="B83" s="371"/>
      <c r="C83" s="372"/>
      <c r="D83" s="368" t="s">
        <v>1113</v>
      </c>
      <c r="E83" s="374"/>
    </row>
    <row r="84" spans="1:5" x14ac:dyDescent="0.35">
      <c r="A84" s="373" t="s">
        <v>1114</v>
      </c>
      <c r="B84" s="371"/>
      <c r="C84" s="372"/>
      <c r="D84" s="368" t="s">
        <v>1115</v>
      </c>
      <c r="E84" s="374"/>
    </row>
    <row r="85" spans="1:5" x14ac:dyDescent="0.35">
      <c r="A85" s="368" t="s">
        <v>1156</v>
      </c>
      <c r="B85" s="371"/>
      <c r="C85" s="372"/>
      <c r="D85" s="371"/>
      <c r="E85" s="374"/>
    </row>
    <row r="86" spans="1:5" x14ac:dyDescent="0.35">
      <c r="A86" s="368" t="s">
        <v>1117</v>
      </c>
      <c r="B86" s="371"/>
      <c r="C86" s="371"/>
      <c r="D86" s="371"/>
      <c r="E86" s="374"/>
    </row>
    <row r="87" spans="1:5" x14ac:dyDescent="0.35">
      <c r="A87" s="368"/>
      <c r="B87" s="371"/>
      <c r="C87" s="371"/>
      <c r="D87" s="371"/>
      <c r="E87" s="374"/>
    </row>
    <row r="88" spans="1:5" x14ac:dyDescent="0.35">
      <c r="A88" s="375"/>
      <c r="B88" s="374"/>
      <c r="C88" s="374"/>
      <c r="D88" s="371"/>
      <c r="E88" s="374"/>
    </row>
    <row r="89" spans="1:5" x14ac:dyDescent="0.35">
      <c r="A89" s="368" t="s">
        <v>1118</v>
      </c>
      <c r="B89" s="374"/>
      <c r="C89" s="374"/>
      <c r="D89" s="374"/>
      <c r="E89" s="374"/>
    </row>
    <row r="90" spans="1:5" x14ac:dyDescent="0.35">
      <c r="A90" s="376"/>
      <c r="B90" s="377"/>
      <c r="C90" s="378"/>
      <c r="D90" s="378"/>
      <c r="E90" s="378"/>
    </row>
    <row r="91" spans="1:5" x14ac:dyDescent="0.35">
      <c r="A91" s="370"/>
      <c r="B91" s="371"/>
      <c r="C91" s="371"/>
      <c r="D91" s="371"/>
      <c r="E91" s="371"/>
    </row>
    <row r="92" spans="1:5" x14ac:dyDescent="0.35">
      <c r="A92" s="375" t="s">
        <v>1119</v>
      </c>
      <c r="B92" s="371"/>
      <c r="C92" s="371"/>
      <c r="D92" s="371"/>
      <c r="E92" s="371"/>
    </row>
  </sheetData>
  <sheetProtection algorithmName="SHA-512" hashValue="9YPgaY+8lApRQ8YrQjjQspT5HzWZLHKkiiTSioKEur7dq8PwgRj/+WxLiKcabuC/qzE6FjUCDb3sRolGvkZraw==" saltValue="0ehAtr9iKalHXD551HxKNg==" spinCount="100000" sheet="1" objects="1" scenarios="1"/>
  <mergeCells count="49">
    <mergeCell ref="A79:E80"/>
    <mergeCell ref="D74:E74"/>
    <mergeCell ref="D68:E68"/>
    <mergeCell ref="C5:E5"/>
    <mergeCell ref="D64:E64"/>
    <mergeCell ref="C7:D7"/>
    <mergeCell ref="B66:B67"/>
    <mergeCell ref="D73:E73"/>
    <mergeCell ref="D67:E67"/>
    <mergeCell ref="A15:A16"/>
    <mergeCell ref="B7:B8"/>
    <mergeCell ref="A13:E13"/>
    <mergeCell ref="C10:E10"/>
    <mergeCell ref="D75:E75"/>
    <mergeCell ref="B15:B16"/>
    <mergeCell ref="A3:E3"/>
    <mergeCell ref="D72:E72"/>
    <mergeCell ref="A2:E2"/>
    <mergeCell ref="B69:B72"/>
    <mergeCell ref="B43:E43"/>
    <mergeCell ref="B48:E48"/>
    <mergeCell ref="A47:E47"/>
    <mergeCell ref="D62:E62"/>
    <mergeCell ref="D71:E71"/>
    <mergeCell ref="C8:D8"/>
    <mergeCell ref="B14:E14"/>
    <mergeCell ref="C6:E6"/>
    <mergeCell ref="C4:E4"/>
    <mergeCell ref="C9:E9"/>
    <mergeCell ref="A7:A8"/>
    <mergeCell ref="A1:E1"/>
    <mergeCell ref="A69:A72"/>
    <mergeCell ref="D65:E65"/>
    <mergeCell ref="C12:E12"/>
    <mergeCell ref="A66:A67"/>
    <mergeCell ref="B26:E26"/>
    <mergeCell ref="A27:A28"/>
    <mergeCell ref="C11:E11"/>
    <mergeCell ref="A25:B25"/>
    <mergeCell ref="D61:E61"/>
    <mergeCell ref="D70:E70"/>
    <mergeCell ref="D66:E66"/>
    <mergeCell ref="D69:E69"/>
    <mergeCell ref="B27:B28"/>
    <mergeCell ref="D60:E60"/>
    <mergeCell ref="A59:E59"/>
    <mergeCell ref="A61:A62"/>
    <mergeCell ref="D63:E63"/>
    <mergeCell ref="B61:B62"/>
  </mergeCells>
  <pageMargins left="0.7" right="0.7" top="0.75" bottom="0.75" header="0.3" footer="0.3"/>
  <pageSetup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N986"/>
  <sheetViews>
    <sheetView topLeftCell="A207" zoomScale="68" zoomScaleNormal="100" workbookViewId="0">
      <selection activeCell="H32" sqref="H32"/>
    </sheetView>
  </sheetViews>
  <sheetFormatPr defaultColWidth="0" defaultRowHeight="14.5" zeroHeight="1" outlineLevelRow="1" x14ac:dyDescent="0.35"/>
  <cols>
    <col min="1" max="1" width="8.453125" customWidth="1"/>
    <col min="2" max="2" width="71.1796875" customWidth="1"/>
    <col min="3" max="3" width="25.453125" customWidth="1"/>
    <col min="4" max="4" width="19.81640625" customWidth="1"/>
    <col min="5" max="5" width="18.81640625" customWidth="1"/>
    <col min="6" max="6" width="21" customWidth="1"/>
    <col min="7" max="7" width="19.54296875" customWidth="1"/>
    <col min="8" max="8" width="20.453125" style="449" customWidth="1"/>
    <col min="9" max="9" width="22.453125" customWidth="1"/>
    <col min="10" max="10" width="32.81640625" customWidth="1"/>
    <col min="11" max="11" width="29.81640625" customWidth="1"/>
    <col min="12" max="12" width="18" customWidth="1"/>
    <col min="13" max="13" width="26.453125" hidden="1" customWidth="1"/>
    <col min="14" max="14" width="13" hidden="1" customWidth="1"/>
    <col min="15" max="15" width="9.1796875" hidden="1" customWidth="1"/>
    <col min="16" max="16384" width="9.1796875" hidden="1"/>
  </cols>
  <sheetData>
    <row r="1" spans="1:12" ht="33" customHeight="1" x14ac:dyDescent="0.35">
      <c r="A1" s="1041" t="s">
        <v>1157</v>
      </c>
      <c r="B1" s="955"/>
      <c r="C1" s="955"/>
      <c r="D1" s="955"/>
      <c r="E1" s="955"/>
      <c r="F1" s="955"/>
      <c r="G1" s="955"/>
      <c r="H1" s="955"/>
      <c r="I1" s="955"/>
      <c r="J1" s="955"/>
      <c r="K1" s="956"/>
    </row>
    <row r="2" spans="1:12" ht="33" customHeight="1" x14ac:dyDescent="0.35">
      <c r="A2" s="1032" t="str">
        <f>'General Information'!A2:G2</f>
        <v>Sector :-  Cement Sector</v>
      </c>
      <c r="B2" s="930"/>
      <c r="C2" s="930"/>
      <c r="D2" s="930"/>
      <c r="E2" s="930"/>
      <c r="F2" s="930"/>
      <c r="G2" s="930"/>
      <c r="H2" s="930"/>
      <c r="I2" s="930"/>
      <c r="J2" s="930"/>
      <c r="K2" s="931"/>
    </row>
    <row r="3" spans="1:12" ht="18.75" customHeight="1" thickBot="1" x14ac:dyDescent="0.4">
      <c r="A3" s="1022" t="str">
        <f>CONCATENATE('General Information'!B3,H2)</f>
        <v>Obligated Entity Name</v>
      </c>
      <c r="B3" s="931"/>
      <c r="C3" s="1036" t="str">
        <f>'General Information'!C3 &amp;"  "&amp;   'General Information'!C8</f>
        <v xml:space="preserve">  </v>
      </c>
      <c r="D3" s="935"/>
      <c r="E3" s="935"/>
      <c r="F3" s="935"/>
      <c r="G3" s="935"/>
      <c r="H3" s="935"/>
      <c r="I3" s="935"/>
      <c r="J3" s="935"/>
      <c r="K3" s="936"/>
    </row>
    <row r="4" spans="1:12" ht="18.75" customHeight="1" x14ac:dyDescent="0.35">
      <c r="A4" s="1025" t="s">
        <v>1158</v>
      </c>
      <c r="B4" s="1026"/>
      <c r="C4" s="544" t="s">
        <v>1159</v>
      </c>
      <c r="D4" s="538" t="s">
        <v>1160</v>
      </c>
      <c r="E4" s="538" t="s">
        <v>367</v>
      </c>
      <c r="F4" s="538" t="s">
        <v>1161</v>
      </c>
      <c r="G4" s="705" t="s">
        <v>1162</v>
      </c>
      <c r="H4" s="722" t="s">
        <v>810</v>
      </c>
      <c r="I4" s="705" t="s">
        <v>1163</v>
      </c>
      <c r="J4" s="697"/>
      <c r="K4" s="545"/>
    </row>
    <row r="5" spans="1:12" ht="18.75" customHeight="1" thickBot="1" x14ac:dyDescent="0.4">
      <c r="A5" s="941"/>
      <c r="B5" s="1027"/>
      <c r="C5" s="696" t="s">
        <v>1164</v>
      </c>
      <c r="D5" s="696" t="s">
        <v>1165</v>
      </c>
      <c r="E5" s="696" t="s">
        <v>1166</v>
      </c>
      <c r="F5" s="704" t="s">
        <v>1167</v>
      </c>
      <c r="G5" s="704" t="s">
        <v>1168</v>
      </c>
      <c r="H5" s="723" t="s">
        <v>1169</v>
      </c>
      <c r="I5" s="704" t="s">
        <v>1170</v>
      </c>
      <c r="J5" s="698"/>
      <c r="K5" s="546"/>
    </row>
    <row r="6" spans="1:12" ht="29" customHeight="1" x14ac:dyDescent="0.35">
      <c r="A6" s="800" t="s">
        <v>1171</v>
      </c>
      <c r="B6" s="801" t="s">
        <v>1172</v>
      </c>
      <c r="C6" s="802" t="s">
        <v>1173</v>
      </c>
      <c r="D6" s="802" t="s">
        <v>1011</v>
      </c>
      <c r="E6" s="547" t="str">
        <f>IF(K8=1,"Baseline Year","Year 1 
(Baseline)")</f>
        <v>Year 1 
(Baseline)</v>
      </c>
      <c r="F6" s="548" t="str">
        <f>IF(K8=1,"Do not Enter any Data in this Coloumn","Year 2 
(Baseline)")</f>
        <v>Year 2 
(Baseline)</v>
      </c>
      <c r="G6" s="548" t="str">
        <f>IF(K8=3,"Year 3 
(Baseline)","Do not Enter any Data in this Coloumn")</f>
        <v>Do not Enter any Data in this Coloumn</v>
      </c>
      <c r="H6" s="548" t="s">
        <v>1174</v>
      </c>
      <c r="I6" s="548" t="s">
        <v>1175</v>
      </c>
      <c r="J6" s="548" t="s">
        <v>1176</v>
      </c>
      <c r="K6" s="549" t="s">
        <v>1177</v>
      </c>
      <c r="L6" s="549" t="s">
        <v>1178</v>
      </c>
    </row>
    <row r="7" spans="1:12" ht="409.6" hidden="1" customHeight="1" x14ac:dyDescent="0.35">
      <c r="A7" s="45"/>
      <c r="B7" s="244"/>
      <c r="C7" s="803"/>
      <c r="D7" s="64"/>
      <c r="E7" s="552"/>
      <c r="F7" s="552"/>
      <c r="G7" s="550"/>
      <c r="H7" s="782"/>
      <c r="I7" s="26"/>
      <c r="J7" s="26"/>
      <c r="K7" s="26"/>
    </row>
    <row r="8" spans="1:12" ht="32.5" customHeight="1" x14ac:dyDescent="0.35">
      <c r="A8" s="553"/>
      <c r="B8" s="553"/>
      <c r="C8" s="553"/>
      <c r="D8" s="554"/>
      <c r="E8" s="485">
        <f>'General Information'!C36</f>
        <v>0</v>
      </c>
      <c r="F8" s="485">
        <f>IF('General Information'!C35=1,"",'General Information'!C37)</f>
        <v>0</v>
      </c>
      <c r="G8" s="485" t="str">
        <f>IF('General Information'!C35=3,'General Information'!C38," ")</f>
        <v xml:space="preserve"> </v>
      </c>
      <c r="H8" s="783" t="str">
        <f>IF(K8=1,E8,IF(K8=2,E8&amp;" , 
"&amp;F8,E8&amp;" , "&amp;F8&amp;" , "&amp;G8))</f>
        <v xml:space="preserve">0 , 0 ,  </v>
      </c>
      <c r="I8" s="485">
        <f>'General Information'!C33</f>
        <v>0</v>
      </c>
      <c r="J8" s="485"/>
      <c r="K8" s="555">
        <f>'General Information'!C35</f>
        <v>0</v>
      </c>
    </row>
    <row r="9" spans="1:12" x14ac:dyDescent="0.35">
      <c r="A9" s="554" t="s">
        <v>51</v>
      </c>
      <c r="B9" s="556" t="s">
        <v>1179</v>
      </c>
      <c r="C9" s="553"/>
      <c r="D9" s="553"/>
      <c r="E9" s="553"/>
      <c r="F9" s="553"/>
      <c r="G9" s="553"/>
      <c r="H9" s="553"/>
      <c r="I9" s="553"/>
      <c r="J9" s="553"/>
      <c r="K9" s="553"/>
    </row>
    <row r="10" spans="1:12" x14ac:dyDescent="0.35">
      <c r="A10" s="543" t="s">
        <v>1180</v>
      </c>
      <c r="B10" s="804" t="s">
        <v>1181</v>
      </c>
      <c r="C10" s="803"/>
      <c r="D10" s="64" t="s">
        <v>1182</v>
      </c>
      <c r="E10" s="914"/>
      <c r="F10" s="914"/>
      <c r="G10" s="914"/>
      <c r="H10" s="915"/>
      <c r="I10" s="914"/>
      <c r="J10" s="26"/>
      <c r="K10" s="26"/>
    </row>
    <row r="11" spans="1:12" x14ac:dyDescent="0.35">
      <c r="A11" s="543" t="s">
        <v>1183</v>
      </c>
      <c r="B11" s="804" t="s">
        <v>1184</v>
      </c>
      <c r="C11" s="803"/>
      <c r="D11" s="64" t="s">
        <v>1182</v>
      </c>
      <c r="E11" s="914"/>
      <c r="F11" s="914"/>
      <c r="G11" s="914"/>
      <c r="H11" s="915"/>
      <c r="I11" s="914"/>
      <c r="J11" s="26"/>
      <c r="K11" s="26"/>
    </row>
    <row r="12" spans="1:12" x14ac:dyDescent="0.35">
      <c r="A12" s="543" t="s">
        <v>1185</v>
      </c>
      <c r="B12" s="804" t="s">
        <v>1186</v>
      </c>
      <c r="C12" s="803"/>
      <c r="D12" s="64" t="s">
        <v>1182</v>
      </c>
      <c r="E12" s="914"/>
      <c r="F12" s="914"/>
      <c r="G12" s="914"/>
      <c r="H12" s="915"/>
      <c r="I12" s="914"/>
      <c r="J12" s="26"/>
      <c r="K12" s="26"/>
    </row>
    <row r="13" spans="1:12" x14ac:dyDescent="0.35">
      <c r="A13" s="543" t="s">
        <v>1187</v>
      </c>
      <c r="B13" s="804" t="s">
        <v>1188</v>
      </c>
      <c r="C13" s="803"/>
      <c r="D13" s="64" t="s">
        <v>1182</v>
      </c>
      <c r="E13" s="914"/>
      <c r="F13" s="914"/>
      <c r="G13" s="914"/>
      <c r="H13" s="915"/>
      <c r="I13" s="914"/>
      <c r="J13" s="26"/>
      <c r="K13" s="26"/>
    </row>
    <row r="14" spans="1:12" ht="29" customHeight="1" x14ac:dyDescent="0.35">
      <c r="A14" s="543" t="s">
        <v>1189</v>
      </c>
      <c r="B14" s="805" t="s">
        <v>1190</v>
      </c>
      <c r="C14" s="803"/>
      <c r="D14" s="64" t="s">
        <v>1182</v>
      </c>
      <c r="E14" s="914"/>
      <c r="F14" s="914"/>
      <c r="G14" s="914"/>
      <c r="H14" s="915"/>
      <c r="I14" s="914"/>
      <c r="J14" s="26"/>
      <c r="K14" s="26"/>
    </row>
    <row r="15" spans="1:12" x14ac:dyDescent="0.35">
      <c r="A15" s="543" t="s">
        <v>1191</v>
      </c>
      <c r="B15" s="804" t="s">
        <v>1192</v>
      </c>
      <c r="C15" s="803"/>
      <c r="D15" s="64" t="s">
        <v>1182</v>
      </c>
      <c r="E15" s="914"/>
      <c r="F15" s="914"/>
      <c r="G15" s="914"/>
      <c r="H15" s="915"/>
      <c r="I15" s="914"/>
      <c r="J15" s="26"/>
      <c r="K15" s="26"/>
    </row>
    <row r="16" spans="1:12" x14ac:dyDescent="0.35">
      <c r="A16" s="543" t="s">
        <v>1193</v>
      </c>
      <c r="B16" s="804" t="s">
        <v>1194</v>
      </c>
      <c r="C16" s="803"/>
      <c r="D16" s="64" t="s">
        <v>1182</v>
      </c>
      <c r="E16" s="914"/>
      <c r="F16" s="914"/>
      <c r="G16" s="914"/>
      <c r="H16" s="915"/>
      <c r="I16" s="914"/>
      <c r="J16" s="26"/>
      <c r="K16" s="26"/>
    </row>
    <row r="17" spans="1:11" x14ac:dyDescent="0.35">
      <c r="A17" s="806" t="s">
        <v>1195</v>
      </c>
      <c r="B17" s="807" t="s">
        <v>1196</v>
      </c>
      <c r="C17" s="803"/>
      <c r="D17" s="64" t="s">
        <v>1182</v>
      </c>
      <c r="E17" s="914"/>
      <c r="F17" s="914"/>
      <c r="G17" s="914"/>
      <c r="H17" s="915"/>
      <c r="I17" s="914"/>
      <c r="J17" s="26"/>
      <c r="K17" s="26"/>
    </row>
    <row r="18" spans="1:11" x14ac:dyDescent="0.35">
      <c r="A18" s="543" t="s">
        <v>110</v>
      </c>
      <c r="B18" s="804" t="s">
        <v>1197</v>
      </c>
      <c r="C18" s="803"/>
      <c r="D18" s="64" t="s">
        <v>1182</v>
      </c>
      <c r="E18" s="914"/>
      <c r="F18" s="914"/>
      <c r="G18" s="914"/>
      <c r="H18" s="915"/>
      <c r="I18" s="914"/>
      <c r="J18" s="26"/>
      <c r="K18" s="26"/>
    </row>
    <row r="19" spans="1:11" x14ac:dyDescent="0.35">
      <c r="A19" s="543" t="s">
        <v>1198</v>
      </c>
      <c r="B19" s="804" t="s">
        <v>1199</v>
      </c>
      <c r="C19" s="803"/>
      <c r="D19" s="64" t="s">
        <v>1182</v>
      </c>
      <c r="E19" s="914"/>
      <c r="F19" s="914"/>
      <c r="G19" s="914"/>
      <c r="H19" s="915"/>
      <c r="I19" s="914"/>
      <c r="J19" s="26"/>
      <c r="K19" s="26"/>
    </row>
    <row r="20" spans="1:11" x14ac:dyDescent="0.35">
      <c r="A20" s="554" t="s">
        <v>59</v>
      </c>
      <c r="B20" s="556" t="s">
        <v>60</v>
      </c>
      <c r="C20" s="553"/>
      <c r="D20" s="554"/>
      <c r="E20" s="554"/>
      <c r="F20" s="554"/>
      <c r="G20" s="557"/>
      <c r="H20" s="643"/>
      <c r="I20" s="559"/>
      <c r="J20" s="559"/>
      <c r="K20" s="560"/>
    </row>
    <row r="21" spans="1:11" x14ac:dyDescent="0.35">
      <c r="A21" s="543" t="s">
        <v>1180</v>
      </c>
      <c r="B21" s="804" t="s">
        <v>1200</v>
      </c>
      <c r="C21" s="803"/>
      <c r="D21" s="64" t="s">
        <v>1182</v>
      </c>
      <c r="E21" s="914"/>
      <c r="F21" s="914"/>
      <c r="G21" s="914"/>
      <c r="H21" s="915"/>
      <c r="I21" s="914"/>
      <c r="J21" s="26"/>
      <c r="K21" s="26"/>
    </row>
    <row r="22" spans="1:11" x14ac:dyDescent="0.35">
      <c r="A22" s="543" t="s">
        <v>1183</v>
      </c>
      <c r="B22" s="804" t="s">
        <v>1201</v>
      </c>
      <c r="C22" s="803"/>
      <c r="D22" s="64" t="s">
        <v>1182</v>
      </c>
      <c r="E22" s="914"/>
      <c r="F22" s="914"/>
      <c r="G22" s="914"/>
      <c r="H22" s="915"/>
      <c r="I22" s="914"/>
      <c r="J22" s="26"/>
      <c r="K22" s="26"/>
    </row>
    <row r="23" spans="1:11" x14ac:dyDescent="0.35">
      <c r="A23" s="543" t="s">
        <v>1185</v>
      </c>
      <c r="B23" s="804" t="s">
        <v>1202</v>
      </c>
      <c r="C23" s="803"/>
      <c r="D23" s="64" t="s">
        <v>1182</v>
      </c>
      <c r="E23" s="914"/>
      <c r="F23" s="914"/>
      <c r="G23" s="914"/>
      <c r="H23" s="915"/>
      <c r="I23" s="914"/>
      <c r="J23" s="26"/>
      <c r="K23" s="26"/>
    </row>
    <row r="24" spans="1:11" x14ac:dyDescent="0.35">
      <c r="A24" s="543" t="s">
        <v>1187</v>
      </c>
      <c r="B24" s="804" t="s">
        <v>1203</v>
      </c>
      <c r="C24" s="803"/>
      <c r="D24" s="64" t="s">
        <v>1182</v>
      </c>
      <c r="E24" s="914"/>
      <c r="F24" s="914"/>
      <c r="G24" s="914"/>
      <c r="H24" s="915"/>
      <c r="I24" s="914"/>
      <c r="J24" s="26"/>
      <c r="K24" s="26"/>
    </row>
    <row r="25" spans="1:11" x14ac:dyDescent="0.35">
      <c r="A25" s="543" t="s">
        <v>1189</v>
      </c>
      <c r="B25" s="804" t="s">
        <v>1204</v>
      </c>
      <c r="C25" s="803"/>
      <c r="D25" s="64" t="s">
        <v>1182</v>
      </c>
      <c r="E25" s="914" t="s">
        <v>1205</v>
      </c>
      <c r="F25" s="914" t="s">
        <v>1205</v>
      </c>
      <c r="G25" s="914" t="s">
        <v>1205</v>
      </c>
      <c r="H25" s="915"/>
      <c r="I25" s="914"/>
      <c r="J25" s="26"/>
      <c r="K25" s="26"/>
    </row>
    <row r="26" spans="1:11" x14ac:dyDescent="0.35">
      <c r="A26" s="543" t="s">
        <v>1191</v>
      </c>
      <c r="B26" s="804" t="s">
        <v>1206</v>
      </c>
      <c r="C26" s="803"/>
      <c r="D26" s="64" t="s">
        <v>1182</v>
      </c>
      <c r="E26" s="914" t="s">
        <v>1205</v>
      </c>
      <c r="F26" s="914" t="s">
        <v>1205</v>
      </c>
      <c r="G26" s="914" t="s">
        <v>1205</v>
      </c>
      <c r="H26" s="915"/>
      <c r="I26" s="914"/>
      <c r="J26" s="26"/>
      <c r="K26" s="26"/>
    </row>
    <row r="27" spans="1:11" x14ac:dyDescent="0.35">
      <c r="A27" s="543" t="s">
        <v>1193</v>
      </c>
      <c r="B27" s="804" t="s">
        <v>1207</v>
      </c>
      <c r="C27" s="803"/>
      <c r="D27" s="64" t="s">
        <v>1182</v>
      </c>
      <c r="E27" s="914"/>
      <c r="F27" s="914"/>
      <c r="G27" s="914"/>
      <c r="H27" s="915"/>
      <c r="I27" s="914"/>
      <c r="J27" s="26"/>
      <c r="K27" s="26"/>
    </row>
    <row r="28" spans="1:11" x14ac:dyDescent="0.35">
      <c r="A28" s="806" t="s">
        <v>1195</v>
      </c>
      <c r="B28" s="804" t="s">
        <v>1208</v>
      </c>
      <c r="C28" s="803"/>
      <c r="D28" s="64" t="s">
        <v>1182</v>
      </c>
      <c r="E28" s="914"/>
      <c r="F28" s="914"/>
      <c r="G28" s="914"/>
      <c r="H28" s="915"/>
      <c r="I28" s="914"/>
      <c r="J28" s="26"/>
      <c r="K28" s="26"/>
    </row>
    <row r="29" spans="1:11" x14ac:dyDescent="0.35">
      <c r="A29" s="806" t="s">
        <v>110</v>
      </c>
      <c r="B29" s="804" t="s">
        <v>1209</v>
      </c>
      <c r="C29" s="803"/>
      <c r="D29" s="64" t="s">
        <v>1182</v>
      </c>
      <c r="E29" s="914"/>
      <c r="F29" s="914"/>
      <c r="G29" s="914"/>
      <c r="H29" s="915"/>
      <c r="I29" s="914"/>
      <c r="J29" s="26"/>
      <c r="K29" s="26"/>
    </row>
    <row r="30" spans="1:11" x14ac:dyDescent="0.35">
      <c r="A30" s="554" t="s">
        <v>65</v>
      </c>
      <c r="B30" s="556" t="s">
        <v>66</v>
      </c>
      <c r="C30" s="553"/>
      <c r="D30" s="554"/>
      <c r="E30" s="554"/>
      <c r="F30" s="554"/>
      <c r="G30" s="557"/>
      <c r="H30" s="643"/>
      <c r="I30" s="559"/>
      <c r="J30" s="559"/>
      <c r="K30" s="560"/>
    </row>
    <row r="31" spans="1:11" x14ac:dyDescent="0.35">
      <c r="A31" s="52" t="s">
        <v>67</v>
      </c>
      <c r="B31" s="3" t="s">
        <v>1210</v>
      </c>
      <c r="C31" s="2" t="s">
        <v>1211</v>
      </c>
      <c r="D31" s="2" t="s">
        <v>1018</v>
      </c>
      <c r="E31" s="561"/>
      <c r="F31" s="561"/>
      <c r="G31" s="561"/>
      <c r="H31" s="485">
        <f>IF(K$8=1,E31,IF(K$8=2,(E31+F31)/2,(E31+F31+G31)/3))</f>
        <v>0</v>
      </c>
      <c r="I31" s="561"/>
      <c r="J31" s="925" t="s">
        <v>1212</v>
      </c>
      <c r="K31" s="561"/>
    </row>
    <row r="32" spans="1:11" x14ac:dyDescent="0.35">
      <c r="A32" s="52" t="s">
        <v>72</v>
      </c>
      <c r="B32" s="3" t="s">
        <v>1213</v>
      </c>
      <c r="C32" s="2" t="s">
        <v>1211</v>
      </c>
      <c r="D32" s="2" t="s">
        <v>1018</v>
      </c>
      <c r="E32" s="561"/>
      <c r="F32" s="561"/>
      <c r="G32" s="561"/>
      <c r="H32" s="485">
        <f>IF(K$8=1,E32,IF(K$8=2,(E32+F32)/2,(E32+F32+G32)/3))</f>
        <v>0</v>
      </c>
      <c r="I32" s="561"/>
      <c r="J32" s="925" t="s">
        <v>1212</v>
      </c>
      <c r="K32" s="561"/>
    </row>
    <row r="33" spans="1:14" x14ac:dyDescent="0.35">
      <c r="A33" s="52" t="s">
        <v>76</v>
      </c>
      <c r="B33" s="3" t="s">
        <v>1214</v>
      </c>
      <c r="C33" s="2" t="s">
        <v>56</v>
      </c>
      <c r="D33" s="2" t="s">
        <v>1018</v>
      </c>
      <c r="E33" s="563"/>
      <c r="F33" s="563"/>
      <c r="G33" s="563"/>
      <c r="H33" s="485">
        <f>IF(K$8=1,E33,IF(K$8=2,(E33+F33)/2,(E33+F33+G33)/3))</f>
        <v>0</v>
      </c>
      <c r="I33" s="561"/>
      <c r="J33" s="925" t="s">
        <v>1215</v>
      </c>
      <c r="K33" s="561"/>
    </row>
    <row r="34" spans="1:14" x14ac:dyDescent="0.35">
      <c r="A34" s="812" t="s">
        <v>82</v>
      </c>
      <c r="B34" s="813" t="s">
        <v>1216</v>
      </c>
      <c r="C34" s="814" t="s">
        <v>56</v>
      </c>
      <c r="D34" s="814" t="s">
        <v>1018</v>
      </c>
      <c r="E34" s="485">
        <f>E42+E48+E53+E57+E63+E70</f>
        <v>0</v>
      </c>
      <c r="F34" s="485">
        <f>F42+F48+F53+F57+F63+F70</f>
        <v>0</v>
      </c>
      <c r="G34" s="485">
        <f>G42+G48+G53+G57+G63+G70</f>
        <v>0</v>
      </c>
      <c r="H34" s="485">
        <f>H42+H48+H53+H57+H63+H70</f>
        <v>0</v>
      </c>
      <c r="I34" s="485">
        <f>I42+I48+I53+I57+I63+I70</f>
        <v>0</v>
      </c>
      <c r="J34" s="925" t="s">
        <v>1217</v>
      </c>
      <c r="K34" s="561"/>
    </row>
    <row r="35" spans="1:14" x14ac:dyDescent="0.35">
      <c r="A35" s="52" t="s">
        <v>86</v>
      </c>
      <c r="B35" s="18" t="s">
        <v>1218</v>
      </c>
      <c r="C35" s="2" t="s">
        <v>56</v>
      </c>
      <c r="D35" s="2" t="s">
        <v>1018</v>
      </c>
      <c r="E35" s="561"/>
      <c r="F35" s="561"/>
      <c r="G35" s="561"/>
      <c r="H35" s="485">
        <f>IF(K$8=1,E35,IF(K$8=2,(E35+F35)/2,(E35+F35+G35)/3))</f>
        <v>0</v>
      </c>
      <c r="I35" s="561"/>
      <c r="J35" s="925" t="s">
        <v>1219</v>
      </c>
      <c r="K35" s="561"/>
    </row>
    <row r="36" spans="1:14" x14ac:dyDescent="0.35">
      <c r="A36" s="52" t="s">
        <v>92</v>
      </c>
      <c r="B36" s="3" t="s">
        <v>1220</v>
      </c>
      <c r="C36" s="2" t="s">
        <v>56</v>
      </c>
      <c r="D36" s="2" t="s">
        <v>1018</v>
      </c>
      <c r="E36" s="561"/>
      <c r="F36" s="561"/>
      <c r="G36" s="561"/>
      <c r="H36" s="485">
        <f>IF(K$8=1,E36,IF(K$8=2,(E36+F36)/2,(E36+F36+G36)/3))</f>
        <v>0</v>
      </c>
      <c r="I36" s="561"/>
      <c r="J36" s="925" t="s">
        <v>1221</v>
      </c>
      <c r="K36" s="561"/>
    </row>
    <row r="37" spans="1:14" x14ac:dyDescent="0.35">
      <c r="A37" s="52" t="s">
        <v>94</v>
      </c>
      <c r="B37" s="3" t="s">
        <v>1222</v>
      </c>
      <c r="C37" s="2" t="s">
        <v>56</v>
      </c>
      <c r="D37" s="2" t="s">
        <v>1018</v>
      </c>
      <c r="E37" s="561"/>
      <c r="F37" s="561"/>
      <c r="G37" s="561"/>
      <c r="H37" s="485">
        <f>IF(K$8=1,E37,IF(K$8=2,(E37+F37)/2,(E37+F37+G37)/3))</f>
        <v>0</v>
      </c>
      <c r="I37" s="561"/>
      <c r="J37" s="925" t="s">
        <v>1223</v>
      </c>
      <c r="K37" s="561"/>
    </row>
    <row r="38" spans="1:14" x14ac:dyDescent="0.35">
      <c r="A38" s="52" t="s">
        <v>97</v>
      </c>
      <c r="B38" s="3" t="s">
        <v>1224</v>
      </c>
      <c r="C38" s="2" t="s">
        <v>56</v>
      </c>
      <c r="D38" s="2" t="s">
        <v>1018</v>
      </c>
      <c r="E38" s="561"/>
      <c r="F38" s="561"/>
      <c r="G38" s="561"/>
      <c r="H38" s="485">
        <f>IF(K$8=1,E38,IF(K$8=2,(E38+F38)/2,(E38+F38+G38)/3))</f>
        <v>0</v>
      </c>
      <c r="I38" s="561"/>
      <c r="J38" s="925" t="s">
        <v>1223</v>
      </c>
      <c r="K38" s="561"/>
    </row>
    <row r="39" spans="1:14" x14ac:dyDescent="0.35">
      <c r="A39" s="564" t="s">
        <v>99</v>
      </c>
      <c r="B39" s="565" t="s">
        <v>1225</v>
      </c>
      <c r="C39" s="564" t="s">
        <v>1226</v>
      </c>
      <c r="D39" s="564" t="s">
        <v>1057</v>
      </c>
      <c r="E39" s="566">
        <f>IF(E31=0, (0),(E33*100/E31))</f>
        <v>0</v>
      </c>
      <c r="F39" s="566">
        <f>IF(F31=0, (0),(F33*100/F31))</f>
        <v>0</v>
      </c>
      <c r="G39" s="566">
        <f>IF(G31=0, (0),(G33*100/G31))</f>
        <v>0</v>
      </c>
      <c r="H39" s="566">
        <f>IF(H31=0, (0),(H33*100/H31))</f>
        <v>0</v>
      </c>
      <c r="I39" s="566">
        <f>IF(I31=0, (0),(I33*100/I31))</f>
        <v>0</v>
      </c>
      <c r="J39" s="582"/>
      <c r="K39" s="582"/>
    </row>
    <row r="40" spans="1:14" x14ac:dyDescent="0.35">
      <c r="A40" s="564" t="s">
        <v>101</v>
      </c>
      <c r="B40" s="565" t="s">
        <v>1227</v>
      </c>
      <c r="C40" s="564" t="s">
        <v>1228</v>
      </c>
      <c r="D40" s="564" t="s">
        <v>1057</v>
      </c>
      <c r="E40" s="566">
        <f>IF(E32=0, 0, E34*100/E32)</f>
        <v>0</v>
      </c>
      <c r="F40" s="566">
        <f>IF(F32=0, 0, F34*100/F32)</f>
        <v>0</v>
      </c>
      <c r="G40" s="566">
        <f>IF(G32=0, 0, G34*100/G32)</f>
        <v>0</v>
      </c>
      <c r="H40" s="566">
        <f>IF(H32=0, 0, H34*100/H32)</f>
        <v>0</v>
      </c>
      <c r="I40" s="566">
        <f>IF(I32=0, 0, I34*100/I32)</f>
        <v>0</v>
      </c>
      <c r="J40" s="582"/>
      <c r="K40" s="582"/>
    </row>
    <row r="41" spans="1:14" ht="29" customHeight="1" x14ac:dyDescent="0.35">
      <c r="A41" s="808" t="s">
        <v>103</v>
      </c>
      <c r="B41" s="809" t="s">
        <v>1229</v>
      </c>
      <c r="C41" s="808"/>
      <c r="D41" s="808"/>
      <c r="E41" s="568"/>
      <c r="F41" s="568"/>
      <c r="G41" s="569"/>
      <c r="H41" s="568"/>
      <c r="I41" s="568"/>
      <c r="J41" s="866"/>
      <c r="K41" s="866"/>
    </row>
    <row r="42" spans="1:14" ht="29" customHeight="1" x14ac:dyDescent="0.35">
      <c r="A42" s="524" t="s">
        <v>106</v>
      </c>
      <c r="B42" s="523" t="s">
        <v>1230</v>
      </c>
      <c r="C42" s="2" t="s">
        <v>56</v>
      </c>
      <c r="D42" s="52" t="s">
        <v>1018</v>
      </c>
      <c r="E42" s="561"/>
      <c r="F42" s="561"/>
      <c r="G42" s="561"/>
      <c r="H42" s="485">
        <f t="shared" ref="H42:H78" si="0">IF(K$8=1,E42,IF(K$8=2,(E42+F42)/2,(E42+F42+G42)/3))</f>
        <v>0</v>
      </c>
      <c r="I42" s="561"/>
      <c r="J42" s="925" t="s">
        <v>1231</v>
      </c>
      <c r="K42" s="561"/>
    </row>
    <row r="43" spans="1:14" ht="23.5" customHeight="1" x14ac:dyDescent="0.35">
      <c r="A43" s="52" t="s">
        <v>110</v>
      </c>
      <c r="B43" s="3" t="s">
        <v>1232</v>
      </c>
      <c r="C43" s="2" t="s">
        <v>56</v>
      </c>
      <c r="D43" s="52" t="s">
        <v>1018</v>
      </c>
      <c r="E43" s="561"/>
      <c r="F43" s="561"/>
      <c r="G43" s="561"/>
      <c r="H43" s="485">
        <f t="shared" si="0"/>
        <v>0</v>
      </c>
      <c r="I43" s="561"/>
      <c r="J43" s="925" t="s">
        <v>1217</v>
      </c>
      <c r="K43" s="561"/>
      <c r="L43" s="570"/>
      <c r="M43" s="570"/>
      <c r="N43" s="570"/>
    </row>
    <row r="44" spans="1:14" x14ac:dyDescent="0.35">
      <c r="A44" s="52" t="s">
        <v>115</v>
      </c>
      <c r="B44" s="3" t="s">
        <v>1233</v>
      </c>
      <c r="C44" s="2" t="s">
        <v>56</v>
      </c>
      <c r="D44" s="52" t="s">
        <v>1018</v>
      </c>
      <c r="E44" s="561"/>
      <c r="F44" s="561"/>
      <c r="G44" s="561"/>
      <c r="H44" s="485">
        <f t="shared" si="0"/>
        <v>0</v>
      </c>
      <c r="I44" s="561"/>
      <c r="J44" s="925" t="s">
        <v>1217</v>
      </c>
      <c r="K44" s="32"/>
    </row>
    <row r="45" spans="1:14" x14ac:dyDescent="0.35">
      <c r="A45" s="52" t="s">
        <v>118</v>
      </c>
      <c r="B45" s="3" t="s">
        <v>1234</v>
      </c>
      <c r="C45" s="2" t="s">
        <v>56</v>
      </c>
      <c r="D45" s="52" t="s">
        <v>1018</v>
      </c>
      <c r="E45" s="561"/>
      <c r="F45" s="561"/>
      <c r="G45" s="561"/>
      <c r="H45" s="485">
        <f t="shared" si="0"/>
        <v>0</v>
      </c>
      <c r="I45" s="561"/>
      <c r="J45" s="561"/>
      <c r="K45" s="32"/>
    </row>
    <row r="46" spans="1:14" ht="29" customHeight="1" x14ac:dyDescent="0.35">
      <c r="A46" s="52" t="s">
        <v>121</v>
      </c>
      <c r="B46" s="3" t="s">
        <v>1235</v>
      </c>
      <c r="C46" s="2" t="s">
        <v>56</v>
      </c>
      <c r="D46" s="52" t="s">
        <v>1018</v>
      </c>
      <c r="E46" s="561"/>
      <c r="F46" s="561"/>
      <c r="G46" s="561"/>
      <c r="H46" s="485">
        <f t="shared" si="0"/>
        <v>0</v>
      </c>
      <c r="I46" s="561"/>
      <c r="J46" s="561"/>
      <c r="K46" s="561"/>
    </row>
    <row r="47" spans="1:14" x14ac:dyDescent="0.35">
      <c r="A47" s="52" t="s">
        <v>124</v>
      </c>
      <c r="B47" s="3" t="s">
        <v>1236</v>
      </c>
      <c r="C47" s="2" t="s">
        <v>56</v>
      </c>
      <c r="D47" s="52" t="s">
        <v>1018</v>
      </c>
      <c r="E47" s="561"/>
      <c r="F47" s="561"/>
      <c r="G47" s="561"/>
      <c r="H47" s="485">
        <f t="shared" si="0"/>
        <v>0</v>
      </c>
      <c r="I47" s="561"/>
      <c r="J47" s="561"/>
      <c r="K47" s="561"/>
    </row>
    <row r="48" spans="1:14" x14ac:dyDescent="0.35">
      <c r="A48" s="524" t="s">
        <v>126</v>
      </c>
      <c r="B48" s="523" t="s">
        <v>1237</v>
      </c>
      <c r="C48" s="2" t="s">
        <v>56</v>
      </c>
      <c r="D48" s="52" t="s">
        <v>1018</v>
      </c>
      <c r="E48" s="561"/>
      <c r="F48" s="561"/>
      <c r="G48" s="561"/>
      <c r="H48" s="485">
        <f t="shared" si="0"/>
        <v>0</v>
      </c>
      <c r="I48" s="561"/>
      <c r="J48" s="925" t="s">
        <v>1217</v>
      </c>
      <c r="K48" s="561"/>
    </row>
    <row r="49" spans="1:14" x14ac:dyDescent="0.35">
      <c r="A49" s="52" t="s">
        <v>110</v>
      </c>
      <c r="B49" s="3" t="s">
        <v>1238</v>
      </c>
      <c r="C49" s="2" t="s">
        <v>56</v>
      </c>
      <c r="D49" s="52" t="s">
        <v>1018</v>
      </c>
      <c r="E49" s="561"/>
      <c r="F49" s="561"/>
      <c r="G49" s="561"/>
      <c r="H49" s="485">
        <f t="shared" si="0"/>
        <v>0</v>
      </c>
      <c r="I49" s="561"/>
      <c r="J49" s="925" t="s">
        <v>1217</v>
      </c>
      <c r="K49" s="561"/>
      <c r="L49" s="1028"/>
      <c r="M49" s="1024"/>
      <c r="N49" s="1024"/>
    </row>
    <row r="50" spans="1:14" x14ac:dyDescent="0.35">
      <c r="A50" s="52" t="s">
        <v>115</v>
      </c>
      <c r="B50" s="3" t="s">
        <v>1239</v>
      </c>
      <c r="C50" s="2" t="s">
        <v>56</v>
      </c>
      <c r="D50" s="52" t="s">
        <v>1018</v>
      </c>
      <c r="E50" s="561"/>
      <c r="F50" s="561"/>
      <c r="G50" s="561"/>
      <c r="H50" s="485">
        <f t="shared" si="0"/>
        <v>0</v>
      </c>
      <c r="I50" s="561"/>
      <c r="J50" s="925" t="s">
        <v>1217</v>
      </c>
      <c r="K50" s="561"/>
      <c r="L50" s="1033"/>
      <c r="M50" s="938"/>
    </row>
    <row r="51" spans="1:14" x14ac:dyDescent="0.35">
      <c r="A51" s="52" t="s">
        <v>118</v>
      </c>
      <c r="B51" s="3" t="s">
        <v>1240</v>
      </c>
      <c r="C51" s="2" t="s">
        <v>56</v>
      </c>
      <c r="D51" s="52" t="s">
        <v>1018</v>
      </c>
      <c r="E51" s="561"/>
      <c r="F51" s="561"/>
      <c r="G51" s="561"/>
      <c r="H51" s="485">
        <f t="shared" si="0"/>
        <v>0</v>
      </c>
      <c r="I51" s="561"/>
      <c r="J51" s="561"/>
      <c r="K51" s="561"/>
      <c r="L51" s="571"/>
      <c r="M51" s="571"/>
    </row>
    <row r="52" spans="1:14" ht="43.5" customHeight="1" x14ac:dyDescent="0.35">
      <c r="A52" s="52" t="s">
        <v>121</v>
      </c>
      <c r="B52" s="3" t="s">
        <v>1241</v>
      </c>
      <c r="C52" s="2" t="s">
        <v>56</v>
      </c>
      <c r="D52" s="52" t="s">
        <v>1018</v>
      </c>
      <c r="E52" s="561"/>
      <c r="F52" s="561"/>
      <c r="G52" s="561"/>
      <c r="H52" s="485">
        <f t="shared" si="0"/>
        <v>0</v>
      </c>
      <c r="I52" s="561"/>
      <c r="J52" s="561"/>
      <c r="K52" s="561" t="s">
        <v>1242</v>
      </c>
    </row>
    <row r="53" spans="1:14" ht="15" customHeight="1" x14ac:dyDescent="0.35">
      <c r="A53" s="524" t="s">
        <v>135</v>
      </c>
      <c r="B53" s="523" t="s">
        <v>1243</v>
      </c>
      <c r="C53" s="2" t="s">
        <v>56</v>
      </c>
      <c r="D53" s="52" t="s">
        <v>1018</v>
      </c>
      <c r="E53" s="561"/>
      <c r="F53" s="561"/>
      <c r="G53" s="561"/>
      <c r="H53" s="485">
        <f t="shared" si="0"/>
        <v>0</v>
      </c>
      <c r="I53" s="32"/>
      <c r="J53" s="32"/>
      <c r="K53" s="30"/>
    </row>
    <row r="54" spans="1:14" ht="15" customHeight="1" x14ac:dyDescent="0.35">
      <c r="A54" s="52" t="s">
        <v>110</v>
      </c>
      <c r="B54" s="3" t="s">
        <v>1244</v>
      </c>
      <c r="C54" s="2" t="s">
        <v>56</v>
      </c>
      <c r="D54" s="52" t="s">
        <v>1018</v>
      </c>
      <c r="E54" s="561"/>
      <c r="F54" s="561"/>
      <c r="G54" s="561"/>
      <c r="H54" s="485">
        <f t="shared" si="0"/>
        <v>0</v>
      </c>
      <c r="I54" s="32"/>
      <c r="J54" s="32"/>
      <c r="K54" s="30"/>
    </row>
    <row r="55" spans="1:14" ht="15" customHeight="1" x14ac:dyDescent="0.35">
      <c r="A55" s="52" t="s">
        <v>115</v>
      </c>
      <c r="B55" s="3" t="s">
        <v>1245</v>
      </c>
      <c r="C55" s="2" t="s">
        <v>56</v>
      </c>
      <c r="D55" s="52" t="s">
        <v>1018</v>
      </c>
      <c r="E55" s="561"/>
      <c r="F55" s="561"/>
      <c r="G55" s="561"/>
      <c r="H55" s="485">
        <f t="shared" si="0"/>
        <v>0</v>
      </c>
      <c r="I55" s="32"/>
      <c r="J55" s="32"/>
      <c r="K55" s="30"/>
    </row>
    <row r="56" spans="1:14" ht="15" customHeight="1" x14ac:dyDescent="0.35">
      <c r="A56" s="52" t="s">
        <v>118</v>
      </c>
      <c r="B56" s="3" t="s">
        <v>1246</v>
      </c>
      <c r="C56" s="2" t="s">
        <v>56</v>
      </c>
      <c r="D56" s="52" t="s">
        <v>1018</v>
      </c>
      <c r="E56" s="561"/>
      <c r="F56" s="561"/>
      <c r="G56" s="561"/>
      <c r="H56" s="485">
        <f t="shared" si="0"/>
        <v>0</v>
      </c>
      <c r="I56" s="32"/>
      <c r="J56" s="32"/>
      <c r="K56" s="30"/>
    </row>
    <row r="57" spans="1:14" ht="15" customHeight="1" x14ac:dyDescent="0.35">
      <c r="A57" s="524" t="s">
        <v>142</v>
      </c>
      <c r="B57" s="523" t="s">
        <v>1247</v>
      </c>
      <c r="C57" s="2" t="s">
        <v>56</v>
      </c>
      <c r="D57" s="52" t="s">
        <v>1018</v>
      </c>
      <c r="E57" s="561"/>
      <c r="F57" s="561"/>
      <c r="G57" s="561"/>
      <c r="H57" s="485">
        <f t="shared" si="0"/>
        <v>0</v>
      </c>
      <c r="I57" s="32"/>
      <c r="J57" s="32"/>
      <c r="K57" s="30"/>
    </row>
    <row r="58" spans="1:14" ht="15" customHeight="1" x14ac:dyDescent="0.35">
      <c r="A58" s="52" t="s">
        <v>110</v>
      </c>
      <c r="B58" s="3" t="s">
        <v>1248</v>
      </c>
      <c r="C58" s="2" t="s">
        <v>56</v>
      </c>
      <c r="D58" s="52" t="s">
        <v>1018</v>
      </c>
      <c r="E58" s="561"/>
      <c r="F58" s="561"/>
      <c r="G58" s="561"/>
      <c r="H58" s="485">
        <f t="shared" si="0"/>
        <v>0</v>
      </c>
      <c r="I58" s="32"/>
      <c r="J58" s="32"/>
      <c r="K58" s="30"/>
    </row>
    <row r="59" spans="1:14" ht="15" customHeight="1" x14ac:dyDescent="0.35">
      <c r="A59" s="52" t="s">
        <v>115</v>
      </c>
      <c r="B59" s="3" t="s">
        <v>1249</v>
      </c>
      <c r="C59" s="2" t="s">
        <v>56</v>
      </c>
      <c r="D59" s="52" t="s">
        <v>1018</v>
      </c>
      <c r="E59" s="561"/>
      <c r="F59" s="561"/>
      <c r="G59" s="561"/>
      <c r="H59" s="485">
        <f t="shared" si="0"/>
        <v>0</v>
      </c>
      <c r="I59" s="32"/>
      <c r="J59" s="32"/>
      <c r="K59" s="30"/>
    </row>
    <row r="60" spans="1:14" ht="15" customHeight="1" x14ac:dyDescent="0.35">
      <c r="A60" s="52" t="s">
        <v>118</v>
      </c>
      <c r="B60" s="3" t="s">
        <v>1250</v>
      </c>
      <c r="C60" s="2" t="s">
        <v>56</v>
      </c>
      <c r="D60" s="52" t="s">
        <v>1018</v>
      </c>
      <c r="E60" s="561"/>
      <c r="F60" s="561"/>
      <c r="G60" s="561"/>
      <c r="H60" s="485">
        <f t="shared" si="0"/>
        <v>0</v>
      </c>
      <c r="I60" s="32"/>
      <c r="J60" s="32"/>
      <c r="K60" s="30"/>
    </row>
    <row r="61" spans="1:14" ht="15" customHeight="1" x14ac:dyDescent="0.35">
      <c r="A61" s="52" t="s">
        <v>121</v>
      </c>
      <c r="B61" s="3" t="s">
        <v>1251</v>
      </c>
      <c r="C61" s="2" t="s">
        <v>56</v>
      </c>
      <c r="D61" s="52" t="s">
        <v>1018</v>
      </c>
      <c r="E61" s="561"/>
      <c r="F61" s="561"/>
      <c r="G61" s="561"/>
      <c r="H61" s="485">
        <f t="shared" si="0"/>
        <v>0</v>
      </c>
      <c r="I61" s="32"/>
      <c r="J61" s="32"/>
      <c r="K61" s="30"/>
    </row>
    <row r="62" spans="1:14" ht="15" customHeight="1" x14ac:dyDescent="0.35">
      <c r="A62" s="748" t="s">
        <v>124</v>
      </c>
      <c r="B62" s="3" t="s">
        <v>1252</v>
      </c>
      <c r="C62" s="2" t="s">
        <v>56</v>
      </c>
      <c r="D62" s="52" t="s">
        <v>1018</v>
      </c>
      <c r="E62" s="561"/>
      <c r="F62" s="561"/>
      <c r="G62" s="561"/>
      <c r="H62" s="485">
        <f t="shared" si="0"/>
        <v>0</v>
      </c>
      <c r="I62" s="32"/>
      <c r="J62" s="32"/>
      <c r="K62" s="30"/>
    </row>
    <row r="63" spans="1:14" ht="15" customHeight="1" x14ac:dyDescent="0.35">
      <c r="A63" s="524" t="s">
        <v>150</v>
      </c>
      <c r="B63" s="523" t="s">
        <v>1253</v>
      </c>
      <c r="C63" s="2" t="s">
        <v>56</v>
      </c>
      <c r="D63" s="52" t="s">
        <v>1018</v>
      </c>
      <c r="E63" s="561"/>
      <c r="F63" s="561"/>
      <c r="G63" s="561"/>
      <c r="H63" s="485">
        <f t="shared" si="0"/>
        <v>0</v>
      </c>
      <c r="I63" s="32"/>
      <c r="J63" s="32"/>
      <c r="K63" s="30"/>
    </row>
    <row r="64" spans="1:14" ht="15" customHeight="1" x14ac:dyDescent="0.35">
      <c r="A64" s="52" t="s">
        <v>110</v>
      </c>
      <c r="B64" s="3" t="s">
        <v>1254</v>
      </c>
      <c r="C64" s="2" t="s">
        <v>56</v>
      </c>
      <c r="D64" s="52" t="s">
        <v>1018</v>
      </c>
      <c r="E64" s="561"/>
      <c r="F64" s="561"/>
      <c r="G64" s="561"/>
      <c r="H64" s="485">
        <f t="shared" si="0"/>
        <v>0</v>
      </c>
      <c r="I64" s="32"/>
      <c r="J64" s="32"/>
      <c r="K64" s="30"/>
    </row>
    <row r="65" spans="1:11" ht="15" customHeight="1" x14ac:dyDescent="0.35">
      <c r="A65" s="52" t="s">
        <v>115</v>
      </c>
      <c r="B65" s="3" t="s">
        <v>1255</v>
      </c>
      <c r="C65" s="2" t="s">
        <v>56</v>
      </c>
      <c r="D65" s="52" t="s">
        <v>1018</v>
      </c>
      <c r="E65" s="561"/>
      <c r="F65" s="561"/>
      <c r="G65" s="561"/>
      <c r="H65" s="485">
        <f t="shared" si="0"/>
        <v>0</v>
      </c>
      <c r="I65" s="32"/>
      <c r="J65" s="32"/>
      <c r="K65" s="30"/>
    </row>
    <row r="66" spans="1:11" ht="15" customHeight="1" x14ac:dyDescent="0.35">
      <c r="A66" s="52" t="s">
        <v>118</v>
      </c>
      <c r="B66" s="3" t="s">
        <v>1256</v>
      </c>
      <c r="C66" s="2" t="s">
        <v>56</v>
      </c>
      <c r="D66" s="52" t="s">
        <v>1018</v>
      </c>
      <c r="E66" s="561"/>
      <c r="F66" s="561"/>
      <c r="G66" s="561"/>
      <c r="H66" s="485">
        <f t="shared" si="0"/>
        <v>0</v>
      </c>
      <c r="I66" s="32"/>
      <c r="J66" s="32"/>
      <c r="K66" s="30"/>
    </row>
    <row r="67" spans="1:11" ht="15" customHeight="1" x14ac:dyDescent="0.35">
      <c r="A67" s="52" t="s">
        <v>121</v>
      </c>
      <c r="B67" s="3" t="s">
        <v>1257</v>
      </c>
      <c r="C67" s="2" t="s">
        <v>56</v>
      </c>
      <c r="D67" s="52" t="s">
        <v>1018</v>
      </c>
      <c r="E67" s="561"/>
      <c r="F67" s="561"/>
      <c r="G67" s="561"/>
      <c r="H67" s="485">
        <f t="shared" si="0"/>
        <v>0</v>
      </c>
      <c r="I67" s="32"/>
      <c r="J67" s="32"/>
      <c r="K67" s="30"/>
    </row>
    <row r="68" spans="1:11" ht="15" customHeight="1" x14ac:dyDescent="0.35">
      <c r="A68" s="52" t="s">
        <v>124</v>
      </c>
      <c r="B68" s="3" t="s">
        <v>1258</v>
      </c>
      <c r="C68" s="2" t="s">
        <v>56</v>
      </c>
      <c r="D68" s="52" t="s">
        <v>1018</v>
      </c>
      <c r="E68" s="561"/>
      <c r="F68" s="561"/>
      <c r="G68" s="561"/>
      <c r="H68" s="485">
        <f t="shared" si="0"/>
        <v>0</v>
      </c>
      <c r="I68" s="32"/>
      <c r="J68" s="32"/>
      <c r="K68" s="30"/>
    </row>
    <row r="69" spans="1:11" ht="15" customHeight="1" x14ac:dyDescent="0.35">
      <c r="A69" s="748" t="s">
        <v>162</v>
      </c>
      <c r="B69" s="3" t="s">
        <v>1259</v>
      </c>
      <c r="C69" s="2" t="s">
        <v>56</v>
      </c>
      <c r="D69" s="52" t="s">
        <v>1018</v>
      </c>
      <c r="E69" s="561"/>
      <c r="F69" s="561"/>
      <c r="G69" s="561"/>
      <c r="H69" s="485">
        <f t="shared" si="0"/>
        <v>0</v>
      </c>
      <c r="I69" s="32"/>
      <c r="J69" s="32"/>
      <c r="K69" s="30"/>
    </row>
    <row r="70" spans="1:11" ht="15" customHeight="1" x14ac:dyDescent="0.35">
      <c r="A70" s="524" t="s">
        <v>1260</v>
      </c>
      <c r="B70" s="523" t="str">
        <f>"Other Cement Production, "&amp;'General Information'!F6&amp;""</f>
        <v>Other Cement Production, PPC</v>
      </c>
      <c r="C70" s="2" t="s">
        <v>56</v>
      </c>
      <c r="D70" s="52" t="s">
        <v>1018</v>
      </c>
      <c r="E70" s="561"/>
      <c r="F70" s="561"/>
      <c r="G70" s="561"/>
      <c r="H70" s="485">
        <f t="shared" si="0"/>
        <v>0</v>
      </c>
      <c r="I70" s="32"/>
      <c r="J70" s="32"/>
      <c r="K70" s="30"/>
    </row>
    <row r="71" spans="1:11" ht="15" customHeight="1" x14ac:dyDescent="0.35">
      <c r="A71" s="52" t="s">
        <v>110</v>
      </c>
      <c r="B71" s="3" t="s">
        <v>1261</v>
      </c>
      <c r="C71" s="2" t="s">
        <v>56</v>
      </c>
      <c r="D71" s="52" t="s">
        <v>1018</v>
      </c>
      <c r="E71" s="561"/>
      <c r="F71" s="561"/>
      <c r="G71" s="561"/>
      <c r="H71" s="485">
        <f t="shared" si="0"/>
        <v>0</v>
      </c>
      <c r="I71" s="32"/>
      <c r="J71" s="32"/>
      <c r="K71" s="30" t="s">
        <v>1262</v>
      </c>
    </row>
    <row r="72" spans="1:11" ht="15" customHeight="1" x14ac:dyDescent="0.35">
      <c r="A72" s="52" t="s">
        <v>115</v>
      </c>
      <c r="B72" s="3" t="s">
        <v>1263</v>
      </c>
      <c r="C72" s="2" t="s">
        <v>56</v>
      </c>
      <c r="D72" s="52" t="s">
        <v>1018</v>
      </c>
      <c r="E72" s="561"/>
      <c r="F72" s="561"/>
      <c r="G72" s="561"/>
      <c r="H72" s="485">
        <f t="shared" si="0"/>
        <v>0</v>
      </c>
      <c r="I72" s="32"/>
      <c r="J72" s="32"/>
      <c r="K72" s="30"/>
    </row>
    <row r="73" spans="1:11" ht="15" customHeight="1" x14ac:dyDescent="0.35">
      <c r="A73" s="52" t="s">
        <v>118</v>
      </c>
      <c r="B73" s="3" t="s">
        <v>1264</v>
      </c>
      <c r="C73" s="2" t="s">
        <v>56</v>
      </c>
      <c r="D73" s="52" t="s">
        <v>1018</v>
      </c>
      <c r="E73" s="561"/>
      <c r="F73" s="561"/>
      <c r="G73" s="561"/>
      <c r="H73" s="485">
        <f t="shared" si="0"/>
        <v>0</v>
      </c>
      <c r="I73" s="32"/>
      <c r="J73" s="32"/>
      <c r="K73" s="30"/>
    </row>
    <row r="74" spans="1:11" ht="15" customHeight="1" x14ac:dyDescent="0.35">
      <c r="A74" s="52" t="s">
        <v>121</v>
      </c>
      <c r="B74" s="3" t="s">
        <v>1265</v>
      </c>
      <c r="C74" s="2" t="s">
        <v>56</v>
      </c>
      <c r="D74" s="52" t="s">
        <v>1018</v>
      </c>
      <c r="E74" s="561"/>
      <c r="F74" s="561"/>
      <c r="G74" s="561"/>
      <c r="H74" s="485">
        <f t="shared" si="0"/>
        <v>0</v>
      </c>
      <c r="I74" s="32"/>
      <c r="J74" s="32"/>
      <c r="K74" s="30"/>
    </row>
    <row r="75" spans="1:11" ht="15" customHeight="1" x14ac:dyDescent="0.35">
      <c r="A75" s="524" t="s">
        <v>1266</v>
      </c>
      <c r="B75" s="523" t="s">
        <v>1267</v>
      </c>
      <c r="C75" s="2" t="s">
        <v>56</v>
      </c>
      <c r="D75" s="52" t="s">
        <v>1018</v>
      </c>
      <c r="E75" s="561"/>
      <c r="F75" s="561"/>
      <c r="G75" s="561"/>
      <c r="H75" s="485">
        <f t="shared" si="0"/>
        <v>0</v>
      </c>
      <c r="I75" s="32"/>
      <c r="J75" s="32"/>
      <c r="K75" s="30"/>
    </row>
    <row r="76" spans="1:11" ht="15" customHeight="1" x14ac:dyDescent="0.35">
      <c r="A76" s="52" t="s">
        <v>110</v>
      </c>
      <c r="B76" s="3" t="s">
        <v>1268</v>
      </c>
      <c r="C76" s="2" t="s">
        <v>56</v>
      </c>
      <c r="D76" s="52" t="s">
        <v>1018</v>
      </c>
      <c r="E76" s="561"/>
      <c r="F76" s="561"/>
      <c r="G76" s="561"/>
      <c r="H76" s="485">
        <f t="shared" si="0"/>
        <v>0</v>
      </c>
      <c r="I76" s="32"/>
      <c r="J76" s="32"/>
      <c r="K76" s="30"/>
    </row>
    <row r="77" spans="1:11" ht="15" customHeight="1" x14ac:dyDescent="0.35">
      <c r="A77" s="52" t="s">
        <v>115</v>
      </c>
      <c r="B77" s="3" t="s">
        <v>1269</v>
      </c>
      <c r="C77" s="2" t="s">
        <v>56</v>
      </c>
      <c r="D77" s="52" t="s">
        <v>1018</v>
      </c>
      <c r="E77" s="561"/>
      <c r="F77" s="561"/>
      <c r="G77" s="561"/>
      <c r="H77" s="485">
        <f t="shared" si="0"/>
        <v>0</v>
      </c>
      <c r="I77" s="32"/>
      <c r="J77" s="32"/>
      <c r="K77" s="30"/>
    </row>
    <row r="78" spans="1:11" ht="15" customHeight="1" x14ac:dyDescent="0.35">
      <c r="A78" s="52" t="s">
        <v>118</v>
      </c>
      <c r="B78" s="3" t="s">
        <v>1270</v>
      </c>
      <c r="C78" s="2" t="s">
        <v>56</v>
      </c>
      <c r="D78" s="52" t="s">
        <v>1018</v>
      </c>
      <c r="E78" s="561"/>
      <c r="F78" s="561"/>
      <c r="G78" s="561"/>
      <c r="H78" s="485">
        <f t="shared" si="0"/>
        <v>0</v>
      </c>
      <c r="I78" s="32"/>
      <c r="J78" s="32"/>
      <c r="K78" s="30"/>
    </row>
    <row r="79" spans="1:11" x14ac:dyDescent="0.35">
      <c r="A79" s="810" t="s">
        <v>177</v>
      </c>
      <c r="B79" s="815" t="s">
        <v>178</v>
      </c>
      <c r="C79" s="811"/>
      <c r="D79" s="810"/>
      <c r="E79" s="572"/>
      <c r="F79" s="572"/>
      <c r="G79" s="573"/>
      <c r="H79" s="784"/>
      <c r="I79" s="572"/>
      <c r="J79" s="572"/>
      <c r="K79" s="573"/>
    </row>
    <row r="80" spans="1:11" ht="15" customHeight="1" x14ac:dyDescent="0.35">
      <c r="A80" s="52" t="s">
        <v>110</v>
      </c>
      <c r="B80" s="3" t="s">
        <v>1271</v>
      </c>
      <c r="C80" s="2" t="s">
        <v>56</v>
      </c>
      <c r="D80" s="52" t="s">
        <v>1018</v>
      </c>
      <c r="E80" s="561"/>
      <c r="F80" s="561">
        <f>626814+727614+16090</f>
        <v>1370518</v>
      </c>
      <c r="G80" s="561">
        <f>698820+785654+36053+271289.06-37563.74</f>
        <v>1754252.32</v>
      </c>
      <c r="H80" s="485">
        <f>IF(K$8=1,E80,IF(K$8=2,(E80+F80)/2,(E80+F80+G80)/3))</f>
        <v>1041590.1066666668</v>
      </c>
      <c r="I80" s="561"/>
      <c r="J80" s="925" t="s">
        <v>1272</v>
      </c>
      <c r="K80" s="561"/>
    </row>
    <row r="81" spans="1:12" ht="15" customHeight="1" x14ac:dyDescent="0.35">
      <c r="A81" s="52" t="s">
        <v>115</v>
      </c>
      <c r="B81" s="3" t="s">
        <v>1273</v>
      </c>
      <c r="C81" s="2" t="s">
        <v>56</v>
      </c>
      <c r="D81" s="52" t="s">
        <v>1018</v>
      </c>
      <c r="E81" s="561"/>
      <c r="F81" s="561"/>
      <c r="G81" s="561"/>
      <c r="H81" s="485">
        <f>IF(K$8=1,E81,IF(K$8=2,(E81+F81)/2,(E81+F81+G81)/3))</f>
        <v>0</v>
      </c>
      <c r="I81" s="561"/>
      <c r="J81" s="561"/>
      <c r="K81" s="561"/>
    </row>
    <row r="82" spans="1:12" x14ac:dyDescent="0.35">
      <c r="A82" s="812" t="s">
        <v>182</v>
      </c>
      <c r="B82" s="813" t="s">
        <v>1274</v>
      </c>
      <c r="C82" s="814" t="s">
        <v>56</v>
      </c>
      <c r="D82" s="812" t="s">
        <v>1018</v>
      </c>
      <c r="E82" s="485">
        <f>E50+E60</f>
        <v>0</v>
      </c>
      <c r="F82" s="485">
        <f>F50+F60</f>
        <v>0</v>
      </c>
      <c r="G82" s="485">
        <f>G50+G60</f>
        <v>0</v>
      </c>
      <c r="H82" s="485">
        <f>H50+H60</f>
        <v>0</v>
      </c>
      <c r="I82" s="485">
        <f>I50+I60</f>
        <v>0</v>
      </c>
      <c r="J82" s="867"/>
      <c r="K82" s="32"/>
      <c r="L82" s="1042"/>
    </row>
    <row r="83" spans="1:12" x14ac:dyDescent="0.35">
      <c r="A83" s="812" t="s">
        <v>184</v>
      </c>
      <c r="B83" s="813" t="s">
        <v>1275</v>
      </c>
      <c r="C83" s="814" t="s">
        <v>56</v>
      </c>
      <c r="D83" s="812" t="s">
        <v>1018</v>
      </c>
      <c r="E83" s="485">
        <f>E43+E49+E54+E58+E64+E71</f>
        <v>0</v>
      </c>
      <c r="F83" s="485">
        <f>F43+F49+F54+F58+F64+F71</f>
        <v>0</v>
      </c>
      <c r="G83" s="485">
        <f>G43+G49+G54+G58+G64+G71</f>
        <v>0</v>
      </c>
      <c r="H83" s="485">
        <f>H43+H49+H54+H58+H64+H71</f>
        <v>0</v>
      </c>
      <c r="I83" s="485">
        <f>I43+I49+I54+I58+I64+I71</f>
        <v>0</v>
      </c>
      <c r="J83" s="867"/>
      <c r="K83" s="32"/>
      <c r="L83" s="938"/>
    </row>
    <row r="84" spans="1:12" x14ac:dyDescent="0.35">
      <c r="A84" s="812" t="s">
        <v>186</v>
      </c>
      <c r="B84" s="813" t="s">
        <v>1276</v>
      </c>
      <c r="C84" s="814" t="s">
        <v>56</v>
      </c>
      <c r="D84" s="812" t="s">
        <v>1018</v>
      </c>
      <c r="E84" s="485">
        <f>E59+E55</f>
        <v>0</v>
      </c>
      <c r="F84" s="485">
        <f>F59+F55</f>
        <v>0</v>
      </c>
      <c r="G84" s="485">
        <f>G59+G55</f>
        <v>0</v>
      </c>
      <c r="H84" s="485">
        <f>H59+H55</f>
        <v>0</v>
      </c>
      <c r="I84" s="485">
        <f>I59+I55</f>
        <v>0</v>
      </c>
      <c r="J84" s="867"/>
      <c r="K84" s="32"/>
      <c r="L84" s="938"/>
    </row>
    <row r="85" spans="1:12" x14ac:dyDescent="0.35">
      <c r="A85" s="812" t="s">
        <v>188</v>
      </c>
      <c r="B85" s="813" t="s">
        <v>1277</v>
      </c>
      <c r="C85" s="814" t="s">
        <v>56</v>
      </c>
      <c r="D85" s="812" t="s">
        <v>1018</v>
      </c>
      <c r="E85" s="485">
        <f>E44+E65</f>
        <v>0</v>
      </c>
      <c r="F85" s="485">
        <f>F44+F65</f>
        <v>0</v>
      </c>
      <c r="G85" s="485">
        <f>G44+G65</f>
        <v>0</v>
      </c>
      <c r="H85" s="485">
        <f>H44+H65</f>
        <v>0</v>
      </c>
      <c r="I85" s="485">
        <f>I44+I65</f>
        <v>0</v>
      </c>
      <c r="J85" s="867"/>
      <c r="K85" s="32"/>
      <c r="L85" s="938"/>
    </row>
    <row r="86" spans="1:12" x14ac:dyDescent="0.35">
      <c r="A86" s="812" t="s">
        <v>190</v>
      </c>
      <c r="B86" s="813" t="s">
        <v>1278</v>
      </c>
      <c r="C86" s="814" t="s">
        <v>56</v>
      </c>
      <c r="D86" s="812" t="s">
        <v>1018</v>
      </c>
      <c r="E86" s="485">
        <f>E45+E51+E61+E68</f>
        <v>0</v>
      </c>
      <c r="F86" s="485">
        <f>F45+F51+F61+F68</f>
        <v>0</v>
      </c>
      <c r="G86" s="485">
        <f>G45+G51+G61+G68</f>
        <v>0</v>
      </c>
      <c r="H86" s="485">
        <f>H45+H51+H61+H68</f>
        <v>0</v>
      </c>
      <c r="I86" s="485">
        <f>I45+I51+I61+I68</f>
        <v>0</v>
      </c>
      <c r="J86" s="867"/>
      <c r="K86" s="32"/>
      <c r="L86" s="862"/>
    </row>
    <row r="87" spans="1:12" x14ac:dyDescent="0.35">
      <c r="A87" s="812" t="s">
        <v>192</v>
      </c>
      <c r="B87" s="813" t="s">
        <v>1279</v>
      </c>
      <c r="C87" s="814" t="s">
        <v>56</v>
      </c>
      <c r="D87" s="812" t="s">
        <v>1018</v>
      </c>
      <c r="E87" s="485">
        <f>E46+E47+E52+E56+E62+E66+E67+E69+E72+E73+E74</f>
        <v>0</v>
      </c>
      <c r="F87" s="485">
        <f>F46+F47+F52+F56+F62+F66+F67+F69+F72+F73+F74</f>
        <v>0</v>
      </c>
      <c r="G87" s="485">
        <f>G46+G47+G52+G56+G62+G66+G67+G69+G72+G73+G74</f>
        <v>0</v>
      </c>
      <c r="H87" s="485">
        <f>H46+H47+H52+H56+H62+H66+H67+H69+H72+H73+H74</f>
        <v>0</v>
      </c>
      <c r="I87" s="485">
        <f>I46+I47+I52+I56+I62+I66+I67+I69+I72+I73+I74</f>
        <v>0</v>
      </c>
      <c r="J87" s="32"/>
      <c r="K87" s="32"/>
    </row>
    <row r="88" spans="1:12" s="443" customFormat="1" x14ac:dyDescent="0.35">
      <c r="A88" s="812" t="s">
        <v>194</v>
      </c>
      <c r="B88" s="813" t="s">
        <v>1280</v>
      </c>
      <c r="C88" s="814" t="s">
        <v>56</v>
      </c>
      <c r="D88" s="812" t="s">
        <v>1018</v>
      </c>
      <c r="E88" s="485">
        <f>SUM(E82:E87)</f>
        <v>0</v>
      </c>
      <c r="F88" s="485">
        <f>SUM(F82:F87)</f>
        <v>0</v>
      </c>
      <c r="G88" s="485">
        <f>SUM(G82:G87)</f>
        <v>0</v>
      </c>
      <c r="H88" s="485">
        <f>SUM(H82:H87)</f>
        <v>0</v>
      </c>
      <c r="I88" s="485">
        <f>SUM(I82:I87)</f>
        <v>0</v>
      </c>
      <c r="J88" s="519"/>
      <c r="K88" s="519"/>
    </row>
    <row r="89" spans="1:12" x14ac:dyDescent="0.35">
      <c r="A89" s="52"/>
      <c r="B89" s="3"/>
      <c r="C89" s="2"/>
      <c r="D89" s="52"/>
      <c r="E89" s="563"/>
      <c r="F89" s="563"/>
      <c r="G89" s="30"/>
      <c r="H89" s="785"/>
      <c r="I89" s="32"/>
      <c r="J89" s="32"/>
      <c r="K89" s="32"/>
    </row>
    <row r="90" spans="1:12" x14ac:dyDescent="0.35">
      <c r="A90" s="810" t="s">
        <v>196</v>
      </c>
      <c r="B90" s="815" t="s">
        <v>1281</v>
      </c>
      <c r="C90" s="811"/>
      <c r="D90" s="810"/>
      <c r="E90" s="574"/>
      <c r="F90" s="574"/>
      <c r="G90" s="573"/>
      <c r="H90" s="784"/>
      <c r="I90" s="32"/>
      <c r="J90" s="32"/>
      <c r="K90" s="32"/>
    </row>
    <row r="91" spans="1:12" s="443" customFormat="1" x14ac:dyDescent="0.35">
      <c r="A91" s="812" t="s">
        <v>110</v>
      </c>
      <c r="B91" s="813" t="s">
        <v>1282</v>
      </c>
      <c r="C91" s="814" t="s">
        <v>56</v>
      </c>
      <c r="D91" s="812" t="s">
        <v>1283</v>
      </c>
      <c r="E91" s="486">
        <f>IFERROR(((E42-E43-E44-E45-E46-E47)/E42),0)</f>
        <v>0</v>
      </c>
      <c r="F91" s="486">
        <f>IFERROR(((F42-F43-F44-F45-F46-F47)/F42),0)</f>
        <v>0</v>
      </c>
      <c r="G91" s="486">
        <f>IFERROR(((G42-G43-G44-G45-G46-G47)/G42),0)</f>
        <v>0</v>
      </c>
      <c r="H91" s="486">
        <f>IFERROR(((H42-H43-H44-H45-H46-H47)/H42),0)</f>
        <v>0</v>
      </c>
      <c r="I91" s="486">
        <f>IFERROR(((I42-I43-I44-I45-I46-I47)/I42),0)</f>
        <v>0</v>
      </c>
      <c r="J91" s="868"/>
      <c r="K91" s="519"/>
    </row>
    <row r="92" spans="1:12" s="443" customFormat="1" x14ac:dyDescent="0.35">
      <c r="A92" s="812" t="s">
        <v>115</v>
      </c>
      <c r="B92" s="813" t="s">
        <v>1284</v>
      </c>
      <c r="C92" s="814" t="s">
        <v>56</v>
      </c>
      <c r="D92" s="812" t="s">
        <v>1283</v>
      </c>
      <c r="E92" s="486">
        <f>IFERROR(((E48-E49-E50-E51-E52)/E48),0)</f>
        <v>0</v>
      </c>
      <c r="F92" s="486">
        <f>IFERROR(((F48-F49-F50-F51-F52)/F48),0)</f>
        <v>0</v>
      </c>
      <c r="G92" s="486">
        <f>IFERROR(((G48-G49-G50-G51-G52)/G48),0)</f>
        <v>0</v>
      </c>
      <c r="H92" s="486">
        <f>IFERROR(((H48-H49-H50-H51-H52)/H48),0)</f>
        <v>0</v>
      </c>
      <c r="I92" s="486">
        <f>IFERROR(((I48-I49-I50-I51-I52)/I48),0)</f>
        <v>0</v>
      </c>
      <c r="J92" s="868"/>
      <c r="K92" s="519"/>
    </row>
    <row r="93" spans="1:12" s="443" customFormat="1" x14ac:dyDescent="0.35">
      <c r="A93" s="812" t="s">
        <v>118</v>
      </c>
      <c r="B93" s="813" t="s">
        <v>1285</v>
      </c>
      <c r="C93" s="814" t="s">
        <v>56</v>
      </c>
      <c r="D93" s="812" t="s">
        <v>1283</v>
      </c>
      <c r="E93" s="485">
        <f>IFERROR(((E53-E54-E55-E56)/E53),0)</f>
        <v>0</v>
      </c>
      <c r="F93" s="485">
        <f>IFERROR(((F53-F54-F55-F56)/F53),0)</f>
        <v>0</v>
      </c>
      <c r="G93" s="485">
        <f>IFERROR(((G53-G54-G55-G56)/G53),0)</f>
        <v>0</v>
      </c>
      <c r="H93" s="485">
        <f>IFERROR(((H53-H54-H55-H56)/H53),0)</f>
        <v>0</v>
      </c>
      <c r="I93" s="485">
        <f>IFERROR(((I53-I54-I55-I56)/I53),0)</f>
        <v>0</v>
      </c>
      <c r="J93" s="868"/>
      <c r="K93" s="863"/>
    </row>
    <row r="94" spans="1:12" s="443" customFormat="1" x14ac:dyDescent="0.35">
      <c r="A94" s="812" t="s">
        <v>121</v>
      </c>
      <c r="B94" s="813" t="s">
        <v>1286</v>
      </c>
      <c r="C94" s="814" t="s">
        <v>56</v>
      </c>
      <c r="D94" s="812" t="s">
        <v>1283</v>
      </c>
      <c r="E94" s="485">
        <f>IFERROR(((E57-E58-E59-E60-E61-E62)/E57),0)</f>
        <v>0</v>
      </c>
      <c r="F94" s="485">
        <f>IFERROR(((F57-F58-F59-F60-F61-F62)/F57),0)</f>
        <v>0</v>
      </c>
      <c r="G94" s="485">
        <f>IFERROR(((G57-G58-G59-G60-G61-G62)/G57),0)</f>
        <v>0</v>
      </c>
      <c r="H94" s="485">
        <f>IFERROR(((H57-H58-H59-H60-H61-H62)/H57),0)</f>
        <v>0</v>
      </c>
      <c r="I94" s="485">
        <f>IFERROR(((I57-I58-I59-I60-I61-I62)/I57),0)</f>
        <v>0</v>
      </c>
      <c r="J94" s="868"/>
      <c r="K94" s="863"/>
    </row>
    <row r="95" spans="1:12" s="443" customFormat="1" x14ac:dyDescent="0.35">
      <c r="A95" s="812" t="s">
        <v>124</v>
      </c>
      <c r="B95" s="813" t="s">
        <v>1287</v>
      </c>
      <c r="C95" s="814" t="s">
        <v>56</v>
      </c>
      <c r="D95" s="812" t="s">
        <v>1283</v>
      </c>
      <c r="E95" s="485">
        <f>IFERROR(((E63-E64-E65-E66-E67-E68-E69)/E63),0)</f>
        <v>0</v>
      </c>
      <c r="F95" s="485">
        <f>IFERROR(((F63-F64-F65-F66-F67-F68-F69)/F63),0)</f>
        <v>0</v>
      </c>
      <c r="G95" s="485">
        <f>IFERROR(((G63-G64-G65-G66-G67-G68-G69)/G63),0)</f>
        <v>0</v>
      </c>
      <c r="H95" s="485">
        <f>IFERROR(((H63-H64-H65-H66-H67-H68-H69)/H63),0)</f>
        <v>0</v>
      </c>
      <c r="I95" s="485">
        <f>IFERROR(((I63-I64-I65-I66-I67-I68-I69)/I63),0)</f>
        <v>0</v>
      </c>
      <c r="J95" s="868"/>
      <c r="K95" s="863"/>
    </row>
    <row r="96" spans="1:12" s="443" customFormat="1" x14ac:dyDescent="0.35">
      <c r="A96" s="812" t="s">
        <v>162</v>
      </c>
      <c r="B96" s="813" t="s">
        <v>1288</v>
      </c>
      <c r="C96" s="814" t="s">
        <v>56</v>
      </c>
      <c r="D96" s="812" t="s">
        <v>1283</v>
      </c>
      <c r="E96" s="485">
        <f>IFERROR(((E70-E71-E72-E73-E74)/E70),0)</f>
        <v>0</v>
      </c>
      <c r="F96" s="485">
        <f>IFERROR(((F70-F71-F72-F73-F74)/F70),0)</f>
        <v>0</v>
      </c>
      <c r="G96" s="485">
        <f>IFERROR(((G70-G71-G72-G73-G74)/G70),0)</f>
        <v>0</v>
      </c>
      <c r="H96" s="485">
        <f>IFERROR(((H70-H71-H72-H73-H74)/H70),0)</f>
        <v>0</v>
      </c>
      <c r="I96" s="485">
        <f>IFERROR(((I70-I71-I72-I73-I74)/I70),0)</f>
        <v>0</v>
      </c>
      <c r="J96" s="868"/>
      <c r="K96" s="863"/>
    </row>
    <row r="97" spans="1:11" s="443" customFormat="1" x14ac:dyDescent="0.35">
      <c r="A97" s="812" t="s">
        <v>202</v>
      </c>
      <c r="B97" s="813" t="s">
        <v>1289</v>
      </c>
      <c r="C97" s="814" t="s">
        <v>56</v>
      </c>
      <c r="D97" s="812" t="s">
        <v>1283</v>
      </c>
      <c r="E97" s="486">
        <f>IFERROR((E33+E35-E36+E81-E80)/E34,0)</f>
        <v>0</v>
      </c>
      <c r="F97" s="486">
        <f>IFERROR((F33+F35-F36+F81-F80)/F34,0)</f>
        <v>0</v>
      </c>
      <c r="G97" s="486">
        <f>IFERROR((G33+G35-G36+G81-G80)/G34,0)</f>
        <v>0</v>
      </c>
      <c r="H97" s="486">
        <f>IFERROR((H33+H35-H36+H81-H80)/H34,0)</f>
        <v>0</v>
      </c>
      <c r="I97" s="486">
        <f>IFERROR((I33+I35-I36+I81-I80)/I34,0)</f>
        <v>0</v>
      </c>
      <c r="J97" s="868"/>
      <c r="K97" s="863"/>
    </row>
    <row r="98" spans="1:11" s="443" customFormat="1" x14ac:dyDescent="0.35">
      <c r="A98" s="812" t="s">
        <v>203</v>
      </c>
      <c r="B98" s="813" t="s">
        <v>1290</v>
      </c>
      <c r="C98" s="814" t="s">
        <v>56</v>
      </c>
      <c r="D98" s="812" t="s">
        <v>1283</v>
      </c>
      <c r="E98" s="485"/>
      <c r="F98" s="485"/>
      <c r="G98" s="485"/>
      <c r="H98" s="485">
        <f>IF(K$8=1,E98,IF(K$8=2,(E98+F98)/2,(E98+F98+G98)/3))</f>
        <v>0</v>
      </c>
      <c r="I98" s="485">
        <f>IF(L$8=1,F98,IF(L$8=2,(F98+G98)/2,(F98+G98+H98)/3))</f>
        <v>0</v>
      </c>
      <c r="J98" s="868"/>
      <c r="K98" s="863"/>
    </row>
    <row r="99" spans="1:11" x14ac:dyDescent="0.35">
      <c r="A99" s="52"/>
      <c r="B99" s="3"/>
      <c r="C99" s="2"/>
      <c r="D99" s="52"/>
      <c r="E99" s="31"/>
      <c r="F99" s="31"/>
      <c r="G99" s="30"/>
      <c r="H99" s="785"/>
      <c r="I99" s="32"/>
      <c r="J99" s="32"/>
      <c r="K99" s="30"/>
    </row>
    <row r="100" spans="1:11" x14ac:dyDescent="0.35">
      <c r="A100" s="810" t="s">
        <v>206</v>
      </c>
      <c r="B100" s="815" t="s">
        <v>207</v>
      </c>
      <c r="C100" s="811"/>
      <c r="D100" s="810"/>
      <c r="E100" s="576"/>
      <c r="F100" s="576"/>
      <c r="G100" s="573"/>
      <c r="H100" s="784"/>
      <c r="I100" s="572"/>
      <c r="J100" s="572"/>
      <c r="K100" s="573"/>
    </row>
    <row r="101" spans="1:11" outlineLevel="1" x14ac:dyDescent="0.35">
      <c r="A101" s="52" t="s">
        <v>110</v>
      </c>
      <c r="B101" s="3" t="s">
        <v>1291</v>
      </c>
      <c r="C101" s="2" t="s">
        <v>56</v>
      </c>
      <c r="D101" s="52" t="s">
        <v>1283</v>
      </c>
      <c r="E101" s="561"/>
      <c r="F101" s="561"/>
      <c r="G101" s="561"/>
      <c r="H101" s="485">
        <f t="shared" ref="H101:H112" si="1">IF(K$8=1,E101,IF(K$8=2,(E101+F101)/2,(E101+F101+G101)/3))</f>
        <v>0</v>
      </c>
      <c r="I101" s="32"/>
      <c r="J101" s="32"/>
      <c r="K101" s="30"/>
    </row>
    <row r="102" spans="1:11" outlineLevel="1" x14ac:dyDescent="0.35">
      <c r="A102" s="52" t="s">
        <v>115</v>
      </c>
      <c r="B102" s="3" t="s">
        <v>1292</v>
      </c>
      <c r="C102" s="2" t="s">
        <v>56</v>
      </c>
      <c r="D102" s="52" t="s">
        <v>1283</v>
      </c>
      <c r="E102" s="561"/>
      <c r="F102" s="561"/>
      <c r="G102" s="561"/>
      <c r="H102" s="485">
        <f t="shared" si="1"/>
        <v>0</v>
      </c>
      <c r="I102" s="32"/>
      <c r="J102" s="32"/>
      <c r="K102" s="30"/>
    </row>
    <row r="103" spans="1:11" ht="29" customHeight="1" outlineLevel="1" x14ac:dyDescent="0.35">
      <c r="A103" s="52" t="s">
        <v>118</v>
      </c>
      <c r="B103" s="3" t="s">
        <v>1293</v>
      </c>
      <c r="C103" s="2" t="s">
        <v>56</v>
      </c>
      <c r="D103" s="52" t="s">
        <v>1018</v>
      </c>
      <c r="E103" s="561"/>
      <c r="F103" s="561"/>
      <c r="G103" s="561"/>
      <c r="H103" s="485">
        <f t="shared" si="1"/>
        <v>0</v>
      </c>
      <c r="I103" s="32"/>
      <c r="J103" s="32"/>
      <c r="K103" s="30"/>
    </row>
    <row r="104" spans="1:11" outlineLevel="1" x14ac:dyDescent="0.35">
      <c r="A104" s="52" t="s">
        <v>121</v>
      </c>
      <c r="B104" s="3" t="s">
        <v>1294</v>
      </c>
      <c r="C104" s="2" t="s">
        <v>56</v>
      </c>
      <c r="D104" s="52" t="s">
        <v>1283</v>
      </c>
      <c r="E104" s="561"/>
      <c r="F104" s="561"/>
      <c r="G104" s="561"/>
      <c r="H104" s="485">
        <f t="shared" si="1"/>
        <v>0</v>
      </c>
      <c r="I104" s="32"/>
      <c r="J104" s="32"/>
      <c r="K104" s="30"/>
    </row>
    <row r="105" spans="1:11" outlineLevel="1" x14ac:dyDescent="0.35">
      <c r="A105" s="52" t="s">
        <v>124</v>
      </c>
      <c r="B105" s="3" t="s">
        <v>1295</v>
      </c>
      <c r="C105" s="2" t="s">
        <v>56</v>
      </c>
      <c r="D105" s="52" t="s">
        <v>1283</v>
      </c>
      <c r="E105" s="561"/>
      <c r="F105" s="561"/>
      <c r="G105" s="561"/>
      <c r="H105" s="485">
        <f t="shared" si="1"/>
        <v>0</v>
      </c>
      <c r="I105" s="32"/>
      <c r="J105" s="32"/>
      <c r="K105" s="30"/>
    </row>
    <row r="106" spans="1:11" outlineLevel="1" x14ac:dyDescent="0.35">
      <c r="A106" s="52" t="s">
        <v>162</v>
      </c>
      <c r="B106" s="3" t="s">
        <v>1296</v>
      </c>
      <c r="C106" s="2" t="s">
        <v>56</v>
      </c>
      <c r="D106" s="52" t="s">
        <v>1018</v>
      </c>
      <c r="E106" s="561"/>
      <c r="F106" s="561"/>
      <c r="G106" s="561"/>
      <c r="H106" s="485">
        <f t="shared" si="1"/>
        <v>0</v>
      </c>
      <c r="I106" s="32"/>
      <c r="J106" s="32"/>
      <c r="K106" s="30"/>
    </row>
    <row r="107" spans="1:11" outlineLevel="1" x14ac:dyDescent="0.35">
      <c r="A107" s="52" t="s">
        <v>202</v>
      </c>
      <c r="B107" s="3" t="s">
        <v>1297</v>
      </c>
      <c r="C107" s="2" t="s">
        <v>56</v>
      </c>
      <c r="D107" s="52" t="s">
        <v>1283</v>
      </c>
      <c r="E107" s="561"/>
      <c r="F107" s="561"/>
      <c r="G107" s="561"/>
      <c r="H107" s="485">
        <f t="shared" si="1"/>
        <v>0</v>
      </c>
      <c r="I107" s="32"/>
      <c r="J107" s="32"/>
      <c r="K107" s="30"/>
    </row>
    <row r="108" spans="1:11" outlineLevel="1" x14ac:dyDescent="0.35">
      <c r="A108" s="52" t="s">
        <v>203</v>
      </c>
      <c r="B108" s="3" t="s">
        <v>1298</v>
      </c>
      <c r="C108" s="2" t="s">
        <v>56</v>
      </c>
      <c r="D108" s="52" t="s">
        <v>1283</v>
      </c>
      <c r="E108" s="561"/>
      <c r="F108" s="561"/>
      <c r="G108" s="561"/>
      <c r="H108" s="485">
        <f t="shared" si="1"/>
        <v>0</v>
      </c>
      <c r="I108" s="32"/>
      <c r="J108" s="32"/>
      <c r="K108" s="30"/>
    </row>
    <row r="109" spans="1:11" outlineLevel="1" x14ac:dyDescent="0.35">
      <c r="A109" s="52" t="s">
        <v>225</v>
      </c>
      <c r="B109" s="3" t="s">
        <v>1299</v>
      </c>
      <c r="C109" s="2" t="s">
        <v>56</v>
      </c>
      <c r="D109" s="52" t="s">
        <v>1018</v>
      </c>
      <c r="E109" s="561"/>
      <c r="F109" s="561"/>
      <c r="G109" s="561"/>
      <c r="H109" s="485">
        <f t="shared" si="1"/>
        <v>0</v>
      </c>
      <c r="I109" s="32"/>
      <c r="J109" s="32"/>
      <c r="K109" s="30"/>
    </row>
    <row r="110" spans="1:11" outlineLevel="1" x14ac:dyDescent="0.35">
      <c r="A110" s="52" t="s">
        <v>229</v>
      </c>
      <c r="B110" s="3" t="s">
        <v>1300</v>
      </c>
      <c r="C110" s="2" t="s">
        <v>56</v>
      </c>
      <c r="D110" s="52" t="s">
        <v>1018</v>
      </c>
      <c r="E110" s="262"/>
      <c r="F110" s="263"/>
      <c r="G110" s="561"/>
      <c r="H110" s="485">
        <f t="shared" si="1"/>
        <v>0</v>
      </c>
      <c r="I110" s="32"/>
      <c r="J110" s="32"/>
      <c r="K110" s="30"/>
    </row>
    <row r="111" spans="1:11" outlineLevel="1" x14ac:dyDescent="0.35">
      <c r="A111" s="52" t="s">
        <v>233</v>
      </c>
      <c r="B111" s="3" t="s">
        <v>1301</v>
      </c>
      <c r="C111" s="2" t="s">
        <v>56</v>
      </c>
      <c r="D111" s="52" t="s">
        <v>1283</v>
      </c>
      <c r="E111" s="561"/>
      <c r="F111" s="561"/>
      <c r="G111" s="561"/>
      <c r="H111" s="485">
        <f t="shared" si="1"/>
        <v>0</v>
      </c>
      <c r="I111" s="32"/>
      <c r="J111" s="32"/>
      <c r="K111" s="30"/>
    </row>
    <row r="112" spans="1:11" outlineLevel="1" x14ac:dyDescent="0.35">
      <c r="A112" s="52" t="s">
        <v>238</v>
      </c>
      <c r="B112" s="3" t="s">
        <v>1302</v>
      </c>
      <c r="C112" s="2" t="s">
        <v>56</v>
      </c>
      <c r="D112" s="52" t="s">
        <v>1283</v>
      </c>
      <c r="E112" s="561"/>
      <c r="F112" s="561"/>
      <c r="G112" s="561"/>
      <c r="H112" s="485">
        <f t="shared" si="1"/>
        <v>0</v>
      </c>
      <c r="I112" s="32"/>
      <c r="J112" s="32"/>
      <c r="K112" s="30"/>
    </row>
    <row r="113" spans="1:11" x14ac:dyDescent="0.35">
      <c r="A113" s="810" t="s">
        <v>243</v>
      </c>
      <c r="B113" s="815" t="s">
        <v>244</v>
      </c>
      <c r="C113" s="811"/>
      <c r="D113" s="810"/>
      <c r="E113" s="576"/>
      <c r="F113" s="576"/>
      <c r="G113" s="573"/>
      <c r="H113" s="784"/>
      <c r="I113" s="572"/>
      <c r="J113" s="572"/>
      <c r="K113" s="573"/>
    </row>
    <row r="114" spans="1:11" x14ac:dyDescent="0.35">
      <c r="A114" s="52" t="s">
        <v>110</v>
      </c>
      <c r="B114" s="3" t="s">
        <v>1303</v>
      </c>
      <c r="C114" s="2" t="s">
        <v>56</v>
      </c>
      <c r="D114" s="52" t="s">
        <v>1018</v>
      </c>
      <c r="E114" s="561"/>
      <c r="F114" s="561"/>
      <c r="G114" s="561"/>
      <c r="H114" s="485">
        <f>IF(K$8=1,E114,IF(K$8=2,(E114+F114)/2,(E114+F114+G114)/3))</f>
        <v>0</v>
      </c>
      <c r="I114" s="32"/>
      <c r="J114" s="32"/>
      <c r="K114" s="30"/>
    </row>
    <row r="115" spans="1:11" x14ac:dyDescent="0.35">
      <c r="A115" s="52" t="s">
        <v>115</v>
      </c>
      <c r="B115" s="3" t="s">
        <v>1304</v>
      </c>
      <c r="C115" s="2" t="s">
        <v>56</v>
      </c>
      <c r="D115" s="52" t="s">
        <v>1018</v>
      </c>
      <c r="E115" s="561"/>
      <c r="F115" s="561"/>
      <c r="G115" s="561"/>
      <c r="H115" s="485">
        <f>IF(K$8=1,E115,IF(K$8=2,(E115+F115)/2,(E115+F115+G115)/3))</f>
        <v>0</v>
      </c>
      <c r="I115" s="32"/>
      <c r="J115" s="32"/>
      <c r="K115" s="30"/>
    </row>
    <row r="116" spans="1:11" x14ac:dyDescent="0.35">
      <c r="A116" s="52" t="s">
        <v>1305</v>
      </c>
      <c r="B116" s="3" t="s">
        <v>1306</v>
      </c>
      <c r="C116" s="2" t="s">
        <v>56</v>
      </c>
      <c r="D116" s="52" t="s">
        <v>1018</v>
      </c>
      <c r="E116" s="561"/>
      <c r="F116" s="561"/>
      <c r="G116" s="561"/>
      <c r="H116" s="485">
        <f>IF(K$8=1,E116,IF(K$8=2,(E116+F116)/2,(E116+F116+G116)/3))</f>
        <v>0</v>
      </c>
      <c r="I116" s="32"/>
      <c r="J116" s="32"/>
      <c r="K116" s="30"/>
    </row>
    <row r="117" spans="1:11" x14ac:dyDescent="0.35">
      <c r="A117" s="52" t="s">
        <v>121</v>
      </c>
      <c r="B117" s="3" t="s">
        <v>1307</v>
      </c>
      <c r="C117" s="2" t="s">
        <v>56</v>
      </c>
      <c r="D117" s="52" t="s">
        <v>1018</v>
      </c>
      <c r="E117" s="561"/>
      <c r="F117" s="561"/>
      <c r="G117" s="561"/>
      <c r="H117" s="485">
        <f>IF(K$8=1,E117,IF(K$8=2,(E117+F117)/2,(E117+F117+G117)/3))</f>
        <v>0</v>
      </c>
      <c r="I117" s="32"/>
      <c r="J117" s="32"/>
      <c r="K117" s="30"/>
    </row>
    <row r="118" spans="1:11" x14ac:dyDescent="0.35">
      <c r="A118" s="52" t="s">
        <v>124</v>
      </c>
      <c r="B118" s="3" t="s">
        <v>1308</v>
      </c>
      <c r="C118" s="2" t="s">
        <v>56</v>
      </c>
      <c r="D118" s="52" t="s">
        <v>1018</v>
      </c>
      <c r="E118" s="561"/>
      <c r="F118" s="561"/>
      <c r="G118" s="561"/>
      <c r="H118" s="485">
        <f>IF(K$8=1,E118,IF(K$8=2,(E118+F118)/2,(E118+F118+G118)/3))</f>
        <v>0</v>
      </c>
      <c r="I118" s="32"/>
      <c r="J118" s="32"/>
      <c r="K118" s="30"/>
    </row>
    <row r="119" spans="1:11" x14ac:dyDescent="0.35">
      <c r="A119" s="771"/>
      <c r="B119" s="771" t="s">
        <v>1309</v>
      </c>
      <c r="C119" s="2"/>
      <c r="D119" s="52"/>
      <c r="E119" s="52"/>
      <c r="F119" s="52"/>
      <c r="G119" s="20"/>
      <c r="H119" s="786"/>
      <c r="I119" s="551"/>
      <c r="J119" s="551"/>
      <c r="K119" s="551"/>
    </row>
    <row r="120" spans="1:11" x14ac:dyDescent="0.35">
      <c r="A120" s="554" t="s">
        <v>251</v>
      </c>
      <c r="B120" s="556" t="s">
        <v>1160</v>
      </c>
      <c r="C120" s="553"/>
      <c r="D120" s="553"/>
      <c r="E120" s="553"/>
      <c r="F120" s="553"/>
      <c r="G120" s="577"/>
      <c r="H120" s="787"/>
      <c r="I120" s="577"/>
      <c r="J120" s="577"/>
      <c r="K120" s="577"/>
    </row>
    <row r="121" spans="1:11" x14ac:dyDescent="0.35">
      <c r="A121" s="816" t="s">
        <v>110</v>
      </c>
      <c r="B121" s="817" t="s">
        <v>1310</v>
      </c>
      <c r="C121" s="578"/>
      <c r="D121" s="578"/>
      <c r="E121" s="578"/>
      <c r="F121" s="578"/>
      <c r="G121" s="579"/>
      <c r="H121" s="788"/>
      <c r="I121" s="579"/>
      <c r="J121" s="579"/>
      <c r="K121" s="579"/>
    </row>
    <row r="122" spans="1:11" outlineLevel="1" x14ac:dyDescent="0.35">
      <c r="A122" s="52" t="s">
        <v>1311</v>
      </c>
      <c r="B122" s="3" t="s">
        <v>1312</v>
      </c>
      <c r="C122" s="2" t="s">
        <v>56</v>
      </c>
      <c r="D122" s="2" t="s">
        <v>1018</v>
      </c>
      <c r="E122" s="561"/>
      <c r="F122" s="561"/>
      <c r="G122" s="561"/>
      <c r="H122" s="485">
        <f t="shared" ref="H122:H135" si="2">IF(K$8=1,E122,IF(K$8=2,(E122+F122)/2,(E122+F122+G122)/3))</f>
        <v>0</v>
      </c>
      <c r="I122" s="561"/>
      <c r="J122" s="925" t="s">
        <v>1313</v>
      </c>
      <c r="K122" s="561"/>
    </row>
    <row r="123" spans="1:11" outlineLevel="1" x14ac:dyDescent="0.35">
      <c r="A123" s="52" t="s">
        <v>1314</v>
      </c>
      <c r="B123" s="3" t="s">
        <v>1315</v>
      </c>
      <c r="C123" s="2" t="s">
        <v>56</v>
      </c>
      <c r="D123" s="2" t="s">
        <v>1316</v>
      </c>
      <c r="E123" s="561"/>
      <c r="F123" s="561"/>
      <c r="G123" s="561"/>
      <c r="H123" s="485">
        <f t="shared" si="2"/>
        <v>0</v>
      </c>
      <c r="I123" s="561"/>
      <c r="J123" s="925" t="s">
        <v>1313</v>
      </c>
      <c r="K123" s="561"/>
    </row>
    <row r="124" spans="1:11" outlineLevel="1" x14ac:dyDescent="0.35">
      <c r="A124" s="52" t="s">
        <v>1317</v>
      </c>
      <c r="B124" s="3" t="s">
        <v>1318</v>
      </c>
      <c r="C124" s="2" t="s">
        <v>56</v>
      </c>
      <c r="D124" s="2" t="s">
        <v>1319</v>
      </c>
      <c r="E124" s="561"/>
      <c r="F124" s="561"/>
      <c r="G124" s="561"/>
      <c r="H124" s="485">
        <f t="shared" si="2"/>
        <v>0</v>
      </c>
      <c r="I124" s="561"/>
      <c r="J124" s="925" t="s">
        <v>1320</v>
      </c>
      <c r="K124" s="561"/>
    </row>
    <row r="125" spans="1:11" outlineLevel="1" x14ac:dyDescent="0.35">
      <c r="A125" s="52" t="s">
        <v>1321</v>
      </c>
      <c r="B125" s="3" t="s">
        <v>1322</v>
      </c>
      <c r="C125" s="2" t="s">
        <v>56</v>
      </c>
      <c r="D125" s="2" t="s">
        <v>1323</v>
      </c>
      <c r="E125" s="561"/>
      <c r="F125" s="561"/>
      <c r="G125" s="561"/>
      <c r="H125" s="485">
        <f t="shared" si="2"/>
        <v>0</v>
      </c>
      <c r="I125" s="561"/>
      <c r="J125" s="925" t="s">
        <v>1324</v>
      </c>
      <c r="K125" s="561"/>
    </row>
    <row r="126" spans="1:11" outlineLevel="1" x14ac:dyDescent="0.35">
      <c r="A126" s="52" t="s">
        <v>1325</v>
      </c>
      <c r="B126" s="3" t="s">
        <v>1326</v>
      </c>
      <c r="C126" s="2" t="s">
        <v>56</v>
      </c>
      <c r="D126" s="2" t="s">
        <v>1323</v>
      </c>
      <c r="E126" s="561"/>
      <c r="F126" s="561"/>
      <c r="G126" s="561"/>
      <c r="H126" s="485">
        <f t="shared" si="2"/>
        <v>0</v>
      </c>
      <c r="I126" s="561"/>
      <c r="J126" s="925" t="s">
        <v>1327</v>
      </c>
      <c r="K126" s="561" t="s">
        <v>1328</v>
      </c>
    </row>
    <row r="127" spans="1:11" outlineLevel="1" x14ac:dyDescent="0.35">
      <c r="A127" s="52" t="s">
        <v>1329</v>
      </c>
      <c r="B127" s="3" t="s">
        <v>1330</v>
      </c>
      <c r="C127" s="2" t="s">
        <v>56</v>
      </c>
      <c r="D127" s="2" t="s">
        <v>1323</v>
      </c>
      <c r="E127" s="561"/>
      <c r="F127" s="561"/>
      <c r="G127" s="561"/>
      <c r="H127" s="485">
        <f t="shared" si="2"/>
        <v>0</v>
      </c>
      <c r="I127" s="561"/>
      <c r="J127" s="925" t="s">
        <v>1331</v>
      </c>
      <c r="K127" s="561"/>
    </row>
    <row r="128" spans="1:11" outlineLevel="1" x14ac:dyDescent="0.35">
      <c r="A128" s="52" t="s">
        <v>1332</v>
      </c>
      <c r="B128" s="3" t="s">
        <v>1330</v>
      </c>
      <c r="C128" s="2" t="s">
        <v>56</v>
      </c>
      <c r="D128" s="2" t="s">
        <v>1333</v>
      </c>
      <c r="E128" s="561"/>
      <c r="F128" s="561"/>
      <c r="G128" s="561"/>
      <c r="H128" s="485">
        <f t="shared" si="2"/>
        <v>0</v>
      </c>
      <c r="I128" s="561"/>
      <c r="J128" s="925" t="s">
        <v>1331</v>
      </c>
      <c r="K128" s="561"/>
    </row>
    <row r="129" spans="1:11" outlineLevel="1" x14ac:dyDescent="0.35">
      <c r="A129" s="52" t="s">
        <v>1334</v>
      </c>
      <c r="B129" s="3" t="s">
        <v>1335</v>
      </c>
      <c r="C129" s="2" t="s">
        <v>56</v>
      </c>
      <c r="D129" s="2" t="s">
        <v>1336</v>
      </c>
      <c r="E129" s="561"/>
      <c r="F129" s="561"/>
      <c r="G129" s="561"/>
      <c r="H129" s="485">
        <f t="shared" si="2"/>
        <v>0</v>
      </c>
      <c r="I129" s="561"/>
      <c r="J129" s="925" t="s">
        <v>1337</v>
      </c>
      <c r="K129" s="561"/>
    </row>
    <row r="130" spans="1:11" outlineLevel="1" x14ac:dyDescent="0.35">
      <c r="A130" s="52" t="s">
        <v>1338</v>
      </c>
      <c r="B130" s="3" t="s">
        <v>1339</v>
      </c>
      <c r="C130" s="2" t="s">
        <v>56</v>
      </c>
      <c r="D130" s="2" t="s">
        <v>1323</v>
      </c>
      <c r="E130" s="561"/>
      <c r="F130" s="561"/>
      <c r="G130" s="561"/>
      <c r="H130" s="485">
        <f t="shared" si="2"/>
        <v>0</v>
      </c>
      <c r="I130" s="561"/>
      <c r="J130" s="925" t="s">
        <v>1340</v>
      </c>
      <c r="K130" s="561"/>
    </row>
    <row r="131" spans="1:11" outlineLevel="1" x14ac:dyDescent="0.35">
      <c r="A131" s="52" t="s">
        <v>1341</v>
      </c>
      <c r="B131" s="3" t="s">
        <v>1339</v>
      </c>
      <c r="C131" s="2" t="s">
        <v>56</v>
      </c>
      <c r="D131" s="2" t="s">
        <v>1333</v>
      </c>
      <c r="E131" s="561"/>
      <c r="F131" s="561"/>
      <c r="G131" s="561"/>
      <c r="H131" s="485">
        <f t="shared" si="2"/>
        <v>0</v>
      </c>
      <c r="I131" s="561"/>
      <c r="J131" s="925" t="s">
        <v>1340</v>
      </c>
      <c r="K131" s="561"/>
    </row>
    <row r="132" spans="1:11" outlineLevel="1" x14ac:dyDescent="0.35">
      <c r="A132" s="52" t="s">
        <v>1342</v>
      </c>
      <c r="B132" s="3" t="s">
        <v>1343</v>
      </c>
      <c r="C132" s="2" t="s">
        <v>56</v>
      </c>
      <c r="D132" s="2" t="s">
        <v>1336</v>
      </c>
      <c r="E132" s="561"/>
      <c r="F132" s="561"/>
      <c r="G132" s="561"/>
      <c r="H132" s="485">
        <f t="shared" si="2"/>
        <v>0</v>
      </c>
      <c r="I132" s="561"/>
      <c r="J132" s="925" t="s">
        <v>1337</v>
      </c>
      <c r="K132" s="561"/>
    </row>
    <row r="133" spans="1:11" outlineLevel="1" x14ac:dyDescent="0.35">
      <c r="A133" s="52" t="s">
        <v>1344</v>
      </c>
      <c r="B133" s="3" t="s">
        <v>1345</v>
      </c>
      <c r="C133" s="2" t="s">
        <v>56</v>
      </c>
      <c r="D133" s="2" t="s">
        <v>1333</v>
      </c>
      <c r="E133" s="561"/>
      <c r="F133" s="561"/>
      <c r="G133" s="561"/>
      <c r="H133" s="485">
        <f t="shared" si="2"/>
        <v>0</v>
      </c>
      <c r="I133" s="561"/>
      <c r="J133" s="925" t="s">
        <v>1340</v>
      </c>
      <c r="K133" s="561"/>
    </row>
    <row r="134" spans="1:11" ht="29" customHeight="1" outlineLevel="1" x14ac:dyDescent="0.35">
      <c r="A134" s="52" t="s">
        <v>1346</v>
      </c>
      <c r="B134" s="3" t="s">
        <v>1347</v>
      </c>
      <c r="C134" s="2" t="s">
        <v>56</v>
      </c>
      <c r="D134" s="2" t="s">
        <v>1018</v>
      </c>
      <c r="E134" s="561"/>
      <c r="F134" s="561"/>
      <c r="G134" s="561"/>
      <c r="H134" s="485">
        <f t="shared" si="2"/>
        <v>0</v>
      </c>
      <c r="I134" s="561"/>
      <c r="J134" s="925" t="s">
        <v>1348</v>
      </c>
      <c r="K134" s="561"/>
    </row>
    <row r="135" spans="1:11" ht="29" customHeight="1" outlineLevel="1" x14ac:dyDescent="0.35">
      <c r="A135" s="52" t="s">
        <v>1349</v>
      </c>
      <c r="B135" s="3" t="s">
        <v>1350</v>
      </c>
      <c r="C135" s="2" t="s">
        <v>56</v>
      </c>
      <c r="D135" s="2" t="s">
        <v>1351</v>
      </c>
      <c r="E135" s="561"/>
      <c r="F135" s="561"/>
      <c r="G135" s="561"/>
      <c r="H135" s="485">
        <f t="shared" si="2"/>
        <v>0</v>
      </c>
      <c r="I135" s="561"/>
      <c r="J135" s="925" t="s">
        <v>1348</v>
      </c>
      <c r="K135" s="561"/>
    </row>
    <row r="136" spans="1:11" x14ac:dyDescent="0.35">
      <c r="A136" s="816" t="s">
        <v>115</v>
      </c>
      <c r="B136" s="817" t="s">
        <v>1352</v>
      </c>
      <c r="C136" s="578"/>
      <c r="D136" s="578"/>
      <c r="E136" s="578"/>
      <c r="F136" s="578"/>
      <c r="G136" s="579"/>
      <c r="H136" s="788"/>
      <c r="I136" s="579"/>
      <c r="J136" s="579"/>
      <c r="K136" s="579"/>
    </row>
    <row r="137" spans="1:11" outlineLevel="1" x14ac:dyDescent="0.35">
      <c r="A137" s="52" t="s">
        <v>1353</v>
      </c>
      <c r="B137" s="3" t="s">
        <v>1354</v>
      </c>
      <c r="C137" s="2" t="s">
        <v>56</v>
      </c>
      <c r="D137" s="2" t="s">
        <v>1018</v>
      </c>
      <c r="E137" s="561"/>
      <c r="F137" s="561"/>
      <c r="G137" s="561"/>
      <c r="H137" s="485">
        <f t="shared" ref="H137:H150" si="3">IF(K$8=1,E137,IF(K$8=2,(E137+F137)/2,(E137+F137+G137)/3))</f>
        <v>0</v>
      </c>
      <c r="I137" s="561"/>
      <c r="J137" s="925" t="s">
        <v>1313</v>
      </c>
      <c r="K137" s="561"/>
    </row>
    <row r="138" spans="1:11" outlineLevel="1" x14ac:dyDescent="0.35">
      <c r="A138" s="52" t="s">
        <v>1355</v>
      </c>
      <c r="B138" s="3" t="s">
        <v>1356</v>
      </c>
      <c r="C138" s="2" t="s">
        <v>56</v>
      </c>
      <c r="D138" s="2" t="s">
        <v>1316</v>
      </c>
      <c r="E138" s="561"/>
      <c r="F138" s="561"/>
      <c r="G138" s="561"/>
      <c r="H138" s="485">
        <f t="shared" si="3"/>
        <v>0</v>
      </c>
      <c r="I138" s="561"/>
      <c r="J138" s="925" t="s">
        <v>1313</v>
      </c>
      <c r="K138" s="561"/>
    </row>
    <row r="139" spans="1:11" outlineLevel="1" x14ac:dyDescent="0.35">
      <c r="A139" s="52" t="s">
        <v>1357</v>
      </c>
      <c r="B139" s="3" t="s">
        <v>1358</v>
      </c>
      <c r="C139" s="2" t="s">
        <v>56</v>
      </c>
      <c r="D139" s="2" t="s">
        <v>1319</v>
      </c>
      <c r="E139" s="561"/>
      <c r="F139" s="561"/>
      <c r="G139" s="561"/>
      <c r="H139" s="485">
        <f t="shared" si="3"/>
        <v>0</v>
      </c>
      <c r="I139" s="561"/>
      <c r="J139" s="925" t="s">
        <v>1320</v>
      </c>
      <c r="K139" s="561"/>
    </row>
    <row r="140" spans="1:11" outlineLevel="1" x14ac:dyDescent="0.35">
      <c r="A140" s="52" t="s">
        <v>1359</v>
      </c>
      <c r="B140" s="3" t="s">
        <v>1360</v>
      </c>
      <c r="C140" s="2" t="s">
        <v>56</v>
      </c>
      <c r="D140" s="2" t="s">
        <v>1323</v>
      </c>
      <c r="E140" s="561"/>
      <c r="F140" s="561"/>
      <c r="G140" s="561"/>
      <c r="H140" s="485">
        <f t="shared" si="3"/>
        <v>0</v>
      </c>
      <c r="I140" s="561"/>
      <c r="J140" s="925" t="s">
        <v>1324</v>
      </c>
      <c r="K140" s="561"/>
    </row>
    <row r="141" spans="1:11" outlineLevel="1" x14ac:dyDescent="0.35">
      <c r="A141" s="52" t="s">
        <v>1361</v>
      </c>
      <c r="B141" s="3" t="s">
        <v>1362</v>
      </c>
      <c r="C141" s="2" t="s">
        <v>56</v>
      </c>
      <c r="D141" s="2" t="s">
        <v>1323</v>
      </c>
      <c r="E141" s="561"/>
      <c r="F141" s="561"/>
      <c r="G141" s="561"/>
      <c r="H141" s="485">
        <f t="shared" si="3"/>
        <v>0</v>
      </c>
      <c r="I141" s="561"/>
      <c r="J141" s="925" t="s">
        <v>1327</v>
      </c>
      <c r="K141" s="561" t="s">
        <v>1363</v>
      </c>
    </row>
    <row r="142" spans="1:11" outlineLevel="1" x14ac:dyDescent="0.35">
      <c r="A142" s="52" t="s">
        <v>1364</v>
      </c>
      <c r="B142" s="3" t="s">
        <v>1365</v>
      </c>
      <c r="C142" s="2" t="s">
        <v>56</v>
      </c>
      <c r="D142" s="2" t="s">
        <v>1323</v>
      </c>
      <c r="E142" s="561"/>
      <c r="F142" s="561"/>
      <c r="G142" s="561"/>
      <c r="H142" s="485">
        <f t="shared" si="3"/>
        <v>0</v>
      </c>
      <c r="I142" s="561"/>
      <c r="J142" s="925" t="s">
        <v>1331</v>
      </c>
      <c r="K142" s="561"/>
    </row>
    <row r="143" spans="1:11" outlineLevel="1" x14ac:dyDescent="0.35">
      <c r="A143" s="52" t="s">
        <v>1366</v>
      </c>
      <c r="B143" s="3" t="s">
        <v>1365</v>
      </c>
      <c r="C143" s="2" t="s">
        <v>56</v>
      </c>
      <c r="D143" s="2" t="s">
        <v>1333</v>
      </c>
      <c r="E143" s="561"/>
      <c r="F143" s="561"/>
      <c r="G143" s="561"/>
      <c r="H143" s="485">
        <f t="shared" si="3"/>
        <v>0</v>
      </c>
      <c r="I143" s="561"/>
      <c r="J143" s="925" t="s">
        <v>1331</v>
      </c>
      <c r="K143" s="561"/>
    </row>
    <row r="144" spans="1:11" outlineLevel="1" x14ac:dyDescent="0.35">
      <c r="A144" s="52" t="s">
        <v>1367</v>
      </c>
      <c r="B144" s="3" t="s">
        <v>1368</v>
      </c>
      <c r="C144" s="2" t="s">
        <v>56</v>
      </c>
      <c r="D144" s="2" t="s">
        <v>1336</v>
      </c>
      <c r="E144" s="561"/>
      <c r="F144" s="561"/>
      <c r="G144" s="561"/>
      <c r="H144" s="485">
        <f t="shared" si="3"/>
        <v>0</v>
      </c>
      <c r="I144" s="561"/>
      <c r="J144" s="925" t="s">
        <v>1337</v>
      </c>
      <c r="K144" s="561"/>
    </row>
    <row r="145" spans="1:11" outlineLevel="1" x14ac:dyDescent="0.35">
      <c r="A145" s="52" t="s">
        <v>1369</v>
      </c>
      <c r="B145" s="3" t="s">
        <v>1370</v>
      </c>
      <c r="C145" s="2" t="s">
        <v>56</v>
      </c>
      <c r="D145" s="2" t="s">
        <v>1323</v>
      </c>
      <c r="E145" s="561"/>
      <c r="F145" s="561"/>
      <c r="G145" s="561"/>
      <c r="H145" s="485">
        <f t="shared" si="3"/>
        <v>0</v>
      </c>
      <c r="I145" s="561"/>
      <c r="J145" s="925" t="s">
        <v>1340</v>
      </c>
      <c r="K145" s="561"/>
    </row>
    <row r="146" spans="1:11" outlineLevel="1" x14ac:dyDescent="0.35">
      <c r="A146" s="52" t="s">
        <v>1371</v>
      </c>
      <c r="B146" s="3" t="s">
        <v>1370</v>
      </c>
      <c r="C146" s="2" t="s">
        <v>56</v>
      </c>
      <c r="D146" s="2" t="s">
        <v>1333</v>
      </c>
      <c r="E146" s="561"/>
      <c r="F146" s="561"/>
      <c r="G146" s="561"/>
      <c r="H146" s="485">
        <f t="shared" si="3"/>
        <v>0</v>
      </c>
      <c r="I146" s="561"/>
      <c r="J146" s="925" t="s">
        <v>1340</v>
      </c>
      <c r="K146" s="561"/>
    </row>
    <row r="147" spans="1:11" outlineLevel="1" x14ac:dyDescent="0.35">
      <c r="A147" s="52" t="s">
        <v>1372</v>
      </c>
      <c r="B147" s="3" t="s">
        <v>1373</v>
      </c>
      <c r="C147" s="2" t="s">
        <v>56</v>
      </c>
      <c r="D147" s="2" t="s">
        <v>1336</v>
      </c>
      <c r="E147" s="561"/>
      <c r="F147" s="561"/>
      <c r="G147" s="561"/>
      <c r="H147" s="485">
        <f t="shared" si="3"/>
        <v>0</v>
      </c>
      <c r="I147" s="561"/>
      <c r="J147" s="925" t="s">
        <v>1337</v>
      </c>
      <c r="K147" s="561"/>
    </row>
    <row r="148" spans="1:11" outlineLevel="1" x14ac:dyDescent="0.35">
      <c r="A148" s="52" t="s">
        <v>1374</v>
      </c>
      <c r="B148" s="3" t="s">
        <v>1375</v>
      </c>
      <c r="C148" s="2" t="s">
        <v>56</v>
      </c>
      <c r="D148" s="2" t="s">
        <v>1333</v>
      </c>
      <c r="E148" s="561"/>
      <c r="F148" s="561"/>
      <c r="G148" s="561"/>
      <c r="H148" s="485">
        <f t="shared" si="3"/>
        <v>0</v>
      </c>
      <c r="I148" s="561"/>
      <c r="J148" s="925" t="s">
        <v>1340</v>
      </c>
      <c r="K148" s="561"/>
    </row>
    <row r="149" spans="1:11" ht="29" customHeight="1" outlineLevel="1" x14ac:dyDescent="0.35">
      <c r="A149" s="52" t="s">
        <v>1376</v>
      </c>
      <c r="B149" s="3" t="s">
        <v>1377</v>
      </c>
      <c r="C149" s="2" t="s">
        <v>56</v>
      </c>
      <c r="D149" s="2" t="s">
        <v>1018</v>
      </c>
      <c r="E149" s="561"/>
      <c r="F149" s="561"/>
      <c r="G149" s="561"/>
      <c r="H149" s="485">
        <f t="shared" si="3"/>
        <v>0</v>
      </c>
      <c r="I149" s="561"/>
      <c r="J149" s="925" t="s">
        <v>1348</v>
      </c>
      <c r="K149" s="561"/>
    </row>
    <row r="150" spans="1:11" ht="29" customHeight="1" outlineLevel="1" x14ac:dyDescent="0.35">
      <c r="A150" s="52" t="s">
        <v>1378</v>
      </c>
      <c r="B150" s="3" t="s">
        <v>1379</v>
      </c>
      <c r="C150" s="2" t="s">
        <v>56</v>
      </c>
      <c r="D150" s="2" t="s">
        <v>1351</v>
      </c>
      <c r="E150" s="561"/>
      <c r="F150" s="561"/>
      <c r="G150" s="561"/>
      <c r="H150" s="485">
        <f t="shared" si="3"/>
        <v>0</v>
      </c>
      <c r="I150" s="561"/>
      <c r="J150" s="925" t="s">
        <v>1348</v>
      </c>
      <c r="K150" s="561"/>
    </row>
    <row r="151" spans="1:11" x14ac:dyDescent="0.35">
      <c r="A151" s="816" t="s">
        <v>118</v>
      </c>
      <c r="B151" s="817" t="s">
        <v>1380</v>
      </c>
      <c r="C151" s="578"/>
      <c r="D151" s="578"/>
      <c r="E151" s="578"/>
      <c r="F151" s="578"/>
      <c r="G151" s="579"/>
      <c r="H151" s="788"/>
      <c r="I151" s="579"/>
      <c r="J151" s="579"/>
      <c r="K151" s="579"/>
    </row>
    <row r="152" spans="1:11" outlineLevel="1" x14ac:dyDescent="0.35">
      <c r="A152" s="52" t="s">
        <v>1381</v>
      </c>
      <c r="B152" s="3" t="s">
        <v>1382</v>
      </c>
      <c r="C152" s="2" t="s">
        <v>56</v>
      </c>
      <c r="D152" s="2" t="s">
        <v>1018</v>
      </c>
      <c r="E152" s="561"/>
      <c r="F152" s="561"/>
      <c r="G152" s="561"/>
      <c r="H152" s="485">
        <f t="shared" ref="H152:H165" si="4">IF(K$8=1,E152,IF(K$8=2,(E152+F152)/2,(E152+F152+G152)/3))</f>
        <v>0</v>
      </c>
      <c r="I152" s="561"/>
      <c r="J152" s="561"/>
      <c r="K152" s="561"/>
    </row>
    <row r="153" spans="1:11" outlineLevel="1" x14ac:dyDescent="0.35">
      <c r="A153" s="52" t="s">
        <v>1383</v>
      </c>
      <c r="B153" s="3" t="s">
        <v>1384</v>
      </c>
      <c r="C153" s="2" t="s">
        <v>56</v>
      </c>
      <c r="D153" s="2" t="s">
        <v>1316</v>
      </c>
      <c r="E153" s="561"/>
      <c r="F153" s="561"/>
      <c r="G153" s="561"/>
      <c r="H153" s="485">
        <f t="shared" si="4"/>
        <v>0</v>
      </c>
      <c r="I153" s="561"/>
      <c r="J153" s="561"/>
      <c r="K153" s="561"/>
    </row>
    <row r="154" spans="1:11" outlineLevel="1" x14ac:dyDescent="0.35">
      <c r="A154" s="52" t="s">
        <v>1385</v>
      </c>
      <c r="B154" s="3" t="s">
        <v>1386</v>
      </c>
      <c r="C154" s="2" t="s">
        <v>56</v>
      </c>
      <c r="D154" s="2" t="s">
        <v>1319</v>
      </c>
      <c r="E154" s="561"/>
      <c r="F154" s="561"/>
      <c r="G154" s="561"/>
      <c r="H154" s="485">
        <f t="shared" si="4"/>
        <v>0</v>
      </c>
      <c r="I154" s="561"/>
      <c r="J154" s="561"/>
      <c r="K154" s="561"/>
    </row>
    <row r="155" spans="1:11" outlineLevel="1" x14ac:dyDescent="0.35">
      <c r="A155" s="52" t="s">
        <v>1387</v>
      </c>
      <c r="B155" s="3" t="s">
        <v>1388</v>
      </c>
      <c r="C155" s="2" t="s">
        <v>56</v>
      </c>
      <c r="D155" s="2" t="s">
        <v>1323</v>
      </c>
      <c r="E155" s="561"/>
      <c r="F155" s="561"/>
      <c r="G155" s="561"/>
      <c r="H155" s="485">
        <f t="shared" si="4"/>
        <v>0</v>
      </c>
      <c r="I155" s="561"/>
      <c r="J155" s="561"/>
      <c r="K155" s="561"/>
    </row>
    <row r="156" spans="1:11" outlineLevel="1" x14ac:dyDescent="0.35">
      <c r="A156" s="52" t="s">
        <v>1389</v>
      </c>
      <c r="B156" s="3" t="s">
        <v>1390</v>
      </c>
      <c r="C156" s="2" t="s">
        <v>56</v>
      </c>
      <c r="D156" s="2" t="s">
        <v>1323</v>
      </c>
      <c r="E156" s="561"/>
      <c r="F156" s="561"/>
      <c r="G156" s="561"/>
      <c r="H156" s="485">
        <f t="shared" si="4"/>
        <v>0</v>
      </c>
      <c r="I156" s="561"/>
      <c r="J156" s="561"/>
      <c r="K156" s="561"/>
    </row>
    <row r="157" spans="1:11" outlineLevel="1" x14ac:dyDescent="0.35">
      <c r="A157" s="52" t="s">
        <v>1391</v>
      </c>
      <c r="B157" s="3" t="s">
        <v>1392</v>
      </c>
      <c r="C157" s="2" t="s">
        <v>56</v>
      </c>
      <c r="D157" s="2" t="s">
        <v>1323</v>
      </c>
      <c r="E157" s="561"/>
      <c r="F157" s="561"/>
      <c r="G157" s="561"/>
      <c r="H157" s="485">
        <f t="shared" si="4"/>
        <v>0</v>
      </c>
      <c r="I157" s="561"/>
      <c r="J157" s="561"/>
      <c r="K157" s="561"/>
    </row>
    <row r="158" spans="1:11" outlineLevel="1" x14ac:dyDescent="0.35">
      <c r="A158" s="52" t="s">
        <v>1393</v>
      </c>
      <c r="B158" s="3" t="s">
        <v>1392</v>
      </c>
      <c r="C158" s="2" t="s">
        <v>56</v>
      </c>
      <c r="D158" s="2" t="s">
        <v>1333</v>
      </c>
      <c r="E158" s="561"/>
      <c r="F158" s="561"/>
      <c r="G158" s="561"/>
      <c r="H158" s="485">
        <f t="shared" si="4"/>
        <v>0</v>
      </c>
      <c r="I158" s="561"/>
      <c r="J158" s="561"/>
      <c r="K158" s="561"/>
    </row>
    <row r="159" spans="1:11" outlineLevel="1" x14ac:dyDescent="0.35">
      <c r="A159" s="52" t="s">
        <v>1394</v>
      </c>
      <c r="B159" s="3" t="s">
        <v>1395</v>
      </c>
      <c r="C159" s="2" t="s">
        <v>56</v>
      </c>
      <c r="D159" s="2" t="s">
        <v>1336</v>
      </c>
      <c r="E159" s="561"/>
      <c r="F159" s="561"/>
      <c r="G159" s="561"/>
      <c r="H159" s="485">
        <f t="shared" si="4"/>
        <v>0</v>
      </c>
      <c r="I159" s="561"/>
      <c r="J159" s="561"/>
      <c r="K159" s="561"/>
    </row>
    <row r="160" spans="1:11" outlineLevel="1" x14ac:dyDescent="0.35">
      <c r="A160" s="52" t="s">
        <v>1396</v>
      </c>
      <c r="B160" s="3" t="s">
        <v>1397</v>
      </c>
      <c r="C160" s="2" t="s">
        <v>56</v>
      </c>
      <c r="D160" s="2" t="s">
        <v>1323</v>
      </c>
      <c r="E160" s="561"/>
      <c r="F160" s="561"/>
      <c r="G160" s="561"/>
      <c r="H160" s="485">
        <f t="shared" si="4"/>
        <v>0</v>
      </c>
      <c r="I160" s="561"/>
      <c r="J160" s="561"/>
      <c r="K160" s="561"/>
    </row>
    <row r="161" spans="1:11" outlineLevel="1" x14ac:dyDescent="0.35">
      <c r="A161" s="52" t="s">
        <v>1398</v>
      </c>
      <c r="B161" s="3" t="s">
        <v>1397</v>
      </c>
      <c r="C161" s="2" t="s">
        <v>56</v>
      </c>
      <c r="D161" s="2" t="s">
        <v>1333</v>
      </c>
      <c r="E161" s="561"/>
      <c r="F161" s="561"/>
      <c r="G161" s="561"/>
      <c r="H161" s="485">
        <f t="shared" si="4"/>
        <v>0</v>
      </c>
      <c r="I161" s="561"/>
      <c r="J161" s="561"/>
      <c r="K161" s="561"/>
    </row>
    <row r="162" spans="1:11" outlineLevel="1" x14ac:dyDescent="0.35">
      <c r="A162" s="52" t="s">
        <v>1399</v>
      </c>
      <c r="B162" s="3" t="s">
        <v>1400</v>
      </c>
      <c r="C162" s="2" t="s">
        <v>56</v>
      </c>
      <c r="D162" s="2" t="s">
        <v>1336</v>
      </c>
      <c r="E162" s="561"/>
      <c r="F162" s="561"/>
      <c r="G162" s="561"/>
      <c r="H162" s="485">
        <f t="shared" si="4"/>
        <v>0</v>
      </c>
      <c r="I162" s="561"/>
      <c r="J162" s="561"/>
      <c r="K162" s="561"/>
    </row>
    <row r="163" spans="1:11" outlineLevel="1" x14ac:dyDescent="0.35">
      <c r="A163" s="52" t="s">
        <v>1401</v>
      </c>
      <c r="B163" s="3" t="s">
        <v>1402</v>
      </c>
      <c r="C163" s="2" t="s">
        <v>56</v>
      </c>
      <c r="D163" s="2" t="s">
        <v>1333</v>
      </c>
      <c r="E163" s="561"/>
      <c r="F163" s="561"/>
      <c r="G163" s="561"/>
      <c r="H163" s="485">
        <f t="shared" si="4"/>
        <v>0</v>
      </c>
      <c r="I163" s="561"/>
      <c r="J163" s="561"/>
      <c r="K163" s="561"/>
    </row>
    <row r="164" spans="1:11" outlineLevel="1" x14ac:dyDescent="0.35">
      <c r="A164" s="52" t="s">
        <v>1403</v>
      </c>
      <c r="B164" s="3" t="s">
        <v>1404</v>
      </c>
      <c r="C164" s="2" t="s">
        <v>56</v>
      </c>
      <c r="D164" s="2" t="s">
        <v>1018</v>
      </c>
      <c r="E164" s="561"/>
      <c r="F164" s="561"/>
      <c r="G164" s="561"/>
      <c r="H164" s="485">
        <f t="shared" si="4"/>
        <v>0</v>
      </c>
      <c r="I164" s="561"/>
      <c r="J164" s="561"/>
      <c r="K164" s="561"/>
    </row>
    <row r="165" spans="1:11" outlineLevel="1" x14ac:dyDescent="0.35">
      <c r="A165" s="52" t="s">
        <v>1405</v>
      </c>
      <c r="B165" s="3" t="s">
        <v>1406</v>
      </c>
      <c r="C165" s="2" t="s">
        <v>56</v>
      </c>
      <c r="D165" s="2" t="s">
        <v>1351</v>
      </c>
      <c r="E165" s="561"/>
      <c r="F165" s="561"/>
      <c r="G165" s="561"/>
      <c r="H165" s="485">
        <f t="shared" si="4"/>
        <v>0</v>
      </c>
      <c r="I165" s="561"/>
      <c r="J165" s="561"/>
      <c r="K165" s="561"/>
    </row>
    <row r="166" spans="1:11" x14ac:dyDescent="0.35">
      <c r="A166" s="816" t="s">
        <v>121</v>
      </c>
      <c r="B166" s="817" t="s">
        <v>1407</v>
      </c>
      <c r="C166" s="578"/>
      <c r="D166" s="578"/>
      <c r="E166" s="578"/>
      <c r="F166" s="578"/>
      <c r="G166" s="579"/>
      <c r="H166" s="788"/>
      <c r="I166" s="579"/>
      <c r="J166" s="579"/>
      <c r="K166" s="579"/>
    </row>
    <row r="167" spans="1:11" outlineLevel="1" x14ac:dyDescent="0.35">
      <c r="A167" s="52" t="s">
        <v>1408</v>
      </c>
      <c r="B167" s="3" t="s">
        <v>1409</v>
      </c>
      <c r="C167" s="2" t="s">
        <v>56</v>
      </c>
      <c r="D167" s="2" t="s">
        <v>1018</v>
      </c>
      <c r="E167" s="561"/>
      <c r="F167" s="561"/>
      <c r="G167" s="561"/>
      <c r="H167" s="485">
        <f t="shared" ref="H167:H180" si="5">IF(K$8=1,E167,IF(K$8=2,(E167+F167)/2,(E167+F167+G167)/3))</f>
        <v>0</v>
      </c>
      <c r="I167" s="32"/>
      <c r="J167" s="32"/>
      <c r="K167" s="561"/>
    </row>
    <row r="168" spans="1:11" outlineLevel="1" x14ac:dyDescent="0.35">
      <c r="A168" s="52" t="s">
        <v>1410</v>
      </c>
      <c r="B168" s="3" t="s">
        <v>1411</v>
      </c>
      <c r="C168" s="2" t="s">
        <v>56</v>
      </c>
      <c r="D168" s="2" t="s">
        <v>1316</v>
      </c>
      <c r="E168" s="561"/>
      <c r="F168" s="561"/>
      <c r="G168" s="561"/>
      <c r="H168" s="485">
        <f t="shared" si="5"/>
        <v>0</v>
      </c>
      <c r="I168" s="32"/>
      <c r="J168" s="32"/>
      <c r="K168" s="561"/>
    </row>
    <row r="169" spans="1:11" outlineLevel="1" x14ac:dyDescent="0.35">
      <c r="A169" s="52" t="s">
        <v>1412</v>
      </c>
      <c r="B169" s="3" t="s">
        <v>1413</v>
      </c>
      <c r="C169" s="2" t="s">
        <v>56</v>
      </c>
      <c r="D169" s="2" t="s">
        <v>1319</v>
      </c>
      <c r="E169" s="561"/>
      <c r="F169" s="561"/>
      <c r="G169" s="561"/>
      <c r="H169" s="485">
        <f t="shared" si="5"/>
        <v>0</v>
      </c>
      <c r="I169" s="32"/>
      <c r="J169" s="32"/>
      <c r="K169" s="561"/>
    </row>
    <row r="170" spans="1:11" outlineLevel="1" x14ac:dyDescent="0.35">
      <c r="A170" s="52" t="s">
        <v>1414</v>
      </c>
      <c r="B170" s="3" t="s">
        <v>1415</v>
      </c>
      <c r="C170" s="2" t="s">
        <v>56</v>
      </c>
      <c r="D170" s="2" t="s">
        <v>1323</v>
      </c>
      <c r="E170" s="561"/>
      <c r="F170" s="561"/>
      <c r="G170" s="561"/>
      <c r="H170" s="485">
        <f t="shared" si="5"/>
        <v>0</v>
      </c>
      <c r="I170" s="32"/>
      <c r="J170" s="32"/>
      <c r="K170" s="561"/>
    </row>
    <row r="171" spans="1:11" outlineLevel="1" x14ac:dyDescent="0.35">
      <c r="A171" s="52" t="s">
        <v>1416</v>
      </c>
      <c r="B171" s="3" t="s">
        <v>1417</v>
      </c>
      <c r="C171" s="2" t="s">
        <v>56</v>
      </c>
      <c r="D171" s="2" t="s">
        <v>1323</v>
      </c>
      <c r="E171" s="561"/>
      <c r="F171" s="561"/>
      <c r="G171" s="561"/>
      <c r="H171" s="485">
        <f t="shared" si="5"/>
        <v>0</v>
      </c>
      <c r="I171" s="32"/>
      <c r="J171" s="32"/>
      <c r="K171" s="561"/>
    </row>
    <row r="172" spans="1:11" outlineLevel="1" x14ac:dyDescent="0.35">
      <c r="A172" s="52" t="s">
        <v>1418</v>
      </c>
      <c r="B172" s="3" t="s">
        <v>1419</v>
      </c>
      <c r="C172" s="2" t="s">
        <v>56</v>
      </c>
      <c r="D172" s="2" t="s">
        <v>1323</v>
      </c>
      <c r="E172" s="561"/>
      <c r="F172" s="561"/>
      <c r="G172" s="561"/>
      <c r="H172" s="485">
        <f t="shared" si="5"/>
        <v>0</v>
      </c>
      <c r="I172" s="32"/>
      <c r="J172" s="32"/>
      <c r="K172" s="561"/>
    </row>
    <row r="173" spans="1:11" outlineLevel="1" x14ac:dyDescent="0.35">
      <c r="A173" s="52" t="s">
        <v>1420</v>
      </c>
      <c r="B173" s="3" t="s">
        <v>1419</v>
      </c>
      <c r="C173" s="2" t="s">
        <v>56</v>
      </c>
      <c r="D173" s="2" t="s">
        <v>1333</v>
      </c>
      <c r="E173" s="561"/>
      <c r="F173" s="561"/>
      <c r="G173" s="561"/>
      <c r="H173" s="485">
        <f t="shared" si="5"/>
        <v>0</v>
      </c>
      <c r="I173" s="32"/>
      <c r="J173" s="32"/>
      <c r="K173" s="561"/>
    </row>
    <row r="174" spans="1:11" outlineLevel="1" x14ac:dyDescent="0.35">
      <c r="A174" s="52" t="s">
        <v>1421</v>
      </c>
      <c r="B174" s="3" t="s">
        <v>1422</v>
      </c>
      <c r="C174" s="2" t="s">
        <v>56</v>
      </c>
      <c r="D174" s="2" t="s">
        <v>1336</v>
      </c>
      <c r="E174" s="561"/>
      <c r="F174" s="561"/>
      <c r="G174" s="561"/>
      <c r="H174" s="485">
        <f t="shared" si="5"/>
        <v>0</v>
      </c>
      <c r="I174" s="32"/>
      <c r="J174" s="32"/>
      <c r="K174" s="561"/>
    </row>
    <row r="175" spans="1:11" outlineLevel="1" x14ac:dyDescent="0.35">
      <c r="A175" s="52" t="s">
        <v>1423</v>
      </c>
      <c r="B175" s="3" t="s">
        <v>1424</v>
      </c>
      <c r="C175" s="2" t="s">
        <v>56</v>
      </c>
      <c r="D175" s="2" t="s">
        <v>1323</v>
      </c>
      <c r="E175" s="561"/>
      <c r="F175" s="561"/>
      <c r="G175" s="561"/>
      <c r="H175" s="485">
        <f t="shared" si="5"/>
        <v>0</v>
      </c>
      <c r="I175" s="32"/>
      <c r="J175" s="32"/>
      <c r="K175" s="561"/>
    </row>
    <row r="176" spans="1:11" outlineLevel="1" x14ac:dyDescent="0.35">
      <c r="A176" s="52" t="s">
        <v>1425</v>
      </c>
      <c r="B176" s="3" t="s">
        <v>1424</v>
      </c>
      <c r="C176" s="2" t="s">
        <v>56</v>
      </c>
      <c r="D176" s="2" t="s">
        <v>1333</v>
      </c>
      <c r="E176" s="561"/>
      <c r="F176" s="561"/>
      <c r="G176" s="561"/>
      <c r="H176" s="485">
        <f t="shared" si="5"/>
        <v>0</v>
      </c>
      <c r="I176" s="32"/>
      <c r="J176" s="32"/>
      <c r="K176" s="561"/>
    </row>
    <row r="177" spans="1:11" ht="34.5" customHeight="1" outlineLevel="1" x14ac:dyDescent="0.35">
      <c r="A177" s="52" t="s">
        <v>1426</v>
      </c>
      <c r="B177" s="3" t="s">
        <v>1427</v>
      </c>
      <c r="C177" s="2" t="s">
        <v>56</v>
      </c>
      <c r="D177" s="2" t="s">
        <v>1336</v>
      </c>
      <c r="E177" s="561"/>
      <c r="F177" s="561"/>
      <c r="G177" s="561"/>
      <c r="H177" s="485">
        <f t="shared" si="5"/>
        <v>0</v>
      </c>
      <c r="I177" s="32"/>
      <c r="J177" s="32"/>
      <c r="K177" s="561"/>
    </row>
    <row r="178" spans="1:11" outlineLevel="1" x14ac:dyDescent="0.35">
      <c r="A178" s="52" t="s">
        <v>1428</v>
      </c>
      <c r="B178" s="3" t="s">
        <v>1429</v>
      </c>
      <c r="C178" s="2" t="s">
        <v>56</v>
      </c>
      <c r="D178" s="2" t="s">
        <v>1333</v>
      </c>
      <c r="E178" s="561"/>
      <c r="F178" s="561"/>
      <c r="G178" s="561"/>
      <c r="H178" s="485">
        <f t="shared" si="5"/>
        <v>0</v>
      </c>
      <c r="I178" s="32"/>
      <c r="J178" s="32"/>
      <c r="K178" s="561"/>
    </row>
    <row r="179" spans="1:11" outlineLevel="1" x14ac:dyDescent="0.35">
      <c r="A179" s="52" t="s">
        <v>1430</v>
      </c>
      <c r="B179" s="3" t="s">
        <v>1431</v>
      </c>
      <c r="C179" s="2" t="s">
        <v>56</v>
      </c>
      <c r="D179" s="2" t="s">
        <v>1018</v>
      </c>
      <c r="E179" s="561"/>
      <c r="F179" s="561"/>
      <c r="G179" s="561"/>
      <c r="H179" s="485">
        <f t="shared" si="5"/>
        <v>0</v>
      </c>
      <c r="I179" s="32"/>
      <c r="J179" s="32"/>
      <c r="K179" s="561"/>
    </row>
    <row r="180" spans="1:11" outlineLevel="1" x14ac:dyDescent="0.35">
      <c r="A180" s="52" t="s">
        <v>1432</v>
      </c>
      <c r="B180" s="3" t="s">
        <v>1433</v>
      </c>
      <c r="C180" s="2" t="s">
        <v>56</v>
      </c>
      <c r="D180" s="2" t="s">
        <v>1351</v>
      </c>
      <c r="E180" s="561"/>
      <c r="F180" s="561"/>
      <c r="G180" s="561"/>
      <c r="H180" s="485">
        <f t="shared" si="5"/>
        <v>0</v>
      </c>
      <c r="I180" s="32"/>
      <c r="J180" s="32"/>
      <c r="K180" s="561"/>
    </row>
    <row r="181" spans="1:11" x14ac:dyDescent="0.35">
      <c r="A181" s="816" t="s">
        <v>124</v>
      </c>
      <c r="B181" s="817" t="s">
        <v>1434</v>
      </c>
      <c r="C181" s="578"/>
      <c r="D181" s="578"/>
      <c r="E181" s="578"/>
      <c r="F181" s="578"/>
      <c r="G181" s="579"/>
      <c r="H181" s="788"/>
      <c r="I181" s="579"/>
      <c r="J181" s="579"/>
      <c r="K181" s="579"/>
    </row>
    <row r="182" spans="1:11" outlineLevel="1" x14ac:dyDescent="0.35">
      <c r="A182" s="52" t="s">
        <v>1435</v>
      </c>
      <c r="B182" s="3" t="s">
        <v>1436</v>
      </c>
      <c r="C182" s="2" t="s">
        <v>56</v>
      </c>
      <c r="D182" s="2" t="s">
        <v>1018</v>
      </c>
      <c r="E182" s="561"/>
      <c r="F182" s="561"/>
      <c r="G182" s="561"/>
      <c r="H182" s="485">
        <f t="shared" ref="H182:H195" si="6">IF(K$8=1,E182,IF(K$8=2,(E182+F182)/2,(E182+F182+G182)/3))</f>
        <v>0</v>
      </c>
      <c r="I182" s="32"/>
      <c r="J182" s="32"/>
      <c r="K182" s="561"/>
    </row>
    <row r="183" spans="1:11" outlineLevel="1" x14ac:dyDescent="0.35">
      <c r="A183" s="52" t="s">
        <v>1437</v>
      </c>
      <c r="B183" s="3" t="s">
        <v>1438</v>
      </c>
      <c r="C183" s="2" t="s">
        <v>56</v>
      </c>
      <c r="D183" s="2" t="s">
        <v>1316</v>
      </c>
      <c r="E183" s="561"/>
      <c r="F183" s="561"/>
      <c r="G183" s="561"/>
      <c r="H183" s="485">
        <f t="shared" si="6"/>
        <v>0</v>
      </c>
      <c r="I183" s="32"/>
      <c r="J183" s="32"/>
      <c r="K183" s="561"/>
    </row>
    <row r="184" spans="1:11" outlineLevel="1" x14ac:dyDescent="0.35">
      <c r="A184" s="52" t="s">
        <v>1439</v>
      </c>
      <c r="B184" s="3" t="s">
        <v>1440</v>
      </c>
      <c r="C184" s="2" t="s">
        <v>56</v>
      </c>
      <c r="D184" s="2" t="s">
        <v>1319</v>
      </c>
      <c r="E184" s="561"/>
      <c r="F184" s="561"/>
      <c r="G184" s="561"/>
      <c r="H184" s="485">
        <f t="shared" si="6"/>
        <v>0</v>
      </c>
      <c r="I184" s="32"/>
      <c r="J184" s="32"/>
      <c r="K184" s="561"/>
    </row>
    <row r="185" spans="1:11" outlineLevel="1" x14ac:dyDescent="0.35">
      <c r="A185" s="52" t="s">
        <v>1441</v>
      </c>
      <c r="B185" s="3" t="s">
        <v>1442</v>
      </c>
      <c r="C185" s="2" t="s">
        <v>56</v>
      </c>
      <c r="D185" s="2" t="s">
        <v>1323</v>
      </c>
      <c r="E185" s="561"/>
      <c r="F185" s="561"/>
      <c r="G185" s="561"/>
      <c r="H185" s="485">
        <f t="shared" si="6"/>
        <v>0</v>
      </c>
      <c r="I185" s="32"/>
      <c r="J185" s="32"/>
      <c r="K185" s="561"/>
    </row>
    <row r="186" spans="1:11" outlineLevel="1" x14ac:dyDescent="0.35">
      <c r="A186" s="52" t="s">
        <v>1443</v>
      </c>
      <c r="B186" s="3" t="s">
        <v>1444</v>
      </c>
      <c r="C186" s="2" t="s">
        <v>56</v>
      </c>
      <c r="D186" s="2" t="s">
        <v>1323</v>
      </c>
      <c r="E186" s="561"/>
      <c r="F186" s="561"/>
      <c r="G186" s="561"/>
      <c r="H186" s="485">
        <f t="shared" si="6"/>
        <v>0</v>
      </c>
      <c r="I186" s="32"/>
      <c r="J186" s="32"/>
      <c r="K186" s="561"/>
    </row>
    <row r="187" spans="1:11" outlineLevel="1" x14ac:dyDescent="0.35">
      <c r="A187" s="52" t="s">
        <v>1445</v>
      </c>
      <c r="B187" s="3" t="s">
        <v>1446</v>
      </c>
      <c r="C187" s="2" t="s">
        <v>56</v>
      </c>
      <c r="D187" s="2" t="s">
        <v>1323</v>
      </c>
      <c r="E187" s="561"/>
      <c r="F187" s="561"/>
      <c r="G187" s="561"/>
      <c r="H187" s="485">
        <f t="shared" si="6"/>
        <v>0</v>
      </c>
      <c r="I187" s="32"/>
      <c r="J187" s="32"/>
      <c r="K187" s="561"/>
    </row>
    <row r="188" spans="1:11" outlineLevel="1" x14ac:dyDescent="0.35">
      <c r="A188" s="52" t="s">
        <v>1447</v>
      </c>
      <c r="B188" s="3" t="s">
        <v>1446</v>
      </c>
      <c r="C188" s="2" t="s">
        <v>56</v>
      </c>
      <c r="D188" s="2" t="s">
        <v>1333</v>
      </c>
      <c r="E188" s="561"/>
      <c r="F188" s="561"/>
      <c r="G188" s="561"/>
      <c r="H188" s="485">
        <f t="shared" si="6"/>
        <v>0</v>
      </c>
      <c r="I188" s="32"/>
      <c r="J188" s="32"/>
      <c r="K188" s="561"/>
    </row>
    <row r="189" spans="1:11" outlineLevel="1" x14ac:dyDescent="0.35">
      <c r="A189" s="52" t="s">
        <v>1448</v>
      </c>
      <c r="B189" s="3" t="s">
        <v>1449</v>
      </c>
      <c r="C189" s="2" t="s">
        <v>56</v>
      </c>
      <c r="D189" s="2" t="s">
        <v>1336</v>
      </c>
      <c r="E189" s="561"/>
      <c r="F189" s="561"/>
      <c r="G189" s="561"/>
      <c r="H189" s="485">
        <f t="shared" si="6"/>
        <v>0</v>
      </c>
      <c r="I189" s="32"/>
      <c r="J189" s="32"/>
      <c r="K189" s="561"/>
    </row>
    <row r="190" spans="1:11" outlineLevel="1" x14ac:dyDescent="0.35">
      <c r="A190" s="52" t="s">
        <v>1450</v>
      </c>
      <c r="B190" s="3" t="s">
        <v>1451</v>
      </c>
      <c r="C190" s="2" t="s">
        <v>56</v>
      </c>
      <c r="D190" s="2" t="s">
        <v>1323</v>
      </c>
      <c r="E190" s="561"/>
      <c r="F190" s="561"/>
      <c r="G190" s="561"/>
      <c r="H190" s="485">
        <f t="shared" si="6"/>
        <v>0</v>
      </c>
      <c r="I190" s="32"/>
      <c r="J190" s="32"/>
      <c r="K190" s="561"/>
    </row>
    <row r="191" spans="1:11" outlineLevel="1" x14ac:dyDescent="0.35">
      <c r="A191" s="52" t="s">
        <v>1452</v>
      </c>
      <c r="B191" s="3" t="s">
        <v>1451</v>
      </c>
      <c r="C191" s="2" t="s">
        <v>56</v>
      </c>
      <c r="D191" s="2" t="s">
        <v>1333</v>
      </c>
      <c r="E191" s="561"/>
      <c r="F191" s="561"/>
      <c r="G191" s="561"/>
      <c r="H191" s="485">
        <f t="shared" si="6"/>
        <v>0</v>
      </c>
      <c r="I191" s="32"/>
      <c r="J191" s="32"/>
      <c r="K191" s="561"/>
    </row>
    <row r="192" spans="1:11" outlineLevel="1" x14ac:dyDescent="0.35">
      <c r="A192" s="52" t="s">
        <v>1453</v>
      </c>
      <c r="B192" s="3" t="s">
        <v>1454</v>
      </c>
      <c r="C192" s="2" t="s">
        <v>56</v>
      </c>
      <c r="D192" s="2" t="s">
        <v>1336</v>
      </c>
      <c r="E192" s="561"/>
      <c r="F192" s="561"/>
      <c r="G192" s="561"/>
      <c r="H192" s="485">
        <f t="shared" si="6"/>
        <v>0</v>
      </c>
      <c r="I192" s="32"/>
      <c r="J192" s="32"/>
      <c r="K192" s="561"/>
    </row>
    <row r="193" spans="1:11" outlineLevel="1" x14ac:dyDescent="0.35">
      <c r="A193" s="52" t="s">
        <v>1455</v>
      </c>
      <c r="B193" s="3" t="s">
        <v>1456</v>
      </c>
      <c r="C193" s="2" t="s">
        <v>56</v>
      </c>
      <c r="D193" s="2" t="s">
        <v>1333</v>
      </c>
      <c r="E193" s="561"/>
      <c r="F193" s="561"/>
      <c r="G193" s="561"/>
      <c r="H193" s="485">
        <f t="shared" si="6"/>
        <v>0</v>
      </c>
      <c r="I193" s="32"/>
      <c r="J193" s="32"/>
      <c r="K193" s="561"/>
    </row>
    <row r="194" spans="1:11" outlineLevel="1" x14ac:dyDescent="0.35">
      <c r="A194" s="52" t="s">
        <v>1457</v>
      </c>
      <c r="B194" s="3" t="s">
        <v>1458</v>
      </c>
      <c r="C194" s="2" t="s">
        <v>56</v>
      </c>
      <c r="D194" s="2" t="s">
        <v>1018</v>
      </c>
      <c r="E194" s="561"/>
      <c r="F194" s="561"/>
      <c r="G194" s="561"/>
      <c r="H194" s="485">
        <f t="shared" si="6"/>
        <v>0</v>
      </c>
      <c r="I194" s="32"/>
      <c r="J194" s="32"/>
      <c r="K194" s="561"/>
    </row>
    <row r="195" spans="1:11" outlineLevel="1" x14ac:dyDescent="0.35">
      <c r="A195" s="52" t="s">
        <v>1459</v>
      </c>
      <c r="B195" s="3" t="s">
        <v>1460</v>
      </c>
      <c r="C195" s="2" t="s">
        <v>56</v>
      </c>
      <c r="D195" s="2" t="s">
        <v>1351</v>
      </c>
      <c r="E195" s="561"/>
      <c r="F195" s="561"/>
      <c r="G195" s="561"/>
      <c r="H195" s="485">
        <f t="shared" si="6"/>
        <v>0</v>
      </c>
      <c r="I195" s="32"/>
      <c r="J195" s="32"/>
      <c r="K195" s="561"/>
    </row>
    <row r="196" spans="1:11" x14ac:dyDescent="0.35">
      <c r="A196" s="52" t="s">
        <v>1461</v>
      </c>
      <c r="B196" s="771" t="s">
        <v>1462</v>
      </c>
      <c r="C196" s="580"/>
      <c r="D196" s="580"/>
      <c r="E196" s="580"/>
      <c r="F196" s="580"/>
      <c r="G196" s="581"/>
      <c r="H196" s="567"/>
      <c r="I196" s="583"/>
      <c r="J196" s="583"/>
      <c r="K196" s="583"/>
    </row>
    <row r="197" spans="1:11" x14ac:dyDescent="0.35">
      <c r="A197" s="554" t="s">
        <v>290</v>
      </c>
      <c r="B197" s="556" t="s">
        <v>1463</v>
      </c>
      <c r="C197" s="553"/>
      <c r="D197" s="553"/>
      <c r="E197" s="553"/>
      <c r="F197" s="553"/>
      <c r="G197" s="577"/>
      <c r="H197" s="787"/>
      <c r="I197" s="577"/>
      <c r="J197" s="577"/>
      <c r="K197" s="577"/>
    </row>
    <row r="198" spans="1:11" x14ac:dyDescent="0.35">
      <c r="A198" s="554" t="s">
        <v>292</v>
      </c>
      <c r="B198" s="556" t="s">
        <v>1464</v>
      </c>
      <c r="C198" s="553"/>
      <c r="D198" s="259"/>
      <c r="E198" s="259"/>
      <c r="F198" s="259"/>
      <c r="G198" s="584"/>
      <c r="H198" s="789"/>
      <c r="I198" s="586"/>
      <c r="J198" s="586"/>
      <c r="K198" s="586"/>
    </row>
    <row r="199" spans="1:11" x14ac:dyDescent="0.35">
      <c r="A199" s="52" t="s">
        <v>110</v>
      </c>
      <c r="B199" s="3" t="s">
        <v>1465</v>
      </c>
      <c r="C199" s="803" t="s">
        <v>56</v>
      </c>
      <c r="D199" s="52" t="s">
        <v>1336</v>
      </c>
      <c r="E199" s="561"/>
      <c r="F199" s="561"/>
      <c r="G199" s="561"/>
      <c r="H199" s="485">
        <f t="shared" ref="H199:H216" si="7">IF(K$8=1,E199,IF(K$8=2,(E199+F199)/2,(E199+F199+G199)/3))</f>
        <v>0</v>
      </c>
      <c r="I199" s="561"/>
      <c r="J199" s="561" t="s">
        <v>1466</v>
      </c>
      <c r="K199" s="561"/>
    </row>
    <row r="200" spans="1:11" x14ac:dyDescent="0.35">
      <c r="A200" s="52" t="s">
        <v>115</v>
      </c>
      <c r="B200" s="3" t="s">
        <v>1467</v>
      </c>
      <c r="C200" s="2" t="s">
        <v>56</v>
      </c>
      <c r="D200" s="52" t="s">
        <v>1336</v>
      </c>
      <c r="E200" s="561"/>
      <c r="F200" s="561"/>
      <c r="G200" s="561"/>
      <c r="H200" s="485">
        <f t="shared" si="7"/>
        <v>0</v>
      </c>
      <c r="I200" s="561"/>
      <c r="J200" s="561" t="s">
        <v>1466</v>
      </c>
      <c r="K200" s="561"/>
    </row>
    <row r="201" spans="1:11" x14ac:dyDescent="0.35">
      <c r="A201" s="52" t="s">
        <v>118</v>
      </c>
      <c r="B201" s="3" t="s">
        <v>1468</v>
      </c>
      <c r="C201" s="2" t="s">
        <v>56</v>
      </c>
      <c r="D201" s="52" t="s">
        <v>1336</v>
      </c>
      <c r="E201" s="561"/>
      <c r="F201" s="561"/>
      <c r="G201" s="561"/>
      <c r="H201" s="485">
        <f t="shared" si="7"/>
        <v>0</v>
      </c>
      <c r="I201" s="561"/>
      <c r="J201" s="561"/>
      <c r="K201" s="561"/>
    </row>
    <row r="202" spans="1:11" ht="29" customHeight="1" x14ac:dyDescent="0.35">
      <c r="A202" s="52" t="s">
        <v>121</v>
      </c>
      <c r="B202" s="3" t="s">
        <v>1469</v>
      </c>
      <c r="C202" s="2" t="s">
        <v>56</v>
      </c>
      <c r="D202" s="52" t="s">
        <v>1336</v>
      </c>
      <c r="E202" s="561"/>
      <c r="F202" s="561"/>
      <c r="G202" s="561"/>
      <c r="H202" s="485">
        <f t="shared" si="7"/>
        <v>0</v>
      </c>
      <c r="I202" s="561"/>
      <c r="J202" s="561"/>
      <c r="K202" s="561"/>
    </row>
    <row r="203" spans="1:11" x14ac:dyDescent="0.35">
      <c r="A203" s="52" t="s">
        <v>124</v>
      </c>
      <c r="B203" s="3" t="s">
        <v>1470</v>
      </c>
      <c r="C203" s="2" t="s">
        <v>56</v>
      </c>
      <c r="D203" s="52" t="s">
        <v>1336</v>
      </c>
      <c r="E203" s="561"/>
      <c r="F203" s="561"/>
      <c r="G203" s="561"/>
      <c r="H203" s="485">
        <f t="shared" si="7"/>
        <v>0</v>
      </c>
      <c r="I203" s="561"/>
      <c r="J203" s="561"/>
      <c r="K203" s="561"/>
    </row>
    <row r="204" spans="1:11" x14ac:dyDescent="0.35">
      <c r="A204" s="52" t="s">
        <v>162</v>
      </c>
      <c r="B204" s="3" t="s">
        <v>1471</v>
      </c>
      <c r="C204" s="2" t="s">
        <v>56</v>
      </c>
      <c r="D204" s="52" t="s">
        <v>1336</v>
      </c>
      <c r="E204" s="561"/>
      <c r="F204" s="561"/>
      <c r="G204" s="561"/>
      <c r="H204" s="485">
        <f t="shared" si="7"/>
        <v>0</v>
      </c>
      <c r="I204" s="561"/>
      <c r="J204" s="561"/>
      <c r="K204" s="561"/>
    </row>
    <row r="205" spans="1:11" x14ac:dyDescent="0.35">
      <c r="A205" s="52" t="s">
        <v>202</v>
      </c>
      <c r="B205" s="3" t="s">
        <v>1472</v>
      </c>
      <c r="C205" s="2" t="s">
        <v>56</v>
      </c>
      <c r="D205" s="52" t="s">
        <v>1336</v>
      </c>
      <c r="E205" s="561"/>
      <c r="F205" s="561"/>
      <c r="G205" s="561"/>
      <c r="H205" s="485">
        <f t="shared" si="7"/>
        <v>0</v>
      </c>
      <c r="I205" s="587"/>
      <c r="J205" s="561"/>
      <c r="K205" s="561"/>
    </row>
    <row r="206" spans="1:11" x14ac:dyDescent="0.35">
      <c r="A206" s="486" t="s">
        <v>203</v>
      </c>
      <c r="B206" s="888" t="s">
        <v>1473</v>
      </c>
      <c r="C206" s="486" t="s">
        <v>1474</v>
      </c>
      <c r="D206" s="486" t="s">
        <v>1475</v>
      </c>
      <c r="E206" s="486"/>
      <c r="F206" s="486"/>
      <c r="G206" s="486"/>
      <c r="H206" s="486">
        <f t="shared" si="7"/>
        <v>0</v>
      </c>
      <c r="I206" s="31"/>
      <c r="J206" s="561"/>
      <c r="K206" s="32"/>
    </row>
    <row r="207" spans="1:11" x14ac:dyDescent="0.35">
      <c r="A207" s="486" t="s">
        <v>225</v>
      </c>
      <c r="B207" s="888" t="s">
        <v>1476</v>
      </c>
      <c r="C207" s="486" t="s">
        <v>1474</v>
      </c>
      <c r="D207" s="486" t="s">
        <v>1475</v>
      </c>
      <c r="E207" s="486"/>
      <c r="F207" s="486"/>
      <c r="G207" s="486"/>
      <c r="H207" s="486">
        <f t="shared" si="7"/>
        <v>0</v>
      </c>
      <c r="I207" s="31"/>
      <c r="J207" s="561"/>
      <c r="K207" s="32"/>
    </row>
    <row r="208" spans="1:11" ht="29" customHeight="1" x14ac:dyDescent="0.35">
      <c r="A208" s="52" t="s">
        <v>229</v>
      </c>
      <c r="B208" s="3" t="s">
        <v>1477</v>
      </c>
      <c r="C208" s="2" t="s">
        <v>56</v>
      </c>
      <c r="D208" s="52" t="s">
        <v>1057</v>
      </c>
      <c r="E208" s="561"/>
      <c r="F208" s="561"/>
      <c r="G208" s="561"/>
      <c r="H208" s="485">
        <f t="shared" si="7"/>
        <v>0</v>
      </c>
      <c r="I208" s="31"/>
      <c r="J208" s="561" t="s">
        <v>1478</v>
      </c>
      <c r="K208" s="32"/>
    </row>
    <row r="209" spans="1:11" ht="29" customHeight="1" x14ac:dyDescent="0.35">
      <c r="A209" s="52" t="s">
        <v>233</v>
      </c>
      <c r="B209" s="3" t="s">
        <v>1479</v>
      </c>
      <c r="C209" s="227"/>
      <c r="D209" s="52" t="s">
        <v>1057</v>
      </c>
      <c r="E209" s="561"/>
      <c r="F209" s="561"/>
      <c r="G209" s="561"/>
      <c r="H209" s="485">
        <f t="shared" si="7"/>
        <v>0</v>
      </c>
      <c r="I209" s="561"/>
      <c r="J209" s="561" t="s">
        <v>1478</v>
      </c>
      <c r="K209" s="561"/>
    </row>
    <row r="210" spans="1:11" ht="29" customHeight="1" x14ac:dyDescent="0.35">
      <c r="A210" s="52" t="s">
        <v>238</v>
      </c>
      <c r="B210" s="3" t="s">
        <v>1479</v>
      </c>
      <c r="C210" s="803" t="s">
        <v>56</v>
      </c>
      <c r="D210" s="52" t="s">
        <v>1336</v>
      </c>
      <c r="E210" s="561"/>
      <c r="F210" s="561"/>
      <c r="G210" s="561"/>
      <c r="H210" s="485">
        <f t="shared" si="7"/>
        <v>0</v>
      </c>
      <c r="I210" s="561"/>
      <c r="J210" s="561" t="s">
        <v>1478</v>
      </c>
      <c r="K210" s="561"/>
    </row>
    <row r="211" spans="1:11" x14ac:dyDescent="0.35">
      <c r="A211" s="52" t="s">
        <v>317</v>
      </c>
      <c r="B211" s="3" t="s">
        <v>1479</v>
      </c>
      <c r="C211" s="803" t="s">
        <v>56</v>
      </c>
      <c r="D211" s="52" t="s">
        <v>1049</v>
      </c>
      <c r="E211" s="561"/>
      <c r="F211" s="561"/>
      <c r="G211" s="561"/>
      <c r="H211" s="485">
        <f t="shared" si="7"/>
        <v>0</v>
      </c>
      <c r="I211" s="561"/>
      <c r="J211" s="561"/>
      <c r="K211" s="561"/>
    </row>
    <row r="212" spans="1:11" x14ac:dyDescent="0.35">
      <c r="A212" s="52" t="s">
        <v>319</v>
      </c>
      <c r="B212" s="3" t="s">
        <v>1480</v>
      </c>
      <c r="C212" s="803" t="s">
        <v>56</v>
      </c>
      <c r="D212" s="52" t="s">
        <v>1049</v>
      </c>
      <c r="E212" s="561"/>
      <c r="F212" s="561"/>
      <c r="G212" s="561"/>
      <c r="H212" s="485">
        <f t="shared" si="7"/>
        <v>0</v>
      </c>
      <c r="I212" s="588"/>
      <c r="J212" s="561"/>
      <c r="K212" s="561"/>
    </row>
    <row r="213" spans="1:11" ht="29" customHeight="1" x14ac:dyDescent="0.35">
      <c r="A213" s="52" t="s">
        <v>322</v>
      </c>
      <c r="B213" s="3" t="s">
        <v>1481</v>
      </c>
      <c r="C213" s="803" t="s">
        <v>56</v>
      </c>
      <c r="D213" s="52" t="s">
        <v>1482</v>
      </c>
      <c r="E213" s="561"/>
      <c r="F213" s="561"/>
      <c r="G213" s="561"/>
      <c r="H213" s="485">
        <f t="shared" si="7"/>
        <v>0</v>
      </c>
      <c r="I213" s="561"/>
      <c r="J213" s="561"/>
      <c r="K213" s="561"/>
    </row>
    <row r="214" spans="1:11" x14ac:dyDescent="0.35">
      <c r="A214" s="17" t="s">
        <v>327</v>
      </c>
      <c r="B214" s="3" t="s">
        <v>1483</v>
      </c>
      <c r="C214" s="803" t="s">
        <v>56</v>
      </c>
      <c r="D214" s="52" t="s">
        <v>1482</v>
      </c>
      <c r="E214" s="561"/>
      <c r="F214" s="561"/>
      <c r="G214" s="561"/>
      <c r="H214" s="485">
        <f t="shared" si="7"/>
        <v>0</v>
      </c>
      <c r="I214" s="588"/>
      <c r="J214" s="561"/>
      <c r="K214" s="561"/>
    </row>
    <row r="215" spans="1:11" x14ac:dyDescent="0.35">
      <c r="A215" s="52" t="s">
        <v>332</v>
      </c>
      <c r="B215" s="3" t="s">
        <v>1484</v>
      </c>
      <c r="C215" s="803"/>
      <c r="D215" s="52" t="s">
        <v>1485</v>
      </c>
      <c r="E215" s="561"/>
      <c r="F215" s="561"/>
      <c r="G215" s="561"/>
      <c r="H215" s="485">
        <f t="shared" si="7"/>
        <v>0</v>
      </c>
      <c r="I215" s="588"/>
      <c r="J215" s="561"/>
      <c r="K215" s="619"/>
    </row>
    <row r="216" spans="1:11" ht="43.5" customHeight="1" x14ac:dyDescent="0.35">
      <c r="A216" s="52" t="s">
        <v>337</v>
      </c>
      <c r="B216" s="3" t="s">
        <v>1486</v>
      </c>
      <c r="C216" s="803"/>
      <c r="D216" s="52" t="s">
        <v>1487</v>
      </c>
      <c r="E216" s="561"/>
      <c r="F216" s="561"/>
      <c r="G216" s="561"/>
      <c r="H216" s="485">
        <f t="shared" si="7"/>
        <v>0</v>
      </c>
      <c r="I216" s="588"/>
      <c r="J216" s="561"/>
      <c r="K216" s="561" t="s">
        <v>1488</v>
      </c>
    </row>
    <row r="217" spans="1:11" x14ac:dyDescent="0.35">
      <c r="A217" s="52" t="s">
        <v>340</v>
      </c>
      <c r="B217" s="3" t="s">
        <v>1489</v>
      </c>
      <c r="C217" s="803"/>
      <c r="D217" s="52" t="s">
        <v>1490</v>
      </c>
      <c r="E217" s="561"/>
      <c r="F217" s="561"/>
      <c r="G217" s="561"/>
      <c r="H217" s="518">
        <f>G217</f>
        <v>0</v>
      </c>
      <c r="I217" s="2"/>
      <c r="J217" s="561"/>
      <c r="K217" s="32"/>
    </row>
    <row r="218" spans="1:11" x14ac:dyDescent="0.35">
      <c r="A218" s="52" t="s">
        <v>344</v>
      </c>
      <c r="B218" s="3" t="s">
        <v>1491</v>
      </c>
      <c r="C218" s="803"/>
      <c r="D218" s="52" t="s">
        <v>1490</v>
      </c>
      <c r="E218" s="561"/>
      <c r="F218" s="561"/>
      <c r="G218" s="561"/>
      <c r="H218" s="518">
        <f>G218</f>
        <v>0</v>
      </c>
      <c r="I218" s="2"/>
      <c r="J218" s="561"/>
      <c r="K218" s="32"/>
    </row>
    <row r="219" spans="1:11" ht="29" customHeight="1" x14ac:dyDescent="0.35">
      <c r="A219" s="564" t="s">
        <v>348</v>
      </c>
      <c r="B219" s="818" t="s">
        <v>1492</v>
      </c>
      <c r="C219" s="485" t="s">
        <v>1493</v>
      </c>
      <c r="D219" s="485" t="s">
        <v>1494</v>
      </c>
      <c r="E219" s="562"/>
      <c r="F219" s="562"/>
      <c r="G219" s="518">
        <f>G217-G218</f>
        <v>0</v>
      </c>
      <c r="H219" s="518">
        <f>G219</f>
        <v>0</v>
      </c>
      <c r="I219" s="2"/>
      <c r="J219" s="561"/>
      <c r="K219" s="32"/>
    </row>
    <row r="220" spans="1:11" x14ac:dyDescent="0.35">
      <c r="A220" s="564" t="s">
        <v>350</v>
      </c>
      <c r="B220" s="3" t="s">
        <v>1495</v>
      </c>
      <c r="C220" s="2" t="s">
        <v>1496</v>
      </c>
      <c r="D220" s="52" t="s">
        <v>1497</v>
      </c>
      <c r="E220" s="922"/>
      <c r="F220" s="922"/>
      <c r="G220" s="922"/>
      <c r="H220" s="485">
        <f>G220</f>
        <v>0</v>
      </c>
      <c r="I220" s="2"/>
      <c r="J220" s="561"/>
      <c r="K220" s="32"/>
    </row>
    <row r="221" spans="1:11" x14ac:dyDescent="0.35">
      <c r="A221" s="564" t="s">
        <v>352</v>
      </c>
      <c r="B221" s="565" t="s">
        <v>1498</v>
      </c>
      <c r="C221" s="564" t="s">
        <v>1499</v>
      </c>
      <c r="D221" s="564" t="s">
        <v>1336</v>
      </c>
      <c r="E221" s="566">
        <f>E199+E200+E205+E201+E202+E203+E204</f>
        <v>0</v>
      </c>
      <c r="F221" s="566">
        <f>F199+F200+F205+F201+F202+F203+F204</f>
        <v>0</v>
      </c>
      <c r="G221" s="566">
        <f>G199+G200+G205+G201+G202+G203+G204</f>
        <v>0</v>
      </c>
      <c r="H221" s="566">
        <f>H199+H200+H205+H201+H202+H203+H204</f>
        <v>0</v>
      </c>
      <c r="I221" s="566">
        <f>I199+I200+I205+I201+I202+I203+I204</f>
        <v>0</v>
      </c>
      <c r="J221" s="637"/>
      <c r="K221" s="637"/>
    </row>
    <row r="222" spans="1:11" ht="29" customHeight="1" x14ac:dyDescent="0.35">
      <c r="A222" s="564" t="s">
        <v>354</v>
      </c>
      <c r="B222" s="565" t="s">
        <v>1500</v>
      </c>
      <c r="C222" s="564" t="s">
        <v>1501</v>
      </c>
      <c r="D222" s="564" t="s">
        <v>1336</v>
      </c>
      <c r="E222" s="564">
        <f>IF((E199+E200+E205)&gt;E381,((E199+E200+E205)-E381),0)</f>
        <v>0</v>
      </c>
      <c r="F222" s="564">
        <f>IF((F199+F200+F205)&gt;F381,((F199+F200+F205)-F381),0)</f>
        <v>0</v>
      </c>
      <c r="G222" s="564">
        <f>IF((G199+G200+G205)&gt;G381,((G199+G200+G205)-G381),0)</f>
        <v>0</v>
      </c>
      <c r="H222" s="566">
        <f>IF((H199+H200+H205)&gt;H381,((H199+H200+H205)-H381),0)</f>
        <v>0</v>
      </c>
      <c r="I222" s="564">
        <f>IF((I199+I200+I205)&gt;I381,((I199+I200+I205)-I381),0)</f>
        <v>0</v>
      </c>
      <c r="J222" s="637"/>
      <c r="K222" s="637"/>
    </row>
    <row r="223" spans="1:11" ht="29" customHeight="1" x14ac:dyDescent="0.35">
      <c r="A223" s="564" t="s">
        <v>356</v>
      </c>
      <c r="B223" s="565" t="s">
        <v>1502</v>
      </c>
      <c r="C223" s="564" t="s">
        <v>1503</v>
      </c>
      <c r="D223" s="564" t="s">
        <v>1139</v>
      </c>
      <c r="E223" s="564">
        <f>E222*860/10</f>
        <v>0</v>
      </c>
      <c r="F223" s="564">
        <f>F222*860/10</f>
        <v>0</v>
      </c>
      <c r="G223" s="564">
        <f>G222*860/10</f>
        <v>0</v>
      </c>
      <c r="H223" s="566">
        <f>H222*860/10</f>
        <v>0</v>
      </c>
      <c r="I223" s="564">
        <f>I222*860/10</f>
        <v>0</v>
      </c>
      <c r="J223" s="637"/>
      <c r="K223" s="637"/>
    </row>
    <row r="224" spans="1:11" x14ac:dyDescent="0.35">
      <c r="A224" s="580" t="s">
        <v>358</v>
      </c>
      <c r="B224" s="618" t="s">
        <v>1504</v>
      </c>
      <c r="C224" s="618"/>
      <c r="D224" s="580" t="s">
        <v>1336</v>
      </c>
      <c r="E224" s="564">
        <f>E200+E201+E202+E203+E204</f>
        <v>0</v>
      </c>
      <c r="F224" s="564">
        <f>F200+F201+F202+F203+F204</f>
        <v>0</v>
      </c>
      <c r="G224" s="564">
        <f>G200+G201+G202+G203+G204</f>
        <v>0</v>
      </c>
      <c r="H224" s="564">
        <f>H200+H201+H202+H203+H204</f>
        <v>0</v>
      </c>
      <c r="I224" s="564">
        <f>I200+I201+I202+I203+I204</f>
        <v>0</v>
      </c>
      <c r="J224" s="637"/>
      <c r="K224" s="637"/>
    </row>
    <row r="225" spans="1:11" x14ac:dyDescent="0.35">
      <c r="A225" s="580" t="s">
        <v>360</v>
      </c>
      <c r="B225" s="618" t="s">
        <v>1505</v>
      </c>
      <c r="C225" s="580"/>
      <c r="D225" s="580" t="s">
        <v>1142</v>
      </c>
      <c r="E225" s="564">
        <f>(E199*10^5/1000)*E206</f>
        <v>0</v>
      </c>
      <c r="F225" s="564">
        <f>F199*10^5/1000*F206</f>
        <v>0</v>
      </c>
      <c r="G225" s="564">
        <f>G199*10^5/1000*G206</f>
        <v>0</v>
      </c>
      <c r="H225" s="564">
        <f>H199*10^5/1000*H206</f>
        <v>0</v>
      </c>
      <c r="I225" s="564">
        <f>I199*10^5/1000*I206</f>
        <v>0</v>
      </c>
      <c r="J225" s="637"/>
      <c r="K225" s="637"/>
    </row>
    <row r="226" spans="1:11" ht="29" customHeight="1" x14ac:dyDescent="0.35">
      <c r="A226" s="580" t="s">
        <v>362</v>
      </c>
      <c r="B226" s="618" t="s">
        <v>1506</v>
      </c>
      <c r="C226" s="580"/>
      <c r="D226" s="580" t="s">
        <v>1142</v>
      </c>
      <c r="E226" s="564">
        <f>(E207*E205*10^5/1000)+E356</f>
        <v>0</v>
      </c>
      <c r="F226" s="564">
        <f>(F207*F205*10^5/1000)+F356</f>
        <v>0</v>
      </c>
      <c r="G226" s="564">
        <f>(G207*G205*10^5/1000)+G356</f>
        <v>0</v>
      </c>
      <c r="H226" s="564">
        <f>(H207*H205*10^5/1000)+H356</f>
        <v>0</v>
      </c>
      <c r="I226" s="564">
        <f>(I207*I205*10^5/1000)+I356</f>
        <v>0</v>
      </c>
      <c r="J226" s="637"/>
      <c r="K226" s="637"/>
    </row>
    <row r="227" spans="1:11" x14ac:dyDescent="0.35">
      <c r="A227" s="580" t="s">
        <v>364</v>
      </c>
      <c r="B227" s="618" t="s">
        <v>1507</v>
      </c>
      <c r="C227" s="580"/>
      <c r="D227" s="580" t="s">
        <v>1142</v>
      </c>
      <c r="E227" s="564">
        <f>E226+E225</f>
        <v>0</v>
      </c>
      <c r="F227" s="564">
        <f>F226+F225</f>
        <v>0</v>
      </c>
      <c r="G227" s="564">
        <f>G226+G225</f>
        <v>0</v>
      </c>
      <c r="H227" s="564">
        <f>H226+H225</f>
        <v>0</v>
      </c>
      <c r="I227" s="564">
        <f>I226+I225</f>
        <v>0</v>
      </c>
      <c r="J227" s="637"/>
      <c r="K227" s="637"/>
    </row>
    <row r="228" spans="1:11" ht="26" customHeight="1" x14ac:dyDescent="0.35">
      <c r="A228" s="923" t="s">
        <v>1461</v>
      </c>
      <c r="B228" s="924" t="s">
        <v>1508</v>
      </c>
      <c r="C228" s="819"/>
      <c r="D228" s="52"/>
      <c r="E228" s="52"/>
      <c r="F228" s="52"/>
      <c r="G228" s="20"/>
      <c r="H228" s="785"/>
      <c r="I228" s="32"/>
      <c r="J228" s="32"/>
      <c r="K228" s="32"/>
    </row>
    <row r="229" spans="1:11" x14ac:dyDescent="0.35">
      <c r="A229" s="554" t="s">
        <v>366</v>
      </c>
      <c r="B229" s="556" t="s">
        <v>1509</v>
      </c>
      <c r="C229" s="553"/>
      <c r="D229" s="259"/>
      <c r="E229" s="259"/>
      <c r="F229" s="259"/>
      <c r="G229" s="256"/>
      <c r="H229" s="789"/>
      <c r="I229" s="586"/>
      <c r="J229" s="586"/>
      <c r="K229" s="586"/>
    </row>
    <row r="230" spans="1:11" x14ac:dyDescent="0.35">
      <c r="A230" s="590" t="s">
        <v>368</v>
      </c>
      <c r="B230" s="591" t="s">
        <v>1510</v>
      </c>
      <c r="C230" s="592"/>
      <c r="D230" s="259"/>
      <c r="E230" s="259"/>
      <c r="F230" s="259"/>
      <c r="G230" s="256"/>
      <c r="H230" s="789"/>
      <c r="I230" s="586"/>
      <c r="J230" s="586"/>
      <c r="K230" s="586"/>
    </row>
    <row r="231" spans="1:11" x14ac:dyDescent="0.35">
      <c r="A231" s="917" t="s">
        <v>110</v>
      </c>
      <c r="B231" s="918" t="s">
        <v>1511</v>
      </c>
      <c r="C231" s="919"/>
      <c r="D231" s="919" t="s">
        <v>1512</v>
      </c>
      <c r="E231" s="920"/>
      <c r="F231" s="920"/>
      <c r="G231" s="920"/>
      <c r="H231" s="921"/>
      <c r="I231" s="920"/>
      <c r="J231" s="31"/>
      <c r="K231" s="637"/>
    </row>
    <row r="232" spans="1:11" x14ac:dyDescent="0.35">
      <c r="A232" s="52" t="s">
        <v>115</v>
      </c>
      <c r="B232" s="3" t="s">
        <v>1513</v>
      </c>
      <c r="C232" s="2" t="s">
        <v>56</v>
      </c>
      <c r="D232" s="52" t="s">
        <v>1049</v>
      </c>
      <c r="E232" s="561"/>
      <c r="F232" s="561"/>
      <c r="G232" s="561"/>
      <c r="H232" s="485">
        <f>IF(K$8=1,E232,IF(K$8=2,(E232+F232)/2,(E232+F232+G232)/3))</f>
        <v>0</v>
      </c>
      <c r="I232" s="561"/>
      <c r="J232" s="561"/>
      <c r="K232" s="561"/>
    </row>
    <row r="233" spans="1:11" x14ac:dyDescent="0.35">
      <c r="A233" s="52" t="s">
        <v>118</v>
      </c>
      <c r="B233" s="3" t="s">
        <v>1514</v>
      </c>
      <c r="C233" s="2" t="s">
        <v>56</v>
      </c>
      <c r="D233" s="52" t="s">
        <v>1336</v>
      </c>
      <c r="E233" s="561"/>
      <c r="F233" s="561"/>
      <c r="G233" s="561"/>
      <c r="H233" s="485">
        <f>IF(K$8=1,E233,IF(K$8=2,(E233+F233)/2,(E233+F233+G233)/3))</f>
        <v>0</v>
      </c>
      <c r="I233" s="561"/>
      <c r="J233" s="926" t="s">
        <v>1515</v>
      </c>
      <c r="K233" s="561"/>
    </row>
    <row r="234" spans="1:11" x14ac:dyDescent="0.35">
      <c r="A234" s="52" t="s">
        <v>121</v>
      </c>
      <c r="B234" s="3" t="s">
        <v>1516</v>
      </c>
      <c r="C234" s="2" t="s">
        <v>56</v>
      </c>
      <c r="D234" s="52" t="s">
        <v>1060</v>
      </c>
      <c r="E234" s="561"/>
      <c r="F234" s="561"/>
      <c r="G234" s="561"/>
      <c r="H234" s="485">
        <f>IF(K$8=1,E234,IF(K$8=2,(E234+F234)/2,(E234+F234+G234)/3))</f>
        <v>0</v>
      </c>
      <c r="I234" s="588"/>
      <c r="J234" s="561"/>
      <c r="K234" s="561"/>
    </row>
    <row r="235" spans="1:11" x14ac:dyDescent="0.35">
      <c r="A235" s="52" t="s">
        <v>124</v>
      </c>
      <c r="B235" s="3" t="s">
        <v>1517</v>
      </c>
      <c r="C235" s="2" t="s">
        <v>56</v>
      </c>
      <c r="D235" s="52" t="s">
        <v>1057</v>
      </c>
      <c r="E235" s="561"/>
      <c r="F235" s="561"/>
      <c r="G235" s="561"/>
      <c r="H235" s="485">
        <f>IF(K$8=1,E235,IF(K$8=2,(E235+F235)/2,(E235+F235+G235)/3))</f>
        <v>0</v>
      </c>
      <c r="I235" s="588"/>
      <c r="J235" s="561"/>
      <c r="K235" s="561"/>
    </row>
    <row r="236" spans="1:11" x14ac:dyDescent="0.35">
      <c r="A236" s="52" t="s">
        <v>162</v>
      </c>
      <c r="B236" s="3" t="s">
        <v>1518</v>
      </c>
      <c r="C236" s="2" t="s">
        <v>56</v>
      </c>
      <c r="D236" s="52" t="s">
        <v>1519</v>
      </c>
      <c r="E236" s="561"/>
      <c r="F236" s="561"/>
      <c r="G236" s="561"/>
      <c r="H236" s="485">
        <f>IF(K$8=1,E236,IF(K$8=2,(E236+F236)/2,(E236+F236+G236)/3))</f>
        <v>0</v>
      </c>
      <c r="I236" s="561"/>
      <c r="J236" s="561"/>
      <c r="K236" s="561"/>
    </row>
    <row r="237" spans="1:11" x14ac:dyDescent="0.35">
      <c r="A237" s="52"/>
      <c r="B237" s="3"/>
      <c r="C237" s="2"/>
      <c r="D237" s="52"/>
      <c r="E237" s="52"/>
      <c r="F237" s="52"/>
      <c r="G237" s="20"/>
      <c r="H237" s="785"/>
      <c r="I237" s="31"/>
      <c r="J237" s="561"/>
      <c r="K237" s="561"/>
    </row>
    <row r="238" spans="1:11" x14ac:dyDescent="0.35">
      <c r="A238" s="590" t="s">
        <v>1520</v>
      </c>
      <c r="B238" s="591" t="s">
        <v>1521</v>
      </c>
      <c r="C238" s="592"/>
      <c r="D238" s="259"/>
      <c r="E238" s="259"/>
      <c r="F238" s="259"/>
      <c r="G238" s="584"/>
      <c r="H238" s="789"/>
      <c r="I238" s="586"/>
      <c r="J238" s="586"/>
      <c r="K238" s="586"/>
    </row>
    <row r="239" spans="1:11" x14ac:dyDescent="0.35">
      <c r="A239" s="590" t="s">
        <v>1522</v>
      </c>
      <c r="B239" s="591" t="s">
        <v>1523</v>
      </c>
      <c r="C239" s="592"/>
      <c r="D239" s="259"/>
      <c r="E239" s="259"/>
      <c r="F239" s="259"/>
      <c r="G239" s="584"/>
      <c r="H239" s="789"/>
      <c r="I239" s="586"/>
      <c r="J239" s="586"/>
      <c r="K239" s="586"/>
    </row>
    <row r="240" spans="1:11" x14ac:dyDescent="0.35">
      <c r="A240" s="917" t="s">
        <v>110</v>
      </c>
      <c r="B240" s="918" t="s">
        <v>1511</v>
      </c>
      <c r="C240" s="919"/>
      <c r="D240" s="919" t="s">
        <v>1512</v>
      </c>
      <c r="E240" s="920"/>
      <c r="F240" s="920"/>
      <c r="G240" s="920"/>
      <c r="H240" s="921"/>
      <c r="I240" s="920"/>
      <c r="J240" s="31"/>
      <c r="K240" s="637"/>
    </row>
    <row r="241" spans="1:11" outlineLevel="1" x14ac:dyDescent="0.35">
      <c r="A241" s="52" t="s">
        <v>115</v>
      </c>
      <c r="B241" s="3" t="s">
        <v>1513</v>
      </c>
      <c r="C241" s="2" t="s">
        <v>56</v>
      </c>
      <c r="D241" s="52" t="s">
        <v>1049</v>
      </c>
      <c r="E241" s="561"/>
      <c r="F241" s="561"/>
      <c r="G241" s="561"/>
      <c r="H241" s="485">
        <f t="shared" ref="H241:H249" si="8">IF(K$8=1,E241,IF(K$8=2,(E241+F241)/2,(E241+F241+G241)/3))</f>
        <v>0</v>
      </c>
      <c r="I241" s="561"/>
      <c r="J241" s="927" t="s">
        <v>1212</v>
      </c>
      <c r="K241" s="561"/>
    </row>
    <row r="242" spans="1:11" outlineLevel="1" x14ac:dyDescent="0.35">
      <c r="A242" s="52" t="s">
        <v>118</v>
      </c>
      <c r="B242" s="3" t="s">
        <v>1524</v>
      </c>
      <c r="C242" s="2" t="s">
        <v>56</v>
      </c>
      <c r="D242" s="52" t="s">
        <v>1336</v>
      </c>
      <c r="E242" s="561"/>
      <c r="F242" s="561"/>
      <c r="G242" s="561"/>
      <c r="H242" s="485">
        <f t="shared" si="8"/>
        <v>0</v>
      </c>
      <c r="I242" s="561"/>
      <c r="J242" s="926" t="s">
        <v>1525</v>
      </c>
      <c r="K242" s="561"/>
    </row>
    <row r="243" spans="1:11" outlineLevel="1" x14ac:dyDescent="0.35">
      <c r="A243" s="52" t="s">
        <v>121</v>
      </c>
      <c r="B243" s="3" t="s">
        <v>1064</v>
      </c>
      <c r="C243" s="2" t="s">
        <v>56</v>
      </c>
      <c r="D243" s="52" t="s">
        <v>1057</v>
      </c>
      <c r="E243" s="561"/>
      <c r="F243" s="561"/>
      <c r="G243" s="561"/>
      <c r="H243" s="485">
        <f t="shared" si="8"/>
        <v>0</v>
      </c>
      <c r="I243" s="561"/>
      <c r="J243" s="926" t="s">
        <v>1526</v>
      </c>
      <c r="K243" s="561"/>
    </row>
    <row r="244" spans="1:11" outlineLevel="1" x14ac:dyDescent="0.35">
      <c r="A244" s="52" t="s">
        <v>124</v>
      </c>
      <c r="B244" s="3" t="s">
        <v>1527</v>
      </c>
      <c r="C244" s="2"/>
      <c r="D244" s="52" t="s">
        <v>1528</v>
      </c>
      <c r="E244" s="561"/>
      <c r="F244" s="561"/>
      <c r="G244" s="561"/>
      <c r="H244" s="485">
        <f t="shared" si="8"/>
        <v>0</v>
      </c>
      <c r="I244" s="561"/>
      <c r="J244" s="926"/>
      <c r="K244" s="561"/>
    </row>
    <row r="245" spans="1:11" outlineLevel="1" x14ac:dyDescent="0.35">
      <c r="A245" s="52" t="s">
        <v>162</v>
      </c>
      <c r="B245" s="3" t="s">
        <v>1518</v>
      </c>
      <c r="C245" s="2" t="s">
        <v>56</v>
      </c>
      <c r="D245" s="52" t="s">
        <v>1519</v>
      </c>
      <c r="E245" s="561"/>
      <c r="F245" s="561"/>
      <c r="G245" s="561"/>
      <c r="H245" s="485">
        <f t="shared" si="8"/>
        <v>0</v>
      </c>
      <c r="I245" s="561"/>
      <c r="J245" s="926" t="s">
        <v>1525</v>
      </c>
      <c r="K245" s="561"/>
    </row>
    <row r="246" spans="1:11" outlineLevel="1" x14ac:dyDescent="0.35">
      <c r="A246" s="52" t="s">
        <v>202</v>
      </c>
      <c r="B246" s="3" t="s">
        <v>1529</v>
      </c>
      <c r="C246" s="2" t="s">
        <v>56</v>
      </c>
      <c r="D246" s="52" t="s">
        <v>1519</v>
      </c>
      <c r="E246" s="561"/>
      <c r="F246" s="561"/>
      <c r="G246" s="561"/>
      <c r="H246" s="485">
        <f t="shared" si="8"/>
        <v>0</v>
      </c>
      <c r="I246" s="561"/>
      <c r="J246" s="926" t="s">
        <v>1530</v>
      </c>
      <c r="K246" s="561"/>
    </row>
    <row r="247" spans="1:11" ht="43.5" customHeight="1" outlineLevel="1" x14ac:dyDescent="0.35">
      <c r="A247" s="52" t="s">
        <v>203</v>
      </c>
      <c r="B247" s="3" t="s">
        <v>1531</v>
      </c>
      <c r="C247" s="2" t="s">
        <v>56</v>
      </c>
      <c r="D247" s="52" t="s">
        <v>1519</v>
      </c>
      <c r="E247" s="561"/>
      <c r="F247" s="561"/>
      <c r="G247" s="561">
        <f>G246-G245</f>
        <v>0</v>
      </c>
      <c r="H247" s="485">
        <f t="shared" si="8"/>
        <v>0</v>
      </c>
      <c r="I247" s="561"/>
      <c r="J247" s="926" t="s">
        <v>1532</v>
      </c>
      <c r="K247" s="561"/>
    </row>
    <row r="248" spans="1:11" outlineLevel="1" x14ac:dyDescent="0.35">
      <c r="A248" s="52" t="s">
        <v>225</v>
      </c>
      <c r="B248" s="3" t="s">
        <v>1533</v>
      </c>
      <c r="C248" s="2" t="s">
        <v>56</v>
      </c>
      <c r="D248" s="52" t="s">
        <v>1519</v>
      </c>
      <c r="E248" s="561"/>
      <c r="F248" s="561"/>
      <c r="G248" s="561"/>
      <c r="H248" s="485">
        <f t="shared" si="8"/>
        <v>0</v>
      </c>
      <c r="I248" s="561"/>
      <c r="J248" s="561"/>
      <c r="K248" s="561"/>
    </row>
    <row r="249" spans="1:11" ht="29" customHeight="1" outlineLevel="1" x14ac:dyDescent="0.35">
      <c r="A249" s="52" t="s">
        <v>229</v>
      </c>
      <c r="B249" s="3" t="s">
        <v>1534</v>
      </c>
      <c r="C249" s="2" t="s">
        <v>56</v>
      </c>
      <c r="D249" s="52" t="s">
        <v>1519</v>
      </c>
      <c r="E249" s="561"/>
      <c r="F249" s="561"/>
      <c r="G249" s="561"/>
      <c r="H249" s="485">
        <f t="shared" si="8"/>
        <v>0</v>
      </c>
      <c r="I249" s="561"/>
      <c r="J249" s="561"/>
      <c r="K249" s="561"/>
    </row>
    <row r="250" spans="1:11" ht="35.5" customHeight="1" outlineLevel="1" x14ac:dyDescent="0.35">
      <c r="A250" s="593" t="s">
        <v>233</v>
      </c>
      <c r="B250" s="594" t="s">
        <v>1535</v>
      </c>
      <c r="C250" s="564" t="s">
        <v>1536</v>
      </c>
      <c r="D250" s="593" t="s">
        <v>1049</v>
      </c>
      <c r="E250" s="595">
        <f>IFERROR(E242*100/E245,0)</f>
        <v>0</v>
      </c>
      <c r="F250" s="595">
        <f>IFERROR(F242*100/F245,0)</f>
        <v>0</v>
      </c>
      <c r="G250" s="595">
        <f>IFERROR(G242*100/G245,0)</f>
        <v>0</v>
      </c>
      <c r="H250" s="595">
        <f>IFERROR(H242*100/H245,0)</f>
        <v>0</v>
      </c>
      <c r="I250" s="595">
        <f>IFERROR(I242*100/I245,0)</f>
        <v>0</v>
      </c>
      <c r="J250" s="628"/>
      <c r="K250" s="628"/>
    </row>
    <row r="251" spans="1:11" ht="45" customHeight="1" outlineLevel="1" x14ac:dyDescent="0.35">
      <c r="A251" s="593" t="s">
        <v>238</v>
      </c>
      <c r="B251" s="594" t="s">
        <v>1537</v>
      </c>
      <c r="C251" s="564" t="s">
        <v>1538</v>
      </c>
      <c r="D251" s="593"/>
      <c r="E251" s="595">
        <f>IFERROR((E246-E247)/E246,0)</f>
        <v>0</v>
      </c>
      <c r="F251" s="595">
        <f>IFERROR((F246-F247)/F246,0)</f>
        <v>0</v>
      </c>
      <c r="G251" s="595">
        <f>IFERROR((G246-G247)/G246,0)</f>
        <v>0</v>
      </c>
      <c r="H251" s="595">
        <f>IFERROR((H246-H247)/H246,0)</f>
        <v>0</v>
      </c>
      <c r="I251" s="595">
        <f>IFERROR((I246-I247)/I246,0)</f>
        <v>0</v>
      </c>
      <c r="J251" s="628"/>
      <c r="K251" s="628"/>
    </row>
    <row r="252" spans="1:11" ht="39" customHeight="1" outlineLevel="1" x14ac:dyDescent="0.35">
      <c r="A252" s="593" t="s">
        <v>317</v>
      </c>
      <c r="B252" s="594" t="s">
        <v>1539</v>
      </c>
      <c r="C252" s="821" t="s">
        <v>1540</v>
      </c>
      <c r="D252" s="593" t="s">
        <v>1057</v>
      </c>
      <c r="E252" s="595">
        <f>IFERROR(E242*100*100/(E241*E246*E251),0)</f>
        <v>0</v>
      </c>
      <c r="F252" s="595">
        <f>IFERROR(F242*100*100/(F241*F246*F251),0)</f>
        <v>0</v>
      </c>
      <c r="G252" s="595">
        <f>IFERROR(G242*100*100/(G241*G246*G251),0)</f>
        <v>0</v>
      </c>
      <c r="H252" s="595">
        <f>IFERROR(H242*100*100/(H241*H246*H251),0)</f>
        <v>0</v>
      </c>
      <c r="I252" s="595">
        <f>IFERROR(I242*100*100/(I241*I246*I251),0)</f>
        <v>0</v>
      </c>
      <c r="J252" s="628"/>
      <c r="K252" s="628"/>
    </row>
    <row r="253" spans="1:11" ht="29" customHeight="1" outlineLevel="1" x14ac:dyDescent="0.35">
      <c r="A253" s="593" t="s">
        <v>319</v>
      </c>
      <c r="B253" s="594" t="s">
        <v>1541</v>
      </c>
      <c r="C253" s="564" t="s">
        <v>1542</v>
      </c>
      <c r="D253" s="593" t="s">
        <v>1057</v>
      </c>
      <c r="E253" s="595">
        <f>IFERROR(E249*100/(E248+E249),0)</f>
        <v>0</v>
      </c>
      <c r="F253" s="595">
        <f>IFERROR(F249*100/(F248+F249),0)</f>
        <v>0</v>
      </c>
      <c r="G253" s="595">
        <f>IFERROR(G249*100/(G248+G249),0)</f>
        <v>0</v>
      </c>
      <c r="H253" s="595">
        <f>IFERROR(H249*100/(H248+H249),0)</f>
        <v>0</v>
      </c>
      <c r="I253" s="595">
        <f>IFERROR(I249*100/(I248+I249),0)</f>
        <v>0</v>
      </c>
      <c r="J253" s="628"/>
      <c r="K253" s="628"/>
    </row>
    <row r="254" spans="1:11" x14ac:dyDescent="0.35">
      <c r="A254" s="543"/>
      <c r="B254" s="597"/>
      <c r="C254" s="580"/>
      <c r="D254" s="543"/>
      <c r="E254" s="543"/>
      <c r="F254" s="543"/>
      <c r="G254" s="598"/>
      <c r="H254" s="596"/>
      <c r="I254" s="596"/>
      <c r="J254" s="628"/>
      <c r="K254" s="628"/>
    </row>
    <row r="255" spans="1:11" x14ac:dyDescent="0.35">
      <c r="A255" s="590" t="s">
        <v>1543</v>
      </c>
      <c r="B255" s="591" t="s">
        <v>1544</v>
      </c>
      <c r="C255" s="592"/>
      <c r="D255" s="259"/>
      <c r="E255" s="259"/>
      <c r="F255" s="259"/>
      <c r="G255" s="584"/>
      <c r="H255" s="789"/>
      <c r="I255" s="586"/>
      <c r="J255" s="586"/>
      <c r="K255" s="586"/>
    </row>
    <row r="256" spans="1:11" x14ac:dyDescent="0.35">
      <c r="A256" s="917" t="s">
        <v>110</v>
      </c>
      <c r="B256" s="918" t="s">
        <v>1511</v>
      </c>
      <c r="C256" s="919"/>
      <c r="D256" s="919" t="s">
        <v>1512</v>
      </c>
      <c r="E256" s="920"/>
      <c r="F256" s="920"/>
      <c r="G256" s="920"/>
      <c r="H256" s="921"/>
      <c r="I256" s="920"/>
      <c r="J256" s="31"/>
      <c r="K256" s="637"/>
    </row>
    <row r="257" spans="1:11" outlineLevel="1" x14ac:dyDescent="0.35">
      <c r="A257" s="52" t="s">
        <v>115</v>
      </c>
      <c r="B257" s="3" t="s">
        <v>1513</v>
      </c>
      <c r="C257" s="820"/>
      <c r="D257" s="52" t="s">
        <v>1049</v>
      </c>
      <c r="E257" s="561"/>
      <c r="F257" s="561"/>
      <c r="G257" s="561"/>
      <c r="H257" s="485">
        <f t="shared" ref="H257:H265" si="9">IF(K$8=1,E257,IF(K$8=2,(E257+F257)/2,(E257+F257+G257)/3))</f>
        <v>0</v>
      </c>
      <c r="I257" s="561"/>
      <c r="J257" s="927" t="s">
        <v>1212</v>
      </c>
      <c r="K257" s="561"/>
    </row>
    <row r="258" spans="1:11" outlineLevel="1" x14ac:dyDescent="0.35">
      <c r="A258" s="52" t="s">
        <v>118</v>
      </c>
      <c r="B258" s="3" t="s">
        <v>1524</v>
      </c>
      <c r="C258" s="2" t="s">
        <v>56</v>
      </c>
      <c r="D258" s="52" t="s">
        <v>1336</v>
      </c>
      <c r="E258" s="561"/>
      <c r="F258" s="561"/>
      <c r="G258" s="561"/>
      <c r="H258" s="485">
        <f t="shared" si="9"/>
        <v>0</v>
      </c>
      <c r="I258" s="561"/>
      <c r="J258" s="926" t="s">
        <v>1525</v>
      </c>
      <c r="K258" s="561"/>
    </row>
    <row r="259" spans="1:11" outlineLevel="1" x14ac:dyDescent="0.35">
      <c r="A259" s="52" t="s">
        <v>121</v>
      </c>
      <c r="B259" s="3" t="s">
        <v>1064</v>
      </c>
      <c r="C259" s="2" t="s">
        <v>56</v>
      </c>
      <c r="D259" s="52" t="s">
        <v>1057</v>
      </c>
      <c r="E259" s="561"/>
      <c r="F259" s="561"/>
      <c r="G259" s="561"/>
      <c r="H259" s="485">
        <f t="shared" si="9"/>
        <v>0</v>
      </c>
      <c r="I259" s="561"/>
      <c r="J259" s="926" t="s">
        <v>1526</v>
      </c>
      <c r="K259" s="561"/>
    </row>
    <row r="260" spans="1:11" outlineLevel="1" x14ac:dyDescent="0.35">
      <c r="A260" s="52" t="s">
        <v>124</v>
      </c>
      <c r="B260" s="3" t="s">
        <v>1527</v>
      </c>
      <c r="C260" s="2"/>
      <c r="D260" s="52" t="s">
        <v>1528</v>
      </c>
      <c r="E260" s="561"/>
      <c r="F260" s="561"/>
      <c r="G260" s="561"/>
      <c r="H260" s="485">
        <f t="shared" si="9"/>
        <v>0</v>
      </c>
      <c r="I260" s="561"/>
      <c r="J260" s="926"/>
      <c r="K260" s="561"/>
    </row>
    <row r="261" spans="1:11" outlineLevel="1" x14ac:dyDescent="0.35">
      <c r="A261" s="52" t="s">
        <v>162</v>
      </c>
      <c r="B261" s="3" t="s">
        <v>1518</v>
      </c>
      <c r="C261" s="2" t="s">
        <v>56</v>
      </c>
      <c r="D261" s="52" t="s">
        <v>1519</v>
      </c>
      <c r="E261" s="561"/>
      <c r="F261" s="561">
        <f>106.24*24</f>
        <v>2549.7599999999998</v>
      </c>
      <c r="G261" s="561"/>
      <c r="H261" s="485">
        <f t="shared" si="9"/>
        <v>849.92</v>
      </c>
      <c r="I261" s="561"/>
      <c r="J261" s="926" t="s">
        <v>1525</v>
      </c>
      <c r="K261" s="561"/>
    </row>
    <row r="262" spans="1:11" outlineLevel="1" x14ac:dyDescent="0.35">
      <c r="A262" s="52" t="s">
        <v>202</v>
      </c>
      <c r="B262" s="3" t="s">
        <v>1545</v>
      </c>
      <c r="C262" s="2" t="s">
        <v>56</v>
      </c>
      <c r="D262" s="52" t="s">
        <v>1519</v>
      </c>
      <c r="E262" s="561"/>
      <c r="F262" s="561"/>
      <c r="G262" s="561"/>
      <c r="H262" s="485">
        <f t="shared" si="9"/>
        <v>0</v>
      </c>
      <c r="I262" s="561"/>
      <c r="J262" s="926" t="s">
        <v>1530</v>
      </c>
      <c r="K262" s="561"/>
    </row>
    <row r="263" spans="1:11" ht="43.5" customHeight="1" outlineLevel="1" x14ac:dyDescent="0.35">
      <c r="A263" s="52" t="s">
        <v>203</v>
      </c>
      <c r="B263" s="3" t="s">
        <v>1531</v>
      </c>
      <c r="C263" s="2" t="s">
        <v>56</v>
      </c>
      <c r="D263" s="52" t="s">
        <v>1519</v>
      </c>
      <c r="E263" s="561"/>
      <c r="F263" s="561"/>
      <c r="G263" s="561">
        <f>G262-G261</f>
        <v>0</v>
      </c>
      <c r="H263" s="485">
        <f t="shared" si="9"/>
        <v>0</v>
      </c>
      <c r="I263" s="561"/>
      <c r="J263" s="926" t="s">
        <v>1532</v>
      </c>
      <c r="K263" s="561"/>
    </row>
    <row r="264" spans="1:11" outlineLevel="1" x14ac:dyDescent="0.35">
      <c r="A264" s="52" t="s">
        <v>225</v>
      </c>
      <c r="B264" s="3" t="s">
        <v>1533</v>
      </c>
      <c r="C264" s="2" t="s">
        <v>56</v>
      </c>
      <c r="D264" s="52" t="s">
        <v>1519</v>
      </c>
      <c r="E264" s="561"/>
      <c r="F264" s="561"/>
      <c r="G264" s="561"/>
      <c r="H264" s="485">
        <f t="shared" si="9"/>
        <v>0</v>
      </c>
      <c r="I264" s="561"/>
      <c r="J264" s="561"/>
      <c r="K264" s="561"/>
    </row>
    <row r="265" spans="1:11" ht="29" customHeight="1" outlineLevel="1" x14ac:dyDescent="0.35">
      <c r="A265" s="52" t="s">
        <v>229</v>
      </c>
      <c r="B265" s="3" t="s">
        <v>1534</v>
      </c>
      <c r="C265" s="2" t="s">
        <v>56</v>
      </c>
      <c r="D265" s="52" t="s">
        <v>1519</v>
      </c>
      <c r="E265" s="561"/>
      <c r="F265" s="561"/>
      <c r="G265" s="561"/>
      <c r="H265" s="485">
        <f t="shared" si="9"/>
        <v>0</v>
      </c>
      <c r="I265" s="561"/>
      <c r="J265" s="561"/>
      <c r="K265" s="561"/>
    </row>
    <row r="266" spans="1:11" ht="30.65" customHeight="1" outlineLevel="1" x14ac:dyDescent="0.35">
      <c r="A266" s="593" t="s">
        <v>233</v>
      </c>
      <c r="B266" s="594" t="s">
        <v>1535</v>
      </c>
      <c r="C266" s="564" t="s">
        <v>1546</v>
      </c>
      <c r="D266" s="593" t="s">
        <v>1049</v>
      </c>
      <c r="E266" s="595">
        <f>IFERROR(E258*100/E261,0)</f>
        <v>0</v>
      </c>
      <c r="F266" s="595">
        <f>IFERROR(F258*100/F261,0)</f>
        <v>0</v>
      </c>
      <c r="G266" s="595">
        <f>IFERROR(G258*100/G261,0)</f>
        <v>0</v>
      </c>
      <c r="H266" s="595">
        <f>IFERROR(H258*100/H261,0)</f>
        <v>0</v>
      </c>
      <c r="I266" s="595">
        <f>IFERROR(I258*100/I261,0)</f>
        <v>0</v>
      </c>
      <c r="J266" s="628"/>
      <c r="K266" s="628"/>
    </row>
    <row r="267" spans="1:11" ht="29" customHeight="1" outlineLevel="1" x14ac:dyDescent="0.35">
      <c r="A267" s="593" t="s">
        <v>238</v>
      </c>
      <c r="B267" s="594" t="s">
        <v>1537</v>
      </c>
      <c r="C267" s="564" t="s">
        <v>1547</v>
      </c>
      <c r="D267" s="593"/>
      <c r="E267" s="595">
        <f>IFERROR((E262-E263)/E262,0)</f>
        <v>0</v>
      </c>
      <c r="F267" s="595">
        <f>IFERROR((F262-F263)/F262,0)</f>
        <v>0</v>
      </c>
      <c r="G267" s="595">
        <f>IFERROR((G262-G263)/G262,0)</f>
        <v>0</v>
      </c>
      <c r="H267" s="595">
        <f>IFERROR((H262-H263)/H262,0)</f>
        <v>0</v>
      </c>
      <c r="I267" s="595">
        <f>IFERROR((I262-I263)/I262,0)</f>
        <v>0</v>
      </c>
      <c r="J267" s="628"/>
      <c r="K267" s="628"/>
    </row>
    <row r="268" spans="1:11" ht="52.4" customHeight="1" outlineLevel="1" x14ac:dyDescent="0.35">
      <c r="A268" s="593" t="s">
        <v>317</v>
      </c>
      <c r="B268" s="594" t="s">
        <v>1539</v>
      </c>
      <c r="C268" s="821" t="s">
        <v>1548</v>
      </c>
      <c r="D268" s="593" t="s">
        <v>1057</v>
      </c>
      <c r="E268" s="595">
        <f>IFERROR(E258*100*100/(E257*E262*E267),0)</f>
        <v>0</v>
      </c>
      <c r="F268" s="595">
        <f>IFERROR(F258*100*100/(F257*F262*F267),0)</f>
        <v>0</v>
      </c>
      <c r="G268" s="595">
        <f>IFERROR(G258*100*100/(G257*G262*G267),0)</f>
        <v>0</v>
      </c>
      <c r="H268" s="595">
        <f>IFERROR(H258*100*100/(H257*H262*H267),0)</f>
        <v>0</v>
      </c>
      <c r="I268" s="595">
        <f>IFERROR(I258*100*100/(I257*I262*I267),0)</f>
        <v>0</v>
      </c>
      <c r="J268" s="628"/>
      <c r="K268" s="628"/>
    </row>
    <row r="269" spans="1:11" ht="29" customHeight="1" outlineLevel="1" x14ac:dyDescent="0.35">
      <c r="A269" s="593" t="s">
        <v>319</v>
      </c>
      <c r="B269" s="594" t="s">
        <v>1541</v>
      </c>
      <c r="C269" s="564" t="s">
        <v>1549</v>
      </c>
      <c r="D269" s="593" t="s">
        <v>1057</v>
      </c>
      <c r="E269" s="595">
        <f>IFERROR(E265*100/(E264+E265),0)</f>
        <v>0</v>
      </c>
      <c r="F269" s="595">
        <f>IFERROR(F265*100/(F264+F265),0)</f>
        <v>0</v>
      </c>
      <c r="G269" s="595">
        <f>IFERROR(G265*100/(G264+G265),0)</f>
        <v>0</v>
      </c>
      <c r="H269" s="595">
        <f>IFERROR(H265*100/(H264+H265),0)</f>
        <v>0</v>
      </c>
      <c r="I269" s="595">
        <f>IFERROR(I265*100/(I264+I265),0)</f>
        <v>0</v>
      </c>
      <c r="J269" s="628"/>
      <c r="K269" s="628"/>
    </row>
    <row r="270" spans="1:11" x14ac:dyDescent="0.35">
      <c r="A270" s="543"/>
      <c r="B270" s="597"/>
      <c r="C270" s="580"/>
      <c r="D270" s="543"/>
      <c r="E270" s="543"/>
      <c r="F270" s="543"/>
      <c r="G270" s="598"/>
      <c r="H270" s="596"/>
      <c r="I270" s="596"/>
      <c r="J270" s="628"/>
      <c r="K270" s="628"/>
    </row>
    <row r="271" spans="1:11" x14ac:dyDescent="0.35">
      <c r="A271" s="590" t="s">
        <v>1550</v>
      </c>
      <c r="B271" s="591" t="s">
        <v>1551</v>
      </c>
      <c r="C271" s="592"/>
      <c r="D271" s="259"/>
      <c r="E271" s="259"/>
      <c r="F271" s="259"/>
      <c r="G271" s="584"/>
      <c r="H271" s="789"/>
      <c r="I271" s="586"/>
      <c r="J271" s="586"/>
      <c r="K271" s="586"/>
    </row>
    <row r="272" spans="1:11" x14ac:dyDescent="0.35">
      <c r="A272" s="917" t="s">
        <v>110</v>
      </c>
      <c r="B272" s="918" t="s">
        <v>1511</v>
      </c>
      <c r="C272" s="919"/>
      <c r="D272" s="919" t="s">
        <v>1512</v>
      </c>
      <c r="E272" s="920"/>
      <c r="F272" s="920"/>
      <c r="G272" s="920"/>
      <c r="H272" s="921"/>
      <c r="I272" s="920"/>
      <c r="J272" s="31"/>
      <c r="K272" s="637"/>
    </row>
    <row r="273" spans="1:11" outlineLevel="1" x14ac:dyDescent="0.35">
      <c r="A273" s="52" t="s">
        <v>115</v>
      </c>
      <c r="B273" s="3" t="s">
        <v>1513</v>
      </c>
      <c r="C273" s="820"/>
      <c r="D273" s="52" t="s">
        <v>1049</v>
      </c>
      <c r="E273" s="561"/>
      <c r="F273" s="561"/>
      <c r="G273" s="561"/>
      <c r="H273" s="485">
        <f t="shared" ref="H273:H281" si="10">IF(K$8=1,E273,IF(K$8=2,(E273+F273)/2,(E273+F273+G273)/3))</f>
        <v>0</v>
      </c>
      <c r="I273" s="32"/>
      <c r="J273" s="927" t="s">
        <v>1212</v>
      </c>
      <c r="K273" s="32"/>
    </row>
    <row r="274" spans="1:11" outlineLevel="1" x14ac:dyDescent="0.35">
      <c r="A274" s="52" t="s">
        <v>118</v>
      </c>
      <c r="B274" s="3" t="s">
        <v>1524</v>
      </c>
      <c r="C274" s="2" t="s">
        <v>56</v>
      </c>
      <c r="D274" s="52" t="s">
        <v>1336</v>
      </c>
      <c r="E274" s="561"/>
      <c r="F274" s="561"/>
      <c r="G274" s="561">
        <f>139607000/100000</f>
        <v>1396.07</v>
      </c>
      <c r="H274" s="485">
        <f t="shared" si="10"/>
        <v>465.35666666666663</v>
      </c>
      <c r="I274" s="32"/>
      <c r="J274" s="926" t="s">
        <v>1525</v>
      </c>
      <c r="K274" s="32"/>
    </row>
    <row r="275" spans="1:11" outlineLevel="1" x14ac:dyDescent="0.35">
      <c r="A275" s="52" t="s">
        <v>121</v>
      </c>
      <c r="B275" s="3" t="s">
        <v>1064</v>
      </c>
      <c r="C275" s="2" t="s">
        <v>56</v>
      </c>
      <c r="D275" s="52" t="s">
        <v>1057</v>
      </c>
      <c r="E275" s="561"/>
      <c r="F275" s="561"/>
      <c r="G275" s="561"/>
      <c r="H275" s="485">
        <f t="shared" si="10"/>
        <v>0</v>
      </c>
      <c r="I275" s="32"/>
      <c r="J275" s="926" t="s">
        <v>1526</v>
      </c>
      <c r="K275" s="32"/>
    </row>
    <row r="276" spans="1:11" outlineLevel="1" x14ac:dyDescent="0.35">
      <c r="A276" s="52" t="s">
        <v>124</v>
      </c>
      <c r="B276" s="3" t="s">
        <v>1527</v>
      </c>
      <c r="C276" s="2"/>
      <c r="D276" s="52" t="s">
        <v>1528</v>
      </c>
      <c r="E276" s="561"/>
      <c r="F276" s="561"/>
      <c r="G276" s="561"/>
      <c r="H276" s="485">
        <f t="shared" si="10"/>
        <v>0</v>
      </c>
      <c r="I276" s="32"/>
      <c r="J276" s="926"/>
      <c r="K276" s="32"/>
    </row>
    <row r="277" spans="1:11" outlineLevel="1" x14ac:dyDescent="0.35">
      <c r="A277" s="52" t="s">
        <v>162</v>
      </c>
      <c r="B277" s="3" t="s">
        <v>1518</v>
      </c>
      <c r="C277" s="2" t="s">
        <v>56</v>
      </c>
      <c r="D277" s="52" t="s">
        <v>1519</v>
      </c>
      <c r="E277" s="561"/>
      <c r="F277" s="561"/>
      <c r="G277" s="561"/>
      <c r="H277" s="485">
        <f t="shared" si="10"/>
        <v>0</v>
      </c>
      <c r="I277" s="32"/>
      <c r="J277" s="926" t="s">
        <v>1525</v>
      </c>
      <c r="K277" s="32"/>
    </row>
    <row r="278" spans="1:11" outlineLevel="1" x14ac:dyDescent="0.35">
      <c r="A278" s="52" t="s">
        <v>202</v>
      </c>
      <c r="B278" s="3" t="s">
        <v>1529</v>
      </c>
      <c r="C278" s="2" t="s">
        <v>56</v>
      </c>
      <c r="D278" s="52" t="s">
        <v>1519</v>
      </c>
      <c r="E278" s="561"/>
      <c r="F278" s="561"/>
      <c r="G278" s="561"/>
      <c r="H278" s="485">
        <f t="shared" si="10"/>
        <v>0</v>
      </c>
      <c r="I278" s="32"/>
      <c r="J278" s="926" t="s">
        <v>1530</v>
      </c>
      <c r="K278" s="32"/>
    </row>
    <row r="279" spans="1:11" ht="43.5" customHeight="1" outlineLevel="1" x14ac:dyDescent="0.35">
      <c r="A279" s="52" t="s">
        <v>203</v>
      </c>
      <c r="B279" s="3" t="s">
        <v>1531</v>
      </c>
      <c r="C279" s="2" t="s">
        <v>56</v>
      </c>
      <c r="D279" s="52" t="s">
        <v>1519</v>
      </c>
      <c r="E279" s="561"/>
      <c r="F279" s="561"/>
      <c r="G279" s="561">
        <f>G278-G277</f>
        <v>0</v>
      </c>
      <c r="H279" s="485">
        <f t="shared" si="10"/>
        <v>0</v>
      </c>
      <c r="I279" s="32"/>
      <c r="J279" s="926" t="s">
        <v>1532</v>
      </c>
      <c r="K279" s="32"/>
    </row>
    <row r="280" spans="1:11" outlineLevel="1" x14ac:dyDescent="0.35">
      <c r="A280" s="52" t="s">
        <v>225</v>
      </c>
      <c r="B280" s="3" t="s">
        <v>1533</v>
      </c>
      <c r="C280" s="2" t="s">
        <v>56</v>
      </c>
      <c r="D280" s="52" t="s">
        <v>1519</v>
      </c>
      <c r="E280" s="561"/>
      <c r="F280" s="561"/>
      <c r="G280" s="561"/>
      <c r="H280" s="485">
        <f t="shared" si="10"/>
        <v>0</v>
      </c>
      <c r="I280" s="32"/>
      <c r="J280" s="561"/>
      <c r="K280" s="32"/>
    </row>
    <row r="281" spans="1:11" ht="29" customHeight="1" outlineLevel="1" x14ac:dyDescent="0.35">
      <c r="A281" s="52" t="s">
        <v>229</v>
      </c>
      <c r="B281" s="3" t="s">
        <v>1534</v>
      </c>
      <c r="C281" s="2" t="s">
        <v>56</v>
      </c>
      <c r="D281" s="52" t="s">
        <v>1519</v>
      </c>
      <c r="E281" s="561"/>
      <c r="F281" s="561"/>
      <c r="G281" s="561"/>
      <c r="H281" s="485">
        <f t="shared" si="10"/>
        <v>0</v>
      </c>
      <c r="I281" s="32"/>
      <c r="J281" s="561"/>
      <c r="K281" s="32"/>
    </row>
    <row r="282" spans="1:11" ht="39" customHeight="1" outlineLevel="1" x14ac:dyDescent="0.35">
      <c r="A282" s="593" t="s">
        <v>233</v>
      </c>
      <c r="B282" s="594" t="s">
        <v>1535</v>
      </c>
      <c r="C282" s="564" t="s">
        <v>1552</v>
      </c>
      <c r="D282" s="593" t="s">
        <v>1049</v>
      </c>
      <c r="E282" s="595">
        <f>IFERROR(E274*100/E277,0)</f>
        <v>0</v>
      </c>
      <c r="F282" s="595">
        <f>IFERROR(F274*100/F277,0)</f>
        <v>0</v>
      </c>
      <c r="G282" s="595">
        <f>IFERROR(G274*100/G277,0)</f>
        <v>0</v>
      </c>
      <c r="H282" s="595">
        <f>IFERROR(H274*100/H277,0)</f>
        <v>0</v>
      </c>
      <c r="I282" s="595">
        <f>IFERROR(I274*100/I277,0)</f>
        <v>0</v>
      </c>
      <c r="J282" s="628"/>
      <c r="K282" s="628"/>
    </row>
    <row r="283" spans="1:11" ht="29" customHeight="1" outlineLevel="1" x14ac:dyDescent="0.35">
      <c r="A283" s="593" t="s">
        <v>238</v>
      </c>
      <c r="B283" s="594" t="s">
        <v>1537</v>
      </c>
      <c r="C283" s="564" t="s">
        <v>1553</v>
      </c>
      <c r="D283" s="593"/>
      <c r="E283" s="595">
        <f>IFERROR((E278-E279)/E278,0)</f>
        <v>0</v>
      </c>
      <c r="F283" s="595">
        <f>IFERROR((F278-F279)/F278,0)</f>
        <v>0</v>
      </c>
      <c r="G283" s="595">
        <f>IFERROR((G278-G279)/G278,0)</f>
        <v>0</v>
      </c>
      <c r="H283" s="595">
        <f>IFERROR((H278-H279)/H278,0)</f>
        <v>0</v>
      </c>
      <c r="I283" s="595">
        <f>IFERROR((I278-I279)/I278,0)</f>
        <v>0</v>
      </c>
      <c r="J283" s="628"/>
      <c r="K283" s="628"/>
    </row>
    <row r="284" spans="1:11" ht="39" customHeight="1" outlineLevel="1" x14ac:dyDescent="0.35">
      <c r="A284" s="593" t="s">
        <v>317</v>
      </c>
      <c r="B284" s="594" t="s">
        <v>1539</v>
      </c>
      <c r="C284" s="821" t="s">
        <v>1554</v>
      </c>
      <c r="D284" s="593" t="s">
        <v>1057</v>
      </c>
      <c r="E284" s="595">
        <f>IFERROR(E274*100*100/(E273*E278*E283),0)</f>
        <v>0</v>
      </c>
      <c r="F284" s="595">
        <f>IFERROR(F274*100*100/(F273*F278*F283),0)</f>
        <v>0</v>
      </c>
      <c r="G284" s="595">
        <f>IFERROR(G274*100*100/(G273*G278*G283),0)</f>
        <v>0</v>
      </c>
      <c r="H284" s="595">
        <f>IFERROR(H274*100*100/(H273*H278*H283),0)</f>
        <v>0</v>
      </c>
      <c r="I284" s="595">
        <f>IFERROR(I274*100*100/(I273*I278*I283),0)</f>
        <v>0</v>
      </c>
      <c r="J284" s="628"/>
      <c r="K284" s="628"/>
    </row>
    <row r="285" spans="1:11" ht="29" customHeight="1" outlineLevel="1" x14ac:dyDescent="0.35">
      <c r="A285" s="593" t="s">
        <v>319</v>
      </c>
      <c r="B285" s="594" t="s">
        <v>1541</v>
      </c>
      <c r="C285" s="564" t="s">
        <v>1555</v>
      </c>
      <c r="D285" s="593" t="s">
        <v>1057</v>
      </c>
      <c r="E285" s="595">
        <f>IFERROR(E281*100/(E280+E281),0)</f>
        <v>0</v>
      </c>
      <c r="F285" s="595">
        <f>IFERROR(F281*100/(F280+F281),0)</f>
        <v>0</v>
      </c>
      <c r="G285" s="595">
        <f>IFERROR(G281*100/(G280+G281),0)</f>
        <v>0</v>
      </c>
      <c r="H285" s="595">
        <f>IFERROR(H281*100/(H280+H281),0)</f>
        <v>0</v>
      </c>
      <c r="I285" s="595">
        <f>IFERROR(I281*100/(I280+I281),0)</f>
        <v>0</v>
      </c>
      <c r="J285" s="628"/>
      <c r="K285" s="628"/>
    </row>
    <row r="286" spans="1:11" x14ac:dyDescent="0.35">
      <c r="A286" s="543"/>
      <c r="B286" s="597"/>
      <c r="C286" s="580"/>
      <c r="D286" s="543"/>
      <c r="E286" s="543"/>
      <c r="F286" s="543"/>
      <c r="G286" s="598"/>
      <c r="H286" s="596"/>
      <c r="I286" s="596"/>
      <c r="J286" s="628"/>
      <c r="K286" s="628"/>
    </row>
    <row r="287" spans="1:11" x14ac:dyDescent="0.35">
      <c r="A287" s="590" t="s">
        <v>1556</v>
      </c>
      <c r="B287" s="591" t="s">
        <v>1557</v>
      </c>
      <c r="C287" s="592"/>
      <c r="D287" s="259"/>
      <c r="E287" s="259"/>
      <c r="F287" s="259"/>
      <c r="G287" s="584"/>
      <c r="H287" s="789"/>
      <c r="I287" s="586"/>
      <c r="J287" s="586"/>
      <c r="K287" s="586"/>
    </row>
    <row r="288" spans="1:11" x14ac:dyDescent="0.35">
      <c r="A288" s="917" t="s">
        <v>110</v>
      </c>
      <c r="B288" s="918" t="s">
        <v>1511</v>
      </c>
      <c r="C288" s="919"/>
      <c r="D288" s="919" t="s">
        <v>1512</v>
      </c>
      <c r="E288" s="920"/>
      <c r="F288" s="920"/>
      <c r="G288" s="920"/>
      <c r="H288" s="921"/>
      <c r="I288" s="920"/>
      <c r="J288" s="31"/>
      <c r="K288" s="637"/>
    </row>
    <row r="289" spans="1:11" outlineLevel="1" x14ac:dyDescent="0.35">
      <c r="A289" s="52" t="s">
        <v>115</v>
      </c>
      <c r="B289" s="3" t="s">
        <v>1513</v>
      </c>
      <c r="C289" s="820"/>
      <c r="D289" s="52" t="s">
        <v>1049</v>
      </c>
      <c r="E289" s="561"/>
      <c r="F289" s="561"/>
      <c r="G289" s="561"/>
      <c r="H289" s="485">
        <f t="shared" ref="H289:H297" si="11">IF(K$8=1,E289,IF(K$8=2,(E289+F289)/2,(E289+F289+G289)/3))</f>
        <v>0</v>
      </c>
      <c r="I289" s="32"/>
      <c r="J289" s="927" t="s">
        <v>1212</v>
      </c>
      <c r="K289" s="32"/>
    </row>
    <row r="290" spans="1:11" outlineLevel="1" x14ac:dyDescent="0.35">
      <c r="A290" s="52" t="s">
        <v>118</v>
      </c>
      <c r="B290" s="3" t="s">
        <v>1524</v>
      </c>
      <c r="C290" s="2" t="s">
        <v>56</v>
      </c>
      <c r="D290" s="52" t="s">
        <v>1336</v>
      </c>
      <c r="E290" s="561"/>
      <c r="F290" s="561"/>
      <c r="G290" s="561">
        <f>146377000/100000</f>
        <v>1463.77</v>
      </c>
      <c r="H290" s="485">
        <f t="shared" si="11"/>
        <v>487.92333333333335</v>
      </c>
      <c r="I290" s="32"/>
      <c r="J290" s="926" t="s">
        <v>1525</v>
      </c>
      <c r="K290" s="32"/>
    </row>
    <row r="291" spans="1:11" outlineLevel="1" x14ac:dyDescent="0.35">
      <c r="A291" s="52" t="s">
        <v>121</v>
      </c>
      <c r="B291" s="3" t="s">
        <v>1064</v>
      </c>
      <c r="C291" s="2" t="s">
        <v>56</v>
      </c>
      <c r="D291" s="52" t="s">
        <v>1057</v>
      </c>
      <c r="E291" s="561"/>
      <c r="F291" s="561"/>
      <c r="G291" s="561"/>
      <c r="H291" s="485">
        <f t="shared" si="11"/>
        <v>0</v>
      </c>
      <c r="I291" s="32"/>
      <c r="J291" s="926" t="s">
        <v>1526</v>
      </c>
      <c r="K291" s="32"/>
    </row>
    <row r="292" spans="1:11" outlineLevel="1" x14ac:dyDescent="0.35">
      <c r="A292" s="52" t="s">
        <v>124</v>
      </c>
      <c r="B292" s="3" t="s">
        <v>1527</v>
      </c>
      <c r="C292" s="2"/>
      <c r="D292" s="52" t="s">
        <v>1528</v>
      </c>
      <c r="E292" s="561"/>
      <c r="F292" s="561"/>
      <c r="G292" s="561"/>
      <c r="H292" s="485">
        <f t="shared" si="11"/>
        <v>0</v>
      </c>
      <c r="I292" s="32"/>
      <c r="J292" s="926"/>
      <c r="K292" s="32"/>
    </row>
    <row r="293" spans="1:11" outlineLevel="1" x14ac:dyDescent="0.35">
      <c r="A293" s="52" t="s">
        <v>162</v>
      </c>
      <c r="B293" s="3" t="s">
        <v>1518</v>
      </c>
      <c r="C293" s="2" t="s">
        <v>56</v>
      </c>
      <c r="D293" s="52" t="s">
        <v>1519</v>
      </c>
      <c r="E293" s="561"/>
      <c r="F293" s="561"/>
      <c r="G293" s="561"/>
      <c r="H293" s="485">
        <f t="shared" si="11"/>
        <v>0</v>
      </c>
      <c r="I293" s="32"/>
      <c r="J293" s="926" t="s">
        <v>1525</v>
      </c>
      <c r="K293" s="32"/>
    </row>
    <row r="294" spans="1:11" outlineLevel="1" x14ac:dyDescent="0.35">
      <c r="A294" s="52" t="s">
        <v>202</v>
      </c>
      <c r="B294" s="3" t="s">
        <v>1529</v>
      </c>
      <c r="C294" s="2" t="s">
        <v>56</v>
      </c>
      <c r="D294" s="52" t="s">
        <v>1519</v>
      </c>
      <c r="E294" s="561"/>
      <c r="F294" s="561"/>
      <c r="G294" s="561"/>
      <c r="H294" s="485">
        <f t="shared" si="11"/>
        <v>0</v>
      </c>
      <c r="I294" s="32"/>
      <c r="J294" s="926" t="s">
        <v>1530</v>
      </c>
      <c r="K294" s="32"/>
    </row>
    <row r="295" spans="1:11" ht="43.5" customHeight="1" outlineLevel="1" x14ac:dyDescent="0.35">
      <c r="A295" s="52" t="s">
        <v>203</v>
      </c>
      <c r="B295" s="3" t="s">
        <v>1531</v>
      </c>
      <c r="C295" s="2" t="s">
        <v>56</v>
      </c>
      <c r="D295" s="52" t="s">
        <v>1519</v>
      </c>
      <c r="E295" s="561"/>
      <c r="F295" s="561"/>
      <c r="G295" s="561">
        <f>G294-G293</f>
        <v>0</v>
      </c>
      <c r="H295" s="485">
        <f t="shared" si="11"/>
        <v>0</v>
      </c>
      <c r="I295" s="32"/>
      <c r="J295" s="926" t="s">
        <v>1532</v>
      </c>
      <c r="K295" s="32"/>
    </row>
    <row r="296" spans="1:11" outlineLevel="1" x14ac:dyDescent="0.35">
      <c r="A296" s="52" t="s">
        <v>225</v>
      </c>
      <c r="B296" s="3" t="s">
        <v>1533</v>
      </c>
      <c r="C296" s="2" t="s">
        <v>56</v>
      </c>
      <c r="D296" s="52" t="s">
        <v>1519</v>
      </c>
      <c r="E296" s="561"/>
      <c r="F296" s="561"/>
      <c r="G296" s="561"/>
      <c r="H296" s="485">
        <f t="shared" si="11"/>
        <v>0</v>
      </c>
      <c r="I296" s="32"/>
      <c r="J296" s="561"/>
      <c r="K296" s="32"/>
    </row>
    <row r="297" spans="1:11" ht="29" customHeight="1" outlineLevel="1" x14ac:dyDescent="0.35">
      <c r="A297" s="52" t="s">
        <v>229</v>
      </c>
      <c r="B297" s="3" t="s">
        <v>1534</v>
      </c>
      <c r="C297" s="2" t="s">
        <v>56</v>
      </c>
      <c r="D297" s="52" t="s">
        <v>1519</v>
      </c>
      <c r="E297" s="561"/>
      <c r="F297" s="561"/>
      <c r="G297" s="561"/>
      <c r="H297" s="485">
        <f t="shared" si="11"/>
        <v>0</v>
      </c>
      <c r="I297" s="32"/>
      <c r="J297" s="561"/>
      <c r="K297" s="32"/>
    </row>
    <row r="298" spans="1:11" ht="32.5" customHeight="1" outlineLevel="1" x14ac:dyDescent="0.35">
      <c r="A298" s="593" t="s">
        <v>233</v>
      </c>
      <c r="B298" s="594" t="s">
        <v>1535</v>
      </c>
      <c r="C298" s="564" t="s">
        <v>1558</v>
      </c>
      <c r="D298" s="593" t="s">
        <v>1049</v>
      </c>
      <c r="E298" s="595">
        <f>IFERROR(E290*100/E293,0)</f>
        <v>0</v>
      </c>
      <c r="F298" s="595">
        <f>IFERROR(F290*100/F293,0)</f>
        <v>0</v>
      </c>
      <c r="G298" s="595">
        <f>IFERROR(G290*100/G293,0)</f>
        <v>0</v>
      </c>
      <c r="H298" s="595">
        <f>IFERROR(H290*100/H293,0)</f>
        <v>0</v>
      </c>
      <c r="I298" s="595">
        <f>IFERROR(I290*100/I293,0)</f>
        <v>0</v>
      </c>
      <c r="J298" s="628"/>
      <c r="K298" s="628"/>
    </row>
    <row r="299" spans="1:11" ht="29" customHeight="1" outlineLevel="1" x14ac:dyDescent="0.35">
      <c r="A299" s="593" t="s">
        <v>238</v>
      </c>
      <c r="B299" s="594" t="s">
        <v>1537</v>
      </c>
      <c r="C299" s="564" t="s">
        <v>1559</v>
      </c>
      <c r="D299" s="593"/>
      <c r="E299" s="595">
        <f>IFERROR((E294-E295)/E294,0)</f>
        <v>0</v>
      </c>
      <c r="F299" s="595">
        <f>IFERROR((F294-F295)/F294,0)</f>
        <v>0</v>
      </c>
      <c r="G299" s="595">
        <f>IFERROR((G294-G295)/G294,0)</f>
        <v>0</v>
      </c>
      <c r="H299" s="595">
        <f>IFERROR((H294-H295)/H294,0)</f>
        <v>0</v>
      </c>
      <c r="I299" s="595">
        <f>IFERROR((I294-I295)/I294,0)</f>
        <v>0</v>
      </c>
      <c r="J299" s="628"/>
      <c r="K299" s="628"/>
    </row>
    <row r="300" spans="1:11" ht="39" customHeight="1" outlineLevel="1" x14ac:dyDescent="0.35">
      <c r="A300" s="593" t="s">
        <v>317</v>
      </c>
      <c r="B300" s="594" t="s">
        <v>1539</v>
      </c>
      <c r="C300" s="821" t="s">
        <v>1560</v>
      </c>
      <c r="D300" s="593" t="s">
        <v>1057</v>
      </c>
      <c r="E300" s="595">
        <f>IFERROR(E290*100*100/(E289*E294*E299),0)</f>
        <v>0</v>
      </c>
      <c r="F300" s="595">
        <f>IFERROR(F290*100*100/(F289*F294*F299),0)</f>
        <v>0</v>
      </c>
      <c r="G300" s="595">
        <f>IFERROR(G290*100*100/(G289*G294*G299),0)</f>
        <v>0</v>
      </c>
      <c r="H300" s="595">
        <f>IFERROR(H290*100*100/(H289*H294*H299),0)</f>
        <v>0</v>
      </c>
      <c r="I300" s="595">
        <f>IFERROR(I290*100*100/(I289*I294*I299),0)</f>
        <v>0</v>
      </c>
      <c r="J300" s="628"/>
      <c r="K300" s="628"/>
    </row>
    <row r="301" spans="1:11" ht="29" customHeight="1" outlineLevel="1" x14ac:dyDescent="0.35">
      <c r="A301" s="593" t="s">
        <v>319</v>
      </c>
      <c r="B301" s="594" t="s">
        <v>1541</v>
      </c>
      <c r="C301" s="564" t="s">
        <v>1561</v>
      </c>
      <c r="D301" s="593" t="s">
        <v>1057</v>
      </c>
      <c r="E301" s="595">
        <f>IFERROR(E297*100/(E296+E297),0)</f>
        <v>0</v>
      </c>
      <c r="F301" s="595">
        <f>IFERROR(F297*100/(F296+F297),0)</f>
        <v>0</v>
      </c>
      <c r="G301" s="595">
        <f>IFERROR(G297*100/(G296+G297),0)</f>
        <v>0</v>
      </c>
      <c r="H301" s="595">
        <f>IFERROR(H297*100/(H296+H297),0)</f>
        <v>0</v>
      </c>
      <c r="I301" s="595">
        <f>IFERROR(I297*100/(I296+I297),0)</f>
        <v>0</v>
      </c>
      <c r="J301" s="628"/>
      <c r="K301" s="628"/>
    </row>
    <row r="302" spans="1:11" x14ac:dyDescent="0.35">
      <c r="A302" s="543"/>
      <c r="B302" s="597"/>
      <c r="C302" s="580"/>
      <c r="D302" s="543"/>
      <c r="E302" s="543"/>
      <c r="F302" s="543"/>
      <c r="G302" s="598"/>
      <c r="H302" s="596"/>
      <c r="I302" s="596"/>
      <c r="J302" s="628"/>
      <c r="K302" s="628"/>
    </row>
    <row r="303" spans="1:11" x14ac:dyDescent="0.35">
      <c r="A303" s="590" t="s">
        <v>1562</v>
      </c>
      <c r="B303" s="591" t="s">
        <v>1563</v>
      </c>
      <c r="C303" s="592"/>
      <c r="D303" s="259"/>
      <c r="E303" s="259"/>
      <c r="F303" s="259"/>
      <c r="G303" s="584"/>
      <c r="H303" s="789"/>
      <c r="I303" s="586"/>
      <c r="J303" s="586"/>
      <c r="K303" s="586"/>
    </row>
    <row r="304" spans="1:11" x14ac:dyDescent="0.35">
      <c r="A304" s="917" t="s">
        <v>110</v>
      </c>
      <c r="B304" s="918" t="s">
        <v>1511</v>
      </c>
      <c r="C304" s="919"/>
      <c r="D304" s="919" t="s">
        <v>1512</v>
      </c>
      <c r="E304" s="920"/>
      <c r="F304" s="920"/>
      <c r="G304" s="920"/>
      <c r="H304" s="921"/>
      <c r="I304" s="920"/>
      <c r="J304" s="31"/>
      <c r="K304" s="637"/>
    </row>
    <row r="305" spans="1:11" outlineLevel="1" x14ac:dyDescent="0.35">
      <c r="A305" s="52" t="s">
        <v>115</v>
      </c>
      <c r="B305" s="3" t="s">
        <v>1513</v>
      </c>
      <c r="C305" s="820"/>
      <c r="D305" s="52" t="s">
        <v>1049</v>
      </c>
      <c r="E305" s="561"/>
      <c r="F305" s="561"/>
      <c r="G305" s="561"/>
      <c r="H305" s="485">
        <f t="shared" ref="H305:H313" si="12">IF(K$8=1,E305,IF(K$8=2,(E305+F305)/2,(E305+F305+G305)/3))</f>
        <v>0</v>
      </c>
      <c r="I305" s="32"/>
      <c r="J305" s="561"/>
      <c r="K305" s="32"/>
    </row>
    <row r="306" spans="1:11" outlineLevel="1" x14ac:dyDescent="0.35">
      <c r="A306" s="52" t="s">
        <v>118</v>
      </c>
      <c r="B306" s="3" t="s">
        <v>1524</v>
      </c>
      <c r="C306" s="2" t="s">
        <v>56</v>
      </c>
      <c r="D306" s="52" t="s">
        <v>1336</v>
      </c>
      <c r="E306" s="561"/>
      <c r="F306" s="561"/>
      <c r="G306" s="561"/>
      <c r="H306" s="485">
        <f t="shared" si="12"/>
        <v>0</v>
      </c>
      <c r="I306" s="32"/>
      <c r="J306" s="561"/>
      <c r="K306" s="32"/>
    </row>
    <row r="307" spans="1:11" outlineLevel="1" x14ac:dyDescent="0.35">
      <c r="A307" s="52" t="s">
        <v>121</v>
      </c>
      <c r="B307" s="3" t="s">
        <v>1064</v>
      </c>
      <c r="C307" s="2" t="s">
        <v>56</v>
      </c>
      <c r="D307" s="52" t="s">
        <v>1057</v>
      </c>
      <c r="E307" s="561"/>
      <c r="F307" s="561"/>
      <c r="G307" s="561"/>
      <c r="H307" s="485">
        <f t="shared" si="12"/>
        <v>0</v>
      </c>
      <c r="I307" s="32"/>
      <c r="J307" s="561"/>
      <c r="K307" s="32"/>
    </row>
    <row r="308" spans="1:11" outlineLevel="1" x14ac:dyDescent="0.35">
      <c r="A308" s="52" t="s">
        <v>124</v>
      </c>
      <c r="B308" s="3" t="s">
        <v>1527</v>
      </c>
      <c r="C308" s="2"/>
      <c r="D308" s="52" t="s">
        <v>1528</v>
      </c>
      <c r="E308" s="561"/>
      <c r="F308" s="561"/>
      <c r="G308" s="561"/>
      <c r="H308" s="485">
        <f t="shared" si="12"/>
        <v>0</v>
      </c>
      <c r="I308" s="32"/>
      <c r="J308" s="561"/>
      <c r="K308" s="32"/>
    </row>
    <row r="309" spans="1:11" outlineLevel="1" x14ac:dyDescent="0.35">
      <c r="A309" s="52" t="s">
        <v>162</v>
      </c>
      <c r="B309" s="3" t="s">
        <v>1518</v>
      </c>
      <c r="C309" s="2" t="s">
        <v>56</v>
      </c>
      <c r="D309" s="52" t="s">
        <v>1519</v>
      </c>
      <c r="E309" s="561"/>
      <c r="F309" s="561"/>
      <c r="G309" s="561"/>
      <c r="H309" s="485">
        <f t="shared" si="12"/>
        <v>0</v>
      </c>
      <c r="I309" s="32"/>
      <c r="J309" s="561"/>
      <c r="K309" s="32"/>
    </row>
    <row r="310" spans="1:11" outlineLevel="1" x14ac:dyDescent="0.35">
      <c r="A310" s="52" t="s">
        <v>202</v>
      </c>
      <c r="B310" s="3" t="s">
        <v>1529</v>
      </c>
      <c r="C310" s="2" t="s">
        <v>56</v>
      </c>
      <c r="D310" s="52" t="s">
        <v>1519</v>
      </c>
      <c r="E310" s="561"/>
      <c r="F310" s="561"/>
      <c r="G310" s="561"/>
      <c r="H310" s="485">
        <f t="shared" si="12"/>
        <v>0</v>
      </c>
      <c r="I310" s="32"/>
      <c r="J310" s="561"/>
      <c r="K310" s="32"/>
    </row>
    <row r="311" spans="1:11" ht="29" customHeight="1" outlineLevel="1" x14ac:dyDescent="0.35">
      <c r="A311" s="52" t="s">
        <v>203</v>
      </c>
      <c r="B311" s="3" t="s">
        <v>1531</v>
      </c>
      <c r="C311" s="2" t="s">
        <v>56</v>
      </c>
      <c r="D311" s="52" t="s">
        <v>1519</v>
      </c>
      <c r="E311" s="561"/>
      <c r="F311" s="561"/>
      <c r="G311" s="561"/>
      <c r="H311" s="485">
        <f t="shared" si="12"/>
        <v>0</v>
      </c>
      <c r="I311" s="32"/>
      <c r="J311" s="561"/>
      <c r="K311" s="32"/>
    </row>
    <row r="312" spans="1:11" outlineLevel="1" x14ac:dyDescent="0.35">
      <c r="A312" s="52" t="s">
        <v>225</v>
      </c>
      <c r="B312" s="3" t="s">
        <v>1533</v>
      </c>
      <c r="C312" s="2" t="s">
        <v>56</v>
      </c>
      <c r="D312" s="52" t="s">
        <v>1519</v>
      </c>
      <c r="E312" s="561"/>
      <c r="F312" s="561"/>
      <c r="G312" s="561"/>
      <c r="H312" s="485">
        <f t="shared" si="12"/>
        <v>0</v>
      </c>
      <c r="I312" s="32"/>
      <c r="J312" s="561"/>
      <c r="K312" s="32"/>
    </row>
    <row r="313" spans="1:11" ht="29" customHeight="1" outlineLevel="1" x14ac:dyDescent="0.35">
      <c r="A313" s="52" t="s">
        <v>229</v>
      </c>
      <c r="B313" s="3" t="s">
        <v>1534</v>
      </c>
      <c r="C313" s="2" t="s">
        <v>56</v>
      </c>
      <c r="D313" s="52" t="s">
        <v>1519</v>
      </c>
      <c r="E313" s="561"/>
      <c r="F313" s="561"/>
      <c r="G313" s="561"/>
      <c r="H313" s="485">
        <f t="shared" si="12"/>
        <v>0</v>
      </c>
      <c r="I313" s="32"/>
      <c r="J313" s="561"/>
      <c r="K313" s="32"/>
    </row>
    <row r="314" spans="1:11" ht="33" customHeight="1" outlineLevel="1" x14ac:dyDescent="0.35">
      <c r="A314" s="593" t="s">
        <v>233</v>
      </c>
      <c r="B314" s="594" t="s">
        <v>1535</v>
      </c>
      <c r="C314" s="564" t="s">
        <v>1564</v>
      </c>
      <c r="D314" s="593" t="s">
        <v>1049</v>
      </c>
      <c r="E314" s="595">
        <f>IFERROR(E306*100/E309,0)</f>
        <v>0</v>
      </c>
      <c r="F314" s="595">
        <f>IFERROR(F306*100/F309,0)</f>
        <v>0</v>
      </c>
      <c r="G314" s="595">
        <f>IFERROR(G306*100/G309,0)</f>
        <v>0</v>
      </c>
      <c r="H314" s="595">
        <f>IFERROR(H306*100/H309,0)</f>
        <v>0</v>
      </c>
      <c r="I314" s="595">
        <f>IFERROR(I306*100/I309,0)</f>
        <v>0</v>
      </c>
      <c r="J314" s="628"/>
      <c r="K314" s="628"/>
    </row>
    <row r="315" spans="1:11" ht="29" customHeight="1" outlineLevel="1" x14ac:dyDescent="0.35">
      <c r="A315" s="593" t="s">
        <v>238</v>
      </c>
      <c r="B315" s="594" t="s">
        <v>1537</v>
      </c>
      <c r="C315" s="564" t="s">
        <v>1565</v>
      </c>
      <c r="D315" s="593"/>
      <c r="E315" s="595">
        <f>IFERROR((E310-E311)/E310,0)</f>
        <v>0</v>
      </c>
      <c r="F315" s="595">
        <f>IFERROR((F310-F311)/F310,0)</f>
        <v>0</v>
      </c>
      <c r="G315" s="595">
        <f>IFERROR((G310-G311)/G310,0)</f>
        <v>0</v>
      </c>
      <c r="H315" s="595">
        <f>IFERROR((H310-H311)/H310,0)</f>
        <v>0</v>
      </c>
      <c r="I315" s="595">
        <f>IFERROR((I310-I311)/I310,0)</f>
        <v>0</v>
      </c>
      <c r="J315" s="628"/>
      <c r="K315" s="628"/>
    </row>
    <row r="316" spans="1:11" ht="39" customHeight="1" outlineLevel="1" x14ac:dyDescent="0.35">
      <c r="A316" s="593" t="s">
        <v>317</v>
      </c>
      <c r="B316" s="594" t="s">
        <v>1539</v>
      </c>
      <c r="C316" s="821" t="s">
        <v>1566</v>
      </c>
      <c r="D316" s="593" t="s">
        <v>1057</v>
      </c>
      <c r="E316" s="595">
        <f>IFERROR(E306*100*100/(E305*E310*E315),0)</f>
        <v>0</v>
      </c>
      <c r="F316" s="595">
        <f>IFERROR(F306*100*100/(F305*F310*F315),0)</f>
        <v>0</v>
      </c>
      <c r="G316" s="595">
        <f>IFERROR(G306*100*100/(G305*G310*G315),0)</f>
        <v>0</v>
      </c>
      <c r="H316" s="595">
        <f>IFERROR(H306*100*100/(H305*H310*H315),0)</f>
        <v>0</v>
      </c>
      <c r="I316" s="595">
        <f>IFERROR(I306*100*100/(I305*I310*I315),0)</f>
        <v>0</v>
      </c>
      <c r="J316" s="628"/>
      <c r="K316" s="628"/>
    </row>
    <row r="317" spans="1:11" ht="29" customHeight="1" outlineLevel="1" x14ac:dyDescent="0.35">
      <c r="A317" s="593" t="s">
        <v>319</v>
      </c>
      <c r="B317" s="594" t="s">
        <v>1541</v>
      </c>
      <c r="C317" s="564" t="s">
        <v>1567</v>
      </c>
      <c r="D317" s="593" t="s">
        <v>1057</v>
      </c>
      <c r="E317" s="595">
        <f>IFERROR(E313*100/(E312+E313),0)</f>
        <v>0</v>
      </c>
      <c r="F317" s="595">
        <f>IFERROR(F313*100/(F312+F313),0)</f>
        <v>0</v>
      </c>
      <c r="G317" s="595">
        <f>IFERROR(G313*100/(G312+G313),0)</f>
        <v>0</v>
      </c>
      <c r="H317" s="595">
        <f>IFERROR(H313*100/(H312+H313),0)</f>
        <v>0</v>
      </c>
      <c r="I317" s="595">
        <f>IFERROR(I313*100/(I312+I313),0)</f>
        <v>0</v>
      </c>
      <c r="J317" s="628"/>
      <c r="K317" s="628"/>
    </row>
    <row r="318" spans="1:11" x14ac:dyDescent="0.35">
      <c r="A318" s="543"/>
      <c r="B318" s="597"/>
      <c r="C318" s="580"/>
      <c r="D318" s="543"/>
      <c r="E318" s="543"/>
      <c r="F318" s="543"/>
      <c r="G318" s="598"/>
      <c r="H318" s="596"/>
      <c r="I318" s="596"/>
      <c r="J318" s="628"/>
      <c r="K318" s="628"/>
    </row>
    <row r="319" spans="1:11" x14ac:dyDescent="0.35">
      <c r="A319" s="590" t="s">
        <v>413</v>
      </c>
      <c r="B319" s="591" t="s">
        <v>1568</v>
      </c>
      <c r="C319" s="592"/>
      <c r="D319" s="259"/>
      <c r="E319" s="259"/>
      <c r="F319" s="259"/>
      <c r="G319" s="584"/>
      <c r="H319" s="789"/>
      <c r="I319" s="586"/>
      <c r="J319" s="586"/>
      <c r="K319" s="586"/>
    </row>
    <row r="320" spans="1:11" x14ac:dyDescent="0.35">
      <c r="A320" s="917" t="s">
        <v>110</v>
      </c>
      <c r="B320" s="918" t="s">
        <v>1511</v>
      </c>
      <c r="C320" s="919"/>
      <c r="D320" s="919" t="s">
        <v>1512</v>
      </c>
      <c r="E320" s="920"/>
      <c r="F320" s="920"/>
      <c r="G320" s="920"/>
      <c r="H320" s="921"/>
      <c r="I320" s="920"/>
      <c r="J320" s="31"/>
      <c r="K320" s="637"/>
    </row>
    <row r="321" spans="1:11" outlineLevel="1" x14ac:dyDescent="0.35">
      <c r="A321" s="52" t="s">
        <v>115</v>
      </c>
      <c r="B321" s="3" t="s">
        <v>1513</v>
      </c>
      <c r="C321" s="820"/>
      <c r="D321" s="52" t="s">
        <v>1049</v>
      </c>
      <c r="E321" s="562">
        <f t="shared" ref="E321:I322" si="13">E241+E257+E273+E289+E305</f>
        <v>0</v>
      </c>
      <c r="F321" s="562">
        <f t="shared" si="13"/>
        <v>0</v>
      </c>
      <c r="G321" s="562">
        <f t="shared" si="13"/>
        <v>0</v>
      </c>
      <c r="H321" s="485">
        <f t="shared" si="13"/>
        <v>0</v>
      </c>
      <c r="I321" s="562">
        <f t="shared" si="13"/>
        <v>0</v>
      </c>
      <c r="J321" s="589"/>
      <c r="K321" s="32"/>
    </row>
    <row r="322" spans="1:11" outlineLevel="1" x14ac:dyDescent="0.35">
      <c r="A322" s="52" t="s">
        <v>118</v>
      </c>
      <c r="B322" s="3" t="s">
        <v>1524</v>
      </c>
      <c r="C322" s="2" t="s">
        <v>56</v>
      </c>
      <c r="D322" s="52" t="s">
        <v>1336</v>
      </c>
      <c r="E322" s="562">
        <f t="shared" si="13"/>
        <v>0</v>
      </c>
      <c r="F322" s="562">
        <f t="shared" si="13"/>
        <v>0</v>
      </c>
      <c r="G322" s="562">
        <f t="shared" si="13"/>
        <v>2859.84</v>
      </c>
      <c r="H322" s="485">
        <f t="shared" si="13"/>
        <v>953.28</v>
      </c>
      <c r="I322" s="562">
        <f t="shared" si="13"/>
        <v>0</v>
      </c>
      <c r="J322" s="589"/>
      <c r="K322" s="32"/>
    </row>
    <row r="323" spans="1:11" outlineLevel="1" x14ac:dyDescent="0.35">
      <c r="A323" s="52" t="s">
        <v>121</v>
      </c>
      <c r="B323" s="3" t="s">
        <v>1064</v>
      </c>
      <c r="C323" s="2" t="s">
        <v>56</v>
      </c>
      <c r="D323" s="52" t="s">
        <v>1057</v>
      </c>
      <c r="E323" s="562">
        <f>IFERROR((E243*E242+E259*E258+E275*E274+E290*E291+E307*E306)/(E290+E274+E258+E242+E306),0)</f>
        <v>0</v>
      </c>
      <c r="F323" s="562">
        <f>IFERROR((F243*F242+F259*F258+F275*F274+F290*F291+F307*F306)/(F290+F274+F258+F242+F306),0)</f>
        <v>0</v>
      </c>
      <c r="G323" s="562">
        <f>IFERROR((G243*G242+G259*G258+G275*G274+G290*G291+G307*G306)/(G290+G274+G258+G242+G306),0)</f>
        <v>0</v>
      </c>
      <c r="H323" s="485">
        <f>IFERROR((H243*H242+H259*H258+H275*H274+H290*H291+H307*H306)/(H290+H274+H258+H242+H306),0)</f>
        <v>0</v>
      </c>
      <c r="I323" s="562">
        <f>IFERROR((I243*I242+I259*I258+I275*I274+I290*I291+I307*I306)/(I290+I274+I258+I242+I306),0)</f>
        <v>0</v>
      </c>
      <c r="J323" s="589"/>
      <c r="K323" s="32"/>
    </row>
    <row r="324" spans="1:11" outlineLevel="1" x14ac:dyDescent="0.35">
      <c r="A324" s="52" t="s">
        <v>124</v>
      </c>
      <c r="B324" s="3" t="s">
        <v>1527</v>
      </c>
      <c r="C324" s="2"/>
      <c r="D324" s="52" t="s">
        <v>1528</v>
      </c>
      <c r="E324" s="562">
        <f>IFERROR((E244*E241+E260*E257+E276*E273+E292*E289+E308*E305)/(E241+E257+E273+E289+E305),0)</f>
        <v>0</v>
      </c>
      <c r="F324" s="562">
        <f>IFERROR((F244*F241+F260*F257+F276*F273+F292*F289+F308*F305)/(F241+F257+F273+F289+F305),0)</f>
        <v>0</v>
      </c>
      <c r="G324" s="562">
        <f>IFERROR((G244*G241+G260*G257+G276*G273+G292*G289+G308*G305)/(G241+G257+G273+G289+G305),0)</f>
        <v>0</v>
      </c>
      <c r="H324" s="485">
        <f>IFERROR((H244*H241+H260*H257+H276*H273+H292*H289+H308*H305)/(H241+H257+H273+H289+H305),0)</f>
        <v>0</v>
      </c>
      <c r="I324" s="562">
        <f>IFERROR((I244*I241+I260*I257+I276*I273+I292*I289+I308*I305)/(I241+I257+I273+I289+I305),0)</f>
        <v>0</v>
      </c>
      <c r="J324" s="589"/>
      <c r="K324" s="32"/>
    </row>
    <row r="325" spans="1:11" outlineLevel="1" x14ac:dyDescent="0.35">
      <c r="A325" s="52" t="s">
        <v>162</v>
      </c>
      <c r="B325" s="3" t="s">
        <v>1518</v>
      </c>
      <c r="C325" s="2" t="s">
        <v>56</v>
      </c>
      <c r="D325" s="52" t="s">
        <v>1519</v>
      </c>
      <c r="E325" s="562">
        <f>IFERROR((E245*E242+E261*E258+E277*E274+E293*E290+E309*E306)/(E306+E290+E274+E258+E242),0)</f>
        <v>0</v>
      </c>
      <c r="F325" s="562">
        <f>IFERROR((F245*F242+F261*F258+F277*F274+F293*F290+F309*F306)/(F306+F290+F274+F258+F242),0)</f>
        <v>0</v>
      </c>
      <c r="G325" s="562">
        <f>IFERROR((G245*G242+G261*G258+G277*G274+G293*G290+G309*G306)/(G306+G290+G274+G258+G242),0)</f>
        <v>0</v>
      </c>
      <c r="H325" s="485">
        <f>IFERROR((H245*H242+H261*H258+H277*H274+H293*H290+H309*H306)/(H306+H290+H274+H258+H242),0)</f>
        <v>0</v>
      </c>
      <c r="I325" s="562">
        <f>IFERROR((I245*I242+I261*I258+I277*I274+I293*I290+I309*I306)/(I306+I290+I274+I258+I242),0)</f>
        <v>0</v>
      </c>
      <c r="J325" s="589"/>
      <c r="K325" s="32"/>
    </row>
    <row r="326" spans="1:11" ht="30" customHeight="1" outlineLevel="1" x14ac:dyDescent="0.35">
      <c r="A326" s="52" t="s">
        <v>202</v>
      </c>
      <c r="B326" s="3" t="s">
        <v>1531</v>
      </c>
      <c r="C326" s="2" t="s">
        <v>56</v>
      </c>
      <c r="D326" s="52" t="s">
        <v>1519</v>
      </c>
      <c r="E326" s="562">
        <f>IFERROR((E247*E250+E263*E266+E279*E282+E295*E298+E311*E314)/(E314+E298+E282+E266+E250),0)</f>
        <v>0</v>
      </c>
      <c r="F326" s="562">
        <f>IFERROR((F247*F250+F263*F266+F279*F282+F295*F298+F311*F314)/(F314+F298+F282+F266+F250),0)</f>
        <v>0</v>
      </c>
      <c r="G326" s="562">
        <f>IFERROR((G247*G250+G263*G266+G279*G282+G295*G298+G311*G314)/(G314+G298+G282+G266+G250),0)</f>
        <v>0</v>
      </c>
      <c r="H326" s="485">
        <f>IFERROR((H247*H250+H263*H266+H279*H282+H295*H298+H311*H314)/(H314+H298+H282+H266+H250),0)</f>
        <v>0</v>
      </c>
      <c r="I326" s="562">
        <f>IFERROR((I247*I250+I263*I266+I279*I282+I295*I298+I311*I314)/(I314+I298+I282+I266+I250),0)</f>
        <v>0</v>
      </c>
      <c r="J326" s="589"/>
      <c r="K326" s="32"/>
    </row>
    <row r="327" spans="1:11" outlineLevel="1" x14ac:dyDescent="0.35">
      <c r="A327" s="52" t="s">
        <v>203</v>
      </c>
      <c r="B327" s="3" t="s">
        <v>1533</v>
      </c>
      <c r="C327" s="2" t="s">
        <v>56</v>
      </c>
      <c r="D327" s="52" t="s">
        <v>1519</v>
      </c>
      <c r="E327" s="562">
        <f>IFERROR((E248*E250+E264*E266+E280*E282+E296*E298+E312*E314)/(E314+E298+E282+E266+E250),0)</f>
        <v>0</v>
      </c>
      <c r="F327" s="562">
        <f>IFERROR((F248*F250+F264*F266+F280*F282+F296*F298+F312*F314)/(F314+F298+F282+F266+F250),0)</f>
        <v>0</v>
      </c>
      <c r="G327" s="562">
        <f>IFERROR((G248*G250+G264*G266+G280*G282+G296*G298+G312*G314)/(G314+G298+G282+G266+G250),0)</f>
        <v>0</v>
      </c>
      <c r="H327" s="485">
        <f>IFERROR((H248*H250+H264*H266+H280*H282+H296*H298+H312*H314)/(H314+H298+H282+H266+H250),0)</f>
        <v>0</v>
      </c>
      <c r="I327" s="562">
        <f>IFERROR((I248*I250+I264*I266+I280*I282+I296*I298+I312*I314)/(I314+I298+I282+I266+I250),0)</f>
        <v>0</v>
      </c>
      <c r="J327" s="589"/>
      <c r="K327" s="32"/>
    </row>
    <row r="328" spans="1:11" ht="29" customHeight="1" outlineLevel="1" x14ac:dyDescent="0.35">
      <c r="A328" s="52" t="s">
        <v>225</v>
      </c>
      <c r="B328" s="3" t="s">
        <v>1534</v>
      </c>
      <c r="C328" s="2" t="s">
        <v>56</v>
      </c>
      <c r="D328" s="52" t="s">
        <v>1519</v>
      </c>
      <c r="E328" s="562">
        <f>IFERROR((E249*E250+E265*E266+E281*E282+E297*E298+E313*E314)/(E314+E298+E282+E266+E250),0)</f>
        <v>0</v>
      </c>
      <c r="F328" s="562">
        <f>IFERROR((F249*F250+F265*F266+F281*F282+F297*F298+F313*F314)/(F314+F298+F282+F266+F250),0)</f>
        <v>0</v>
      </c>
      <c r="G328" s="562">
        <f>IFERROR((G249*G250+G265*G266+G281*G282+G297*G298+G313*G314)/(G314+G298+G282+G266+G250),0)</f>
        <v>0</v>
      </c>
      <c r="H328" s="485">
        <f>IFERROR((H249*H250+H265*H266+H281*H282+H297*H298+H313*H314)/(H314+H298+H282+H266+H250),0)</f>
        <v>0</v>
      </c>
      <c r="I328" s="562">
        <f>IFERROR((I249*I250+I265*I266+I281*I282+I297*I298+I313*I314)/(I314+I298+I282+I266+I250),0)</f>
        <v>0</v>
      </c>
      <c r="J328" s="589"/>
      <c r="K328" s="32"/>
    </row>
    <row r="329" spans="1:11" ht="32.5" customHeight="1" outlineLevel="1" x14ac:dyDescent="0.35">
      <c r="A329" s="593" t="s">
        <v>233</v>
      </c>
      <c r="B329" s="594" t="s">
        <v>1535</v>
      </c>
      <c r="C329" s="564" t="s">
        <v>1569</v>
      </c>
      <c r="D329" s="593" t="s">
        <v>1049</v>
      </c>
      <c r="E329" s="595">
        <f>IFERROR(E322*100/E325,0)</f>
        <v>0</v>
      </c>
      <c r="F329" s="595">
        <f>IFERROR(F322*100/F325,0)</f>
        <v>0</v>
      </c>
      <c r="G329" s="595">
        <f>IFERROR(G322*100/G325,0)</f>
        <v>0</v>
      </c>
      <c r="H329" s="595">
        <f>IFERROR(H322*100/H325,0)</f>
        <v>0</v>
      </c>
      <c r="I329" s="595">
        <f>IFERROR(I322*100/I325,0)</f>
        <v>0</v>
      </c>
      <c r="J329" s="628"/>
      <c r="K329" s="628"/>
    </row>
    <row r="330" spans="1:11" ht="29" customHeight="1" outlineLevel="1" x14ac:dyDescent="0.35">
      <c r="A330" s="593" t="s">
        <v>238</v>
      </c>
      <c r="B330" s="594" t="s">
        <v>1537</v>
      </c>
      <c r="C330" s="564" t="s">
        <v>1570</v>
      </c>
      <c r="D330" s="593"/>
      <c r="E330" s="595">
        <f>IFERROR((E315*E306+E299*E290+E283*E274+E267*E258+E251*E242)/(E242+E258+E274+E290+E306),0)</f>
        <v>0</v>
      </c>
      <c r="F330" s="595">
        <f>IFERROR((F315*F306+F299*F290+F283*F274+F267*F258+F251*F242)/(F242+F258+F274+F290+F306),0)</f>
        <v>0</v>
      </c>
      <c r="G330" s="595">
        <f>IFERROR((G315*G306+G299*G290+G283*G274+G267*#REF!+G251*G242)/(G242+#REF!+G274+G290+G306),0)</f>
        <v>0</v>
      </c>
      <c r="H330" s="595">
        <f>(8760-H326)/8760</f>
        <v>1</v>
      </c>
      <c r="I330" s="595">
        <f>IFERROR((I315*I306+I299*I290+I283*I274+I267*I258+I251*I242)/(I242+I258+I274+I290+I306),0)</f>
        <v>0</v>
      </c>
      <c r="J330" s="628"/>
      <c r="K330" s="628"/>
    </row>
    <row r="331" spans="1:11" ht="51" customHeight="1" outlineLevel="1" x14ac:dyDescent="0.35">
      <c r="A331" s="593" t="s">
        <v>317</v>
      </c>
      <c r="B331" s="594" t="s">
        <v>1571</v>
      </c>
      <c r="C331" s="564" t="s">
        <v>1572</v>
      </c>
      <c r="D331" s="593" t="s">
        <v>1057</v>
      </c>
      <c r="E331" s="595">
        <f>IFERROR((E316*E306+E300*E290+E284*E274+E268*E258+E252*E242)/(E242+E258+E274+E290+E306),0)</f>
        <v>0</v>
      </c>
      <c r="F331" s="595">
        <f>IFERROR((F316*F306+F300*F290+F284*F274+F268*F258+F252*F242)/(F242+F258+F274+F290+F306),0)</f>
        <v>0</v>
      </c>
      <c r="G331" s="595">
        <f>IFERROR((G316*G306+G300*G290+G284*G274+G268*G258+G252*G242)/(G242+G258+G274+G290+G306),0)</f>
        <v>0</v>
      </c>
      <c r="H331" s="595">
        <f>IFERROR((H316*H306+H300*H290+H284*H274+H268*H258+H252*H242)/(H242+H258+H274+H290+H306),0)</f>
        <v>0</v>
      </c>
      <c r="I331" s="595">
        <f>IFERROR((I316*I306+I300*I290+I284*I274+I268*I258+I252*I242)/(I242+I258+I274+I290+I306),0)</f>
        <v>0</v>
      </c>
      <c r="J331" s="628"/>
      <c r="K331" s="628"/>
    </row>
    <row r="332" spans="1:11" ht="33.65" customHeight="1" outlineLevel="1" x14ac:dyDescent="0.35">
      <c r="A332" s="593" t="s">
        <v>319</v>
      </c>
      <c r="B332" s="594" t="s">
        <v>1541</v>
      </c>
      <c r="C332" s="564" t="s">
        <v>1573</v>
      </c>
      <c r="D332" s="593" t="s">
        <v>1057</v>
      </c>
      <c r="E332" s="595">
        <f>IFERROR(E328*100/(E327+E328),0)</f>
        <v>0</v>
      </c>
      <c r="F332" s="595">
        <f>IFERROR(F328*100/(F327+F328),0)</f>
        <v>0</v>
      </c>
      <c r="G332" s="595">
        <f>IFERROR(G328*100/(G327+G328),0)</f>
        <v>0</v>
      </c>
      <c r="H332" s="595">
        <f>IFERROR(H328*100/(H327+H328),0)</f>
        <v>0</v>
      </c>
      <c r="I332" s="595">
        <f>IFERROR(I328*100/(I327+I328),0)</f>
        <v>0</v>
      </c>
      <c r="J332" s="628"/>
      <c r="K332" s="628"/>
    </row>
    <row r="333" spans="1:11" x14ac:dyDescent="0.35">
      <c r="A333" s="52"/>
      <c r="B333" s="3"/>
      <c r="C333" s="2"/>
      <c r="D333" s="52"/>
      <c r="E333" s="52"/>
      <c r="F333" s="52"/>
      <c r="G333" s="264"/>
      <c r="H333" s="785"/>
      <c r="I333" s="32"/>
      <c r="J333" s="32"/>
      <c r="K333" s="32"/>
    </row>
    <row r="334" spans="1:11" x14ac:dyDescent="0.35">
      <c r="A334" s="590" t="s">
        <v>1574</v>
      </c>
      <c r="B334" s="591" t="s">
        <v>1575</v>
      </c>
      <c r="C334" s="592"/>
      <c r="D334" s="259"/>
      <c r="E334" s="259"/>
      <c r="F334" s="259"/>
      <c r="G334" s="584"/>
      <c r="H334" s="789"/>
      <c r="I334" s="586"/>
      <c r="J334" s="586"/>
      <c r="K334" s="32"/>
    </row>
    <row r="335" spans="1:11" x14ac:dyDescent="0.35">
      <c r="A335" s="52" t="s">
        <v>110</v>
      </c>
      <c r="B335" s="3" t="s">
        <v>1513</v>
      </c>
      <c r="C335" s="820"/>
      <c r="D335" s="52" t="s">
        <v>1049</v>
      </c>
      <c r="E335" s="561"/>
      <c r="F335" s="561"/>
      <c r="G335" s="561"/>
      <c r="H335" s="485">
        <f t="shared" ref="H335:H340" si="14">IF(K$8=1,E335,IF(K$8=2,(E335+F335)/2,(E335+F335+G335)/3))</f>
        <v>0</v>
      </c>
      <c r="I335" s="32"/>
      <c r="J335" s="32"/>
      <c r="K335" s="32"/>
    </row>
    <row r="336" spans="1:11" x14ac:dyDescent="0.35">
      <c r="A336" s="52" t="s">
        <v>115</v>
      </c>
      <c r="B336" s="3" t="s">
        <v>1524</v>
      </c>
      <c r="C336" s="2" t="s">
        <v>56</v>
      </c>
      <c r="D336" s="52" t="s">
        <v>1336</v>
      </c>
      <c r="E336" s="561"/>
      <c r="F336" s="561"/>
      <c r="G336" s="561"/>
      <c r="H336" s="485">
        <f t="shared" si="14"/>
        <v>0</v>
      </c>
      <c r="I336" s="32"/>
      <c r="J336" s="32"/>
      <c r="K336" s="32"/>
    </row>
    <row r="337" spans="1:11" x14ac:dyDescent="0.35">
      <c r="A337" s="52" t="s">
        <v>118</v>
      </c>
      <c r="B337" s="3" t="s">
        <v>1064</v>
      </c>
      <c r="C337" s="2" t="s">
        <v>56</v>
      </c>
      <c r="D337" s="52" t="s">
        <v>1057</v>
      </c>
      <c r="E337" s="561"/>
      <c r="F337" s="561"/>
      <c r="G337" s="561"/>
      <c r="H337" s="485">
        <f t="shared" si="14"/>
        <v>0</v>
      </c>
      <c r="I337" s="32"/>
      <c r="J337" s="32"/>
      <c r="K337" s="32"/>
    </row>
    <row r="338" spans="1:11" x14ac:dyDescent="0.35">
      <c r="A338" s="52" t="s">
        <v>121</v>
      </c>
      <c r="B338" s="3" t="s">
        <v>1576</v>
      </c>
      <c r="C338" s="2" t="s">
        <v>56</v>
      </c>
      <c r="D338" s="52" t="s">
        <v>1528</v>
      </c>
      <c r="E338" s="561"/>
      <c r="F338" s="561"/>
      <c r="G338" s="561"/>
      <c r="H338" s="485">
        <f t="shared" si="14"/>
        <v>0</v>
      </c>
      <c r="I338" s="32"/>
      <c r="J338" s="32"/>
      <c r="K338" s="32"/>
    </row>
    <row r="339" spans="1:11" x14ac:dyDescent="0.35">
      <c r="A339" s="52" t="s">
        <v>124</v>
      </c>
      <c r="B339" s="3" t="s">
        <v>1571</v>
      </c>
      <c r="C339" s="2" t="s">
        <v>56</v>
      </c>
      <c r="D339" s="52" t="s">
        <v>1057</v>
      </c>
      <c r="E339" s="561"/>
      <c r="F339" s="561"/>
      <c r="G339" s="561"/>
      <c r="H339" s="485">
        <f t="shared" si="14"/>
        <v>0</v>
      </c>
      <c r="I339" s="32"/>
      <c r="J339" s="32"/>
      <c r="K339" s="32"/>
    </row>
    <row r="340" spans="1:11" x14ac:dyDescent="0.35">
      <c r="A340" s="52" t="s">
        <v>162</v>
      </c>
      <c r="B340" s="3" t="s">
        <v>1518</v>
      </c>
      <c r="C340" s="2" t="s">
        <v>56</v>
      </c>
      <c r="D340" s="52" t="s">
        <v>1519</v>
      </c>
      <c r="E340" s="561"/>
      <c r="F340" s="561"/>
      <c r="G340" s="561"/>
      <c r="H340" s="485">
        <f t="shared" si="14"/>
        <v>0</v>
      </c>
      <c r="I340" s="32"/>
      <c r="J340" s="32"/>
      <c r="K340" s="32"/>
    </row>
    <row r="341" spans="1:11" x14ac:dyDescent="0.35">
      <c r="A341" s="52"/>
      <c r="B341" s="3"/>
      <c r="C341" s="2"/>
      <c r="D341" s="52"/>
      <c r="E341" s="52"/>
      <c r="F341" s="52"/>
      <c r="G341" s="20"/>
      <c r="H341" s="785"/>
      <c r="I341" s="32"/>
      <c r="J341" s="32"/>
      <c r="K341" s="32"/>
    </row>
    <row r="342" spans="1:11" x14ac:dyDescent="0.35">
      <c r="A342" s="590" t="s">
        <v>415</v>
      </c>
      <c r="B342" s="591" t="s">
        <v>1577</v>
      </c>
      <c r="C342" s="592"/>
      <c r="D342" s="590"/>
      <c r="E342" s="590"/>
      <c r="F342" s="590"/>
      <c r="G342" s="599"/>
      <c r="H342" s="789"/>
      <c r="I342" s="586"/>
      <c r="J342" s="586"/>
      <c r="K342" s="586"/>
    </row>
    <row r="343" spans="1:11" x14ac:dyDescent="0.35">
      <c r="A343" s="52" t="s">
        <v>110</v>
      </c>
      <c r="B343" s="3" t="s">
        <v>1578</v>
      </c>
      <c r="C343" s="2"/>
      <c r="D343" s="52" t="s">
        <v>1049</v>
      </c>
      <c r="E343" s="561"/>
      <c r="F343" s="561"/>
      <c r="G343" s="561"/>
      <c r="H343" s="485">
        <f>IF(K$8=1,E343,IF(K$8=2,(E343+F343)/2,(E343+F343+G343)/3))</f>
        <v>0</v>
      </c>
      <c r="I343" s="32"/>
      <c r="J343" s="927" t="s">
        <v>1212</v>
      </c>
      <c r="K343" s="32"/>
    </row>
    <row r="344" spans="1:11" x14ac:dyDescent="0.35">
      <c r="A344" s="52" t="s">
        <v>115</v>
      </c>
      <c r="B344" s="3" t="s">
        <v>1579</v>
      </c>
      <c r="C344" s="2" t="s">
        <v>56</v>
      </c>
      <c r="D344" s="52" t="s">
        <v>1336</v>
      </c>
      <c r="E344" s="561"/>
      <c r="F344" s="561"/>
      <c r="G344" s="561"/>
      <c r="H344" s="485">
        <f>IF(K$8=1,E344,IF(K$8=2,(E344+F344)/2,(E344+F344+G344)/3))</f>
        <v>0</v>
      </c>
      <c r="I344" s="32"/>
      <c r="J344" s="926" t="s">
        <v>1526</v>
      </c>
      <c r="K344" s="32"/>
    </row>
    <row r="345" spans="1:11" x14ac:dyDescent="0.35">
      <c r="A345" s="52" t="s">
        <v>118</v>
      </c>
      <c r="B345" s="3" t="s">
        <v>1580</v>
      </c>
      <c r="C345" s="2" t="s">
        <v>56</v>
      </c>
      <c r="D345" s="52" t="s">
        <v>1519</v>
      </c>
      <c r="E345" s="561"/>
      <c r="F345" s="561"/>
      <c r="G345" s="561"/>
      <c r="H345" s="485" t="e">
        <f>IF(K$8=1,#REF!,IF(K$8=2,(#REF!+#REF!)/2,(#REF!+#REF!+#REF!)/3))</f>
        <v>#REF!</v>
      </c>
      <c r="I345" s="32"/>
      <c r="J345" s="926" t="s">
        <v>1526</v>
      </c>
      <c r="K345" s="32"/>
    </row>
    <row r="346" spans="1:11" x14ac:dyDescent="0.35">
      <c r="A346" s="52" t="s">
        <v>121</v>
      </c>
      <c r="B346" s="3" t="s">
        <v>1064</v>
      </c>
      <c r="C346" s="2" t="s">
        <v>56</v>
      </c>
      <c r="D346" s="52" t="s">
        <v>1057</v>
      </c>
      <c r="E346" s="561"/>
      <c r="F346" s="561"/>
      <c r="G346" s="561"/>
      <c r="H346" s="485">
        <f>IF(K$8=1,E346,IF(K$8=2,(E346+F346)/2,(E346+F346+G346)/3))</f>
        <v>0</v>
      </c>
      <c r="I346" s="32"/>
      <c r="J346" s="926" t="s">
        <v>1526</v>
      </c>
      <c r="K346" s="32"/>
    </row>
    <row r="347" spans="1:11" x14ac:dyDescent="0.35">
      <c r="A347" s="52" t="s">
        <v>124</v>
      </c>
      <c r="B347" s="3" t="s">
        <v>1576</v>
      </c>
      <c r="C347" s="2" t="s">
        <v>56</v>
      </c>
      <c r="D347" s="52" t="s">
        <v>1528</v>
      </c>
      <c r="E347" s="869"/>
      <c r="F347" s="869"/>
      <c r="G347" s="869"/>
      <c r="H347" s="485">
        <f>IF(K$8=1,E345,IF(K$8=2,(E345+F345)/2,(E345+F345+G345)/3))</f>
        <v>0</v>
      </c>
      <c r="I347" s="32"/>
      <c r="J347" s="869"/>
      <c r="K347" s="32"/>
    </row>
    <row r="348" spans="1:11" x14ac:dyDescent="0.35">
      <c r="A348" s="52" t="s">
        <v>162</v>
      </c>
      <c r="B348" s="3" t="s">
        <v>1571</v>
      </c>
      <c r="C348" s="2" t="s">
        <v>56</v>
      </c>
      <c r="D348" s="52" t="s">
        <v>1057</v>
      </c>
      <c r="E348" s="561"/>
      <c r="F348" s="561"/>
      <c r="G348" s="561"/>
      <c r="H348" s="485">
        <f>IF(K$8=1,E348,IF(K$8=2,(E348+F348)/2,(E348+F348+G348)/3))</f>
        <v>0</v>
      </c>
      <c r="I348" s="32"/>
      <c r="J348" s="926" t="s">
        <v>1526</v>
      </c>
      <c r="K348" s="32"/>
    </row>
    <row r="349" spans="1:11" x14ac:dyDescent="0.35">
      <c r="A349" s="52"/>
      <c r="B349" s="3"/>
      <c r="C349" s="2"/>
      <c r="D349" s="52"/>
      <c r="E349" s="52"/>
      <c r="F349" s="52"/>
      <c r="G349" s="3"/>
      <c r="H349" s="785"/>
      <c r="I349" s="32"/>
      <c r="J349" s="32"/>
      <c r="K349" s="32"/>
    </row>
    <row r="350" spans="1:11" x14ac:dyDescent="0.35">
      <c r="A350" s="590" t="s">
        <v>422</v>
      </c>
      <c r="B350" s="591" t="s">
        <v>1581</v>
      </c>
      <c r="C350" s="592"/>
      <c r="D350" s="590"/>
      <c r="E350" s="590"/>
      <c r="F350" s="590"/>
      <c r="G350" s="599"/>
      <c r="H350" s="789"/>
      <c r="I350" s="586"/>
      <c r="J350" s="586"/>
      <c r="K350" s="586"/>
    </row>
    <row r="351" spans="1:11" x14ac:dyDescent="0.35">
      <c r="A351" s="52" t="s">
        <v>110</v>
      </c>
      <c r="B351" s="3" t="s">
        <v>1582</v>
      </c>
      <c r="C351" s="2" t="s">
        <v>56</v>
      </c>
      <c r="D351" s="52" t="s">
        <v>1049</v>
      </c>
      <c r="E351" s="561"/>
      <c r="F351" s="561"/>
      <c r="G351" s="561"/>
      <c r="H351" s="485">
        <f>IF(K$8=1,E351,IF(K$8=2,(E351+F351)/2,(E351+F351+G351)/3))</f>
        <v>0</v>
      </c>
      <c r="I351" s="32"/>
      <c r="J351" s="32"/>
      <c r="K351" s="32"/>
    </row>
    <row r="352" spans="1:11" x14ac:dyDescent="0.35">
      <c r="A352" s="52" t="s">
        <v>115</v>
      </c>
      <c r="B352" s="3" t="s">
        <v>1581</v>
      </c>
      <c r="C352" s="2" t="s">
        <v>56</v>
      </c>
      <c r="D352" s="52" t="s">
        <v>1336</v>
      </c>
      <c r="E352" s="561"/>
      <c r="F352" s="561"/>
      <c r="G352" s="561"/>
      <c r="H352" s="485">
        <f>IF(K$8=1,E352,IF(K$8=2,(E352+F352)/2,(E352+F352+G352)/3))</f>
        <v>0</v>
      </c>
      <c r="I352" s="32"/>
      <c r="J352" s="32"/>
      <c r="K352" s="32"/>
    </row>
    <row r="353" spans="1:11" x14ac:dyDescent="0.35">
      <c r="A353" s="52" t="s">
        <v>118</v>
      </c>
      <c r="B353" s="3" t="s">
        <v>1583</v>
      </c>
      <c r="C353" s="2" t="s">
        <v>56</v>
      </c>
      <c r="D353" s="52" t="s">
        <v>1060</v>
      </c>
      <c r="E353" s="561"/>
      <c r="F353" s="561"/>
      <c r="G353" s="561"/>
      <c r="H353" s="485">
        <f>IF(K$8=1,E353,IF(K$8=2,(E353+F353)/2,(E353+F353+G353)/3))</f>
        <v>0</v>
      </c>
      <c r="I353" s="32"/>
      <c r="J353" s="32"/>
      <c r="K353" s="32"/>
    </row>
    <row r="354" spans="1:11" x14ac:dyDescent="0.35">
      <c r="A354" s="52" t="s">
        <v>121</v>
      </c>
      <c r="B354" s="3" t="s">
        <v>1584</v>
      </c>
      <c r="C354" s="2" t="s">
        <v>56</v>
      </c>
      <c r="D354" s="52" t="s">
        <v>1060</v>
      </c>
      <c r="F354" s="561"/>
      <c r="G354" s="561"/>
      <c r="H354" s="485">
        <f>IF(K$8=1,E354,IF(K$8=2,(E354+F354)/2,(E354+F354+G354)/3))</f>
        <v>0</v>
      </c>
      <c r="I354" s="227"/>
      <c r="J354" s="869"/>
      <c r="K354" s="869"/>
    </row>
    <row r="355" spans="1:11" x14ac:dyDescent="0.35">
      <c r="A355" s="486" t="s">
        <v>124</v>
      </c>
      <c r="B355" s="888" t="s">
        <v>1585</v>
      </c>
      <c r="C355" s="486" t="s">
        <v>1474</v>
      </c>
      <c r="D355" s="486" t="s">
        <v>1475</v>
      </c>
      <c r="E355" s="486"/>
      <c r="F355" s="486"/>
      <c r="G355" s="486"/>
      <c r="H355" s="486">
        <f>IF(K$8=1,E355,IF(K$8=2,(E355+F355)/2,(E355+F355+G355)/3))</f>
        <v>0</v>
      </c>
      <c r="I355" s="31"/>
      <c r="J355" s="561"/>
      <c r="K355" s="32"/>
    </row>
    <row r="356" spans="1:11" x14ac:dyDescent="0.35">
      <c r="A356" s="564" t="s">
        <v>162</v>
      </c>
      <c r="B356" s="822" t="s">
        <v>1586</v>
      </c>
      <c r="C356" s="564" t="s">
        <v>56</v>
      </c>
      <c r="D356" s="564" t="s">
        <v>1587</v>
      </c>
      <c r="E356" s="564">
        <f>E352*E355*10^5/1000</f>
        <v>0</v>
      </c>
      <c r="F356" s="564">
        <f>F352*F355*10^5/1000</f>
        <v>0</v>
      </c>
      <c r="G356" s="564">
        <f>G352*G355*10^5/1000</f>
        <v>0</v>
      </c>
      <c r="H356" s="564">
        <f>H352*H355*10^5/1000</f>
        <v>0</v>
      </c>
      <c r="I356" s="564">
        <f>I352*I355*10^5/1000</f>
        <v>0</v>
      </c>
      <c r="J356" s="32"/>
      <c r="K356" s="32"/>
    </row>
    <row r="357" spans="1:11" x14ac:dyDescent="0.35">
      <c r="A357" s="564" t="s">
        <v>202</v>
      </c>
      <c r="B357" s="822" t="s">
        <v>1588</v>
      </c>
      <c r="C357" s="564" t="s">
        <v>1589</v>
      </c>
      <c r="D357" s="564" t="s">
        <v>1139</v>
      </c>
      <c r="E357" s="564">
        <f>E352*E354/10</f>
        <v>0</v>
      </c>
      <c r="F357" s="564">
        <f>F352*F354/10</f>
        <v>0</v>
      </c>
      <c r="G357" s="564">
        <f>G352*G354/10</f>
        <v>0</v>
      </c>
      <c r="H357" s="564">
        <f>H352*H354/10</f>
        <v>0</v>
      </c>
      <c r="I357" s="564">
        <f>I352*I354/10</f>
        <v>0</v>
      </c>
      <c r="J357" s="32"/>
      <c r="K357" s="637"/>
    </row>
    <row r="358" spans="1:11" x14ac:dyDescent="0.35">
      <c r="A358" s="600" t="s">
        <v>1590</v>
      </c>
      <c r="B358" s="823" t="s">
        <v>438</v>
      </c>
      <c r="C358" s="824"/>
      <c r="D358" s="601"/>
      <c r="E358" s="601"/>
      <c r="F358" s="601"/>
      <c r="G358" s="601"/>
      <c r="H358" s="601"/>
      <c r="I358" s="601"/>
      <c r="J358" s="870"/>
      <c r="K358" s="871"/>
    </row>
    <row r="359" spans="1:11" x14ac:dyDescent="0.35">
      <c r="A359" s="600" t="s">
        <v>1591</v>
      </c>
      <c r="B359" s="823" t="s">
        <v>440</v>
      </c>
      <c r="C359" s="824"/>
      <c r="D359" s="601"/>
      <c r="E359" s="601"/>
      <c r="F359" s="601"/>
      <c r="G359" s="601"/>
      <c r="H359" s="601"/>
      <c r="I359" s="601"/>
      <c r="J359" s="870"/>
      <c r="K359" s="871"/>
    </row>
    <row r="360" spans="1:11" x14ac:dyDescent="0.35">
      <c r="A360" s="917" t="s">
        <v>110</v>
      </c>
      <c r="B360" s="918" t="s">
        <v>1511</v>
      </c>
      <c r="C360" s="919"/>
      <c r="D360" s="919" t="s">
        <v>1512</v>
      </c>
      <c r="E360" s="920"/>
      <c r="F360" s="920"/>
      <c r="G360" s="920"/>
      <c r="H360" s="921"/>
      <c r="I360" s="920"/>
      <c r="J360" s="31"/>
      <c r="K360" s="637"/>
    </row>
    <row r="361" spans="1:11" x14ac:dyDescent="0.35">
      <c r="A361" s="602" t="s">
        <v>115</v>
      </c>
      <c r="B361" s="825" t="s">
        <v>1513</v>
      </c>
      <c r="C361" s="826" t="s">
        <v>56</v>
      </c>
      <c r="D361" s="52" t="s">
        <v>1049</v>
      </c>
      <c r="E361" s="561"/>
      <c r="F361" s="561"/>
      <c r="G361" s="561"/>
      <c r="H361" s="485">
        <f>IF(K$8=1,E361,IF(K$8=2,(E361+F361)/2,(E361+F361+G361)/3))</f>
        <v>0</v>
      </c>
      <c r="I361" s="580"/>
      <c r="J361" s="637"/>
      <c r="K361" s="637"/>
    </row>
    <row r="362" spans="1:11" x14ac:dyDescent="0.35">
      <c r="A362" s="602" t="s">
        <v>118</v>
      </c>
      <c r="B362" s="825" t="s">
        <v>1592</v>
      </c>
      <c r="C362" s="826" t="s">
        <v>56</v>
      </c>
      <c r="D362" s="52" t="s">
        <v>1336</v>
      </c>
      <c r="E362" s="561"/>
      <c r="F362" s="561"/>
      <c r="G362" s="561"/>
      <c r="H362" s="485">
        <f>IF(K$8=1,E362,IF(K$8=2,(E362+F362)/2,(E362+F362+G362)/3))</f>
        <v>0</v>
      </c>
      <c r="I362" s="580"/>
      <c r="J362" s="637" t="s">
        <v>1593</v>
      </c>
      <c r="K362" s="637"/>
    </row>
    <row r="363" spans="1:11" x14ac:dyDescent="0.35">
      <c r="A363" s="602" t="s">
        <v>121</v>
      </c>
      <c r="B363" s="825" t="s">
        <v>1571</v>
      </c>
      <c r="C363" s="826" t="s">
        <v>56</v>
      </c>
      <c r="D363" s="52" t="s">
        <v>1057</v>
      </c>
      <c r="E363" s="561"/>
      <c r="F363" s="561"/>
      <c r="G363" s="561"/>
      <c r="H363" s="485">
        <f>IF(K$8=1,E363,IF(K$8=2,(E363+F363)/2,(E363+F363+G363)/3))</f>
        <v>0</v>
      </c>
      <c r="I363" s="580"/>
      <c r="J363" s="637"/>
      <c r="K363" s="637"/>
    </row>
    <row r="364" spans="1:11" x14ac:dyDescent="0.35">
      <c r="A364" s="603" t="s">
        <v>124</v>
      </c>
      <c r="B364" s="825" t="s">
        <v>1594</v>
      </c>
      <c r="C364" s="826" t="s">
        <v>56</v>
      </c>
      <c r="D364" s="52" t="s">
        <v>1336</v>
      </c>
      <c r="E364" s="561"/>
      <c r="F364" s="561"/>
      <c r="G364" s="561"/>
      <c r="H364" s="485">
        <f>IF(K$8=1,E364,IF(K$8=2,(E364+F364)/2,(E364+F364+G364)/3))</f>
        <v>0</v>
      </c>
      <c r="I364" s="580"/>
      <c r="J364" s="637"/>
      <c r="K364" s="637"/>
    </row>
    <row r="365" spans="1:11" x14ac:dyDescent="0.35">
      <c r="A365" s="603" t="s">
        <v>162</v>
      </c>
      <c r="B365" s="825" t="s">
        <v>1518</v>
      </c>
      <c r="C365" s="826" t="s">
        <v>56</v>
      </c>
      <c r="D365" s="52" t="s">
        <v>1519</v>
      </c>
      <c r="E365" s="561"/>
      <c r="F365" s="561"/>
      <c r="G365" s="561"/>
      <c r="H365" s="485">
        <f>IF(K$8=1,E365,IF(K$8=2,(E365+F365)/2,(E365+F365+G365)/3))</f>
        <v>0</v>
      </c>
      <c r="I365" s="580"/>
      <c r="J365" s="637"/>
      <c r="K365" s="637"/>
    </row>
    <row r="366" spans="1:11" x14ac:dyDescent="0.35">
      <c r="A366" s="600" t="s">
        <v>1595</v>
      </c>
      <c r="B366" s="823" t="s">
        <v>450</v>
      </c>
      <c r="C366" s="824"/>
      <c r="D366" s="601"/>
      <c r="E366" s="601"/>
      <c r="F366" s="601"/>
      <c r="G366" s="601"/>
      <c r="H366" s="601"/>
      <c r="I366" s="601"/>
      <c r="J366" s="870"/>
      <c r="K366" s="870"/>
    </row>
    <row r="367" spans="1:11" x14ac:dyDescent="0.35">
      <c r="A367" s="917" t="s">
        <v>110</v>
      </c>
      <c r="B367" s="918" t="s">
        <v>1511</v>
      </c>
      <c r="C367" s="919"/>
      <c r="D367" s="919" t="s">
        <v>1512</v>
      </c>
      <c r="E367" s="920"/>
      <c r="F367" s="920"/>
      <c r="G367" s="920"/>
      <c r="H367" s="921"/>
      <c r="I367" s="920"/>
      <c r="J367" s="31"/>
      <c r="K367" s="637"/>
    </row>
    <row r="368" spans="1:11" x14ac:dyDescent="0.35">
      <c r="A368" s="602" t="s">
        <v>115</v>
      </c>
      <c r="B368" s="825" t="s">
        <v>1513</v>
      </c>
      <c r="C368" s="826" t="s">
        <v>56</v>
      </c>
      <c r="D368" s="52" t="s">
        <v>1049</v>
      </c>
      <c r="E368" s="561"/>
      <c r="F368" s="561"/>
      <c r="G368" s="561"/>
      <c r="H368" s="485">
        <f>IF(K$8=1,E368,IF(K$8=2,(E368+F368)/2,(E368+F368+G368)/3))</f>
        <v>0</v>
      </c>
      <c r="I368" s="580"/>
      <c r="J368" s="637"/>
      <c r="K368" s="637"/>
    </row>
    <row r="369" spans="1:11" x14ac:dyDescent="0.35">
      <c r="A369" s="602" t="s">
        <v>118</v>
      </c>
      <c r="B369" s="825" t="s">
        <v>1596</v>
      </c>
      <c r="C369" s="826" t="s">
        <v>56</v>
      </c>
      <c r="D369" s="52" t="s">
        <v>1336</v>
      </c>
      <c r="E369" s="561"/>
      <c r="F369" s="561"/>
      <c r="G369" s="561"/>
      <c r="H369" s="485">
        <f>IF(K$8=1,E369,IF(K$8=2,(E369+F369)/2,(E369+F369+G369)/3))</f>
        <v>0</v>
      </c>
      <c r="I369" s="580"/>
      <c r="J369" s="637"/>
      <c r="K369" s="637"/>
    </row>
    <row r="370" spans="1:11" x14ac:dyDescent="0.35">
      <c r="A370" s="602" t="s">
        <v>121</v>
      </c>
      <c r="B370" s="825" t="s">
        <v>1571</v>
      </c>
      <c r="C370" s="826" t="s">
        <v>56</v>
      </c>
      <c r="D370" s="52" t="s">
        <v>1057</v>
      </c>
      <c r="E370" s="561"/>
      <c r="F370" s="561"/>
      <c r="G370" s="561"/>
      <c r="H370" s="485">
        <f>IF(K$8=1,E370,IF(K$8=2,(E370+F370)/2,(E370+F370+G370)/3))</f>
        <v>0</v>
      </c>
      <c r="I370" s="580"/>
      <c r="J370" s="637"/>
      <c r="K370" s="637"/>
    </row>
    <row r="371" spans="1:11" x14ac:dyDescent="0.35">
      <c r="A371" s="603" t="s">
        <v>124</v>
      </c>
      <c r="B371" s="825" t="s">
        <v>1594</v>
      </c>
      <c r="C371" s="826" t="s">
        <v>56</v>
      </c>
      <c r="D371" s="52" t="s">
        <v>1336</v>
      </c>
      <c r="E371" s="561"/>
      <c r="F371" s="561"/>
      <c r="G371" s="561"/>
      <c r="H371" s="485">
        <f>IF(K$8=1,E371,IF(K$8=2,(E371+F371)/2,(E371+F371+G371)/3))</f>
        <v>0</v>
      </c>
      <c r="I371" s="580"/>
      <c r="J371" s="637"/>
      <c r="K371" s="637"/>
    </row>
    <row r="372" spans="1:11" x14ac:dyDescent="0.35">
      <c r="A372" s="603" t="s">
        <v>162</v>
      </c>
      <c r="B372" s="827" t="s">
        <v>1597</v>
      </c>
      <c r="C372" s="826" t="s">
        <v>56</v>
      </c>
      <c r="D372" s="52" t="s">
        <v>1519</v>
      </c>
      <c r="E372" s="561"/>
      <c r="F372" s="561"/>
      <c r="G372" s="561"/>
      <c r="H372" s="485">
        <f>IF(K$8=1,E372,IF(K$8=2,(E372+F372)/2,(E372+F372+G372)/3))</f>
        <v>0</v>
      </c>
      <c r="I372" s="580"/>
      <c r="J372" s="637"/>
      <c r="K372" s="637"/>
    </row>
    <row r="373" spans="1:11" x14ac:dyDescent="0.35">
      <c r="A373" s="828" t="s">
        <v>162</v>
      </c>
      <c r="B373" s="829" t="s">
        <v>1598</v>
      </c>
      <c r="C373" s="830" t="s">
        <v>56</v>
      </c>
      <c r="D373" s="812" t="s">
        <v>1336</v>
      </c>
      <c r="E373" s="566">
        <f>E369+E362</f>
        <v>0</v>
      </c>
      <c r="F373" s="566">
        <f>F369+F362</f>
        <v>0</v>
      </c>
      <c r="G373" s="566">
        <f>G369+G362</f>
        <v>0</v>
      </c>
      <c r="H373" s="566">
        <f>H369+H362</f>
        <v>0</v>
      </c>
      <c r="I373" s="580"/>
      <c r="J373" s="637"/>
      <c r="K373" s="637"/>
    </row>
    <row r="374" spans="1:11" x14ac:dyDescent="0.35">
      <c r="A374" s="828" t="s">
        <v>202</v>
      </c>
      <c r="B374" s="829" t="s">
        <v>1599</v>
      </c>
      <c r="C374" s="830" t="s">
        <v>56</v>
      </c>
      <c r="D374" s="812" t="s">
        <v>1336</v>
      </c>
      <c r="E374" s="716">
        <f>E200+E201+E202+E203+E204</f>
        <v>0</v>
      </c>
      <c r="F374" s="566">
        <f>F200+F201+F202+F203+F204</f>
        <v>0</v>
      </c>
      <c r="G374" s="566">
        <f>G200+G201+G202+G203+G204</f>
        <v>0</v>
      </c>
      <c r="H374" s="566">
        <f>H200+H201+H202+H203+H204</f>
        <v>0</v>
      </c>
      <c r="I374" s="580"/>
      <c r="J374" s="637"/>
      <c r="K374" s="637"/>
    </row>
    <row r="375" spans="1:11" x14ac:dyDescent="0.35">
      <c r="A375" s="828" t="s">
        <v>203</v>
      </c>
      <c r="B375" s="829" t="s">
        <v>1600</v>
      </c>
      <c r="C375" s="830" t="s">
        <v>56</v>
      </c>
      <c r="D375" s="812" t="s">
        <v>1336</v>
      </c>
      <c r="E375" s="566">
        <f>E373+E374</f>
        <v>0</v>
      </c>
      <c r="F375" s="566">
        <f>F373+F374</f>
        <v>0</v>
      </c>
      <c r="G375" s="566">
        <f>G373+G374</f>
        <v>0</v>
      </c>
      <c r="H375" s="566">
        <f>H373+H374</f>
        <v>0</v>
      </c>
      <c r="I375" s="580"/>
      <c r="J375" s="637"/>
      <c r="K375" s="637"/>
    </row>
    <row r="376" spans="1:11" x14ac:dyDescent="0.35">
      <c r="A376" s="774"/>
      <c r="B376" s="775"/>
      <c r="C376" s="831"/>
      <c r="D376" s="524"/>
      <c r="E376" s="567"/>
      <c r="F376" s="567"/>
      <c r="G376" s="567"/>
      <c r="H376" s="567"/>
      <c r="I376" s="580"/>
      <c r="J376" s="637"/>
      <c r="K376" s="637"/>
    </row>
    <row r="377" spans="1:11" ht="29" customHeight="1" x14ac:dyDescent="0.35">
      <c r="A377" s="564" t="s">
        <v>463</v>
      </c>
      <c r="B377" s="822" t="s">
        <v>1601</v>
      </c>
      <c r="C377" s="564" t="s">
        <v>1602</v>
      </c>
      <c r="D377" s="564" t="s">
        <v>1336</v>
      </c>
      <c r="E377" s="566">
        <f>E233+E322+E336+E344+E352+E362+E369</f>
        <v>0</v>
      </c>
      <c r="F377" s="566">
        <f>F233+F322+F336+F344+F352+F362+F369</f>
        <v>0</v>
      </c>
      <c r="G377" s="566">
        <f>G233+G322+G336+G344+G352+G362+G369</f>
        <v>2859.84</v>
      </c>
      <c r="H377" s="566">
        <f>H233+H322+H336+H344+H352+H362+H369</f>
        <v>953.28</v>
      </c>
      <c r="I377" s="566">
        <f>I233+I322+I336+I344+I352+I362+I369</f>
        <v>0</v>
      </c>
      <c r="J377" s="872"/>
      <c r="K377" s="637"/>
    </row>
    <row r="378" spans="1:11" x14ac:dyDescent="0.35">
      <c r="A378" s="832" t="s">
        <v>1603</v>
      </c>
      <c r="B378" s="833" t="s">
        <v>1604</v>
      </c>
      <c r="C378" s="832"/>
      <c r="D378" s="832" t="s">
        <v>1605</v>
      </c>
      <c r="E378" s="604">
        <f>IFERROR((E408*E411+E430*E433+E452*E455+E474*E477+E496*E499+E518*E521+E540*E543+E562*E565+E620*E627+E648*(E653+E654)+E666*(E671+E672)+E684*(E689+E690)+E703*(E709+E711)+E725*(E731+E733)+E749*(E755+E756)+E781*E787+E800*E804)/(E804+E787+E756+E755+E733+E731+E711+E709+E690+E689+E672+E671+E654+E653+E627+E565+E543+E521+E499+E477+E455+E433+E411),0)</f>
        <v>0</v>
      </c>
      <c r="F378" s="604">
        <f>IFERROR((F408*F411+F430*F433+F452*F455+F474*F477+F496*F499+F518*F521+F540*F543+F562*F565+F620*F627+F648*(F653+F654)+F666*(F671+F672)+F684*(F689+F690)+F703*(F709+F711)+F725*(F731+F733)+F749*(F755+F756)+F781*F787+F800*F804)/(F804+F787+F756+F755+F733+F731+F711+F709+F690+F689+F672+F671+F654+F653+F627+F565+F543+F521+F499+F477+F455+F433+F411),0)</f>
        <v>0</v>
      </c>
      <c r="G378" s="604">
        <f>IFERROR((G408*G411+G430*G433+G452*G455+G474*G477+G496*G499+G518*G521+G540*G543+G562*G565+G620*G627+G648*(G653+G654)+G666*(G671+G672)+G684*(G689+G690)+G703*(G709+G711)+G725*(G731+G733)+G749*(G755+G756)+G781*G787+G800*G804)/(G804+G787+G756+G755+G733+G731+G711+G709+G690+G689+G672+G671+G654+G653+G627+G565+G543+G521+G499+G477+G455+G433+G411),0)</f>
        <v>0</v>
      </c>
      <c r="H378" s="604">
        <f>IFERROR((H408*H411+H430*H433+H452*H455+H474*H477+H496*H499+H518*H521+H540*H543+H562*H565+H620*H627+H648*(H653+H654)+H666*(H671+H672)+H684*(H689+H690)+H703*(H709+H711)+H725*(H731+H733)+H749*(H755+H756)+H781*H787+H800*H804)/(H804+H787+H756+H755+H733+H731+H711+H709+H690+H689+H672+H671+H654+H653+H627+H565+H543+H521+H499+H477+H455+H433+H411),0)</f>
        <v>0</v>
      </c>
      <c r="I378" s="604">
        <f>IFERROR((I408*I411+I430*I433+I452*I455+I474*I477+I496*I499+I518*I521+I540*I543+I562*I565+I620*I627+I648*(I653+I654)+I666*(I671+I672)+I684*(I689+I690)+I703*(I709+I711)+I725*(I731+I733)+I749*(I755+I756)+I781*I787+I800*I804)/(I804+I787+I756+I755+I733+I731+I711+I709+I690+I689+I672+I671+I654+I653+I627+I565+I543+I521+I499+I477+I455+I433+I411),0)</f>
        <v>0</v>
      </c>
      <c r="J378" s="582"/>
      <c r="K378" s="637"/>
    </row>
    <row r="379" spans="1:11" x14ac:dyDescent="0.35">
      <c r="A379" s="832" t="s">
        <v>1606</v>
      </c>
      <c r="B379" s="833" t="s">
        <v>1607</v>
      </c>
      <c r="C379" s="832"/>
      <c r="D379" s="832" t="s">
        <v>1605</v>
      </c>
      <c r="E379" s="604">
        <f>IFERROR((E409*E412+E431*E434+E453*E456+E475*E478+E497*E500+E519*E522+E541*E544+E563*E566+E578*E580+E648*E655+E666*E673+E684*E691+E703*E712+E725*E734+E781*E789+E800*E805)/(E412+E434+E456+E478+E500+E522+E544+E566+E580+E655+E673+E691+E712+E734+E789+E805),0)</f>
        <v>0</v>
      </c>
      <c r="F379" s="604">
        <f>IFERROR((F409*F412+F431*F434+F453*F456+F475*F478+F497*F500+F519*F522+F541*F544+F563*F566+F578*F580+F648*F655+F666*F673+F684*F691+F703*F712+F725*F734+F781*F789+F800*F805)/(F412+F434+F456+F478+F500+F522+F544+F566+F580+F655+F673+F691+F712+F734+F789+F805),0)</f>
        <v>0</v>
      </c>
      <c r="G379" s="604">
        <f>IFERROR((G409*G412+G431*G434+G453*G456+G475*G478+G497*G500+G519*G522+G541*G544+G563*G566+G578*G580+G648*G655+G666*G673+G684*G691+G703*G712+G725*G734+G781*G789+G800*G805)/(G412+G434+G456+G478+G500+G522+G544+G566+G580+G655+G673+G691+G712+G734+G789+G805),0)</f>
        <v>0</v>
      </c>
      <c r="H379" s="604">
        <f>IFERROR((H409*H412+H431*H434+H453*H456+H475*H478+H497*H500+H519*H522+H541*H544+H563*H566+H578*H580+H648*H655+H666*H673+H684*H691+H703*H712+H725*H734+H781*H789+H800*H805)/(H412+H434+H456+H478+H500+H522+H544+H566+H580+H655+H673+H691+H712+H734+H789+H805),0)</f>
        <v>0</v>
      </c>
      <c r="I379" s="604">
        <f>IFERROR((I409*I412+I431*I434+I453*I456+I475*I478+I497*I500+I519*I522+I541*I544+I563*I566+I578*I580+I648*I655+I666*I673+I684*I691+I703*I712+I725*I734+I781*I789+I800*I805)/(I412+I434+I456+I478+I500+I522+I544+I566+I580+I655+I673+I691+I712+I734+I789+I805),0)</f>
        <v>0</v>
      </c>
      <c r="J379" s="582"/>
      <c r="K379" s="637"/>
    </row>
    <row r="380" spans="1:11" x14ac:dyDescent="0.35">
      <c r="A380" s="543" t="s">
        <v>468</v>
      </c>
      <c r="B380" s="597" t="s">
        <v>1608</v>
      </c>
      <c r="C380" s="580"/>
      <c r="D380" s="543" t="s">
        <v>1336</v>
      </c>
      <c r="E380" s="561"/>
      <c r="F380" s="561"/>
      <c r="G380" s="561"/>
      <c r="H380" s="485">
        <f>IF(K$8=1,E380,IF(K$8=2,(E380+F380)/2,(E380+F380+G380)/3))</f>
        <v>0</v>
      </c>
      <c r="I380" s="32"/>
      <c r="J380" s="926" t="s">
        <v>1609</v>
      </c>
      <c r="K380" s="32"/>
    </row>
    <row r="381" spans="1:11" x14ac:dyDescent="0.35">
      <c r="A381" s="543" t="s">
        <v>472</v>
      </c>
      <c r="B381" s="597" t="s">
        <v>1610</v>
      </c>
      <c r="C381" s="580"/>
      <c r="D381" s="543" t="s">
        <v>1336</v>
      </c>
      <c r="E381" s="561"/>
      <c r="F381" s="561"/>
      <c r="G381" s="561"/>
      <c r="H381" s="485">
        <f>IF(K$8=1,E381,IF(K$8=2,(E381+F381)/2,(E381+F381+G381)/3))</f>
        <v>0</v>
      </c>
      <c r="I381" s="262"/>
      <c r="J381" s="925" t="s">
        <v>1611</v>
      </c>
      <c r="K381" s="32"/>
    </row>
    <row r="382" spans="1:11" ht="29" customHeight="1" x14ac:dyDescent="0.35">
      <c r="A382" s="564" t="s">
        <v>476</v>
      </c>
      <c r="B382" s="822" t="s">
        <v>1612</v>
      </c>
      <c r="C382" s="564" t="s">
        <v>1613</v>
      </c>
      <c r="D382" s="564" t="s">
        <v>1336</v>
      </c>
      <c r="E382" s="564">
        <f>E380+IF(E381&gt;(E199+E200+E205), E381-(E199+E200+E205), 0)</f>
        <v>0</v>
      </c>
      <c r="F382" s="564">
        <f>F380+IF(F381&gt;(F199+F200+F205), F381-(F199+F200+F205), 0)</f>
        <v>0</v>
      </c>
      <c r="G382" s="564">
        <f>G380+IF(G381&gt;(G199+G200+G205), G381-(G199+G200+G205), 0)</f>
        <v>0</v>
      </c>
      <c r="H382" s="790">
        <f>H380+IF(H381&gt;(H199+H200+H205), H381-(H199+H200+H205), 0)</f>
        <v>0</v>
      </c>
      <c r="I382" s="564">
        <f>I380+IF(I381&gt;(I199+I200+I205), I381-(I199+I200+I205), 0)</f>
        <v>0</v>
      </c>
      <c r="J382" s="637"/>
      <c r="K382" s="637"/>
    </row>
    <row r="383" spans="1:11" ht="34.4" customHeight="1" x14ac:dyDescent="0.35">
      <c r="A383" s="564" t="s">
        <v>478</v>
      </c>
      <c r="B383" s="822" t="s">
        <v>1614</v>
      </c>
      <c r="C383" s="564" t="s">
        <v>1615</v>
      </c>
      <c r="D383" s="564" t="s">
        <v>1139</v>
      </c>
      <c r="E383" s="564">
        <f>E382*2717/10</f>
        <v>0</v>
      </c>
      <c r="F383" s="564">
        <f>F382*2717/10</f>
        <v>0</v>
      </c>
      <c r="G383" s="564">
        <f>G382*2717/10</f>
        <v>0</v>
      </c>
      <c r="H383" s="566">
        <f>H382*2717/10</f>
        <v>0</v>
      </c>
      <c r="I383" s="564">
        <f>I382*2717/10</f>
        <v>0</v>
      </c>
      <c r="J383" s="637"/>
      <c r="K383" s="637"/>
    </row>
    <row r="384" spans="1:11" ht="64.400000000000006" customHeight="1" x14ac:dyDescent="0.35">
      <c r="A384" s="564" t="s">
        <v>480</v>
      </c>
      <c r="B384" s="822" t="s">
        <v>1616</v>
      </c>
      <c r="C384" s="564" t="s">
        <v>1617</v>
      </c>
      <c r="D384" s="564" t="s">
        <v>1336</v>
      </c>
      <c r="E384" s="564">
        <f>IF(E381&gt;(E199+E200+E205),((E377-E380)-(E381-(E199+E200+E205))),(E222+E377-E380))</f>
        <v>0</v>
      </c>
      <c r="F384" s="564">
        <f>IF(F381&gt;(F199+F200+F205),((F377-F380)-(F381-(F199+F200+F205))),(F222+F377-F380))</f>
        <v>0</v>
      </c>
      <c r="G384" s="564">
        <f>IF(G381&gt;(G199+G200+G205),((G377-G380)-(G381-(G199+G200+G205))),(G222+G377-G380))</f>
        <v>2859.84</v>
      </c>
      <c r="H384" s="566">
        <f>IF(H381&gt;(H199+H200+H205),((H377-H380)-(H381-(H199+H200+H205))),(H222+H377-H380))</f>
        <v>953.28</v>
      </c>
      <c r="I384" s="564">
        <f>IF(I381&gt;(I199+I200+I205),((I377-I380)-(I381-(I199+I200+I205))),(I222+I377-I380))</f>
        <v>0</v>
      </c>
      <c r="J384" s="637"/>
      <c r="K384" s="637"/>
    </row>
    <row r="385" spans="1:11" x14ac:dyDescent="0.35">
      <c r="A385" s="600" t="s">
        <v>482</v>
      </c>
      <c r="B385" s="823" t="s">
        <v>483</v>
      </c>
      <c r="C385" s="824"/>
      <c r="D385" s="601"/>
      <c r="E385" s="601"/>
      <c r="F385" s="601"/>
      <c r="G385" s="601"/>
      <c r="H385" s="601"/>
      <c r="I385" s="601"/>
      <c r="J385" s="870"/>
      <c r="K385" s="870"/>
    </row>
    <row r="386" spans="1:11" x14ac:dyDescent="0.35">
      <c r="A386" s="812" t="s">
        <v>110</v>
      </c>
      <c r="B386" s="813" t="s">
        <v>1618</v>
      </c>
      <c r="C386" s="814"/>
      <c r="D386" s="812" t="s">
        <v>1619</v>
      </c>
      <c r="E386" s="604">
        <f>E378*E827/1000</f>
        <v>0</v>
      </c>
      <c r="F386" s="604">
        <f>F378*F827/1000</f>
        <v>0</v>
      </c>
      <c r="G386" s="604">
        <f>G378*G827/1000</f>
        <v>0</v>
      </c>
      <c r="H386" s="604">
        <f>H378*H827/1000</f>
        <v>0</v>
      </c>
      <c r="I386" s="604">
        <f>I378*I827/1000</f>
        <v>0</v>
      </c>
      <c r="J386" s="873"/>
      <c r="K386" s="32"/>
    </row>
    <row r="387" spans="1:11" ht="29" customHeight="1" x14ac:dyDescent="0.35">
      <c r="A387" s="812" t="s">
        <v>115</v>
      </c>
      <c r="B387" s="813" t="s">
        <v>1620</v>
      </c>
      <c r="C387" s="814"/>
      <c r="D387" s="812" t="s">
        <v>1619</v>
      </c>
      <c r="E387" s="604">
        <f>IFERROR((E386*E377+E199*E206+E205*E207)/(E377+E224+E199+E205+E373),0)</f>
        <v>0</v>
      </c>
      <c r="F387" s="604">
        <f>IFERROR((F386*F377+F199*F206+F205*F207+F352*F355)/(F377+F224+F199+F205+F373+F352),0)</f>
        <v>0</v>
      </c>
      <c r="G387" s="604">
        <f>IFERROR((G386*G377+G199*G206+G205*G207+G352*G355)/(G377+G224+G199+G205+G373+G352),0)</f>
        <v>0</v>
      </c>
      <c r="H387" s="604">
        <f>IFERROR((H386*H377+H199*H206+H205*H207+H352*H355)/(H377+H224+H199+H205+H373+H352),0)</f>
        <v>0</v>
      </c>
      <c r="I387" s="604">
        <f>IFERROR((I386*I377+I199*I206+I205*I207+I352*I355)/(I377+I224+I199+I205+I373+I352),0)</f>
        <v>0</v>
      </c>
      <c r="J387" s="637"/>
      <c r="K387" s="32"/>
    </row>
    <row r="388" spans="1:11" x14ac:dyDescent="0.35">
      <c r="A388" s="812" t="s">
        <v>118</v>
      </c>
      <c r="B388" s="813" t="s">
        <v>1621</v>
      </c>
      <c r="C388" s="814"/>
      <c r="D388" s="812" t="s">
        <v>1142</v>
      </c>
      <c r="E388" s="605">
        <f>E380*10^5*E386/10^3</f>
        <v>0</v>
      </c>
      <c r="F388" s="564">
        <f>F380*10^5*F386/10^3</f>
        <v>0</v>
      </c>
      <c r="G388" s="564">
        <f>G380*10^5*G386/10^3</f>
        <v>0</v>
      </c>
      <c r="H388" s="605">
        <f>H380*10^5*H386/10^3</f>
        <v>0</v>
      </c>
      <c r="I388" s="564">
        <f>I380*10^5*I386/10^3</f>
        <v>0</v>
      </c>
      <c r="J388" s="637"/>
      <c r="K388" s="32"/>
    </row>
    <row r="389" spans="1:11" x14ac:dyDescent="0.35">
      <c r="A389" s="812" t="s">
        <v>121</v>
      </c>
      <c r="B389" s="813" t="s">
        <v>1622</v>
      </c>
      <c r="C389" s="814"/>
      <c r="D389" s="812" t="s">
        <v>1142</v>
      </c>
      <c r="E389" s="564">
        <f>E387*E381*10^5/1000</f>
        <v>0</v>
      </c>
      <c r="F389" s="564">
        <f>F387*F381*10^5/1000</f>
        <v>0</v>
      </c>
      <c r="G389" s="564">
        <f>G387*G381*10^5/1000</f>
        <v>0</v>
      </c>
      <c r="H389" s="605">
        <f>H387*H381*10^5/1000</f>
        <v>0</v>
      </c>
      <c r="I389" s="564">
        <f>I387*I381*10^5/1000</f>
        <v>0</v>
      </c>
      <c r="J389" s="637"/>
      <c r="K389" s="32"/>
    </row>
    <row r="390" spans="1:11" x14ac:dyDescent="0.35">
      <c r="A390" s="812" t="s">
        <v>124</v>
      </c>
      <c r="B390" s="813" t="s">
        <v>1623</v>
      </c>
      <c r="C390" s="814"/>
      <c r="D390" s="812" t="s">
        <v>1142</v>
      </c>
      <c r="E390" s="605">
        <f>E389+E388</f>
        <v>0</v>
      </c>
      <c r="F390" s="564">
        <f>F389+F388</f>
        <v>0</v>
      </c>
      <c r="G390" s="564">
        <f>G389+G388</f>
        <v>0</v>
      </c>
      <c r="H390" s="605">
        <f>H389+H388</f>
        <v>0</v>
      </c>
      <c r="I390" s="564">
        <f>I389+I388</f>
        <v>0</v>
      </c>
      <c r="J390" s="637"/>
      <c r="K390" s="32"/>
    </row>
    <row r="391" spans="1:11" x14ac:dyDescent="0.35">
      <c r="A391" s="834" t="s">
        <v>489</v>
      </c>
      <c r="B391" s="801" t="s">
        <v>1624</v>
      </c>
      <c r="C391" s="800"/>
      <c r="D391" s="606"/>
      <c r="E391" s="606"/>
      <c r="F391" s="606"/>
      <c r="G391" s="607"/>
      <c r="H391" s="791"/>
      <c r="I391" s="608"/>
      <c r="J391" s="608"/>
      <c r="K391" s="608"/>
    </row>
    <row r="392" spans="1:11" x14ac:dyDescent="0.35">
      <c r="A392" s="590" t="s">
        <v>1625</v>
      </c>
      <c r="B392" s="591" t="s">
        <v>1626</v>
      </c>
      <c r="C392" s="592"/>
      <c r="D392" s="259"/>
      <c r="E392" s="259"/>
      <c r="F392" s="259"/>
      <c r="G392" s="256"/>
      <c r="H392" s="789"/>
      <c r="I392" s="586"/>
      <c r="J392" s="586"/>
      <c r="K392" s="586"/>
    </row>
    <row r="393" spans="1:11" x14ac:dyDescent="0.35">
      <c r="A393" s="52" t="s">
        <v>110</v>
      </c>
      <c r="B393" s="3" t="s">
        <v>1627</v>
      </c>
      <c r="C393" s="835" t="s">
        <v>1628</v>
      </c>
      <c r="D393" s="52" t="s">
        <v>1629</v>
      </c>
      <c r="E393" s="561"/>
      <c r="F393" s="561"/>
      <c r="G393" s="561"/>
      <c r="H393" s="485">
        <f t="shared" ref="H393:H407" si="15">IF(K$8=1,E393,IF(K$8=2,(E393+F393)/2,(E393+F393+G393)/3))</f>
        <v>0</v>
      </c>
      <c r="I393" s="561"/>
      <c r="J393" s="561"/>
      <c r="K393" s="561"/>
    </row>
    <row r="394" spans="1:11" x14ac:dyDescent="0.35">
      <c r="A394" s="52" t="s">
        <v>115</v>
      </c>
      <c r="B394" s="3" t="s">
        <v>1630</v>
      </c>
      <c r="C394" s="2" t="s">
        <v>1631</v>
      </c>
      <c r="D394" s="52" t="s">
        <v>1632</v>
      </c>
      <c r="E394" s="561"/>
      <c r="F394" s="561"/>
      <c r="G394" s="561"/>
      <c r="H394" s="485">
        <f t="shared" si="15"/>
        <v>0</v>
      </c>
      <c r="I394" s="561"/>
      <c r="J394" s="561"/>
      <c r="K394" s="561"/>
    </row>
    <row r="395" spans="1:11" x14ac:dyDescent="0.35">
      <c r="A395" s="52" t="s">
        <v>118</v>
      </c>
      <c r="B395" s="3" t="s">
        <v>1633</v>
      </c>
      <c r="C395" s="2" t="s">
        <v>1631</v>
      </c>
      <c r="D395" s="52" t="s">
        <v>1632</v>
      </c>
      <c r="E395" s="561"/>
      <c r="F395" s="561"/>
      <c r="G395" s="561"/>
      <c r="H395" s="485">
        <f t="shared" si="15"/>
        <v>0</v>
      </c>
      <c r="I395" s="588"/>
      <c r="J395" s="588"/>
      <c r="K395" s="561"/>
    </row>
    <row r="396" spans="1:11" x14ac:dyDescent="0.35">
      <c r="A396" s="52" t="s">
        <v>121</v>
      </c>
      <c r="B396" s="3" t="s">
        <v>1634</v>
      </c>
      <c r="C396" s="2" t="s">
        <v>56</v>
      </c>
      <c r="D396" s="52" t="s">
        <v>1632</v>
      </c>
      <c r="E396" s="609"/>
      <c r="F396" s="609">
        <f>F394*0.95</f>
        <v>0</v>
      </c>
      <c r="G396" s="609">
        <f>G394*0.95</f>
        <v>0</v>
      </c>
      <c r="H396" s="485">
        <f t="shared" si="15"/>
        <v>0</v>
      </c>
      <c r="I396" s="609">
        <f>I394*0.95</f>
        <v>0</v>
      </c>
      <c r="J396" s="588"/>
      <c r="K396" s="561" t="s">
        <v>1635</v>
      </c>
    </row>
    <row r="397" spans="1:11" x14ac:dyDescent="0.35">
      <c r="A397" s="52" t="s">
        <v>124</v>
      </c>
      <c r="B397" s="3" t="s">
        <v>1636</v>
      </c>
      <c r="C397" s="2" t="s">
        <v>56</v>
      </c>
      <c r="D397" s="52" t="s">
        <v>1632</v>
      </c>
      <c r="E397" s="890"/>
      <c r="F397" s="609">
        <f>F395*0.95</f>
        <v>0</v>
      </c>
      <c r="G397" s="609">
        <f>G395*0.95</f>
        <v>0</v>
      </c>
      <c r="H397" s="485">
        <f t="shared" si="15"/>
        <v>0</v>
      </c>
      <c r="I397" s="609">
        <f>I395*0.95</f>
        <v>0</v>
      </c>
      <c r="J397" s="588"/>
      <c r="K397" s="561" t="s">
        <v>1637</v>
      </c>
    </row>
    <row r="398" spans="1:11" x14ac:dyDescent="0.35">
      <c r="A398" s="52" t="s">
        <v>162</v>
      </c>
      <c r="B398" s="3" t="s">
        <v>1638</v>
      </c>
      <c r="C398" s="2" t="s">
        <v>56</v>
      </c>
      <c r="D398" s="52" t="s">
        <v>1018</v>
      </c>
      <c r="E398" s="561"/>
      <c r="F398" s="561"/>
      <c r="G398" s="561"/>
      <c r="H398" s="485">
        <f t="shared" si="15"/>
        <v>0</v>
      </c>
      <c r="I398" s="561"/>
      <c r="J398" s="561"/>
      <c r="K398" s="561"/>
    </row>
    <row r="399" spans="1:11" x14ac:dyDescent="0.35">
      <c r="A399" s="52" t="s">
        <v>202</v>
      </c>
      <c r="B399" s="3" t="s">
        <v>1639</v>
      </c>
      <c r="C399" s="2" t="s">
        <v>56</v>
      </c>
      <c r="D399" s="52" t="s">
        <v>1018</v>
      </c>
      <c r="E399" s="561"/>
      <c r="F399" s="561"/>
      <c r="G399" s="561"/>
      <c r="H399" s="485">
        <f t="shared" si="15"/>
        <v>0</v>
      </c>
      <c r="I399" s="561"/>
      <c r="J399" s="561"/>
      <c r="K399" s="561"/>
    </row>
    <row r="400" spans="1:11" x14ac:dyDescent="0.35">
      <c r="A400" s="52" t="s">
        <v>203</v>
      </c>
      <c r="B400" s="3" t="s">
        <v>1640</v>
      </c>
      <c r="C400" s="2" t="s">
        <v>1641</v>
      </c>
      <c r="D400" s="52" t="s">
        <v>1057</v>
      </c>
      <c r="E400" s="561"/>
      <c r="F400" s="561"/>
      <c r="G400" s="561"/>
      <c r="H400" s="485">
        <f t="shared" si="15"/>
        <v>0</v>
      </c>
      <c r="I400" s="561"/>
      <c r="J400" s="561"/>
      <c r="K400" s="561"/>
    </row>
    <row r="401" spans="1:11" x14ac:dyDescent="0.35">
      <c r="A401" s="52" t="s">
        <v>225</v>
      </c>
      <c r="B401" s="3" t="s">
        <v>1642</v>
      </c>
      <c r="C401" s="2" t="s">
        <v>1641</v>
      </c>
      <c r="D401" s="52" t="s">
        <v>1057</v>
      </c>
      <c r="E401" s="561"/>
      <c r="F401" s="561"/>
      <c r="G401" s="561"/>
      <c r="H401" s="485">
        <f t="shared" si="15"/>
        <v>0</v>
      </c>
      <c r="I401" s="561"/>
      <c r="J401" s="561"/>
      <c r="K401" s="561"/>
    </row>
    <row r="402" spans="1:11" x14ac:dyDescent="0.35">
      <c r="A402" s="2" t="s">
        <v>229</v>
      </c>
      <c r="B402" s="3" t="s">
        <v>1643</v>
      </c>
      <c r="C402" s="2" t="s">
        <v>56</v>
      </c>
      <c r="D402" s="52" t="s">
        <v>1057</v>
      </c>
      <c r="E402" s="891"/>
      <c r="F402" s="891"/>
      <c r="G402" s="891"/>
      <c r="H402" s="485">
        <f t="shared" si="15"/>
        <v>0</v>
      </c>
      <c r="I402" s="561"/>
      <c r="J402" s="561"/>
      <c r="K402" s="561"/>
    </row>
    <row r="403" spans="1:11" x14ac:dyDescent="0.35">
      <c r="A403" s="2" t="s">
        <v>233</v>
      </c>
      <c r="B403" s="3" t="s">
        <v>1644</v>
      </c>
      <c r="C403" s="2" t="s">
        <v>56</v>
      </c>
      <c r="D403" s="52" t="s">
        <v>1057</v>
      </c>
      <c r="E403" s="891"/>
      <c r="F403" s="891"/>
      <c r="G403" s="891"/>
      <c r="H403" s="485">
        <f t="shared" si="15"/>
        <v>0</v>
      </c>
      <c r="I403" s="561"/>
      <c r="J403" s="561"/>
      <c r="K403" s="561"/>
    </row>
    <row r="404" spans="1:11" x14ac:dyDescent="0.35">
      <c r="A404" s="485" t="s">
        <v>238</v>
      </c>
      <c r="B404" s="889" t="s">
        <v>1645</v>
      </c>
      <c r="C404" s="485" t="s">
        <v>56</v>
      </c>
      <c r="D404" s="485" t="s">
        <v>1057</v>
      </c>
      <c r="E404" s="485"/>
      <c r="F404" s="485"/>
      <c r="G404" s="485"/>
      <c r="H404" s="485">
        <f t="shared" si="15"/>
        <v>0</v>
      </c>
      <c r="I404" s="561"/>
      <c r="J404" s="561"/>
      <c r="K404" s="561"/>
    </row>
    <row r="405" spans="1:11" x14ac:dyDescent="0.35">
      <c r="A405" s="485" t="s">
        <v>317</v>
      </c>
      <c r="B405" s="889" t="s">
        <v>1646</v>
      </c>
      <c r="C405" s="485" t="s">
        <v>56</v>
      </c>
      <c r="D405" s="485" t="s">
        <v>1057</v>
      </c>
      <c r="E405" s="485"/>
      <c r="F405" s="485"/>
      <c r="G405" s="485"/>
      <c r="H405" s="485">
        <f t="shared" si="15"/>
        <v>0</v>
      </c>
      <c r="I405" s="561"/>
      <c r="J405" s="561"/>
      <c r="K405" s="561"/>
    </row>
    <row r="406" spans="1:11" x14ac:dyDescent="0.35">
      <c r="A406" s="543" t="s">
        <v>319</v>
      </c>
      <c r="B406" s="3" t="s">
        <v>1647</v>
      </c>
      <c r="C406" s="2" t="s">
        <v>56</v>
      </c>
      <c r="D406" s="52" t="s">
        <v>1018</v>
      </c>
      <c r="E406" s="561"/>
      <c r="F406" s="561"/>
      <c r="G406" s="561"/>
      <c r="H406" s="485">
        <f t="shared" si="15"/>
        <v>0</v>
      </c>
      <c r="I406" s="561"/>
      <c r="J406" s="561"/>
      <c r="K406" s="561"/>
    </row>
    <row r="407" spans="1:11" x14ac:dyDescent="0.35">
      <c r="A407" s="543" t="s">
        <v>322</v>
      </c>
      <c r="B407" s="3" t="s">
        <v>1648</v>
      </c>
      <c r="C407" s="2" t="s">
        <v>1649</v>
      </c>
      <c r="D407" s="52" t="s">
        <v>1018</v>
      </c>
      <c r="E407" s="561"/>
      <c r="F407" s="561"/>
      <c r="G407" s="561"/>
      <c r="H407" s="485">
        <f t="shared" si="15"/>
        <v>0</v>
      </c>
      <c r="I407" s="588"/>
      <c r="J407" s="588"/>
      <c r="K407" s="561"/>
    </row>
    <row r="408" spans="1:11" x14ac:dyDescent="0.35">
      <c r="A408" s="717" t="s">
        <v>327</v>
      </c>
      <c r="B408" s="813" t="s">
        <v>1650</v>
      </c>
      <c r="C408" s="814" t="s">
        <v>56</v>
      </c>
      <c r="D408" s="812" t="s">
        <v>1651</v>
      </c>
      <c r="E408" s="486">
        <f>IFERROR((IF(E402=0,'Emission Factor &amp; GWP Backup'!$E$28,3.664*(E402/100)/E396*1000)),0)</f>
        <v>0.39607127999999325</v>
      </c>
      <c r="F408" s="486">
        <f>IFERROR((IF(F402=0,'Emission Factor &amp; GWP Backup'!$E$28,3.664*(F402/100)/F396*1000)),0)</f>
        <v>0.39607127999999325</v>
      </c>
      <c r="G408" s="486">
        <f>IFERROR((IF(G402=0,'Emission Factor &amp; GWP Backup'!$E$28,3.664*(G402/100)/G396*1000)),0)</f>
        <v>0.39607127999999325</v>
      </c>
      <c r="H408" s="486">
        <f>IFERROR((IF(H402=0,'Emission Factor &amp; GWP Backup'!$E$28,3.664*(H402/100)/H396*1000)),0)</f>
        <v>0.39607127999999325</v>
      </c>
      <c r="I408" s="486">
        <f>IFERROR((IF(I402=0,'Emission Factor &amp; GWP Backup'!$E$28,3.664*(I402/100)/I396*1000)),0)</f>
        <v>0.39607127999999325</v>
      </c>
      <c r="J408" s="874"/>
      <c r="K408" s="561"/>
    </row>
    <row r="409" spans="1:11" x14ac:dyDescent="0.35">
      <c r="A409" s="717" t="s">
        <v>332</v>
      </c>
      <c r="B409" s="813" t="s">
        <v>1652</v>
      </c>
      <c r="C409" s="814" t="s">
        <v>56</v>
      </c>
      <c r="D409" s="812" t="s">
        <v>1651</v>
      </c>
      <c r="E409" s="486">
        <f>IF(E403=0,'Emission Factor &amp; GWP Backup'!$E$28,3.664*(E403/100)/E397*1000)</f>
        <v>0.39607127999999325</v>
      </c>
      <c r="F409" s="486">
        <f>IFERROR((IF(F403=0,'Emission Factor &amp; GWP Backup'!$E$28,3.664*(F403/100)/F397*1000)),0)</f>
        <v>0.39607127999999325</v>
      </c>
      <c r="G409" s="486">
        <f>IFERROR((IF(G403=0,'Emission Factor &amp; GWP Backup'!$E$28,3.664*(G403/100)/G397*1000)),0)</f>
        <v>0.39607127999999325</v>
      </c>
      <c r="H409" s="486">
        <f>IFERROR((IF(H403=0,'Emission Factor &amp; GWP Backup'!$E$28,3.664*(H403/100)/H397*1000)),0)</f>
        <v>0.39607127999999325</v>
      </c>
      <c r="I409" s="486">
        <f>IFERROR((IF(I403=0,'Emission Factor &amp; GWP Backup'!$E$28,3.664*(I403/100)/I397*1000)),0)</f>
        <v>0.39607127999999325</v>
      </c>
      <c r="J409" s="874"/>
      <c r="K409" s="561"/>
    </row>
    <row r="410" spans="1:11" x14ac:dyDescent="0.35">
      <c r="A410" s="593" t="s">
        <v>337</v>
      </c>
      <c r="B410" s="594" t="s">
        <v>1653</v>
      </c>
      <c r="C410" s="564" t="s">
        <v>1654</v>
      </c>
      <c r="D410" s="593" t="s">
        <v>1018</v>
      </c>
      <c r="E410" s="593">
        <f>E406+E407</f>
        <v>0</v>
      </c>
      <c r="F410" s="593">
        <f>F406+F407</f>
        <v>0</v>
      </c>
      <c r="G410" s="594">
        <f>G406+G407</f>
        <v>0</v>
      </c>
      <c r="H410" s="595">
        <f>H406+H407</f>
        <v>0</v>
      </c>
      <c r="I410" s="593">
        <f>I406+I407</f>
        <v>0</v>
      </c>
      <c r="J410" s="611"/>
      <c r="K410" s="611"/>
    </row>
    <row r="411" spans="1:11" x14ac:dyDescent="0.35">
      <c r="A411" s="593" t="s">
        <v>340</v>
      </c>
      <c r="B411" s="594" t="s">
        <v>1655</v>
      </c>
      <c r="C411" s="564" t="s">
        <v>1656</v>
      </c>
      <c r="D411" s="593" t="s">
        <v>1139</v>
      </c>
      <c r="E411" s="593">
        <f t="shared" ref="E411:I412" si="16">E394*E406/1000</f>
        <v>0</v>
      </c>
      <c r="F411" s="593">
        <f t="shared" si="16"/>
        <v>0</v>
      </c>
      <c r="G411" s="594">
        <f t="shared" si="16"/>
        <v>0</v>
      </c>
      <c r="H411" s="595">
        <f t="shared" si="16"/>
        <v>0</v>
      </c>
      <c r="I411" s="593">
        <f t="shared" si="16"/>
        <v>0</v>
      </c>
      <c r="J411" s="611"/>
      <c r="K411" s="611"/>
    </row>
    <row r="412" spans="1:11" x14ac:dyDescent="0.35">
      <c r="A412" s="593" t="s">
        <v>344</v>
      </c>
      <c r="B412" s="594" t="s">
        <v>1657</v>
      </c>
      <c r="C412" s="564" t="s">
        <v>1658</v>
      </c>
      <c r="D412" s="593" t="s">
        <v>1139</v>
      </c>
      <c r="E412" s="593">
        <f t="shared" si="16"/>
        <v>0</v>
      </c>
      <c r="F412" s="593">
        <f t="shared" si="16"/>
        <v>0</v>
      </c>
      <c r="G412" s="594">
        <f t="shared" si="16"/>
        <v>0</v>
      </c>
      <c r="H412" s="595">
        <f t="shared" si="16"/>
        <v>0</v>
      </c>
      <c r="I412" s="593">
        <f t="shared" si="16"/>
        <v>0</v>
      </c>
      <c r="J412" s="611"/>
      <c r="K412" s="611"/>
    </row>
    <row r="413" spans="1:11" x14ac:dyDescent="0.35">
      <c r="A413" s="717" t="s">
        <v>348</v>
      </c>
      <c r="B413" s="836" t="s">
        <v>1659</v>
      </c>
      <c r="C413" s="832"/>
      <c r="D413" s="837" t="s">
        <v>1142</v>
      </c>
      <c r="E413" s="485">
        <f t="shared" ref="E413:I414" si="17">E406*1000*E396*E408*E404/100/10^6</f>
        <v>0</v>
      </c>
      <c r="F413" s="485">
        <f t="shared" si="17"/>
        <v>0</v>
      </c>
      <c r="G413" s="485">
        <f t="shared" si="17"/>
        <v>0</v>
      </c>
      <c r="H413" s="485">
        <f t="shared" si="17"/>
        <v>0</v>
      </c>
      <c r="I413" s="485">
        <f t="shared" si="17"/>
        <v>0</v>
      </c>
      <c r="J413" s="724"/>
      <c r="K413" s="611"/>
    </row>
    <row r="414" spans="1:11" x14ac:dyDescent="0.35">
      <c r="A414" s="717" t="s">
        <v>348</v>
      </c>
      <c r="B414" s="836" t="s">
        <v>1660</v>
      </c>
      <c r="C414" s="832"/>
      <c r="D414" s="837" t="s">
        <v>1142</v>
      </c>
      <c r="E414" s="485">
        <f t="shared" si="17"/>
        <v>0</v>
      </c>
      <c r="F414" s="485">
        <f t="shared" si="17"/>
        <v>0</v>
      </c>
      <c r="G414" s="485">
        <f t="shared" si="17"/>
        <v>0</v>
      </c>
      <c r="H414" s="485">
        <f t="shared" si="17"/>
        <v>0</v>
      </c>
      <c r="I414" s="485">
        <f t="shared" si="17"/>
        <v>0</v>
      </c>
      <c r="J414" s="724"/>
      <c r="K414" s="611"/>
    </row>
    <row r="415" spans="1:11" x14ac:dyDescent="0.35">
      <c r="A415" s="52"/>
      <c r="B415" s="3"/>
      <c r="C415" s="2"/>
      <c r="D415" s="52"/>
      <c r="E415" s="52"/>
      <c r="F415" s="52"/>
      <c r="G415" s="20"/>
      <c r="H415" s="786"/>
      <c r="I415" s="551"/>
      <c r="J415" s="551"/>
      <c r="K415" s="551"/>
    </row>
    <row r="416" spans="1:11" x14ac:dyDescent="0.35">
      <c r="A416" s="590" t="s">
        <v>1661</v>
      </c>
      <c r="B416" s="591" t="s">
        <v>1662</v>
      </c>
      <c r="C416" s="592"/>
      <c r="D416" s="259"/>
      <c r="E416" s="259"/>
      <c r="F416" s="259"/>
      <c r="G416" s="256"/>
      <c r="H416" s="789"/>
      <c r="I416" s="586"/>
      <c r="J416" s="586"/>
      <c r="K416" s="586"/>
    </row>
    <row r="417" spans="1:11" x14ac:dyDescent="0.35">
      <c r="A417" s="52" t="s">
        <v>110</v>
      </c>
      <c r="B417" s="3" t="s">
        <v>1627</v>
      </c>
      <c r="C417" s="835" t="s">
        <v>1628</v>
      </c>
      <c r="D417" s="52" t="s">
        <v>1629</v>
      </c>
      <c r="E417" s="563"/>
      <c r="F417" s="561"/>
      <c r="G417" s="561"/>
      <c r="H417" s="485">
        <f t="shared" ref="H417:H429" si="18">IF(K$8=1,E417,IF(K$8=2,(E417+F417)/2,(E417+F417+G417)/3))</f>
        <v>0</v>
      </c>
      <c r="I417" s="561"/>
      <c r="J417" s="561"/>
      <c r="K417" s="561"/>
    </row>
    <row r="418" spans="1:11" x14ac:dyDescent="0.35">
      <c r="A418" s="52" t="s">
        <v>115</v>
      </c>
      <c r="B418" s="3" t="s">
        <v>1630</v>
      </c>
      <c r="C418" s="2" t="s">
        <v>1631</v>
      </c>
      <c r="D418" s="52" t="s">
        <v>1632</v>
      </c>
      <c r="E418" s="561"/>
      <c r="F418" s="561"/>
      <c r="G418" s="561"/>
      <c r="H418" s="485">
        <f t="shared" si="18"/>
        <v>0</v>
      </c>
      <c r="I418" s="561"/>
      <c r="J418" s="561"/>
      <c r="K418" s="561"/>
    </row>
    <row r="419" spans="1:11" x14ac:dyDescent="0.35">
      <c r="A419" s="52" t="s">
        <v>118</v>
      </c>
      <c r="B419" s="3" t="s">
        <v>1663</v>
      </c>
      <c r="C419" s="2" t="s">
        <v>1631</v>
      </c>
      <c r="D419" s="52" t="s">
        <v>1632</v>
      </c>
      <c r="E419" s="561"/>
      <c r="F419" s="561"/>
      <c r="G419" s="561"/>
      <c r="H419" s="485">
        <f t="shared" si="18"/>
        <v>0</v>
      </c>
      <c r="I419" s="561"/>
      <c r="J419" s="926" t="s">
        <v>1664</v>
      </c>
      <c r="K419" s="561"/>
    </row>
    <row r="420" spans="1:11" x14ac:dyDescent="0.35">
      <c r="A420" s="52" t="s">
        <v>121</v>
      </c>
      <c r="B420" s="3" t="s">
        <v>1634</v>
      </c>
      <c r="C420" s="2" t="s">
        <v>56</v>
      </c>
      <c r="D420" s="52" t="s">
        <v>1632</v>
      </c>
      <c r="E420" s="609">
        <f>E418*0.95</f>
        <v>0</v>
      </c>
      <c r="F420" s="609">
        <f>F418*0.95</f>
        <v>0</v>
      </c>
      <c r="G420" s="609">
        <f>G418*0.95</f>
        <v>0</v>
      </c>
      <c r="H420" s="485">
        <f t="shared" si="18"/>
        <v>0</v>
      </c>
      <c r="I420" s="609">
        <f>I418*0.95</f>
        <v>0</v>
      </c>
      <c r="J420" s="264"/>
      <c r="K420" s="32"/>
    </row>
    <row r="421" spans="1:11" x14ac:dyDescent="0.35">
      <c r="A421" s="52" t="s">
        <v>124</v>
      </c>
      <c r="B421" s="3" t="s">
        <v>1665</v>
      </c>
      <c r="C421" s="2" t="s">
        <v>56</v>
      </c>
      <c r="D421" s="52" t="s">
        <v>1632</v>
      </c>
      <c r="E421" s="609"/>
      <c r="F421" s="609"/>
      <c r="G421" s="609"/>
      <c r="H421" s="485">
        <f t="shared" si="18"/>
        <v>0</v>
      </c>
      <c r="I421" s="609">
        <f>I419*0.95</f>
        <v>0</v>
      </c>
      <c r="J421" s="926" t="s">
        <v>1664</v>
      </c>
      <c r="K421" s="561" t="s">
        <v>1635</v>
      </c>
    </row>
    <row r="422" spans="1:11" x14ac:dyDescent="0.35">
      <c r="A422" s="52" t="s">
        <v>162</v>
      </c>
      <c r="B422" s="3" t="s">
        <v>1666</v>
      </c>
      <c r="C422" s="2" t="s">
        <v>56</v>
      </c>
      <c r="D422" s="52" t="s">
        <v>1018</v>
      </c>
      <c r="E422" s="561"/>
      <c r="F422" s="561"/>
      <c r="G422" s="561"/>
      <c r="H422" s="485">
        <f t="shared" si="18"/>
        <v>0</v>
      </c>
      <c r="I422" s="561"/>
      <c r="J422" s="561"/>
      <c r="K422" s="561" t="s">
        <v>1637</v>
      </c>
    </row>
    <row r="423" spans="1:11" x14ac:dyDescent="0.35">
      <c r="A423" s="52" t="s">
        <v>202</v>
      </c>
      <c r="B423" s="3" t="s">
        <v>1667</v>
      </c>
      <c r="C423" s="2" t="s">
        <v>1641</v>
      </c>
      <c r="D423" s="52" t="s">
        <v>1057</v>
      </c>
      <c r="E423" s="561"/>
      <c r="F423" s="561"/>
      <c r="G423" s="561"/>
      <c r="H423" s="485">
        <f t="shared" si="18"/>
        <v>0</v>
      </c>
      <c r="I423" s="561"/>
      <c r="J423" s="926" t="s">
        <v>1664</v>
      </c>
      <c r="K423" s="32"/>
    </row>
    <row r="424" spans="1:11" x14ac:dyDescent="0.35">
      <c r="A424" s="52" t="s">
        <v>203</v>
      </c>
      <c r="B424" s="3" t="s">
        <v>1668</v>
      </c>
      <c r="C424" s="2" t="s">
        <v>56</v>
      </c>
      <c r="D424" s="52" t="s">
        <v>1057</v>
      </c>
      <c r="E424" s="891"/>
      <c r="F424" s="891"/>
      <c r="G424" s="891"/>
      <c r="H424" s="485">
        <f t="shared" si="18"/>
        <v>0</v>
      </c>
      <c r="I424" s="561"/>
      <c r="J424" s="561"/>
      <c r="K424" s="32"/>
    </row>
    <row r="425" spans="1:11" x14ac:dyDescent="0.35">
      <c r="A425" s="52" t="s">
        <v>225</v>
      </c>
      <c r="B425" s="3" t="s">
        <v>1669</v>
      </c>
      <c r="C425" s="2" t="s">
        <v>56</v>
      </c>
      <c r="D425" s="52" t="s">
        <v>1057</v>
      </c>
      <c r="E425" s="891"/>
      <c r="F425" s="891"/>
      <c r="G425" s="891"/>
      <c r="H425" s="485">
        <f t="shared" si="18"/>
        <v>0</v>
      </c>
      <c r="I425" s="561"/>
      <c r="J425" s="561"/>
      <c r="K425" s="32"/>
    </row>
    <row r="426" spans="1:11" x14ac:dyDescent="0.35">
      <c r="A426" s="485" t="s">
        <v>229</v>
      </c>
      <c r="B426" s="889" t="s">
        <v>1645</v>
      </c>
      <c r="C426" s="485" t="s">
        <v>56</v>
      </c>
      <c r="D426" s="485" t="s">
        <v>1057</v>
      </c>
      <c r="E426" s="485"/>
      <c r="F426" s="485"/>
      <c r="G426" s="485"/>
      <c r="H426" s="485">
        <f t="shared" si="18"/>
        <v>0</v>
      </c>
      <c r="I426" s="561"/>
      <c r="J426" s="561"/>
      <c r="K426" s="32"/>
    </row>
    <row r="427" spans="1:11" x14ac:dyDescent="0.35">
      <c r="A427" s="485" t="s">
        <v>233</v>
      </c>
      <c r="B427" s="889" t="s">
        <v>1646</v>
      </c>
      <c r="C427" s="485" t="s">
        <v>56</v>
      </c>
      <c r="D427" s="485" t="s">
        <v>1057</v>
      </c>
      <c r="E427" s="485"/>
      <c r="F427" s="485"/>
      <c r="G427" s="485"/>
      <c r="H427" s="485">
        <f t="shared" si="18"/>
        <v>0</v>
      </c>
      <c r="I427" s="561"/>
      <c r="J427" s="561"/>
      <c r="K427" s="32"/>
    </row>
    <row r="428" spans="1:11" x14ac:dyDescent="0.35">
      <c r="A428" s="52" t="s">
        <v>238</v>
      </c>
      <c r="B428" s="3" t="s">
        <v>1647</v>
      </c>
      <c r="C428" s="2" t="s">
        <v>56</v>
      </c>
      <c r="D428" s="52" t="s">
        <v>1018</v>
      </c>
      <c r="E428" s="561"/>
      <c r="F428" s="561"/>
      <c r="G428" s="561"/>
      <c r="H428" s="485">
        <f t="shared" si="18"/>
        <v>0</v>
      </c>
      <c r="I428" s="561"/>
      <c r="J428" s="561"/>
      <c r="K428" s="32"/>
    </row>
    <row r="429" spans="1:11" x14ac:dyDescent="0.35">
      <c r="A429" s="52" t="s">
        <v>317</v>
      </c>
      <c r="B429" s="3" t="s">
        <v>1648</v>
      </c>
      <c r="C429" s="2" t="s">
        <v>1649</v>
      </c>
      <c r="D429" s="52" t="s">
        <v>1018</v>
      </c>
      <c r="E429" s="561"/>
      <c r="F429" s="561"/>
      <c r="G429" s="561"/>
      <c r="H429" s="485">
        <f t="shared" si="18"/>
        <v>0</v>
      </c>
      <c r="I429" s="561"/>
      <c r="J429" s="926" t="s">
        <v>1670</v>
      </c>
      <c r="K429" s="561"/>
    </row>
    <row r="430" spans="1:11" x14ac:dyDescent="0.35">
      <c r="A430" s="717" t="s">
        <v>319</v>
      </c>
      <c r="B430" s="813" t="s">
        <v>1650</v>
      </c>
      <c r="C430" s="814" t="s">
        <v>56</v>
      </c>
      <c r="D430" s="812" t="s">
        <v>1671</v>
      </c>
      <c r="E430" s="575">
        <f>IFERROR((IF(E424=0,'Emission Factor &amp; GWP Backup'!$E$20,3.664*(E424/100)/E420*1000)),0)</f>
        <v>0.40821299999999305</v>
      </c>
      <c r="F430" s="486">
        <f>IFERROR((IF(F424=0,'Emission Factor &amp; GWP Backup'!$E$20,3.664*(F424/100)/F420*1000)),0)</f>
        <v>0.40821299999999305</v>
      </c>
      <c r="G430" s="486">
        <f>IFERROR((IF(G424=0,'Emission Factor &amp; GWP Backup'!$E$20,3.664*(G424/100)/G420*1000)),0)</f>
        <v>0.40821299999999305</v>
      </c>
      <c r="H430" s="486">
        <f>IFERROR((IF(H424=0,'Emission Factor &amp; GWP Backup'!$E$20,3.664*(H424/100)/H420*1000)),0)</f>
        <v>0.40821299999999305</v>
      </c>
      <c r="I430" s="486">
        <f>IFERROR((IF(I424=0,'Emission Factor &amp; GWP Backup'!$E$20,3.664*(I424/100)/I420*1000)),0)</f>
        <v>0.40821299999999305</v>
      </c>
      <c r="J430" s="874"/>
      <c r="K430" s="561"/>
    </row>
    <row r="431" spans="1:11" x14ac:dyDescent="0.35">
      <c r="A431" s="717" t="s">
        <v>322</v>
      </c>
      <c r="B431" s="813" t="s">
        <v>1652</v>
      </c>
      <c r="C431" s="814" t="s">
        <v>56</v>
      </c>
      <c r="D431" s="812" t="s">
        <v>1671</v>
      </c>
      <c r="E431" s="575">
        <f>IFERROR((IF(E425=0,'Emission Factor &amp; GWP Backup'!$E$20,3.664*(E425/100)/E421*1000)),0)</f>
        <v>0.40821299999999305</v>
      </c>
      <c r="F431" s="486">
        <f>IFERROR((IF(F425=0,'Emission Factor &amp; GWP Backup'!$E$20,3.664*(F425/100)/F421*1000)),0)</f>
        <v>0.40821299999999305</v>
      </c>
      <c r="G431" s="486">
        <f>IFERROR((IF(G425=0,'Emission Factor &amp; GWP Backup'!$E$20,3.664*(G425/100)/G421*1000)),0)</f>
        <v>0.40821299999999305</v>
      </c>
      <c r="H431" s="486">
        <f>IFERROR((IF(H425=0,'Emission Factor &amp; GWP Backup'!$E$20,3.664*(H425/100)/H421*1000)),0)</f>
        <v>0.40821299999999305</v>
      </c>
      <c r="I431" s="486">
        <f>IFERROR((IF(I425=0,'Emission Factor &amp; GWP Backup'!$E$20,3.664*(I425/100)/I421*1000)),0)</f>
        <v>0.40821299999999305</v>
      </c>
      <c r="J431" s="874"/>
      <c r="K431" s="561"/>
    </row>
    <row r="432" spans="1:11" x14ac:dyDescent="0.35">
      <c r="A432" s="593" t="s">
        <v>327</v>
      </c>
      <c r="B432" s="594" t="s">
        <v>1653</v>
      </c>
      <c r="C432" s="564" t="s">
        <v>1654</v>
      </c>
      <c r="D432" s="593" t="s">
        <v>1018</v>
      </c>
      <c r="E432" s="593">
        <f>E428+E429</f>
        <v>0</v>
      </c>
      <c r="F432" s="593">
        <f>F428+F429</f>
        <v>0</v>
      </c>
      <c r="G432" s="593">
        <f>G428+G429</f>
        <v>0</v>
      </c>
      <c r="H432" s="595">
        <f>H428+H429</f>
        <v>0</v>
      </c>
      <c r="I432" s="593">
        <f>I428+I429</f>
        <v>0</v>
      </c>
      <c r="J432" s="611"/>
      <c r="K432" s="611"/>
    </row>
    <row r="433" spans="1:11" x14ac:dyDescent="0.35">
      <c r="A433" s="593" t="s">
        <v>332</v>
      </c>
      <c r="B433" s="594" t="s">
        <v>1655</v>
      </c>
      <c r="C433" s="564" t="s">
        <v>1656</v>
      </c>
      <c r="D433" s="593" t="s">
        <v>1139</v>
      </c>
      <c r="E433" s="593">
        <f t="shared" ref="E433:I434" si="19">E418*E428/1000</f>
        <v>0</v>
      </c>
      <c r="F433" s="593">
        <f t="shared" si="19"/>
        <v>0</v>
      </c>
      <c r="G433" s="593">
        <f t="shared" si="19"/>
        <v>0</v>
      </c>
      <c r="H433" s="595">
        <f t="shared" si="19"/>
        <v>0</v>
      </c>
      <c r="I433" s="593">
        <f t="shared" si="19"/>
        <v>0</v>
      </c>
      <c r="J433" s="611"/>
      <c r="K433" s="611"/>
    </row>
    <row r="434" spans="1:11" x14ac:dyDescent="0.35">
      <c r="A434" s="593" t="s">
        <v>337</v>
      </c>
      <c r="B434" s="594" t="s">
        <v>1657</v>
      </c>
      <c r="C434" s="564" t="s">
        <v>1658</v>
      </c>
      <c r="D434" s="593" t="s">
        <v>1139</v>
      </c>
      <c r="E434" s="593">
        <f t="shared" si="19"/>
        <v>0</v>
      </c>
      <c r="F434" s="593">
        <f t="shared" si="19"/>
        <v>0</v>
      </c>
      <c r="G434" s="593">
        <f t="shared" si="19"/>
        <v>0</v>
      </c>
      <c r="H434" s="595">
        <f t="shared" si="19"/>
        <v>0</v>
      </c>
      <c r="I434" s="593">
        <f t="shared" si="19"/>
        <v>0</v>
      </c>
      <c r="J434" s="611"/>
      <c r="K434" s="611"/>
    </row>
    <row r="435" spans="1:11" x14ac:dyDescent="0.35">
      <c r="A435" s="717" t="s">
        <v>340</v>
      </c>
      <c r="B435" s="836" t="s">
        <v>1659</v>
      </c>
      <c r="C435" s="832"/>
      <c r="D435" s="717" t="s">
        <v>1142</v>
      </c>
      <c r="E435" s="595">
        <f t="shared" ref="E435:G436" si="20">E428*1000*E420*E430*E426/100/10^6</f>
        <v>0</v>
      </c>
      <c r="F435" s="595">
        <f t="shared" si="20"/>
        <v>0</v>
      </c>
      <c r="G435" s="595">
        <f t="shared" si="20"/>
        <v>0</v>
      </c>
      <c r="H435" s="595">
        <f>AVERAGE(E435:G435)</f>
        <v>0</v>
      </c>
      <c r="I435" s="595">
        <f>AVERAGE(F435:H435)</f>
        <v>0</v>
      </c>
      <c r="J435" s="628"/>
      <c r="K435" s="611"/>
    </row>
    <row r="436" spans="1:11" x14ac:dyDescent="0.35">
      <c r="A436" s="717" t="s">
        <v>344</v>
      </c>
      <c r="B436" s="836" t="s">
        <v>1660</v>
      </c>
      <c r="C436" s="832"/>
      <c r="D436" s="717" t="s">
        <v>1142</v>
      </c>
      <c r="E436" s="593">
        <f t="shared" si="20"/>
        <v>0</v>
      </c>
      <c r="F436" s="593">
        <f t="shared" si="20"/>
        <v>0</v>
      </c>
      <c r="G436" s="593">
        <f t="shared" si="20"/>
        <v>0</v>
      </c>
      <c r="H436" s="595">
        <f>H429*1000*H421*H431*H427/100/10^6</f>
        <v>0</v>
      </c>
      <c r="I436" s="595">
        <f>I429*1000*I421*I431*I427/100/10^6</f>
        <v>0</v>
      </c>
      <c r="J436" s="628"/>
      <c r="K436" s="611"/>
    </row>
    <row r="437" spans="1:11" x14ac:dyDescent="0.35">
      <c r="A437" s="52"/>
      <c r="B437" s="3"/>
      <c r="C437" s="2"/>
      <c r="D437" s="52"/>
      <c r="E437" s="52"/>
      <c r="F437" s="52"/>
      <c r="G437" s="20"/>
      <c r="H437" s="785"/>
      <c r="I437" s="32"/>
      <c r="J437" s="32"/>
      <c r="K437" s="32"/>
    </row>
    <row r="438" spans="1:11" x14ac:dyDescent="0.35">
      <c r="A438" s="590" t="s">
        <v>1672</v>
      </c>
      <c r="B438" s="591" t="s">
        <v>1673</v>
      </c>
      <c r="C438" s="592"/>
      <c r="D438" s="259"/>
      <c r="E438" s="259"/>
      <c r="F438" s="259"/>
      <c r="G438" s="256"/>
      <c r="H438" s="789"/>
      <c r="I438" s="586"/>
      <c r="J438" s="586"/>
      <c r="K438" s="586"/>
    </row>
    <row r="439" spans="1:11" outlineLevel="1" x14ac:dyDescent="0.35">
      <c r="A439" s="52" t="s">
        <v>110</v>
      </c>
      <c r="B439" s="3" t="s">
        <v>1627</v>
      </c>
      <c r="C439" s="835" t="s">
        <v>1628</v>
      </c>
      <c r="D439" s="52" t="s">
        <v>1629</v>
      </c>
      <c r="E439" s="561"/>
      <c r="F439" s="561"/>
      <c r="G439" s="561"/>
      <c r="H439" s="485">
        <f t="shared" ref="H439:H451" si="21">IF(K$8=1,E439,IF(K$8=2,(E439+F439)/2,(E439+F439+G439)/3))</f>
        <v>0</v>
      </c>
      <c r="I439" s="561"/>
      <c r="J439" s="561"/>
      <c r="K439" s="561"/>
    </row>
    <row r="440" spans="1:11" outlineLevel="1" x14ac:dyDescent="0.35">
      <c r="A440" s="52" t="s">
        <v>115</v>
      </c>
      <c r="B440" s="3" t="s">
        <v>1630</v>
      </c>
      <c r="C440" s="2" t="s">
        <v>1631</v>
      </c>
      <c r="D440" s="52" t="s">
        <v>1632</v>
      </c>
      <c r="E440" s="561"/>
      <c r="F440" s="561"/>
      <c r="G440" s="561"/>
      <c r="H440" s="485">
        <f t="shared" si="21"/>
        <v>0</v>
      </c>
      <c r="I440" s="561"/>
      <c r="J440" s="926" t="s">
        <v>1664</v>
      </c>
      <c r="K440" s="561"/>
    </row>
    <row r="441" spans="1:11" outlineLevel="1" x14ac:dyDescent="0.35">
      <c r="A441" s="52" t="s">
        <v>118</v>
      </c>
      <c r="B441" s="3" t="s">
        <v>1663</v>
      </c>
      <c r="C441" s="2" t="s">
        <v>1631</v>
      </c>
      <c r="D441" s="52" t="s">
        <v>1632</v>
      </c>
      <c r="E441" s="561"/>
      <c r="F441" s="561"/>
      <c r="G441" s="561"/>
      <c r="H441" s="485">
        <f t="shared" si="21"/>
        <v>0</v>
      </c>
      <c r="I441" s="588"/>
      <c r="J441" s="926" t="s">
        <v>1664</v>
      </c>
      <c r="K441" s="561"/>
    </row>
    <row r="442" spans="1:11" outlineLevel="1" x14ac:dyDescent="0.35">
      <c r="A442" s="52" t="s">
        <v>121</v>
      </c>
      <c r="B442" s="3" t="s">
        <v>1634</v>
      </c>
      <c r="C442" s="2" t="s">
        <v>56</v>
      </c>
      <c r="D442" s="52" t="s">
        <v>1632</v>
      </c>
      <c r="E442" s="609"/>
      <c r="F442" s="609">
        <f>F440*0.95</f>
        <v>0</v>
      </c>
      <c r="G442" s="609">
        <f>G440*0.95</f>
        <v>0</v>
      </c>
      <c r="H442" s="485">
        <f t="shared" si="21"/>
        <v>0</v>
      </c>
      <c r="I442" s="609">
        <f>I440*0.95</f>
        <v>0</v>
      </c>
      <c r="J442" s="926" t="s">
        <v>1664</v>
      </c>
      <c r="K442" s="561" t="s">
        <v>1635</v>
      </c>
    </row>
    <row r="443" spans="1:11" outlineLevel="1" x14ac:dyDescent="0.35">
      <c r="A443" s="52" t="s">
        <v>124</v>
      </c>
      <c r="B443" s="3" t="s">
        <v>1665</v>
      </c>
      <c r="C443" s="2" t="s">
        <v>56</v>
      </c>
      <c r="D443" s="52" t="s">
        <v>1632</v>
      </c>
      <c r="E443" s="609"/>
      <c r="F443" s="609"/>
      <c r="G443" s="609"/>
      <c r="H443" s="485">
        <f t="shared" si="21"/>
        <v>0</v>
      </c>
      <c r="I443" s="609">
        <f>I441*0.95</f>
        <v>0</v>
      </c>
      <c r="J443" s="926" t="s">
        <v>1664</v>
      </c>
      <c r="K443" s="561" t="s">
        <v>1637</v>
      </c>
    </row>
    <row r="444" spans="1:11" outlineLevel="1" x14ac:dyDescent="0.35">
      <c r="A444" s="52" t="s">
        <v>162</v>
      </c>
      <c r="B444" s="3" t="s">
        <v>1666</v>
      </c>
      <c r="C444" s="2" t="s">
        <v>56</v>
      </c>
      <c r="D444" s="52" t="s">
        <v>1018</v>
      </c>
      <c r="E444" s="561"/>
      <c r="F444" s="561"/>
      <c r="G444" s="561"/>
      <c r="H444" s="485">
        <f t="shared" si="21"/>
        <v>0</v>
      </c>
      <c r="I444" s="561"/>
      <c r="J444" s="561"/>
      <c r="K444" s="561"/>
    </row>
    <row r="445" spans="1:11" outlineLevel="1" x14ac:dyDescent="0.35">
      <c r="A445" s="52" t="s">
        <v>202</v>
      </c>
      <c r="B445" s="3" t="s">
        <v>1667</v>
      </c>
      <c r="C445" s="2" t="s">
        <v>1641</v>
      </c>
      <c r="D445" s="52" t="s">
        <v>1057</v>
      </c>
      <c r="E445" s="561"/>
      <c r="F445" s="561"/>
      <c r="G445" s="561"/>
      <c r="H445" s="485">
        <f t="shared" si="21"/>
        <v>0</v>
      </c>
      <c r="I445" s="588"/>
      <c r="J445" s="926" t="s">
        <v>1664</v>
      </c>
      <c r="K445" s="561"/>
    </row>
    <row r="446" spans="1:11" outlineLevel="1" x14ac:dyDescent="0.35">
      <c r="A446" s="52" t="s">
        <v>203</v>
      </c>
      <c r="B446" s="3" t="s">
        <v>1668</v>
      </c>
      <c r="C446" s="2" t="s">
        <v>56</v>
      </c>
      <c r="D446" s="52" t="s">
        <v>1057</v>
      </c>
      <c r="E446" s="891"/>
      <c r="F446" s="891"/>
      <c r="G446" s="891"/>
      <c r="H446" s="485">
        <f t="shared" si="21"/>
        <v>0</v>
      </c>
      <c r="I446" s="588"/>
      <c r="J446" s="588"/>
      <c r="K446" s="561"/>
    </row>
    <row r="447" spans="1:11" outlineLevel="1" x14ac:dyDescent="0.35">
      <c r="A447" s="52" t="s">
        <v>225</v>
      </c>
      <c r="B447" s="3" t="s">
        <v>1669</v>
      </c>
      <c r="C447" s="2" t="s">
        <v>56</v>
      </c>
      <c r="D447" s="52" t="s">
        <v>1057</v>
      </c>
      <c r="E447" s="891"/>
      <c r="F447" s="891"/>
      <c r="G447" s="891"/>
      <c r="H447" s="485">
        <f t="shared" si="21"/>
        <v>0</v>
      </c>
      <c r="I447" s="588"/>
      <c r="J447" s="588"/>
      <c r="K447" s="561"/>
    </row>
    <row r="448" spans="1:11" outlineLevel="1" x14ac:dyDescent="0.35">
      <c r="A448" s="485" t="s">
        <v>229</v>
      </c>
      <c r="B448" s="889" t="s">
        <v>1645</v>
      </c>
      <c r="C448" s="485" t="s">
        <v>56</v>
      </c>
      <c r="D448" s="485" t="s">
        <v>1057</v>
      </c>
      <c r="E448" s="485"/>
      <c r="F448" s="485"/>
      <c r="G448" s="485"/>
      <c r="H448" s="485">
        <f t="shared" si="21"/>
        <v>0</v>
      </c>
      <c r="I448" s="561"/>
      <c r="J448" s="588"/>
      <c r="K448" s="561"/>
    </row>
    <row r="449" spans="1:11" outlineLevel="1" x14ac:dyDescent="0.35">
      <c r="A449" s="485" t="s">
        <v>233</v>
      </c>
      <c r="B449" s="889" t="s">
        <v>1646</v>
      </c>
      <c r="C449" s="485" t="s">
        <v>56</v>
      </c>
      <c r="D449" s="485" t="s">
        <v>1057</v>
      </c>
      <c r="E449" s="485"/>
      <c r="F449" s="485"/>
      <c r="G449" s="485"/>
      <c r="H449" s="485">
        <f t="shared" si="21"/>
        <v>0</v>
      </c>
      <c r="I449" s="561"/>
      <c r="J449" s="588"/>
      <c r="K449" s="561"/>
    </row>
    <row r="450" spans="1:11" outlineLevel="1" x14ac:dyDescent="0.35">
      <c r="A450" s="52" t="s">
        <v>238</v>
      </c>
      <c r="B450" s="3" t="s">
        <v>1647</v>
      </c>
      <c r="C450" s="2" t="s">
        <v>56</v>
      </c>
      <c r="D450" s="52" t="s">
        <v>1018</v>
      </c>
      <c r="E450" s="561"/>
      <c r="F450" s="561"/>
      <c r="G450" s="561"/>
      <c r="H450" s="485">
        <f t="shared" si="21"/>
        <v>0</v>
      </c>
      <c r="I450" s="561"/>
      <c r="J450" s="926" t="s">
        <v>1670</v>
      </c>
      <c r="K450" s="561"/>
    </row>
    <row r="451" spans="1:11" outlineLevel="1" x14ac:dyDescent="0.35">
      <c r="A451" s="52" t="s">
        <v>317</v>
      </c>
      <c r="B451" s="3" t="s">
        <v>1674</v>
      </c>
      <c r="C451" s="2" t="s">
        <v>1649</v>
      </c>
      <c r="D451" s="52" t="s">
        <v>1018</v>
      </c>
      <c r="E451" s="561"/>
      <c r="F451" s="561"/>
      <c r="G451" s="561"/>
      <c r="H451" s="485">
        <f t="shared" si="21"/>
        <v>0</v>
      </c>
      <c r="I451" s="588"/>
      <c r="J451" s="926" t="s">
        <v>1670</v>
      </c>
      <c r="K451" s="561"/>
    </row>
    <row r="452" spans="1:11" outlineLevel="1" x14ac:dyDescent="0.35">
      <c r="A452" s="717" t="s">
        <v>319</v>
      </c>
      <c r="B452" s="813" t="s">
        <v>1650</v>
      </c>
      <c r="C452" s="814" t="s">
        <v>56</v>
      </c>
      <c r="D452" s="812" t="s">
        <v>1671</v>
      </c>
      <c r="E452" s="486">
        <f>IFERROR((IF(E446=0,'Emission Factor &amp; GWP Backup'!$E$28,3.664*(E446/100)/E442*1000)),0)</f>
        <v>0.39607127999999325</v>
      </c>
      <c r="F452" s="486">
        <f>IFERROR((IF(F446=0,'Emission Factor &amp; GWP Backup'!$E$28,3.664*(F446/100)/F442*1000)),0)</f>
        <v>0.39607127999999325</v>
      </c>
      <c r="G452" s="486">
        <f>IFERROR((IF(G446=0,'Emission Factor &amp; GWP Backup'!$E$28,3.664*(G446/100)/G442*1000)),0)</f>
        <v>0.39607127999999325</v>
      </c>
      <c r="H452" s="486">
        <f>IFERROR((IF(H446=0,'Emission Factor &amp; GWP Backup'!$E$28,3.664*(H446/100)/H442*1000)),0)</f>
        <v>0.39607127999999325</v>
      </c>
      <c r="I452" s="486">
        <f>IFERROR((IF(I446=0,'Emission Factor &amp; GWP Backup'!$E$28,3.664*(I446/100)/I442*1000)),0)</f>
        <v>0.39607127999999325</v>
      </c>
      <c r="J452" s="874"/>
      <c r="K452" s="561"/>
    </row>
    <row r="453" spans="1:11" outlineLevel="1" x14ac:dyDescent="0.35">
      <c r="A453" s="717" t="s">
        <v>322</v>
      </c>
      <c r="B453" s="813" t="s">
        <v>1652</v>
      </c>
      <c r="C453" s="814" t="s">
        <v>56</v>
      </c>
      <c r="D453" s="812" t="s">
        <v>1671</v>
      </c>
      <c r="E453" s="486">
        <f>IFERROR((IF(E447=0,'Emission Factor &amp; GWP Backup'!$E$28,3.664*(E447/100)/E443*1000)),0)</f>
        <v>0.39607127999999325</v>
      </c>
      <c r="F453" s="486">
        <f>IFERROR((IF(F447=0,'Emission Factor &amp; GWP Backup'!$E$28,3.664*(F447/100)/F443*1000)),0)</f>
        <v>0.39607127999999325</v>
      </c>
      <c r="G453" s="486">
        <f>IFERROR((IF(G447=0,'Emission Factor &amp; GWP Backup'!$E$28,3.664*(G447/100)/G443*1000)),0)</f>
        <v>0.39607127999999325</v>
      </c>
      <c r="H453" s="486">
        <f>IFERROR((IF(H447=0,'Emission Factor &amp; GWP Backup'!$E$28,3.664*(H447/100)/H443*1000)),0)</f>
        <v>0.39607127999999325</v>
      </c>
      <c r="I453" s="486">
        <f>IFERROR((IF(I447=0,'Emission Factor &amp; GWP Backup'!$E$28,3.664*(I447/100)/I443*1000)),0)</f>
        <v>0.39607127999999325</v>
      </c>
      <c r="J453" s="874"/>
      <c r="K453" s="561"/>
    </row>
    <row r="454" spans="1:11" outlineLevel="1" x14ac:dyDescent="0.35">
      <c r="A454" s="593" t="s">
        <v>327</v>
      </c>
      <c r="B454" s="594" t="s">
        <v>1653</v>
      </c>
      <c r="C454" s="564" t="s">
        <v>1654</v>
      </c>
      <c r="D454" s="593" t="s">
        <v>1018</v>
      </c>
      <c r="E454" s="593">
        <f>E450+E451</f>
        <v>0</v>
      </c>
      <c r="F454" s="593">
        <f>F450+F451</f>
        <v>0</v>
      </c>
      <c r="G454" s="593">
        <f>G450+G451</f>
        <v>0</v>
      </c>
      <c r="H454" s="595">
        <f>H450+H451</f>
        <v>0</v>
      </c>
      <c r="I454" s="593">
        <f>I450+I451</f>
        <v>0</v>
      </c>
      <c r="J454" s="611"/>
      <c r="K454" s="611"/>
    </row>
    <row r="455" spans="1:11" outlineLevel="1" x14ac:dyDescent="0.35">
      <c r="A455" s="593" t="s">
        <v>332</v>
      </c>
      <c r="B455" s="594" t="s">
        <v>1655</v>
      </c>
      <c r="C455" s="564" t="s">
        <v>1656</v>
      </c>
      <c r="D455" s="593" t="s">
        <v>1139</v>
      </c>
      <c r="E455" s="593">
        <f t="shared" ref="E455:I456" si="22">E440*E450/1000</f>
        <v>0</v>
      </c>
      <c r="F455" s="593">
        <f t="shared" si="22"/>
        <v>0</v>
      </c>
      <c r="G455" s="593">
        <f t="shared" si="22"/>
        <v>0</v>
      </c>
      <c r="H455" s="595">
        <f t="shared" si="22"/>
        <v>0</v>
      </c>
      <c r="I455" s="593">
        <f t="shared" si="22"/>
        <v>0</v>
      </c>
      <c r="J455" s="611"/>
      <c r="K455" s="611"/>
    </row>
    <row r="456" spans="1:11" outlineLevel="1" x14ac:dyDescent="0.35">
      <c r="A456" s="593" t="s">
        <v>337</v>
      </c>
      <c r="B456" s="594" t="s">
        <v>1657</v>
      </c>
      <c r="C456" s="564" t="s">
        <v>1658</v>
      </c>
      <c r="D456" s="593" t="s">
        <v>1139</v>
      </c>
      <c r="E456" s="593">
        <f t="shared" si="22"/>
        <v>0</v>
      </c>
      <c r="F456" s="593">
        <f t="shared" si="22"/>
        <v>0</v>
      </c>
      <c r="G456" s="593">
        <f t="shared" si="22"/>
        <v>0</v>
      </c>
      <c r="H456" s="595">
        <f t="shared" si="22"/>
        <v>0</v>
      </c>
      <c r="I456" s="593">
        <f t="shared" si="22"/>
        <v>0</v>
      </c>
      <c r="J456" s="611"/>
      <c r="K456" s="611"/>
    </row>
    <row r="457" spans="1:11" outlineLevel="1" x14ac:dyDescent="0.35">
      <c r="A457" s="717" t="s">
        <v>340</v>
      </c>
      <c r="B457" s="836" t="s">
        <v>1659</v>
      </c>
      <c r="C457" s="832"/>
      <c r="D457" s="717" t="s">
        <v>1675</v>
      </c>
      <c r="E457" s="718">
        <f t="shared" ref="E457:I458" si="23">E450*1000*E442*E452*E448/100/10^6</f>
        <v>0</v>
      </c>
      <c r="F457" s="718">
        <f t="shared" si="23"/>
        <v>0</v>
      </c>
      <c r="G457" s="718">
        <f t="shared" si="23"/>
        <v>0</v>
      </c>
      <c r="H457" s="595">
        <f t="shared" si="23"/>
        <v>0</v>
      </c>
      <c r="I457" s="595">
        <f t="shared" si="23"/>
        <v>0</v>
      </c>
      <c r="J457" s="611"/>
      <c r="K457" s="611"/>
    </row>
    <row r="458" spans="1:11" outlineLevel="1" x14ac:dyDescent="0.35">
      <c r="A458" s="717" t="s">
        <v>344</v>
      </c>
      <c r="B458" s="836" t="s">
        <v>1660</v>
      </c>
      <c r="C458" s="832"/>
      <c r="D458" s="717" t="s">
        <v>1675</v>
      </c>
      <c r="E458" s="718">
        <f t="shared" si="23"/>
        <v>0</v>
      </c>
      <c r="F458" s="718">
        <f t="shared" si="23"/>
        <v>0</v>
      </c>
      <c r="G458" s="718">
        <f t="shared" si="23"/>
        <v>0</v>
      </c>
      <c r="H458" s="595">
        <f t="shared" si="23"/>
        <v>0</v>
      </c>
      <c r="I458" s="595">
        <f t="shared" si="23"/>
        <v>0</v>
      </c>
      <c r="J458" s="611"/>
      <c r="K458" s="611"/>
    </row>
    <row r="459" spans="1:11" x14ac:dyDescent="0.35">
      <c r="A459" s="52"/>
      <c r="B459" s="3"/>
      <c r="C459" s="2"/>
      <c r="D459" s="52"/>
      <c r="E459" s="52"/>
      <c r="F459" s="52"/>
      <c r="G459" s="20"/>
      <c r="H459" s="785"/>
      <c r="I459" s="32"/>
      <c r="J459" s="32"/>
      <c r="K459" s="32"/>
    </row>
    <row r="460" spans="1:11" x14ac:dyDescent="0.35">
      <c r="A460" s="590" t="s">
        <v>1676</v>
      </c>
      <c r="B460" s="591" t="s">
        <v>1677</v>
      </c>
      <c r="C460" s="592"/>
      <c r="D460" s="259"/>
      <c r="E460" s="259"/>
      <c r="F460" s="259"/>
      <c r="G460" s="256"/>
      <c r="H460" s="789"/>
      <c r="I460" s="586"/>
      <c r="J460" s="586"/>
      <c r="K460" s="586"/>
    </row>
    <row r="461" spans="1:11" outlineLevel="1" x14ac:dyDescent="0.35">
      <c r="A461" s="52" t="s">
        <v>110</v>
      </c>
      <c r="B461" s="3" t="s">
        <v>1627</v>
      </c>
      <c r="C461" s="835" t="s">
        <v>1628</v>
      </c>
      <c r="D461" s="52" t="s">
        <v>1629</v>
      </c>
      <c r="E461" s="561"/>
      <c r="F461" s="561"/>
      <c r="G461" s="561"/>
      <c r="H461" s="485">
        <f t="shared" ref="H461:H473" si="24">IF(K$8=1,E461,IF(K$8=2,(E461+F461)/2,(E461+F461+G461)/3))</f>
        <v>0</v>
      </c>
      <c r="I461" s="262"/>
      <c r="J461" s="262"/>
      <c r="K461" s="32"/>
    </row>
    <row r="462" spans="1:11" outlineLevel="1" x14ac:dyDescent="0.35">
      <c r="A462" s="52" t="s">
        <v>115</v>
      </c>
      <c r="B462" s="3" t="s">
        <v>1630</v>
      </c>
      <c r="C462" s="2" t="s">
        <v>1631</v>
      </c>
      <c r="D462" s="52" t="s">
        <v>1632</v>
      </c>
      <c r="E462" s="561"/>
      <c r="F462" s="561"/>
      <c r="G462" s="561"/>
      <c r="H462" s="485">
        <f t="shared" si="24"/>
        <v>0</v>
      </c>
      <c r="I462" s="262"/>
      <c r="J462" s="262"/>
      <c r="K462" s="32"/>
    </row>
    <row r="463" spans="1:11" outlineLevel="1" x14ac:dyDescent="0.35">
      <c r="A463" s="52" t="s">
        <v>118</v>
      </c>
      <c r="B463" s="3" t="s">
        <v>1663</v>
      </c>
      <c r="C463" s="2" t="s">
        <v>1631</v>
      </c>
      <c r="D463" s="52" t="s">
        <v>1632</v>
      </c>
      <c r="E463" s="561"/>
      <c r="F463" s="561"/>
      <c r="G463" s="561"/>
      <c r="H463" s="485">
        <f t="shared" si="24"/>
        <v>0</v>
      </c>
      <c r="I463" s="262"/>
      <c r="J463" s="262"/>
      <c r="K463" s="32"/>
    </row>
    <row r="464" spans="1:11" outlineLevel="1" x14ac:dyDescent="0.35">
      <c r="A464" s="52" t="s">
        <v>121</v>
      </c>
      <c r="B464" s="3" t="s">
        <v>1634</v>
      </c>
      <c r="C464" s="2" t="s">
        <v>56</v>
      </c>
      <c r="D464" s="52" t="s">
        <v>1632</v>
      </c>
      <c r="E464" s="609">
        <f t="shared" ref="E464:G465" si="25">E462*0.95</f>
        <v>0</v>
      </c>
      <c r="F464" s="609">
        <f t="shared" si="25"/>
        <v>0</v>
      </c>
      <c r="G464" s="609">
        <f t="shared" si="25"/>
        <v>0</v>
      </c>
      <c r="H464" s="485">
        <f t="shared" si="24"/>
        <v>0</v>
      </c>
      <c r="I464" s="609">
        <f>I462*0.95</f>
        <v>0</v>
      </c>
      <c r="J464" s="262"/>
      <c r="K464" s="32"/>
    </row>
    <row r="465" spans="1:11" outlineLevel="1" x14ac:dyDescent="0.35">
      <c r="A465" s="52" t="s">
        <v>124</v>
      </c>
      <c r="B465" s="3" t="s">
        <v>1665</v>
      </c>
      <c r="C465" s="2" t="s">
        <v>56</v>
      </c>
      <c r="D465" s="52" t="s">
        <v>1632</v>
      </c>
      <c r="E465" s="609">
        <f t="shared" si="25"/>
        <v>0</v>
      </c>
      <c r="F465" s="609">
        <f t="shared" si="25"/>
        <v>0</v>
      </c>
      <c r="G465" s="609">
        <f t="shared" si="25"/>
        <v>0</v>
      </c>
      <c r="H465" s="485">
        <f t="shared" si="24"/>
        <v>0</v>
      </c>
      <c r="I465" s="609">
        <f>I463*0.95</f>
        <v>0</v>
      </c>
      <c r="J465" s="262"/>
      <c r="K465" s="32"/>
    </row>
    <row r="466" spans="1:11" outlineLevel="1" x14ac:dyDescent="0.35">
      <c r="A466" s="52" t="s">
        <v>162</v>
      </c>
      <c r="B466" s="3" t="s">
        <v>1666</v>
      </c>
      <c r="C466" s="2" t="s">
        <v>56</v>
      </c>
      <c r="D466" s="52" t="s">
        <v>1018</v>
      </c>
      <c r="E466" s="561"/>
      <c r="F466" s="561"/>
      <c r="G466" s="561"/>
      <c r="H466" s="485">
        <f t="shared" si="24"/>
        <v>0</v>
      </c>
      <c r="I466" s="588"/>
      <c r="J466" s="588"/>
      <c r="K466" s="32"/>
    </row>
    <row r="467" spans="1:11" outlineLevel="1" x14ac:dyDescent="0.35">
      <c r="A467" s="52" t="s">
        <v>202</v>
      </c>
      <c r="B467" s="3" t="s">
        <v>1667</v>
      </c>
      <c r="C467" s="2" t="s">
        <v>1641</v>
      </c>
      <c r="D467" s="52" t="s">
        <v>1057</v>
      </c>
      <c r="E467" s="561"/>
      <c r="F467" s="561"/>
      <c r="G467" s="561"/>
      <c r="H467" s="485">
        <f t="shared" si="24"/>
        <v>0</v>
      </c>
      <c r="I467" s="262"/>
      <c r="J467" s="262"/>
      <c r="K467" s="32"/>
    </row>
    <row r="468" spans="1:11" outlineLevel="1" x14ac:dyDescent="0.35">
      <c r="A468" s="52" t="s">
        <v>203</v>
      </c>
      <c r="B468" s="3" t="s">
        <v>1668</v>
      </c>
      <c r="C468" s="2" t="s">
        <v>56</v>
      </c>
      <c r="D468" s="52" t="s">
        <v>1057</v>
      </c>
      <c r="E468" s="891"/>
      <c r="F468" s="891"/>
      <c r="G468" s="891"/>
      <c r="H468" s="485">
        <f t="shared" si="24"/>
        <v>0</v>
      </c>
      <c r="I468" s="262"/>
      <c r="J468" s="262"/>
      <c r="K468" s="32"/>
    </row>
    <row r="469" spans="1:11" outlineLevel="1" x14ac:dyDescent="0.35">
      <c r="A469" s="52" t="s">
        <v>225</v>
      </c>
      <c r="B469" s="3" t="s">
        <v>1669</v>
      </c>
      <c r="C469" s="2" t="s">
        <v>56</v>
      </c>
      <c r="D469" s="52" t="s">
        <v>1057</v>
      </c>
      <c r="E469" s="891"/>
      <c r="F469" s="891"/>
      <c r="G469" s="891"/>
      <c r="H469" s="485">
        <f t="shared" si="24"/>
        <v>0</v>
      </c>
      <c r="I469" s="262"/>
      <c r="J469" s="262"/>
      <c r="K469" s="32"/>
    </row>
    <row r="470" spans="1:11" outlineLevel="1" x14ac:dyDescent="0.35">
      <c r="A470" s="485" t="s">
        <v>229</v>
      </c>
      <c r="B470" s="889" t="s">
        <v>1645</v>
      </c>
      <c r="C470" s="485" t="s">
        <v>56</v>
      </c>
      <c r="D470" s="485" t="s">
        <v>1057</v>
      </c>
      <c r="E470" s="485"/>
      <c r="F470" s="485"/>
      <c r="G470" s="485"/>
      <c r="H470" s="485">
        <f t="shared" si="24"/>
        <v>0</v>
      </c>
      <c r="I470" s="561"/>
      <c r="J470" s="262"/>
      <c r="K470" s="32"/>
    </row>
    <row r="471" spans="1:11" outlineLevel="1" x14ac:dyDescent="0.35">
      <c r="A471" s="485" t="s">
        <v>233</v>
      </c>
      <c r="B471" s="889" t="s">
        <v>1646</v>
      </c>
      <c r="C471" s="485" t="s">
        <v>56</v>
      </c>
      <c r="D471" s="485" t="s">
        <v>1057</v>
      </c>
      <c r="E471" s="485"/>
      <c r="F471" s="485"/>
      <c r="G471" s="485"/>
      <c r="H471" s="485">
        <f t="shared" si="24"/>
        <v>0</v>
      </c>
      <c r="I471" s="561"/>
      <c r="J471" s="262"/>
      <c r="K471" s="32"/>
    </row>
    <row r="472" spans="1:11" outlineLevel="1" x14ac:dyDescent="0.35">
      <c r="A472" s="52" t="s">
        <v>238</v>
      </c>
      <c r="B472" s="3" t="s">
        <v>1647</v>
      </c>
      <c r="C472" s="2" t="s">
        <v>56</v>
      </c>
      <c r="D472" s="52" t="s">
        <v>1018</v>
      </c>
      <c r="E472" s="561"/>
      <c r="F472" s="561"/>
      <c r="G472" s="561"/>
      <c r="H472" s="485">
        <f t="shared" si="24"/>
        <v>0</v>
      </c>
      <c r="I472" s="588"/>
      <c r="J472" s="588"/>
      <c r="K472" s="32"/>
    </row>
    <row r="473" spans="1:11" outlineLevel="1" x14ac:dyDescent="0.35">
      <c r="A473" s="52" t="s">
        <v>317</v>
      </c>
      <c r="B473" s="3" t="s">
        <v>1674</v>
      </c>
      <c r="C473" s="2" t="s">
        <v>1649</v>
      </c>
      <c r="D473" s="52" t="s">
        <v>1018</v>
      </c>
      <c r="E473" s="561"/>
      <c r="F473" s="561"/>
      <c r="G473" s="561"/>
      <c r="H473" s="485">
        <f t="shared" si="24"/>
        <v>0</v>
      </c>
      <c r="I473" s="262"/>
      <c r="J473" s="262"/>
      <c r="K473" s="32"/>
    </row>
    <row r="474" spans="1:11" outlineLevel="1" x14ac:dyDescent="0.35">
      <c r="A474" s="717" t="s">
        <v>319</v>
      </c>
      <c r="B474" s="813" t="s">
        <v>1650</v>
      </c>
      <c r="C474" s="814" t="s">
        <v>56</v>
      </c>
      <c r="D474" s="812" t="s">
        <v>1651</v>
      </c>
      <c r="E474" s="486">
        <f>IFERROR((IF(E468=0,'Emission Factor &amp; GWP Backup'!$E$30,3.664*(E468/100)/E464*1000)),0)</f>
        <v>0.42286679999999283</v>
      </c>
      <c r="F474" s="486">
        <f>IFERROR((IF(F468=0,'Emission Factor &amp; GWP Backup'!$E$30,3.664*(F468/100)/F464*1000)),0)</f>
        <v>0.42286679999999283</v>
      </c>
      <c r="G474" s="486">
        <f>IFERROR((IF(G468=0,'Emission Factor &amp; GWP Backup'!$E$30,3.664*(G468/100)/G464*1000)),0)</f>
        <v>0.42286679999999283</v>
      </c>
      <c r="H474" s="486">
        <f>IFERROR((IF(H468=0,'Emission Factor &amp; GWP Backup'!$E$30,3.664*(H468/100)/H464*1000)),0)</f>
        <v>0.42286679999999283</v>
      </c>
      <c r="I474" s="486">
        <f>IFERROR((IF(I468=0,'Emission Factor &amp; GWP Backup'!$E$30,3.664*(I468/100)/I464*1000)),0)</f>
        <v>0.42286679999999283</v>
      </c>
      <c r="J474" s="874"/>
      <c r="K474" s="32"/>
    </row>
    <row r="475" spans="1:11" outlineLevel="1" x14ac:dyDescent="0.35">
      <c r="A475" s="717" t="s">
        <v>322</v>
      </c>
      <c r="B475" s="813" t="s">
        <v>1652</v>
      </c>
      <c r="C475" s="814" t="s">
        <v>56</v>
      </c>
      <c r="D475" s="812" t="s">
        <v>1678</v>
      </c>
      <c r="E475" s="486">
        <f>IFERROR((IF(E469=0,'Emission Factor &amp; GWP Backup'!$E$30,3.664*(E469/100)/E465*1000)),0)</f>
        <v>0.42286679999999283</v>
      </c>
      <c r="F475" s="486">
        <f>IFERROR((IF(F469=0,'Emission Factor &amp; GWP Backup'!$E$30,3.664*(F469/100)/F465*1000)),0)</f>
        <v>0.42286679999999283</v>
      </c>
      <c r="G475" s="486">
        <f>IFERROR((IF(G469=0,'Emission Factor &amp; GWP Backup'!$E$30,3.664*(G469/100)/G465*1000)),0)</f>
        <v>0.42286679999999283</v>
      </c>
      <c r="H475" s="486">
        <f>IFERROR((IF(H469=0,'Emission Factor &amp; GWP Backup'!$E$30,3.664*(H469/100)/H465*1000)),0)</f>
        <v>0.42286679999999283</v>
      </c>
      <c r="I475" s="486">
        <f>IFERROR((IF(I469=0,'Emission Factor &amp; GWP Backup'!$E$30,3.664*(I469/100)/I465*1000)),0)</f>
        <v>0.42286679999999283</v>
      </c>
      <c r="J475" s="874"/>
      <c r="K475" s="32"/>
    </row>
    <row r="476" spans="1:11" outlineLevel="1" x14ac:dyDescent="0.35">
      <c r="A476" s="593" t="s">
        <v>327</v>
      </c>
      <c r="B476" s="594" t="s">
        <v>1653</v>
      </c>
      <c r="C476" s="564" t="s">
        <v>1654</v>
      </c>
      <c r="D476" s="593" t="s">
        <v>1018</v>
      </c>
      <c r="E476" s="593">
        <f>E472+E473</f>
        <v>0</v>
      </c>
      <c r="F476" s="593">
        <f>F472+F473</f>
        <v>0</v>
      </c>
      <c r="G476" s="593">
        <f>G472+G473</f>
        <v>0</v>
      </c>
      <c r="H476" s="595">
        <f>H472+H473</f>
        <v>0</v>
      </c>
      <c r="I476" s="593">
        <f>I472+I473</f>
        <v>0</v>
      </c>
      <c r="J476" s="611"/>
      <c r="K476" s="611"/>
    </row>
    <row r="477" spans="1:11" outlineLevel="1" x14ac:dyDescent="0.35">
      <c r="A477" s="593" t="s">
        <v>332</v>
      </c>
      <c r="B477" s="594" t="s">
        <v>1655</v>
      </c>
      <c r="C477" s="564" t="s">
        <v>1656</v>
      </c>
      <c r="D477" s="593" t="s">
        <v>1139</v>
      </c>
      <c r="E477" s="593">
        <f t="shared" ref="E477:I478" si="26">E462*E472/1000</f>
        <v>0</v>
      </c>
      <c r="F477" s="593">
        <f t="shared" si="26"/>
        <v>0</v>
      </c>
      <c r="G477" s="593">
        <f t="shared" si="26"/>
        <v>0</v>
      </c>
      <c r="H477" s="595">
        <f t="shared" si="26"/>
        <v>0</v>
      </c>
      <c r="I477" s="593">
        <f t="shared" si="26"/>
        <v>0</v>
      </c>
      <c r="J477" s="611"/>
      <c r="K477" s="611"/>
    </row>
    <row r="478" spans="1:11" outlineLevel="1" x14ac:dyDescent="0.35">
      <c r="A478" s="593" t="s">
        <v>337</v>
      </c>
      <c r="B478" s="594" t="s">
        <v>1657</v>
      </c>
      <c r="C478" s="564" t="s">
        <v>1658</v>
      </c>
      <c r="D478" s="593" t="s">
        <v>1139</v>
      </c>
      <c r="E478" s="593">
        <f t="shared" si="26"/>
        <v>0</v>
      </c>
      <c r="F478" s="593">
        <f t="shared" si="26"/>
        <v>0</v>
      </c>
      <c r="G478" s="593">
        <f t="shared" si="26"/>
        <v>0</v>
      </c>
      <c r="H478" s="595">
        <f t="shared" si="26"/>
        <v>0</v>
      </c>
      <c r="I478" s="593">
        <f t="shared" si="26"/>
        <v>0</v>
      </c>
      <c r="J478" s="611"/>
      <c r="K478" s="611"/>
    </row>
    <row r="479" spans="1:11" outlineLevel="1" x14ac:dyDescent="0.35">
      <c r="A479" s="717" t="s">
        <v>340</v>
      </c>
      <c r="B479" s="836" t="s">
        <v>1659</v>
      </c>
      <c r="C479" s="832"/>
      <c r="D479" s="717" t="s">
        <v>1142</v>
      </c>
      <c r="E479" s="595">
        <f t="shared" ref="E479:I480" si="27">E472*1000*E464*E474*E470/100/10^6</f>
        <v>0</v>
      </c>
      <c r="F479" s="595">
        <f t="shared" si="27"/>
        <v>0</v>
      </c>
      <c r="G479" s="595">
        <f t="shared" si="27"/>
        <v>0</v>
      </c>
      <c r="H479" s="595">
        <f t="shared" si="27"/>
        <v>0</v>
      </c>
      <c r="I479" s="595">
        <f t="shared" si="27"/>
        <v>0</v>
      </c>
      <c r="J479" s="628"/>
      <c r="K479" s="611"/>
    </row>
    <row r="480" spans="1:11" outlineLevel="1" x14ac:dyDescent="0.35">
      <c r="A480" s="717" t="s">
        <v>344</v>
      </c>
      <c r="B480" s="836" t="s">
        <v>1660</v>
      </c>
      <c r="C480" s="832"/>
      <c r="D480" s="717" t="s">
        <v>1142</v>
      </c>
      <c r="E480" s="595">
        <f t="shared" si="27"/>
        <v>0</v>
      </c>
      <c r="F480" s="595">
        <f t="shared" si="27"/>
        <v>0</v>
      </c>
      <c r="G480" s="595">
        <f t="shared" si="27"/>
        <v>0</v>
      </c>
      <c r="H480" s="595">
        <f t="shared" si="27"/>
        <v>0</v>
      </c>
      <c r="I480" s="595">
        <f t="shared" si="27"/>
        <v>0</v>
      </c>
      <c r="J480" s="628"/>
      <c r="K480" s="611"/>
    </row>
    <row r="481" spans="1:11" x14ac:dyDescent="0.35">
      <c r="A481" s="543"/>
      <c r="B481" s="597"/>
      <c r="C481" s="580"/>
      <c r="D481" s="543"/>
      <c r="E481" s="543"/>
      <c r="F481" s="596"/>
      <c r="G481" s="596"/>
      <c r="H481" s="596"/>
      <c r="I481" s="543"/>
      <c r="J481" s="611"/>
      <c r="K481" s="611"/>
    </row>
    <row r="482" spans="1:11" x14ac:dyDescent="0.35">
      <c r="A482" s="590" t="s">
        <v>1679</v>
      </c>
      <c r="B482" s="591" t="s">
        <v>1680</v>
      </c>
      <c r="C482" s="592"/>
      <c r="D482" s="259"/>
      <c r="E482" s="586" t="s">
        <v>1681</v>
      </c>
      <c r="F482" s="259"/>
      <c r="G482" s="259"/>
      <c r="H482" s="789"/>
      <c r="I482" s="586"/>
      <c r="J482" s="586"/>
      <c r="K482" s="586"/>
    </row>
    <row r="483" spans="1:11" outlineLevel="1" x14ac:dyDescent="0.35">
      <c r="A483" s="52" t="s">
        <v>110</v>
      </c>
      <c r="B483" s="3" t="s">
        <v>1627</v>
      </c>
      <c r="C483" s="835" t="s">
        <v>1628</v>
      </c>
      <c r="D483" s="52" t="s">
        <v>1629</v>
      </c>
      <c r="E483" s="561"/>
      <c r="F483" s="32"/>
      <c r="G483" s="561"/>
      <c r="H483" s="485">
        <f t="shared" ref="H483:H495" si="28">IF(K$8=1,E483,IF(K$8=2,(E483+F483)/2,(E483+F483+G483)/3))</f>
        <v>0</v>
      </c>
      <c r="I483" s="262"/>
      <c r="J483" s="262"/>
      <c r="K483" s="32"/>
    </row>
    <row r="484" spans="1:11" outlineLevel="1" x14ac:dyDescent="0.35">
      <c r="A484" s="52" t="s">
        <v>115</v>
      </c>
      <c r="B484" s="3" t="s">
        <v>1630</v>
      </c>
      <c r="C484" s="2" t="s">
        <v>1631</v>
      </c>
      <c r="D484" s="52" t="s">
        <v>1632</v>
      </c>
      <c r="E484" s="561"/>
      <c r="F484" s="561"/>
      <c r="G484" s="561"/>
      <c r="H484" s="485">
        <f t="shared" si="28"/>
        <v>0</v>
      </c>
      <c r="I484" s="262"/>
      <c r="J484" s="926" t="s">
        <v>1664</v>
      </c>
      <c r="K484" s="32"/>
    </row>
    <row r="485" spans="1:11" outlineLevel="1" x14ac:dyDescent="0.35">
      <c r="A485" s="52" t="s">
        <v>118</v>
      </c>
      <c r="B485" s="3" t="s">
        <v>1663</v>
      </c>
      <c r="C485" s="2" t="s">
        <v>1631</v>
      </c>
      <c r="D485" s="52" t="s">
        <v>1632</v>
      </c>
      <c r="E485" s="561"/>
      <c r="F485" s="561"/>
      <c r="G485" s="561"/>
      <c r="H485" s="485">
        <f t="shared" si="28"/>
        <v>0</v>
      </c>
      <c r="I485" s="262"/>
      <c r="J485" s="926" t="s">
        <v>1664</v>
      </c>
      <c r="K485" s="32"/>
    </row>
    <row r="486" spans="1:11" outlineLevel="1" x14ac:dyDescent="0.35">
      <c r="A486" s="52" t="s">
        <v>121</v>
      </c>
      <c r="B486" s="3" t="s">
        <v>1634</v>
      </c>
      <c r="C486" s="2" t="s">
        <v>56</v>
      </c>
      <c r="D486" s="52" t="s">
        <v>1632</v>
      </c>
      <c r="E486" s="609">
        <f>E484*0.95</f>
        <v>0</v>
      </c>
      <c r="F486" s="609">
        <f>F484*0.95</f>
        <v>0</v>
      </c>
      <c r="G486" s="609">
        <f>G484*0.95</f>
        <v>0</v>
      </c>
      <c r="H486" s="485">
        <f t="shared" si="28"/>
        <v>0</v>
      </c>
      <c r="I486" s="609">
        <f>I484*0.95</f>
        <v>0</v>
      </c>
      <c r="J486" s="926" t="s">
        <v>1664</v>
      </c>
      <c r="K486" s="32"/>
    </row>
    <row r="487" spans="1:11" outlineLevel="1" x14ac:dyDescent="0.35">
      <c r="A487" s="52" t="s">
        <v>124</v>
      </c>
      <c r="B487" s="3" t="s">
        <v>1665</v>
      </c>
      <c r="C487" s="2" t="s">
        <v>56</v>
      </c>
      <c r="D487" s="52" t="s">
        <v>1632</v>
      </c>
      <c r="E487" s="609"/>
      <c r="F487" s="609"/>
      <c r="G487" s="609"/>
      <c r="H487" s="485">
        <f t="shared" si="28"/>
        <v>0</v>
      </c>
      <c r="I487" s="609">
        <f>I485*0.95</f>
        <v>0</v>
      </c>
      <c r="J487" s="926" t="s">
        <v>1664</v>
      </c>
      <c r="K487" s="32"/>
    </row>
    <row r="488" spans="1:11" outlineLevel="1" x14ac:dyDescent="0.35">
      <c r="A488" s="52" t="s">
        <v>162</v>
      </c>
      <c r="B488" s="3" t="s">
        <v>1666</v>
      </c>
      <c r="C488" s="2" t="s">
        <v>56</v>
      </c>
      <c r="D488" s="52" t="s">
        <v>1018</v>
      </c>
      <c r="E488" s="561"/>
      <c r="F488" s="561"/>
      <c r="G488" s="561"/>
      <c r="H488" s="485">
        <f t="shared" si="28"/>
        <v>0</v>
      </c>
      <c r="I488" s="588"/>
      <c r="J488" s="588"/>
      <c r="K488" s="32"/>
    </row>
    <row r="489" spans="1:11" outlineLevel="1" x14ac:dyDescent="0.35">
      <c r="A489" s="52" t="s">
        <v>202</v>
      </c>
      <c r="B489" s="3" t="s">
        <v>1667</v>
      </c>
      <c r="C489" s="2" t="s">
        <v>1641</v>
      </c>
      <c r="D489" s="52" t="s">
        <v>1057</v>
      </c>
      <c r="E489" s="561"/>
      <c r="F489" s="561"/>
      <c r="G489" s="561"/>
      <c r="H489" s="485">
        <f t="shared" si="28"/>
        <v>0</v>
      </c>
      <c r="I489" s="262"/>
      <c r="J489" s="926" t="s">
        <v>1664</v>
      </c>
      <c r="K489" s="32"/>
    </row>
    <row r="490" spans="1:11" outlineLevel="1" x14ac:dyDescent="0.35">
      <c r="A490" s="52" t="s">
        <v>203</v>
      </c>
      <c r="B490" s="3" t="s">
        <v>1668</v>
      </c>
      <c r="C490" s="2" t="s">
        <v>56</v>
      </c>
      <c r="D490" s="52" t="s">
        <v>1057</v>
      </c>
      <c r="E490" s="891"/>
      <c r="F490" s="891"/>
      <c r="G490" s="891"/>
      <c r="H490" s="485">
        <f t="shared" si="28"/>
        <v>0</v>
      </c>
      <c r="I490" s="262"/>
      <c r="J490" s="262"/>
      <c r="K490" s="32"/>
    </row>
    <row r="491" spans="1:11" outlineLevel="1" x14ac:dyDescent="0.35">
      <c r="A491" s="52" t="s">
        <v>225</v>
      </c>
      <c r="B491" s="3" t="s">
        <v>1669</v>
      </c>
      <c r="C491" s="2" t="s">
        <v>56</v>
      </c>
      <c r="D491" s="52" t="s">
        <v>1057</v>
      </c>
      <c r="E491" s="891"/>
      <c r="F491" s="891"/>
      <c r="G491" s="891"/>
      <c r="H491" s="485">
        <f t="shared" si="28"/>
        <v>0</v>
      </c>
      <c r="I491" s="262"/>
      <c r="J491" s="262"/>
      <c r="K491" s="32"/>
    </row>
    <row r="492" spans="1:11" outlineLevel="1" x14ac:dyDescent="0.35">
      <c r="A492" s="485" t="s">
        <v>229</v>
      </c>
      <c r="B492" s="889" t="s">
        <v>1645</v>
      </c>
      <c r="C492" s="485" t="s">
        <v>56</v>
      </c>
      <c r="D492" s="485" t="s">
        <v>1057</v>
      </c>
      <c r="E492" s="485"/>
      <c r="F492" s="485"/>
      <c r="G492" s="485"/>
      <c r="H492" s="485">
        <f t="shared" si="28"/>
        <v>0</v>
      </c>
      <c r="I492" s="561"/>
      <c r="J492" s="262"/>
      <c r="K492" s="32"/>
    </row>
    <row r="493" spans="1:11" outlineLevel="1" x14ac:dyDescent="0.35">
      <c r="A493" s="485" t="s">
        <v>233</v>
      </c>
      <c r="B493" s="889" t="s">
        <v>1646</v>
      </c>
      <c r="C493" s="485" t="s">
        <v>56</v>
      </c>
      <c r="D493" s="485" t="s">
        <v>1057</v>
      </c>
      <c r="E493" s="485"/>
      <c r="F493" s="485"/>
      <c r="G493" s="485"/>
      <c r="H493" s="485">
        <f t="shared" si="28"/>
        <v>0</v>
      </c>
      <c r="I493" s="561"/>
      <c r="J493" s="262"/>
      <c r="K493" s="32"/>
    </row>
    <row r="494" spans="1:11" ht="43.5" customHeight="1" outlineLevel="1" x14ac:dyDescent="0.35">
      <c r="A494" s="52" t="s">
        <v>238</v>
      </c>
      <c r="B494" s="3" t="s">
        <v>1647</v>
      </c>
      <c r="C494" s="2" t="s">
        <v>56</v>
      </c>
      <c r="D494" s="52" t="s">
        <v>1018</v>
      </c>
      <c r="E494" s="561"/>
      <c r="F494" s="561"/>
      <c r="G494" s="561"/>
      <c r="H494" s="485">
        <f t="shared" si="28"/>
        <v>0</v>
      </c>
      <c r="I494" s="588"/>
      <c r="J494" s="926" t="s">
        <v>1670</v>
      </c>
      <c r="K494" s="32" t="s">
        <v>1682</v>
      </c>
    </row>
    <row r="495" spans="1:11" outlineLevel="1" x14ac:dyDescent="0.35">
      <c r="A495" s="52" t="s">
        <v>317</v>
      </c>
      <c r="B495" s="3" t="s">
        <v>1674</v>
      </c>
      <c r="C495" s="2" t="s">
        <v>1649</v>
      </c>
      <c r="D495" s="52" t="s">
        <v>1018</v>
      </c>
      <c r="E495" s="561"/>
      <c r="F495" s="561"/>
      <c r="G495" s="561"/>
      <c r="H495" s="485">
        <f t="shared" si="28"/>
        <v>0</v>
      </c>
      <c r="I495" s="262"/>
      <c r="J495" s="926" t="s">
        <v>1670</v>
      </c>
      <c r="K495" s="32"/>
    </row>
    <row r="496" spans="1:11" outlineLevel="1" x14ac:dyDescent="0.35">
      <c r="A496" s="717" t="s">
        <v>319</v>
      </c>
      <c r="B496" s="813" t="s">
        <v>1650</v>
      </c>
      <c r="C496" s="814" t="s">
        <v>56</v>
      </c>
      <c r="D496" s="812" t="s">
        <v>1671</v>
      </c>
      <c r="E496" s="486">
        <f>IFERROR((IF(E490=0,'Emission Factor &amp; GWP Backup'!$E$28,3.664*(E490/100)/E486*1000)),0)</f>
        <v>0.39607127999999325</v>
      </c>
      <c r="F496" s="486">
        <f>IFERROR((IF(F490=0,'Emission Factor &amp; GWP Backup'!$E$28,3.664*(F490/100)/F486*1000)),0)</f>
        <v>0.39607127999999325</v>
      </c>
      <c r="G496" s="486">
        <f>IFERROR((IF(G490=0,'Emission Factor &amp; GWP Backup'!$E$28,3.664*(G490/100)/G486*1000)),0)</f>
        <v>0.39607127999999325</v>
      </c>
      <c r="H496" s="486">
        <f>IFERROR((IF(H490=0,'Emission Factor &amp; GWP Backup'!$E$28,3.664*(H490/100)/H486*1000)),0)</f>
        <v>0.39607127999999325</v>
      </c>
      <c r="I496" s="486">
        <f>IFERROR((IF(I490=0,'Emission Factor &amp; GWP Backup'!$E$28,3.664*(I490/100)/I486*1000)),0)</f>
        <v>0.39607127999999325</v>
      </c>
      <c r="J496" s="874"/>
      <c r="K496" s="32"/>
    </row>
    <row r="497" spans="1:11" outlineLevel="1" x14ac:dyDescent="0.35">
      <c r="A497" s="717" t="s">
        <v>322</v>
      </c>
      <c r="B497" s="813" t="s">
        <v>1652</v>
      </c>
      <c r="C497" s="814" t="s">
        <v>56</v>
      </c>
      <c r="D497" s="812" t="s">
        <v>1671</v>
      </c>
      <c r="E497" s="486">
        <f>IFERROR((IF(E491=0,'Emission Factor &amp; GWP Backup'!$E$28,3.664*(E491/100)/E487*1000)),0)</f>
        <v>0.39607127999999325</v>
      </c>
      <c r="F497" s="486">
        <f>IFERROR((IF(F491=0,'Emission Factor &amp; GWP Backup'!$E$28,3.664*(F491/100)/F487*1000)),0)</f>
        <v>0.39607127999999325</v>
      </c>
      <c r="G497" s="486">
        <f>IFERROR((IF(G491=0,'Emission Factor &amp; GWP Backup'!$E$28,3.664*(G491/100)/G487*1000)),0)</f>
        <v>0.39607127999999325</v>
      </c>
      <c r="H497" s="486">
        <f>IFERROR((IF(H491=0,'Emission Factor &amp; GWP Backup'!$E$28,3.664*(H491/100)/H487*1000)),0)</f>
        <v>0.39607127999999325</v>
      </c>
      <c r="I497" s="486">
        <f>IFERROR((IF(I491=0,'Emission Factor &amp; GWP Backup'!$E$28,3.664*(I491/100)/I487*1000)),0)</f>
        <v>0.39607127999999325</v>
      </c>
      <c r="J497" s="874"/>
      <c r="K497" s="32"/>
    </row>
    <row r="498" spans="1:11" outlineLevel="1" x14ac:dyDescent="0.35">
      <c r="A498" s="593" t="s">
        <v>327</v>
      </c>
      <c r="B498" s="594" t="s">
        <v>1653</v>
      </c>
      <c r="C498" s="564" t="s">
        <v>1654</v>
      </c>
      <c r="D498" s="593" t="s">
        <v>1018</v>
      </c>
      <c r="E498" s="593">
        <f>E494+E495</f>
        <v>0</v>
      </c>
      <c r="F498" s="593">
        <f>F494+F495</f>
        <v>0</v>
      </c>
      <c r="G498" s="594">
        <f>G494+G495</f>
        <v>0</v>
      </c>
      <c r="H498" s="595">
        <f>H494+H495</f>
        <v>0</v>
      </c>
      <c r="I498" s="593">
        <f>I494+I495</f>
        <v>0</v>
      </c>
      <c r="J498" s="611"/>
      <c r="K498" s="611"/>
    </row>
    <row r="499" spans="1:11" outlineLevel="1" x14ac:dyDescent="0.35">
      <c r="A499" s="593" t="s">
        <v>332</v>
      </c>
      <c r="B499" s="594" t="s">
        <v>1655</v>
      </c>
      <c r="C499" s="564" t="s">
        <v>1656</v>
      </c>
      <c r="D499" s="593" t="s">
        <v>1139</v>
      </c>
      <c r="E499" s="593">
        <f t="shared" ref="E499:I500" si="29">E484*E494/1000</f>
        <v>0</v>
      </c>
      <c r="F499" s="593">
        <f t="shared" si="29"/>
        <v>0</v>
      </c>
      <c r="G499" s="594">
        <f t="shared" si="29"/>
        <v>0</v>
      </c>
      <c r="H499" s="595">
        <f t="shared" si="29"/>
        <v>0</v>
      </c>
      <c r="I499" s="593">
        <f t="shared" si="29"/>
        <v>0</v>
      </c>
      <c r="J499" s="611"/>
      <c r="K499" s="611"/>
    </row>
    <row r="500" spans="1:11" outlineLevel="1" x14ac:dyDescent="0.35">
      <c r="A500" s="593" t="s">
        <v>337</v>
      </c>
      <c r="B500" s="594" t="s">
        <v>1657</v>
      </c>
      <c r="C500" s="564" t="s">
        <v>1658</v>
      </c>
      <c r="D500" s="593" t="s">
        <v>1139</v>
      </c>
      <c r="E500" s="593">
        <f t="shared" si="29"/>
        <v>0</v>
      </c>
      <c r="F500" s="593">
        <f t="shared" si="29"/>
        <v>0</v>
      </c>
      <c r="G500" s="594">
        <f t="shared" si="29"/>
        <v>0</v>
      </c>
      <c r="H500" s="595">
        <f t="shared" si="29"/>
        <v>0</v>
      </c>
      <c r="I500" s="593">
        <f t="shared" si="29"/>
        <v>0</v>
      </c>
      <c r="J500" s="611"/>
      <c r="K500" s="611"/>
    </row>
    <row r="501" spans="1:11" outlineLevel="1" x14ac:dyDescent="0.35">
      <c r="A501" s="717" t="s">
        <v>340</v>
      </c>
      <c r="B501" s="836" t="s">
        <v>1659</v>
      </c>
      <c r="C501" s="832"/>
      <c r="D501" s="717" t="s">
        <v>1675</v>
      </c>
      <c r="E501" s="595">
        <f t="shared" ref="E501:I502" si="30">E494*1000*E486*E496*E492/100/10^6</f>
        <v>0</v>
      </c>
      <c r="F501" s="595">
        <f t="shared" si="30"/>
        <v>0</v>
      </c>
      <c r="G501" s="595">
        <f t="shared" si="30"/>
        <v>0</v>
      </c>
      <c r="H501" s="595">
        <f t="shared" si="30"/>
        <v>0</v>
      </c>
      <c r="I501" s="595">
        <f t="shared" si="30"/>
        <v>0</v>
      </c>
      <c r="J501" s="628"/>
      <c r="K501" s="611"/>
    </row>
    <row r="502" spans="1:11" outlineLevel="1" x14ac:dyDescent="0.35">
      <c r="A502" s="717" t="s">
        <v>344</v>
      </c>
      <c r="B502" s="836" t="s">
        <v>1660</v>
      </c>
      <c r="C502" s="832"/>
      <c r="D502" s="717" t="s">
        <v>1675</v>
      </c>
      <c r="E502" s="595">
        <f t="shared" si="30"/>
        <v>0</v>
      </c>
      <c r="F502" s="595">
        <f t="shared" si="30"/>
        <v>0</v>
      </c>
      <c r="G502" s="595">
        <f t="shared" si="30"/>
        <v>0</v>
      </c>
      <c r="H502" s="595">
        <f t="shared" si="30"/>
        <v>0</v>
      </c>
      <c r="I502" s="595">
        <f t="shared" si="30"/>
        <v>0</v>
      </c>
      <c r="J502" s="628"/>
      <c r="K502" s="611"/>
    </row>
    <row r="503" spans="1:11" x14ac:dyDescent="0.35">
      <c r="A503" s="543"/>
      <c r="B503" s="597"/>
      <c r="C503" s="580"/>
      <c r="D503" s="543"/>
      <c r="E503" s="543"/>
      <c r="F503" s="543"/>
      <c r="G503" s="597"/>
      <c r="H503" s="596"/>
      <c r="I503" s="543"/>
      <c r="J503" s="611"/>
      <c r="K503" s="611"/>
    </row>
    <row r="504" spans="1:11" x14ac:dyDescent="0.35">
      <c r="A504" s="590" t="s">
        <v>1683</v>
      </c>
      <c r="B504" s="591" t="s">
        <v>1684</v>
      </c>
      <c r="C504" s="864" t="s">
        <v>1685</v>
      </c>
      <c r="D504" s="259"/>
      <c r="E504" s="259"/>
      <c r="F504" s="259"/>
      <c r="G504" s="586"/>
      <c r="H504" s="789"/>
      <c r="I504" s="586"/>
      <c r="J504" s="586"/>
      <c r="K504" s="586"/>
    </row>
    <row r="505" spans="1:11" outlineLevel="1" x14ac:dyDescent="0.35">
      <c r="A505" s="52" t="s">
        <v>110</v>
      </c>
      <c r="B505" s="3" t="s">
        <v>1627</v>
      </c>
      <c r="C505" s="835" t="s">
        <v>1628</v>
      </c>
      <c r="D505" s="52" t="s">
        <v>1629</v>
      </c>
      <c r="E505" s="561"/>
      <c r="F505" s="561"/>
      <c r="G505" s="561"/>
      <c r="H505" s="485">
        <f t="shared" ref="H505:H517" si="31">IF(K$8=1,E505,IF(K$8=2,(E505+F505)/2,(E505+F505+G505)/3))</f>
        <v>0</v>
      </c>
      <c r="I505" s="262"/>
      <c r="J505" s="262"/>
      <c r="K505" s="32"/>
    </row>
    <row r="506" spans="1:11" outlineLevel="1" x14ac:dyDescent="0.35">
      <c r="A506" s="52" t="s">
        <v>115</v>
      </c>
      <c r="B506" s="3" t="s">
        <v>1630</v>
      </c>
      <c r="C506" s="2" t="s">
        <v>1631</v>
      </c>
      <c r="D506" s="52" t="s">
        <v>1632</v>
      </c>
      <c r="E506" s="561"/>
      <c r="F506" s="561"/>
      <c r="G506" s="561"/>
      <c r="H506" s="485">
        <f t="shared" si="31"/>
        <v>0</v>
      </c>
      <c r="I506" s="262"/>
      <c r="J506" s="262"/>
      <c r="K506" s="32"/>
    </row>
    <row r="507" spans="1:11" outlineLevel="1" x14ac:dyDescent="0.35">
      <c r="A507" s="52" t="s">
        <v>118</v>
      </c>
      <c r="B507" s="3" t="s">
        <v>1663</v>
      </c>
      <c r="C507" s="2" t="s">
        <v>1631</v>
      </c>
      <c r="D507" s="52" t="s">
        <v>1632</v>
      </c>
      <c r="E507" s="561"/>
      <c r="F507" s="561"/>
      <c r="G507" s="561"/>
      <c r="H507" s="485">
        <f t="shared" si="31"/>
        <v>0</v>
      </c>
      <c r="I507" s="262"/>
      <c r="J507" s="262"/>
      <c r="K507" s="32"/>
    </row>
    <row r="508" spans="1:11" outlineLevel="1" x14ac:dyDescent="0.35">
      <c r="A508" s="52" t="s">
        <v>121</v>
      </c>
      <c r="B508" s="3" t="s">
        <v>1634</v>
      </c>
      <c r="C508" s="2" t="s">
        <v>56</v>
      </c>
      <c r="D508" s="52" t="s">
        <v>1632</v>
      </c>
      <c r="E508" s="609">
        <f>E506*0.95</f>
        <v>0</v>
      </c>
      <c r="F508" s="609">
        <f>F506*0.95</f>
        <v>0</v>
      </c>
      <c r="G508" s="609">
        <f>G506*0.95</f>
        <v>0</v>
      </c>
      <c r="H508" s="485">
        <f t="shared" si="31"/>
        <v>0</v>
      </c>
      <c r="I508" s="609">
        <f>I506*0.95</f>
        <v>0</v>
      </c>
      <c r="J508" s="262"/>
      <c r="K508" s="32"/>
    </row>
    <row r="509" spans="1:11" outlineLevel="1" x14ac:dyDescent="0.35">
      <c r="A509" s="52" t="s">
        <v>124</v>
      </c>
      <c r="B509" s="3" t="s">
        <v>1665</v>
      </c>
      <c r="C509" s="2" t="s">
        <v>56</v>
      </c>
      <c r="D509" s="52" t="s">
        <v>1632</v>
      </c>
      <c r="E509" s="609"/>
      <c r="F509" s="609"/>
      <c r="G509" s="609"/>
      <c r="H509" s="485">
        <f t="shared" si="31"/>
        <v>0</v>
      </c>
      <c r="I509" s="609">
        <f>I507*0.95</f>
        <v>0</v>
      </c>
      <c r="J509" s="262"/>
      <c r="K509" s="32"/>
    </row>
    <row r="510" spans="1:11" outlineLevel="1" x14ac:dyDescent="0.35">
      <c r="A510" s="52" t="s">
        <v>162</v>
      </c>
      <c r="B510" s="3" t="s">
        <v>1666</v>
      </c>
      <c r="C510" s="2" t="s">
        <v>56</v>
      </c>
      <c r="D510" s="52" t="s">
        <v>1018</v>
      </c>
      <c r="E510" s="561"/>
      <c r="F510" s="561"/>
      <c r="G510" s="561"/>
      <c r="H510" s="485">
        <f t="shared" si="31"/>
        <v>0</v>
      </c>
      <c r="I510" s="588"/>
      <c r="J510" s="588"/>
      <c r="K510" s="32"/>
    </row>
    <row r="511" spans="1:11" outlineLevel="1" x14ac:dyDescent="0.35">
      <c r="A511" s="52" t="s">
        <v>202</v>
      </c>
      <c r="B511" s="3" t="s">
        <v>1667</v>
      </c>
      <c r="C511" s="2" t="s">
        <v>1641</v>
      </c>
      <c r="D511" s="52" t="s">
        <v>1057</v>
      </c>
      <c r="E511" s="561"/>
      <c r="F511" s="561"/>
      <c r="G511" s="561"/>
      <c r="H511" s="485">
        <f t="shared" si="31"/>
        <v>0</v>
      </c>
      <c r="I511" s="262"/>
      <c r="J511" s="262"/>
      <c r="K511" s="32"/>
    </row>
    <row r="512" spans="1:11" outlineLevel="1" x14ac:dyDescent="0.35">
      <c r="A512" s="52" t="s">
        <v>203</v>
      </c>
      <c r="B512" s="3" t="s">
        <v>1668</v>
      </c>
      <c r="C512" s="2" t="s">
        <v>56</v>
      </c>
      <c r="D512" s="52" t="s">
        <v>1057</v>
      </c>
      <c r="E512" s="891"/>
      <c r="F512" s="891"/>
      <c r="G512" s="891"/>
      <c r="H512" s="485">
        <f t="shared" si="31"/>
        <v>0</v>
      </c>
      <c r="I512" s="262"/>
      <c r="J512" s="262"/>
      <c r="K512" s="32"/>
    </row>
    <row r="513" spans="1:11" outlineLevel="1" x14ac:dyDescent="0.35">
      <c r="A513" s="52" t="s">
        <v>225</v>
      </c>
      <c r="B513" s="3" t="s">
        <v>1669</v>
      </c>
      <c r="C513" s="2" t="s">
        <v>56</v>
      </c>
      <c r="D513" s="52" t="s">
        <v>1057</v>
      </c>
      <c r="E513" s="891"/>
      <c r="F513" s="891"/>
      <c r="G513" s="891"/>
      <c r="H513" s="485">
        <f t="shared" si="31"/>
        <v>0</v>
      </c>
      <c r="I513" s="262"/>
      <c r="J513" s="262"/>
      <c r="K513" s="32"/>
    </row>
    <row r="514" spans="1:11" outlineLevel="1" x14ac:dyDescent="0.35">
      <c r="A514" s="485" t="s">
        <v>229</v>
      </c>
      <c r="B514" s="889" t="s">
        <v>1645</v>
      </c>
      <c r="C514" s="485" t="s">
        <v>56</v>
      </c>
      <c r="D514" s="485" t="s">
        <v>1057</v>
      </c>
      <c r="E514" s="485"/>
      <c r="F514" s="485"/>
      <c r="G514" s="485"/>
      <c r="H514" s="485">
        <f t="shared" si="31"/>
        <v>0</v>
      </c>
      <c r="I514" s="561"/>
      <c r="J514" s="262"/>
      <c r="K514" s="32"/>
    </row>
    <row r="515" spans="1:11" outlineLevel="1" x14ac:dyDescent="0.35">
      <c r="A515" s="485" t="s">
        <v>233</v>
      </c>
      <c r="B515" s="889" t="s">
        <v>1646</v>
      </c>
      <c r="C515" s="485" t="s">
        <v>56</v>
      </c>
      <c r="D515" s="485" t="s">
        <v>1057</v>
      </c>
      <c r="E515" s="485"/>
      <c r="F515" s="485"/>
      <c r="G515" s="485"/>
      <c r="H515" s="485">
        <f t="shared" si="31"/>
        <v>0</v>
      </c>
      <c r="I515" s="561"/>
      <c r="J515" s="262"/>
      <c r="K515" s="32"/>
    </row>
    <row r="516" spans="1:11" outlineLevel="1" x14ac:dyDescent="0.35">
      <c r="A516" s="52" t="s">
        <v>238</v>
      </c>
      <c r="B516" s="3" t="s">
        <v>1647</v>
      </c>
      <c r="C516" s="2" t="s">
        <v>56</v>
      </c>
      <c r="D516" s="52" t="s">
        <v>1018</v>
      </c>
      <c r="E516" s="561"/>
      <c r="F516" s="561"/>
      <c r="G516" s="561"/>
      <c r="H516" s="485">
        <f t="shared" si="31"/>
        <v>0</v>
      </c>
      <c r="I516" s="588"/>
      <c r="J516" s="588"/>
      <c r="K516" s="32"/>
    </row>
    <row r="517" spans="1:11" outlineLevel="1" x14ac:dyDescent="0.35">
      <c r="A517" s="52" t="s">
        <v>317</v>
      </c>
      <c r="B517" s="3" t="s">
        <v>1674</v>
      </c>
      <c r="C517" s="2" t="s">
        <v>1649</v>
      </c>
      <c r="D517" s="52" t="s">
        <v>1018</v>
      </c>
      <c r="E517" s="561"/>
      <c r="F517" s="561"/>
      <c r="G517" s="561"/>
      <c r="H517" s="485">
        <f t="shared" si="31"/>
        <v>0</v>
      </c>
      <c r="I517" s="262"/>
      <c r="J517" s="262"/>
      <c r="K517" s="32" t="s">
        <v>1686</v>
      </c>
    </row>
    <row r="518" spans="1:11" outlineLevel="1" x14ac:dyDescent="0.35">
      <c r="A518" s="717" t="s">
        <v>319</v>
      </c>
      <c r="B518" s="813" t="s">
        <v>1650</v>
      </c>
      <c r="C518" s="814" t="s">
        <v>56</v>
      </c>
      <c r="D518" s="812" t="s">
        <v>1671</v>
      </c>
      <c r="E518" s="486">
        <f>IFERROR(IF(E512=0,VLOOKUP($C$504,'Emission Factor &amp; GWP Backup'!$B$4:$E$56,4,FALSE),3.664*(E512/100)/E508*1000),0)</f>
        <v>0.39607127999999325</v>
      </c>
      <c r="F518" s="486">
        <f>IFERROR(IF(F512=0,VLOOKUP($C$504,'Emission Factor &amp; GWP Backup'!$B$4:$E$56,4,FALSE),3.664*(F512/100)/F508*1000),0)</f>
        <v>0.39607127999999325</v>
      </c>
      <c r="G518" s="486">
        <f>IFERROR(IF(G512=0,VLOOKUP($C$504,'Emission Factor &amp; GWP Backup'!$B$4:$E$56,4,FALSE),3.664*(G512/100)/G508*1000),0)</f>
        <v>0.39607127999999325</v>
      </c>
      <c r="H518" s="486">
        <f>IFERROR(IF(H512=0,VLOOKUP($C$504,'Emission Factor &amp; GWP Backup'!$B$4:$E$56,4,FALSE),3.664*(H512/100)/H508*1000),0)</f>
        <v>0.39607127999999325</v>
      </c>
      <c r="I518" s="486">
        <f>IFERROR(IF(I512=0,VLOOKUP($C$504,'Emission Factor &amp; GWP Backup'!$B$4:$E$56,4,FALSE),3.664*(I512/100)/I508*1000),0)</f>
        <v>0.39607127999999325</v>
      </c>
      <c r="J518" s="869"/>
      <c r="K518" s="32"/>
    </row>
    <row r="519" spans="1:11" outlineLevel="1" x14ac:dyDescent="0.35">
      <c r="A519" s="717" t="s">
        <v>322</v>
      </c>
      <c r="B519" s="813" t="s">
        <v>1652</v>
      </c>
      <c r="C519" s="814" t="s">
        <v>56</v>
      </c>
      <c r="D519" s="812" t="s">
        <v>1671</v>
      </c>
      <c r="E519" s="486">
        <f>IFERROR(IF(E513=0,VLOOKUP($C$504,'Emission Factor &amp; GWP Backup'!$B$4:$E$56,4,FALSE),3.664*(E513/100)/E509*1000),0)</f>
        <v>0.39607127999999325</v>
      </c>
      <c r="F519" s="486">
        <f>IFERROR(IF(F513=0,VLOOKUP($C$504,'Emission Factor &amp; GWP Backup'!$B$4:$E$56,4,FALSE),3.664*(F513/100)/F509*1000),0)</f>
        <v>0.39607127999999325</v>
      </c>
      <c r="G519" s="486">
        <f>IFERROR(IF(G513=0,VLOOKUP($C$504,'Emission Factor &amp; GWP Backup'!$B$4:$E$56,4,FALSE),3.664*(G513/100)/G509*1000),0)</f>
        <v>0.39607127999999325</v>
      </c>
      <c r="H519" s="486">
        <f>IFERROR(IF(H513=0,VLOOKUP($C$504,'Emission Factor &amp; GWP Backup'!$B$4:$E$56,4,FALSE),3.664*(H513/100)/H509*1000),0)</f>
        <v>0.39607127999999325</v>
      </c>
      <c r="I519" s="486">
        <f>IFERROR(IF(I513=0,VLOOKUP($C$504,'Emission Factor &amp; GWP Backup'!$B$4:$E$56,4,FALSE),3.664*(I513/100)/I509*1000),0)</f>
        <v>0.39607127999999325</v>
      </c>
      <c r="J519" s="874"/>
      <c r="K519" s="32"/>
    </row>
    <row r="520" spans="1:11" outlineLevel="1" x14ac:dyDescent="0.35">
      <c r="A520" s="593" t="s">
        <v>327</v>
      </c>
      <c r="B520" s="594" t="s">
        <v>1653</v>
      </c>
      <c r="C520" s="564" t="s">
        <v>1654</v>
      </c>
      <c r="D520" s="593" t="s">
        <v>1018</v>
      </c>
      <c r="E520" s="593">
        <f>E516+E517</f>
        <v>0</v>
      </c>
      <c r="F520" s="593">
        <f>F516+F517</f>
        <v>0</v>
      </c>
      <c r="G520" s="594">
        <f>G516+G517</f>
        <v>0</v>
      </c>
      <c r="H520" s="595">
        <f>H516+H517</f>
        <v>0</v>
      </c>
      <c r="I520" s="593">
        <f>I516+I517</f>
        <v>0</v>
      </c>
      <c r="J520" s="611"/>
      <c r="K520" s="611"/>
    </row>
    <row r="521" spans="1:11" outlineLevel="1" x14ac:dyDescent="0.35">
      <c r="A521" s="593" t="s">
        <v>332</v>
      </c>
      <c r="B521" s="594" t="s">
        <v>1655</v>
      </c>
      <c r="C521" s="564" t="s">
        <v>1656</v>
      </c>
      <c r="D521" s="593" t="s">
        <v>1139</v>
      </c>
      <c r="E521" s="593">
        <f t="shared" ref="E521:I522" si="32">E506*E516/1000</f>
        <v>0</v>
      </c>
      <c r="F521" s="593">
        <f t="shared" si="32"/>
        <v>0</v>
      </c>
      <c r="G521" s="594">
        <f t="shared" si="32"/>
        <v>0</v>
      </c>
      <c r="H521" s="595">
        <f t="shared" si="32"/>
        <v>0</v>
      </c>
      <c r="I521" s="593">
        <f t="shared" si="32"/>
        <v>0</v>
      </c>
      <c r="J521" s="611"/>
      <c r="K521" s="611"/>
    </row>
    <row r="522" spans="1:11" outlineLevel="1" x14ac:dyDescent="0.35">
      <c r="A522" s="593" t="s">
        <v>337</v>
      </c>
      <c r="B522" s="594" t="s">
        <v>1657</v>
      </c>
      <c r="C522" s="564" t="s">
        <v>1658</v>
      </c>
      <c r="D522" s="593" t="s">
        <v>1139</v>
      </c>
      <c r="E522" s="593">
        <f t="shared" si="32"/>
        <v>0</v>
      </c>
      <c r="F522" s="593">
        <f t="shared" si="32"/>
        <v>0</v>
      </c>
      <c r="G522" s="594">
        <f t="shared" si="32"/>
        <v>0</v>
      </c>
      <c r="H522" s="595">
        <f t="shared" si="32"/>
        <v>0</v>
      </c>
      <c r="I522" s="593">
        <f t="shared" si="32"/>
        <v>0</v>
      </c>
      <c r="J522" s="611"/>
      <c r="K522" s="611"/>
    </row>
    <row r="523" spans="1:11" outlineLevel="1" x14ac:dyDescent="0.35">
      <c r="A523" s="717" t="s">
        <v>340</v>
      </c>
      <c r="B523" s="836" t="s">
        <v>1659</v>
      </c>
      <c r="C523" s="832"/>
      <c r="D523" s="717" t="s">
        <v>1675</v>
      </c>
      <c r="E523" s="595">
        <f>E516*E518*E508*1000*E514/100/10^6</f>
        <v>0</v>
      </c>
      <c r="F523" s="595">
        <f>F516*F518*F508*1000*F514/100/10^6</f>
        <v>0</v>
      </c>
      <c r="G523" s="595">
        <f>G516*G518*G508*1000*G514/100/10^6</f>
        <v>0</v>
      </c>
      <c r="H523" s="595">
        <f>H516*H518*H508*1000*H514/100/10^6</f>
        <v>0</v>
      </c>
      <c r="I523" s="595">
        <f>I516*I518*I508*1000*I514/100/10^6</f>
        <v>0</v>
      </c>
      <c r="J523" s="628"/>
      <c r="K523" s="611"/>
    </row>
    <row r="524" spans="1:11" outlineLevel="1" x14ac:dyDescent="0.35">
      <c r="A524" s="717" t="s">
        <v>344</v>
      </c>
      <c r="B524" s="836" t="s">
        <v>1660</v>
      </c>
      <c r="C524" s="832"/>
      <c r="D524" s="717" t="s">
        <v>1675</v>
      </c>
      <c r="E524" s="595">
        <f>E519*E509*E517*1000*E515/100/10^6</f>
        <v>0</v>
      </c>
      <c r="F524" s="595">
        <f>F519*F509*F517*1000*F515/100/10^6</f>
        <v>0</v>
      </c>
      <c r="G524" s="595">
        <f>G519*G509*G517*1000*G515/100/10^6</f>
        <v>0</v>
      </c>
      <c r="H524" s="595">
        <f>H519*H509*H517*1000*H515/100/10^6</f>
        <v>0</v>
      </c>
      <c r="I524" s="595">
        <f>I519*I509*I517*1000*I515/100/10^6</f>
        <v>0</v>
      </c>
      <c r="J524" s="628"/>
      <c r="K524" s="611"/>
    </row>
    <row r="525" spans="1:11" x14ac:dyDescent="0.35">
      <c r="A525" s="543"/>
      <c r="B525" s="597"/>
      <c r="C525" s="580"/>
      <c r="D525" s="543"/>
      <c r="E525" s="543"/>
      <c r="F525" s="543"/>
      <c r="G525" s="597"/>
      <c r="H525" s="596"/>
      <c r="I525" s="543"/>
      <c r="J525" s="611"/>
      <c r="K525" s="611"/>
    </row>
    <row r="526" spans="1:11" x14ac:dyDescent="0.35">
      <c r="A526" s="590" t="s">
        <v>1687</v>
      </c>
      <c r="B526" s="591" t="s">
        <v>1688</v>
      </c>
      <c r="C526" s="864" t="s">
        <v>1685</v>
      </c>
      <c r="D526" s="259"/>
      <c r="E526" s="259"/>
      <c r="F526" s="259"/>
      <c r="G526" s="256"/>
      <c r="H526" s="789"/>
      <c r="I526" s="586"/>
      <c r="J526" s="586"/>
      <c r="K526" s="586"/>
    </row>
    <row r="527" spans="1:11" outlineLevel="1" x14ac:dyDescent="0.35">
      <c r="A527" s="52" t="s">
        <v>110</v>
      </c>
      <c r="B527" s="3" t="s">
        <v>1627</v>
      </c>
      <c r="C527" s="835" t="s">
        <v>1628</v>
      </c>
      <c r="D527" s="52" t="s">
        <v>1629</v>
      </c>
      <c r="E527" s="561"/>
      <c r="F527" s="610"/>
      <c r="G527" s="561"/>
      <c r="H527" s="485">
        <f t="shared" ref="H527:H539" si="33">IF(K$8=1,E527,IF(K$8=2,(E527+F527)/2,(E527+F527+G527)/3))</f>
        <v>0</v>
      </c>
      <c r="I527" s="262"/>
      <c r="J527" s="262"/>
      <c r="K527" s="32"/>
    </row>
    <row r="528" spans="1:11" outlineLevel="1" x14ac:dyDescent="0.35">
      <c r="A528" s="52" t="s">
        <v>115</v>
      </c>
      <c r="B528" s="3" t="s">
        <v>1630</v>
      </c>
      <c r="C528" s="2" t="s">
        <v>1631</v>
      </c>
      <c r="D528" s="52" t="s">
        <v>1632</v>
      </c>
      <c r="E528" s="561"/>
      <c r="F528" s="610"/>
      <c r="G528" s="561"/>
      <c r="H528" s="485">
        <f t="shared" si="33"/>
        <v>0</v>
      </c>
      <c r="I528" s="262"/>
      <c r="J528" s="262"/>
      <c r="K528" s="32"/>
    </row>
    <row r="529" spans="1:11" outlineLevel="1" x14ac:dyDescent="0.35">
      <c r="A529" s="52" t="s">
        <v>118</v>
      </c>
      <c r="B529" s="3" t="s">
        <v>1663</v>
      </c>
      <c r="C529" s="2" t="s">
        <v>1631</v>
      </c>
      <c r="D529" s="52" t="s">
        <v>1632</v>
      </c>
      <c r="E529" s="561"/>
      <c r="F529" s="610"/>
      <c r="G529" s="561"/>
      <c r="H529" s="485">
        <f t="shared" si="33"/>
        <v>0</v>
      </c>
      <c r="I529" s="262"/>
      <c r="J529" s="926" t="s">
        <v>1670</v>
      </c>
      <c r="K529" s="32"/>
    </row>
    <row r="530" spans="1:11" outlineLevel="1" x14ac:dyDescent="0.35">
      <c r="A530" s="52" t="s">
        <v>121</v>
      </c>
      <c r="B530" s="3" t="s">
        <v>1634</v>
      </c>
      <c r="C530" s="2" t="s">
        <v>56</v>
      </c>
      <c r="D530" s="52" t="s">
        <v>1632</v>
      </c>
      <c r="E530" s="609">
        <f>E528*0.95</f>
        <v>0</v>
      </c>
      <c r="F530" s="609">
        <f>F528*0.95</f>
        <v>0</v>
      </c>
      <c r="G530" s="609">
        <f>G528*0.95</f>
        <v>0</v>
      </c>
      <c r="H530" s="485">
        <f t="shared" si="33"/>
        <v>0</v>
      </c>
      <c r="I530" s="609">
        <f>I528*0.95</f>
        <v>0</v>
      </c>
      <c r="J530" s="262"/>
      <c r="K530" s="32"/>
    </row>
    <row r="531" spans="1:11" outlineLevel="1" x14ac:dyDescent="0.35">
      <c r="A531" s="52" t="s">
        <v>124</v>
      </c>
      <c r="B531" s="3" t="s">
        <v>1665</v>
      </c>
      <c r="C531" s="2" t="s">
        <v>56</v>
      </c>
      <c r="D531" s="52" t="s">
        <v>1632</v>
      </c>
      <c r="E531" s="609"/>
      <c r="F531" s="609"/>
      <c r="G531" s="609">
        <f>G529*0.95</f>
        <v>0</v>
      </c>
      <c r="H531" s="485">
        <f t="shared" si="33"/>
        <v>0</v>
      </c>
      <c r="I531" s="609">
        <f>I529*0.95</f>
        <v>0</v>
      </c>
      <c r="J531" s="926" t="s">
        <v>1670</v>
      </c>
      <c r="K531" s="32"/>
    </row>
    <row r="532" spans="1:11" outlineLevel="1" x14ac:dyDescent="0.35">
      <c r="A532" s="52" t="s">
        <v>162</v>
      </c>
      <c r="B532" s="3" t="s">
        <v>1666</v>
      </c>
      <c r="C532" s="2" t="s">
        <v>56</v>
      </c>
      <c r="D532" s="52" t="s">
        <v>1018</v>
      </c>
      <c r="E532" s="561"/>
      <c r="F532" s="561"/>
      <c r="G532" s="561"/>
      <c r="H532" s="485">
        <f t="shared" si="33"/>
        <v>0</v>
      </c>
      <c r="I532" s="588"/>
      <c r="J532" s="588"/>
      <c r="K532" s="32"/>
    </row>
    <row r="533" spans="1:11" outlineLevel="1" x14ac:dyDescent="0.35">
      <c r="A533" s="52" t="s">
        <v>202</v>
      </c>
      <c r="B533" s="3" t="s">
        <v>1667</v>
      </c>
      <c r="C533" s="2" t="s">
        <v>1641</v>
      </c>
      <c r="D533" s="52" t="s">
        <v>1057</v>
      </c>
      <c r="E533" s="561"/>
      <c r="F533" s="561"/>
      <c r="G533" s="561"/>
      <c r="H533" s="485">
        <f t="shared" si="33"/>
        <v>0</v>
      </c>
      <c r="I533" s="262"/>
      <c r="J533" s="262"/>
      <c r="K533" s="32"/>
    </row>
    <row r="534" spans="1:11" outlineLevel="1" x14ac:dyDescent="0.35">
      <c r="A534" s="52" t="s">
        <v>203</v>
      </c>
      <c r="B534" s="3" t="s">
        <v>1668</v>
      </c>
      <c r="C534" s="2" t="s">
        <v>56</v>
      </c>
      <c r="D534" s="52" t="s">
        <v>1057</v>
      </c>
      <c r="E534" s="891"/>
      <c r="F534" s="891"/>
      <c r="G534" s="891"/>
      <c r="H534" s="485">
        <f t="shared" si="33"/>
        <v>0</v>
      </c>
      <c r="I534" s="262"/>
      <c r="J534" s="262"/>
      <c r="K534" s="32"/>
    </row>
    <row r="535" spans="1:11" outlineLevel="1" x14ac:dyDescent="0.35">
      <c r="A535" s="52" t="s">
        <v>225</v>
      </c>
      <c r="B535" s="3" t="s">
        <v>1669</v>
      </c>
      <c r="C535" s="2" t="s">
        <v>56</v>
      </c>
      <c r="D535" s="52" t="s">
        <v>1057</v>
      </c>
      <c r="E535" s="891"/>
      <c r="F535" s="891"/>
      <c r="G535" s="891"/>
      <c r="H535" s="485">
        <f t="shared" si="33"/>
        <v>0</v>
      </c>
      <c r="I535" s="262"/>
      <c r="J535" s="262"/>
      <c r="K535" s="32"/>
    </row>
    <row r="536" spans="1:11" outlineLevel="1" x14ac:dyDescent="0.35">
      <c r="A536" s="485" t="s">
        <v>229</v>
      </c>
      <c r="B536" s="889" t="s">
        <v>1645</v>
      </c>
      <c r="C536" s="485" t="s">
        <v>56</v>
      </c>
      <c r="D536" s="485" t="s">
        <v>1057</v>
      </c>
      <c r="E536" s="485"/>
      <c r="F536" s="485"/>
      <c r="G536" s="485"/>
      <c r="H536" s="485">
        <f t="shared" si="33"/>
        <v>0</v>
      </c>
      <c r="I536" s="561"/>
      <c r="J536" s="262"/>
      <c r="K536" s="32"/>
    </row>
    <row r="537" spans="1:11" outlineLevel="1" x14ac:dyDescent="0.35">
      <c r="A537" s="485" t="s">
        <v>233</v>
      </c>
      <c r="B537" s="889" t="s">
        <v>1646</v>
      </c>
      <c r="C537" s="485" t="s">
        <v>56</v>
      </c>
      <c r="D537" s="485" t="s">
        <v>1057</v>
      </c>
      <c r="E537" s="485"/>
      <c r="F537" s="485"/>
      <c r="G537" s="485"/>
      <c r="H537" s="485">
        <f t="shared" si="33"/>
        <v>0</v>
      </c>
      <c r="I537" s="561"/>
      <c r="J537" s="262"/>
      <c r="K537" s="32"/>
    </row>
    <row r="538" spans="1:11" outlineLevel="1" x14ac:dyDescent="0.35">
      <c r="A538" s="52" t="s">
        <v>238</v>
      </c>
      <c r="B538" s="3" t="s">
        <v>1647</v>
      </c>
      <c r="C538" s="2" t="s">
        <v>56</v>
      </c>
      <c r="D538" s="52" t="s">
        <v>1018</v>
      </c>
      <c r="E538" s="561"/>
      <c r="F538" s="561"/>
      <c r="G538" s="561"/>
      <c r="H538" s="485">
        <f t="shared" si="33"/>
        <v>0</v>
      </c>
      <c r="I538" s="588"/>
      <c r="J538" s="588"/>
      <c r="K538" s="32"/>
    </row>
    <row r="539" spans="1:11" outlineLevel="1" x14ac:dyDescent="0.35">
      <c r="A539" s="52" t="s">
        <v>317</v>
      </c>
      <c r="B539" s="3" t="s">
        <v>1674</v>
      </c>
      <c r="C539" s="2" t="s">
        <v>1649</v>
      </c>
      <c r="D539" s="52" t="s">
        <v>1018</v>
      </c>
      <c r="E539" s="561"/>
      <c r="F539" s="561"/>
      <c r="G539" s="561"/>
      <c r="H539" s="485">
        <f t="shared" si="33"/>
        <v>0</v>
      </c>
      <c r="I539" s="262"/>
      <c r="J539" s="926" t="s">
        <v>1670</v>
      </c>
      <c r="K539" s="32" t="s">
        <v>1689</v>
      </c>
    </row>
    <row r="540" spans="1:11" outlineLevel="1" x14ac:dyDescent="0.35">
      <c r="A540" s="717" t="s">
        <v>319</v>
      </c>
      <c r="B540" s="813" t="s">
        <v>1650</v>
      </c>
      <c r="C540" s="814" t="s">
        <v>56</v>
      </c>
      <c r="D540" s="812" t="s">
        <v>1671</v>
      </c>
      <c r="E540" s="486">
        <f>IFERROR(IF(E534=0,VLOOKUP($C$526,'Emission Factor &amp; GWP Backup'!$B$4:$E$56,4,FALSE),3.664*(E534/100)/E530*1000),0)</f>
        <v>0.39607127999999325</v>
      </c>
      <c r="F540" s="486">
        <f>IFERROR(IF(F534=0,VLOOKUP($C$526,'Emission Factor &amp; GWP Backup'!$B$4:$E$56,4,FALSE),3.664*(F534/100)/F530*1000),0)</f>
        <v>0.39607127999999325</v>
      </c>
      <c r="G540" s="486">
        <f>IFERROR(IF(G534=0,VLOOKUP($C$526,'Emission Factor &amp; GWP Backup'!$B$4:$E$56,4,FALSE),3.664*(G534/100)/G530*1000),0)</f>
        <v>0.39607127999999325</v>
      </c>
      <c r="H540" s="486">
        <f>IFERROR(IF(H534=0,VLOOKUP($C$526,'Emission Factor &amp; GWP Backup'!$B$4:$E$56,4,FALSE),3.664*(H534/100)/H530*1000),0)</f>
        <v>0.39607127999999325</v>
      </c>
      <c r="I540" s="486">
        <f>IFERROR(IF(I534=0,VLOOKUP($C$526,'Emission Factor &amp; GWP Backup'!$B$4:$E$56,4,FALSE),3.664*(I534/100)/I530*1000),0)</f>
        <v>0.39607127999999325</v>
      </c>
      <c r="J540" s="874"/>
      <c r="K540" s="32"/>
    </row>
    <row r="541" spans="1:11" outlineLevel="1" x14ac:dyDescent="0.35">
      <c r="A541" s="717" t="s">
        <v>322</v>
      </c>
      <c r="B541" s="813" t="s">
        <v>1652</v>
      </c>
      <c r="C541" s="814" t="s">
        <v>56</v>
      </c>
      <c r="D541" s="812" t="s">
        <v>1671</v>
      </c>
      <c r="E541" s="486">
        <f>IFERROR(IF(E535=0,VLOOKUP($C$526,'Emission Factor &amp; GWP Backup'!$B$4:$E$56,4,FALSE),3.664*(E535/100)/E531*1000),0)</f>
        <v>0.39607127999999325</v>
      </c>
      <c r="F541" s="486">
        <f>IFERROR(IF(F535=0,VLOOKUP($C$526,'Emission Factor &amp; GWP Backup'!$B$4:$E$56,4,FALSE),3.664*(F535/100)/F531*1000),0)</f>
        <v>0.39607127999999325</v>
      </c>
      <c r="G541" s="486">
        <f>IFERROR(IF(G535=0,VLOOKUP($C$526,'Emission Factor &amp; GWP Backup'!$B$4:$E$56,4,FALSE),3.664*(G535/100)/G531*1000),0)</f>
        <v>0.39607127999999325</v>
      </c>
      <c r="H541" s="486">
        <f>IFERROR(IF(H535=0,VLOOKUP($C$526,'Emission Factor &amp; GWP Backup'!$B$4:$E$56,4,FALSE),3.664*(H535/100)/H531*1000),0)</f>
        <v>0.39607127999999325</v>
      </c>
      <c r="I541" s="486">
        <f>IFERROR(IF(I535=0,VLOOKUP($C$526,'Emission Factor &amp; GWP Backup'!$B$4:$E$56,4,FALSE),3.664*(I535/100)/I531*1000),0)</f>
        <v>0.39607127999999325</v>
      </c>
      <c r="J541" s="874"/>
      <c r="K541" s="32"/>
    </row>
    <row r="542" spans="1:11" outlineLevel="1" x14ac:dyDescent="0.35">
      <c r="A542" s="593" t="s">
        <v>327</v>
      </c>
      <c r="B542" s="594" t="s">
        <v>1653</v>
      </c>
      <c r="C542" s="564" t="s">
        <v>1654</v>
      </c>
      <c r="D542" s="593" t="s">
        <v>1018</v>
      </c>
      <c r="E542" s="593">
        <f>E538+E539</f>
        <v>0</v>
      </c>
      <c r="F542" s="593">
        <f>F538+F539</f>
        <v>0</v>
      </c>
      <c r="G542" s="593">
        <f>G538+G539</f>
        <v>0</v>
      </c>
      <c r="H542" s="595">
        <f>H538+H539</f>
        <v>0</v>
      </c>
      <c r="I542" s="593">
        <f>I538+I539</f>
        <v>0</v>
      </c>
      <c r="J542" s="611"/>
      <c r="K542" s="611"/>
    </row>
    <row r="543" spans="1:11" outlineLevel="1" x14ac:dyDescent="0.35">
      <c r="A543" s="593" t="s">
        <v>332</v>
      </c>
      <c r="B543" s="594" t="s">
        <v>1655</v>
      </c>
      <c r="C543" s="564" t="s">
        <v>1656</v>
      </c>
      <c r="D543" s="593" t="s">
        <v>1139</v>
      </c>
      <c r="E543" s="593">
        <f t="shared" ref="E543:I544" si="34">E528*E538/1000</f>
        <v>0</v>
      </c>
      <c r="F543" s="593">
        <f t="shared" si="34"/>
        <v>0</v>
      </c>
      <c r="G543" s="593">
        <f t="shared" si="34"/>
        <v>0</v>
      </c>
      <c r="H543" s="595">
        <f t="shared" si="34"/>
        <v>0</v>
      </c>
      <c r="I543" s="593">
        <f t="shared" si="34"/>
        <v>0</v>
      </c>
      <c r="J543" s="611"/>
      <c r="K543" s="611"/>
    </row>
    <row r="544" spans="1:11" outlineLevel="1" x14ac:dyDescent="0.35">
      <c r="A544" s="593" t="s">
        <v>337</v>
      </c>
      <c r="B544" s="594" t="s">
        <v>1657</v>
      </c>
      <c r="C544" s="564" t="s">
        <v>1658</v>
      </c>
      <c r="D544" s="593" t="s">
        <v>1139</v>
      </c>
      <c r="E544" s="593">
        <f t="shared" si="34"/>
        <v>0</v>
      </c>
      <c r="F544" s="593">
        <f t="shared" si="34"/>
        <v>0</v>
      </c>
      <c r="G544" s="593">
        <f t="shared" si="34"/>
        <v>0</v>
      </c>
      <c r="H544" s="595">
        <f t="shared" si="34"/>
        <v>0</v>
      </c>
      <c r="I544" s="593">
        <f t="shared" si="34"/>
        <v>0</v>
      </c>
      <c r="J544" s="611"/>
      <c r="K544" s="611"/>
    </row>
    <row r="545" spans="1:11" outlineLevel="1" x14ac:dyDescent="0.35">
      <c r="A545" s="717" t="s">
        <v>340</v>
      </c>
      <c r="B545" s="836" t="s">
        <v>1659</v>
      </c>
      <c r="C545" s="832"/>
      <c r="D545" s="717" t="s">
        <v>1675</v>
      </c>
      <c r="E545" s="595">
        <f>E538*E531*1000*E540*E536/100/10^6</f>
        <v>0</v>
      </c>
      <c r="F545" s="595">
        <f>F538*F531*1000*F540*F536/100/10^6</f>
        <v>0</v>
      </c>
      <c r="G545" s="595">
        <f>G538*G531*1000*G540*G536/100/10^6</f>
        <v>0</v>
      </c>
      <c r="H545" s="595">
        <f>H538*H531*1000*H540*H536/100/10^6</f>
        <v>0</v>
      </c>
      <c r="I545" s="595">
        <f>I538*I531*1000*I540*I536/100/10^6</f>
        <v>0</v>
      </c>
      <c r="J545" s="628"/>
      <c r="K545" s="611"/>
    </row>
    <row r="546" spans="1:11" outlineLevel="1" x14ac:dyDescent="0.35">
      <c r="A546" s="717" t="s">
        <v>344</v>
      </c>
      <c r="B546" s="836" t="s">
        <v>1660</v>
      </c>
      <c r="C546" s="832"/>
      <c r="D546" s="717" t="s">
        <v>1675</v>
      </c>
      <c r="E546" s="595">
        <f>E539*E541*1000*E531*E537/100/10^6</f>
        <v>0</v>
      </c>
      <c r="F546" s="595">
        <f>F539*F541*1000*F531*F537/100/10^6</f>
        <v>0</v>
      </c>
      <c r="G546" s="595">
        <f>G539*G541*1000*G531*G537/100/10^6</f>
        <v>0</v>
      </c>
      <c r="H546" s="595">
        <f>H539*H541*1000*H531*H537/100/10^6</f>
        <v>0</v>
      </c>
      <c r="I546" s="595">
        <f>I539*I541*1000*I531*I537/100/10^6</f>
        <v>0</v>
      </c>
      <c r="J546" s="628"/>
      <c r="K546" s="611"/>
    </row>
    <row r="547" spans="1:11" x14ac:dyDescent="0.35">
      <c r="A547" s="543"/>
      <c r="B547" s="597"/>
      <c r="C547" s="580"/>
      <c r="D547" s="543"/>
      <c r="E547" s="543"/>
      <c r="F547" s="543"/>
      <c r="G547" s="597"/>
      <c r="H547" s="596"/>
      <c r="I547" s="543"/>
      <c r="J547" s="611"/>
      <c r="K547" s="611"/>
    </row>
    <row r="548" spans="1:11" x14ac:dyDescent="0.35">
      <c r="A548" s="590" t="s">
        <v>1690</v>
      </c>
      <c r="B548" s="591" t="s">
        <v>1691</v>
      </c>
      <c r="C548" s="864" t="s">
        <v>1685</v>
      </c>
      <c r="D548" s="259"/>
      <c r="E548" s="259"/>
      <c r="F548" s="259"/>
      <c r="G548" s="256"/>
      <c r="H548" s="789"/>
      <c r="I548" s="586"/>
      <c r="J548" s="586"/>
      <c r="K548" s="586"/>
    </row>
    <row r="549" spans="1:11" outlineLevel="1" x14ac:dyDescent="0.35">
      <c r="A549" s="52" t="s">
        <v>110</v>
      </c>
      <c r="B549" s="3" t="s">
        <v>1627</v>
      </c>
      <c r="C549" s="835" t="s">
        <v>1628</v>
      </c>
      <c r="D549" s="52" t="s">
        <v>1629</v>
      </c>
      <c r="E549" s="561"/>
      <c r="F549" s="561"/>
      <c r="G549" s="561"/>
      <c r="H549" s="485">
        <f t="shared" ref="H549:H561" si="35">IF(K$8=1,E549,IF(K$8=2,(E549+F549)/2,(E549+F549+G549)/3))</f>
        <v>0</v>
      </c>
      <c r="I549" s="561"/>
      <c r="J549" s="561"/>
      <c r="K549" s="32"/>
    </row>
    <row r="550" spans="1:11" outlineLevel="1" x14ac:dyDescent="0.35">
      <c r="A550" s="52" t="s">
        <v>115</v>
      </c>
      <c r="B550" s="3" t="s">
        <v>1630</v>
      </c>
      <c r="C550" s="2" t="s">
        <v>1631</v>
      </c>
      <c r="D550" s="52" t="s">
        <v>1632</v>
      </c>
      <c r="E550" s="561"/>
      <c r="F550" s="561"/>
      <c r="G550" s="561"/>
      <c r="H550" s="485">
        <f t="shared" si="35"/>
        <v>0</v>
      </c>
      <c r="I550" s="561"/>
      <c r="J550" s="561"/>
      <c r="K550" s="32"/>
    </row>
    <row r="551" spans="1:11" outlineLevel="1" x14ac:dyDescent="0.35">
      <c r="A551" s="52" t="s">
        <v>118</v>
      </c>
      <c r="B551" s="3" t="s">
        <v>1663</v>
      </c>
      <c r="C551" s="2" t="s">
        <v>1631</v>
      </c>
      <c r="D551" s="52" t="s">
        <v>1632</v>
      </c>
      <c r="E551" s="561"/>
      <c r="F551" s="561"/>
      <c r="G551" s="561"/>
      <c r="H551" s="485">
        <f t="shared" si="35"/>
        <v>0</v>
      </c>
      <c r="I551" s="561"/>
      <c r="J551" s="561"/>
      <c r="K551" s="32"/>
    </row>
    <row r="552" spans="1:11" outlineLevel="1" x14ac:dyDescent="0.35">
      <c r="A552" s="52" t="s">
        <v>121</v>
      </c>
      <c r="B552" s="3" t="s">
        <v>1634</v>
      </c>
      <c r="C552" s="2" t="s">
        <v>56</v>
      </c>
      <c r="D552" s="52" t="s">
        <v>1632</v>
      </c>
      <c r="E552" s="609">
        <f t="shared" ref="E552:G553" si="36">E550*0.95</f>
        <v>0</v>
      </c>
      <c r="F552" s="609">
        <f t="shared" si="36"/>
        <v>0</v>
      </c>
      <c r="G552" s="609">
        <f t="shared" si="36"/>
        <v>0</v>
      </c>
      <c r="H552" s="485">
        <f t="shared" si="35"/>
        <v>0</v>
      </c>
      <c r="I552" s="609">
        <f>I550*0.95</f>
        <v>0</v>
      </c>
      <c r="J552" s="561"/>
      <c r="K552" s="32"/>
    </row>
    <row r="553" spans="1:11" outlineLevel="1" x14ac:dyDescent="0.35">
      <c r="A553" s="52" t="s">
        <v>124</v>
      </c>
      <c r="B553" s="3" t="s">
        <v>1665</v>
      </c>
      <c r="C553" s="2" t="s">
        <v>56</v>
      </c>
      <c r="D553" s="52" t="s">
        <v>1632</v>
      </c>
      <c r="E553" s="609">
        <f t="shared" si="36"/>
        <v>0</v>
      </c>
      <c r="F553" s="609">
        <f t="shared" si="36"/>
        <v>0</v>
      </c>
      <c r="G553" s="609">
        <f t="shared" si="36"/>
        <v>0</v>
      </c>
      <c r="H553" s="485">
        <f t="shared" si="35"/>
        <v>0</v>
      </c>
      <c r="I553" s="609">
        <f>I551*0.95</f>
        <v>0</v>
      </c>
      <c r="J553" s="561"/>
      <c r="K553" s="32"/>
    </row>
    <row r="554" spans="1:11" outlineLevel="1" x14ac:dyDescent="0.35">
      <c r="A554" s="52" t="s">
        <v>162</v>
      </c>
      <c r="B554" s="3" t="s">
        <v>1666</v>
      </c>
      <c r="C554" s="2" t="s">
        <v>56</v>
      </c>
      <c r="D554" s="52" t="s">
        <v>1018</v>
      </c>
      <c r="E554" s="561"/>
      <c r="F554" s="561"/>
      <c r="G554" s="561"/>
      <c r="H554" s="485">
        <f t="shared" si="35"/>
        <v>0</v>
      </c>
      <c r="I554" s="561"/>
      <c r="J554" s="561"/>
      <c r="K554" s="32"/>
    </row>
    <row r="555" spans="1:11" outlineLevel="1" x14ac:dyDescent="0.35">
      <c r="A555" s="52" t="s">
        <v>202</v>
      </c>
      <c r="B555" s="3" t="s">
        <v>1667</v>
      </c>
      <c r="C555" s="2" t="s">
        <v>1641</v>
      </c>
      <c r="D555" s="52" t="s">
        <v>1057</v>
      </c>
      <c r="E555" s="561"/>
      <c r="F555" s="561"/>
      <c r="G555" s="561"/>
      <c r="H555" s="485">
        <f t="shared" si="35"/>
        <v>0</v>
      </c>
      <c r="I555" s="561"/>
      <c r="J555" s="561"/>
      <c r="K555" s="32"/>
    </row>
    <row r="556" spans="1:11" outlineLevel="1" x14ac:dyDescent="0.35">
      <c r="A556" s="52" t="s">
        <v>203</v>
      </c>
      <c r="B556" s="3" t="s">
        <v>1668</v>
      </c>
      <c r="C556" s="2" t="s">
        <v>56</v>
      </c>
      <c r="D556" s="52" t="s">
        <v>1057</v>
      </c>
      <c r="E556" s="891"/>
      <c r="F556" s="891"/>
      <c r="G556" s="891"/>
      <c r="H556" s="485">
        <f t="shared" si="35"/>
        <v>0</v>
      </c>
      <c r="I556" s="561"/>
      <c r="J556" s="561"/>
      <c r="K556" s="32"/>
    </row>
    <row r="557" spans="1:11" outlineLevel="1" x14ac:dyDescent="0.35">
      <c r="A557" s="52" t="s">
        <v>225</v>
      </c>
      <c r="B557" s="3" t="s">
        <v>1669</v>
      </c>
      <c r="C557" s="2" t="s">
        <v>56</v>
      </c>
      <c r="D557" s="52" t="s">
        <v>1057</v>
      </c>
      <c r="E557" s="891"/>
      <c r="F557" s="891"/>
      <c r="G557" s="891"/>
      <c r="H557" s="485">
        <f t="shared" si="35"/>
        <v>0</v>
      </c>
      <c r="I557" s="561"/>
      <c r="J557" s="561"/>
      <c r="K557" s="32"/>
    </row>
    <row r="558" spans="1:11" outlineLevel="1" x14ac:dyDescent="0.35">
      <c r="A558" s="485" t="s">
        <v>229</v>
      </c>
      <c r="B558" s="889" t="s">
        <v>1645</v>
      </c>
      <c r="C558" s="485" t="s">
        <v>56</v>
      </c>
      <c r="D558" s="485" t="s">
        <v>1057</v>
      </c>
      <c r="E558" s="485"/>
      <c r="F558" s="485"/>
      <c r="G558" s="485"/>
      <c r="H558" s="485">
        <f t="shared" si="35"/>
        <v>0</v>
      </c>
      <c r="I558" s="561"/>
      <c r="J558" s="561"/>
      <c r="K558" s="32"/>
    </row>
    <row r="559" spans="1:11" outlineLevel="1" x14ac:dyDescent="0.35">
      <c r="A559" s="485" t="s">
        <v>233</v>
      </c>
      <c r="B559" s="889" t="s">
        <v>1646</v>
      </c>
      <c r="C559" s="485" t="s">
        <v>56</v>
      </c>
      <c r="D559" s="485" t="s">
        <v>1057</v>
      </c>
      <c r="E559" s="485"/>
      <c r="F559" s="485"/>
      <c r="G559" s="485"/>
      <c r="H559" s="485">
        <f t="shared" si="35"/>
        <v>0</v>
      </c>
      <c r="I559" s="561"/>
      <c r="J559" s="561"/>
      <c r="K559" s="32"/>
    </row>
    <row r="560" spans="1:11" outlineLevel="1" x14ac:dyDescent="0.35">
      <c r="A560" s="52" t="s">
        <v>238</v>
      </c>
      <c r="B560" s="3" t="s">
        <v>1647</v>
      </c>
      <c r="C560" s="2" t="s">
        <v>56</v>
      </c>
      <c r="D560" s="52" t="s">
        <v>1018</v>
      </c>
      <c r="E560" s="561"/>
      <c r="F560" s="561"/>
      <c r="G560" s="561"/>
      <c r="H560" s="485">
        <f t="shared" si="35"/>
        <v>0</v>
      </c>
      <c r="I560" s="561"/>
      <c r="J560" s="561"/>
      <c r="K560" s="32"/>
    </row>
    <row r="561" spans="1:11" outlineLevel="1" x14ac:dyDescent="0.35">
      <c r="A561" s="52" t="s">
        <v>317</v>
      </c>
      <c r="B561" s="3" t="s">
        <v>1674</v>
      </c>
      <c r="C561" s="2" t="s">
        <v>1649</v>
      </c>
      <c r="D561" s="52" t="s">
        <v>1018</v>
      </c>
      <c r="E561" s="561"/>
      <c r="F561" s="561"/>
      <c r="G561" s="561"/>
      <c r="H561" s="485">
        <f t="shared" si="35"/>
        <v>0</v>
      </c>
      <c r="I561" s="561"/>
      <c r="J561" s="561"/>
      <c r="K561" s="32"/>
    </row>
    <row r="562" spans="1:11" outlineLevel="1" x14ac:dyDescent="0.35">
      <c r="A562" s="717" t="s">
        <v>319</v>
      </c>
      <c r="B562" s="813" t="s">
        <v>1692</v>
      </c>
      <c r="C562" s="814" t="s">
        <v>56</v>
      </c>
      <c r="D562" s="812" t="s">
        <v>1671</v>
      </c>
      <c r="E562" s="720">
        <f>IFERROR(IF(E556=0,VLOOKUP($C$548,'Emission Factor &amp; GWP Backup'!$B$4:$E$56,4,FALSE),3.664*(E556/100)/E552*1000),0)</f>
        <v>0.39607127999999325</v>
      </c>
      <c r="F562" s="486">
        <f>IFERROR(IF(F556=0,VLOOKUP($C$548,'Emission Factor &amp; GWP Backup'!$B$4:$E$56,4,FALSE),3.664*(F556/100)/F552*1000),0)</f>
        <v>0.39607127999999325</v>
      </c>
      <c r="G562" s="486">
        <f>IFERROR(IF(G556=0,VLOOKUP($C$548,'Emission Factor &amp; GWP Backup'!$B$4:$E$56,4,FALSE),3.664*(G556/100)/G552*1000),0)</f>
        <v>0.39607127999999325</v>
      </c>
      <c r="H562" s="486">
        <f>IFERROR(IF(H556=0,VLOOKUP($C$548,'Emission Factor &amp; GWP Backup'!$B$4:$E$56,4,FALSE),3.664*(H556/100)/H552*1000),0)</f>
        <v>0.39607127999999325</v>
      </c>
      <c r="I562" s="486">
        <f>IFERROR(IF(I556=0,VLOOKUP($C$548,'Emission Factor &amp; GWP Backup'!$B$4:$E$56,4,FALSE),3.664*(I556/100)/I552*1000),0)</f>
        <v>0.39607127999999325</v>
      </c>
      <c r="J562" s="874"/>
      <c r="K562" s="32"/>
    </row>
    <row r="563" spans="1:11" outlineLevel="1" x14ac:dyDescent="0.35">
      <c r="A563" s="717" t="s">
        <v>322</v>
      </c>
      <c r="B563" s="813" t="s">
        <v>1652</v>
      </c>
      <c r="C563" s="814" t="s">
        <v>56</v>
      </c>
      <c r="D563" s="812" t="s">
        <v>1671</v>
      </c>
      <c r="E563" s="720">
        <f>IFERROR(IF(E557=0,VLOOKUP($C$548,'Emission Factor &amp; GWP Backup'!$B$4:$E$56,4,FALSE),3.664*(E557/100)/E553*1000),0)</f>
        <v>0.39607127999999325</v>
      </c>
      <c r="F563" s="486">
        <f>IFERROR(IF(F557=0,VLOOKUP($C$548,'Emission Factor &amp; GWP Backup'!$B$4:$E$56,4,FALSE),3.664*(F557/100)/F553*1000),0)</f>
        <v>0.39607127999999325</v>
      </c>
      <c r="G563" s="486">
        <f>IFERROR(IF(G557=0,VLOOKUP($C$548,'Emission Factor &amp; GWP Backup'!$B$4:$E$56,4,FALSE),3.664*(G557/100)/G553*1000),0)</f>
        <v>0.39607127999999325</v>
      </c>
      <c r="H563" s="486">
        <f>IFERROR(IF(H557=0,VLOOKUP($C$548,'Emission Factor &amp; GWP Backup'!$B$4:$E$56,4,FALSE),3.664*(H557/100)/H553*1000),0)</f>
        <v>0.39607127999999325</v>
      </c>
      <c r="I563" s="486">
        <f>IFERROR(IF(I557=0,VLOOKUP($C$548,'Emission Factor &amp; GWP Backup'!$B$4:$E$56,4,FALSE),3.664*(I557/100)/I553*1000),0)</f>
        <v>0.39607127999999325</v>
      </c>
      <c r="J563" s="874"/>
      <c r="K563" s="32"/>
    </row>
    <row r="564" spans="1:11" outlineLevel="1" x14ac:dyDescent="0.35">
      <c r="A564" s="717" t="s">
        <v>327</v>
      </c>
      <c r="B564" s="836" t="s">
        <v>1653</v>
      </c>
      <c r="C564" s="832" t="s">
        <v>1654</v>
      </c>
      <c r="D564" s="717" t="s">
        <v>1018</v>
      </c>
      <c r="E564" s="717">
        <f>E560+E561</f>
        <v>0</v>
      </c>
      <c r="F564" s="593">
        <f>F560+F561</f>
        <v>0</v>
      </c>
      <c r="G564" s="593">
        <f>G560+G561</f>
        <v>0</v>
      </c>
      <c r="H564" s="595">
        <f>H560+H561</f>
        <v>0</v>
      </c>
      <c r="I564" s="593">
        <f>I560+I561</f>
        <v>0</v>
      </c>
      <c r="J564" s="611"/>
      <c r="K564" s="611"/>
    </row>
    <row r="565" spans="1:11" outlineLevel="1" x14ac:dyDescent="0.35">
      <c r="A565" s="717" t="s">
        <v>332</v>
      </c>
      <c r="B565" s="836" t="s">
        <v>1655</v>
      </c>
      <c r="C565" s="832" t="s">
        <v>1656</v>
      </c>
      <c r="D565" s="717" t="s">
        <v>1139</v>
      </c>
      <c r="E565" s="717">
        <f t="shared" ref="E565:I566" si="37">E550*E560/1000</f>
        <v>0</v>
      </c>
      <c r="F565" s="593">
        <f t="shared" si="37"/>
        <v>0</v>
      </c>
      <c r="G565" s="593">
        <f t="shared" si="37"/>
        <v>0</v>
      </c>
      <c r="H565" s="595">
        <f t="shared" si="37"/>
        <v>0</v>
      </c>
      <c r="I565" s="593">
        <f t="shared" si="37"/>
        <v>0</v>
      </c>
      <c r="J565" s="611"/>
      <c r="K565" s="611"/>
    </row>
    <row r="566" spans="1:11" outlineLevel="1" x14ac:dyDescent="0.35">
      <c r="A566" s="717" t="s">
        <v>337</v>
      </c>
      <c r="B566" s="836" t="s">
        <v>1657</v>
      </c>
      <c r="C566" s="832" t="s">
        <v>1658</v>
      </c>
      <c r="D566" s="717" t="s">
        <v>1139</v>
      </c>
      <c r="E566" s="717">
        <f t="shared" si="37"/>
        <v>0</v>
      </c>
      <c r="F566" s="593">
        <f t="shared" si="37"/>
        <v>0</v>
      </c>
      <c r="G566" s="593">
        <f t="shared" si="37"/>
        <v>0</v>
      </c>
      <c r="H566" s="595">
        <f t="shared" si="37"/>
        <v>0</v>
      </c>
      <c r="I566" s="593">
        <f t="shared" si="37"/>
        <v>0</v>
      </c>
      <c r="J566" s="611"/>
      <c r="K566" s="611"/>
    </row>
    <row r="567" spans="1:11" outlineLevel="1" x14ac:dyDescent="0.35">
      <c r="A567" s="717" t="s">
        <v>340</v>
      </c>
      <c r="B567" s="836" t="s">
        <v>1659</v>
      </c>
      <c r="C567" s="832"/>
      <c r="D567" s="717" t="s">
        <v>1675</v>
      </c>
      <c r="E567" s="718">
        <f>E560*E553*1000*E562*E558/100/10^6</f>
        <v>0</v>
      </c>
      <c r="F567" s="593">
        <f>F560*F553*1000*F562*F558/100/10^6</f>
        <v>0</v>
      </c>
      <c r="G567" s="593">
        <f>G560*G553*1000*G562*G558/100/10^6</f>
        <v>0</v>
      </c>
      <c r="H567" s="595">
        <f>H560*H553*1000*H562*H558/100/10^6</f>
        <v>0</v>
      </c>
      <c r="I567" s="595">
        <f>I560*I553*1000*I562*I558/100/10^6</f>
        <v>0</v>
      </c>
      <c r="J567" s="611"/>
      <c r="K567" s="611"/>
    </row>
    <row r="568" spans="1:11" outlineLevel="1" x14ac:dyDescent="0.35">
      <c r="A568" s="717" t="s">
        <v>344</v>
      </c>
      <c r="B568" s="836" t="s">
        <v>1660</v>
      </c>
      <c r="C568" s="832"/>
      <c r="D568" s="717" t="s">
        <v>1675</v>
      </c>
      <c r="E568" s="718">
        <f>E561*E563*1000*E553*E559/100/10^6</f>
        <v>0</v>
      </c>
      <c r="F568" s="593">
        <f>F561*F563*1000*F553*F559/100/10^6</f>
        <v>0</v>
      </c>
      <c r="G568" s="593">
        <f>G561*G563*1000*G553*G559/100/10^6</f>
        <v>0</v>
      </c>
      <c r="H568" s="595">
        <f>H561*H563*1000*H553*H559/100/10^6</f>
        <v>0</v>
      </c>
      <c r="I568" s="595">
        <f>I561*I563*1000*I553*I559/100/10^6</f>
        <v>0</v>
      </c>
      <c r="J568" s="611"/>
      <c r="K568" s="611"/>
    </row>
    <row r="569" spans="1:11" x14ac:dyDescent="0.35">
      <c r="A569" s="543"/>
      <c r="B569" s="597"/>
      <c r="C569" s="580"/>
      <c r="D569" s="543"/>
      <c r="E569" s="543"/>
      <c r="F569" s="543"/>
      <c r="G569" s="597"/>
      <c r="H569" s="596"/>
      <c r="I569" s="543"/>
      <c r="J569" s="611"/>
      <c r="K569" s="611"/>
    </row>
    <row r="570" spans="1:11" x14ac:dyDescent="0.35">
      <c r="A570" s="590" t="s">
        <v>542</v>
      </c>
      <c r="B570" s="591" t="s">
        <v>543</v>
      </c>
      <c r="C570" s="592"/>
      <c r="D570" s="259"/>
      <c r="E570" s="259"/>
      <c r="F570" s="259"/>
      <c r="G570" s="256"/>
      <c r="H570" s="792"/>
      <c r="I570" s="259"/>
      <c r="J570" s="639"/>
      <c r="K570" s="639"/>
    </row>
    <row r="571" spans="1:11" x14ac:dyDescent="0.35">
      <c r="A571" s="52" t="s">
        <v>110</v>
      </c>
      <c r="B571" s="3" t="s">
        <v>1627</v>
      </c>
      <c r="C571" s="835" t="s">
        <v>1628</v>
      </c>
      <c r="D571" s="52" t="s">
        <v>1629</v>
      </c>
      <c r="E571" s="561"/>
      <c r="F571" s="561"/>
      <c r="G571" s="561"/>
      <c r="H571" s="485">
        <f t="shared" ref="H571:H577" si="38">IF(K$8=1,E571,IF(K$8=2,(E571+F571)/2,(E571+F571+G571)/3))</f>
        <v>0</v>
      </c>
      <c r="I571" s="611"/>
      <c r="J571" s="611"/>
      <c r="K571" s="611"/>
    </row>
    <row r="572" spans="1:11" x14ac:dyDescent="0.35">
      <c r="A572" s="52" t="s">
        <v>115</v>
      </c>
      <c r="B572" s="3" t="s">
        <v>1693</v>
      </c>
      <c r="C572" s="2" t="s">
        <v>1694</v>
      </c>
      <c r="D572" s="52" t="s">
        <v>1632</v>
      </c>
      <c r="E572" s="561"/>
      <c r="F572" s="561"/>
      <c r="G572" s="561"/>
      <c r="H572" s="485">
        <f t="shared" si="38"/>
        <v>0</v>
      </c>
      <c r="I572" s="611"/>
      <c r="J572" s="611"/>
      <c r="K572" s="611"/>
    </row>
    <row r="573" spans="1:11" x14ac:dyDescent="0.35">
      <c r="A573" s="52" t="s">
        <v>118</v>
      </c>
      <c r="B573" s="3" t="s">
        <v>1695</v>
      </c>
      <c r="C573" s="2" t="s">
        <v>1696</v>
      </c>
      <c r="D573" s="52" t="s">
        <v>1632</v>
      </c>
      <c r="E573" s="612">
        <f>0.95*E572</f>
        <v>0</v>
      </c>
      <c r="F573" s="612">
        <f>0.95*F572</f>
        <v>0</v>
      </c>
      <c r="G573" s="612">
        <f>0.95*G572</f>
        <v>0</v>
      </c>
      <c r="H573" s="485">
        <f t="shared" si="38"/>
        <v>0</v>
      </c>
      <c r="I573" s="612">
        <f>0.95*I572</f>
        <v>0</v>
      </c>
      <c r="J573" s="611"/>
      <c r="K573" s="611"/>
    </row>
    <row r="574" spans="1:11" x14ac:dyDescent="0.35">
      <c r="A574" s="52" t="s">
        <v>121</v>
      </c>
      <c r="B574" s="3" t="s">
        <v>1697</v>
      </c>
      <c r="C574" s="2" t="s">
        <v>56</v>
      </c>
      <c r="D574" s="52" t="s">
        <v>1057</v>
      </c>
      <c r="E574" s="891"/>
      <c r="F574" s="891"/>
      <c r="G574" s="891"/>
      <c r="H574" s="485">
        <f t="shared" si="38"/>
        <v>0</v>
      </c>
      <c r="I574" s="611"/>
      <c r="J574" s="611"/>
      <c r="K574" s="611"/>
    </row>
    <row r="575" spans="1:11" x14ac:dyDescent="0.35">
      <c r="A575" s="485" t="s">
        <v>124</v>
      </c>
      <c r="B575" s="889" t="s">
        <v>1698</v>
      </c>
      <c r="C575" s="485" t="s">
        <v>56</v>
      </c>
      <c r="D575" s="485" t="s">
        <v>1057</v>
      </c>
      <c r="E575" s="485"/>
      <c r="F575" s="485"/>
      <c r="G575" s="485"/>
      <c r="H575" s="485">
        <f t="shared" si="38"/>
        <v>0</v>
      </c>
      <c r="I575" s="709"/>
      <c r="J575" s="611"/>
      <c r="K575" s="611"/>
    </row>
    <row r="576" spans="1:11" x14ac:dyDescent="0.35">
      <c r="A576" s="52" t="s">
        <v>162</v>
      </c>
      <c r="B576" s="3" t="s">
        <v>1699</v>
      </c>
      <c r="C576" s="2" t="s">
        <v>56</v>
      </c>
      <c r="D576" s="52" t="s">
        <v>1018</v>
      </c>
      <c r="E576" s="561"/>
      <c r="F576" s="561"/>
      <c r="G576" s="561"/>
      <c r="H576" s="485">
        <f t="shared" si="38"/>
        <v>0</v>
      </c>
      <c r="I576" s="611"/>
      <c r="J576" s="611"/>
      <c r="K576" s="611"/>
    </row>
    <row r="577" spans="1:11" x14ac:dyDescent="0.35">
      <c r="A577" s="52" t="s">
        <v>202</v>
      </c>
      <c r="B577" s="3" t="s">
        <v>1700</v>
      </c>
      <c r="C577" s="2" t="s">
        <v>56</v>
      </c>
      <c r="D577" s="52" t="s">
        <v>1018</v>
      </c>
      <c r="E577" s="561"/>
      <c r="F577" s="561"/>
      <c r="G577" s="561"/>
      <c r="H577" s="485">
        <f t="shared" si="38"/>
        <v>0</v>
      </c>
      <c r="I577" s="611"/>
      <c r="J577" s="611"/>
      <c r="K577" s="611"/>
    </row>
    <row r="578" spans="1:11" x14ac:dyDescent="0.35">
      <c r="A578" s="812" t="s">
        <v>203</v>
      </c>
      <c r="B578" s="813" t="s">
        <v>1701</v>
      </c>
      <c r="C578" s="814" t="s">
        <v>56</v>
      </c>
      <c r="D578" s="814" t="s">
        <v>1671</v>
      </c>
      <c r="E578" s="562">
        <f>IFERROR(((1*3.664*E574/100)/E573*1000),0)</f>
        <v>0</v>
      </c>
      <c r="F578" s="562">
        <f>IFERROR(((1*3.664*F574/100)/F573*1000),0)</f>
        <v>0</v>
      </c>
      <c r="G578" s="562">
        <f>IFERROR(((1*3.664*G574/100)/G573*1000),0)</f>
        <v>0</v>
      </c>
      <c r="H578" s="485">
        <f>IFERROR(((1*3.664*H574/100)/H573*1000),0)</f>
        <v>0</v>
      </c>
      <c r="I578" s="562">
        <f>IFERROR(((1*3.664*I574/100)/I573*1000),0)</f>
        <v>0</v>
      </c>
      <c r="J578" s="589"/>
      <c r="K578" s="611"/>
    </row>
    <row r="579" spans="1:11" x14ac:dyDescent="0.35">
      <c r="A579" s="717" t="s">
        <v>225</v>
      </c>
      <c r="B579" s="836" t="s">
        <v>1653</v>
      </c>
      <c r="C579" s="832" t="s">
        <v>121</v>
      </c>
      <c r="D579" s="717" t="s">
        <v>1018</v>
      </c>
      <c r="E579" s="593">
        <f>E577</f>
        <v>0</v>
      </c>
      <c r="F579" s="593">
        <f>F577</f>
        <v>0</v>
      </c>
      <c r="G579" s="593">
        <f>G577</f>
        <v>0</v>
      </c>
      <c r="H579" s="593">
        <f>H577</f>
        <v>0</v>
      </c>
      <c r="I579" s="593">
        <f>I577</f>
        <v>0</v>
      </c>
      <c r="J579" s="611"/>
      <c r="K579" s="611"/>
    </row>
    <row r="580" spans="1:11" x14ac:dyDescent="0.35">
      <c r="A580" s="717" t="s">
        <v>229</v>
      </c>
      <c r="B580" s="836" t="s">
        <v>1702</v>
      </c>
      <c r="C580" s="832" t="s">
        <v>1703</v>
      </c>
      <c r="D580" s="717" t="s">
        <v>1139</v>
      </c>
      <c r="E580" s="593">
        <f>E572*(E577+E576)/1000</f>
        <v>0</v>
      </c>
      <c r="F580" s="593">
        <f>F572*(F577+F576)/1000</f>
        <v>0</v>
      </c>
      <c r="G580" s="593">
        <f>G572*(G577+G576)/1000</f>
        <v>0</v>
      </c>
      <c r="H580" s="593">
        <f>H572*(H577+H576)/1000</f>
        <v>0</v>
      </c>
      <c r="I580" s="593">
        <f>I572*(I577+I576)/1000</f>
        <v>0</v>
      </c>
      <c r="J580" s="611"/>
      <c r="K580" s="611"/>
    </row>
    <row r="581" spans="1:11" x14ac:dyDescent="0.35">
      <c r="A581" s="717" t="s">
        <v>233</v>
      </c>
      <c r="B581" s="836" t="s">
        <v>1704</v>
      </c>
      <c r="C581" s="832" t="s">
        <v>56</v>
      </c>
      <c r="D581" s="717" t="s">
        <v>1675</v>
      </c>
      <c r="E581" s="593">
        <f>E576*E573*1000*E578*E575/100/10^6</f>
        <v>0</v>
      </c>
      <c r="F581" s="593">
        <f>F576*F573*1000*F578*F575/100/10^6</f>
        <v>0</v>
      </c>
      <c r="G581" s="593">
        <f>G576*G573*1000*G578*G575/100/10^6</f>
        <v>0</v>
      </c>
      <c r="H581" s="593">
        <f>H576*H573*1000*H578*H575/100/10^6</f>
        <v>0</v>
      </c>
      <c r="I581" s="593">
        <f>I576*I573*1000*I578*I575/100/10^6</f>
        <v>0</v>
      </c>
      <c r="J581" s="611"/>
      <c r="K581" s="611"/>
    </row>
    <row r="582" spans="1:11" x14ac:dyDescent="0.35">
      <c r="A582" s="543"/>
      <c r="B582" s="597"/>
      <c r="C582" s="580"/>
      <c r="D582" s="543"/>
      <c r="E582" s="543"/>
      <c r="F582" s="543"/>
      <c r="G582" s="597"/>
      <c r="H582" s="596"/>
      <c r="I582" s="543"/>
      <c r="J582" s="611"/>
      <c r="K582" s="611"/>
    </row>
    <row r="583" spans="1:11" ht="47.15" customHeight="1" x14ac:dyDescent="0.35">
      <c r="A583" s="590" t="s">
        <v>1705</v>
      </c>
      <c r="B583" s="591" t="s">
        <v>1706</v>
      </c>
      <c r="C583" s="1031" t="s">
        <v>1707</v>
      </c>
      <c r="D583" s="931"/>
      <c r="E583" s="592"/>
      <c r="F583" s="592"/>
      <c r="G583" s="591"/>
      <c r="H583" s="789"/>
      <c r="I583" s="586"/>
      <c r="J583" s="586"/>
      <c r="K583" s="586"/>
    </row>
    <row r="584" spans="1:11" outlineLevel="1" x14ac:dyDescent="0.35">
      <c r="A584" s="52" t="s">
        <v>110</v>
      </c>
      <c r="B584" s="3" t="s">
        <v>1627</v>
      </c>
      <c r="C584" s="839" t="s">
        <v>1628</v>
      </c>
      <c r="D584" s="52" t="s">
        <v>1629</v>
      </c>
      <c r="E584" s="613"/>
      <c r="F584" s="561"/>
      <c r="G584" s="561"/>
      <c r="H584" s="485">
        <f t="shared" ref="H584:H596" si="39">IF(K$8=1,E584,IF(K$8=2,(E584+F584)/2,(E584+F584+G584)/3))</f>
        <v>0</v>
      </c>
      <c r="I584" s="561"/>
      <c r="J584" s="561"/>
      <c r="K584" s="561"/>
    </row>
    <row r="585" spans="1:11" outlineLevel="1" x14ac:dyDescent="0.35">
      <c r="A585" s="52" t="s">
        <v>115</v>
      </c>
      <c r="B585" s="3" t="s">
        <v>1708</v>
      </c>
      <c r="C585" s="2" t="s">
        <v>1709</v>
      </c>
      <c r="D585" s="52" t="s">
        <v>1632</v>
      </c>
      <c r="E585" s="561"/>
      <c r="F585" s="561"/>
      <c r="G585" s="561"/>
      <c r="H585" s="485">
        <f t="shared" si="39"/>
        <v>0</v>
      </c>
      <c r="I585" s="588"/>
      <c r="J585" s="926" t="s">
        <v>1670</v>
      </c>
      <c r="K585" s="561"/>
    </row>
    <row r="586" spans="1:11" outlineLevel="1" x14ac:dyDescent="0.35">
      <c r="A586" s="52" t="s">
        <v>118</v>
      </c>
      <c r="B586" s="3" t="s">
        <v>1710</v>
      </c>
      <c r="C586" s="2" t="s">
        <v>1711</v>
      </c>
      <c r="D586" s="52" t="s">
        <v>1632</v>
      </c>
      <c r="E586" s="561"/>
      <c r="F586" s="561"/>
      <c r="G586" s="561"/>
      <c r="H586" s="485">
        <f t="shared" si="39"/>
        <v>0</v>
      </c>
      <c r="I586" s="588"/>
      <c r="J586" s="926" t="s">
        <v>1670</v>
      </c>
      <c r="K586" s="561"/>
    </row>
    <row r="587" spans="1:11" outlineLevel="1" x14ac:dyDescent="0.35">
      <c r="A587" s="52" t="s">
        <v>121</v>
      </c>
      <c r="B587" s="3" t="s">
        <v>1712</v>
      </c>
      <c r="C587" s="2" t="s">
        <v>1696</v>
      </c>
      <c r="D587" s="52" t="s">
        <v>1632</v>
      </c>
      <c r="E587" s="609"/>
      <c r="F587" s="609">
        <f>F585*0.95</f>
        <v>0</v>
      </c>
      <c r="G587" s="609">
        <f>G585*0.95</f>
        <v>0</v>
      </c>
      <c r="H587" s="485">
        <f t="shared" si="39"/>
        <v>0</v>
      </c>
      <c r="I587" s="609">
        <f>I585*0.95</f>
        <v>0</v>
      </c>
      <c r="J587" s="926" t="s">
        <v>1670</v>
      </c>
      <c r="K587" s="561"/>
    </row>
    <row r="588" spans="1:11" outlineLevel="1" x14ac:dyDescent="0.35">
      <c r="A588" s="52" t="s">
        <v>124</v>
      </c>
      <c r="B588" s="3" t="s">
        <v>1713</v>
      </c>
      <c r="C588" s="2" t="s">
        <v>1696</v>
      </c>
      <c r="D588" s="52" t="s">
        <v>1632</v>
      </c>
      <c r="E588" s="609"/>
      <c r="F588" s="609"/>
      <c r="G588" s="609"/>
      <c r="H588" s="485">
        <f t="shared" si="39"/>
        <v>0</v>
      </c>
      <c r="I588" s="609">
        <f>I586*0.95</f>
        <v>0</v>
      </c>
      <c r="J588" s="926" t="s">
        <v>1670</v>
      </c>
      <c r="K588" s="561"/>
    </row>
    <row r="589" spans="1:11" outlineLevel="1" x14ac:dyDescent="0.35">
      <c r="A589" s="52" t="s">
        <v>162</v>
      </c>
      <c r="B589" s="3" t="s">
        <v>1714</v>
      </c>
      <c r="C589" s="2" t="s">
        <v>1696</v>
      </c>
      <c r="D589" s="52" t="s">
        <v>1057</v>
      </c>
      <c r="E589" s="891"/>
      <c r="F589" s="891"/>
      <c r="G589" s="891"/>
      <c r="H589" s="485">
        <f t="shared" si="39"/>
        <v>0</v>
      </c>
      <c r="I589" s="588"/>
      <c r="J589" s="588"/>
      <c r="K589" s="561"/>
    </row>
    <row r="590" spans="1:11" outlineLevel="1" x14ac:dyDescent="0.35">
      <c r="A590" s="52" t="s">
        <v>202</v>
      </c>
      <c r="B590" s="3" t="s">
        <v>1715</v>
      </c>
      <c r="C590" s="2" t="s">
        <v>1696</v>
      </c>
      <c r="D590" s="52" t="s">
        <v>1057</v>
      </c>
      <c r="E590" s="891"/>
      <c r="F590" s="891"/>
      <c r="G590" s="891"/>
      <c r="H590" s="485">
        <f t="shared" si="39"/>
        <v>0</v>
      </c>
      <c r="I590" s="588"/>
      <c r="J590" s="588"/>
      <c r="K590" s="561"/>
    </row>
    <row r="591" spans="1:11" outlineLevel="1" x14ac:dyDescent="0.35">
      <c r="A591" s="485" t="s">
        <v>203</v>
      </c>
      <c r="B591" s="889" t="s">
        <v>1716</v>
      </c>
      <c r="C591" s="485" t="s">
        <v>1696</v>
      </c>
      <c r="D591" s="485" t="s">
        <v>1057</v>
      </c>
      <c r="E591" s="485"/>
      <c r="F591" s="485"/>
      <c r="G591" s="485"/>
      <c r="H591" s="485">
        <f t="shared" si="39"/>
        <v>0</v>
      </c>
      <c r="I591" s="588"/>
      <c r="J591" s="588"/>
      <c r="K591" s="561"/>
    </row>
    <row r="592" spans="1:11" outlineLevel="1" x14ac:dyDescent="0.35">
      <c r="A592" s="485" t="s">
        <v>225</v>
      </c>
      <c r="B592" s="889" t="s">
        <v>1717</v>
      </c>
      <c r="C592" s="485" t="s">
        <v>1696</v>
      </c>
      <c r="D592" s="485" t="s">
        <v>1057</v>
      </c>
      <c r="E592" s="485"/>
      <c r="F592" s="485"/>
      <c r="G592" s="485"/>
      <c r="H592" s="485">
        <f t="shared" si="39"/>
        <v>0</v>
      </c>
      <c r="I592" s="588"/>
      <c r="J592" s="588"/>
      <c r="K592" s="561"/>
    </row>
    <row r="593" spans="1:11" outlineLevel="1" x14ac:dyDescent="0.35">
      <c r="A593" s="52" t="s">
        <v>229</v>
      </c>
      <c r="B593" s="3" t="s">
        <v>1666</v>
      </c>
      <c r="C593" s="2" t="s">
        <v>56</v>
      </c>
      <c r="D593" s="52" t="s">
        <v>1018</v>
      </c>
      <c r="E593" s="561"/>
      <c r="F593" s="561"/>
      <c r="G593" s="561"/>
      <c r="H593" s="485">
        <f t="shared" si="39"/>
        <v>0</v>
      </c>
      <c r="I593" s="561"/>
      <c r="J593" s="561"/>
      <c r="K593" s="561"/>
    </row>
    <row r="594" spans="1:11" ht="15.75" customHeight="1" outlineLevel="1" x14ac:dyDescent="0.35">
      <c r="A594" s="52" t="s">
        <v>233</v>
      </c>
      <c r="B594" s="3" t="s">
        <v>1667</v>
      </c>
      <c r="C594" s="2" t="s">
        <v>1718</v>
      </c>
      <c r="D594" s="52" t="s">
        <v>1057</v>
      </c>
      <c r="E594" s="561"/>
      <c r="F594" s="561"/>
      <c r="G594" s="561"/>
      <c r="H594" s="485">
        <f t="shared" si="39"/>
        <v>0</v>
      </c>
      <c r="I594" s="561"/>
      <c r="J594" s="926" t="s">
        <v>1670</v>
      </c>
      <c r="K594" s="561"/>
    </row>
    <row r="595" spans="1:11" outlineLevel="1" x14ac:dyDescent="0.35">
      <c r="A595" s="52" t="s">
        <v>238</v>
      </c>
      <c r="B595" s="3" t="s">
        <v>1719</v>
      </c>
      <c r="C595" s="2" t="s">
        <v>56</v>
      </c>
      <c r="D595" s="52" t="s">
        <v>1018</v>
      </c>
      <c r="E595" s="561"/>
      <c r="F595" s="561"/>
      <c r="G595" s="561"/>
      <c r="H595" s="485">
        <f t="shared" si="39"/>
        <v>0</v>
      </c>
      <c r="I595" s="588"/>
      <c r="J595" s="926" t="s">
        <v>1670</v>
      </c>
      <c r="K595" s="561"/>
    </row>
    <row r="596" spans="1:11" outlineLevel="1" x14ac:dyDescent="0.35">
      <c r="A596" s="543" t="s">
        <v>317</v>
      </c>
      <c r="B596" s="3" t="s">
        <v>1720</v>
      </c>
      <c r="C596" s="2" t="s">
        <v>56</v>
      </c>
      <c r="D596" s="52" t="s">
        <v>1018</v>
      </c>
      <c r="E596" s="561"/>
      <c r="F596" s="561"/>
      <c r="G596" s="561"/>
      <c r="H596" s="485">
        <f t="shared" si="39"/>
        <v>0</v>
      </c>
      <c r="I596" s="588"/>
      <c r="J596" s="926" t="s">
        <v>1670</v>
      </c>
      <c r="K596" s="561"/>
    </row>
    <row r="597" spans="1:11" outlineLevel="1" x14ac:dyDescent="0.35">
      <c r="A597" s="717" t="s">
        <v>319</v>
      </c>
      <c r="B597" s="813" t="s">
        <v>1721</v>
      </c>
      <c r="C597" s="814" t="s">
        <v>56</v>
      </c>
      <c r="D597" s="814" t="s">
        <v>1722</v>
      </c>
      <c r="E597" s="562">
        <f t="shared" ref="E597:I598" si="40">IFERROR(((1*3.664*E589/100)/E587*1000),0)</f>
        <v>0</v>
      </c>
      <c r="F597" s="562">
        <f t="shared" si="40"/>
        <v>0</v>
      </c>
      <c r="G597" s="562">
        <f t="shared" si="40"/>
        <v>0</v>
      </c>
      <c r="H597" s="485">
        <f t="shared" si="40"/>
        <v>0</v>
      </c>
      <c r="I597" s="562">
        <f t="shared" si="40"/>
        <v>0</v>
      </c>
      <c r="J597" s="589"/>
      <c r="K597" s="561"/>
    </row>
    <row r="598" spans="1:11" outlineLevel="1" x14ac:dyDescent="0.35">
      <c r="A598" s="717" t="s">
        <v>322</v>
      </c>
      <c r="B598" s="813" t="s">
        <v>1723</v>
      </c>
      <c r="C598" s="814" t="s">
        <v>56</v>
      </c>
      <c r="D598" s="814" t="s">
        <v>1722</v>
      </c>
      <c r="E598" s="562">
        <f t="shared" si="40"/>
        <v>0</v>
      </c>
      <c r="F598" s="562">
        <f t="shared" si="40"/>
        <v>0</v>
      </c>
      <c r="G598" s="562">
        <f t="shared" si="40"/>
        <v>0</v>
      </c>
      <c r="H598" s="485">
        <f t="shared" si="40"/>
        <v>0</v>
      </c>
      <c r="I598" s="562">
        <f t="shared" si="40"/>
        <v>0</v>
      </c>
      <c r="J598" s="589"/>
      <c r="K598" s="561"/>
    </row>
    <row r="599" spans="1:11" outlineLevel="1" x14ac:dyDescent="0.35">
      <c r="A599" s="717" t="s">
        <v>327</v>
      </c>
      <c r="B599" s="813" t="s">
        <v>1724</v>
      </c>
      <c r="C599" s="814" t="s">
        <v>56</v>
      </c>
      <c r="D599" s="814" t="s">
        <v>1671</v>
      </c>
      <c r="E599" s="521">
        <f>'Emission Factor &amp; GWP Backup'!$H$48</f>
        <v>2.6376839999999548E-3</v>
      </c>
      <c r="F599" s="521">
        <f>'Emission Factor &amp; GWP Backup'!$H$48</f>
        <v>2.6376839999999548E-3</v>
      </c>
      <c r="G599" s="521">
        <f>'Emission Factor &amp; GWP Backup'!$H$48</f>
        <v>2.6376839999999548E-3</v>
      </c>
      <c r="H599" s="521">
        <f>'Emission Factor &amp; GWP Backup'!$H$48</f>
        <v>2.6376839999999548E-3</v>
      </c>
      <c r="I599" s="521">
        <f>'Emission Factor &amp; GWP Backup'!$H$48</f>
        <v>2.6376839999999548E-3</v>
      </c>
      <c r="J599" s="589"/>
      <c r="K599" s="561"/>
    </row>
    <row r="600" spans="1:11" outlineLevel="1" x14ac:dyDescent="0.35">
      <c r="A600" s="717" t="s">
        <v>332</v>
      </c>
      <c r="B600" s="813" t="s">
        <v>1725</v>
      </c>
      <c r="C600" s="814" t="s">
        <v>56</v>
      </c>
      <c r="D600" s="814" t="s">
        <v>1671</v>
      </c>
      <c r="E600" s="522">
        <f>'Emission Factor &amp; GWP Backup'!$K$48</f>
        <v>5.1916319999999122E-3</v>
      </c>
      <c r="F600" s="522">
        <f>'Emission Factor &amp; GWP Backup'!$K$48</f>
        <v>5.1916319999999122E-3</v>
      </c>
      <c r="G600" s="522">
        <f>'Emission Factor &amp; GWP Backup'!$K$48</f>
        <v>5.1916319999999122E-3</v>
      </c>
      <c r="H600" s="522">
        <f>'Emission Factor &amp; GWP Backup'!$K$48</f>
        <v>5.1916319999999122E-3</v>
      </c>
      <c r="I600" s="522">
        <f>'Emission Factor &amp; GWP Backup'!$K$48</f>
        <v>5.1916319999999122E-3</v>
      </c>
      <c r="J600" s="589"/>
      <c r="K600" s="561"/>
    </row>
    <row r="601" spans="1:11" outlineLevel="1" x14ac:dyDescent="0.35">
      <c r="A601" s="832" t="s">
        <v>337</v>
      </c>
      <c r="B601" s="836" t="s">
        <v>1653</v>
      </c>
      <c r="C601" s="832" t="s">
        <v>1726</v>
      </c>
      <c r="D601" s="717" t="s">
        <v>1018</v>
      </c>
      <c r="E601" s="593">
        <f>E595+E596</f>
        <v>0</v>
      </c>
      <c r="F601" s="593">
        <f>F595+F596</f>
        <v>0</v>
      </c>
      <c r="G601" s="593">
        <f>G595+G596</f>
        <v>0</v>
      </c>
      <c r="H601" s="595">
        <f>H595+H596</f>
        <v>0</v>
      </c>
      <c r="I601" s="593">
        <f>I595+I596</f>
        <v>0</v>
      </c>
      <c r="J601" s="611"/>
      <c r="K601" s="611"/>
    </row>
    <row r="602" spans="1:11" outlineLevel="1" x14ac:dyDescent="0.35">
      <c r="A602" s="832" t="s">
        <v>340</v>
      </c>
      <c r="B602" s="836" t="s">
        <v>1655</v>
      </c>
      <c r="C602" s="832" t="s">
        <v>1727</v>
      </c>
      <c r="D602" s="717" t="s">
        <v>1139</v>
      </c>
      <c r="E602" s="593">
        <f t="shared" ref="E602:I603" si="41">E585*E595/1000</f>
        <v>0</v>
      </c>
      <c r="F602" s="593">
        <f t="shared" si="41"/>
        <v>0</v>
      </c>
      <c r="G602" s="593">
        <f t="shared" si="41"/>
        <v>0</v>
      </c>
      <c r="H602" s="595">
        <f t="shared" si="41"/>
        <v>0</v>
      </c>
      <c r="I602" s="593">
        <f t="shared" si="41"/>
        <v>0</v>
      </c>
      <c r="J602" s="611"/>
      <c r="K602" s="611"/>
    </row>
    <row r="603" spans="1:11" outlineLevel="1" x14ac:dyDescent="0.35">
      <c r="A603" s="717" t="s">
        <v>344</v>
      </c>
      <c r="B603" s="836" t="s">
        <v>1657</v>
      </c>
      <c r="C603" s="832" t="s">
        <v>1656</v>
      </c>
      <c r="D603" s="717" t="s">
        <v>1139</v>
      </c>
      <c r="E603" s="593">
        <f t="shared" si="41"/>
        <v>0</v>
      </c>
      <c r="F603" s="593">
        <f t="shared" si="41"/>
        <v>0</v>
      </c>
      <c r="G603" s="593">
        <f t="shared" si="41"/>
        <v>0</v>
      </c>
      <c r="H603" s="593">
        <f t="shared" si="41"/>
        <v>0</v>
      </c>
      <c r="I603" s="593">
        <f t="shared" si="41"/>
        <v>0</v>
      </c>
      <c r="J603" s="611"/>
      <c r="K603" s="611"/>
    </row>
    <row r="604" spans="1:11" outlineLevel="1" x14ac:dyDescent="0.35">
      <c r="A604" s="717" t="s">
        <v>348</v>
      </c>
      <c r="B604" s="836" t="s">
        <v>1728</v>
      </c>
      <c r="C604" s="832" t="s">
        <v>56</v>
      </c>
      <c r="D604" s="717" t="s">
        <v>1729</v>
      </c>
      <c r="E604" s="593">
        <f t="shared" ref="E604:H605" si="42">E587*E595*1000*E597*E591/100/10^6</f>
        <v>0</v>
      </c>
      <c r="F604" s="593">
        <f t="shared" si="42"/>
        <v>0</v>
      </c>
      <c r="G604" s="593">
        <f t="shared" si="42"/>
        <v>0</v>
      </c>
      <c r="H604" s="595">
        <f t="shared" si="42"/>
        <v>0</v>
      </c>
      <c r="I604" s="593">
        <f>I587*I596*1000*I597*I591/100/10^6</f>
        <v>0</v>
      </c>
      <c r="J604" s="611"/>
      <c r="K604" s="611"/>
    </row>
    <row r="605" spans="1:11" outlineLevel="1" x14ac:dyDescent="0.35">
      <c r="A605" s="717" t="s">
        <v>350</v>
      </c>
      <c r="B605" s="836" t="s">
        <v>1730</v>
      </c>
      <c r="C605" s="832" t="s">
        <v>56</v>
      </c>
      <c r="D605" s="717" t="s">
        <v>1729</v>
      </c>
      <c r="E605" s="614">
        <f t="shared" si="42"/>
        <v>0</v>
      </c>
      <c r="F605" s="614">
        <f t="shared" si="42"/>
        <v>0</v>
      </c>
      <c r="G605" s="614">
        <f t="shared" si="42"/>
        <v>0</v>
      </c>
      <c r="H605" s="614">
        <f t="shared" si="42"/>
        <v>0</v>
      </c>
      <c r="I605" s="614">
        <f>I588*I596*1000*I598*I592/100/10^6</f>
        <v>0</v>
      </c>
      <c r="J605" s="611"/>
      <c r="K605" s="263"/>
    </row>
    <row r="606" spans="1:11" outlineLevel="1" x14ac:dyDescent="0.35">
      <c r="A606" s="717" t="s">
        <v>352</v>
      </c>
      <c r="B606" s="836" t="s">
        <v>1731</v>
      </c>
      <c r="C606" s="832" t="s">
        <v>56</v>
      </c>
      <c r="D606" s="717" t="s">
        <v>1675</v>
      </c>
      <c r="E606" s="614">
        <f>(E601*E587*1000)*((E599+E600)/10^6)</f>
        <v>0</v>
      </c>
      <c r="F606" s="593">
        <f>(F601*F587*1000)*((F599+F600)/10^6)</f>
        <v>0</v>
      </c>
      <c r="G606" s="593">
        <f>(G601*G587*1000)*((G599+G600)/10^6)</f>
        <v>0</v>
      </c>
      <c r="H606" s="614">
        <f>(H601*H587*1000)*((H599+H600)/10^6)</f>
        <v>0</v>
      </c>
      <c r="I606" s="594">
        <f>(I601*I587*1000)*((I599+I600)/10^6)</f>
        <v>0</v>
      </c>
      <c r="J606" s="875"/>
      <c r="K606" s="611"/>
    </row>
    <row r="607" spans="1:11" x14ac:dyDescent="0.35">
      <c r="A607" s="227"/>
      <c r="B607" s="227"/>
      <c r="C607" s="227"/>
      <c r="D607" s="227"/>
      <c r="E607" s="227"/>
      <c r="F607" s="227"/>
      <c r="G607" s="227"/>
      <c r="H607" s="448"/>
      <c r="I607" s="227"/>
      <c r="J607" s="263"/>
      <c r="K607" s="263"/>
    </row>
    <row r="608" spans="1:11" ht="46.25" customHeight="1" x14ac:dyDescent="0.35">
      <c r="A608" s="590" t="s">
        <v>1732</v>
      </c>
      <c r="B608" s="591" t="s">
        <v>1733</v>
      </c>
      <c r="C608" s="1031" t="s">
        <v>1734</v>
      </c>
      <c r="D608" s="931"/>
      <c r="E608" s="592"/>
      <c r="F608" s="592"/>
      <c r="G608" s="591"/>
      <c r="H608" s="789"/>
      <c r="I608" s="586"/>
      <c r="J608" s="586"/>
      <c r="K608" s="586"/>
    </row>
    <row r="609" spans="1:11" outlineLevel="1" x14ac:dyDescent="0.35">
      <c r="A609" s="52" t="s">
        <v>110</v>
      </c>
      <c r="B609" s="3" t="s">
        <v>1627</v>
      </c>
      <c r="C609" s="839" t="s">
        <v>1628</v>
      </c>
      <c r="D609" s="52" t="s">
        <v>1629</v>
      </c>
      <c r="E609" s="613"/>
      <c r="F609" s="561"/>
      <c r="G609" s="561"/>
      <c r="H609" s="485">
        <f t="shared" ref="H609:H618" si="43">IF(K$8=1,E609,IF(K$8=2,(E609+F609)/2,(E609+F609+G609)/3))</f>
        <v>0</v>
      </c>
      <c r="I609" s="561"/>
      <c r="J609" s="561"/>
      <c r="K609" s="561"/>
    </row>
    <row r="610" spans="1:11" outlineLevel="1" x14ac:dyDescent="0.35">
      <c r="A610" s="52" t="s">
        <v>115</v>
      </c>
      <c r="B610" s="3" t="s">
        <v>1735</v>
      </c>
      <c r="C610" s="2" t="s">
        <v>1709</v>
      </c>
      <c r="D610" s="52" t="s">
        <v>1632</v>
      </c>
      <c r="E610" s="561"/>
      <c r="F610" s="561"/>
      <c r="G610" s="561"/>
      <c r="H610" s="485">
        <f t="shared" si="43"/>
        <v>0</v>
      </c>
      <c r="I610" s="588"/>
      <c r="J610" s="926" t="s">
        <v>1670</v>
      </c>
      <c r="K610" s="561"/>
    </row>
    <row r="611" spans="1:11" outlineLevel="1" x14ac:dyDescent="0.35">
      <c r="A611" s="52" t="s">
        <v>118</v>
      </c>
      <c r="B611" s="3" t="s">
        <v>1736</v>
      </c>
      <c r="C611" s="2" t="s">
        <v>1696</v>
      </c>
      <c r="D611" s="52" t="s">
        <v>1632</v>
      </c>
      <c r="E611" s="31"/>
      <c r="F611" s="609"/>
      <c r="G611" s="609"/>
      <c r="H611" s="485">
        <f t="shared" si="43"/>
        <v>0</v>
      </c>
      <c r="I611" s="609">
        <f>0.95*I610</f>
        <v>0</v>
      </c>
      <c r="J611" s="926" t="s">
        <v>1670</v>
      </c>
      <c r="K611" s="561"/>
    </row>
    <row r="612" spans="1:11" outlineLevel="1" x14ac:dyDescent="0.35">
      <c r="A612" s="52" t="s">
        <v>121</v>
      </c>
      <c r="B612" s="3" t="s">
        <v>1737</v>
      </c>
      <c r="C612" s="2" t="s">
        <v>56</v>
      </c>
      <c r="D612" s="52" t="s">
        <v>1057</v>
      </c>
      <c r="E612" s="891"/>
      <c r="F612" s="891"/>
      <c r="G612" s="891"/>
      <c r="H612" s="485">
        <f t="shared" si="43"/>
        <v>0</v>
      </c>
      <c r="I612" s="588"/>
      <c r="J612" s="588"/>
      <c r="K612" s="561"/>
    </row>
    <row r="613" spans="1:11" outlineLevel="1" x14ac:dyDescent="0.35">
      <c r="A613" s="52" t="s">
        <v>124</v>
      </c>
      <c r="B613" s="3" t="s">
        <v>1738</v>
      </c>
      <c r="C613" s="2" t="s">
        <v>56</v>
      </c>
      <c r="D613" s="52" t="s">
        <v>1057</v>
      </c>
      <c r="E613" s="891"/>
      <c r="F613" s="891"/>
      <c r="G613" s="891"/>
      <c r="H613" s="485">
        <f t="shared" si="43"/>
        <v>0</v>
      </c>
      <c r="I613" s="588"/>
      <c r="J613" s="588"/>
      <c r="K613" s="561"/>
    </row>
    <row r="614" spans="1:11" outlineLevel="1" x14ac:dyDescent="0.35">
      <c r="A614" s="485" t="s">
        <v>162</v>
      </c>
      <c r="B614" s="889" t="s">
        <v>1698</v>
      </c>
      <c r="C614" s="485" t="s">
        <v>56</v>
      </c>
      <c r="D614" s="485" t="s">
        <v>1057</v>
      </c>
      <c r="E614" s="485"/>
      <c r="F614" s="485"/>
      <c r="G614" s="485"/>
      <c r="H614" s="485">
        <f t="shared" si="43"/>
        <v>0</v>
      </c>
      <c r="I614" s="588"/>
      <c r="J614" s="588"/>
      <c r="K614" s="561"/>
    </row>
    <row r="615" spans="1:11" outlineLevel="1" x14ac:dyDescent="0.35">
      <c r="A615" s="52" t="s">
        <v>202</v>
      </c>
      <c r="B615" s="3" t="s">
        <v>1666</v>
      </c>
      <c r="C615" s="2" t="s">
        <v>56</v>
      </c>
      <c r="D615" s="52" t="s">
        <v>1018</v>
      </c>
      <c r="E615" s="32"/>
      <c r="F615" s="561"/>
      <c r="G615" s="561"/>
      <c r="H615" s="485">
        <f t="shared" si="43"/>
        <v>0</v>
      </c>
      <c r="I615" s="561"/>
      <c r="J615" s="561"/>
      <c r="K615" s="561"/>
    </row>
    <row r="616" spans="1:11" outlineLevel="1" x14ac:dyDescent="0.35">
      <c r="A616" s="52" t="s">
        <v>203</v>
      </c>
      <c r="B616" s="3" t="s">
        <v>1667</v>
      </c>
      <c r="C616" s="2" t="s">
        <v>1718</v>
      </c>
      <c r="D616" s="52" t="s">
        <v>1057</v>
      </c>
      <c r="E616" s="32"/>
      <c r="F616" s="561"/>
      <c r="G616" s="561"/>
      <c r="H616" s="485">
        <f t="shared" si="43"/>
        <v>0</v>
      </c>
      <c r="I616" s="561"/>
      <c r="J616" s="926" t="s">
        <v>1670</v>
      </c>
      <c r="K616" s="561"/>
    </row>
    <row r="617" spans="1:11" outlineLevel="1" x14ac:dyDescent="0.35">
      <c r="A617" s="52" t="s">
        <v>225</v>
      </c>
      <c r="B617" s="3" t="s">
        <v>1739</v>
      </c>
      <c r="C617" s="2" t="s">
        <v>56</v>
      </c>
      <c r="D617" s="52" t="s">
        <v>1018</v>
      </c>
      <c r="E617" s="32"/>
      <c r="F617" s="561"/>
      <c r="G617" s="561"/>
      <c r="H617" s="485">
        <f t="shared" si="43"/>
        <v>0</v>
      </c>
      <c r="I617" s="588"/>
      <c r="J617" s="588"/>
      <c r="K617" s="615"/>
    </row>
    <row r="618" spans="1:11" outlineLevel="1" x14ac:dyDescent="0.35">
      <c r="A618" s="543" t="s">
        <v>229</v>
      </c>
      <c r="B618" s="597" t="s">
        <v>1740</v>
      </c>
      <c r="C618" s="580" t="s">
        <v>56</v>
      </c>
      <c r="D618" s="543" t="s">
        <v>1018</v>
      </c>
      <c r="E618" s="561"/>
      <c r="F618" s="561"/>
      <c r="G618" s="561"/>
      <c r="H618" s="485">
        <f t="shared" si="43"/>
        <v>0</v>
      </c>
      <c r="I618" s="588"/>
      <c r="J618" s="926" t="s">
        <v>1670</v>
      </c>
      <c r="K618" s="561"/>
    </row>
    <row r="619" spans="1:11" outlineLevel="1" x14ac:dyDescent="0.35">
      <c r="A619" s="812" t="s">
        <v>233</v>
      </c>
      <c r="B619" s="813" t="s">
        <v>1741</v>
      </c>
      <c r="C619" s="814" t="s">
        <v>56</v>
      </c>
      <c r="D619" s="814" t="s">
        <v>1722</v>
      </c>
      <c r="E619" s="485">
        <f>IFERROR((1*3.664*(E612/100)*(E614/100)/E611*1000),0)</f>
        <v>0</v>
      </c>
      <c r="F619" s="485">
        <f>IFERROR((1*3.664*(F612/100)*(F614/100)/F611*1000),0)</f>
        <v>0</v>
      </c>
      <c r="G619" s="485">
        <f>IFERROR((1*3.664*(G612/100)*(G614/100)/G611*1000),0)</f>
        <v>0</v>
      </c>
      <c r="H619" s="485">
        <f>IFERROR((1*3.664*(H612/100)*(H614/100)/H611*1000),0)</f>
        <v>0</v>
      </c>
      <c r="I619" s="485">
        <f>IFERROR((1*3.664*(I612/100)*(I614/100)/I611*1000),0)</f>
        <v>0</v>
      </c>
      <c r="J619" s="724"/>
      <c r="K619" s="561"/>
    </row>
    <row r="620" spans="1:11" outlineLevel="1" x14ac:dyDescent="0.35">
      <c r="A620" s="812" t="s">
        <v>238</v>
      </c>
      <c r="B620" s="813" t="s">
        <v>1742</v>
      </c>
      <c r="C620" s="814" t="s">
        <v>56</v>
      </c>
      <c r="D620" s="814" t="s">
        <v>1722</v>
      </c>
      <c r="E620" s="485">
        <f>IFERROR((1*3.664*(E613/100)*(E614/100)/E611*1000),0)</f>
        <v>0</v>
      </c>
      <c r="F620" s="485">
        <f>IFERROR((1*3.664*(F613/100)*(F614/100)/F611*1000),0)</f>
        <v>0</v>
      </c>
      <c r="G620" s="485">
        <f>IFERROR((1*3.664*(G613/100)*(G614/100)/G611*1000),0)</f>
        <v>0</v>
      </c>
      <c r="H620" s="485">
        <f>IFERROR((1*3.664*(H613/100)*(H614/100)/H611*1000),0)</f>
        <v>0</v>
      </c>
      <c r="I620" s="485">
        <f>IFERROR((1*3.664*(I613/100)*(I614/100)/I611*1000),0)</f>
        <v>0</v>
      </c>
      <c r="J620" s="724"/>
      <c r="K620" s="561"/>
    </row>
    <row r="621" spans="1:11" outlineLevel="1" x14ac:dyDescent="0.35">
      <c r="A621" s="812" t="s">
        <v>317</v>
      </c>
      <c r="B621" s="813" t="s">
        <v>1743</v>
      </c>
      <c r="C621" s="814" t="s">
        <v>56</v>
      </c>
      <c r="D621" s="814" t="s">
        <v>1671</v>
      </c>
      <c r="E621" s="518">
        <f>'Emission Factor &amp; GWP Backup'!$H$43</f>
        <v>2.6376839999999548E-3</v>
      </c>
      <c r="F621" s="518">
        <f>'Emission Factor &amp; GWP Backup'!$H$43</f>
        <v>2.6376839999999548E-3</v>
      </c>
      <c r="G621" s="518">
        <f>'Emission Factor &amp; GWP Backup'!$H$43</f>
        <v>2.6376839999999548E-3</v>
      </c>
      <c r="H621" s="518">
        <f>'Emission Factor &amp; GWP Backup'!$H$43</f>
        <v>2.6376839999999548E-3</v>
      </c>
      <c r="I621" s="518">
        <f>'Emission Factor &amp; GWP Backup'!$H$43</f>
        <v>2.6376839999999548E-3</v>
      </c>
      <c r="J621" s="724"/>
      <c r="K621" s="561"/>
    </row>
    <row r="622" spans="1:11" outlineLevel="1" x14ac:dyDescent="0.35">
      <c r="A622" s="812" t="s">
        <v>319</v>
      </c>
      <c r="B622" s="813" t="s">
        <v>1744</v>
      </c>
      <c r="C622" s="814" t="s">
        <v>56</v>
      </c>
      <c r="D622" s="814" t="s">
        <v>1671</v>
      </c>
      <c r="E622" s="521">
        <f>'Emission Factor &amp; GWP Backup'!$K$43</f>
        <v>5.1916319999999122E-3</v>
      </c>
      <c r="F622" s="521">
        <f>'Emission Factor &amp; GWP Backup'!$K$43</f>
        <v>5.1916319999999122E-3</v>
      </c>
      <c r="G622" s="521">
        <f>'Emission Factor &amp; GWP Backup'!$K$43</f>
        <v>5.1916319999999122E-3</v>
      </c>
      <c r="H622" s="521">
        <f>'Emission Factor &amp; GWP Backup'!$K$43</f>
        <v>5.1916319999999122E-3</v>
      </c>
      <c r="I622" s="521">
        <f>'Emission Factor &amp; GWP Backup'!$K$43</f>
        <v>5.1916319999999122E-3</v>
      </c>
      <c r="J622" s="724"/>
      <c r="K622" s="561"/>
    </row>
    <row r="623" spans="1:11" outlineLevel="1" x14ac:dyDescent="0.35">
      <c r="A623" s="717" t="s">
        <v>322</v>
      </c>
      <c r="B623" s="836" t="s">
        <v>1653</v>
      </c>
      <c r="C623" s="832" t="s">
        <v>1726</v>
      </c>
      <c r="D623" s="717" t="s">
        <v>1018</v>
      </c>
      <c r="E623" s="593">
        <f>E617+E618</f>
        <v>0</v>
      </c>
      <c r="F623" s="593">
        <f>F617+F618</f>
        <v>0</v>
      </c>
      <c r="G623" s="593">
        <f>G617+G618</f>
        <v>0</v>
      </c>
      <c r="H623" s="595">
        <f>H617+H618</f>
        <v>0</v>
      </c>
      <c r="I623" s="593">
        <f>I617+I618</f>
        <v>0</v>
      </c>
      <c r="J623" s="611"/>
      <c r="K623" s="611"/>
    </row>
    <row r="624" spans="1:11" outlineLevel="1" x14ac:dyDescent="0.35">
      <c r="A624" s="717" t="s">
        <v>327</v>
      </c>
      <c r="B624" s="836" t="s">
        <v>1655</v>
      </c>
      <c r="C624" s="832" t="s">
        <v>1727</v>
      </c>
      <c r="D624" s="717" t="s">
        <v>1139</v>
      </c>
      <c r="E624" s="593">
        <f>E610*E617/1000</f>
        <v>0</v>
      </c>
      <c r="F624" s="593">
        <f>F610*F617/1000</f>
        <v>0</v>
      </c>
      <c r="G624" s="593">
        <f>G610*G617/1000</f>
        <v>0</v>
      </c>
      <c r="H624" s="595">
        <f>H610*H617/1000</f>
        <v>0</v>
      </c>
      <c r="I624" s="593">
        <f>I610*I617/1000</f>
        <v>0</v>
      </c>
      <c r="J624" s="611"/>
      <c r="K624" s="611"/>
    </row>
    <row r="625" spans="1:11" outlineLevel="1" x14ac:dyDescent="0.35">
      <c r="A625" s="717" t="s">
        <v>332</v>
      </c>
      <c r="B625" s="836" t="s">
        <v>1657</v>
      </c>
      <c r="C625" s="832" t="s">
        <v>1656</v>
      </c>
      <c r="D625" s="717" t="s">
        <v>1139</v>
      </c>
      <c r="E625" s="614">
        <f>E610*E618/1000</f>
        <v>0</v>
      </c>
      <c r="F625" s="593">
        <f>F610*F618/1000</f>
        <v>0</v>
      </c>
      <c r="G625" s="593">
        <f>G610*G618/1000</f>
        <v>0</v>
      </c>
      <c r="H625" s="595">
        <f>H610*H618/1000</f>
        <v>0</v>
      </c>
      <c r="I625" s="593">
        <f>I610*I618/1000</f>
        <v>0</v>
      </c>
      <c r="J625" s="611"/>
      <c r="K625" s="611"/>
    </row>
    <row r="626" spans="1:11" outlineLevel="1" x14ac:dyDescent="0.35">
      <c r="A626" s="717" t="s">
        <v>337</v>
      </c>
      <c r="B626" s="836" t="s">
        <v>1745</v>
      </c>
      <c r="C626" s="832" t="s">
        <v>56</v>
      </c>
      <c r="D626" s="717" t="s">
        <v>1729</v>
      </c>
      <c r="E626" s="593">
        <f>E611*E617*1000*E619/10^6</f>
        <v>0</v>
      </c>
      <c r="F626" s="593">
        <f>F611*F617*1000*F619/10^6</f>
        <v>0</v>
      </c>
      <c r="G626" s="593">
        <f>G611*G617*1000*G619/10^6</f>
        <v>0</v>
      </c>
      <c r="H626" s="595">
        <f>H611*H617*1000*H619/10^6</f>
        <v>0</v>
      </c>
      <c r="I626" s="595">
        <f>I611*I617*1000*I619/10^6</f>
        <v>0</v>
      </c>
      <c r="J626" s="628"/>
      <c r="K626" s="611"/>
    </row>
    <row r="627" spans="1:11" outlineLevel="1" x14ac:dyDescent="0.35">
      <c r="A627" s="717" t="s">
        <v>340</v>
      </c>
      <c r="B627" s="836" t="s">
        <v>1746</v>
      </c>
      <c r="C627" s="832" t="s">
        <v>56</v>
      </c>
      <c r="D627" s="717" t="s">
        <v>1142</v>
      </c>
      <c r="E627" s="593">
        <f>(E620)*E617*E611*1000/10^6</f>
        <v>0</v>
      </c>
      <c r="F627" s="593">
        <f>(F620+F621+F622)*F617*F611*1000/10^6</f>
        <v>0</v>
      </c>
      <c r="G627" s="593">
        <f>(G620+G621+G622)*G617*G611*1000/10^6</f>
        <v>0</v>
      </c>
      <c r="H627" s="595">
        <f>(H620+H621+H622)*H617*H611*1000/10^6</f>
        <v>0</v>
      </c>
      <c r="I627" s="595">
        <f>(I620+I621+I622)*I617*I611*1000/10^6</f>
        <v>0</v>
      </c>
      <c r="J627" s="628"/>
      <c r="K627" s="611"/>
    </row>
    <row r="628" spans="1:11" outlineLevel="1" x14ac:dyDescent="0.35">
      <c r="A628" s="717" t="s">
        <v>344</v>
      </c>
      <c r="B628" s="836" t="s">
        <v>1747</v>
      </c>
      <c r="C628" s="832" t="s">
        <v>56</v>
      </c>
      <c r="D628" s="717" t="s">
        <v>1142</v>
      </c>
      <c r="E628" s="595">
        <f>(E621+E622)*E617*E611*1000/10^6</f>
        <v>0</v>
      </c>
      <c r="F628" s="595">
        <f>(F621+F622)*F617*F611*1000/10^6</f>
        <v>0</v>
      </c>
      <c r="G628" s="595">
        <f>(G621+G622)*G617*G611*1000/10^6</f>
        <v>0</v>
      </c>
      <c r="H628" s="595">
        <f>(H621+H622)*H617*H611*1000/10^6</f>
        <v>0</v>
      </c>
      <c r="I628" s="595">
        <f>(I621+I622)*I617*I611*1000/10^6</f>
        <v>0</v>
      </c>
      <c r="J628" s="628"/>
      <c r="K628" s="611"/>
    </row>
    <row r="629" spans="1:11" outlineLevel="1" x14ac:dyDescent="0.35">
      <c r="A629" s="717" t="s">
        <v>348</v>
      </c>
      <c r="B629" s="836" t="s">
        <v>1748</v>
      </c>
      <c r="C629" s="832" t="s">
        <v>56</v>
      </c>
      <c r="D629" s="717" t="s">
        <v>1729</v>
      </c>
      <c r="E629" s="593">
        <f>E611*E618*1000*E619/10^6</f>
        <v>0</v>
      </c>
      <c r="F629" s="593">
        <f>F611*F618*1000*F619/10^6</f>
        <v>0</v>
      </c>
      <c r="G629" s="593">
        <f>G611*G618*1000*G619/10^6</f>
        <v>0</v>
      </c>
      <c r="H629" s="595">
        <f>H611*H618*1000*H619/10^6</f>
        <v>0</v>
      </c>
      <c r="I629" s="595">
        <f>I611*I618*1000*I619/10^6</f>
        <v>0</v>
      </c>
      <c r="J629" s="628"/>
      <c r="K629" s="611"/>
    </row>
    <row r="630" spans="1:11" outlineLevel="1" x14ac:dyDescent="0.35">
      <c r="A630" s="717" t="s">
        <v>350</v>
      </c>
      <c r="B630" s="836" t="s">
        <v>1749</v>
      </c>
      <c r="C630" s="832" t="s">
        <v>56</v>
      </c>
      <c r="D630" s="717" t="s">
        <v>1142</v>
      </c>
      <c r="E630" s="595">
        <f>(E620)*E618*E611*1000/10^6</f>
        <v>0</v>
      </c>
      <c r="F630" s="595">
        <f>(F620)*F618*F611*1000/10^6</f>
        <v>0</v>
      </c>
      <c r="G630" s="595">
        <f>(G620)*G618*G611*1000/10^6</f>
        <v>0</v>
      </c>
      <c r="H630" s="595">
        <f>(H620)*H618*H611*1000/10^6</f>
        <v>0</v>
      </c>
      <c r="I630" s="595">
        <f>(I620)*I618*I611*1000/10^6</f>
        <v>0</v>
      </c>
      <c r="J630" s="628"/>
      <c r="K630" s="611"/>
    </row>
    <row r="631" spans="1:11" outlineLevel="1" x14ac:dyDescent="0.35">
      <c r="A631" s="717" t="s">
        <v>352</v>
      </c>
      <c r="B631" s="836" t="s">
        <v>1750</v>
      </c>
      <c r="C631" s="832" t="s">
        <v>56</v>
      </c>
      <c r="D631" s="717" t="s">
        <v>1142</v>
      </c>
      <c r="E631" s="595">
        <f>(E621+E622)*E618*E611*1000/10^6</f>
        <v>0</v>
      </c>
      <c r="F631" s="595">
        <f>(F621+F622)*F618*F611*1000/10^6</f>
        <v>0</v>
      </c>
      <c r="G631" s="595">
        <f>(G621+G622)*G618*G611*1000/10^6</f>
        <v>0</v>
      </c>
      <c r="H631" s="595">
        <f>(H621+H622)*H618*H611*1000/10^6</f>
        <v>0</v>
      </c>
      <c r="I631" s="595">
        <f>(I621+I622)*I618*I611*1000/10^6</f>
        <v>0</v>
      </c>
      <c r="J631" s="628"/>
      <c r="K631" s="611"/>
    </row>
    <row r="632" spans="1:11" ht="78.650000000000006" customHeight="1" x14ac:dyDescent="0.35">
      <c r="A632" s="717" t="s">
        <v>575</v>
      </c>
      <c r="B632" s="840" t="s">
        <v>1751</v>
      </c>
      <c r="C632" s="832" t="s">
        <v>1752</v>
      </c>
      <c r="D632" s="717" t="s">
        <v>1139</v>
      </c>
      <c r="E632" s="593">
        <f>IF(E320="yes",E411+E433+E455+E477+E499+E521+E543+E565+E602+E624,E411+E433+E455+E477+E499+E521+E543+E565-E580)</f>
        <v>0</v>
      </c>
      <c r="F632" s="593">
        <f>IF(F320="yes",F411+F433+F455+F477+F499+F521+F543+F565+F602+F624,F411+F433+F455+F477+F499+F521+F543+F565-F580)</f>
        <v>0</v>
      </c>
      <c r="G632" s="593">
        <f>IF(G320="yes",G411+G433+G455+G477+G499+G521+G543+G565+G602+G624,G411+G433+G455+G477+G499+G521+G543+G565-G580)</f>
        <v>0</v>
      </c>
      <c r="H632" s="593">
        <f>IF(H320="yes",H411+H433+H455+H477+H499+H521+H543+H565+H602+H624,H411+H433+H455+H477+H499+H521+H543+H565-H580)</f>
        <v>0</v>
      </c>
      <c r="I632" s="593">
        <f>IF(I320="yes",I411+I433+I455+I477+I499+I521+I543+I565+I602+I624,I411+I433+I455+I477+I499+I521+I543+I565-I580)</f>
        <v>0</v>
      </c>
      <c r="J632" s="611"/>
      <c r="K632" s="611"/>
    </row>
    <row r="633" spans="1:11" ht="55.25" customHeight="1" x14ac:dyDescent="0.35">
      <c r="A633" s="593" t="s">
        <v>577</v>
      </c>
      <c r="B633" s="594" t="s">
        <v>1753</v>
      </c>
      <c r="C633" s="564" t="s">
        <v>1754</v>
      </c>
      <c r="D633" s="593" t="s">
        <v>1139</v>
      </c>
      <c r="E633" s="593">
        <f>E412+E434+E456+E478+E500+E522+E544+E566</f>
        <v>0</v>
      </c>
      <c r="F633" s="593">
        <f>F412+F434+F456+F478+F500+F522+F544+F566</f>
        <v>0</v>
      </c>
      <c r="G633" s="593">
        <f>G412+G434+G456+G478+G500+G522+G544+G566+G580</f>
        <v>0</v>
      </c>
      <c r="H633" s="593">
        <f>H412+H434+H456+H478+H500+H522+H544+H566+H580</f>
        <v>0</v>
      </c>
      <c r="I633" s="593">
        <f>I412+I434+I456+I478+I500+I522+I544+I566</f>
        <v>0</v>
      </c>
      <c r="J633" s="611"/>
      <c r="K633" s="611"/>
    </row>
    <row r="634" spans="1:11" x14ac:dyDescent="0.35">
      <c r="A634" s="717" t="s">
        <v>579</v>
      </c>
      <c r="B634" s="836" t="s">
        <v>1755</v>
      </c>
      <c r="C634" s="832"/>
      <c r="D634" s="717" t="s">
        <v>1729</v>
      </c>
      <c r="E634" s="595">
        <f>E413+E435+E457+E479+E501+E523+E545+E567+E581</f>
        <v>0</v>
      </c>
      <c r="F634" s="595">
        <f>F413+F435+F457+F479+F501+F523+F545+F567+F581</f>
        <v>0</v>
      </c>
      <c r="G634" s="595">
        <f>G413+G435+G457+G479+G501+G523+G545+G567+G581</f>
        <v>0</v>
      </c>
      <c r="H634" s="595">
        <f>H413+H435+H457+H479+H501+H523+H545+H567+H581</f>
        <v>0</v>
      </c>
      <c r="I634" s="595">
        <f>I413+I435+I457+I479+I501+I523+I545+I567+I581</f>
        <v>0</v>
      </c>
      <c r="J634" s="876"/>
      <c r="K634" s="611"/>
    </row>
    <row r="635" spans="1:11" x14ac:dyDescent="0.35">
      <c r="A635" s="717" t="s">
        <v>581</v>
      </c>
      <c r="B635" s="836" t="s">
        <v>1756</v>
      </c>
      <c r="C635" s="832"/>
      <c r="D635" s="717" t="s">
        <v>1729</v>
      </c>
      <c r="E635" s="595">
        <f>E414+E436+E458+E480+E502+E524+E546+E568</f>
        <v>0</v>
      </c>
      <c r="F635" s="595">
        <f>F414+F436+F458+F480+F502+F524+F546+F568</f>
        <v>0</v>
      </c>
      <c r="G635" s="595">
        <f>G414+G436+G458+G480+G502+G524+G546+G568</f>
        <v>0</v>
      </c>
      <c r="H635" s="595">
        <f>H414+H436+H458+H480+H502+H524+H546+H568</f>
        <v>0</v>
      </c>
      <c r="I635" s="595">
        <f>I414+I436+I458+I480+I502+I524+I546+I568</f>
        <v>0</v>
      </c>
      <c r="J635" s="876"/>
      <c r="K635" s="611"/>
    </row>
    <row r="636" spans="1:11" x14ac:dyDescent="0.35">
      <c r="A636" s="717" t="s">
        <v>583</v>
      </c>
      <c r="B636" s="836" t="s">
        <v>1757</v>
      </c>
      <c r="C636" s="832"/>
      <c r="D636" s="717" t="s">
        <v>1729</v>
      </c>
      <c r="E636" s="616">
        <f>E634+E635</f>
        <v>0</v>
      </c>
      <c r="F636" s="616">
        <f>F634+F635</f>
        <v>0</v>
      </c>
      <c r="G636" s="616">
        <f>G634+G635</f>
        <v>0</v>
      </c>
      <c r="H636" s="616">
        <f>H634+H635</f>
        <v>0</v>
      </c>
      <c r="I636" s="616">
        <f>I634+I635</f>
        <v>0</v>
      </c>
      <c r="J636" s="876"/>
      <c r="K636" s="611"/>
    </row>
    <row r="637" spans="1:11" x14ac:dyDescent="0.35">
      <c r="A637" s="717" t="s">
        <v>585</v>
      </c>
      <c r="B637" s="836" t="s">
        <v>1758</v>
      </c>
      <c r="C637" s="832"/>
      <c r="D637" s="717" t="s">
        <v>1729</v>
      </c>
      <c r="E637" s="593">
        <f>E604+E626</f>
        <v>0</v>
      </c>
      <c r="F637" s="593">
        <f>F604+F626</f>
        <v>0</v>
      </c>
      <c r="G637" s="593">
        <f>G604+G626</f>
        <v>0</v>
      </c>
      <c r="H637" s="595">
        <f>H604+H626</f>
        <v>0</v>
      </c>
      <c r="I637" s="595">
        <f>I604+I626</f>
        <v>0</v>
      </c>
      <c r="J637" s="628"/>
      <c r="K637" s="611"/>
    </row>
    <row r="638" spans="1:11" x14ac:dyDescent="0.35">
      <c r="A638" s="717" t="s">
        <v>587</v>
      </c>
      <c r="B638" s="836" t="s">
        <v>1759</v>
      </c>
      <c r="C638" s="832"/>
      <c r="D638" s="717" t="s">
        <v>1729</v>
      </c>
      <c r="E638" s="595">
        <f>E629+E605</f>
        <v>0</v>
      </c>
      <c r="F638" s="593">
        <f>F629+F605</f>
        <v>0</v>
      </c>
      <c r="G638" s="593">
        <f>G629+G605</f>
        <v>0</v>
      </c>
      <c r="H638" s="595">
        <f>H629+H605</f>
        <v>0</v>
      </c>
      <c r="I638" s="593">
        <f>I629+I604</f>
        <v>0</v>
      </c>
      <c r="J638" s="611"/>
      <c r="K638" s="611"/>
    </row>
    <row r="639" spans="1:11" x14ac:dyDescent="0.35">
      <c r="A639" s="597" t="s">
        <v>554</v>
      </c>
      <c r="B639" s="597"/>
      <c r="C639" s="580"/>
      <c r="D639" s="543"/>
      <c r="E639" s="543"/>
      <c r="F639" s="543"/>
      <c r="G639" s="597"/>
      <c r="H639" s="596"/>
      <c r="I639" s="597"/>
      <c r="J639" s="875"/>
      <c r="K639" s="875"/>
    </row>
    <row r="640" spans="1:11" x14ac:dyDescent="0.35">
      <c r="A640" s="554" t="s">
        <v>589</v>
      </c>
      <c r="B640" s="556" t="s">
        <v>590</v>
      </c>
      <c r="C640" s="553"/>
      <c r="D640" s="259"/>
      <c r="E640" s="259"/>
      <c r="F640" s="259"/>
      <c r="G640" s="256"/>
      <c r="H640" s="789"/>
      <c r="I640" s="586"/>
      <c r="J640" s="586"/>
      <c r="K640" s="586"/>
    </row>
    <row r="641" spans="1:11" x14ac:dyDescent="0.35">
      <c r="A641" s="841" t="s">
        <v>1760</v>
      </c>
      <c r="B641" s="842" t="s">
        <v>592</v>
      </c>
      <c r="C641" s="820"/>
      <c r="D641" s="52"/>
      <c r="E641" s="52"/>
      <c r="F641" s="52"/>
      <c r="G641" s="561"/>
      <c r="H641" s="785"/>
      <c r="I641" s="32"/>
      <c r="J641" s="32"/>
      <c r="K641" s="32"/>
    </row>
    <row r="642" spans="1:11" outlineLevel="1" x14ac:dyDescent="0.35">
      <c r="A642" s="52" t="s">
        <v>110</v>
      </c>
      <c r="B642" s="3" t="s">
        <v>1627</v>
      </c>
      <c r="C642" s="839" t="s">
        <v>1628</v>
      </c>
      <c r="D642" s="52" t="s">
        <v>1629</v>
      </c>
      <c r="E642" s="561"/>
      <c r="F642" s="561"/>
      <c r="G642" s="561"/>
      <c r="H642" s="485">
        <f t="shared" ref="H642:H651" si="44">IF(K$8=1,E642,IF(K$8=2,(E642+F642)/2,(E642+F642+G642)/3))</f>
        <v>0</v>
      </c>
      <c r="I642" s="561"/>
      <c r="J642" s="561"/>
      <c r="K642" s="561"/>
    </row>
    <row r="643" spans="1:11" outlineLevel="1" x14ac:dyDescent="0.35">
      <c r="A643" s="52" t="s">
        <v>115</v>
      </c>
      <c r="B643" s="3" t="s">
        <v>1761</v>
      </c>
      <c r="C643" s="2" t="s">
        <v>1709</v>
      </c>
      <c r="D643" s="52" t="s">
        <v>1632</v>
      </c>
      <c r="E643" s="561"/>
      <c r="F643" s="561"/>
      <c r="G643" s="561"/>
      <c r="H643" s="485">
        <f t="shared" si="44"/>
        <v>0</v>
      </c>
      <c r="I643" s="561"/>
      <c r="J643" s="561"/>
      <c r="K643" s="561"/>
    </row>
    <row r="644" spans="1:11" outlineLevel="1" x14ac:dyDescent="0.35">
      <c r="A644" s="52" t="s">
        <v>118</v>
      </c>
      <c r="B644" s="3" t="s">
        <v>1762</v>
      </c>
      <c r="C644" s="2" t="s">
        <v>1709</v>
      </c>
      <c r="D644" s="52" t="s">
        <v>1632</v>
      </c>
      <c r="E644" s="609">
        <f>0.95*E643</f>
        <v>0</v>
      </c>
      <c r="F644" s="609">
        <f>0.95*F643</f>
        <v>0</v>
      </c>
      <c r="G644" s="609">
        <f>0.95*G643</f>
        <v>0</v>
      </c>
      <c r="H644" s="485">
        <f t="shared" si="44"/>
        <v>0</v>
      </c>
      <c r="I644" s="609">
        <f>0.95*I643</f>
        <v>0</v>
      </c>
      <c r="J644" s="32"/>
      <c r="K644" s="32"/>
    </row>
    <row r="645" spans="1:11" outlineLevel="1" x14ac:dyDescent="0.35">
      <c r="A645" s="485" t="s">
        <v>121</v>
      </c>
      <c r="B645" s="889" t="s">
        <v>1763</v>
      </c>
      <c r="C645" s="485" t="s">
        <v>56</v>
      </c>
      <c r="D645" s="485" t="s">
        <v>1057</v>
      </c>
      <c r="E645" s="485"/>
      <c r="F645" s="485"/>
      <c r="G645" s="485"/>
      <c r="H645" s="485">
        <f t="shared" si="44"/>
        <v>0</v>
      </c>
      <c r="I645" s="32"/>
      <c r="J645" s="32"/>
      <c r="K645" s="32"/>
    </row>
    <row r="646" spans="1:11" outlineLevel="1" x14ac:dyDescent="0.35">
      <c r="A646" s="52" t="s">
        <v>124</v>
      </c>
      <c r="B646" s="3" t="s">
        <v>1764</v>
      </c>
      <c r="C646" s="2" t="s">
        <v>1696</v>
      </c>
      <c r="D646" s="52" t="s">
        <v>1765</v>
      </c>
      <c r="E646" s="561"/>
      <c r="F646" s="561"/>
      <c r="G646" s="561"/>
      <c r="H646" s="485">
        <f t="shared" si="44"/>
        <v>0</v>
      </c>
      <c r="I646" s="561"/>
      <c r="J646" s="561"/>
      <c r="K646" s="561"/>
    </row>
    <row r="647" spans="1:11" outlineLevel="1" x14ac:dyDescent="0.35">
      <c r="A647" s="52" t="s">
        <v>162</v>
      </c>
      <c r="B647" s="3" t="s">
        <v>1766</v>
      </c>
      <c r="C647" s="2" t="s">
        <v>56</v>
      </c>
      <c r="D647" s="52" t="s">
        <v>1767</v>
      </c>
      <c r="E647" s="561"/>
      <c r="F647" s="561"/>
      <c r="G647" s="561"/>
      <c r="H647" s="485">
        <f t="shared" si="44"/>
        <v>0</v>
      </c>
      <c r="I647" s="561"/>
      <c r="J647" s="561"/>
      <c r="K647" s="561"/>
    </row>
    <row r="648" spans="1:11" outlineLevel="1" x14ac:dyDescent="0.35">
      <c r="A648" s="812" t="s">
        <v>202</v>
      </c>
      <c r="B648" s="813" t="s">
        <v>1768</v>
      </c>
      <c r="C648" s="814" t="s">
        <v>1474</v>
      </c>
      <c r="D648" s="812" t="s">
        <v>1671</v>
      </c>
      <c r="E648" s="486">
        <f>'Emission Factor &amp; GWP Backup'!$E$14</f>
        <v>0.32405831999999452</v>
      </c>
      <c r="F648" s="486">
        <f>'Emission Factor &amp; GWP Backup'!$E$14</f>
        <v>0.32405831999999452</v>
      </c>
      <c r="G648" s="486">
        <f>'Emission Factor &amp; GWP Backup'!$E$14</f>
        <v>0.32405831999999452</v>
      </c>
      <c r="H648" s="486">
        <f t="shared" si="44"/>
        <v>0.32405831999999452</v>
      </c>
      <c r="I648" s="486">
        <f>'Emission Factor &amp; GWP Backup'!$E$14</f>
        <v>0.32405831999999452</v>
      </c>
      <c r="J648" s="724"/>
      <c r="K648" s="32"/>
    </row>
    <row r="649" spans="1:11" outlineLevel="1" x14ac:dyDescent="0.35">
      <c r="A649" s="524" t="s">
        <v>203</v>
      </c>
      <c r="B649" s="523" t="s">
        <v>1769</v>
      </c>
      <c r="C649" s="674" t="s">
        <v>56</v>
      </c>
      <c r="D649" s="524" t="s">
        <v>1765</v>
      </c>
      <c r="E649" s="719"/>
      <c r="F649" s="561"/>
      <c r="G649" s="561"/>
      <c r="H649" s="485">
        <f t="shared" si="44"/>
        <v>0</v>
      </c>
      <c r="I649" s="561"/>
      <c r="J649" s="561"/>
      <c r="K649" s="561"/>
    </row>
    <row r="650" spans="1:11" outlineLevel="1" x14ac:dyDescent="0.35">
      <c r="A650" s="52" t="s">
        <v>225</v>
      </c>
      <c r="B650" s="3" t="s">
        <v>1770</v>
      </c>
      <c r="C650" s="2" t="s">
        <v>56</v>
      </c>
      <c r="D650" s="52" t="s">
        <v>1765</v>
      </c>
      <c r="E650" s="561"/>
      <c r="F650" s="561"/>
      <c r="G650" s="561"/>
      <c r="H650" s="485">
        <f t="shared" si="44"/>
        <v>0</v>
      </c>
      <c r="I650" s="561"/>
      <c r="J650" s="561"/>
      <c r="K650" s="561"/>
    </row>
    <row r="651" spans="1:11" ht="43.5" customHeight="1" outlineLevel="1" x14ac:dyDescent="0.35">
      <c r="A651" s="52" t="s">
        <v>229</v>
      </c>
      <c r="B651" s="3" t="s">
        <v>1740</v>
      </c>
      <c r="C651" s="2" t="s">
        <v>1771</v>
      </c>
      <c r="D651" s="52" t="s">
        <v>1765</v>
      </c>
      <c r="E651" s="561"/>
      <c r="F651" s="561"/>
      <c r="G651" s="561"/>
      <c r="H651" s="485">
        <f t="shared" si="44"/>
        <v>0</v>
      </c>
      <c r="I651" s="588"/>
      <c r="J651" s="588"/>
      <c r="K651" s="561"/>
    </row>
    <row r="652" spans="1:11" outlineLevel="1" x14ac:dyDescent="0.35">
      <c r="A652" s="593" t="s">
        <v>233</v>
      </c>
      <c r="B652" s="594" t="s">
        <v>1772</v>
      </c>
      <c r="C652" s="564" t="s">
        <v>1773</v>
      </c>
      <c r="D652" s="593" t="s">
        <v>1018</v>
      </c>
      <c r="E652" s="595">
        <f>(E649+E650+E651)*E647</f>
        <v>0</v>
      </c>
      <c r="F652" s="595">
        <f>(F649+F650+F651)*F647</f>
        <v>0</v>
      </c>
      <c r="G652" s="595">
        <f>(G649+G650+G651)*G647</f>
        <v>0</v>
      </c>
      <c r="H652" s="595">
        <f>(H649+H650+H651)*H647</f>
        <v>0</v>
      </c>
      <c r="I652" s="595">
        <f>(I649+I650+I651)*I647</f>
        <v>0</v>
      </c>
      <c r="J652" s="628"/>
      <c r="K652" s="628"/>
    </row>
    <row r="653" spans="1:11" ht="30.65" customHeight="1" outlineLevel="1" x14ac:dyDescent="0.35">
      <c r="A653" s="593" t="s">
        <v>238</v>
      </c>
      <c r="B653" s="565" t="s">
        <v>1774</v>
      </c>
      <c r="C653" s="564" t="s">
        <v>1775</v>
      </c>
      <c r="D653" s="593" t="s">
        <v>1139</v>
      </c>
      <c r="E653" s="595">
        <f>((E649)*E647)*E643/1000</f>
        <v>0</v>
      </c>
      <c r="F653" s="595">
        <f>((F649)*F647)*F643/1000</f>
        <v>0</v>
      </c>
      <c r="G653" s="595">
        <f>((G649)*G647)*G643/1000</f>
        <v>0</v>
      </c>
      <c r="H653" s="595">
        <f>((H649)*H647)*H643/1000</f>
        <v>0</v>
      </c>
      <c r="I653" s="595">
        <f>((I649)*I647)*I643/1000</f>
        <v>0</v>
      </c>
      <c r="J653" s="628"/>
      <c r="K653" s="628"/>
    </row>
    <row r="654" spans="1:11" ht="31.4" customHeight="1" outlineLevel="1" x14ac:dyDescent="0.35">
      <c r="A654" s="593" t="s">
        <v>317</v>
      </c>
      <c r="B654" s="565" t="s">
        <v>1776</v>
      </c>
      <c r="C654" s="564" t="s">
        <v>1777</v>
      </c>
      <c r="D654" s="593" t="s">
        <v>1139</v>
      </c>
      <c r="E654" s="593">
        <f>E650*E647*E643/1000</f>
        <v>0</v>
      </c>
      <c r="F654" s="593">
        <f>F650*F647*F643/1000</f>
        <v>0</v>
      </c>
      <c r="G654" s="593">
        <f>G650*G647*G643/1000</f>
        <v>0</v>
      </c>
      <c r="H654" s="595">
        <f>H650*H647*H643/1000</f>
        <v>0</v>
      </c>
      <c r="I654" s="593">
        <f>I650*I647*I643/1000</f>
        <v>0</v>
      </c>
      <c r="J654" s="611"/>
      <c r="K654" s="611"/>
    </row>
    <row r="655" spans="1:11" outlineLevel="1" x14ac:dyDescent="0.35">
      <c r="A655" s="593" t="s">
        <v>319</v>
      </c>
      <c r="B655" s="594" t="s">
        <v>1657</v>
      </c>
      <c r="C655" s="564" t="s">
        <v>1778</v>
      </c>
      <c r="D655" s="593" t="s">
        <v>1139</v>
      </c>
      <c r="E655" s="593">
        <f>E643*E647*E651/1000</f>
        <v>0</v>
      </c>
      <c r="F655" s="593">
        <f>F643*F647*F651/1000</f>
        <v>0</v>
      </c>
      <c r="G655" s="593">
        <f>G643*G647*G651/1000</f>
        <v>0</v>
      </c>
      <c r="H655" s="595">
        <f>H643*H647*H651/1000</f>
        <v>0</v>
      </c>
      <c r="I655" s="593">
        <f>I643*I647*I651/1000</f>
        <v>0</v>
      </c>
      <c r="J655" s="611"/>
      <c r="K655" s="611"/>
    </row>
    <row r="656" spans="1:11" outlineLevel="1" x14ac:dyDescent="0.35">
      <c r="A656" s="717" t="s">
        <v>317</v>
      </c>
      <c r="B656" s="836" t="s">
        <v>1779</v>
      </c>
      <c r="C656" s="832"/>
      <c r="D656" s="717" t="s">
        <v>1675</v>
      </c>
      <c r="E656" s="593">
        <f>E649*1000*E644*E647*E648*E645/100/10^6</f>
        <v>0</v>
      </c>
      <c r="F656" s="593">
        <f>F649*1000*F644*F647*F648*F645/100/10^6</f>
        <v>0</v>
      </c>
      <c r="G656" s="593">
        <f>G649*1000*G644*G647*G648*G645/100/10^6</f>
        <v>0</v>
      </c>
      <c r="H656" s="593">
        <f>H649*1000*H644*H647*H648*H645/100/10^6</f>
        <v>0</v>
      </c>
      <c r="I656" s="593">
        <f>I649*1000*I644*I647*I648*I645/100/10^6</f>
        <v>0</v>
      </c>
      <c r="J656" s="611"/>
      <c r="K656" s="611"/>
    </row>
    <row r="657" spans="1:11" outlineLevel="1" x14ac:dyDescent="0.35">
      <c r="A657" s="717" t="s">
        <v>319</v>
      </c>
      <c r="B657" s="836" t="s">
        <v>1780</v>
      </c>
      <c r="C657" s="832"/>
      <c r="D657" s="717" t="s">
        <v>1675</v>
      </c>
      <c r="E657" s="593">
        <f>E650*1000*E644*E647*E648*E645/100/10^6</f>
        <v>0</v>
      </c>
      <c r="F657" s="593">
        <f>F650*1000*F644*F647*F648*F645/100/10^6</f>
        <v>0</v>
      </c>
      <c r="G657" s="593">
        <f>G650*1000*G644*G647*G648*G645/100/10^6</f>
        <v>0</v>
      </c>
      <c r="H657" s="593">
        <f>H650*1000*H644*H647*H648*H645/100/10^6</f>
        <v>0</v>
      </c>
      <c r="I657" s="593">
        <f>I650*1000*I644*I647*I648*I645/100/10^6</f>
        <v>0</v>
      </c>
      <c r="J657" s="611"/>
      <c r="K657" s="611"/>
    </row>
    <row r="658" spans="1:11" x14ac:dyDescent="0.35">
      <c r="A658" s="717" t="s">
        <v>322</v>
      </c>
      <c r="B658" s="836" t="s">
        <v>1781</v>
      </c>
      <c r="C658" s="832"/>
      <c r="D658" s="717" t="s">
        <v>1675</v>
      </c>
      <c r="E658" s="593">
        <f>E651*1000*E644*E647*E648*E645/100/10^6</f>
        <v>0</v>
      </c>
      <c r="F658" s="593">
        <f>F651*1000*F644*F647*F648*F645/100/10^6</f>
        <v>0</v>
      </c>
      <c r="G658" s="593">
        <f>G651*1000*G644*G647*G648*G645/100/10^6</f>
        <v>0</v>
      </c>
      <c r="H658" s="593">
        <f>H651*1000*H644*H647*H648*H645/100/10^6</f>
        <v>0</v>
      </c>
      <c r="I658" s="593">
        <f>I651*1000*I644*I647*I648*I645/100/10^6</f>
        <v>0</v>
      </c>
      <c r="J658" s="611"/>
      <c r="K658" s="611"/>
    </row>
    <row r="659" spans="1:11" x14ac:dyDescent="0.35">
      <c r="A659" s="52"/>
      <c r="B659" s="3"/>
      <c r="C659" s="2"/>
      <c r="D659" s="52"/>
      <c r="E659" s="52"/>
      <c r="F659" s="52"/>
      <c r="G659" s="20"/>
      <c r="H659" s="785"/>
      <c r="I659" s="32"/>
      <c r="J659" s="32"/>
      <c r="K659" s="32"/>
    </row>
    <row r="660" spans="1:11" x14ac:dyDescent="0.35">
      <c r="A660" s="590" t="s">
        <v>1782</v>
      </c>
      <c r="B660" s="591" t="s">
        <v>1783</v>
      </c>
      <c r="C660" s="592"/>
      <c r="D660" s="259"/>
      <c r="E660" s="259"/>
      <c r="F660" s="259"/>
      <c r="G660" s="256"/>
      <c r="H660" s="789"/>
      <c r="I660" s="586"/>
      <c r="J660" s="586"/>
      <c r="K660" s="586"/>
    </row>
    <row r="661" spans="1:11" outlineLevel="1" x14ac:dyDescent="0.35">
      <c r="A661" s="52" t="s">
        <v>110</v>
      </c>
      <c r="B661" s="3" t="s">
        <v>1627</v>
      </c>
      <c r="C661" s="839" t="s">
        <v>1628</v>
      </c>
      <c r="D661" s="52" t="s">
        <v>1629</v>
      </c>
      <c r="E661" s="561"/>
      <c r="F661" s="561"/>
      <c r="G661" s="561"/>
      <c r="H661" s="485">
        <f t="shared" ref="H661:H669" si="45">IF(K$8=1,E661,IF(K$8=2,(E661+F661)/2,(E661+F661+G661)/3))</f>
        <v>0</v>
      </c>
      <c r="I661" s="32"/>
      <c r="J661" s="32"/>
      <c r="K661" s="32"/>
    </row>
    <row r="662" spans="1:11" outlineLevel="1" x14ac:dyDescent="0.35">
      <c r="A662" s="52" t="s">
        <v>115</v>
      </c>
      <c r="B662" s="3" t="s">
        <v>1761</v>
      </c>
      <c r="C662" s="2" t="s">
        <v>1709</v>
      </c>
      <c r="D662" s="52" t="s">
        <v>1632</v>
      </c>
      <c r="E662" s="561"/>
      <c r="F662" s="561"/>
      <c r="G662" s="561"/>
      <c r="H662" s="485">
        <f t="shared" si="45"/>
        <v>0</v>
      </c>
      <c r="I662" s="32"/>
      <c r="J662" s="32"/>
      <c r="K662" s="32"/>
    </row>
    <row r="663" spans="1:11" outlineLevel="1" x14ac:dyDescent="0.35">
      <c r="A663" s="52" t="s">
        <v>118</v>
      </c>
      <c r="B663" s="3" t="s">
        <v>1784</v>
      </c>
      <c r="C663" s="2" t="s">
        <v>1709</v>
      </c>
      <c r="D663" s="52" t="s">
        <v>1632</v>
      </c>
      <c r="E663" s="609">
        <f>0.95*E662</f>
        <v>0</v>
      </c>
      <c r="F663" s="609">
        <f>0.95*F662</f>
        <v>0</v>
      </c>
      <c r="G663" s="609">
        <f>0.95*G662</f>
        <v>0</v>
      </c>
      <c r="H663" s="485">
        <f t="shared" si="45"/>
        <v>0</v>
      </c>
      <c r="I663" s="609">
        <f>0.95*I662</f>
        <v>0</v>
      </c>
      <c r="J663" s="32"/>
      <c r="K663" s="32"/>
    </row>
    <row r="664" spans="1:11" outlineLevel="1" x14ac:dyDescent="0.35">
      <c r="A664" s="485" t="s">
        <v>121</v>
      </c>
      <c r="B664" s="889" t="s">
        <v>1785</v>
      </c>
      <c r="C664" s="485" t="s">
        <v>56</v>
      </c>
      <c r="D664" s="485" t="s">
        <v>1057</v>
      </c>
      <c r="E664" s="485"/>
      <c r="F664" s="485"/>
      <c r="G664" s="485"/>
      <c r="H664" s="485">
        <f t="shared" si="45"/>
        <v>0</v>
      </c>
      <c r="I664" s="32"/>
      <c r="J664" s="32"/>
      <c r="K664" s="32"/>
    </row>
    <row r="665" spans="1:11" outlineLevel="1" x14ac:dyDescent="0.35">
      <c r="A665" s="52" t="s">
        <v>124</v>
      </c>
      <c r="B665" s="3" t="s">
        <v>1666</v>
      </c>
      <c r="C665" s="2" t="s">
        <v>1696</v>
      </c>
      <c r="D665" s="52" t="s">
        <v>1018</v>
      </c>
      <c r="E665" s="561"/>
      <c r="F665" s="561"/>
      <c r="G665" s="561"/>
      <c r="H665" s="485">
        <f t="shared" si="45"/>
        <v>0</v>
      </c>
      <c r="I665" s="32"/>
      <c r="J665" s="32"/>
      <c r="K665" s="32"/>
    </row>
    <row r="666" spans="1:11" outlineLevel="1" x14ac:dyDescent="0.35">
      <c r="A666" s="812" t="s">
        <v>162</v>
      </c>
      <c r="B666" s="813" t="s">
        <v>1701</v>
      </c>
      <c r="C666" s="814" t="s">
        <v>1474</v>
      </c>
      <c r="D666" s="812" t="s">
        <v>1671</v>
      </c>
      <c r="E666" s="617">
        <f>'Emission Factor &amp; GWP Backup'!$E$14</f>
        <v>0.32405831999999452</v>
      </c>
      <c r="F666" s="617">
        <f>'Emission Factor &amp; GWP Backup'!$E$14</f>
        <v>0.32405831999999452</v>
      </c>
      <c r="G666" s="617">
        <f>'Emission Factor &amp; GWP Backup'!$E$14</f>
        <v>0.32405831999999452</v>
      </c>
      <c r="H666" s="485">
        <f t="shared" si="45"/>
        <v>0.32405831999999452</v>
      </c>
      <c r="I666" s="562">
        <f>IF(L$8=1,F666,IF(L$8=2,(F666+G666)/2,(F666+G666+H666)/3))</f>
        <v>0.32405831999999452</v>
      </c>
      <c r="J666" s="589"/>
      <c r="K666" s="32"/>
    </row>
    <row r="667" spans="1:11" outlineLevel="1" x14ac:dyDescent="0.35">
      <c r="A667" s="52" t="s">
        <v>202</v>
      </c>
      <c r="B667" s="3" t="s">
        <v>1769</v>
      </c>
      <c r="C667" s="2" t="s">
        <v>1696</v>
      </c>
      <c r="D667" s="52" t="s">
        <v>1018</v>
      </c>
      <c r="E667" s="561"/>
      <c r="F667" s="561"/>
      <c r="G667" s="561"/>
      <c r="H667" s="485">
        <f t="shared" si="45"/>
        <v>0</v>
      </c>
      <c r="I667" s="32"/>
      <c r="J667" s="32"/>
      <c r="K667" s="32"/>
    </row>
    <row r="668" spans="1:11" outlineLevel="1" x14ac:dyDescent="0.35">
      <c r="A668" s="52" t="s">
        <v>203</v>
      </c>
      <c r="B668" s="3" t="s">
        <v>1770</v>
      </c>
      <c r="C668" s="2" t="s">
        <v>1696</v>
      </c>
      <c r="D668" s="52" t="s">
        <v>1018</v>
      </c>
      <c r="E668" s="561"/>
      <c r="F668" s="561"/>
      <c r="G668" s="561"/>
      <c r="H668" s="485">
        <f t="shared" si="45"/>
        <v>0</v>
      </c>
      <c r="I668" s="32"/>
      <c r="J668" s="32"/>
      <c r="K668" s="32"/>
    </row>
    <row r="669" spans="1:11" outlineLevel="1" x14ac:dyDescent="0.35">
      <c r="A669" s="52" t="s">
        <v>225</v>
      </c>
      <c r="B669" s="3" t="s">
        <v>1740</v>
      </c>
      <c r="C669" s="2" t="s">
        <v>1696</v>
      </c>
      <c r="D669" s="52" t="s">
        <v>1018</v>
      </c>
      <c r="E669" s="561"/>
      <c r="F669" s="561"/>
      <c r="G669" s="561"/>
      <c r="H669" s="485">
        <f t="shared" si="45"/>
        <v>0</v>
      </c>
      <c r="I669" s="32"/>
      <c r="J669" s="32"/>
      <c r="K669" s="32"/>
    </row>
    <row r="670" spans="1:11" outlineLevel="1" x14ac:dyDescent="0.35">
      <c r="A670" s="593" t="s">
        <v>229</v>
      </c>
      <c r="B670" s="594" t="s">
        <v>1786</v>
      </c>
      <c r="C670" s="564" t="s">
        <v>1787</v>
      </c>
      <c r="D670" s="593" t="s">
        <v>1018</v>
      </c>
      <c r="E670" s="593">
        <f>E667+E668+E669</f>
        <v>0</v>
      </c>
      <c r="F670" s="593">
        <f>F667+F668+F669</f>
        <v>0</v>
      </c>
      <c r="G670" s="593">
        <f>G667+G668+G669</f>
        <v>0</v>
      </c>
      <c r="H670" s="595">
        <f>H667+H668+H669</f>
        <v>0</v>
      </c>
      <c r="I670" s="593">
        <f>I667+I668+I669</f>
        <v>0</v>
      </c>
      <c r="J670" s="611"/>
      <c r="K670" s="611"/>
    </row>
    <row r="671" spans="1:11" ht="42" customHeight="1" outlineLevel="1" x14ac:dyDescent="0.35">
      <c r="A671" s="593" t="s">
        <v>233</v>
      </c>
      <c r="B671" s="565" t="s">
        <v>1774</v>
      </c>
      <c r="C671" s="564" t="s">
        <v>1788</v>
      </c>
      <c r="D671" s="593" t="s">
        <v>1139</v>
      </c>
      <c r="E671" s="593">
        <f>(E667)*E662/1000</f>
        <v>0</v>
      </c>
      <c r="F671" s="593">
        <f>(F667)*F662/1000</f>
        <v>0</v>
      </c>
      <c r="G671" s="593">
        <f>(G667)*G662/1000</f>
        <v>0</v>
      </c>
      <c r="H671" s="595">
        <f>(H667)*H662/1000</f>
        <v>0</v>
      </c>
      <c r="I671" s="593">
        <f>(I667)*I662/1000</f>
        <v>0</v>
      </c>
      <c r="J671" s="611"/>
      <c r="K671" s="611"/>
    </row>
    <row r="672" spans="1:11" ht="29.15" customHeight="1" outlineLevel="1" x14ac:dyDescent="0.35">
      <c r="A672" s="593" t="s">
        <v>238</v>
      </c>
      <c r="B672" s="565" t="s">
        <v>1776</v>
      </c>
      <c r="C672" s="564" t="s">
        <v>1789</v>
      </c>
      <c r="D672" s="593" t="s">
        <v>1139</v>
      </c>
      <c r="E672" s="593">
        <f>E668*E662/1000</f>
        <v>0</v>
      </c>
      <c r="F672" s="593">
        <f>F668*F662/1000</f>
        <v>0</v>
      </c>
      <c r="G672" s="593">
        <f>G668*G662/1000</f>
        <v>0</v>
      </c>
      <c r="H672" s="595">
        <f>H668*H662/1000</f>
        <v>0</v>
      </c>
      <c r="I672" s="593">
        <f>I668*I662/1000</f>
        <v>0</v>
      </c>
      <c r="J672" s="611"/>
      <c r="K672" s="611"/>
    </row>
    <row r="673" spans="1:11" outlineLevel="1" x14ac:dyDescent="0.35">
      <c r="A673" s="593" t="s">
        <v>317</v>
      </c>
      <c r="B673" s="594" t="s">
        <v>1657</v>
      </c>
      <c r="C673" s="564" t="s">
        <v>1790</v>
      </c>
      <c r="D673" s="593" t="s">
        <v>1139</v>
      </c>
      <c r="E673" s="593">
        <f>E669*E662/1000</f>
        <v>0</v>
      </c>
      <c r="F673" s="593">
        <f>F669*F662/1000</f>
        <v>0</v>
      </c>
      <c r="G673" s="593">
        <f>G669*G662/1000</f>
        <v>0</v>
      </c>
      <c r="H673" s="595">
        <f>H669*H662/1000</f>
        <v>0</v>
      </c>
      <c r="I673" s="593">
        <f>I669*I662/1000</f>
        <v>0</v>
      </c>
      <c r="J673" s="611"/>
      <c r="K673" s="611"/>
    </row>
    <row r="674" spans="1:11" outlineLevel="1" x14ac:dyDescent="0.35">
      <c r="A674" s="717" t="s">
        <v>319</v>
      </c>
      <c r="B674" s="836" t="s">
        <v>1791</v>
      </c>
      <c r="C674" s="832"/>
      <c r="D674" s="717" t="s">
        <v>1675</v>
      </c>
      <c r="E674" s="593">
        <f>E663*E667*1000*E666*E664/100/10^6</f>
        <v>0</v>
      </c>
      <c r="F674" s="593">
        <f>F663*F667*1000*F666*F664/100/10^6</f>
        <v>0</v>
      </c>
      <c r="G674" s="593">
        <f>G663*G667*1000*G666*G664/100/10^6</f>
        <v>0</v>
      </c>
      <c r="H674" s="593">
        <f>F663*H667*1000*F666*H664/100/10^6</f>
        <v>0</v>
      </c>
      <c r="I674" s="593">
        <f>G663*I667*1000*G666*I664/100/10^6</f>
        <v>0</v>
      </c>
      <c r="J674" s="611"/>
      <c r="K674" s="611"/>
    </row>
    <row r="675" spans="1:11" outlineLevel="1" x14ac:dyDescent="0.35">
      <c r="A675" s="717" t="s">
        <v>322</v>
      </c>
      <c r="B675" s="836" t="s">
        <v>1792</v>
      </c>
      <c r="C675" s="832"/>
      <c r="D675" s="717" t="s">
        <v>1675</v>
      </c>
      <c r="E675" s="593">
        <f>E663*E668*1000*E666*E664/100/10^6</f>
        <v>0</v>
      </c>
      <c r="F675" s="593">
        <f>F663*F668*1000*F666*F664/100/10^6</f>
        <v>0</v>
      </c>
      <c r="G675" s="593">
        <f>G663*G668*1000*G666*G664/100/10^6</f>
        <v>0</v>
      </c>
      <c r="H675" s="593">
        <f>F663*H668*1000*F666*H664/100/10^6</f>
        <v>0</v>
      </c>
      <c r="I675" s="593">
        <f>G663*I668*1000*G666*I664/100/10^6</f>
        <v>0</v>
      </c>
      <c r="J675" s="611"/>
      <c r="K675" s="611"/>
    </row>
    <row r="676" spans="1:11" outlineLevel="1" x14ac:dyDescent="0.35">
      <c r="A676" s="717" t="s">
        <v>327</v>
      </c>
      <c r="B676" s="836" t="s">
        <v>1793</v>
      </c>
      <c r="C676" s="832"/>
      <c r="D676" s="717" t="s">
        <v>1675</v>
      </c>
      <c r="E676" s="593">
        <f>E663*E669*1000*E666*E664/100/10^6</f>
        <v>0</v>
      </c>
      <c r="F676" s="593">
        <f>F663*F669*1000*F666*F664/100/10^6</f>
        <v>0</v>
      </c>
      <c r="G676" s="593">
        <f>G663*G669*1000*G666*G664/100/10^6</f>
        <v>0</v>
      </c>
      <c r="H676" s="593">
        <f>F663*H669*1000*F666*H664/100/10^6</f>
        <v>0</v>
      </c>
      <c r="I676" s="593">
        <f>G663*I669*1000*G666*I664/100/10^6</f>
        <v>0</v>
      </c>
      <c r="J676" s="611"/>
      <c r="K676" s="611"/>
    </row>
    <row r="677" spans="1:11" x14ac:dyDescent="0.35">
      <c r="A677" s="52"/>
      <c r="B677" s="3"/>
      <c r="C677" s="2"/>
      <c r="D677" s="52"/>
      <c r="E677" s="52"/>
      <c r="F677" s="52"/>
      <c r="G677" s="20"/>
      <c r="H677" s="785"/>
      <c r="I677" s="32"/>
      <c r="J677" s="32"/>
      <c r="K677" s="32"/>
    </row>
    <row r="678" spans="1:11" x14ac:dyDescent="0.35">
      <c r="A678" s="590" t="s">
        <v>1794</v>
      </c>
      <c r="B678" s="591" t="s">
        <v>1795</v>
      </c>
      <c r="C678" s="592"/>
      <c r="D678" s="259"/>
      <c r="E678" s="259"/>
      <c r="F678" s="259"/>
      <c r="G678" s="256"/>
      <c r="H678" s="789"/>
      <c r="I678" s="586"/>
      <c r="J678" s="586"/>
      <c r="K678" s="586"/>
    </row>
    <row r="679" spans="1:11" x14ac:dyDescent="0.35">
      <c r="A679" s="52" t="s">
        <v>110</v>
      </c>
      <c r="B679" s="3" t="s">
        <v>1627</v>
      </c>
      <c r="C679" s="839" t="s">
        <v>1628</v>
      </c>
      <c r="D679" s="52" t="s">
        <v>1629</v>
      </c>
      <c r="E679" s="561"/>
      <c r="F679" s="561"/>
      <c r="G679" s="561"/>
      <c r="H679" s="485">
        <f>IF(K$8=1,E679,IF(K$8=2,(E679+F679)/2,(E679+F679+G679)/3))</f>
        <v>0</v>
      </c>
      <c r="I679" s="32"/>
      <c r="J679" s="32"/>
      <c r="K679" s="32"/>
    </row>
    <row r="680" spans="1:11" x14ac:dyDescent="0.35">
      <c r="A680" s="52" t="s">
        <v>115</v>
      </c>
      <c r="B680" s="3" t="s">
        <v>1761</v>
      </c>
      <c r="C680" s="2" t="s">
        <v>1709</v>
      </c>
      <c r="D680" s="52" t="s">
        <v>1632</v>
      </c>
      <c r="E680" s="561"/>
      <c r="F680" s="561"/>
      <c r="G680" s="561"/>
      <c r="H680" s="485">
        <f>IF(K$8=1,E680,IF(K$8=2,(E680+F680)/2,(E680+F680+G680)/3))</f>
        <v>0</v>
      </c>
      <c r="I680" s="32"/>
      <c r="J680" s="32"/>
      <c r="K680" s="32"/>
    </row>
    <row r="681" spans="1:11" x14ac:dyDescent="0.35">
      <c r="A681" s="52" t="s">
        <v>1796</v>
      </c>
      <c r="B681" s="3" t="s">
        <v>1784</v>
      </c>
      <c r="C681" s="2" t="s">
        <v>1709</v>
      </c>
      <c r="D681" s="52" t="s">
        <v>1632</v>
      </c>
      <c r="E681" s="609">
        <f>0.95*E680</f>
        <v>0</v>
      </c>
      <c r="F681" s="609">
        <f>0.95*F680</f>
        <v>0</v>
      </c>
      <c r="G681" s="609">
        <f>0.95*G680</f>
        <v>0</v>
      </c>
      <c r="H681" s="485">
        <f>IF(K$8=1,E681,IF(K$8=2,(E681+F681)/2,(E681+F681+G681)/3))</f>
        <v>0</v>
      </c>
      <c r="I681" s="609">
        <f>0.95*I680</f>
        <v>0</v>
      </c>
      <c r="J681" s="32"/>
      <c r="K681" s="32"/>
    </row>
    <row r="682" spans="1:11" x14ac:dyDescent="0.35">
      <c r="A682" s="485" t="s">
        <v>121</v>
      </c>
      <c r="B682" s="889" t="s">
        <v>1763</v>
      </c>
      <c r="C682" s="485" t="s">
        <v>56</v>
      </c>
      <c r="D682" s="485" t="s">
        <v>1057</v>
      </c>
      <c r="E682" s="485"/>
      <c r="F682" s="485"/>
      <c r="G682" s="485"/>
      <c r="H682" s="485">
        <f>IF(K$8=1,E682,IF(K$8=2,(E682+F682)/2,(E682+F682+G682)/3))</f>
        <v>0</v>
      </c>
      <c r="I682" s="32"/>
      <c r="J682" s="32"/>
      <c r="K682" s="32"/>
    </row>
    <row r="683" spans="1:11" x14ac:dyDescent="0.35">
      <c r="A683" s="52" t="s">
        <v>124</v>
      </c>
      <c r="B683" s="3" t="s">
        <v>1764</v>
      </c>
      <c r="C683" s="2" t="s">
        <v>1696</v>
      </c>
      <c r="D683" s="52" t="s">
        <v>1018</v>
      </c>
      <c r="E683" s="561"/>
      <c r="F683" s="561"/>
      <c r="G683" s="561"/>
      <c r="H683" s="485">
        <f>IF(K$8=1,E683,IF(K$8=2,(E683+F683)/2,(E683+F683+G683)/3))</f>
        <v>0</v>
      </c>
      <c r="I683" s="32"/>
      <c r="J683" s="32"/>
      <c r="K683" s="32"/>
    </row>
    <row r="684" spans="1:11" x14ac:dyDescent="0.35">
      <c r="A684" s="52" t="s">
        <v>162</v>
      </c>
      <c r="B684" s="3" t="s">
        <v>1797</v>
      </c>
      <c r="C684" s="2" t="s">
        <v>1474</v>
      </c>
      <c r="D684" s="52" t="s">
        <v>1722</v>
      </c>
      <c r="E684" s="617">
        <f>'Emission Factor &amp; GWP Backup'!$E$14</f>
        <v>0.32405831999999452</v>
      </c>
      <c r="F684" s="617">
        <f>'Emission Factor &amp; GWP Backup'!$E$14</f>
        <v>0.32405831999999452</v>
      </c>
      <c r="G684" s="617">
        <f>'Emission Factor &amp; GWP Backup'!$E$14</f>
        <v>0.32405831999999452</v>
      </c>
      <c r="H684" s="485">
        <f>AVERAGEA(E684:G684)</f>
        <v>0.32405831999999452</v>
      </c>
      <c r="I684" s="617">
        <f>'Emission Factor &amp; GWP Backup'!$E$14</f>
        <v>0.32405831999999452</v>
      </c>
      <c r="J684" s="877"/>
      <c r="K684" s="32"/>
    </row>
    <row r="685" spans="1:11" x14ac:dyDescent="0.35">
      <c r="A685" s="52" t="s">
        <v>202</v>
      </c>
      <c r="B685" s="3" t="s">
        <v>1769</v>
      </c>
      <c r="C685" s="2" t="s">
        <v>1696</v>
      </c>
      <c r="D685" s="52" t="s">
        <v>1018</v>
      </c>
      <c r="E685" s="561"/>
      <c r="F685" s="561"/>
      <c r="G685" s="561"/>
      <c r="H685" s="485">
        <f>IF(K$8=1,E685,IF(K$8=2,(E685+F685)/2,(E685+F685+G685)/3))</f>
        <v>0</v>
      </c>
      <c r="I685" s="32"/>
      <c r="J685" s="32"/>
      <c r="K685" s="32"/>
    </row>
    <row r="686" spans="1:11" x14ac:dyDescent="0.35">
      <c r="A686" s="52" t="s">
        <v>203</v>
      </c>
      <c r="B686" s="3" t="s">
        <v>1770</v>
      </c>
      <c r="C686" s="2" t="s">
        <v>1696</v>
      </c>
      <c r="D686" s="52" t="s">
        <v>1018</v>
      </c>
      <c r="E686" s="561"/>
      <c r="F686" s="561"/>
      <c r="G686" s="561"/>
      <c r="H686" s="485">
        <f>IF(K$8=1,E686,IF(K$8=2,(E686+F686)/2,(E686+F686+G686)/3))</f>
        <v>0</v>
      </c>
      <c r="I686" s="32"/>
      <c r="J686" s="32"/>
      <c r="K686" s="32"/>
    </row>
    <row r="687" spans="1:11" x14ac:dyDescent="0.35">
      <c r="A687" s="52" t="s">
        <v>225</v>
      </c>
      <c r="B687" s="3" t="s">
        <v>1740</v>
      </c>
      <c r="C687" s="2" t="s">
        <v>1696</v>
      </c>
      <c r="D687" s="52" t="s">
        <v>1018</v>
      </c>
      <c r="E687" s="561">
        <f>449024/1000*0.8</f>
        <v>359.2192</v>
      </c>
      <c r="F687" s="561">
        <f>255347/1000*0.8</f>
        <v>204.27760000000001</v>
      </c>
      <c r="G687" s="561">
        <f>445520/1000*0.8</f>
        <v>356.416</v>
      </c>
      <c r="H687" s="485">
        <f>IF(K$8=1,E687,IF(K$8=2,(E687+F687)/2,(E687+F687+G687)/3))</f>
        <v>306.63760000000002</v>
      </c>
      <c r="I687" s="32"/>
      <c r="J687" s="570" t="s">
        <v>1798</v>
      </c>
      <c r="K687" s="32" t="s">
        <v>1799</v>
      </c>
    </row>
    <row r="688" spans="1:11" x14ac:dyDescent="0.35">
      <c r="A688" s="593" t="s">
        <v>229</v>
      </c>
      <c r="B688" s="594" t="s">
        <v>1800</v>
      </c>
      <c r="C688" s="564" t="s">
        <v>1787</v>
      </c>
      <c r="D688" s="593" t="s">
        <v>1018</v>
      </c>
      <c r="E688" s="593">
        <f>E685+E686+E687</f>
        <v>359.2192</v>
      </c>
      <c r="F688" s="593">
        <f>F685+F686+F687</f>
        <v>204.27760000000001</v>
      </c>
      <c r="G688" s="593">
        <f>G685+G686+G687</f>
        <v>356.416</v>
      </c>
      <c r="H688" s="595">
        <f>H685+H686+H687</f>
        <v>306.63760000000002</v>
      </c>
      <c r="I688" s="593">
        <f>I685+I686+I687</f>
        <v>0</v>
      </c>
      <c r="J688" s="611"/>
      <c r="K688" s="611"/>
    </row>
    <row r="689" spans="1:11" ht="29.5" customHeight="1" x14ac:dyDescent="0.35">
      <c r="A689" s="593" t="s">
        <v>233</v>
      </c>
      <c r="B689" s="565" t="s">
        <v>1774</v>
      </c>
      <c r="C689" s="564" t="s">
        <v>1788</v>
      </c>
      <c r="D689" s="593" t="s">
        <v>1139</v>
      </c>
      <c r="E689" s="593">
        <f>(E685)*E680/1000</f>
        <v>0</v>
      </c>
      <c r="F689" s="593">
        <f>(F685)*F680/1000</f>
        <v>0</v>
      </c>
      <c r="G689" s="593">
        <f>(G685)*G680/1000</f>
        <v>0</v>
      </c>
      <c r="H689" s="595">
        <f>(H685)*H680/1000</f>
        <v>0</v>
      </c>
      <c r="I689" s="593">
        <f>(I685)*I680/1000</f>
        <v>0</v>
      </c>
      <c r="J689" s="611"/>
      <c r="K689" s="611"/>
    </row>
    <row r="690" spans="1:11" ht="38.5" customHeight="1" x14ac:dyDescent="0.35">
      <c r="A690" s="593" t="s">
        <v>238</v>
      </c>
      <c r="B690" s="565" t="s">
        <v>1776</v>
      </c>
      <c r="C690" s="564" t="s">
        <v>1789</v>
      </c>
      <c r="D690" s="593" t="s">
        <v>1139</v>
      </c>
      <c r="E690" s="593">
        <f>E686*E680/1000</f>
        <v>0</v>
      </c>
      <c r="F690" s="593">
        <f>F686*F680/1000</f>
        <v>0</v>
      </c>
      <c r="G690" s="593">
        <f>G686*G680/1000</f>
        <v>0</v>
      </c>
      <c r="H690" s="595">
        <f>H686*H680/1000</f>
        <v>0</v>
      </c>
      <c r="I690" s="593">
        <f>I686*I680/1000</f>
        <v>0</v>
      </c>
      <c r="J690" s="611"/>
      <c r="K690" s="611"/>
    </row>
    <row r="691" spans="1:11" x14ac:dyDescent="0.35">
      <c r="A691" s="593" t="s">
        <v>317</v>
      </c>
      <c r="B691" s="594" t="s">
        <v>1657</v>
      </c>
      <c r="C691" s="564" t="s">
        <v>1790</v>
      </c>
      <c r="D691" s="593" t="s">
        <v>1139</v>
      </c>
      <c r="E691" s="593">
        <f>E687*E680/1000</f>
        <v>0</v>
      </c>
      <c r="F691" s="593">
        <f>F687*F680/1000</f>
        <v>0</v>
      </c>
      <c r="G691" s="593">
        <f>G687*G680/1000</f>
        <v>0</v>
      </c>
      <c r="H691" s="595">
        <f>H687*H680/1000</f>
        <v>0</v>
      </c>
      <c r="I691" s="593">
        <f>I687*I680/1000</f>
        <v>0</v>
      </c>
      <c r="J691" s="611"/>
      <c r="K691" s="611"/>
    </row>
    <row r="692" spans="1:11" x14ac:dyDescent="0.35">
      <c r="A692" s="717" t="s">
        <v>319</v>
      </c>
      <c r="B692" s="836" t="s">
        <v>1779</v>
      </c>
      <c r="C692" s="832"/>
      <c r="D692" s="717" t="s">
        <v>1729</v>
      </c>
      <c r="E692" s="593">
        <f>E$681*E685*1000*E684*E682/100/10^6</f>
        <v>0</v>
      </c>
      <c r="F692" s="593">
        <f>F$681*F685*1000*F684*F682/100/10^6</f>
        <v>0</v>
      </c>
      <c r="G692" s="593">
        <f>G$681*G685*1000*G684*G682/100/10^6</f>
        <v>0</v>
      </c>
      <c r="H692" s="593">
        <f>H$681*H685*1000*H684*H682/100/10^6</f>
        <v>0</v>
      </c>
      <c r="I692" s="593">
        <f>I$681*I685*1000*I684*I682/100/10^6</f>
        <v>0</v>
      </c>
      <c r="J692" s="611"/>
      <c r="K692" s="611"/>
    </row>
    <row r="693" spans="1:11" x14ac:dyDescent="0.35">
      <c r="A693" s="717" t="s">
        <v>322</v>
      </c>
      <c r="B693" s="836" t="s">
        <v>1780</v>
      </c>
      <c r="C693" s="832"/>
      <c r="D693" s="717" t="s">
        <v>1729</v>
      </c>
      <c r="E693" s="593">
        <f>E681*E686*1000*E684*E682/100/10^6</f>
        <v>0</v>
      </c>
      <c r="F693" s="593">
        <f>F681*F686*1000*F684*F682/100/10^6</f>
        <v>0</v>
      </c>
      <c r="G693" s="593">
        <f>G681*G686*1000*G684*G682/100/10^6</f>
        <v>0</v>
      </c>
      <c r="H693" s="593">
        <f>H681*H686*1000*H684*H682/100/10^6</f>
        <v>0</v>
      </c>
      <c r="I693" s="593">
        <f>I681*I686*1000*I684*I682/100/10^6</f>
        <v>0</v>
      </c>
      <c r="J693" s="611"/>
      <c r="K693" s="611"/>
    </row>
    <row r="694" spans="1:11" x14ac:dyDescent="0.35">
      <c r="A694" s="717" t="s">
        <v>327</v>
      </c>
      <c r="B694" s="836" t="s">
        <v>1801</v>
      </c>
      <c r="C694" s="832"/>
      <c r="D694" s="717" t="s">
        <v>1729</v>
      </c>
      <c r="E694" s="593">
        <f>E681*E687*1000*E684*E682/100/10^6</f>
        <v>0</v>
      </c>
      <c r="F694" s="593">
        <f>F681*F687*1000*F684*F682/100/10^6</f>
        <v>0</v>
      </c>
      <c r="G694" s="593">
        <f>G681*G687*1000*G684*G682/100/10^6</f>
        <v>0</v>
      </c>
      <c r="H694" s="593">
        <f>H681*H687*1000*H684*H682/100/10^6</f>
        <v>0</v>
      </c>
      <c r="I694" s="593">
        <f>I681*I687*1000*I684*I682/100/10^6</f>
        <v>0</v>
      </c>
      <c r="J694" s="611"/>
      <c r="K694" s="611"/>
    </row>
    <row r="695" spans="1:11" x14ac:dyDescent="0.35">
      <c r="A695" s="543"/>
      <c r="B695" s="618"/>
      <c r="C695" s="580"/>
      <c r="D695" s="52"/>
      <c r="E695" s="52"/>
      <c r="F695" s="52"/>
      <c r="G695" s="20"/>
      <c r="H695" s="785"/>
      <c r="I695" s="32"/>
      <c r="J695" s="32"/>
      <c r="K695" s="32"/>
    </row>
    <row r="696" spans="1:11" x14ac:dyDescent="0.35">
      <c r="A696" s="590" t="s">
        <v>1802</v>
      </c>
      <c r="B696" s="591" t="s">
        <v>1803</v>
      </c>
      <c r="C696" s="592"/>
      <c r="D696" s="259"/>
      <c r="E696" s="259"/>
      <c r="F696" s="259"/>
      <c r="G696" s="256"/>
      <c r="H696" s="789"/>
      <c r="I696" s="586"/>
      <c r="J696" s="586"/>
      <c r="K696" s="586"/>
    </row>
    <row r="697" spans="1:11" outlineLevel="1" x14ac:dyDescent="0.35">
      <c r="A697" s="52" t="s">
        <v>110</v>
      </c>
      <c r="B697" s="3" t="s">
        <v>1627</v>
      </c>
      <c r="C697" s="839" t="s">
        <v>1628</v>
      </c>
      <c r="D697" s="52" t="s">
        <v>1629</v>
      </c>
      <c r="E697" s="561"/>
      <c r="F697" s="561"/>
      <c r="G697" s="561"/>
      <c r="H697" s="485">
        <f t="shared" ref="H697:H707" si="46">IF(K$8=1,E697,IF(K$8=2,(E697+F697)/2,(E697+F697+G697)/3))</f>
        <v>0</v>
      </c>
      <c r="I697" s="561"/>
      <c r="J697" s="561"/>
      <c r="K697" s="561"/>
    </row>
    <row r="698" spans="1:11" outlineLevel="1" x14ac:dyDescent="0.35">
      <c r="A698" s="52" t="s">
        <v>115</v>
      </c>
      <c r="B698" s="3" t="s">
        <v>1761</v>
      </c>
      <c r="C698" s="2" t="s">
        <v>1709</v>
      </c>
      <c r="D698" s="52" t="s">
        <v>1632</v>
      </c>
      <c r="E698" s="561"/>
      <c r="F698" s="561"/>
      <c r="G698" s="561"/>
      <c r="H698" s="485">
        <f t="shared" si="46"/>
        <v>0</v>
      </c>
      <c r="I698" s="561"/>
      <c r="J698" s="928" t="s">
        <v>1804</v>
      </c>
      <c r="K698" s="520"/>
    </row>
    <row r="699" spans="1:11" outlineLevel="1" x14ac:dyDescent="0.35">
      <c r="A699" s="52" t="s">
        <v>118</v>
      </c>
      <c r="B699" s="3" t="s">
        <v>1784</v>
      </c>
      <c r="C699" s="2" t="s">
        <v>1709</v>
      </c>
      <c r="D699" s="52" t="s">
        <v>1632</v>
      </c>
      <c r="E699" s="609">
        <f>0.95*E698</f>
        <v>0</v>
      </c>
      <c r="F699" s="609">
        <f>0.95*F698</f>
        <v>0</v>
      </c>
      <c r="G699" s="609">
        <f>0.95*G698</f>
        <v>0</v>
      </c>
      <c r="H699" s="485">
        <f t="shared" si="46"/>
        <v>0</v>
      </c>
      <c r="I699" s="609">
        <f>0.95*I698</f>
        <v>0</v>
      </c>
      <c r="J699" s="32"/>
      <c r="K699" s="520"/>
    </row>
    <row r="700" spans="1:11" outlineLevel="1" x14ac:dyDescent="0.35">
      <c r="A700" s="485" t="s">
        <v>121</v>
      </c>
      <c r="B700" s="889" t="s">
        <v>1763</v>
      </c>
      <c r="C700" s="485" t="s">
        <v>56</v>
      </c>
      <c r="D700" s="485" t="s">
        <v>1057</v>
      </c>
      <c r="E700" s="485"/>
      <c r="F700" s="485"/>
      <c r="G700" s="485"/>
      <c r="H700" s="485">
        <f t="shared" si="46"/>
        <v>0</v>
      </c>
      <c r="I700" s="32"/>
      <c r="J700" s="32"/>
      <c r="K700" s="520"/>
    </row>
    <row r="701" spans="1:11" outlineLevel="1" x14ac:dyDescent="0.35">
      <c r="A701" s="52" t="s">
        <v>124</v>
      </c>
      <c r="B701" s="3" t="s">
        <v>1764</v>
      </c>
      <c r="C701" s="2" t="s">
        <v>1696</v>
      </c>
      <c r="D701" s="52" t="s">
        <v>1765</v>
      </c>
      <c r="E701" s="32"/>
      <c r="F701" s="561"/>
      <c r="G701" s="561"/>
      <c r="H701" s="485">
        <f t="shared" si="46"/>
        <v>0</v>
      </c>
      <c r="I701" s="561"/>
      <c r="J701" s="561"/>
      <c r="K701" s="520"/>
    </row>
    <row r="702" spans="1:11" ht="29" customHeight="1" outlineLevel="1" x14ac:dyDescent="0.35">
      <c r="A702" s="52" t="s">
        <v>162</v>
      </c>
      <c r="B702" s="3" t="s">
        <v>1805</v>
      </c>
      <c r="C702" s="2" t="s">
        <v>1696</v>
      </c>
      <c r="D702" s="52" t="s">
        <v>1767</v>
      </c>
      <c r="E702" s="561"/>
      <c r="F702" s="561"/>
      <c r="G702" s="561"/>
      <c r="H702" s="485">
        <f t="shared" si="46"/>
        <v>0</v>
      </c>
      <c r="I702" s="561"/>
      <c r="J702" s="926" t="s">
        <v>1806</v>
      </c>
      <c r="K702" s="520"/>
    </row>
    <row r="703" spans="1:11" outlineLevel="1" x14ac:dyDescent="0.35">
      <c r="A703" s="812" t="s">
        <v>202</v>
      </c>
      <c r="B703" s="813" t="s">
        <v>1807</v>
      </c>
      <c r="C703" s="814" t="s">
        <v>1474</v>
      </c>
      <c r="D703" s="814" t="s">
        <v>1671</v>
      </c>
      <c r="E703" s="617">
        <f>'Emission Factor &amp; GWP Backup'!$E$13</f>
        <v>0.31024187999999475</v>
      </c>
      <c r="F703" s="617">
        <f>'Emission Factor &amp; GWP Backup'!$E$13</f>
        <v>0.31024187999999475</v>
      </c>
      <c r="G703" s="617">
        <f>'Emission Factor &amp; GWP Backup'!$E$13</f>
        <v>0.31024187999999475</v>
      </c>
      <c r="H703" s="485">
        <f t="shared" si="46"/>
        <v>0.31024187999999475</v>
      </c>
      <c r="I703" s="617">
        <f>'Emission Factor &amp; GWP Backup'!$E$13</f>
        <v>0.31024187999999475</v>
      </c>
      <c r="J703" s="877"/>
      <c r="K703" s="520"/>
    </row>
    <row r="704" spans="1:11" outlineLevel="1" x14ac:dyDescent="0.35">
      <c r="A704" s="52" t="s">
        <v>203</v>
      </c>
      <c r="B704" s="3" t="s">
        <v>1769</v>
      </c>
      <c r="C704" s="2" t="s">
        <v>1696</v>
      </c>
      <c r="D704" s="52" t="s">
        <v>1765</v>
      </c>
      <c r="E704" s="561"/>
      <c r="F704" s="561"/>
      <c r="G704" s="561"/>
      <c r="H704" s="485">
        <f t="shared" si="46"/>
        <v>0</v>
      </c>
      <c r="I704" s="561"/>
      <c r="J704" s="570" t="s">
        <v>1798</v>
      </c>
      <c r="K704" s="520"/>
    </row>
    <row r="705" spans="1:11" outlineLevel="1" x14ac:dyDescent="0.35">
      <c r="A705" s="52" t="s">
        <v>225</v>
      </c>
      <c r="B705" s="3" t="s">
        <v>1770</v>
      </c>
      <c r="C705" s="2" t="s">
        <v>1696</v>
      </c>
      <c r="D705" s="52" t="s">
        <v>1765</v>
      </c>
      <c r="E705" s="561"/>
      <c r="F705" s="561"/>
      <c r="G705" s="561"/>
      <c r="H705" s="485">
        <f t="shared" si="46"/>
        <v>0</v>
      </c>
      <c r="I705" s="561"/>
      <c r="J705" s="570" t="s">
        <v>1798</v>
      </c>
      <c r="K705" s="561"/>
    </row>
    <row r="706" spans="1:11" ht="29" customHeight="1" outlineLevel="1" x14ac:dyDescent="0.35">
      <c r="A706" s="52" t="s">
        <v>229</v>
      </c>
      <c r="B706" s="3" t="s">
        <v>1808</v>
      </c>
      <c r="C706" s="2" t="s">
        <v>1696</v>
      </c>
      <c r="D706" s="52" t="s">
        <v>1765</v>
      </c>
      <c r="E706" s="561"/>
      <c r="F706" s="561"/>
      <c r="G706" s="561"/>
      <c r="H706" s="485">
        <f t="shared" si="46"/>
        <v>0</v>
      </c>
      <c r="I706" s="587"/>
      <c r="J706" s="570" t="s">
        <v>1798</v>
      </c>
      <c r="K706" s="619"/>
    </row>
    <row r="707" spans="1:11" outlineLevel="1" x14ac:dyDescent="0.35">
      <c r="A707" s="52" t="s">
        <v>233</v>
      </c>
      <c r="B707" s="3" t="s">
        <v>1740</v>
      </c>
      <c r="C707" s="2" t="s">
        <v>1696</v>
      </c>
      <c r="D707" s="52" t="s">
        <v>1765</v>
      </c>
      <c r="E707" s="561"/>
      <c r="F707" s="561"/>
      <c r="G707" s="561"/>
      <c r="H707" s="485">
        <f t="shared" si="46"/>
        <v>0</v>
      </c>
      <c r="I707" s="561"/>
      <c r="J707" s="570" t="s">
        <v>1798</v>
      </c>
      <c r="K707" s="561"/>
    </row>
    <row r="708" spans="1:11" outlineLevel="1" x14ac:dyDescent="0.35">
      <c r="A708" s="593" t="s">
        <v>238</v>
      </c>
      <c r="B708" s="594" t="s">
        <v>1809</v>
      </c>
      <c r="C708" s="564" t="s">
        <v>1810</v>
      </c>
      <c r="D708" s="593" t="s">
        <v>1018</v>
      </c>
      <c r="E708" s="595">
        <f>(E704+E705+E707)*E702</f>
        <v>0</v>
      </c>
      <c r="F708" s="593">
        <f>(F704+F705+F707)*F702</f>
        <v>0</v>
      </c>
      <c r="G708" s="593">
        <f>(G704+G705+G707)*G702</f>
        <v>0</v>
      </c>
      <c r="H708" s="595">
        <f>(H704+H705+H707)*H702</f>
        <v>0</v>
      </c>
      <c r="I708" s="593">
        <f>(I704+I705+I707)*I702</f>
        <v>0</v>
      </c>
      <c r="J708" s="611"/>
      <c r="K708" s="611"/>
    </row>
    <row r="709" spans="1:11" ht="29.5" customHeight="1" outlineLevel="1" x14ac:dyDescent="0.35">
      <c r="A709" s="593" t="s">
        <v>317</v>
      </c>
      <c r="B709" s="565" t="s">
        <v>1774</v>
      </c>
      <c r="C709" s="564" t="s">
        <v>1775</v>
      </c>
      <c r="D709" s="593" t="s">
        <v>1139</v>
      </c>
      <c r="E709" s="595">
        <f>E704*E702*E698/1000</f>
        <v>0</v>
      </c>
      <c r="F709" s="593">
        <f>F704*F702*F698/1000</f>
        <v>0</v>
      </c>
      <c r="G709" s="593">
        <f>G704*G702*G698/1000</f>
        <v>0</v>
      </c>
      <c r="H709" s="595">
        <f>H704*H702*H698/1000</f>
        <v>0</v>
      </c>
      <c r="I709" s="593">
        <f>I704*I702*I698/1000</f>
        <v>0</v>
      </c>
      <c r="J709" s="611"/>
      <c r="K709" s="611"/>
    </row>
    <row r="710" spans="1:11" ht="51" customHeight="1" outlineLevel="1" x14ac:dyDescent="0.35">
      <c r="A710" s="593" t="s">
        <v>319</v>
      </c>
      <c r="B710" s="565" t="s">
        <v>1811</v>
      </c>
      <c r="C710" s="564" t="s">
        <v>1812</v>
      </c>
      <c r="D710" s="593" t="s">
        <v>1139</v>
      </c>
      <c r="E710" s="595">
        <f>E706*E702*E698/1000</f>
        <v>0</v>
      </c>
      <c r="F710" s="593">
        <f>F706*F702*F698/1000</f>
        <v>0</v>
      </c>
      <c r="G710" s="593">
        <f>G706*G702*G698/1000</f>
        <v>0</v>
      </c>
      <c r="H710" s="595">
        <f>H706*H702*H698/1000</f>
        <v>0</v>
      </c>
      <c r="I710" s="593">
        <f>I706*I702*I698/1000</f>
        <v>0</v>
      </c>
      <c r="J710" s="611"/>
      <c r="K710" s="611"/>
    </row>
    <row r="711" spans="1:11" ht="31.4" customHeight="1" outlineLevel="1" x14ac:dyDescent="0.35">
      <c r="A711" s="593" t="s">
        <v>322</v>
      </c>
      <c r="B711" s="565" t="s">
        <v>1776</v>
      </c>
      <c r="C711" s="564" t="s">
        <v>1777</v>
      </c>
      <c r="D711" s="593" t="s">
        <v>1139</v>
      </c>
      <c r="E711" s="593">
        <f>E705*E702*E698/1000</f>
        <v>0</v>
      </c>
      <c r="F711" s="593">
        <f>F705*F702*F698/1000</f>
        <v>0</v>
      </c>
      <c r="G711" s="593">
        <f>G705*G702*G698/1000</f>
        <v>0</v>
      </c>
      <c r="H711" s="595">
        <f>H705*H702*H698/1000</f>
        <v>0</v>
      </c>
      <c r="I711" s="593">
        <f>I705*I702*I698/1000</f>
        <v>0</v>
      </c>
      <c r="J711" s="611"/>
      <c r="K711" s="611"/>
    </row>
    <row r="712" spans="1:11" outlineLevel="1" x14ac:dyDescent="0.35">
      <c r="A712" s="593" t="s">
        <v>327</v>
      </c>
      <c r="B712" s="594" t="s">
        <v>1657</v>
      </c>
      <c r="C712" s="564" t="s">
        <v>1813</v>
      </c>
      <c r="D712" s="593" t="s">
        <v>1139</v>
      </c>
      <c r="E712" s="593">
        <f>E707*E702*E698/1000</f>
        <v>0</v>
      </c>
      <c r="F712" s="593">
        <f>F707*F702*F698/1000</f>
        <v>0</v>
      </c>
      <c r="G712" s="593">
        <f>G707*G702*G698/1000</f>
        <v>0</v>
      </c>
      <c r="H712" s="595">
        <f>H707*H702*H698/1000</f>
        <v>0</v>
      </c>
      <c r="I712" s="593">
        <f>I707*I702*I698/1000</f>
        <v>0</v>
      </c>
      <c r="J712" s="611"/>
      <c r="K712" s="611"/>
    </row>
    <row r="713" spans="1:11" outlineLevel="1" x14ac:dyDescent="0.35">
      <c r="A713" s="717" t="s">
        <v>332</v>
      </c>
      <c r="B713" s="836" t="s">
        <v>1779</v>
      </c>
      <c r="C713" s="832"/>
      <c r="D713" s="717" t="s">
        <v>1675</v>
      </c>
      <c r="E713" s="595">
        <f>E704*1000*E702*E699*E703*E700/100/10^6</f>
        <v>0</v>
      </c>
      <c r="F713" s="595">
        <f>F704*1000*F702*F699*F703*F700/100/10^6</f>
        <v>0</v>
      </c>
      <c r="G713" s="595">
        <f>G704*1000*G702*G699*G703*G700/100/10^6</f>
        <v>0</v>
      </c>
      <c r="H713" s="595">
        <f>H704*1000*H702*H699*H703*H700/100/10^6</f>
        <v>0</v>
      </c>
      <c r="I713" s="595">
        <f>I704*1000*I702*I699*I703*I700/100/10^6</f>
        <v>0</v>
      </c>
      <c r="J713" s="628"/>
      <c r="K713" s="611"/>
    </row>
    <row r="714" spans="1:11" outlineLevel="1" x14ac:dyDescent="0.35">
      <c r="A714" s="717" t="s">
        <v>337</v>
      </c>
      <c r="B714" s="836" t="s">
        <v>1780</v>
      </c>
      <c r="C714" s="832"/>
      <c r="D714" s="717" t="s">
        <v>1675</v>
      </c>
      <c r="E714" s="595">
        <f>E705*1000*E702*E699*E703*E700/100/10^6</f>
        <v>0</v>
      </c>
      <c r="F714" s="595">
        <f>F705*1000*F702*F699*F703*F700/100/10^6</f>
        <v>0</v>
      </c>
      <c r="G714" s="595">
        <f>G705*1000*G702*G699*G703*G700/100/10^6</f>
        <v>0</v>
      </c>
      <c r="H714" s="595">
        <f>H705*1000*H702*H699*H703*H700/100/10^6</f>
        <v>0</v>
      </c>
      <c r="I714" s="595">
        <f>I705*1000*I702*I699*I703*I700/100/10^6</f>
        <v>0</v>
      </c>
      <c r="J714" s="628"/>
      <c r="K714" s="611"/>
    </row>
    <row r="715" spans="1:11" outlineLevel="1" x14ac:dyDescent="0.35">
      <c r="A715" s="717" t="s">
        <v>340</v>
      </c>
      <c r="B715" s="836" t="s">
        <v>1814</v>
      </c>
      <c r="C715" s="832"/>
      <c r="D715" s="717" t="s">
        <v>1675</v>
      </c>
      <c r="E715" s="595">
        <f>E706*1000*E703*E700*E702*E699/100/10^6</f>
        <v>0</v>
      </c>
      <c r="F715" s="595">
        <f>F706*1000*F703*F700*F702*F699/100/10^6</f>
        <v>0</v>
      </c>
      <c r="G715" s="595">
        <f>G706*1000*G703*G700*G702*G699/100/10^6</f>
        <v>0</v>
      </c>
      <c r="H715" s="595">
        <f>H706*1000*H703*H700*H702*H699/100/10^6</f>
        <v>0</v>
      </c>
      <c r="I715" s="595">
        <f>I706*1000*I703*I700*I702*I699/100/10^6</f>
        <v>0</v>
      </c>
      <c r="J715" s="628"/>
      <c r="K715" s="611"/>
    </row>
    <row r="716" spans="1:11" outlineLevel="1" x14ac:dyDescent="0.35">
      <c r="A716" s="717" t="s">
        <v>344</v>
      </c>
      <c r="B716" s="836" t="s">
        <v>1815</v>
      </c>
      <c r="C716" s="832"/>
      <c r="D716" s="717" t="s">
        <v>1675</v>
      </c>
      <c r="E716" s="595">
        <f>E707*1000*E702*E699*E703*E700/100/10^6</f>
        <v>0</v>
      </c>
      <c r="F716" s="595">
        <f>F707*1000*F702*F699*F703*F700/100/10^6</f>
        <v>0</v>
      </c>
      <c r="G716" s="595">
        <f>G707*1000*G702*G699*G703*G700/100/10^6</f>
        <v>0</v>
      </c>
      <c r="H716" s="595">
        <f>H707*1000*H702*H699*H703*H700/100/10^6</f>
        <v>0</v>
      </c>
      <c r="I716" s="595">
        <f>I707*1000*I702*I699*I703*I700/100/10^6</f>
        <v>0</v>
      </c>
      <c r="J716" s="628"/>
      <c r="K716" s="611"/>
    </row>
    <row r="717" spans="1:11" x14ac:dyDescent="0.35">
      <c r="A717" s="52"/>
      <c r="B717" s="3"/>
      <c r="C717" s="2"/>
      <c r="D717" s="52"/>
      <c r="E717" s="52"/>
      <c r="F717" s="52"/>
      <c r="G717" s="20"/>
      <c r="H717" s="785"/>
      <c r="I717" s="32"/>
      <c r="J717" s="32"/>
      <c r="K717" s="32"/>
    </row>
    <row r="718" spans="1:11" x14ac:dyDescent="0.35">
      <c r="A718" s="590" t="s">
        <v>1816</v>
      </c>
      <c r="B718" s="591" t="s">
        <v>1817</v>
      </c>
      <c r="C718" s="592"/>
      <c r="D718" s="259"/>
      <c r="E718" s="259"/>
      <c r="F718" s="259"/>
      <c r="G718" s="256"/>
      <c r="H718" s="789"/>
      <c r="I718" s="586"/>
      <c r="J718" s="586"/>
      <c r="K718" s="586"/>
    </row>
    <row r="719" spans="1:11" outlineLevel="1" x14ac:dyDescent="0.35">
      <c r="A719" s="52" t="s">
        <v>110</v>
      </c>
      <c r="B719" s="3" t="s">
        <v>1627</v>
      </c>
      <c r="C719" s="839" t="s">
        <v>1628</v>
      </c>
      <c r="D719" s="52" t="s">
        <v>1629</v>
      </c>
      <c r="E719" s="613"/>
      <c r="F719" s="561"/>
      <c r="G719" s="561"/>
      <c r="H719" s="485">
        <f t="shared" ref="H719:H724" si="47">IF(K$8=1,E719,IF(K$8=2,(E719+F719)/2,(E719+F719+G719)/3))</f>
        <v>0</v>
      </c>
      <c r="I719" s="561"/>
      <c r="J719" s="561"/>
      <c r="K719" s="32"/>
    </row>
    <row r="720" spans="1:11" ht="14.25" customHeight="1" outlineLevel="1" x14ac:dyDescent="0.35">
      <c r="A720" s="52" t="s">
        <v>115</v>
      </c>
      <c r="B720" s="3" t="s">
        <v>1761</v>
      </c>
      <c r="C720" s="2" t="s">
        <v>1709</v>
      </c>
      <c r="D720" s="52" t="s">
        <v>1632</v>
      </c>
      <c r="E720" s="561"/>
      <c r="F720" s="561"/>
      <c r="G720" s="561"/>
      <c r="H720" s="485">
        <f t="shared" si="47"/>
        <v>0</v>
      </c>
      <c r="I720" s="561"/>
      <c r="J720" s="561"/>
      <c r="K720" s="32"/>
    </row>
    <row r="721" spans="1:11" s="620" customFormat="1" ht="14.25" customHeight="1" outlineLevel="1" x14ac:dyDescent="0.35">
      <c r="A721" s="52" t="s">
        <v>118</v>
      </c>
      <c r="B721" s="3" t="s">
        <v>1784</v>
      </c>
      <c r="C721" s="2" t="s">
        <v>1709</v>
      </c>
      <c r="D721" s="52" t="s">
        <v>1632</v>
      </c>
      <c r="E721" s="609">
        <f>0.95*E720</f>
        <v>0</v>
      </c>
      <c r="F721" s="609">
        <f>0.95*F720</f>
        <v>0</v>
      </c>
      <c r="G721" s="609">
        <f>0.95*G720</f>
        <v>0</v>
      </c>
      <c r="H721" s="485">
        <f t="shared" si="47"/>
        <v>0</v>
      </c>
      <c r="I721" s="609">
        <f>0.95*I720</f>
        <v>0</v>
      </c>
      <c r="J721" s="561"/>
      <c r="K721" s="32"/>
    </row>
    <row r="722" spans="1:11" s="620" customFormat="1" ht="14.25" customHeight="1" outlineLevel="1" x14ac:dyDescent="0.35">
      <c r="A722" s="485" t="s">
        <v>121</v>
      </c>
      <c r="B722" s="889" t="s">
        <v>1763</v>
      </c>
      <c r="C722" s="485" t="s">
        <v>56</v>
      </c>
      <c r="D722" s="485" t="s">
        <v>1057</v>
      </c>
      <c r="E722" s="485"/>
      <c r="F722" s="485"/>
      <c r="G722" s="485"/>
      <c r="H722" s="485">
        <f t="shared" si="47"/>
        <v>0</v>
      </c>
      <c r="I722" s="561"/>
      <c r="J722" s="561"/>
      <c r="K722" s="32"/>
    </row>
    <row r="723" spans="1:11" outlineLevel="1" x14ac:dyDescent="0.35">
      <c r="A723" s="52" t="s">
        <v>121</v>
      </c>
      <c r="B723" s="3" t="s">
        <v>1764</v>
      </c>
      <c r="C723" s="2" t="s">
        <v>1696</v>
      </c>
      <c r="D723" s="52" t="s">
        <v>1765</v>
      </c>
      <c r="E723" s="561"/>
      <c r="F723" s="561"/>
      <c r="G723" s="561"/>
      <c r="H723" s="485">
        <f t="shared" si="47"/>
        <v>0</v>
      </c>
      <c r="I723" s="561"/>
      <c r="J723" s="561"/>
      <c r="K723" s="32"/>
    </row>
    <row r="724" spans="1:11" outlineLevel="1" x14ac:dyDescent="0.35">
      <c r="A724" s="52" t="s">
        <v>124</v>
      </c>
      <c r="B724" s="3" t="s">
        <v>1805</v>
      </c>
      <c r="C724" s="2" t="s">
        <v>1696</v>
      </c>
      <c r="D724" s="52" t="s">
        <v>1767</v>
      </c>
      <c r="E724" s="561"/>
      <c r="F724" s="561"/>
      <c r="G724" s="561"/>
      <c r="H724" s="485">
        <f t="shared" si="47"/>
        <v>0</v>
      </c>
      <c r="I724" s="561"/>
      <c r="J724" s="561"/>
      <c r="K724" s="32"/>
    </row>
    <row r="725" spans="1:11" s="620" customFormat="1" outlineLevel="1" x14ac:dyDescent="0.35">
      <c r="A725" s="812" t="s">
        <v>162</v>
      </c>
      <c r="B725" s="813" t="s">
        <v>1701</v>
      </c>
      <c r="C725" s="814" t="s">
        <v>1474</v>
      </c>
      <c r="D725" s="812" t="s">
        <v>1671</v>
      </c>
      <c r="E725" s="721">
        <f>'Emission Factor &amp; GWP Backup'!$E$13</f>
        <v>0.31024187999999475</v>
      </c>
      <c r="F725" s="617">
        <f>'Emission Factor &amp; GWP Backup'!$E$13</f>
        <v>0.31024187999999475</v>
      </c>
      <c r="G725" s="617">
        <f>'Emission Factor &amp; GWP Backup'!$E$13</f>
        <v>0.31024187999999475</v>
      </c>
      <c r="H725" s="617">
        <f>'Emission Factor &amp; GWP Backup'!$E$13</f>
        <v>0.31024187999999475</v>
      </c>
      <c r="I725" s="617">
        <f>'Emission Factor &amp; GWP Backup'!$E$13</f>
        <v>0.31024187999999475</v>
      </c>
      <c r="J725" s="877"/>
      <c r="K725" s="32"/>
    </row>
    <row r="726" spans="1:11" outlineLevel="1" x14ac:dyDescent="0.35">
      <c r="A726" s="52" t="s">
        <v>202</v>
      </c>
      <c r="B726" s="3" t="s">
        <v>1769</v>
      </c>
      <c r="C726" s="2" t="s">
        <v>1696</v>
      </c>
      <c r="D726" s="52" t="s">
        <v>1765</v>
      </c>
      <c r="E726" s="561"/>
      <c r="F726" s="561"/>
      <c r="G726" s="561"/>
      <c r="H726" s="485">
        <f>IF(K$8=1,E726,IF(K$8=2,(E726+F726)/2,(E726+F726+G726)/3))</f>
        <v>0</v>
      </c>
      <c r="I726" s="561"/>
      <c r="J726" s="561"/>
      <c r="K726" s="32"/>
    </row>
    <row r="727" spans="1:11" outlineLevel="1" x14ac:dyDescent="0.35">
      <c r="A727" s="52" t="s">
        <v>203</v>
      </c>
      <c r="B727" s="3" t="s">
        <v>1770</v>
      </c>
      <c r="C727" s="2" t="s">
        <v>1696</v>
      </c>
      <c r="D727" s="52" t="s">
        <v>1765</v>
      </c>
      <c r="E727" s="561"/>
      <c r="F727" s="561"/>
      <c r="G727" s="561"/>
      <c r="H727" s="485">
        <f>IF(K$8=1,E727,IF(K$8=2,(E727+F727)/2,(E727+F727+G727)/3))</f>
        <v>0</v>
      </c>
      <c r="I727" s="561"/>
      <c r="J727" s="926" t="s">
        <v>1818</v>
      </c>
      <c r="K727" s="32"/>
    </row>
    <row r="728" spans="1:11" outlineLevel="1" x14ac:dyDescent="0.35">
      <c r="A728" s="52" t="s">
        <v>225</v>
      </c>
      <c r="B728" s="3" t="s">
        <v>1819</v>
      </c>
      <c r="C728" s="2" t="s">
        <v>1696</v>
      </c>
      <c r="D728" s="52" t="s">
        <v>1765</v>
      </c>
      <c r="E728" s="561"/>
      <c r="F728" s="561"/>
      <c r="G728" s="561"/>
      <c r="H728" s="485">
        <f>IF(K$8=1,E728,IF(K$8=2,(E728+F728)/2,(E728+F728+G728)/3))</f>
        <v>0</v>
      </c>
      <c r="I728" s="561"/>
      <c r="J728" s="561"/>
      <c r="K728" s="32"/>
    </row>
    <row r="729" spans="1:11" outlineLevel="1" x14ac:dyDescent="0.35">
      <c r="A729" s="52" t="s">
        <v>229</v>
      </c>
      <c r="B729" s="3" t="s">
        <v>1740</v>
      </c>
      <c r="C729" s="2" t="s">
        <v>1696</v>
      </c>
      <c r="D729" s="52" t="s">
        <v>1765</v>
      </c>
      <c r="E729" s="561"/>
      <c r="F729" s="561">
        <f>74+255.347</f>
        <v>329.34699999999998</v>
      </c>
      <c r="G729" s="561"/>
      <c r="H729" s="485">
        <f>IF(K$8=1,E729,IF(K$8=2,(E729+F729)/2,(E729+F729+G729)/3))</f>
        <v>109.78233333333333</v>
      </c>
      <c r="I729" s="561"/>
      <c r="J729" s="926" t="s">
        <v>1818</v>
      </c>
      <c r="K729" s="32"/>
    </row>
    <row r="730" spans="1:11" outlineLevel="1" x14ac:dyDescent="0.35">
      <c r="A730" s="593" t="s">
        <v>233</v>
      </c>
      <c r="B730" s="594" t="s">
        <v>1820</v>
      </c>
      <c r="C730" s="564" t="s">
        <v>1810</v>
      </c>
      <c r="D730" s="593" t="s">
        <v>1018</v>
      </c>
      <c r="E730" s="593">
        <f>(E726+E727+E729)*E724</f>
        <v>0</v>
      </c>
      <c r="F730" s="593">
        <f>(F726+F727+F729)*F724</f>
        <v>0</v>
      </c>
      <c r="G730" s="593">
        <f>(G726+G727+G729)*G724</f>
        <v>0</v>
      </c>
      <c r="H730" s="595">
        <f>(H726+H727+H729)*H724</f>
        <v>0</v>
      </c>
      <c r="I730" s="593">
        <f>(I726+I727+I729)*I724</f>
        <v>0</v>
      </c>
      <c r="J730" s="611"/>
      <c r="K730" s="611"/>
    </row>
    <row r="731" spans="1:11" ht="32.15" customHeight="1" outlineLevel="1" x14ac:dyDescent="0.35">
      <c r="A731" s="593" t="s">
        <v>238</v>
      </c>
      <c r="B731" s="565" t="s">
        <v>1774</v>
      </c>
      <c r="C731" s="564" t="s">
        <v>1775</v>
      </c>
      <c r="D731" s="593" t="s">
        <v>1139</v>
      </c>
      <c r="E731" s="593">
        <f>E726*E724*E720/1000</f>
        <v>0</v>
      </c>
      <c r="F731" s="593">
        <f>F726*F724*F720/1000</f>
        <v>0</v>
      </c>
      <c r="G731" s="593">
        <f>G726*G724*G720/1000</f>
        <v>0</v>
      </c>
      <c r="H731" s="595">
        <f>H726*H724*H720/1000</f>
        <v>0</v>
      </c>
      <c r="I731" s="593">
        <f>I726*I724*I720/1000</f>
        <v>0</v>
      </c>
      <c r="J731" s="611"/>
      <c r="K731" s="611"/>
    </row>
    <row r="732" spans="1:11" ht="29" customHeight="1" outlineLevel="1" x14ac:dyDescent="0.35">
      <c r="A732" s="593" t="s">
        <v>317</v>
      </c>
      <c r="B732" s="565" t="s">
        <v>1811</v>
      </c>
      <c r="C732" s="564" t="s">
        <v>1812</v>
      </c>
      <c r="D732" s="593" t="s">
        <v>1139</v>
      </c>
      <c r="E732" s="593">
        <f>E728*E724*E720/1000</f>
        <v>0</v>
      </c>
      <c r="F732" s="593">
        <f>F728*F724*F720/1000</f>
        <v>0</v>
      </c>
      <c r="G732" s="593">
        <f>G728*G724*G720/1000</f>
        <v>0</v>
      </c>
      <c r="H732" s="593">
        <f>H728*H724*H720/1000</f>
        <v>0</v>
      </c>
      <c r="I732" s="593">
        <f>I728*I724*I720/1000</f>
        <v>0</v>
      </c>
      <c r="J732" s="611"/>
      <c r="K732" s="611"/>
    </row>
    <row r="733" spans="1:11" outlineLevel="1" x14ac:dyDescent="0.35">
      <c r="A733" s="593" t="s">
        <v>319</v>
      </c>
      <c r="B733" s="565" t="s">
        <v>1776</v>
      </c>
      <c r="C733" s="564"/>
      <c r="D733" s="593" t="s">
        <v>1139</v>
      </c>
      <c r="E733" s="593">
        <f>E728*E726*E722/1000</f>
        <v>0</v>
      </c>
      <c r="F733" s="593">
        <f>F728*F726*F722/1000</f>
        <v>0</v>
      </c>
      <c r="G733" s="593">
        <f>G728*G726*G722/1000</f>
        <v>0</v>
      </c>
      <c r="H733" s="593">
        <f>H728*H726*H722/1000</f>
        <v>0</v>
      </c>
      <c r="I733" s="593">
        <f>I728*I726*I722/1000</f>
        <v>0</v>
      </c>
      <c r="J733" s="875"/>
      <c r="K733" s="611"/>
    </row>
    <row r="734" spans="1:11" outlineLevel="1" x14ac:dyDescent="0.35">
      <c r="A734" s="593" t="s">
        <v>322</v>
      </c>
      <c r="B734" s="594" t="s">
        <v>1657</v>
      </c>
      <c r="C734" s="564" t="s">
        <v>1813</v>
      </c>
      <c r="D734" s="593" t="s">
        <v>1139</v>
      </c>
      <c r="E734" s="593">
        <f>E729*E724*E720/1000</f>
        <v>0</v>
      </c>
      <c r="F734" s="593">
        <f>F729*F724*F720/1000</f>
        <v>0</v>
      </c>
      <c r="G734" s="594">
        <f>G729*G724*G720/1000</f>
        <v>0</v>
      </c>
      <c r="H734" s="595">
        <f>H729*H724*H720/1000</f>
        <v>0</v>
      </c>
      <c r="I734" s="593">
        <f>I729*I724*I720/1000</f>
        <v>0</v>
      </c>
      <c r="J734" s="611"/>
      <c r="K734" s="611"/>
    </row>
    <row r="735" spans="1:11" outlineLevel="1" x14ac:dyDescent="0.35">
      <c r="A735" s="717" t="s">
        <v>327</v>
      </c>
      <c r="B735" s="836" t="s">
        <v>1779</v>
      </c>
      <c r="C735" s="832"/>
      <c r="D735" s="717" t="s">
        <v>1675</v>
      </c>
      <c r="E735" s="593">
        <f>(E726*1000*E724)*E721*E725*E722/100/10^6</f>
        <v>0</v>
      </c>
      <c r="F735" s="593">
        <f>(F726*1000*F724)*F721*F725*F722/100/10^6</f>
        <v>0</v>
      </c>
      <c r="G735" s="593">
        <f>(G726*1000*G724)*G721*G725*G722/100/10^6</f>
        <v>0</v>
      </c>
      <c r="H735" s="593">
        <f>(H726*1000*H724)*H721*H725*H722/100/10^6</f>
        <v>0</v>
      </c>
      <c r="I735" s="593">
        <f>(I726*1000*I724)*I721*I725*I722/100/10^6</f>
        <v>0</v>
      </c>
      <c r="J735" s="611"/>
      <c r="K735" s="611"/>
    </row>
    <row r="736" spans="1:11" outlineLevel="1" x14ac:dyDescent="0.35">
      <c r="A736" s="717" t="s">
        <v>332</v>
      </c>
      <c r="B736" s="836" t="s">
        <v>1780</v>
      </c>
      <c r="C736" s="832"/>
      <c r="D736" s="717" t="s">
        <v>1675</v>
      </c>
      <c r="E736" s="593">
        <f>(E727*1000*E724)*E721*E725*E722/100/10^6</f>
        <v>0</v>
      </c>
      <c r="F736" s="593">
        <f>(F727*1000*F724)*F721*F725*F722/100/10^6</f>
        <v>0</v>
      </c>
      <c r="G736" s="593">
        <f>(G727*1000*G724)*G721*G725*G722/100/10^6</f>
        <v>0</v>
      </c>
      <c r="H736" s="593">
        <f>(H727*1000*H724)*H721*H725*H722/100/10^6</f>
        <v>0</v>
      </c>
      <c r="I736" s="593">
        <f>(I727*1000*I724)*I721*I725*I722/100/10^6</f>
        <v>0</v>
      </c>
      <c r="J736" s="611"/>
      <c r="K736" s="611"/>
    </row>
    <row r="737" spans="1:11" outlineLevel="1" x14ac:dyDescent="0.35">
      <c r="A737" s="717" t="s">
        <v>337</v>
      </c>
      <c r="B737" s="836" t="s">
        <v>1821</v>
      </c>
      <c r="C737" s="832"/>
      <c r="D737" s="717" t="s">
        <v>1675</v>
      </c>
      <c r="E737" s="593">
        <f>(E728*1000*E724)*E721*E725*E722/100/10^6</f>
        <v>0</v>
      </c>
      <c r="F737" s="593">
        <f>(F728*1000*F724)*F721*F725*F722/100/10^6</f>
        <v>0</v>
      </c>
      <c r="G737" s="593">
        <f>(G728*1000*G724)*G721*G725*G722/100/10^6</f>
        <v>0</v>
      </c>
      <c r="H737" s="593">
        <f>(H728*1000*H724)*H721*H725*H722/100/10^6</f>
        <v>0</v>
      </c>
      <c r="I737" s="593">
        <f>(I728*1000*I724)*I721*I725*I722/100/10^6</f>
        <v>0</v>
      </c>
      <c r="J737" s="611"/>
      <c r="K737" s="611"/>
    </row>
    <row r="738" spans="1:11" outlineLevel="1" x14ac:dyDescent="0.35">
      <c r="A738" s="717" t="s">
        <v>340</v>
      </c>
      <c r="B738" s="836" t="s">
        <v>1815</v>
      </c>
      <c r="C738" s="832"/>
      <c r="D738" s="717" t="s">
        <v>1675</v>
      </c>
      <c r="E738" s="593">
        <f>(E729*1000*E724)*E721*E725*E722/100/10^6</f>
        <v>0</v>
      </c>
      <c r="F738" s="593">
        <f>(F729*1000*F724)*F721*F725*F722/100/10^6</f>
        <v>0</v>
      </c>
      <c r="G738" s="593">
        <f>(G729*1000*G724)*G721*G725*G722/100/10^6</f>
        <v>0</v>
      </c>
      <c r="H738" s="593">
        <f>(H729*1000*H724)*H721*H725*H722/100/10^6</f>
        <v>0</v>
      </c>
      <c r="I738" s="593">
        <f>(I729*1000*I724)*I721*I725*I722/100/10^6</f>
        <v>0</v>
      </c>
      <c r="J738" s="611"/>
      <c r="K738" s="611"/>
    </row>
    <row r="739" spans="1:11" x14ac:dyDescent="0.35">
      <c r="A739" s="52"/>
      <c r="B739" s="3"/>
      <c r="C739" s="2"/>
      <c r="D739" s="2"/>
      <c r="E739" s="2"/>
      <c r="F739" s="2"/>
      <c r="G739" s="3"/>
      <c r="H739" s="785"/>
      <c r="I739" s="32"/>
      <c r="J739" s="32"/>
      <c r="K739" s="32"/>
    </row>
    <row r="740" spans="1:11" ht="38.5" customHeight="1" x14ac:dyDescent="0.35">
      <c r="A740" s="592" t="s">
        <v>651</v>
      </c>
      <c r="B740" s="591" t="s">
        <v>1822</v>
      </c>
      <c r="C740" s="865"/>
      <c r="D740" s="843" t="s">
        <v>1823</v>
      </c>
      <c r="E740" s="777"/>
      <c r="F740" s="777"/>
      <c r="G740" s="777"/>
      <c r="H740" s="777"/>
      <c r="I740" s="778"/>
      <c r="J740" s="621"/>
      <c r="K740" s="621"/>
    </row>
    <row r="741" spans="1:11" ht="14.5" customHeight="1" outlineLevel="1" x14ac:dyDescent="0.35">
      <c r="A741" s="52" t="s">
        <v>110</v>
      </c>
      <c r="B741" s="3" t="s">
        <v>1627</v>
      </c>
      <c r="C741" s="839" t="s">
        <v>1628</v>
      </c>
      <c r="D741" s="52" t="s">
        <v>1629</v>
      </c>
      <c r="E741" s="613"/>
      <c r="F741" s="561"/>
      <c r="G741" s="561"/>
      <c r="H741" s="485">
        <f t="shared" ref="H741:H748" si="48">IF(K$8=1,E741,IF(K$8=2,(E741+F741)/2,(E741+F741+G741)/3))</f>
        <v>0</v>
      </c>
      <c r="I741" s="561"/>
      <c r="J741" s="561"/>
      <c r="K741" s="561"/>
    </row>
    <row r="742" spans="1:11" outlineLevel="1" x14ac:dyDescent="0.35">
      <c r="A742" s="52" t="s">
        <v>115</v>
      </c>
      <c r="B742" s="3" t="s">
        <v>1761</v>
      </c>
      <c r="C742" s="2" t="s">
        <v>1709</v>
      </c>
      <c r="D742" s="52" t="s">
        <v>1632</v>
      </c>
      <c r="E742" s="561"/>
      <c r="F742" s="561"/>
      <c r="G742" s="561"/>
      <c r="H742" s="485">
        <f t="shared" si="48"/>
        <v>0</v>
      </c>
      <c r="I742" s="32"/>
      <c r="J742" s="32"/>
      <c r="K742" s="561"/>
    </row>
    <row r="743" spans="1:11" outlineLevel="1" x14ac:dyDescent="0.35">
      <c r="A743" s="52" t="s">
        <v>118</v>
      </c>
      <c r="B743" s="3" t="s">
        <v>1762</v>
      </c>
      <c r="C743" s="2" t="s">
        <v>1709</v>
      </c>
      <c r="D743" s="52" t="s">
        <v>1632</v>
      </c>
      <c r="E743" s="609">
        <f>0.95*E742</f>
        <v>0</v>
      </c>
      <c r="F743" s="609">
        <f>0.95*F742</f>
        <v>0</v>
      </c>
      <c r="G743" s="609"/>
      <c r="H743" s="485">
        <f t="shared" si="48"/>
        <v>0</v>
      </c>
      <c r="I743" s="609">
        <f>0.95*I742</f>
        <v>0</v>
      </c>
      <c r="J743" s="32"/>
      <c r="K743" s="32"/>
    </row>
    <row r="744" spans="1:11" outlineLevel="1" x14ac:dyDescent="0.35">
      <c r="A744" s="485" t="s">
        <v>121</v>
      </c>
      <c r="B744" s="889" t="s">
        <v>1785</v>
      </c>
      <c r="C744" s="485" t="s">
        <v>56</v>
      </c>
      <c r="D744" s="485" t="s">
        <v>1057</v>
      </c>
      <c r="E744" s="485"/>
      <c r="F744" s="485"/>
      <c r="G744" s="485"/>
      <c r="H744" s="485">
        <f t="shared" si="48"/>
        <v>0</v>
      </c>
      <c r="I744" s="32"/>
      <c r="J744" s="32"/>
      <c r="K744" s="32"/>
    </row>
    <row r="745" spans="1:11" outlineLevel="1" x14ac:dyDescent="0.35">
      <c r="A745" s="52" t="s">
        <v>124</v>
      </c>
      <c r="B745" s="3" t="s">
        <v>1764</v>
      </c>
      <c r="C745" s="2" t="s">
        <v>1696</v>
      </c>
      <c r="D745" s="52" t="s">
        <v>1765</v>
      </c>
      <c r="E745" s="561"/>
      <c r="F745" s="561"/>
      <c r="G745" s="561"/>
      <c r="H745" s="485">
        <f t="shared" si="48"/>
        <v>0</v>
      </c>
      <c r="I745" s="32"/>
      <c r="J745" s="570"/>
      <c r="K745" s="32"/>
    </row>
    <row r="746" spans="1:11" outlineLevel="1" x14ac:dyDescent="0.35">
      <c r="A746" s="52" t="s">
        <v>162</v>
      </c>
      <c r="B746" s="3" t="s">
        <v>1805</v>
      </c>
      <c r="C746" s="2" t="s">
        <v>1696</v>
      </c>
      <c r="D746" s="52" t="s">
        <v>1767</v>
      </c>
      <c r="E746" s="561"/>
      <c r="F746" s="561"/>
      <c r="G746" s="561"/>
      <c r="H746" s="485">
        <f t="shared" si="48"/>
        <v>0</v>
      </c>
      <c r="I746" s="32"/>
      <c r="J746" s="32"/>
      <c r="K746" s="32"/>
    </row>
    <row r="747" spans="1:11" outlineLevel="1" x14ac:dyDescent="0.35">
      <c r="A747" s="52" t="s">
        <v>202</v>
      </c>
      <c r="B747" s="3" t="s">
        <v>1824</v>
      </c>
      <c r="C747" s="2" t="s">
        <v>1474</v>
      </c>
      <c r="D747" s="2" t="s">
        <v>1057</v>
      </c>
      <c r="E747" s="561"/>
      <c r="F747" s="561"/>
      <c r="G747" s="561"/>
      <c r="H747" s="485">
        <f t="shared" si="48"/>
        <v>0</v>
      </c>
      <c r="I747" s="32"/>
      <c r="J747" s="32"/>
      <c r="K747" s="32"/>
    </row>
    <row r="748" spans="1:11" outlineLevel="1" x14ac:dyDescent="0.35">
      <c r="A748" s="52" t="s">
        <v>203</v>
      </c>
      <c r="B748" s="3" t="s">
        <v>1825</v>
      </c>
      <c r="C748" s="2" t="s">
        <v>1474</v>
      </c>
      <c r="D748" s="2" t="s">
        <v>1057</v>
      </c>
      <c r="E748" s="561"/>
      <c r="F748" s="561"/>
      <c r="G748" s="561"/>
      <c r="H748" s="485">
        <f t="shared" si="48"/>
        <v>0</v>
      </c>
      <c r="I748" s="32"/>
      <c r="J748" s="32"/>
      <c r="K748" s="622"/>
    </row>
    <row r="749" spans="1:11" outlineLevel="1" x14ac:dyDescent="0.35">
      <c r="A749" s="812" t="s">
        <v>225</v>
      </c>
      <c r="B749" s="813" t="s">
        <v>1826</v>
      </c>
      <c r="C749" s="814" t="s">
        <v>1474</v>
      </c>
      <c r="D749" s="814" t="s">
        <v>1671</v>
      </c>
      <c r="E749" s="623">
        <f>IFERROR((1*3.664*(E747/100)*(E744/100)/E743*1000),0)</f>
        <v>0</v>
      </c>
      <c r="F749" s="623">
        <f>IFERROR((1*3.664*(F747/100)*(F744/100)/F743*1000),0)</f>
        <v>0</v>
      </c>
      <c r="G749" s="623">
        <f>IFERROR((1*3.664*(G747/100)*(G744/100)/G743*1000),0)</f>
        <v>0</v>
      </c>
      <c r="H749" s="623">
        <f>IFERROR((1*3.664*(H747/100)*(H744/100)/H743*1000),0)</f>
        <v>0</v>
      </c>
      <c r="I749" s="623">
        <f>IFERROR((1*3.664*(I747/100)*(I744/100)/I743*1000),0)</f>
        <v>0</v>
      </c>
      <c r="J749" s="878"/>
      <c r="K749" s="32"/>
    </row>
    <row r="750" spans="1:11" outlineLevel="1" x14ac:dyDescent="0.35">
      <c r="A750" s="812" t="s">
        <v>229</v>
      </c>
      <c r="B750" s="813" t="s">
        <v>1827</v>
      </c>
      <c r="C750" s="814" t="s">
        <v>1474</v>
      </c>
      <c r="D750" s="814" t="s">
        <v>1722</v>
      </c>
      <c r="E750" s="623">
        <f>IFERROR((1*3.664*(E748/100)*(E744/100)/E743*1000),0)</f>
        <v>0</v>
      </c>
      <c r="F750" s="623">
        <f>IFERROR((1*3.664*(F748/100)*(F744/100)/F743*1000),0)</f>
        <v>0</v>
      </c>
      <c r="G750" s="623">
        <f>IFERROR((1*3.664*(G748/100)*(G744/100)/G743*1000),0)</f>
        <v>0</v>
      </c>
      <c r="H750" s="623">
        <f>IFERROR((1*3.664*(H748/100)*(H744/100)/H743*1000),0)</f>
        <v>0</v>
      </c>
      <c r="I750" s="623">
        <f>IFERROR((1*3.664*(I748/100)*(I744/100)/I743*1000),0)</f>
        <v>0</v>
      </c>
      <c r="J750" s="878"/>
      <c r="K750" s="32"/>
    </row>
    <row r="751" spans="1:11" outlineLevel="1" x14ac:dyDescent="0.35">
      <c r="A751" s="52" t="s">
        <v>233</v>
      </c>
      <c r="B751" s="3" t="s">
        <v>1769</v>
      </c>
      <c r="C751" s="2" t="s">
        <v>1696</v>
      </c>
      <c r="D751" s="52" t="s">
        <v>1765</v>
      </c>
      <c r="E751" s="561"/>
      <c r="F751" s="561"/>
      <c r="G751" s="561"/>
      <c r="H751" s="485">
        <f>IF(K$8=1,E751,IF(K$8=2,(E751+F751)/2,(E751+F751+G751)/3))</f>
        <v>0</v>
      </c>
      <c r="I751" s="561"/>
      <c r="J751" s="32"/>
      <c r="K751" s="32"/>
    </row>
    <row r="752" spans="1:11" outlineLevel="1" x14ac:dyDescent="0.35">
      <c r="A752" s="52" t="s">
        <v>238</v>
      </c>
      <c r="B752" s="3" t="s">
        <v>1770</v>
      </c>
      <c r="C752" s="2" t="s">
        <v>1696</v>
      </c>
      <c r="D752" s="52" t="s">
        <v>1765</v>
      </c>
      <c r="E752" s="561"/>
      <c r="F752" s="561"/>
      <c r="G752" s="561"/>
      <c r="H752" s="485">
        <f>IF(K$8=1,E752,IF(K$8=2,(E752+F752)/2,(E752+F752+G752)/3))</f>
        <v>0</v>
      </c>
      <c r="I752" s="561"/>
      <c r="J752" s="32"/>
      <c r="K752" s="32"/>
    </row>
    <row r="753" spans="1:11" outlineLevel="1" x14ac:dyDescent="0.35">
      <c r="A753" s="52" t="s">
        <v>317</v>
      </c>
      <c r="B753" s="3" t="s">
        <v>1828</v>
      </c>
      <c r="C753" s="2" t="s">
        <v>1696</v>
      </c>
      <c r="D753" s="52" t="s">
        <v>1765</v>
      </c>
      <c r="E753" s="561"/>
      <c r="F753" s="561"/>
      <c r="G753" s="561"/>
      <c r="H753" s="485">
        <f>IF(K$8=1,E753,IF(K$8=2,(E753+F753)/2,(E753+F753+G753)/3))</f>
        <v>0</v>
      </c>
      <c r="I753" s="561"/>
      <c r="J753" s="570" t="s">
        <v>1798</v>
      </c>
      <c r="K753" s="32"/>
    </row>
    <row r="754" spans="1:11" outlineLevel="1" x14ac:dyDescent="0.35">
      <c r="A754" s="593" t="s">
        <v>319</v>
      </c>
      <c r="B754" s="594" t="s">
        <v>1829</v>
      </c>
      <c r="C754" s="564" t="s">
        <v>1830</v>
      </c>
      <c r="D754" s="593" t="s">
        <v>1018</v>
      </c>
      <c r="E754" s="593">
        <f>(E751+E752+E753)*E746</f>
        <v>0</v>
      </c>
      <c r="F754" s="593">
        <f>(F751+F752+F753)*F746</f>
        <v>0</v>
      </c>
      <c r="G754" s="593">
        <f>(G751+G752+G753)*G746</f>
        <v>0</v>
      </c>
      <c r="H754" s="595">
        <f>(H751+H752+H753)*H746</f>
        <v>0</v>
      </c>
      <c r="I754" s="593">
        <f>(I751+I752+I753)*I746</f>
        <v>0</v>
      </c>
      <c r="J754" s="611"/>
      <c r="K754" s="611"/>
    </row>
    <row r="755" spans="1:11" ht="18" customHeight="1" outlineLevel="1" x14ac:dyDescent="0.35">
      <c r="A755" s="593" t="s">
        <v>322</v>
      </c>
      <c r="B755" s="565" t="s">
        <v>1774</v>
      </c>
      <c r="C755" s="564" t="s">
        <v>1831</v>
      </c>
      <c r="D755" s="593" t="s">
        <v>1139</v>
      </c>
      <c r="E755" s="593">
        <f>E751*E746*1000*E743*E749/10^6</f>
        <v>0</v>
      </c>
      <c r="F755" s="593">
        <f>F751*F746*F742/1000</f>
        <v>0</v>
      </c>
      <c r="G755" s="593">
        <f>G751*G746*G742/1000</f>
        <v>0</v>
      </c>
      <c r="H755" s="595">
        <f>H751*H746*H742/1000</f>
        <v>0</v>
      </c>
      <c r="I755" s="593">
        <f>I751*I746*I742/1000</f>
        <v>0</v>
      </c>
      <c r="J755" s="611"/>
      <c r="K755" s="611"/>
    </row>
    <row r="756" spans="1:11" ht="18.75" customHeight="1" outlineLevel="1" x14ac:dyDescent="0.35">
      <c r="A756" s="593" t="s">
        <v>327</v>
      </c>
      <c r="B756" s="565" t="s">
        <v>1776</v>
      </c>
      <c r="C756" s="564" t="s">
        <v>1832</v>
      </c>
      <c r="D756" s="593" t="s">
        <v>1139</v>
      </c>
      <c r="E756" s="593">
        <f>E752*E746*E742/1000</f>
        <v>0</v>
      </c>
      <c r="F756" s="593">
        <f>F752*F746*F742/1000</f>
        <v>0</v>
      </c>
      <c r="G756" s="593">
        <f>G752*G746*G742/1000</f>
        <v>0</v>
      </c>
      <c r="H756" s="595">
        <f>H752*H746*H742/1000</f>
        <v>0</v>
      </c>
      <c r="I756" s="593">
        <f>I752*I746*I742/1000</f>
        <v>0</v>
      </c>
      <c r="J756" s="611"/>
      <c r="K756" s="611"/>
    </row>
    <row r="757" spans="1:11" outlineLevel="1" x14ac:dyDescent="0.35">
      <c r="A757" s="593" t="s">
        <v>332</v>
      </c>
      <c r="B757" s="594" t="s">
        <v>1657</v>
      </c>
      <c r="C757" s="564" t="s">
        <v>1831</v>
      </c>
      <c r="D757" s="593" t="s">
        <v>1139</v>
      </c>
      <c r="E757" s="595">
        <f>E753*E746*E742/1000</f>
        <v>0</v>
      </c>
      <c r="F757" s="593">
        <f>F753*F746*F742/1000</f>
        <v>0</v>
      </c>
      <c r="G757" s="593">
        <f>G753*G746*G742/1000</f>
        <v>0</v>
      </c>
      <c r="H757" s="595">
        <f>H753*H746*H742/1000</f>
        <v>0</v>
      </c>
      <c r="I757" s="593">
        <f>I753*I746*I742/1000</f>
        <v>0</v>
      </c>
      <c r="J757" s="611"/>
      <c r="K757" s="611"/>
    </row>
    <row r="758" spans="1:11" outlineLevel="1" x14ac:dyDescent="0.35">
      <c r="A758" s="717" t="s">
        <v>337</v>
      </c>
      <c r="B758" s="836" t="s">
        <v>1833</v>
      </c>
      <c r="C758" s="832"/>
      <c r="D758" s="717" t="s">
        <v>1675</v>
      </c>
      <c r="E758" s="595">
        <f>E751*E746*1000*E743*E744/100*E749/10^6</f>
        <v>0</v>
      </c>
      <c r="F758" s="595">
        <f>F751*F746*1000*F743*F744/100*F749/10^6</f>
        <v>0</v>
      </c>
      <c r="G758" s="595">
        <f>G751*G746*1000*G743*G744/100*G749/10^6</f>
        <v>0</v>
      </c>
      <c r="H758" s="595">
        <f>H751*H746*1000*H743*H744/100*H749/10^6</f>
        <v>0</v>
      </c>
      <c r="I758" s="595">
        <f>I751*I746*1000*I743*I744/100*I749/10^6</f>
        <v>0</v>
      </c>
      <c r="J758" s="628"/>
      <c r="K758" s="611"/>
    </row>
    <row r="759" spans="1:11" outlineLevel="1" x14ac:dyDescent="0.35">
      <c r="A759" s="717" t="s">
        <v>340</v>
      </c>
      <c r="B759" s="836" t="s">
        <v>1834</v>
      </c>
      <c r="C759" s="832"/>
      <c r="D759" s="717" t="s">
        <v>1675</v>
      </c>
      <c r="E759" s="595">
        <f>E752*E746*1000*E743*E744/100*E749/10^6</f>
        <v>0</v>
      </c>
      <c r="F759" s="595">
        <f>F752*F746*1000*F743*F744/100*F749/10^6</f>
        <v>0</v>
      </c>
      <c r="G759" s="595">
        <f>G752*G746*1000*G743*G744/100*G749/10^6</f>
        <v>0</v>
      </c>
      <c r="H759" s="595">
        <f>H752*H746*1000*H743*H744/100*H749/10^6</f>
        <v>0</v>
      </c>
      <c r="I759" s="595">
        <f>I752*I746*1000*I743*I744/100*I749/10^6</f>
        <v>0</v>
      </c>
      <c r="J759" s="628"/>
      <c r="K759" s="611"/>
    </row>
    <row r="760" spans="1:11" outlineLevel="1" x14ac:dyDescent="0.35">
      <c r="A760" s="717" t="s">
        <v>344</v>
      </c>
      <c r="B760" s="836" t="s">
        <v>1835</v>
      </c>
      <c r="C760" s="832"/>
      <c r="D760" s="717" t="s">
        <v>1675</v>
      </c>
      <c r="E760" s="595">
        <f>E753*E746*1000*E743*E744/100*E749/10^6</f>
        <v>0</v>
      </c>
      <c r="F760" s="595">
        <f>F753*F746*1000*F743*F744/100*F749/10^6</f>
        <v>0</v>
      </c>
      <c r="G760" s="595">
        <f>G753*G746*1000*G743*G744/100*G749/10^6</f>
        <v>0</v>
      </c>
      <c r="H760" s="595">
        <f>H753*H746*1000*H743*H744/100*H749/10^6</f>
        <v>0</v>
      </c>
      <c r="I760" s="595">
        <f>I753*I746*1000*I743*I744/100*I749/10^6</f>
        <v>0</v>
      </c>
      <c r="J760" s="628"/>
      <c r="K760" s="611"/>
    </row>
    <row r="761" spans="1:11" outlineLevel="1" x14ac:dyDescent="0.35">
      <c r="A761" s="717" t="s">
        <v>348</v>
      </c>
      <c r="B761" s="836" t="s">
        <v>1836</v>
      </c>
      <c r="C761" s="832"/>
      <c r="D761" s="717" t="s">
        <v>1675</v>
      </c>
      <c r="E761" s="595">
        <f>E751*E746*1000*E743*E744/100*E750/10^6</f>
        <v>0</v>
      </c>
      <c r="F761" s="595">
        <f>F751*F746*1000*F743*F744/100*F750/10^6</f>
        <v>0</v>
      </c>
      <c r="G761" s="595">
        <f>G751*G746*1000*G743*G744/100*G750/10^6</f>
        <v>0</v>
      </c>
      <c r="H761" s="595">
        <f>H751*H746*1000*H743*H744/100*H750/10^6</f>
        <v>0</v>
      </c>
      <c r="I761" s="595">
        <f>I751*I746*1000*I743*I744/100*I750/10^6</f>
        <v>0</v>
      </c>
      <c r="J761" s="628"/>
      <c r="K761" s="611"/>
    </row>
    <row r="762" spans="1:11" outlineLevel="1" x14ac:dyDescent="0.35">
      <c r="A762" s="717" t="s">
        <v>350</v>
      </c>
      <c r="B762" s="836" t="s">
        <v>1837</v>
      </c>
      <c r="C762" s="832"/>
      <c r="D762" s="717" t="s">
        <v>1675</v>
      </c>
      <c r="E762" s="595">
        <f>E752*E746*1000*E743*E744/100*E750/10^6</f>
        <v>0</v>
      </c>
      <c r="F762" s="595">
        <f>F752*F746*1000*F743*F744/100*F750/10^6</f>
        <v>0</v>
      </c>
      <c r="G762" s="595">
        <f>G752*G746*1000*G743*G744/100*G750/10^6</f>
        <v>0</v>
      </c>
      <c r="H762" s="595">
        <f>H752*H746*1000*H743*H744/100*H750/10^6</f>
        <v>0</v>
      </c>
      <c r="I762" s="595">
        <f>I752*I746*1000*I743*I744/100*I750/10^6</f>
        <v>0</v>
      </c>
      <c r="J762" s="628"/>
      <c r="K762" s="611"/>
    </row>
    <row r="763" spans="1:11" outlineLevel="1" x14ac:dyDescent="0.35">
      <c r="A763" s="717" t="s">
        <v>352</v>
      </c>
      <c r="B763" s="836" t="s">
        <v>1838</v>
      </c>
      <c r="C763" s="832"/>
      <c r="D763" s="717" t="s">
        <v>1675</v>
      </c>
      <c r="E763" s="595">
        <f>E753*$E$746*1000*$E$743*$E$744/100*$E$750/10^6</f>
        <v>0</v>
      </c>
      <c r="F763" s="595">
        <f>F753*$E$746*1000*$E$743*$E$744/100*$E$750/10^6</f>
        <v>0</v>
      </c>
      <c r="G763" s="595">
        <f>G753*$E$746*1000*$E$743*$E$744/100*$E$750/10^6</f>
        <v>0</v>
      </c>
      <c r="H763" s="595">
        <f>H753*$E$746*1000*$E$743*$E$744/100*$E$750/10^6</f>
        <v>0</v>
      </c>
      <c r="I763" s="595">
        <f>I753*$E$746*1000*$E$743*$E$744/100*$E$750/10^6</f>
        <v>0</v>
      </c>
      <c r="J763" s="628"/>
      <c r="K763" s="611"/>
    </row>
    <row r="764" spans="1:11" ht="55.4" customHeight="1" x14ac:dyDescent="0.35">
      <c r="A764" s="593" t="s">
        <v>676</v>
      </c>
      <c r="B764" s="565" t="s">
        <v>1839</v>
      </c>
      <c r="C764" s="564" t="s">
        <v>1840</v>
      </c>
      <c r="D764" s="593" t="s">
        <v>1139</v>
      </c>
      <c r="E764" s="595">
        <f>IF(E231="Yes",E731+E709+E689+E671+E653+E755,E731+E709+E689+E671+E653)</f>
        <v>0</v>
      </c>
      <c r="F764" s="593">
        <f>IF(F231="Yes",F731+F709+F689+F671+F653+F755,F731+F709+F689+F671+F653)</f>
        <v>0</v>
      </c>
      <c r="G764" s="593">
        <f>IF(G231="Yes",G731+G709+G689+G671+G653+G755,G731+G709+G689+G671+G653)</f>
        <v>0</v>
      </c>
      <c r="H764" s="595">
        <f>IF(H231="Yes",H731+H709+H689+H671+H653+H755,H731+H709+H689+H671+H653)</f>
        <v>0</v>
      </c>
      <c r="I764" s="593">
        <f>I731+I709+I689+I671+I653+I755</f>
        <v>0</v>
      </c>
      <c r="J764" s="611"/>
      <c r="K764" s="611"/>
    </row>
    <row r="765" spans="1:11" ht="49.4" customHeight="1" x14ac:dyDescent="0.35">
      <c r="A765" s="593" t="s">
        <v>678</v>
      </c>
      <c r="B765" s="565" t="s">
        <v>1841</v>
      </c>
      <c r="C765" s="564" t="s">
        <v>1842</v>
      </c>
      <c r="D765" s="593" t="s">
        <v>1139</v>
      </c>
      <c r="E765" s="593">
        <f>IF(E320="Yes",E733+E711+E690+E672+E654+E756,E733+E711+E690+E672+E654)</f>
        <v>0</v>
      </c>
      <c r="F765" s="593">
        <f>IF(F320="Yes",F733+F711+F690+F672+F654+F756,F733+F711+F690+F672+F654)</f>
        <v>0</v>
      </c>
      <c r="G765" s="593">
        <f>IF(G320="Yes",G733+G711+G690+G672+G654+G756,G733+G711+G690+G672+G654)</f>
        <v>0</v>
      </c>
      <c r="H765" s="593">
        <f>IF(H320="Yes",H733+H711+H690+H672+H654+H756,H733+H711+H690+H672+H654)</f>
        <v>0</v>
      </c>
      <c r="I765" s="593">
        <f>IF(I320="Yes",I733+I711+I690+I672+I654+I756,I733+I711+I690+I672+I654)</f>
        <v>0</v>
      </c>
      <c r="J765" s="611"/>
      <c r="K765" s="611"/>
    </row>
    <row r="766" spans="1:11" ht="47.5" customHeight="1" x14ac:dyDescent="0.35">
      <c r="A766" s="593" t="s">
        <v>680</v>
      </c>
      <c r="B766" s="594" t="s">
        <v>1843</v>
      </c>
      <c r="C766" s="564" t="s">
        <v>1844</v>
      </c>
      <c r="D766" s="593" t="s">
        <v>1139</v>
      </c>
      <c r="E766" s="614">
        <f>E734+E712+E691+E673+E655+E732+E710</f>
        <v>0</v>
      </c>
      <c r="F766" s="593">
        <f>F734+F712+F691+F673+F655+F732+F710</f>
        <v>0</v>
      </c>
      <c r="G766" s="593">
        <f>G734+G712+G691+G673+G655+G732+G710</f>
        <v>0</v>
      </c>
      <c r="H766" s="614">
        <f>H734+H712+H691+H673+H655+H732+H710</f>
        <v>0</v>
      </c>
      <c r="I766" s="593">
        <f>I734+I712+I691+I673+I655+I732+I710</f>
        <v>0</v>
      </c>
      <c r="J766" s="611"/>
      <c r="K766" s="611"/>
    </row>
    <row r="767" spans="1:11" ht="21" customHeight="1" x14ac:dyDescent="0.35">
      <c r="A767" s="717" t="s">
        <v>682</v>
      </c>
      <c r="B767" s="836" t="s">
        <v>1845</v>
      </c>
      <c r="C767" s="832"/>
      <c r="D767" s="717" t="s">
        <v>1675</v>
      </c>
      <c r="E767" s="595">
        <f t="shared" ref="E767:I768" si="49">E656+E674+E692+E713+E735</f>
        <v>0</v>
      </c>
      <c r="F767" s="595">
        <f t="shared" si="49"/>
        <v>0</v>
      </c>
      <c r="G767" s="595">
        <f t="shared" si="49"/>
        <v>0</v>
      </c>
      <c r="H767" s="595">
        <f t="shared" si="49"/>
        <v>0</v>
      </c>
      <c r="I767" s="595">
        <f t="shared" si="49"/>
        <v>0</v>
      </c>
      <c r="J767" s="628"/>
      <c r="K767" s="611"/>
    </row>
    <row r="768" spans="1:11" ht="21" customHeight="1" x14ac:dyDescent="0.35">
      <c r="A768" s="717" t="s">
        <v>684</v>
      </c>
      <c r="B768" s="836" t="s">
        <v>1846</v>
      </c>
      <c r="C768" s="832"/>
      <c r="D768" s="717" t="s">
        <v>1675</v>
      </c>
      <c r="E768" s="595">
        <f t="shared" si="49"/>
        <v>0</v>
      </c>
      <c r="F768" s="595">
        <f t="shared" si="49"/>
        <v>0</v>
      </c>
      <c r="G768" s="595">
        <f t="shared" si="49"/>
        <v>0</v>
      </c>
      <c r="H768" s="595">
        <f t="shared" si="49"/>
        <v>0</v>
      </c>
      <c r="I768" s="595">
        <f t="shared" si="49"/>
        <v>0</v>
      </c>
      <c r="J768" s="628"/>
      <c r="K768" s="611"/>
    </row>
    <row r="769" spans="1:11" ht="21" customHeight="1" x14ac:dyDescent="0.35">
      <c r="A769" s="717" t="s">
        <v>686</v>
      </c>
      <c r="B769" s="836" t="s">
        <v>1847</v>
      </c>
      <c r="C769" s="832"/>
      <c r="D769" s="717" t="s">
        <v>1675</v>
      </c>
      <c r="E769" s="595">
        <f>E658+E676+E694+E716+E738</f>
        <v>0</v>
      </c>
      <c r="F769" s="595">
        <f>F658+F676+F694+F716+F738</f>
        <v>0</v>
      </c>
      <c r="G769" s="595">
        <f>G658+G676+G694+G716+G738</f>
        <v>0</v>
      </c>
      <c r="H769" s="595">
        <f>H658+H676+H694+H716+H738</f>
        <v>0</v>
      </c>
      <c r="I769" s="595">
        <f>I658+I676+I694+I716+I738</f>
        <v>0</v>
      </c>
      <c r="J769" s="628"/>
      <c r="K769" s="611"/>
    </row>
    <row r="770" spans="1:11" ht="21" customHeight="1" x14ac:dyDescent="0.35">
      <c r="A770" s="717" t="s">
        <v>688</v>
      </c>
      <c r="B770" s="836" t="s">
        <v>1848</v>
      </c>
      <c r="C770" s="832"/>
      <c r="D770" s="717" t="s">
        <v>1675</v>
      </c>
      <c r="E770" s="595">
        <f>E767+E768+E769</f>
        <v>0</v>
      </c>
      <c r="F770" s="595">
        <f>F767+F768+F769</f>
        <v>0</v>
      </c>
      <c r="G770" s="595">
        <f>G767+G768+G769</f>
        <v>0</v>
      </c>
      <c r="H770" s="595">
        <f>H767+H768+H769</f>
        <v>0</v>
      </c>
      <c r="I770" s="595">
        <f>I767+I768+I769</f>
        <v>0</v>
      </c>
      <c r="J770" s="628"/>
      <c r="K770" s="611"/>
    </row>
    <row r="771" spans="1:11" ht="21" customHeight="1" x14ac:dyDescent="0.35">
      <c r="A771" s="717" t="s">
        <v>690</v>
      </c>
      <c r="B771" s="836" t="s">
        <v>1849</v>
      </c>
      <c r="C771" s="832"/>
      <c r="D771" s="717" t="s">
        <v>1675</v>
      </c>
      <c r="E771" s="595">
        <f t="shared" ref="E771:I773" si="50">E761</f>
        <v>0</v>
      </c>
      <c r="F771" s="595">
        <f t="shared" si="50"/>
        <v>0</v>
      </c>
      <c r="G771" s="595">
        <f t="shared" si="50"/>
        <v>0</v>
      </c>
      <c r="H771" s="595">
        <f t="shared" si="50"/>
        <v>0</v>
      </c>
      <c r="I771" s="595">
        <f t="shared" si="50"/>
        <v>0</v>
      </c>
      <c r="J771" s="628"/>
      <c r="K771" s="611"/>
    </row>
    <row r="772" spans="1:11" ht="21" customHeight="1" x14ac:dyDescent="0.35">
      <c r="A772" s="717" t="s">
        <v>692</v>
      </c>
      <c r="B772" s="836" t="s">
        <v>1850</v>
      </c>
      <c r="C772" s="832"/>
      <c r="D772" s="717" t="s">
        <v>1675</v>
      </c>
      <c r="E772" s="595">
        <f t="shared" si="50"/>
        <v>0</v>
      </c>
      <c r="F772" s="595">
        <f t="shared" si="50"/>
        <v>0</v>
      </c>
      <c r="G772" s="595">
        <f t="shared" si="50"/>
        <v>0</v>
      </c>
      <c r="H772" s="595">
        <f t="shared" si="50"/>
        <v>0</v>
      </c>
      <c r="I772" s="595">
        <f t="shared" si="50"/>
        <v>0</v>
      </c>
      <c r="J772" s="628"/>
      <c r="K772" s="611"/>
    </row>
    <row r="773" spans="1:11" ht="21" customHeight="1" x14ac:dyDescent="0.35">
      <c r="A773" s="717" t="s">
        <v>694</v>
      </c>
      <c r="B773" s="836" t="s">
        <v>1851</v>
      </c>
      <c r="C773" s="832"/>
      <c r="D773" s="717" t="s">
        <v>1675</v>
      </c>
      <c r="E773" s="595">
        <f t="shared" si="50"/>
        <v>0</v>
      </c>
      <c r="F773" s="595">
        <f t="shared" si="50"/>
        <v>0</v>
      </c>
      <c r="G773" s="595">
        <f t="shared" si="50"/>
        <v>0</v>
      </c>
      <c r="H773" s="595">
        <f t="shared" si="50"/>
        <v>0</v>
      </c>
      <c r="I773" s="595">
        <f t="shared" si="50"/>
        <v>0</v>
      </c>
      <c r="J773" s="628"/>
      <c r="K773" s="611"/>
    </row>
    <row r="774" spans="1:11" ht="13.5" customHeight="1" x14ac:dyDescent="0.35">
      <c r="A774" s="543"/>
      <c r="B774" s="597"/>
      <c r="C774" s="580"/>
      <c r="D774" s="543"/>
      <c r="E774" s="543"/>
      <c r="F774" s="543"/>
      <c r="G774" s="597"/>
      <c r="H774" s="596"/>
      <c r="I774" s="543"/>
      <c r="J774" s="611"/>
      <c r="K774" s="611"/>
    </row>
    <row r="775" spans="1:11" x14ac:dyDescent="0.35">
      <c r="A775" s="554" t="s">
        <v>696</v>
      </c>
      <c r="B775" s="556" t="s">
        <v>1852</v>
      </c>
      <c r="C775" s="553"/>
      <c r="D775" s="259"/>
      <c r="E775" s="259"/>
      <c r="F775" s="259"/>
      <c r="G775" s="256"/>
      <c r="H775" s="789"/>
      <c r="I775" s="586"/>
      <c r="J775" s="586"/>
      <c r="K775" s="586"/>
    </row>
    <row r="776" spans="1:11" x14ac:dyDescent="0.35">
      <c r="A776" s="590" t="s">
        <v>698</v>
      </c>
      <c r="B776" s="591" t="s">
        <v>699</v>
      </c>
      <c r="C776" s="592"/>
      <c r="D776" s="259"/>
      <c r="E776" s="259"/>
      <c r="F776" s="259"/>
      <c r="G776" s="256"/>
      <c r="H776" s="789"/>
      <c r="I776" s="586"/>
      <c r="J776" s="586"/>
      <c r="K776" s="586"/>
    </row>
    <row r="777" spans="1:11" outlineLevel="1" x14ac:dyDescent="0.35">
      <c r="A777" s="52" t="s">
        <v>110</v>
      </c>
      <c r="B777" s="3" t="s">
        <v>1627</v>
      </c>
      <c r="C777" s="839" t="s">
        <v>1628</v>
      </c>
      <c r="D777" s="52" t="s">
        <v>1853</v>
      </c>
      <c r="E777" s="561"/>
      <c r="F777" s="561"/>
      <c r="G777" s="561"/>
      <c r="H777" s="485">
        <f>IF(K$8=1,E777,IF(K$8=2,(E777+F777)/2,(E777+F777+G777)/3))</f>
        <v>0</v>
      </c>
      <c r="I777" s="561"/>
      <c r="J777" s="561"/>
      <c r="K777" s="32"/>
    </row>
    <row r="778" spans="1:11" outlineLevel="1" x14ac:dyDescent="0.35">
      <c r="A778" s="52" t="s">
        <v>115</v>
      </c>
      <c r="B778" s="3" t="s">
        <v>1854</v>
      </c>
      <c r="C778" s="2" t="s">
        <v>1709</v>
      </c>
      <c r="D778" s="52" t="s">
        <v>1855</v>
      </c>
      <c r="E778" s="561"/>
      <c r="F778" s="561"/>
      <c r="G778" s="561"/>
      <c r="H778" s="485">
        <f>IF(K$8=1,E778,IF(K$8=2,(E778+F778)/2,(E778+F778+G778)/3))</f>
        <v>0</v>
      </c>
      <c r="I778" s="561"/>
      <c r="J778" s="561"/>
      <c r="K778" s="32"/>
    </row>
    <row r="779" spans="1:11" outlineLevel="1" x14ac:dyDescent="0.35">
      <c r="A779" s="52" t="s">
        <v>118</v>
      </c>
      <c r="B779" s="3" t="s">
        <v>1784</v>
      </c>
      <c r="C779" s="2" t="s">
        <v>1709</v>
      </c>
      <c r="D779" s="52" t="s">
        <v>1855</v>
      </c>
      <c r="E779" s="609">
        <f>0.95*E778</f>
        <v>0</v>
      </c>
      <c r="F779" s="609">
        <f>0.95*F778</f>
        <v>0</v>
      </c>
      <c r="G779" s="609">
        <f>0.95*G778</f>
        <v>0</v>
      </c>
      <c r="H779" s="485">
        <f>IF(K$8=1,E779,IF(K$8=2,(E779+F779)/2,(E779+F779+G779)/3))</f>
        <v>0</v>
      </c>
      <c r="I779" s="609">
        <f>0.95*I778</f>
        <v>0</v>
      </c>
      <c r="J779" s="32"/>
      <c r="K779" s="32"/>
    </row>
    <row r="780" spans="1:11" outlineLevel="1" x14ac:dyDescent="0.35">
      <c r="A780" s="485" t="s">
        <v>121</v>
      </c>
      <c r="B780" s="889" t="s">
        <v>1763</v>
      </c>
      <c r="C780" s="485" t="s">
        <v>56</v>
      </c>
      <c r="D780" s="485" t="s">
        <v>1057</v>
      </c>
      <c r="E780" s="485"/>
      <c r="F780" s="485"/>
      <c r="G780" s="485"/>
      <c r="H780" s="485">
        <f>IF(K$8=1,E780,IF(K$8=2,(E780+F780)/2,(E780+F780+G780)/3))</f>
        <v>0</v>
      </c>
      <c r="I780" s="32"/>
      <c r="J780" s="32"/>
      <c r="K780" s="32"/>
    </row>
    <row r="781" spans="1:11" outlineLevel="1" x14ac:dyDescent="0.35">
      <c r="A781" s="812" t="s">
        <v>124</v>
      </c>
      <c r="B781" s="813" t="s">
        <v>1856</v>
      </c>
      <c r="C781" s="814" t="s">
        <v>1474</v>
      </c>
      <c r="D781" s="812" t="s">
        <v>1671</v>
      </c>
      <c r="E781" s="617">
        <f>'Emission Factor &amp; GWP Backup'!$E$41</f>
        <v>0.234879479999996</v>
      </c>
      <c r="F781" s="617">
        <f>'Emission Factor &amp; GWP Backup'!$E$41</f>
        <v>0.234879479999996</v>
      </c>
      <c r="G781" s="617">
        <f>'Emission Factor &amp; GWP Backup'!$E$41</f>
        <v>0.234879479999996</v>
      </c>
      <c r="H781" s="617">
        <f>'Emission Factor &amp; GWP Backup'!$E$41</f>
        <v>0.234879479999996</v>
      </c>
      <c r="I781" s="617">
        <f>'Emission Factor &amp; GWP Backup'!$E$41</f>
        <v>0.234879479999996</v>
      </c>
      <c r="J781" s="877"/>
      <c r="K781" s="32"/>
    </row>
    <row r="782" spans="1:11" outlineLevel="1" x14ac:dyDescent="0.35">
      <c r="A782" s="52" t="s">
        <v>162</v>
      </c>
      <c r="B782" s="3" t="s">
        <v>1666</v>
      </c>
      <c r="C782" s="2" t="s">
        <v>1696</v>
      </c>
      <c r="D782" s="52" t="s">
        <v>1857</v>
      </c>
      <c r="E782" s="561"/>
      <c r="F782" s="561"/>
      <c r="G782" s="561"/>
      <c r="H782" s="485">
        <f>IF(K$8=1,E782,IF(K$8=2,(E782+F782)/2,(E782+F782+G782)/3))</f>
        <v>0</v>
      </c>
      <c r="I782" s="561"/>
      <c r="J782" s="32"/>
      <c r="K782" s="32"/>
    </row>
    <row r="783" spans="1:11" outlineLevel="1" x14ac:dyDescent="0.35">
      <c r="A783" s="52" t="s">
        <v>202</v>
      </c>
      <c r="B783" s="3" t="s">
        <v>1858</v>
      </c>
      <c r="C783" s="2" t="s">
        <v>1696</v>
      </c>
      <c r="D783" s="52" t="s">
        <v>1857</v>
      </c>
      <c r="E783" s="561"/>
      <c r="F783" s="561"/>
      <c r="G783" s="561"/>
      <c r="H783" s="485">
        <f>IF(K$8=1,E783,IF(K$8=2,(E783+F783)/2,(E783+F783+G783)/3))</f>
        <v>0</v>
      </c>
      <c r="I783" s="561"/>
      <c r="J783" s="32"/>
      <c r="K783" s="32"/>
    </row>
    <row r="784" spans="1:11" outlineLevel="1" x14ac:dyDescent="0.35">
      <c r="A784" s="52" t="s">
        <v>203</v>
      </c>
      <c r="B784" s="244" t="s">
        <v>1859</v>
      </c>
      <c r="C784" s="2" t="s">
        <v>1696</v>
      </c>
      <c r="D784" s="52" t="s">
        <v>1857</v>
      </c>
      <c r="E784" s="561"/>
      <c r="F784" s="561"/>
      <c r="G784" s="561"/>
      <c r="H784" s="485">
        <f>IF(K$8=1,E784,IF(K$8=2,(E784+F784)/2,(E784+F784+G783)/3))</f>
        <v>0</v>
      </c>
      <c r="I784" s="561"/>
      <c r="J784" s="32"/>
      <c r="K784" s="32"/>
    </row>
    <row r="785" spans="1:11" outlineLevel="1" x14ac:dyDescent="0.35">
      <c r="A785" s="52" t="s">
        <v>225</v>
      </c>
      <c r="B785" s="3" t="s">
        <v>1740</v>
      </c>
      <c r="C785" s="2" t="s">
        <v>1696</v>
      </c>
      <c r="D785" s="52" t="s">
        <v>1857</v>
      </c>
      <c r="E785" s="561"/>
      <c r="F785" s="561"/>
      <c r="G785" s="561"/>
      <c r="H785" s="485">
        <f>IF(K$8=1,E785,IF(K$8=2,(E785+F785)/2,(E785+F785+G785)/3))</f>
        <v>0</v>
      </c>
      <c r="I785" s="561"/>
      <c r="J785" s="32"/>
      <c r="K785" s="32"/>
    </row>
    <row r="786" spans="1:11" outlineLevel="1" x14ac:dyDescent="0.35">
      <c r="A786" s="593" t="s">
        <v>229</v>
      </c>
      <c r="B786" s="844" t="s">
        <v>1860</v>
      </c>
      <c r="C786" s="564" t="s">
        <v>1787</v>
      </c>
      <c r="D786" s="593" t="s">
        <v>1857</v>
      </c>
      <c r="E786" s="593">
        <f>E783+E785+E784</f>
        <v>0</v>
      </c>
      <c r="F786" s="593">
        <f>F783+F785+F784</f>
        <v>0</v>
      </c>
      <c r="G786" s="593">
        <f>G783+G785+G784</f>
        <v>0</v>
      </c>
      <c r="H786" s="595">
        <f>H783+H785+H784</f>
        <v>0</v>
      </c>
      <c r="I786" s="593">
        <f>I783+I785+I784</f>
        <v>0</v>
      </c>
      <c r="J786" s="611"/>
      <c r="K786" s="611"/>
    </row>
    <row r="787" spans="1:11" outlineLevel="1" x14ac:dyDescent="0.35">
      <c r="A787" s="593" t="s">
        <v>233</v>
      </c>
      <c r="B787" s="844" t="s">
        <v>1655</v>
      </c>
      <c r="C787" s="564" t="s">
        <v>1861</v>
      </c>
      <c r="D787" s="593" t="s">
        <v>1139</v>
      </c>
      <c r="E787" s="595">
        <f>E783*E778</f>
        <v>0</v>
      </c>
      <c r="F787" s="595">
        <f>F783*F778</f>
        <v>0</v>
      </c>
      <c r="G787" s="595">
        <f>G783*G778</f>
        <v>0</v>
      </c>
      <c r="H787" s="595">
        <f>H783*H778</f>
        <v>0</v>
      </c>
      <c r="I787" s="595">
        <f>I783*I778</f>
        <v>0</v>
      </c>
      <c r="J787" s="628"/>
      <c r="K787" s="611"/>
    </row>
    <row r="788" spans="1:11" ht="27" customHeight="1" outlineLevel="1" x14ac:dyDescent="0.35">
      <c r="A788" s="593" t="s">
        <v>238</v>
      </c>
      <c r="B788" s="565" t="s">
        <v>1811</v>
      </c>
      <c r="C788" s="564" t="s">
        <v>1862</v>
      </c>
      <c r="D788" s="593" t="s">
        <v>1139</v>
      </c>
      <c r="E788" s="595">
        <f>E784*E778</f>
        <v>0</v>
      </c>
      <c r="F788" s="595">
        <f>F784*F778</f>
        <v>0</v>
      </c>
      <c r="G788" s="595">
        <f>G784*G778</f>
        <v>0</v>
      </c>
      <c r="H788" s="595">
        <f>H784*H778</f>
        <v>0</v>
      </c>
      <c r="I788" s="595">
        <f>I784*I778</f>
        <v>0</v>
      </c>
      <c r="J788" s="628"/>
      <c r="K788" s="611"/>
    </row>
    <row r="789" spans="1:11" outlineLevel="1" x14ac:dyDescent="0.35">
      <c r="A789" s="593" t="s">
        <v>317</v>
      </c>
      <c r="B789" s="844" t="s">
        <v>1657</v>
      </c>
      <c r="C789" s="564" t="s">
        <v>1863</v>
      </c>
      <c r="D789" s="593" t="s">
        <v>1139</v>
      </c>
      <c r="E789" s="593">
        <f>E785*E778</f>
        <v>0</v>
      </c>
      <c r="F789" s="593">
        <f>F785*F778</f>
        <v>0</v>
      </c>
      <c r="G789" s="593">
        <f>G785*G778</f>
        <v>0</v>
      </c>
      <c r="H789" s="593">
        <f>H785*H778</f>
        <v>0</v>
      </c>
      <c r="I789" s="593">
        <f>I785*I778</f>
        <v>0</v>
      </c>
      <c r="J789" s="611"/>
      <c r="K789" s="611"/>
    </row>
    <row r="790" spans="1:11" outlineLevel="1" x14ac:dyDescent="0.35">
      <c r="A790" s="717" t="s">
        <v>319</v>
      </c>
      <c r="B790" s="845" t="s">
        <v>1864</v>
      </c>
      <c r="C790" s="832"/>
      <c r="D790" s="717" t="s">
        <v>1675</v>
      </c>
      <c r="E790" s="617">
        <f>E783*10^6*E779*E781*E780/100/10^6</f>
        <v>0</v>
      </c>
      <c r="F790" s="617">
        <f>F783*10^6*F779*F781*F780/100/10^6</f>
        <v>0</v>
      </c>
      <c r="G790" s="617">
        <f>G783*10^6*G779*G781*G780/100/10^6</f>
        <v>0</v>
      </c>
      <c r="H790" s="617">
        <f>H783*10^6*H779*H781*H780/100/10^6</f>
        <v>0</v>
      </c>
      <c r="I790" s="617">
        <f>I783*10^6*I779*I781*I780/100/10^6</f>
        <v>0</v>
      </c>
      <c r="J790" s="877"/>
      <c r="K790" s="611"/>
    </row>
    <row r="791" spans="1:11" outlineLevel="1" x14ac:dyDescent="0.35">
      <c r="A791" s="717" t="s">
        <v>322</v>
      </c>
      <c r="B791" s="845" t="s">
        <v>1865</v>
      </c>
      <c r="C791" s="832"/>
      <c r="D791" s="717" t="s">
        <v>1675</v>
      </c>
      <c r="E791" s="617">
        <f>E784*10^6*E779*E781*E780/100/10^6</f>
        <v>0</v>
      </c>
      <c r="F791" s="617">
        <f>F784*10^6*F779*F781*F780/100/10^6</f>
        <v>0</v>
      </c>
      <c r="G791" s="617">
        <f>G784*10^6*G779*G781*G780/100/10^6</f>
        <v>0</v>
      </c>
      <c r="H791" s="617">
        <f>H784*10^6*H779*H781*H780/100/10^6</f>
        <v>0</v>
      </c>
      <c r="I791" s="617">
        <f>I784*10^6*I779*I781*I780/100/10^6</f>
        <v>0</v>
      </c>
      <c r="J791" s="877"/>
      <c r="K791" s="611"/>
    </row>
    <row r="792" spans="1:11" outlineLevel="1" x14ac:dyDescent="0.35">
      <c r="A792" s="717" t="s">
        <v>327</v>
      </c>
      <c r="B792" s="845" t="s">
        <v>1866</v>
      </c>
      <c r="C792" s="832"/>
      <c r="D792" s="717" t="s">
        <v>1675</v>
      </c>
      <c r="E792" s="617">
        <f>E785*10^6*E779*E781*E780/100/10^6</f>
        <v>0</v>
      </c>
      <c r="F792" s="617">
        <f>F785*10^6*F779*F781*F780/100/10^6</f>
        <v>0</v>
      </c>
      <c r="G792" s="617">
        <f>G785*10^6*G779*G781*G780/100/10^6</f>
        <v>0</v>
      </c>
      <c r="H792" s="617">
        <f>H785*10^6*H779*H781*H780/100/10^6</f>
        <v>0</v>
      </c>
      <c r="I792" s="617">
        <f>I785*10^6*I779*I781*I780/100/10^6</f>
        <v>0</v>
      </c>
      <c r="J792" s="877"/>
      <c r="K792" s="611"/>
    </row>
    <row r="793" spans="1:11" x14ac:dyDescent="0.35">
      <c r="A793" s="52"/>
      <c r="B793" s="3"/>
      <c r="C793" s="2"/>
      <c r="D793" s="52"/>
      <c r="E793" s="52"/>
      <c r="F793" s="52"/>
      <c r="G793" s="20"/>
      <c r="H793" s="785"/>
      <c r="I793" s="32"/>
      <c r="J793" s="32"/>
      <c r="K793" s="32"/>
    </row>
    <row r="794" spans="1:11" x14ac:dyDescent="0.35">
      <c r="A794" s="590" t="s">
        <v>724</v>
      </c>
      <c r="B794" s="591" t="s">
        <v>725</v>
      </c>
      <c r="C794" s="592"/>
      <c r="D794" s="259"/>
      <c r="E794" s="259"/>
      <c r="F794" s="259"/>
      <c r="G794" s="256"/>
      <c r="H794" s="789"/>
      <c r="I794" s="586"/>
      <c r="J794" s="586"/>
      <c r="K794" s="586"/>
    </row>
    <row r="795" spans="1:11" outlineLevel="1" x14ac:dyDescent="0.35">
      <c r="A795" s="52" t="s">
        <v>110</v>
      </c>
      <c r="B795" s="3" t="s">
        <v>1627</v>
      </c>
      <c r="C795" s="839" t="s">
        <v>1628</v>
      </c>
      <c r="D795" s="52" t="s">
        <v>1629</v>
      </c>
      <c r="E795" s="561"/>
      <c r="F795" s="561"/>
      <c r="G795" s="561"/>
      <c r="H795" s="485">
        <f>IF(K$8=1,E795,IF(K$8=2,(E795+F795)/2,(E795+F795+G795)/3))</f>
        <v>0</v>
      </c>
      <c r="I795" s="32"/>
      <c r="J795" s="32"/>
      <c r="K795" s="32"/>
    </row>
    <row r="796" spans="1:11" outlineLevel="1" x14ac:dyDescent="0.35">
      <c r="A796" s="52" t="s">
        <v>115</v>
      </c>
      <c r="B796" s="3" t="s">
        <v>1854</v>
      </c>
      <c r="C796" s="2" t="s">
        <v>1709</v>
      </c>
      <c r="D796" s="52" t="s">
        <v>1867</v>
      </c>
      <c r="E796" s="561"/>
      <c r="F796" s="561"/>
      <c r="G796" s="561"/>
      <c r="H796" s="485">
        <f>IF(K$8=1,E796,IF(K$8=2,(E796+F796)/2,(E796+F796+G796)/3))</f>
        <v>0</v>
      </c>
      <c r="I796" s="32"/>
      <c r="J796" s="32"/>
      <c r="K796" s="32"/>
    </row>
    <row r="797" spans="1:11" outlineLevel="1" x14ac:dyDescent="0.35">
      <c r="A797" s="52" t="s">
        <v>118</v>
      </c>
      <c r="B797" s="3" t="s">
        <v>1762</v>
      </c>
      <c r="C797" s="2" t="s">
        <v>1709</v>
      </c>
      <c r="D797" s="52" t="s">
        <v>1867</v>
      </c>
      <c r="E797" s="609">
        <f>0.95*E796</f>
        <v>0</v>
      </c>
      <c r="F797" s="609">
        <f>0.95*F796</f>
        <v>0</v>
      </c>
      <c r="G797" s="609">
        <f>0.95*G796</f>
        <v>0</v>
      </c>
      <c r="H797" s="485">
        <f>IF(K$8=1,E797,IF(K$8=2,(E797+F797)/2,(E797+F797+G797)/3))</f>
        <v>0</v>
      </c>
      <c r="I797" s="609">
        <f>0.95*I796</f>
        <v>0</v>
      </c>
      <c r="J797" s="32"/>
      <c r="K797" s="32"/>
    </row>
    <row r="798" spans="1:11" outlineLevel="1" x14ac:dyDescent="0.35">
      <c r="A798" s="485" t="s">
        <v>121</v>
      </c>
      <c r="B798" s="889" t="s">
        <v>1763</v>
      </c>
      <c r="C798" s="485" t="s">
        <v>56</v>
      </c>
      <c r="D798" s="485" t="s">
        <v>1057</v>
      </c>
      <c r="E798" s="485"/>
      <c r="F798" s="485"/>
      <c r="G798" s="485"/>
      <c r="H798" s="485">
        <f>IF(K$8=1,E798,IF(K$8=2,(E798+F798)/2,(E798+F798+G798)/3))</f>
        <v>0</v>
      </c>
      <c r="I798" s="32"/>
      <c r="J798" s="32"/>
      <c r="K798" s="32"/>
    </row>
    <row r="799" spans="1:11" outlineLevel="1" x14ac:dyDescent="0.35">
      <c r="A799" s="52" t="s">
        <v>121</v>
      </c>
      <c r="B799" s="3" t="s">
        <v>1764</v>
      </c>
      <c r="C799" s="2" t="s">
        <v>1696</v>
      </c>
      <c r="D799" s="52" t="s">
        <v>1868</v>
      </c>
      <c r="E799" s="561"/>
      <c r="F799" s="561"/>
      <c r="G799" s="561"/>
      <c r="H799" s="485">
        <f>IF(K$8=1,E799,IF(K$8=2,(E799+F799)/2,(E799+F799+G799)/3))</f>
        <v>0</v>
      </c>
      <c r="I799" s="32"/>
      <c r="J799" s="32"/>
      <c r="K799" s="32"/>
    </row>
    <row r="800" spans="1:11" outlineLevel="1" x14ac:dyDescent="0.35">
      <c r="A800" s="812" t="s">
        <v>124</v>
      </c>
      <c r="B800" s="813" t="s">
        <v>1869</v>
      </c>
      <c r="C800" s="814" t="s">
        <v>1474</v>
      </c>
      <c r="D800" s="812" t="s">
        <v>1671</v>
      </c>
      <c r="E800" s="623">
        <f>'Emission Factor &amp; GWP Backup'!$E$15</f>
        <v>0.26418707999999552</v>
      </c>
      <c r="F800" s="623">
        <f>'Emission Factor &amp; GWP Backup'!$E$15</f>
        <v>0.26418707999999552</v>
      </c>
      <c r="G800" s="623">
        <f>'Emission Factor &amp; GWP Backup'!$E$15</f>
        <v>0.26418707999999552</v>
      </c>
      <c r="H800" s="623">
        <f>'Emission Factor &amp; GWP Backup'!$E$15</f>
        <v>0.26418707999999552</v>
      </c>
      <c r="I800" s="623">
        <f>'Emission Factor &amp; GWP Backup'!$E$15</f>
        <v>0.26418707999999552</v>
      </c>
      <c r="J800" s="878"/>
      <c r="K800" s="32"/>
    </row>
    <row r="801" spans="1:11" outlineLevel="1" x14ac:dyDescent="0.35">
      <c r="A801" s="52" t="s">
        <v>162</v>
      </c>
      <c r="B801" s="3" t="s">
        <v>1858</v>
      </c>
      <c r="C801" s="2" t="s">
        <v>1696</v>
      </c>
      <c r="D801" s="52" t="s">
        <v>1868</v>
      </c>
      <c r="E801" s="561"/>
      <c r="F801" s="561"/>
      <c r="G801" s="561"/>
      <c r="H801" s="485">
        <f>IF(K$8=1,E801,IF(K$8=2,(E801+F801)/2,(E801+F801+G801)/3))</f>
        <v>0</v>
      </c>
      <c r="I801" s="32"/>
      <c r="J801" s="32"/>
      <c r="K801" s="32"/>
    </row>
    <row r="802" spans="1:11" outlineLevel="1" x14ac:dyDescent="0.35">
      <c r="A802" s="52" t="s">
        <v>202</v>
      </c>
      <c r="B802" s="3" t="s">
        <v>1740</v>
      </c>
      <c r="C802" s="2" t="s">
        <v>1696</v>
      </c>
      <c r="D802" s="52" t="s">
        <v>1868</v>
      </c>
      <c r="E802" s="561"/>
      <c r="F802" s="561"/>
      <c r="G802" s="561"/>
      <c r="H802" s="485">
        <f>IF(K$8=1,E802,IF(K$8=2,(E802+F802)/2,(E802+F802+G802)/3))</f>
        <v>0</v>
      </c>
      <c r="I802" s="32"/>
      <c r="J802" s="32"/>
      <c r="K802" s="32"/>
    </row>
    <row r="803" spans="1:11" outlineLevel="1" x14ac:dyDescent="0.35">
      <c r="A803" s="593" t="s">
        <v>203</v>
      </c>
      <c r="B803" s="844" t="s">
        <v>1870</v>
      </c>
      <c r="C803" s="564" t="s">
        <v>1871</v>
      </c>
      <c r="D803" s="593" t="s">
        <v>1868</v>
      </c>
      <c r="E803" s="593">
        <f>E801+E802</f>
        <v>0</v>
      </c>
      <c r="F803" s="593">
        <f>F801+F802</f>
        <v>0</v>
      </c>
      <c r="G803" s="593">
        <f>G801+G802</f>
        <v>0</v>
      </c>
      <c r="H803" s="595">
        <f>H801+H802</f>
        <v>0</v>
      </c>
      <c r="I803" s="593">
        <f>I801+I802</f>
        <v>0</v>
      </c>
      <c r="J803" s="611"/>
      <c r="K803" s="611"/>
    </row>
    <row r="804" spans="1:11" outlineLevel="1" x14ac:dyDescent="0.35">
      <c r="A804" s="593" t="s">
        <v>225</v>
      </c>
      <c r="B804" s="844" t="s">
        <v>1655</v>
      </c>
      <c r="C804" s="564" t="s">
        <v>1861</v>
      </c>
      <c r="D804" s="593" t="s">
        <v>1139</v>
      </c>
      <c r="E804" s="593">
        <f>E801*E796</f>
        <v>0</v>
      </c>
      <c r="F804" s="593">
        <f>F801*F796</f>
        <v>0</v>
      </c>
      <c r="G804" s="593">
        <f>G801*G796</f>
        <v>0</v>
      </c>
      <c r="H804" s="593">
        <f>H801*H796</f>
        <v>0</v>
      </c>
      <c r="I804" s="593">
        <f>I801*I796</f>
        <v>0</v>
      </c>
      <c r="J804" s="611"/>
      <c r="K804" s="611"/>
    </row>
    <row r="805" spans="1:11" outlineLevel="1" x14ac:dyDescent="0.35">
      <c r="A805" s="593" t="s">
        <v>229</v>
      </c>
      <c r="B805" s="844" t="s">
        <v>1657</v>
      </c>
      <c r="C805" s="564" t="s">
        <v>1862</v>
      </c>
      <c r="D805" s="593" t="s">
        <v>1139</v>
      </c>
      <c r="E805" s="593">
        <f>E802*E796</f>
        <v>0</v>
      </c>
      <c r="F805" s="593">
        <f>F802*F796</f>
        <v>0</v>
      </c>
      <c r="G805" s="593">
        <f>G802*G796</f>
        <v>0</v>
      </c>
      <c r="H805" s="593">
        <f>H802*H796</f>
        <v>0</v>
      </c>
      <c r="I805" s="593">
        <f>I802*I796</f>
        <v>0</v>
      </c>
      <c r="J805" s="611"/>
      <c r="K805" s="611"/>
    </row>
    <row r="806" spans="1:11" outlineLevel="1" x14ac:dyDescent="0.35">
      <c r="A806" s="717" t="s">
        <v>233</v>
      </c>
      <c r="B806" s="845" t="s">
        <v>1872</v>
      </c>
      <c r="C806" s="832"/>
      <c r="D806" s="717" t="s">
        <v>1675</v>
      </c>
      <c r="E806" s="617">
        <f>E801*10^6*E797*E800*E798/100/10^6</f>
        <v>0</v>
      </c>
      <c r="F806" s="617">
        <f>F801*10^6*F797*F800*F798/100/10^6</f>
        <v>0</v>
      </c>
      <c r="G806" s="617">
        <f>G801*10^6*G797*G800*G798/100/10^6</f>
        <v>0</v>
      </c>
      <c r="H806" s="617">
        <f>H801*10^6*H797*H800*H798/100/10^6</f>
        <v>0</v>
      </c>
      <c r="I806" s="617">
        <f>I801*10^6*I797*I800*I798/100/10^6</f>
        <v>0</v>
      </c>
      <c r="J806" s="877"/>
      <c r="K806" s="611"/>
    </row>
    <row r="807" spans="1:11" outlineLevel="1" x14ac:dyDescent="0.35">
      <c r="A807" s="717" t="s">
        <v>238</v>
      </c>
      <c r="B807" s="845" t="s">
        <v>1793</v>
      </c>
      <c r="C807" s="832"/>
      <c r="D807" s="717" t="s">
        <v>1675</v>
      </c>
      <c r="E807" s="617">
        <f>E802*10^6*E797*E800*E798/100/10^6</f>
        <v>0</v>
      </c>
      <c r="F807" s="617">
        <f>F802*10^6*F797*F800*F798/100/10^6</f>
        <v>0</v>
      </c>
      <c r="G807" s="617">
        <f>G802*10^6*G797*G800*G798/100/10^6</f>
        <v>0</v>
      </c>
      <c r="H807" s="617">
        <f>H802*10^6*H797*H800*H798/100/10^6</f>
        <v>0</v>
      </c>
      <c r="I807" s="617">
        <f>I802*10^6*I797*I800*I798/100/10^6</f>
        <v>0</v>
      </c>
      <c r="J807" s="877"/>
      <c r="K807" s="611"/>
    </row>
    <row r="808" spans="1:11" x14ac:dyDescent="0.35">
      <c r="A808" s="717" t="s">
        <v>737</v>
      </c>
      <c r="B808" s="833" t="s">
        <v>1873</v>
      </c>
      <c r="C808" s="832" t="s">
        <v>1874</v>
      </c>
      <c r="D808" s="717" t="s">
        <v>1139</v>
      </c>
      <c r="E808" s="593">
        <f>E787+E804</f>
        <v>0</v>
      </c>
      <c r="F808" s="593">
        <f>F787+F804</f>
        <v>0</v>
      </c>
      <c r="G808" s="593">
        <f>G787+G804</f>
        <v>0</v>
      </c>
      <c r="H808" s="593">
        <f>H787+H804</f>
        <v>0</v>
      </c>
      <c r="I808" s="593">
        <f>I787+I804</f>
        <v>0</v>
      </c>
      <c r="J808" s="611"/>
      <c r="K808" s="611"/>
    </row>
    <row r="809" spans="1:11" x14ac:dyDescent="0.35">
      <c r="A809" s="593" t="s">
        <v>739</v>
      </c>
      <c r="B809" s="844" t="s">
        <v>1875</v>
      </c>
      <c r="C809" s="564" t="s">
        <v>1876</v>
      </c>
      <c r="D809" s="593" t="s">
        <v>1139</v>
      </c>
      <c r="E809" s="595">
        <f>E789+E805+E788</f>
        <v>0</v>
      </c>
      <c r="F809" s="595">
        <f>F789+F805+F788</f>
        <v>0</v>
      </c>
      <c r="G809" s="595">
        <f>G789+G805+G788</f>
        <v>0</v>
      </c>
      <c r="H809" s="595">
        <f>H789+H805+H788</f>
        <v>0</v>
      </c>
      <c r="I809" s="595">
        <f>I789+I805+I788</f>
        <v>0</v>
      </c>
      <c r="J809" s="628"/>
      <c r="K809" s="611"/>
    </row>
    <row r="810" spans="1:11" x14ac:dyDescent="0.35">
      <c r="A810" s="717" t="s">
        <v>741</v>
      </c>
      <c r="B810" s="845" t="s">
        <v>1877</v>
      </c>
      <c r="C810" s="832"/>
      <c r="D810" s="717" t="s">
        <v>1729</v>
      </c>
      <c r="E810" s="595">
        <f>E790+E806</f>
        <v>0</v>
      </c>
      <c r="F810" s="595">
        <f>F790+F806</f>
        <v>0</v>
      </c>
      <c r="G810" s="595">
        <f>G790+G806</f>
        <v>0</v>
      </c>
      <c r="H810" s="595">
        <f>H790+H806</f>
        <v>0</v>
      </c>
      <c r="I810" s="595">
        <f>I790+I806</f>
        <v>0</v>
      </c>
      <c r="J810" s="628"/>
      <c r="K810" s="611"/>
    </row>
    <row r="811" spans="1:11" x14ac:dyDescent="0.35">
      <c r="A811" s="717" t="s">
        <v>743</v>
      </c>
      <c r="B811" s="845" t="s">
        <v>1878</v>
      </c>
      <c r="C811" s="832"/>
      <c r="D811" s="717" t="s">
        <v>1729</v>
      </c>
      <c r="E811" s="595">
        <f>E792+E807</f>
        <v>0</v>
      </c>
      <c r="F811" s="595">
        <f>F792+F807</f>
        <v>0</v>
      </c>
      <c r="G811" s="595">
        <f>G792+G807</f>
        <v>0</v>
      </c>
      <c r="H811" s="595">
        <f>H792+H807</f>
        <v>0</v>
      </c>
      <c r="I811" s="595">
        <f>I792+I807</f>
        <v>0</v>
      </c>
      <c r="J811" s="628"/>
      <c r="K811" s="611"/>
    </row>
    <row r="812" spans="1:11" x14ac:dyDescent="0.35">
      <c r="A812" s="717" t="s">
        <v>745</v>
      </c>
      <c r="B812" s="845" t="s">
        <v>1879</v>
      </c>
      <c r="C812" s="832"/>
      <c r="D812" s="717" t="s">
        <v>1729</v>
      </c>
      <c r="E812" s="595">
        <f>E811+E810</f>
        <v>0</v>
      </c>
      <c r="F812" s="595">
        <f>F811+F810</f>
        <v>0</v>
      </c>
      <c r="G812" s="595">
        <f>G811+G810</f>
        <v>0</v>
      </c>
      <c r="H812" s="595">
        <f>H811+H810</f>
        <v>0</v>
      </c>
      <c r="I812" s="595">
        <f>I811+I810</f>
        <v>0</v>
      </c>
      <c r="J812" s="628"/>
      <c r="K812" s="611"/>
    </row>
    <row r="813" spans="1:11" x14ac:dyDescent="0.35">
      <c r="A813" s="624"/>
      <c r="B813" s="625"/>
      <c r="C813" s="846"/>
      <c r="D813" s="624"/>
      <c r="E813" s="624"/>
      <c r="F813" s="624"/>
      <c r="G813" s="625"/>
      <c r="H813" s="793"/>
      <c r="I813" s="626"/>
      <c r="J813" s="626"/>
      <c r="K813" s="611"/>
    </row>
    <row r="814" spans="1:11" x14ac:dyDescent="0.35">
      <c r="A814" s="554" t="s">
        <v>747</v>
      </c>
      <c r="B814" s="627" t="s">
        <v>748</v>
      </c>
      <c r="C814" s="553"/>
      <c r="D814" s="554"/>
      <c r="E814" s="554"/>
      <c r="F814" s="554"/>
      <c r="G814" s="627"/>
      <c r="H814" s="643"/>
      <c r="I814" s="559"/>
      <c r="J814" s="559"/>
      <c r="K814" s="559"/>
    </row>
    <row r="815" spans="1:11" ht="35.5" customHeight="1" x14ac:dyDescent="0.35">
      <c r="A815" s="593" t="s">
        <v>749</v>
      </c>
      <c r="B815" s="822" t="s">
        <v>1880</v>
      </c>
      <c r="C815" s="564" t="s">
        <v>1881</v>
      </c>
      <c r="D815" s="593" t="s">
        <v>1139</v>
      </c>
      <c r="E815" s="595">
        <f>E632+E764+E765+E808</f>
        <v>0</v>
      </c>
      <c r="F815" s="593">
        <f>F632+F764+F765+F808</f>
        <v>0</v>
      </c>
      <c r="G815" s="593">
        <f>G632+G764+G765+G808</f>
        <v>0</v>
      </c>
      <c r="H815" s="614">
        <f>H632+H764+H765+H808</f>
        <v>0</v>
      </c>
      <c r="I815" s="593">
        <f>I632+I764+I765+I808</f>
        <v>0</v>
      </c>
      <c r="J815" s="611"/>
      <c r="K815" s="611"/>
    </row>
    <row r="816" spans="1:11" x14ac:dyDescent="0.35">
      <c r="A816" s="593" t="s">
        <v>751</v>
      </c>
      <c r="B816" s="844" t="s">
        <v>1882</v>
      </c>
      <c r="C816" s="564" t="s">
        <v>1883</v>
      </c>
      <c r="D816" s="593" t="s">
        <v>1139</v>
      </c>
      <c r="E816" s="595">
        <f>E809+E766+E633</f>
        <v>0</v>
      </c>
      <c r="F816" s="593">
        <f>F809+F766+F633</f>
        <v>0</v>
      </c>
      <c r="G816" s="593">
        <f>G809+G766+G633</f>
        <v>0</v>
      </c>
      <c r="H816" s="614">
        <f>H809+H766+H633</f>
        <v>0</v>
      </c>
      <c r="I816" s="593">
        <f>I809+I766+I633</f>
        <v>0</v>
      </c>
      <c r="J816" s="611"/>
      <c r="K816" s="611"/>
    </row>
    <row r="817" spans="1:11" x14ac:dyDescent="0.35">
      <c r="A817" s="593" t="s">
        <v>753</v>
      </c>
      <c r="B817" s="844" t="s">
        <v>1884</v>
      </c>
      <c r="C817" s="564" t="s">
        <v>1885</v>
      </c>
      <c r="D817" s="593" t="s">
        <v>1139</v>
      </c>
      <c r="E817" s="595">
        <f>E815+E816+E357</f>
        <v>0</v>
      </c>
      <c r="F817" s="593">
        <f>F815+F816+F357</f>
        <v>0</v>
      </c>
      <c r="G817" s="593">
        <f>G815+G816+G357</f>
        <v>0</v>
      </c>
      <c r="H817" s="614">
        <f>H815+H816+H357</f>
        <v>0</v>
      </c>
      <c r="I817" s="593">
        <f>I815+I816+I357</f>
        <v>0</v>
      </c>
      <c r="J817" s="611"/>
      <c r="K817" s="611"/>
    </row>
    <row r="818" spans="1:11" x14ac:dyDescent="0.35">
      <c r="A818" s="717" t="s">
        <v>755</v>
      </c>
      <c r="B818" s="845" t="s">
        <v>1886</v>
      </c>
      <c r="C818" s="832"/>
      <c r="D818" s="717" t="s">
        <v>1729</v>
      </c>
      <c r="E818" s="595">
        <f>E634+E767+E810+E768</f>
        <v>0</v>
      </c>
      <c r="F818" s="595">
        <f>F634+F767+F810+F768</f>
        <v>0</v>
      </c>
      <c r="G818" s="595">
        <f>G634+G767+G810+G768</f>
        <v>0</v>
      </c>
      <c r="H818" s="614">
        <f>H634+H767+H810+H768</f>
        <v>0</v>
      </c>
      <c r="I818" s="595">
        <f>I634+I767+I810+I768</f>
        <v>0</v>
      </c>
      <c r="J818" s="628"/>
      <c r="K818" s="611"/>
    </row>
    <row r="819" spans="1:11" x14ac:dyDescent="0.35">
      <c r="A819" s="717" t="s">
        <v>757</v>
      </c>
      <c r="B819" s="845" t="s">
        <v>1887</v>
      </c>
      <c r="C819" s="832"/>
      <c r="D819" s="717" t="s">
        <v>1729</v>
      </c>
      <c r="E819" s="595">
        <f>E635+E769+E811</f>
        <v>0</v>
      </c>
      <c r="F819" s="595">
        <f>F635+F769+F811</f>
        <v>0</v>
      </c>
      <c r="G819" s="595">
        <f>G635+G769+G811</f>
        <v>0</v>
      </c>
      <c r="H819" s="614">
        <f>H635+H769+H811</f>
        <v>0</v>
      </c>
      <c r="I819" s="595">
        <f>I635+I769+I811</f>
        <v>0</v>
      </c>
      <c r="J819" s="628"/>
      <c r="K819" s="611"/>
    </row>
    <row r="820" spans="1:11" x14ac:dyDescent="0.35">
      <c r="A820" s="717" t="s">
        <v>759</v>
      </c>
      <c r="B820" s="845" t="s">
        <v>1888</v>
      </c>
      <c r="C820" s="832"/>
      <c r="D820" s="717" t="s">
        <v>1729</v>
      </c>
      <c r="E820" s="595">
        <f>E819+E818</f>
        <v>0</v>
      </c>
      <c r="F820" s="595">
        <f>F819+F818</f>
        <v>0</v>
      </c>
      <c r="G820" s="595">
        <f>G819+G818</f>
        <v>0</v>
      </c>
      <c r="H820" s="614">
        <f>H819+H818</f>
        <v>0</v>
      </c>
      <c r="I820" s="595">
        <f>I819+I818</f>
        <v>0</v>
      </c>
      <c r="J820" s="628"/>
      <c r="K820" s="611"/>
    </row>
    <row r="821" spans="1:11" x14ac:dyDescent="0.35">
      <c r="A821" s="543"/>
      <c r="B821" s="618"/>
      <c r="C821" s="580"/>
      <c r="D821" s="543"/>
      <c r="E821" s="543"/>
      <c r="F821" s="543"/>
      <c r="G821" s="597"/>
      <c r="H821" s="596"/>
      <c r="I821" s="596"/>
      <c r="J821" s="628"/>
      <c r="K821" s="628"/>
    </row>
    <row r="822" spans="1:11" x14ac:dyDescent="0.35">
      <c r="A822" s="554" t="s">
        <v>761</v>
      </c>
      <c r="B822" s="556" t="s">
        <v>762</v>
      </c>
      <c r="C822" s="553"/>
      <c r="D822" s="554"/>
      <c r="E822" s="554"/>
      <c r="F822" s="554"/>
      <c r="G822" s="627"/>
      <c r="H822" s="643"/>
      <c r="I822" s="558"/>
      <c r="J822" s="558"/>
      <c r="K822" s="558"/>
    </row>
    <row r="823" spans="1:11" ht="43.5" customHeight="1" x14ac:dyDescent="0.35">
      <c r="A823" s="593" t="s">
        <v>763</v>
      </c>
      <c r="B823" s="844" t="s">
        <v>1889</v>
      </c>
      <c r="C823" s="564" t="s">
        <v>1890</v>
      </c>
      <c r="D823" s="593" t="s">
        <v>1060</v>
      </c>
      <c r="E823" s="595">
        <f>IF(E233=0, (0), ((E731+E709+E689+E671+E653+E755)*10/E233))</f>
        <v>0</v>
      </c>
      <c r="F823" s="593">
        <f>IF(F233=0, (0), ((F731+F709+F689+F671+F653+F755)*10/F233))</f>
        <v>0</v>
      </c>
      <c r="G823" s="593">
        <f>IF(G233=0, (0), ((G731+G709+G689+G671+G653+G755)*10/G233))</f>
        <v>0</v>
      </c>
      <c r="H823" s="595">
        <f>IF(H233=0, (0), ((H731+H709+H689+H671+H653+H755)*10/H233))</f>
        <v>0</v>
      </c>
      <c r="I823" s="593">
        <f>IF(I233=0, (0), ((I731+I709+I689+I671+I653+I755)*10/I233))</f>
        <v>0</v>
      </c>
      <c r="J823" s="611"/>
      <c r="K823" s="611"/>
    </row>
    <row r="824" spans="1:11" ht="105.65" customHeight="1" x14ac:dyDescent="0.35">
      <c r="A824" s="593" t="s">
        <v>765</v>
      </c>
      <c r="B824" s="844" t="s">
        <v>1891</v>
      </c>
      <c r="C824" s="564" t="s">
        <v>1892</v>
      </c>
      <c r="D824" s="593" t="s">
        <v>1060</v>
      </c>
      <c r="E824" s="595">
        <f>IF(E322=0, (0), (((E733+E711+E690+E672+E654+E756)+(E411+E433+E455+E477+E499+E521+E543+E565+E602+E624-E580))*10/E322))</f>
        <v>0</v>
      </c>
      <c r="F824" s="593">
        <f>IF(F322=0, (0), (((F733+F711+F690+F672+F654+F756)+(F411+F433+F455+F477+F499+F521+F543+F565+F602+F624-F580))*10/F322))</f>
        <v>0</v>
      </c>
      <c r="G824" s="593">
        <f>IF(G322=0, (0), (((G733+G711+G690+G672+G654+G756)+(G411+G433+G455+G477+G499+G521+G543+G565+G602+G624-G580))*10/G322))</f>
        <v>0</v>
      </c>
      <c r="H824" s="595">
        <f>IFERROR((E824*E322+F824*F322+G824*G322)/(E322+F322+G322),0)</f>
        <v>0</v>
      </c>
      <c r="I824" s="593">
        <f>IF(I322=0, (0), (((#REF!+I711+I690+I672+I654+I756)+(I411+I433+I455+I477+I499+I521+I543+I565+I602+I624-I580))*10/I322))</f>
        <v>0</v>
      </c>
      <c r="J824" s="611"/>
      <c r="K824" s="611"/>
    </row>
    <row r="825" spans="1:11" x14ac:dyDescent="0.35">
      <c r="A825" s="593" t="s">
        <v>767</v>
      </c>
      <c r="B825" s="844" t="s">
        <v>1893</v>
      </c>
      <c r="C825" s="564" t="s">
        <v>1894</v>
      </c>
      <c r="D825" s="593" t="s">
        <v>1060</v>
      </c>
      <c r="E825" s="595">
        <f>IF(E336=0, (0), (E808*10/E336))</f>
        <v>0</v>
      </c>
      <c r="F825" s="595">
        <f>IF(F336=0, (0), (F808*10/F336))</f>
        <v>0</v>
      </c>
      <c r="G825" s="595">
        <f>IF(G336=0, (0), (G808*10/G336))</f>
        <v>0</v>
      </c>
      <c r="H825" s="595">
        <f>IF(H336=0, (0), (H808*10/H336))</f>
        <v>0</v>
      </c>
      <c r="I825" s="595">
        <f>IF(I336=0, (0), (I808*10/I336))</f>
        <v>0</v>
      </c>
      <c r="J825" s="611"/>
      <c r="K825" s="611"/>
    </row>
    <row r="826" spans="1:11" ht="43.5" customHeight="1" x14ac:dyDescent="0.35">
      <c r="A826" s="593" t="s">
        <v>769</v>
      </c>
      <c r="B826" s="844" t="s">
        <v>1895</v>
      </c>
      <c r="C826" s="564" t="s">
        <v>1896</v>
      </c>
      <c r="D826" s="593" t="s">
        <v>1897</v>
      </c>
      <c r="E826" s="595">
        <f>IFERROR((E222*3208+E233*E823+E322*E824+E336*E825+E353*E352)/(E222+E233+E322+E336+E352),0)</f>
        <v>0</v>
      </c>
      <c r="F826" s="593">
        <f>IFERROR((F222*3208+F233*F823+F322*F824+F336*F825+F353*F352)/(F222+F233+F322+F336+F352),0)</f>
        <v>0</v>
      </c>
      <c r="G826" s="593">
        <f>IFERROR((G222*3208+G233*G823+G322*G824+G336*G825+G353*G352)/(G222+G233+G322+G336+G352),0)</f>
        <v>0</v>
      </c>
      <c r="H826" s="595">
        <f>IFERROR((H222*3208+H233*H823+H322*H824+H336*H825+H353*H352)/(H222+H233+H322+H336+H352),0)</f>
        <v>0</v>
      </c>
      <c r="I826" s="593">
        <f>IFERROR((I222*3208+I233*I823+I322*I824+I336*I825+I353*I352)/(I222+I233+I322+I336+I352),0)</f>
        <v>0</v>
      </c>
      <c r="J826" s="611"/>
      <c r="K826" s="611"/>
    </row>
    <row r="827" spans="1:11" ht="43.5" customHeight="1" x14ac:dyDescent="0.35">
      <c r="A827" s="717" t="s">
        <v>771</v>
      </c>
      <c r="B827" s="833" t="s">
        <v>1898</v>
      </c>
      <c r="C827" s="832" t="s">
        <v>1899</v>
      </c>
      <c r="D827" s="717" t="s">
        <v>1897</v>
      </c>
      <c r="E827" s="595">
        <f>IFERROR((E233*'NF-5 Power Mix'!$E$34+E322*'NF-5 Power Mix'!$E$35+E336*'NF-5 Power Mix'!$E$36+E354*E352)/(E233+E322+E336+E344+E352+E362+E369),0)</f>
        <v>0</v>
      </c>
      <c r="F827" s="595">
        <f>IFERROR((F233*'NF-5 Power Mix'!$E$34+F322*'NF-5 Power Mix'!$E$35+F336*'NF-5 Power Mix'!$E$36+F354*F352)/(F233+F322+F336+F344+F352+F362+F369),0)</f>
        <v>0</v>
      </c>
      <c r="G827" s="595">
        <f>IFERROR((G233*'NF-5 Power Mix'!$E$34+G322*'NF-5 Power Mix'!$E$35+G336*'NF-5 Power Mix'!$E$36+G354*G352)/(G233+G322+G336+G344+G352+G362+G369),0)</f>
        <v>0</v>
      </c>
      <c r="H827" s="595">
        <f>IFERROR((H233*'NF-5 Power Mix'!$E$34+H322*'NF-5 Power Mix'!$E$35+H336*'NF-5 Power Mix'!$E$36+H354*H352)/(H233+H322+H336+H344+H352+H362+H369),0)</f>
        <v>0</v>
      </c>
      <c r="I827" s="595">
        <f>IFERROR((I233*'NF-5 Power Mix'!$E$34+I322*'NF-5 Power Mix'!$E$35+I336*'NF-5 Power Mix'!$E$36+I354*I352)/(I233+I322+I336+I344+I352+I362+I369),0)</f>
        <v>0</v>
      </c>
      <c r="J827" s="611"/>
      <c r="K827" s="611"/>
    </row>
    <row r="828" spans="1:11" x14ac:dyDescent="0.35">
      <c r="A828" s="554" t="s">
        <v>51</v>
      </c>
      <c r="B828" s="556" t="s">
        <v>1900</v>
      </c>
      <c r="C828" s="553"/>
      <c r="D828" s="553"/>
      <c r="E828" s="553"/>
      <c r="F828" s="553"/>
      <c r="G828" s="556"/>
      <c r="H828" s="787"/>
      <c r="I828" s="577"/>
      <c r="J828" s="577"/>
      <c r="K828" s="577"/>
    </row>
    <row r="829" spans="1:11" ht="29" customHeight="1" outlineLevel="1" x14ac:dyDescent="0.35">
      <c r="A829" s="52" t="s">
        <v>774</v>
      </c>
      <c r="B829" s="3" t="s">
        <v>1901</v>
      </c>
      <c r="C829" s="2" t="s">
        <v>56</v>
      </c>
      <c r="D829" s="2" t="s">
        <v>1902</v>
      </c>
      <c r="E829" s="561" t="e">
        <f>(E407*E397+E429*E421+E451*E443+E495*E487+E517*E509+E539*E531+E596*E588+E618*E611+E753*E743)/E33</f>
        <v>#DIV/0!</v>
      </c>
      <c r="F829" s="561" t="e">
        <f>(F407*F397+F429*F421+F451*F443+F495*F487+F517*F509+F539*F531+F596*F588+F618*F611+F753*F743)/F33</f>
        <v>#DIV/0!</v>
      </c>
      <c r="G829" s="561" t="e">
        <f>(G407*G397+G429*G421+G451*G443+G495*G487+G517*G509+G539*G531+G596*G588+G618*G611+G753*G743)/G33</f>
        <v>#DIV/0!</v>
      </c>
      <c r="H829" s="485" t="e">
        <f t="shared" ref="H829:H838" si="51">IF(K$8=1,E829,IF(K$8=2,(E829+F829)/2,(E829+F829+G829)/3))</f>
        <v>#DIV/0!</v>
      </c>
      <c r="I829" s="561"/>
      <c r="J829" s="926" t="s">
        <v>1903</v>
      </c>
      <c r="K829" s="32"/>
    </row>
    <row r="830" spans="1:11" outlineLevel="1" x14ac:dyDescent="0.35">
      <c r="A830" s="52" t="s">
        <v>779</v>
      </c>
      <c r="B830" s="3" t="s">
        <v>1904</v>
      </c>
      <c r="C830" s="2" t="s">
        <v>56</v>
      </c>
      <c r="D830" s="2" t="s">
        <v>1905</v>
      </c>
      <c r="E830" s="561"/>
      <c r="F830" s="561"/>
      <c r="G830" s="561"/>
      <c r="H830" s="485">
        <f t="shared" si="51"/>
        <v>0</v>
      </c>
      <c r="I830" s="587"/>
      <c r="J830" s="926" t="s">
        <v>1526</v>
      </c>
      <c r="K830" s="32"/>
    </row>
    <row r="831" spans="1:11" outlineLevel="1" x14ac:dyDescent="0.35">
      <c r="A831" s="52" t="s">
        <v>783</v>
      </c>
      <c r="B831" s="3" t="s">
        <v>1906</v>
      </c>
      <c r="C831" s="2" t="s">
        <v>56</v>
      </c>
      <c r="D831" s="2" t="s">
        <v>1907</v>
      </c>
      <c r="E831" s="561">
        <f>30.41+E836</f>
        <v>30.41</v>
      </c>
      <c r="F831" s="561">
        <f>30.08+F836</f>
        <v>30.08</v>
      </c>
      <c r="G831" s="561">
        <f>29.14+G836</f>
        <v>29.14</v>
      </c>
      <c r="H831" s="485">
        <f t="shared" si="51"/>
        <v>29.876666666666665</v>
      </c>
      <c r="I831" s="561"/>
      <c r="J831" s="926" t="s">
        <v>1526</v>
      </c>
      <c r="K831" s="32"/>
    </row>
    <row r="832" spans="1:11" outlineLevel="1" x14ac:dyDescent="0.35">
      <c r="A832" s="52" t="s">
        <v>787</v>
      </c>
      <c r="B832" s="3" t="s">
        <v>1908</v>
      </c>
      <c r="C832" s="2" t="s">
        <v>56</v>
      </c>
      <c r="D832" s="2" t="s">
        <v>1909</v>
      </c>
      <c r="E832" s="561"/>
      <c r="F832" s="561"/>
      <c r="G832" s="561"/>
      <c r="H832" s="485">
        <f t="shared" si="51"/>
        <v>0</v>
      </c>
      <c r="I832" s="561"/>
      <c r="J832" s="926" t="s">
        <v>1526</v>
      </c>
      <c r="K832" s="32"/>
    </row>
    <row r="833" spans="1:11" outlineLevel="1" x14ac:dyDescent="0.35">
      <c r="A833" s="52" t="s">
        <v>791</v>
      </c>
      <c r="B833" s="3" t="s">
        <v>1910</v>
      </c>
      <c r="C833" s="2" t="s">
        <v>56</v>
      </c>
      <c r="D833" s="2" t="s">
        <v>1911</v>
      </c>
      <c r="E833" s="561"/>
      <c r="F833" s="561"/>
      <c r="G833" s="561"/>
      <c r="H833" s="485">
        <f t="shared" si="51"/>
        <v>0</v>
      </c>
      <c r="I833" s="561"/>
      <c r="J833" s="926" t="s">
        <v>1526</v>
      </c>
      <c r="K833" s="32"/>
    </row>
    <row r="834" spans="1:11" outlineLevel="1" x14ac:dyDescent="0.35">
      <c r="A834" s="52" t="s">
        <v>795</v>
      </c>
      <c r="B834" s="3" t="s">
        <v>1912</v>
      </c>
      <c r="C834" s="2" t="s">
        <v>56</v>
      </c>
      <c r="D834" s="2" t="s">
        <v>1905</v>
      </c>
      <c r="E834" s="561"/>
      <c r="F834" s="561"/>
      <c r="G834" s="561"/>
      <c r="H834" s="485">
        <f t="shared" si="51"/>
        <v>0</v>
      </c>
      <c r="I834" s="561"/>
      <c r="J834" s="926" t="s">
        <v>1526</v>
      </c>
      <c r="K834" s="32"/>
    </row>
    <row r="835" spans="1:11" outlineLevel="1" x14ac:dyDescent="0.35">
      <c r="A835" s="52" t="s">
        <v>798</v>
      </c>
      <c r="B835" s="3" t="s">
        <v>1913</v>
      </c>
      <c r="C835" s="2" t="s">
        <v>56</v>
      </c>
      <c r="D835" s="2" t="s">
        <v>1914</v>
      </c>
      <c r="E835" s="561"/>
      <c r="F835" s="561"/>
      <c r="G835" s="561"/>
      <c r="H835" s="485">
        <f t="shared" si="51"/>
        <v>0</v>
      </c>
      <c r="I835" s="561"/>
      <c r="J835" s="926" t="s">
        <v>1526</v>
      </c>
      <c r="K835" s="32"/>
    </row>
    <row r="836" spans="1:11" outlineLevel="1" x14ac:dyDescent="0.35">
      <c r="A836" s="52" t="s">
        <v>800</v>
      </c>
      <c r="B836" s="3" t="s">
        <v>1915</v>
      </c>
      <c r="C836" s="2" t="s">
        <v>56</v>
      </c>
      <c r="D836" s="2" t="s">
        <v>1907</v>
      </c>
      <c r="E836" s="561"/>
      <c r="F836" s="561"/>
      <c r="G836" s="561"/>
      <c r="H836" s="485">
        <f t="shared" si="51"/>
        <v>0</v>
      </c>
      <c r="I836" s="561"/>
      <c r="J836" s="926" t="s">
        <v>1526</v>
      </c>
      <c r="K836" s="32"/>
    </row>
    <row r="837" spans="1:11" outlineLevel="1" x14ac:dyDescent="0.35">
      <c r="A837" s="52" t="s">
        <v>803</v>
      </c>
      <c r="B837" s="3" t="s">
        <v>1916</v>
      </c>
      <c r="C837" s="2" t="s">
        <v>56</v>
      </c>
      <c r="D837" s="2" t="s">
        <v>1917</v>
      </c>
      <c r="E837" s="561"/>
      <c r="F837" s="561"/>
      <c r="G837" s="561"/>
      <c r="H837" s="485">
        <f t="shared" si="51"/>
        <v>0</v>
      </c>
      <c r="I837" s="561"/>
      <c r="J837" s="561"/>
      <c r="K837" s="32"/>
    </row>
    <row r="838" spans="1:11" outlineLevel="1" x14ac:dyDescent="0.35">
      <c r="A838" s="52" t="s">
        <v>806</v>
      </c>
      <c r="B838" s="3" t="s">
        <v>1918</v>
      </c>
      <c r="C838" s="2" t="s">
        <v>56</v>
      </c>
      <c r="D838" s="2" t="s">
        <v>1919</v>
      </c>
      <c r="E838" s="561"/>
      <c r="F838" s="561"/>
      <c r="G838" s="561"/>
      <c r="H838" s="485">
        <f t="shared" si="51"/>
        <v>0</v>
      </c>
      <c r="I838" s="561"/>
      <c r="J838" s="561"/>
      <c r="K838" s="32"/>
    </row>
    <row r="839" spans="1:11" x14ac:dyDescent="0.35">
      <c r="A839" s="554" t="s">
        <v>809</v>
      </c>
      <c r="B839" s="556" t="s">
        <v>810</v>
      </c>
      <c r="C839" s="260"/>
      <c r="D839" s="553"/>
      <c r="E839" s="553"/>
      <c r="F839" s="553"/>
      <c r="G839" s="577"/>
      <c r="H839" s="787"/>
      <c r="I839" s="577"/>
      <c r="J839" s="577"/>
      <c r="K839" s="577"/>
    </row>
    <row r="840" spans="1:11" x14ac:dyDescent="0.35">
      <c r="A840" s="52" t="s">
        <v>811</v>
      </c>
      <c r="B840" s="3" t="s">
        <v>1920</v>
      </c>
      <c r="C840" s="2" t="s">
        <v>56</v>
      </c>
      <c r="D840" s="2" t="s">
        <v>1921</v>
      </c>
      <c r="E840" s="561"/>
      <c r="F840" s="561"/>
      <c r="G840" s="561"/>
      <c r="H840" s="485">
        <f t="shared" ref="H840:H846" si="52">IF(K$8=1,E840,IF(K$8=2,(E840+F840)/2,(E840+F840+G840)/3))</f>
        <v>0</v>
      </c>
      <c r="I840" s="561"/>
      <c r="J840" s="869"/>
      <c r="K840" s="629"/>
    </row>
    <row r="841" spans="1:11" x14ac:dyDescent="0.35">
      <c r="A841" s="52" t="s">
        <v>815</v>
      </c>
      <c r="B841" s="3" t="s">
        <v>1922</v>
      </c>
      <c r="C841" s="2" t="s">
        <v>56</v>
      </c>
      <c r="D841" s="2" t="s">
        <v>1923</v>
      </c>
      <c r="E841" s="561"/>
      <c r="F841" s="561"/>
      <c r="G841" s="561"/>
      <c r="H841" s="485">
        <f t="shared" si="52"/>
        <v>0</v>
      </c>
      <c r="I841" s="588"/>
      <c r="J841" s="869"/>
      <c r="K841" s="32"/>
    </row>
    <row r="842" spans="1:11" x14ac:dyDescent="0.35">
      <c r="A842" s="52" t="s">
        <v>1924</v>
      </c>
      <c r="B842" s="804" t="s">
        <v>1925</v>
      </c>
      <c r="C842" s="2" t="s">
        <v>56</v>
      </c>
      <c r="D842" s="2" t="s">
        <v>1057</v>
      </c>
      <c r="E842" s="561"/>
      <c r="F842" s="561"/>
      <c r="G842" s="561"/>
      <c r="H842" s="485">
        <f t="shared" si="52"/>
        <v>0</v>
      </c>
      <c r="I842" s="588"/>
      <c r="J842" s="869"/>
      <c r="K842" s="32"/>
    </row>
    <row r="843" spans="1:11" x14ac:dyDescent="0.35">
      <c r="A843" s="52" t="s">
        <v>1926</v>
      </c>
      <c r="B843" s="804" t="s">
        <v>1927</v>
      </c>
      <c r="C843" s="2" t="s">
        <v>56</v>
      </c>
      <c r="D843" s="2" t="s">
        <v>1057</v>
      </c>
      <c r="E843" s="561"/>
      <c r="F843" s="561"/>
      <c r="G843" s="561"/>
      <c r="H843" s="485">
        <f t="shared" si="52"/>
        <v>0</v>
      </c>
      <c r="I843" s="588"/>
      <c r="J843" s="869"/>
      <c r="K843" s="32"/>
    </row>
    <row r="844" spans="1:11" x14ac:dyDescent="0.35">
      <c r="A844" s="52" t="s">
        <v>1928</v>
      </c>
      <c r="B844" s="804" t="s">
        <v>1929</v>
      </c>
      <c r="C844" s="2" t="s">
        <v>56</v>
      </c>
      <c r="D844" s="2" t="s">
        <v>1057</v>
      </c>
      <c r="E844" s="561"/>
      <c r="F844" s="561"/>
      <c r="G844" s="561"/>
      <c r="H844" s="485">
        <f t="shared" si="52"/>
        <v>0</v>
      </c>
      <c r="I844" s="588"/>
      <c r="J844" s="588"/>
      <c r="K844" s="32"/>
    </row>
    <row r="845" spans="1:11" x14ac:dyDescent="0.35">
      <c r="A845" s="52" t="s">
        <v>1930</v>
      </c>
      <c r="B845" s="227" t="s">
        <v>1931</v>
      </c>
      <c r="C845" s="2" t="s">
        <v>56</v>
      </c>
      <c r="D845" s="2" t="s">
        <v>1057</v>
      </c>
      <c r="E845" s="561"/>
      <c r="F845" s="561"/>
      <c r="G845" s="561"/>
      <c r="H845" s="485">
        <f t="shared" si="52"/>
        <v>0</v>
      </c>
      <c r="I845" s="588"/>
      <c r="J845" s="588"/>
      <c r="K845" s="32"/>
    </row>
    <row r="846" spans="1:11" x14ac:dyDescent="0.35">
      <c r="A846" s="52" t="s">
        <v>1932</v>
      </c>
      <c r="B846" s="227" t="s">
        <v>1933</v>
      </c>
      <c r="C846" s="2" t="s">
        <v>56</v>
      </c>
      <c r="D846" s="2" t="s">
        <v>1057</v>
      </c>
      <c r="E846" s="561"/>
      <c r="F846" s="561"/>
      <c r="G846" s="561"/>
      <c r="H846" s="485">
        <f t="shared" si="52"/>
        <v>0</v>
      </c>
      <c r="I846" s="588"/>
      <c r="J846" s="588"/>
      <c r="K846" s="32"/>
    </row>
    <row r="847" spans="1:11" x14ac:dyDescent="0.35">
      <c r="A847" s="554" t="s">
        <v>822</v>
      </c>
      <c r="B847" s="556" t="s">
        <v>823</v>
      </c>
      <c r="C847" s="260"/>
      <c r="D847" s="553"/>
      <c r="E847" s="553"/>
      <c r="F847" s="553"/>
      <c r="G847" s="630"/>
      <c r="H847" s="787"/>
      <c r="I847" s="631"/>
      <c r="J847" s="869"/>
      <c r="K847" s="581"/>
    </row>
    <row r="848" spans="1:11" x14ac:dyDescent="0.35">
      <c r="A848" s="52" t="s">
        <v>824</v>
      </c>
      <c r="B848" s="3" t="s">
        <v>1934</v>
      </c>
      <c r="C848" s="2" t="s">
        <v>56</v>
      </c>
      <c r="D848" s="2" t="s">
        <v>1057</v>
      </c>
      <c r="E848" s="561"/>
      <c r="F848" s="561"/>
      <c r="G848" s="561"/>
      <c r="H848" s="485">
        <f>IF(K$8=1,E848,IF(K$8=2,(E848+F848)/2,(E848+F848+G848)/3))</f>
        <v>0</v>
      </c>
      <c r="I848" s="561"/>
      <c r="J848" s="926" t="s">
        <v>1935</v>
      </c>
      <c r="K848" s="32"/>
    </row>
    <row r="849" spans="1:11" x14ac:dyDescent="0.35">
      <c r="A849" s="52" t="s">
        <v>828</v>
      </c>
      <c r="B849" s="3" t="s">
        <v>1936</v>
      </c>
      <c r="C849" s="2" t="s">
        <v>56</v>
      </c>
      <c r="D849" s="2" t="s">
        <v>1057</v>
      </c>
      <c r="E849" s="561"/>
      <c r="F849" s="561"/>
      <c r="G849" s="561"/>
      <c r="H849" s="485">
        <f>IF(K$8=1,E849,IF(K$8=2,(E849+F849)/2,(E849+F849+G849)/3))</f>
        <v>0</v>
      </c>
      <c r="I849" s="561"/>
      <c r="J849" s="926" t="s">
        <v>1935</v>
      </c>
      <c r="K849" s="32"/>
    </row>
    <row r="850" spans="1:11" x14ac:dyDescent="0.35">
      <c r="A850" s="52" t="s">
        <v>830</v>
      </c>
      <c r="B850" s="3" t="s">
        <v>1937</v>
      </c>
      <c r="C850" s="2" t="s">
        <v>56</v>
      </c>
      <c r="D850" s="2" t="s">
        <v>1057</v>
      </c>
      <c r="E850" s="561"/>
      <c r="F850" s="561"/>
      <c r="G850" s="561"/>
      <c r="H850" s="485">
        <f>IF(K$8=1,E850,IF(K$8=2,(E850+F850)/2,(E850+F850+G850)/3))</f>
        <v>0</v>
      </c>
      <c r="I850" s="561"/>
      <c r="J850" s="926"/>
      <c r="K850" s="32"/>
    </row>
    <row r="851" spans="1:11" x14ac:dyDescent="0.35">
      <c r="A851" s="52" t="s">
        <v>832</v>
      </c>
      <c r="B851" s="3" t="s">
        <v>1938</v>
      </c>
      <c r="C851" s="2" t="s">
        <v>56</v>
      </c>
      <c r="D851" s="2" t="s">
        <v>1867</v>
      </c>
      <c r="E851" s="561"/>
      <c r="F851" s="561"/>
      <c r="G851" s="561"/>
      <c r="H851" s="485">
        <f>IF(K$8=1,E851,IF(K$8=2,(E851+F851)/2,(E851+F851+G851)/3))</f>
        <v>0</v>
      </c>
      <c r="I851" s="561"/>
      <c r="J851" s="926" t="s">
        <v>1935</v>
      </c>
      <c r="K851" s="32"/>
    </row>
    <row r="852" spans="1:11" x14ac:dyDescent="0.35">
      <c r="A852" s="52" t="s">
        <v>1939</v>
      </c>
      <c r="B852" s="3" t="s">
        <v>1940</v>
      </c>
      <c r="C852" s="2" t="s">
        <v>56</v>
      </c>
      <c r="D852" s="2" t="s">
        <v>1057</v>
      </c>
      <c r="E852" s="561"/>
      <c r="F852" s="561"/>
      <c r="G852" s="561"/>
      <c r="H852" s="485">
        <f>IF(K$8=1,E852,IF(K$8=2,(E852+F852)/2,(E852+F852+G852)/3))</f>
        <v>0</v>
      </c>
      <c r="I852" s="589"/>
      <c r="J852" s="589"/>
      <c r="K852" s="589"/>
    </row>
    <row r="853" spans="1:11" x14ac:dyDescent="0.35">
      <c r="A853" s="554" t="s">
        <v>834</v>
      </c>
      <c r="B853" s="556" t="s">
        <v>1941</v>
      </c>
      <c r="C853" s="260"/>
      <c r="D853" s="260"/>
      <c r="E853" s="260"/>
      <c r="F853" s="260"/>
      <c r="G853" s="630"/>
      <c r="H853" s="789"/>
      <c r="I853" s="585"/>
      <c r="J853" s="585"/>
      <c r="K853" s="585"/>
    </row>
    <row r="854" spans="1:11" ht="29" customHeight="1" x14ac:dyDescent="0.35">
      <c r="A854" s="554" t="s">
        <v>1942</v>
      </c>
      <c r="B854" s="556" t="s">
        <v>837</v>
      </c>
      <c r="C854" s="260"/>
      <c r="D854" s="260"/>
      <c r="E854" s="260"/>
      <c r="F854" s="260"/>
      <c r="G854" s="630"/>
      <c r="H854" s="789"/>
      <c r="I854" s="585"/>
      <c r="J854" s="585"/>
      <c r="K854" s="585"/>
    </row>
    <row r="855" spans="1:11" x14ac:dyDescent="0.35">
      <c r="A855" s="564" t="s">
        <v>110</v>
      </c>
      <c r="B855" s="822" t="s">
        <v>1943</v>
      </c>
      <c r="C855" s="564" t="s">
        <v>56</v>
      </c>
      <c r="D855" s="564" t="s">
        <v>1336</v>
      </c>
      <c r="E855" s="564"/>
      <c r="F855" s="564"/>
      <c r="G855" s="565"/>
      <c r="H855" s="566"/>
      <c r="I855" s="564"/>
      <c r="J855" s="637"/>
      <c r="K855" s="32"/>
    </row>
    <row r="856" spans="1:11" x14ac:dyDescent="0.35">
      <c r="A856" s="564" t="s">
        <v>115</v>
      </c>
      <c r="B856" s="822" t="s">
        <v>1944</v>
      </c>
      <c r="C856" s="564" t="s">
        <v>56</v>
      </c>
      <c r="D856" s="564" t="s">
        <v>1139</v>
      </c>
      <c r="E856" s="564"/>
      <c r="F856" s="564"/>
      <c r="G856" s="565"/>
      <c r="H856" s="566"/>
      <c r="I856" s="564"/>
      <c r="J856" s="637"/>
      <c r="K856" s="32"/>
    </row>
    <row r="857" spans="1:11" x14ac:dyDescent="0.35">
      <c r="A857" s="52"/>
      <c r="B857" s="3"/>
      <c r="C857" s="2"/>
      <c r="D857" s="2"/>
      <c r="E857" s="2"/>
      <c r="F857" s="2"/>
      <c r="G857" s="30"/>
      <c r="H857" s="785"/>
      <c r="I857" s="589"/>
      <c r="J857" s="589"/>
      <c r="K857" s="589"/>
    </row>
    <row r="858" spans="1:11" x14ac:dyDescent="0.35">
      <c r="A858" s="554" t="s">
        <v>1945</v>
      </c>
      <c r="B858" s="556" t="s">
        <v>849</v>
      </c>
      <c r="C858" s="260"/>
      <c r="D858" s="260"/>
      <c r="E858" s="260"/>
      <c r="F858" s="260"/>
      <c r="G858" s="630"/>
      <c r="H858" s="789"/>
      <c r="I858" s="585"/>
      <c r="J858" s="585"/>
      <c r="K858" s="585"/>
    </row>
    <row r="859" spans="1:11" ht="29" customHeight="1" outlineLevel="1" x14ac:dyDescent="0.35">
      <c r="A859" s="52" t="s">
        <v>110</v>
      </c>
      <c r="B859" s="3" t="s">
        <v>1946</v>
      </c>
      <c r="C859" s="2" t="s">
        <v>56</v>
      </c>
      <c r="D859" s="2" t="s">
        <v>1018</v>
      </c>
      <c r="E859" s="632"/>
      <c r="F859" s="632"/>
      <c r="G859" s="633"/>
      <c r="H859" s="794"/>
      <c r="I859" s="32"/>
      <c r="J859" s="32"/>
      <c r="K859" s="32"/>
    </row>
    <row r="860" spans="1:11" ht="29" customHeight="1" outlineLevel="1" x14ac:dyDescent="0.35">
      <c r="A860" s="52" t="s">
        <v>115</v>
      </c>
      <c r="B860" s="3" t="s">
        <v>1947</v>
      </c>
      <c r="C860" s="2" t="s">
        <v>56</v>
      </c>
      <c r="D860" s="2" t="s">
        <v>1018</v>
      </c>
      <c r="E860" s="632"/>
      <c r="F860" s="632"/>
      <c r="G860" s="633"/>
      <c r="H860" s="794"/>
      <c r="I860" s="32"/>
      <c r="J860" s="32"/>
      <c r="K860" s="32"/>
    </row>
    <row r="861" spans="1:11" ht="29" customHeight="1" outlineLevel="1" x14ac:dyDescent="0.35">
      <c r="A861" s="52" t="s">
        <v>118</v>
      </c>
      <c r="B861" s="3" t="s">
        <v>1948</v>
      </c>
      <c r="C861" s="2" t="s">
        <v>56</v>
      </c>
      <c r="D861" s="2" t="s">
        <v>1018</v>
      </c>
      <c r="E861" s="632"/>
      <c r="F861" s="632"/>
      <c r="G861" s="633"/>
      <c r="H861" s="794"/>
      <c r="I861" s="32"/>
      <c r="J861" s="32"/>
      <c r="K861" s="32"/>
    </row>
    <row r="862" spans="1:11" outlineLevel="1" x14ac:dyDescent="0.35">
      <c r="A862" s="554" t="s">
        <v>1949</v>
      </c>
      <c r="B862" s="556" t="s">
        <v>856</v>
      </c>
      <c r="C862" s="553"/>
      <c r="D862" s="553"/>
      <c r="E862" s="553"/>
      <c r="F862" s="553"/>
      <c r="G862" s="577"/>
      <c r="H862" s="643"/>
      <c r="I862" s="558"/>
      <c r="J862" s="558"/>
      <c r="K862" s="558"/>
    </row>
    <row r="863" spans="1:11" outlineLevel="1" x14ac:dyDescent="0.35">
      <c r="A863" s="564" t="s">
        <v>110</v>
      </c>
      <c r="B863" s="822" t="s">
        <v>1950</v>
      </c>
      <c r="C863" s="564" t="s">
        <v>56</v>
      </c>
      <c r="D863" s="564" t="s">
        <v>1336</v>
      </c>
      <c r="E863" s="564"/>
      <c r="F863" s="564"/>
      <c r="G863" s="565"/>
      <c r="H863" s="566"/>
      <c r="I863" s="564">
        <f>'Annex Project Activites List'!K27</f>
        <v>0</v>
      </c>
      <c r="J863" s="637"/>
      <c r="K863" s="32"/>
    </row>
    <row r="864" spans="1:11" outlineLevel="1" x14ac:dyDescent="0.35">
      <c r="A864" s="564" t="s">
        <v>115</v>
      </c>
      <c r="B864" s="822" t="s">
        <v>1951</v>
      </c>
      <c r="C864" s="564" t="s">
        <v>56</v>
      </c>
      <c r="D864" s="564" t="s">
        <v>1139</v>
      </c>
      <c r="E864" s="564"/>
      <c r="F864" s="564"/>
      <c r="G864" s="565"/>
      <c r="H864" s="566"/>
      <c r="I864" s="564">
        <f>'Annex Project Activites List'!L27</f>
        <v>0</v>
      </c>
      <c r="J864" s="637"/>
      <c r="K864" s="32"/>
    </row>
    <row r="865" spans="1:11" outlineLevel="1" x14ac:dyDescent="0.35">
      <c r="A865" s="543" t="s">
        <v>1952</v>
      </c>
      <c r="B865" s="618" t="s">
        <v>863</v>
      </c>
      <c r="C865" s="580"/>
      <c r="D865" s="580"/>
      <c r="E865" s="580"/>
      <c r="F865" s="580"/>
      <c r="G865" s="581"/>
      <c r="H865" s="596"/>
      <c r="I865" s="628"/>
      <c r="J865" s="628"/>
      <c r="K865" s="628"/>
    </row>
    <row r="866" spans="1:11" ht="29" customHeight="1" outlineLevel="1" x14ac:dyDescent="0.35">
      <c r="A866" s="52" t="s">
        <v>110</v>
      </c>
      <c r="B866" s="3" t="s">
        <v>1953</v>
      </c>
      <c r="C866" s="2" t="s">
        <v>56</v>
      </c>
      <c r="D866" s="2" t="s">
        <v>1336</v>
      </c>
      <c r="E866" s="634"/>
      <c r="F866" s="634"/>
      <c r="G866" s="635"/>
      <c r="H866" s="794"/>
      <c r="I866" s="32"/>
      <c r="J866" s="32"/>
      <c r="K866" s="32"/>
    </row>
    <row r="867" spans="1:11" ht="29" customHeight="1" outlineLevel="1" x14ac:dyDescent="0.35">
      <c r="A867" s="52" t="s">
        <v>115</v>
      </c>
      <c r="B867" s="3" t="s">
        <v>1954</v>
      </c>
      <c r="C867" s="2" t="s">
        <v>56</v>
      </c>
      <c r="D867" s="2" t="s">
        <v>1139</v>
      </c>
      <c r="E867" s="634"/>
      <c r="F867" s="634"/>
      <c r="G867" s="635"/>
      <c r="H867" s="794"/>
      <c r="I867" s="32"/>
      <c r="J867" s="32"/>
      <c r="K867" s="32"/>
    </row>
    <row r="868" spans="1:11" outlineLevel="1" x14ac:dyDescent="0.35">
      <c r="A868" s="52" t="s">
        <v>118</v>
      </c>
      <c r="B868" s="3" t="s">
        <v>1955</v>
      </c>
      <c r="C868" s="2" t="s">
        <v>56</v>
      </c>
      <c r="D868" s="2" t="s">
        <v>1956</v>
      </c>
      <c r="E868" s="634"/>
      <c r="F868" s="634"/>
      <c r="G868" s="635"/>
      <c r="H868" s="794"/>
      <c r="I868" s="32"/>
      <c r="J868" s="32"/>
      <c r="K868" s="32"/>
    </row>
    <row r="869" spans="1:11" outlineLevel="1" x14ac:dyDescent="0.35">
      <c r="A869" s="52" t="s">
        <v>121</v>
      </c>
      <c r="B869" s="3" t="s">
        <v>1957</v>
      </c>
      <c r="C869" s="2" t="s">
        <v>1119</v>
      </c>
      <c r="D869" s="2"/>
      <c r="E869" s="634"/>
      <c r="F869" s="634"/>
      <c r="G869" s="635"/>
      <c r="H869" s="794"/>
      <c r="I869" s="32"/>
      <c r="J869" s="32"/>
      <c r="K869" s="32"/>
    </row>
    <row r="870" spans="1:11" ht="29" customHeight="1" outlineLevel="1" x14ac:dyDescent="0.35">
      <c r="A870" s="52" t="s">
        <v>124</v>
      </c>
      <c r="B870" s="3" t="s">
        <v>1958</v>
      </c>
      <c r="C870" s="2" t="s">
        <v>56</v>
      </c>
      <c r="D870" s="2" t="s">
        <v>1336</v>
      </c>
      <c r="E870" s="634"/>
      <c r="F870" s="634"/>
      <c r="G870" s="635"/>
      <c r="H870" s="794"/>
      <c r="I870" s="32"/>
      <c r="J870" s="32"/>
      <c r="K870" s="32"/>
    </row>
    <row r="871" spans="1:11" ht="29" customHeight="1" outlineLevel="1" x14ac:dyDescent="0.35">
      <c r="A871" s="52" t="s">
        <v>162</v>
      </c>
      <c r="B871" s="3" t="s">
        <v>1959</v>
      </c>
      <c r="C871" s="2" t="s">
        <v>56</v>
      </c>
      <c r="D871" s="2" t="s">
        <v>1139</v>
      </c>
      <c r="E871" s="634"/>
      <c r="F871" s="634"/>
      <c r="G871" s="635"/>
      <c r="H871" s="794"/>
      <c r="I871" s="32"/>
      <c r="J871" s="32"/>
      <c r="K871" s="32"/>
    </row>
    <row r="872" spans="1:11" outlineLevel="1" x14ac:dyDescent="0.35">
      <c r="A872" s="52" t="s">
        <v>202</v>
      </c>
      <c r="B872" s="3" t="s">
        <v>1960</v>
      </c>
      <c r="C872" s="2" t="s">
        <v>56</v>
      </c>
      <c r="D872" s="2" t="s">
        <v>1336</v>
      </c>
      <c r="E872" s="634"/>
      <c r="F872" s="634"/>
      <c r="G872" s="635"/>
      <c r="H872" s="794"/>
      <c r="I872" s="32"/>
      <c r="J872" s="32"/>
      <c r="K872" s="32"/>
    </row>
    <row r="873" spans="1:11" outlineLevel="1" x14ac:dyDescent="0.35">
      <c r="A873" s="52" t="s">
        <v>203</v>
      </c>
      <c r="B873" s="3" t="s">
        <v>1961</v>
      </c>
      <c r="C873" s="2" t="s">
        <v>1119</v>
      </c>
      <c r="D873" s="2"/>
      <c r="E873" s="634"/>
      <c r="F873" s="634"/>
      <c r="G873" s="635"/>
      <c r="H873" s="794"/>
      <c r="I873" s="32"/>
      <c r="J873" s="32"/>
      <c r="K873" s="32"/>
    </row>
    <row r="874" spans="1:11" outlineLevel="1" x14ac:dyDescent="0.35">
      <c r="A874" s="554" t="s">
        <v>1962</v>
      </c>
      <c r="B874" s="556" t="s">
        <v>884</v>
      </c>
      <c r="C874" s="553"/>
      <c r="D874" s="553"/>
      <c r="E874" s="553"/>
      <c r="F874" s="553"/>
      <c r="G874" s="577"/>
      <c r="H874" s="643"/>
      <c r="I874" s="558"/>
      <c r="J874" s="558"/>
      <c r="K874" s="558"/>
    </row>
    <row r="875" spans="1:11" outlineLevel="1" x14ac:dyDescent="0.35">
      <c r="A875" s="52" t="s">
        <v>110</v>
      </c>
      <c r="B875" s="3" t="s">
        <v>1963</v>
      </c>
      <c r="C875" s="2" t="s">
        <v>56</v>
      </c>
      <c r="D875" s="2" t="s">
        <v>1336</v>
      </c>
      <c r="E875" s="636"/>
      <c r="F875" s="636"/>
      <c r="G875" s="635"/>
      <c r="H875" s="794"/>
      <c r="I875" s="32"/>
      <c r="J875" s="32"/>
      <c r="K875" s="32"/>
    </row>
    <row r="876" spans="1:11" outlineLevel="1" x14ac:dyDescent="0.35">
      <c r="A876" s="52" t="s">
        <v>115</v>
      </c>
      <c r="B876" s="3" t="s">
        <v>1964</v>
      </c>
      <c r="C876" s="2" t="s">
        <v>56</v>
      </c>
      <c r="D876" s="2" t="s">
        <v>1139</v>
      </c>
      <c r="E876" s="636"/>
      <c r="F876" s="636"/>
      <c r="G876" s="635"/>
      <c r="H876" s="794"/>
      <c r="I876" s="32"/>
      <c r="J876" s="32"/>
      <c r="K876" s="32"/>
    </row>
    <row r="877" spans="1:11" outlineLevel="1" x14ac:dyDescent="0.35">
      <c r="A877" s="52"/>
      <c r="B877" s="3"/>
      <c r="C877" s="2"/>
      <c r="D877" s="2"/>
      <c r="E877" s="32"/>
      <c r="F877" s="32"/>
      <c r="G877" s="30"/>
      <c r="H877" s="785"/>
      <c r="I877" s="32"/>
      <c r="J877" s="32"/>
      <c r="K877" s="32"/>
    </row>
    <row r="878" spans="1:11" outlineLevel="1" x14ac:dyDescent="0.35">
      <c r="A878" s="20" t="s">
        <v>1965</v>
      </c>
      <c r="B878" s="20"/>
      <c r="C878" s="20"/>
      <c r="D878" s="20"/>
      <c r="E878" s="20"/>
      <c r="F878" s="20"/>
      <c r="G878" s="20"/>
      <c r="H878" s="20"/>
      <c r="I878" s="20"/>
      <c r="J878" s="264"/>
      <c r="K878" s="264"/>
    </row>
    <row r="879" spans="1:11" x14ac:dyDescent="0.35">
      <c r="A879" s="16"/>
      <c r="B879" s="16"/>
      <c r="C879" s="2"/>
      <c r="D879" s="52"/>
      <c r="E879" s="31"/>
      <c r="F879" s="31"/>
      <c r="G879" s="264"/>
      <c r="H879" s="524"/>
      <c r="I879" s="224"/>
      <c r="J879" s="224"/>
      <c r="K879" s="224"/>
    </row>
    <row r="880" spans="1:11" x14ac:dyDescent="0.35">
      <c r="A880" s="554" t="s">
        <v>890</v>
      </c>
      <c r="B880" s="556" t="s">
        <v>891</v>
      </c>
      <c r="C880" s="553"/>
      <c r="D880" s="553"/>
      <c r="E880" s="553"/>
      <c r="F880" s="553"/>
      <c r="G880" s="577"/>
      <c r="H880" s="643"/>
      <c r="I880" s="558"/>
      <c r="J880" s="558"/>
      <c r="K880" s="558"/>
    </row>
    <row r="881" spans="1:11" x14ac:dyDescent="0.35">
      <c r="A881" s="52" t="s">
        <v>110</v>
      </c>
      <c r="B881" s="18" t="s">
        <v>1966</v>
      </c>
      <c r="C881" s="2"/>
      <c r="D881" s="2" t="s">
        <v>1512</v>
      </c>
      <c r="E881" s="32"/>
      <c r="F881" s="32"/>
      <c r="G881" s="264"/>
      <c r="H881" s="485" t="str">
        <f t="shared" ref="H881:H888" si="53">IF(AND(E881="Yes",F881="Yes",G881="Yes"),"Yes","No")</f>
        <v>No</v>
      </c>
      <c r="I881" s="31"/>
      <c r="J881" s="32"/>
      <c r="K881" s="32"/>
    </row>
    <row r="882" spans="1:11" x14ac:dyDescent="0.35">
      <c r="A882" s="52" t="s">
        <v>115</v>
      </c>
      <c r="B882" s="18" t="s">
        <v>1967</v>
      </c>
      <c r="C882" s="2"/>
      <c r="D882" s="2" t="s">
        <v>1512</v>
      </c>
      <c r="E882" s="2"/>
      <c r="F882" s="32"/>
      <c r="G882" s="264"/>
      <c r="H882" s="485" t="str">
        <f t="shared" si="53"/>
        <v>No</v>
      </c>
      <c r="I882" s="31"/>
      <c r="J882" s="32"/>
      <c r="K882" s="32"/>
    </row>
    <row r="883" spans="1:11" x14ac:dyDescent="0.35">
      <c r="A883" s="52" t="s">
        <v>118</v>
      </c>
      <c r="B883" s="18" t="s">
        <v>1968</v>
      </c>
      <c r="C883" s="2"/>
      <c r="D883" s="2" t="s">
        <v>1512</v>
      </c>
      <c r="E883" s="2"/>
      <c r="F883" s="2"/>
      <c r="G883" s="264"/>
      <c r="H883" s="485" t="str">
        <f t="shared" si="53"/>
        <v>No</v>
      </c>
      <c r="I883" s="31"/>
      <c r="J883" s="32"/>
      <c r="K883" s="32"/>
    </row>
    <row r="884" spans="1:11" x14ac:dyDescent="0.35">
      <c r="A884" s="52" t="s">
        <v>121</v>
      </c>
      <c r="B884" s="18" t="s">
        <v>1969</v>
      </c>
      <c r="C884" s="2"/>
      <c r="D884" s="2" t="s">
        <v>1512</v>
      </c>
      <c r="E884" s="2"/>
      <c r="F884" s="2"/>
      <c r="G884" s="264"/>
      <c r="H884" s="485" t="str">
        <f t="shared" si="53"/>
        <v>No</v>
      </c>
      <c r="I884" s="31"/>
      <c r="J884" s="32"/>
      <c r="K884" s="32"/>
    </row>
    <row r="885" spans="1:11" x14ac:dyDescent="0.35">
      <c r="A885" s="52" t="s">
        <v>124</v>
      </c>
      <c r="B885" s="18" t="s">
        <v>1970</v>
      </c>
      <c r="C885" s="2"/>
      <c r="D885" s="2" t="s">
        <v>1512</v>
      </c>
      <c r="E885" s="2"/>
      <c r="F885" s="2"/>
      <c r="G885" s="264"/>
      <c r="H885" s="485" t="str">
        <f t="shared" si="53"/>
        <v>No</v>
      </c>
      <c r="I885" s="31"/>
      <c r="J885" s="32"/>
      <c r="K885" s="32"/>
    </row>
    <row r="886" spans="1:11" x14ac:dyDescent="0.35">
      <c r="A886" s="52" t="s">
        <v>162</v>
      </c>
      <c r="B886" s="18" t="s">
        <v>1971</v>
      </c>
      <c r="C886" s="2"/>
      <c r="D886" s="2" t="s">
        <v>1512</v>
      </c>
      <c r="E886" s="2"/>
      <c r="F886" s="2"/>
      <c r="G886" s="264"/>
      <c r="H886" s="485" t="str">
        <f t="shared" si="53"/>
        <v>No</v>
      </c>
      <c r="I886" s="31"/>
      <c r="J886" s="32"/>
      <c r="K886" s="32"/>
    </row>
    <row r="887" spans="1:11" ht="15" customHeight="1" x14ac:dyDescent="0.35">
      <c r="A887" s="52" t="s">
        <v>203</v>
      </c>
      <c r="B887" s="18" t="s">
        <v>1972</v>
      </c>
      <c r="C887" s="2"/>
      <c r="D887" s="2" t="s">
        <v>1512</v>
      </c>
      <c r="E887" s="2"/>
      <c r="F887" s="2"/>
      <c r="G887" s="264"/>
      <c r="H887" s="485" t="str">
        <f t="shared" si="53"/>
        <v>No</v>
      </c>
      <c r="I887" s="31"/>
      <c r="J887" s="32"/>
      <c r="K887" s="32"/>
    </row>
    <row r="888" spans="1:11" ht="15" customHeight="1" x14ac:dyDescent="0.35">
      <c r="A888" s="52" t="s">
        <v>225</v>
      </c>
      <c r="B888" s="18" t="s">
        <v>1973</v>
      </c>
      <c r="C888" s="2"/>
      <c r="D888" s="2" t="s">
        <v>1512</v>
      </c>
      <c r="E888" s="2"/>
      <c r="F888" s="2"/>
      <c r="G888" s="264"/>
      <c r="H888" s="485" t="str">
        <f t="shared" si="53"/>
        <v>No</v>
      </c>
      <c r="I888" s="31"/>
      <c r="J888" s="32"/>
      <c r="K888" s="32"/>
    </row>
    <row r="889" spans="1:11" x14ac:dyDescent="0.35">
      <c r="A889" s="52"/>
      <c r="B889" s="18"/>
      <c r="C889" s="2"/>
      <c r="D889" s="2"/>
      <c r="E889" s="2"/>
      <c r="F889" s="2"/>
      <c r="G889" s="30"/>
      <c r="H889" s="674"/>
      <c r="I889" s="32"/>
      <c r="J889" s="32"/>
      <c r="K889" s="32"/>
    </row>
    <row r="890" spans="1:11" x14ac:dyDescent="0.35">
      <c r="A890" s="554" t="s">
        <v>900</v>
      </c>
      <c r="B890" s="556" t="s">
        <v>901</v>
      </c>
      <c r="C890" s="553" t="s">
        <v>56</v>
      </c>
      <c r="D890" s="553" t="s">
        <v>1974</v>
      </c>
      <c r="E890" s="553"/>
      <c r="F890" s="553"/>
      <c r="G890" s="577"/>
      <c r="H890" s="484"/>
      <c r="I890" s="586"/>
      <c r="J890" s="586"/>
      <c r="K890" s="586"/>
    </row>
    <row r="891" spans="1:11" outlineLevel="1" x14ac:dyDescent="0.35">
      <c r="A891" s="52" t="s">
        <v>110</v>
      </c>
      <c r="B891" s="3" t="s">
        <v>1975</v>
      </c>
      <c r="C891" s="2" t="s">
        <v>56</v>
      </c>
      <c r="D891" s="2" t="s">
        <v>1974</v>
      </c>
      <c r="E891" s="561"/>
      <c r="F891" s="561"/>
      <c r="G891" s="561"/>
      <c r="H891" s="485">
        <f>IF(K$8=1,E891,IF(K$8=2,(E891+F891)/2,(E891+F891+G891)/3))</f>
        <v>0</v>
      </c>
      <c r="I891" s="32"/>
      <c r="J891" s="32"/>
      <c r="K891" s="32"/>
    </row>
    <row r="892" spans="1:11" s="638" customFormat="1" outlineLevel="1" x14ac:dyDescent="0.35">
      <c r="A892" s="543" t="s">
        <v>115</v>
      </c>
      <c r="B892" s="618" t="s">
        <v>1976</v>
      </c>
      <c r="C892" s="580"/>
      <c r="D892" s="580"/>
      <c r="E892" s="581"/>
      <c r="F892" s="581"/>
      <c r="G892" s="581"/>
      <c r="H892" s="580"/>
      <c r="I892" s="637"/>
      <c r="J892" s="637"/>
      <c r="K892" s="637"/>
    </row>
    <row r="893" spans="1:11" s="638" customFormat="1" outlineLevel="1" x14ac:dyDescent="0.35">
      <c r="A893" s="543" t="s">
        <v>1073</v>
      </c>
      <c r="B893" s="618" t="s">
        <v>1977</v>
      </c>
      <c r="C893" s="580"/>
      <c r="D893" s="580"/>
      <c r="E893" s="581"/>
      <c r="F893" s="581"/>
      <c r="G893" s="581"/>
      <c r="H893" s="580"/>
      <c r="I893" s="637"/>
      <c r="J893" s="637"/>
      <c r="K893" s="637"/>
    </row>
    <row r="894" spans="1:11" outlineLevel="1" x14ac:dyDescent="0.35">
      <c r="A894" s="52" t="s">
        <v>1978</v>
      </c>
      <c r="B894" s="3" t="s">
        <v>1979</v>
      </c>
      <c r="C894" s="2" t="s">
        <v>56</v>
      </c>
      <c r="D894" s="2" t="s">
        <v>1139</v>
      </c>
      <c r="E894" s="561"/>
      <c r="F894" s="561"/>
      <c r="G894" s="561"/>
      <c r="H894" s="485">
        <f t="shared" ref="H894:H900" si="54">IF(K$8=1,E894,IF(K$8=2,(E894+F894)/2,(E894+F894+G894)/3))</f>
        <v>0</v>
      </c>
      <c r="I894" s="32"/>
      <c r="J894" s="32"/>
      <c r="K894" s="32"/>
    </row>
    <row r="895" spans="1:11" outlineLevel="1" x14ac:dyDescent="0.35">
      <c r="A895" s="52" t="s">
        <v>1980</v>
      </c>
      <c r="B895" s="3" t="s">
        <v>35</v>
      </c>
      <c r="C895" s="2" t="s">
        <v>56</v>
      </c>
      <c r="D895" s="2" t="s">
        <v>1139</v>
      </c>
      <c r="E895" s="561"/>
      <c r="F895" s="561"/>
      <c r="G895" s="561"/>
      <c r="H895" s="485">
        <f t="shared" si="54"/>
        <v>0</v>
      </c>
      <c r="I895" s="32"/>
      <c r="J895" s="32"/>
      <c r="K895" s="32"/>
    </row>
    <row r="896" spans="1:11" outlineLevel="1" x14ac:dyDescent="0.35">
      <c r="A896" s="52" t="s">
        <v>1981</v>
      </c>
      <c r="B896" s="3" t="s">
        <v>1982</v>
      </c>
      <c r="C896" s="2" t="s">
        <v>56</v>
      </c>
      <c r="D896" s="2" t="s">
        <v>1139</v>
      </c>
      <c r="E896" s="561"/>
      <c r="F896" s="561"/>
      <c r="G896" s="561"/>
      <c r="H896" s="485">
        <f t="shared" si="54"/>
        <v>0</v>
      </c>
      <c r="I896" s="32"/>
      <c r="J896" s="32"/>
      <c r="K896" s="32"/>
    </row>
    <row r="897" spans="1:13" outlineLevel="1" x14ac:dyDescent="0.35">
      <c r="A897" s="52" t="s">
        <v>1983</v>
      </c>
      <c r="B897" s="3" t="s">
        <v>1984</v>
      </c>
      <c r="C897" s="2" t="s">
        <v>56</v>
      </c>
      <c r="D897" s="2" t="s">
        <v>1139</v>
      </c>
      <c r="E897" s="561"/>
      <c r="F897" s="561"/>
      <c r="G897" s="561"/>
      <c r="H897" s="485">
        <f t="shared" si="54"/>
        <v>0</v>
      </c>
      <c r="I897" s="32"/>
      <c r="J897" s="32"/>
      <c r="K897" s="32"/>
    </row>
    <row r="898" spans="1:13" outlineLevel="1" x14ac:dyDescent="0.35">
      <c r="A898" s="543" t="s">
        <v>1079</v>
      </c>
      <c r="B898" s="618" t="s">
        <v>1985</v>
      </c>
      <c r="C898" s="2" t="s">
        <v>56</v>
      </c>
      <c r="D898" s="2" t="s">
        <v>1139</v>
      </c>
      <c r="E898" s="561"/>
      <c r="F898" s="561"/>
      <c r="G898" s="561"/>
      <c r="H898" s="485">
        <f t="shared" si="54"/>
        <v>0</v>
      </c>
      <c r="I898" s="32"/>
      <c r="J898" s="32"/>
      <c r="K898" s="32"/>
    </row>
    <row r="899" spans="1:13" outlineLevel="1" x14ac:dyDescent="0.35">
      <c r="A899" s="543" t="s">
        <v>1082</v>
      </c>
      <c r="B899" s="618" t="s">
        <v>1852</v>
      </c>
      <c r="C899" s="2" t="s">
        <v>56</v>
      </c>
      <c r="D899" s="2" t="s">
        <v>1139</v>
      </c>
      <c r="E899" s="561"/>
      <c r="F899" s="561"/>
      <c r="G899" s="561"/>
      <c r="H899" s="485">
        <f t="shared" si="54"/>
        <v>0</v>
      </c>
      <c r="I899" s="32"/>
      <c r="J899" s="32"/>
      <c r="K899" s="32"/>
    </row>
    <row r="900" spans="1:13" outlineLevel="1" x14ac:dyDescent="0.35">
      <c r="A900" s="52" t="s">
        <v>118</v>
      </c>
      <c r="B900" s="3" t="s">
        <v>1986</v>
      </c>
      <c r="C900" s="2" t="s">
        <v>56</v>
      </c>
      <c r="D900" s="2" t="s">
        <v>1987</v>
      </c>
      <c r="E900" s="561"/>
      <c r="F900" s="561"/>
      <c r="G900" s="561"/>
      <c r="H900" s="485">
        <f t="shared" si="54"/>
        <v>0</v>
      </c>
      <c r="I900" s="32"/>
      <c r="J900" s="32"/>
      <c r="K900" s="32"/>
    </row>
    <row r="901" spans="1:13" x14ac:dyDescent="0.35">
      <c r="A901" s="52"/>
      <c r="B901" s="3"/>
      <c r="C901" s="2"/>
      <c r="D901" s="2"/>
      <c r="E901" s="2"/>
      <c r="F901" s="2"/>
      <c r="G901" s="30"/>
      <c r="H901" s="674"/>
      <c r="I901" s="32"/>
      <c r="J901" s="32"/>
      <c r="K901" s="32"/>
    </row>
    <row r="902" spans="1:13" x14ac:dyDescent="0.35">
      <c r="A902" s="553" t="s">
        <v>906</v>
      </c>
      <c r="B902" s="556" t="s">
        <v>1988</v>
      </c>
      <c r="C902" s="553" t="s">
        <v>1512</v>
      </c>
      <c r="D902" s="553"/>
      <c r="E902" s="553"/>
      <c r="F902" s="553"/>
      <c r="G902" s="556"/>
      <c r="H902" s="259"/>
      <c r="I902" s="639"/>
      <c r="J902" s="639"/>
      <c r="K902" s="639"/>
    </row>
    <row r="903" spans="1:13" x14ac:dyDescent="0.35">
      <c r="A903" s="52"/>
      <c r="B903" s="3"/>
      <c r="C903" s="2"/>
      <c r="D903" s="2"/>
      <c r="E903" s="32"/>
      <c r="F903" s="32"/>
      <c r="G903" s="30"/>
      <c r="H903" s="785"/>
      <c r="I903" s="589"/>
      <c r="J903" s="589"/>
      <c r="K903" s="589"/>
    </row>
    <row r="904" spans="1:13" x14ac:dyDescent="0.35">
      <c r="A904" s="847" t="s">
        <v>909</v>
      </c>
      <c r="B904" s="848" t="s">
        <v>910</v>
      </c>
      <c r="C904" s="849"/>
      <c r="D904" s="849"/>
      <c r="E904" s="641"/>
      <c r="F904" s="641"/>
      <c r="G904" s="640"/>
      <c r="H904" s="795"/>
      <c r="I904" s="642"/>
      <c r="J904" s="642"/>
      <c r="K904" s="642"/>
    </row>
    <row r="905" spans="1:13" ht="58.5" customHeight="1" x14ac:dyDescent="0.35">
      <c r="A905" s="800" t="s">
        <v>1171</v>
      </c>
      <c r="B905" s="801" t="s">
        <v>1172</v>
      </c>
      <c r="C905" s="800" t="s">
        <v>1989</v>
      </c>
      <c r="D905" s="800" t="s">
        <v>1011</v>
      </c>
      <c r="E905" s="549" t="str">
        <f>E6</f>
        <v>Year 1 
(Baseline)</v>
      </c>
      <c r="F905" s="549" t="str">
        <f>F6</f>
        <v>Year 2 
(Baseline)</v>
      </c>
      <c r="G905" s="549" t="str">
        <f>G6</f>
        <v>Do not Enter any Data in this Coloumn</v>
      </c>
      <c r="H905" s="549" t="str">
        <f>H6</f>
        <v>Baseline Year(s)</v>
      </c>
      <c r="I905" s="549" t="str">
        <f>I6</f>
        <v xml:space="preserve">Current/Assessment /Target Year   </v>
      </c>
      <c r="J905" s="879"/>
      <c r="K905" s="879" t="s">
        <v>1176</v>
      </c>
    </row>
    <row r="906" spans="1:13" x14ac:dyDescent="0.35">
      <c r="A906" s="554"/>
      <c r="B906" s="556"/>
      <c r="C906" s="553"/>
      <c r="D906" s="554"/>
      <c r="E906" s="643">
        <f>E8</f>
        <v>0</v>
      </c>
      <c r="F906" s="643">
        <f>F8</f>
        <v>0</v>
      </c>
      <c r="G906" s="643" t="str">
        <f>G8</f>
        <v xml:space="preserve"> </v>
      </c>
      <c r="H906" s="643" t="str">
        <f>H8</f>
        <v xml:space="preserve">0 , 0 ,  </v>
      </c>
      <c r="I906" s="643">
        <f>I8</f>
        <v>0</v>
      </c>
      <c r="J906" s="558"/>
      <c r="K906" s="560"/>
    </row>
    <row r="907" spans="1:13" x14ac:dyDescent="0.35">
      <c r="A907" s="796" t="s">
        <v>1990</v>
      </c>
      <c r="B907" s="850" t="s">
        <v>1991</v>
      </c>
      <c r="C907" s="416"/>
      <c r="D907" s="416"/>
      <c r="E907" s="416"/>
      <c r="F907" s="416"/>
      <c r="G907" s="416"/>
      <c r="H907" s="796"/>
      <c r="I907" s="416"/>
      <c r="J907" s="880"/>
      <c r="K907" s="880"/>
    </row>
    <row r="908" spans="1:13" x14ac:dyDescent="0.35">
      <c r="A908" s="851"/>
      <c r="B908" s="852" t="s">
        <v>1214</v>
      </c>
      <c r="C908" s="853" t="s">
        <v>56</v>
      </c>
      <c r="D908" s="851" t="s">
        <v>1497</v>
      </c>
      <c r="E908" s="485">
        <f>E33</f>
        <v>0</v>
      </c>
      <c r="F908" s="485">
        <f>F33</f>
        <v>0</v>
      </c>
      <c r="G908" s="485">
        <f>G33</f>
        <v>0</v>
      </c>
      <c r="H908" s="485">
        <f>H33</f>
        <v>0</v>
      </c>
      <c r="I908" s="485">
        <f>I33</f>
        <v>0</v>
      </c>
      <c r="J908" s="724"/>
      <c r="K908" s="644"/>
    </row>
    <row r="909" spans="1:13" x14ac:dyDescent="0.35">
      <c r="A909" s="851" t="s">
        <v>1992</v>
      </c>
      <c r="B909" s="852" t="s">
        <v>1993</v>
      </c>
      <c r="C909" s="635" t="s">
        <v>1994</v>
      </c>
      <c r="D909" s="635"/>
      <c r="E909" s="635"/>
      <c r="F909" s="635"/>
      <c r="G909" s="635"/>
      <c r="H909" s="797"/>
      <c r="I909" s="635"/>
      <c r="J909" s="263"/>
      <c r="K909" s="644"/>
    </row>
    <row r="910" spans="1:13" x14ac:dyDescent="0.35">
      <c r="A910" s="851" t="s">
        <v>1995</v>
      </c>
      <c r="B910" s="852" t="s">
        <v>1996</v>
      </c>
      <c r="C910" s="635" t="s">
        <v>1997</v>
      </c>
      <c r="D910" s="635"/>
      <c r="E910" s="635"/>
      <c r="F910" s="635"/>
      <c r="G910" s="635"/>
      <c r="H910" s="797"/>
      <c r="I910" s="635"/>
      <c r="J910" s="263"/>
      <c r="K910" s="644"/>
    </row>
    <row r="911" spans="1:13" ht="28.25" customHeight="1" x14ac:dyDescent="0.35">
      <c r="A911" s="851"/>
      <c r="B911" s="852" t="s">
        <v>1998</v>
      </c>
      <c r="C911" s="853" t="s">
        <v>1999</v>
      </c>
      <c r="D911" s="851" t="s">
        <v>1999</v>
      </c>
      <c r="E911" s="916" t="s">
        <v>1997</v>
      </c>
      <c r="F911" s="916" t="s">
        <v>1994</v>
      </c>
      <c r="G911" s="916" t="s">
        <v>1994</v>
      </c>
      <c r="H911" s="916" t="s">
        <v>1994</v>
      </c>
      <c r="I911" s="916" t="s">
        <v>1994</v>
      </c>
      <c r="J911" s="645"/>
      <c r="K911" s="644"/>
      <c r="M911" t="s">
        <v>2000</v>
      </c>
    </row>
    <row r="912" spans="1:13" x14ac:dyDescent="0.35">
      <c r="A912" s="851"/>
      <c r="B912" s="852" t="s">
        <v>2001</v>
      </c>
      <c r="C912" s="853" t="s">
        <v>56</v>
      </c>
      <c r="D912" s="851" t="s">
        <v>2002</v>
      </c>
      <c r="E912" s="486">
        <f>IFERROR((IF(E911=C910,E959/E908,'Emission Factor &amp; GWP Backup'!$E$70)),0)</f>
        <v>0</v>
      </c>
      <c r="F912" s="486">
        <f>IFERROR((IF(F911=C910,F959/F908,'Emission Factor &amp; GWP Backup'!$E$70)),0)</f>
        <v>0.5292</v>
      </c>
      <c r="G912" s="486">
        <f>IFERROR((IF(G911=C910,G959/G908,'Emission Factor &amp; GWP Backup'!$E$70)),0)</f>
        <v>0.5292</v>
      </c>
      <c r="H912" s="486">
        <f>IFERROR((IF(H911=C910,H959/H908,'Emission Factor &amp; GWP Backup'!$E$70)),0)</f>
        <v>0.5292</v>
      </c>
      <c r="I912" s="486">
        <f>IFERROR((IF(I911=C910,I959/I908,'Emission Factor &amp; GWP Backup'!$E$70)),0)</f>
        <v>0.5292</v>
      </c>
      <c r="J912" s="724"/>
      <c r="K912" s="644"/>
      <c r="M912" t="s">
        <v>2003</v>
      </c>
    </row>
    <row r="913" spans="1:11" x14ac:dyDescent="0.35">
      <c r="A913" s="851"/>
      <c r="B913" s="852" t="s">
        <v>2004</v>
      </c>
      <c r="C913" s="853" t="s">
        <v>56</v>
      </c>
      <c r="D913" s="851" t="s">
        <v>1142</v>
      </c>
      <c r="E913" s="485">
        <f>E912*E908</f>
        <v>0</v>
      </c>
      <c r="F913" s="485">
        <f>F912*F908</f>
        <v>0</v>
      </c>
      <c r="G913" s="485">
        <f>G912*G908</f>
        <v>0</v>
      </c>
      <c r="H913" s="485">
        <f>H912*H908</f>
        <v>0</v>
      </c>
      <c r="I913" s="485">
        <f>I912*I908</f>
        <v>0</v>
      </c>
      <c r="J913" s="724"/>
      <c r="K913" s="644"/>
    </row>
    <row r="914" spans="1:11" x14ac:dyDescent="0.35">
      <c r="A914" s="779" t="s">
        <v>2005</v>
      </c>
      <c r="B914" s="779"/>
      <c r="C914" s="779"/>
      <c r="D914" s="779"/>
      <c r="E914" s="779"/>
      <c r="F914" s="779"/>
      <c r="G914" s="779"/>
      <c r="H914" s="779"/>
      <c r="I914" s="779"/>
      <c r="J914" s="881"/>
      <c r="K914" s="881"/>
    </row>
    <row r="915" spans="1:11" x14ac:dyDescent="0.35">
      <c r="A915" s="646" t="s">
        <v>2006</v>
      </c>
      <c r="B915" s="854" t="s">
        <v>2007</v>
      </c>
      <c r="C915" s="416"/>
      <c r="D915" s="416"/>
      <c r="E915" s="416"/>
      <c r="F915" s="646"/>
      <c r="G915" s="647"/>
      <c r="H915" s="646"/>
      <c r="I915" s="646"/>
      <c r="J915" s="882"/>
      <c r="K915" s="882"/>
    </row>
    <row r="916" spans="1:11" x14ac:dyDescent="0.35">
      <c r="A916" s="2"/>
      <c r="B916" s="3" t="s">
        <v>1291</v>
      </c>
      <c r="C916" s="580" t="s">
        <v>2008</v>
      </c>
      <c r="D916" s="543" t="s">
        <v>1999</v>
      </c>
      <c r="E916" s="485">
        <f>E101</f>
        <v>0</v>
      </c>
      <c r="F916" s="485">
        <f>F101</f>
        <v>0</v>
      </c>
      <c r="G916" s="485">
        <f>G101</f>
        <v>0</v>
      </c>
      <c r="H916" s="485">
        <f>H101</f>
        <v>0</v>
      </c>
      <c r="I916" s="485">
        <f>I101</f>
        <v>0</v>
      </c>
      <c r="J916" s="724"/>
      <c r="K916" s="611"/>
    </row>
    <row r="917" spans="1:11" ht="29" customHeight="1" x14ac:dyDescent="0.35">
      <c r="A917" s="2"/>
      <c r="B917" s="3" t="s">
        <v>2009</v>
      </c>
      <c r="C917" s="580" t="s">
        <v>2010</v>
      </c>
      <c r="D917" s="543" t="s">
        <v>2002</v>
      </c>
      <c r="E917" s="486">
        <f>E916*'Emission Factor &amp; GWP Backup'!$E$113</f>
        <v>0</v>
      </c>
      <c r="F917" s="486">
        <f>F916*'Emission Factor &amp; GWP Backup'!$E$113</f>
        <v>0</v>
      </c>
      <c r="G917" s="486">
        <f>G916*'Emission Factor &amp; GWP Backup'!$E$113</f>
        <v>0</v>
      </c>
      <c r="H917" s="486">
        <f>H916*'Emission Factor &amp; GWP Backup'!$E$113</f>
        <v>0</v>
      </c>
      <c r="I917" s="486">
        <f>I916*'Emission Factor &amp; GWP Backup'!$E$113</f>
        <v>0</v>
      </c>
      <c r="J917" s="724"/>
      <c r="K917" s="611"/>
    </row>
    <row r="918" spans="1:11" x14ac:dyDescent="0.35">
      <c r="A918" s="648" t="s">
        <v>2011</v>
      </c>
      <c r="B918" s="649" t="s">
        <v>2012</v>
      </c>
      <c r="C918" s="648"/>
      <c r="D918" s="649"/>
      <c r="E918" s="648"/>
      <c r="F918" s="649"/>
      <c r="G918" s="648"/>
      <c r="H918" s="798"/>
      <c r="I918" s="648"/>
      <c r="J918" s="883"/>
      <c r="K918" s="884"/>
    </row>
    <row r="919" spans="1:11" x14ac:dyDescent="0.35">
      <c r="A919" s="648" t="s">
        <v>2013</v>
      </c>
      <c r="B919" s="649" t="s">
        <v>2014</v>
      </c>
      <c r="C919" s="648"/>
      <c r="D919" s="649"/>
      <c r="E919" s="648"/>
      <c r="F919" s="649"/>
      <c r="G919" s="648"/>
      <c r="H919" s="798"/>
      <c r="I919" s="648"/>
      <c r="J919" s="883"/>
      <c r="K919" s="884"/>
    </row>
    <row r="920" spans="1:11" x14ac:dyDescent="0.35">
      <c r="A920" s="2" t="s">
        <v>110</v>
      </c>
      <c r="B920" s="852" t="s">
        <v>1214</v>
      </c>
      <c r="C920" s="855" t="s">
        <v>56</v>
      </c>
      <c r="D920" s="856" t="s">
        <v>1018</v>
      </c>
      <c r="E920" s="485">
        <f>E33</f>
        <v>0</v>
      </c>
      <c r="F920" s="485">
        <f>F33</f>
        <v>0</v>
      </c>
      <c r="G920" s="485">
        <f>G33</f>
        <v>0</v>
      </c>
      <c r="H920" s="485">
        <f>H33</f>
        <v>0</v>
      </c>
      <c r="I920" s="485">
        <f>I33</f>
        <v>0</v>
      </c>
      <c r="J920" s="611"/>
      <c r="K920" s="611"/>
    </row>
    <row r="921" spans="1:11" x14ac:dyDescent="0.35">
      <c r="A921" s="2" t="s">
        <v>115</v>
      </c>
      <c r="B921" s="857" t="s">
        <v>2015</v>
      </c>
      <c r="C921" s="855" t="s">
        <v>56</v>
      </c>
      <c r="D921" s="856" t="s">
        <v>2016</v>
      </c>
      <c r="E921" s="485">
        <f t="shared" ref="E921:I922" si="55">E101</f>
        <v>0</v>
      </c>
      <c r="F921" s="485">
        <f t="shared" si="55"/>
        <v>0</v>
      </c>
      <c r="G921" s="485">
        <f t="shared" si="55"/>
        <v>0</v>
      </c>
      <c r="H921" s="485">
        <f t="shared" si="55"/>
        <v>0</v>
      </c>
      <c r="I921" s="485">
        <f t="shared" si="55"/>
        <v>0</v>
      </c>
      <c r="J921" s="611"/>
      <c r="K921" s="611"/>
    </row>
    <row r="922" spans="1:11" x14ac:dyDescent="0.35">
      <c r="A922" s="2" t="s">
        <v>118</v>
      </c>
      <c r="B922" s="857" t="s">
        <v>2017</v>
      </c>
      <c r="C922" s="855" t="s">
        <v>56</v>
      </c>
      <c r="D922" s="856" t="s">
        <v>2016</v>
      </c>
      <c r="E922" s="485">
        <f t="shared" si="55"/>
        <v>0</v>
      </c>
      <c r="F922" s="485">
        <f t="shared" si="55"/>
        <v>0</v>
      </c>
      <c r="G922" s="485">
        <f t="shared" si="55"/>
        <v>0</v>
      </c>
      <c r="H922" s="485">
        <f t="shared" si="55"/>
        <v>0</v>
      </c>
      <c r="I922" s="485">
        <f t="shared" si="55"/>
        <v>0</v>
      </c>
      <c r="J922" s="611"/>
      <c r="K922" s="611"/>
    </row>
    <row r="923" spans="1:11" x14ac:dyDescent="0.35">
      <c r="A923" s="2" t="s">
        <v>121</v>
      </c>
      <c r="B923" s="857" t="s">
        <v>2018</v>
      </c>
      <c r="C923" s="855" t="s">
        <v>56</v>
      </c>
      <c r="D923" s="856" t="s">
        <v>1018</v>
      </c>
      <c r="E923" s="485">
        <f>E920*E921</f>
        <v>0</v>
      </c>
      <c r="F923" s="485">
        <f>F920*F921</f>
        <v>0</v>
      </c>
      <c r="G923" s="485">
        <f>G920*G921</f>
        <v>0</v>
      </c>
      <c r="H923" s="485">
        <f>H920*H921</f>
        <v>0</v>
      </c>
      <c r="I923" s="485">
        <f>I920*I921</f>
        <v>0</v>
      </c>
      <c r="J923" s="611"/>
      <c r="K923" s="611"/>
    </row>
    <row r="924" spans="1:11" x14ac:dyDescent="0.35">
      <c r="A924" s="2" t="s">
        <v>124</v>
      </c>
      <c r="B924" s="857" t="s">
        <v>2019</v>
      </c>
      <c r="C924" s="855" t="s">
        <v>56</v>
      </c>
      <c r="D924" s="856" t="s">
        <v>1018</v>
      </c>
      <c r="E924" s="485">
        <f>E920*E922</f>
        <v>0</v>
      </c>
      <c r="F924" s="485">
        <f>F920*F922</f>
        <v>0</v>
      </c>
      <c r="G924" s="485">
        <f>G920*G922</f>
        <v>0</v>
      </c>
      <c r="H924" s="485">
        <f>H920*H922</f>
        <v>0</v>
      </c>
      <c r="I924" s="485">
        <f>I920*I922</f>
        <v>0</v>
      </c>
      <c r="J924" s="611"/>
      <c r="K924" s="611"/>
    </row>
    <row r="925" spans="1:11" x14ac:dyDescent="0.35">
      <c r="A925" s="648" t="s">
        <v>2020</v>
      </c>
      <c r="B925" s="649" t="s">
        <v>2021</v>
      </c>
      <c r="C925" s="648"/>
      <c r="D925" s="649"/>
      <c r="E925" s="648"/>
      <c r="F925" s="648"/>
      <c r="G925" s="648"/>
      <c r="H925" s="648"/>
      <c r="I925" s="648"/>
      <c r="J925" s="883"/>
      <c r="K925" s="884"/>
    </row>
    <row r="926" spans="1:11" x14ac:dyDescent="0.35">
      <c r="A926" s="2" t="s">
        <v>110</v>
      </c>
      <c r="B926" s="3" t="s">
        <v>2022</v>
      </c>
      <c r="C926" s="855" t="s">
        <v>56</v>
      </c>
      <c r="D926" s="855" t="s">
        <v>1923</v>
      </c>
      <c r="E926" s="485">
        <f>E98</f>
        <v>0</v>
      </c>
      <c r="F926" s="485">
        <f>F98</f>
        <v>0</v>
      </c>
      <c r="G926" s="485">
        <f>G98</f>
        <v>0</v>
      </c>
      <c r="H926" s="485">
        <f>H98</f>
        <v>0</v>
      </c>
      <c r="I926" s="485">
        <f>I98</f>
        <v>0</v>
      </c>
      <c r="J926" s="611"/>
      <c r="K926" s="581"/>
    </row>
    <row r="927" spans="1:11" x14ac:dyDescent="0.35">
      <c r="A927" s="2" t="s">
        <v>115</v>
      </c>
      <c r="B927" s="857" t="s">
        <v>2023</v>
      </c>
      <c r="C927" s="855" t="s">
        <v>56</v>
      </c>
      <c r="D927" s="856" t="s">
        <v>1018</v>
      </c>
      <c r="E927" s="485">
        <f>E920*E926</f>
        <v>0</v>
      </c>
      <c r="F927" s="485">
        <f>F920*F926</f>
        <v>0</v>
      </c>
      <c r="G927" s="485">
        <f>G920*G926</f>
        <v>0</v>
      </c>
      <c r="H927" s="485">
        <f>H920*H926</f>
        <v>0</v>
      </c>
      <c r="I927" s="485">
        <f>I920*I926</f>
        <v>0</v>
      </c>
      <c r="J927" s="611"/>
      <c r="K927" s="611"/>
    </row>
    <row r="928" spans="1:11" x14ac:dyDescent="0.35">
      <c r="A928" s="2" t="s">
        <v>118</v>
      </c>
      <c r="B928" s="858" t="s">
        <v>2024</v>
      </c>
      <c r="C928" s="855" t="s">
        <v>56</v>
      </c>
      <c r="D928" s="856" t="s">
        <v>2016</v>
      </c>
      <c r="E928" s="485">
        <f>E112</f>
        <v>0</v>
      </c>
      <c r="F928" s="485">
        <f>F112</f>
        <v>0</v>
      </c>
      <c r="G928" s="485">
        <f>G112</f>
        <v>0</v>
      </c>
      <c r="H928" s="485">
        <f>H112</f>
        <v>0</v>
      </c>
      <c r="I928" s="485">
        <f>I112</f>
        <v>0</v>
      </c>
      <c r="J928" s="611"/>
      <c r="K928" s="611"/>
    </row>
    <row r="929" spans="1:11" ht="43.5" customHeight="1" x14ac:dyDescent="0.35">
      <c r="A929" s="648" t="s">
        <v>2025</v>
      </c>
      <c r="B929" s="649" t="s">
        <v>2026</v>
      </c>
      <c r="C929" s="648"/>
      <c r="D929" s="649"/>
      <c r="E929" s="648"/>
      <c r="F929" s="648"/>
      <c r="G929" s="648"/>
      <c r="H929" s="648"/>
      <c r="I929" s="648"/>
      <c r="J929" s="883"/>
      <c r="K929" s="884"/>
    </row>
    <row r="930" spans="1:11" ht="26" customHeight="1" x14ac:dyDescent="0.35">
      <c r="A930" s="2" t="s">
        <v>110</v>
      </c>
      <c r="B930" s="859" t="s">
        <v>1293</v>
      </c>
      <c r="C930" s="855" t="s">
        <v>56</v>
      </c>
      <c r="D930" s="856" t="s">
        <v>1018</v>
      </c>
      <c r="E930" s="485">
        <f t="shared" ref="E930:I932" si="56">E103</f>
        <v>0</v>
      </c>
      <c r="F930" s="485">
        <f t="shared" si="56"/>
        <v>0</v>
      </c>
      <c r="G930" s="485">
        <f t="shared" si="56"/>
        <v>0</v>
      </c>
      <c r="H930" s="485">
        <f t="shared" si="56"/>
        <v>0</v>
      </c>
      <c r="I930" s="485">
        <f t="shared" si="56"/>
        <v>0</v>
      </c>
      <c r="J930" s="611"/>
      <c r="K930" s="611"/>
    </row>
    <row r="931" spans="1:11" x14ac:dyDescent="0.35">
      <c r="A931" s="2" t="s">
        <v>115</v>
      </c>
      <c r="B931" s="857" t="s">
        <v>2027</v>
      </c>
      <c r="C931" s="855" t="s">
        <v>56</v>
      </c>
      <c r="D931" s="856" t="s">
        <v>2016</v>
      </c>
      <c r="E931" s="485">
        <f t="shared" si="56"/>
        <v>0</v>
      </c>
      <c r="F931" s="485">
        <f t="shared" si="56"/>
        <v>0</v>
      </c>
      <c r="G931" s="485">
        <f t="shared" si="56"/>
        <v>0</v>
      </c>
      <c r="H931" s="485">
        <f t="shared" si="56"/>
        <v>0</v>
      </c>
      <c r="I931" s="485">
        <f t="shared" si="56"/>
        <v>0</v>
      </c>
      <c r="J931" s="611"/>
      <c r="K931" s="611"/>
    </row>
    <row r="932" spans="1:11" x14ac:dyDescent="0.35">
      <c r="A932" s="2" t="s">
        <v>118</v>
      </c>
      <c r="B932" s="857" t="s">
        <v>2028</v>
      </c>
      <c r="C932" s="855" t="s">
        <v>56</v>
      </c>
      <c r="D932" s="856" t="s">
        <v>2016</v>
      </c>
      <c r="E932" s="485">
        <f t="shared" si="56"/>
        <v>0</v>
      </c>
      <c r="F932" s="485">
        <f t="shared" si="56"/>
        <v>0</v>
      </c>
      <c r="G932" s="485">
        <f t="shared" si="56"/>
        <v>0</v>
      </c>
      <c r="H932" s="485">
        <f t="shared" si="56"/>
        <v>0</v>
      </c>
      <c r="I932" s="485">
        <f t="shared" si="56"/>
        <v>0</v>
      </c>
      <c r="J932" s="611"/>
      <c r="K932" s="611"/>
    </row>
    <row r="933" spans="1:11" x14ac:dyDescent="0.35">
      <c r="A933" s="2" t="s">
        <v>121</v>
      </c>
      <c r="B933" s="857" t="s">
        <v>2029</v>
      </c>
      <c r="C933" s="855" t="s">
        <v>56</v>
      </c>
      <c r="D933" s="856" t="s">
        <v>1018</v>
      </c>
      <c r="E933" s="485">
        <f>E931*E930</f>
        <v>0</v>
      </c>
      <c r="F933" s="485">
        <f>F931*F930</f>
        <v>0</v>
      </c>
      <c r="G933" s="485">
        <f>G931*G930</f>
        <v>0</v>
      </c>
      <c r="H933" s="485">
        <f>H931*H930</f>
        <v>0</v>
      </c>
      <c r="I933" s="485">
        <f>I931*I930</f>
        <v>0</v>
      </c>
      <c r="J933" s="611"/>
      <c r="K933" s="611"/>
    </row>
    <row r="934" spans="1:11" x14ac:dyDescent="0.35">
      <c r="A934" s="2" t="s">
        <v>124</v>
      </c>
      <c r="B934" s="857" t="s">
        <v>2030</v>
      </c>
      <c r="C934" s="855" t="s">
        <v>56</v>
      </c>
      <c r="D934" s="856" t="s">
        <v>1018</v>
      </c>
      <c r="E934" s="485">
        <f>E932*E930</f>
        <v>0</v>
      </c>
      <c r="F934" s="485">
        <f>F932*F930</f>
        <v>0</v>
      </c>
      <c r="G934" s="485">
        <f>G932*G930</f>
        <v>0</v>
      </c>
      <c r="H934" s="485">
        <f>H932*H930</f>
        <v>0</v>
      </c>
      <c r="I934" s="485">
        <f>I932*I930</f>
        <v>0</v>
      </c>
      <c r="J934" s="611"/>
      <c r="K934" s="611"/>
    </row>
    <row r="935" spans="1:11" x14ac:dyDescent="0.35">
      <c r="A935" s="648" t="s">
        <v>2031</v>
      </c>
      <c r="B935" s="649" t="s">
        <v>2032</v>
      </c>
      <c r="C935" s="648"/>
      <c r="D935" s="649"/>
      <c r="E935" s="648"/>
      <c r="F935" s="648"/>
      <c r="G935" s="648"/>
      <c r="H935" s="648"/>
      <c r="I935" s="648"/>
      <c r="J935" s="883"/>
      <c r="K935" s="884"/>
    </row>
    <row r="936" spans="1:11" x14ac:dyDescent="0.35">
      <c r="A936" s="2" t="s">
        <v>110</v>
      </c>
      <c r="B936" s="857" t="s">
        <v>1296</v>
      </c>
      <c r="C936" s="855" t="s">
        <v>56</v>
      </c>
      <c r="D936" s="856" t="s">
        <v>1018</v>
      </c>
      <c r="E936" s="485">
        <f t="shared" ref="E936:I938" si="57">E106</f>
        <v>0</v>
      </c>
      <c r="F936" s="485">
        <f t="shared" si="57"/>
        <v>0</v>
      </c>
      <c r="G936" s="485">
        <f t="shared" si="57"/>
        <v>0</v>
      </c>
      <c r="H936" s="485">
        <f t="shared" si="57"/>
        <v>0</v>
      </c>
      <c r="I936" s="485">
        <f t="shared" si="57"/>
        <v>0</v>
      </c>
      <c r="J936" s="611"/>
      <c r="K936" s="611"/>
    </row>
    <row r="937" spans="1:11" x14ac:dyDescent="0.35">
      <c r="A937" s="2" t="s">
        <v>115</v>
      </c>
      <c r="B937" s="857" t="s">
        <v>1297</v>
      </c>
      <c r="C937" s="855" t="s">
        <v>56</v>
      </c>
      <c r="D937" s="856" t="s">
        <v>2016</v>
      </c>
      <c r="E937" s="485">
        <f t="shared" si="57"/>
        <v>0</v>
      </c>
      <c r="F937" s="485">
        <f t="shared" si="57"/>
        <v>0</v>
      </c>
      <c r="G937" s="485">
        <f t="shared" si="57"/>
        <v>0</v>
      </c>
      <c r="H937" s="485">
        <f t="shared" si="57"/>
        <v>0</v>
      </c>
      <c r="I937" s="485">
        <f t="shared" si="57"/>
        <v>0</v>
      </c>
      <c r="J937" s="611"/>
      <c r="K937" s="611"/>
    </row>
    <row r="938" spans="1:11" x14ac:dyDescent="0.35">
      <c r="A938" s="2" t="s">
        <v>118</v>
      </c>
      <c r="B938" s="857" t="s">
        <v>1298</v>
      </c>
      <c r="C938" s="855" t="s">
        <v>56</v>
      </c>
      <c r="D938" s="856" t="s">
        <v>2016</v>
      </c>
      <c r="E938" s="485">
        <f t="shared" si="57"/>
        <v>0</v>
      </c>
      <c r="F938" s="485">
        <f t="shared" si="57"/>
        <v>0</v>
      </c>
      <c r="G938" s="485">
        <f t="shared" si="57"/>
        <v>0</v>
      </c>
      <c r="H938" s="485">
        <f t="shared" si="57"/>
        <v>0</v>
      </c>
      <c r="I938" s="485">
        <f t="shared" si="57"/>
        <v>0</v>
      </c>
      <c r="J938" s="611"/>
      <c r="K938" s="611"/>
    </row>
    <row r="939" spans="1:11" x14ac:dyDescent="0.35">
      <c r="A939" s="2" t="s">
        <v>121</v>
      </c>
      <c r="B939" s="857" t="s">
        <v>2033</v>
      </c>
      <c r="C939" s="855" t="s">
        <v>56</v>
      </c>
      <c r="D939" s="856" t="s">
        <v>1018</v>
      </c>
      <c r="E939" s="485">
        <f>E937*E936</f>
        <v>0</v>
      </c>
      <c r="F939" s="485">
        <f>F937*F936</f>
        <v>0</v>
      </c>
      <c r="G939" s="485">
        <f>G937*G936</f>
        <v>0</v>
      </c>
      <c r="H939" s="485">
        <f>H937*H936</f>
        <v>0</v>
      </c>
      <c r="I939" s="485">
        <f>I937*I936</f>
        <v>0</v>
      </c>
      <c r="J939" s="611"/>
      <c r="K939" s="611"/>
    </row>
    <row r="940" spans="1:11" x14ac:dyDescent="0.35">
      <c r="A940" s="2" t="s">
        <v>124</v>
      </c>
      <c r="B940" s="857" t="s">
        <v>2034</v>
      </c>
      <c r="C940" s="855" t="s">
        <v>56</v>
      </c>
      <c r="D940" s="856" t="s">
        <v>1018</v>
      </c>
      <c r="E940" s="485">
        <f>E938*E936</f>
        <v>0</v>
      </c>
      <c r="F940" s="485">
        <f>F938*F936</f>
        <v>0</v>
      </c>
      <c r="G940" s="485">
        <f>G938*G936</f>
        <v>0</v>
      </c>
      <c r="H940" s="485">
        <f>H938*H936</f>
        <v>0</v>
      </c>
      <c r="I940" s="485">
        <f>I938*I936</f>
        <v>0</v>
      </c>
      <c r="J940" s="611"/>
      <c r="K940" s="611"/>
    </row>
    <row r="941" spans="1:11" x14ac:dyDescent="0.35">
      <c r="A941" s="648" t="s">
        <v>2035</v>
      </c>
      <c r="B941" s="649" t="s">
        <v>2036</v>
      </c>
      <c r="C941" s="648"/>
      <c r="D941" s="649"/>
      <c r="E941" s="648"/>
      <c r="F941" s="648"/>
      <c r="G941" s="648"/>
      <c r="H941" s="648"/>
      <c r="I941" s="648"/>
      <c r="J941" s="883"/>
      <c r="K941" s="884"/>
    </row>
    <row r="942" spans="1:11" ht="15" customHeight="1" x14ac:dyDescent="0.35">
      <c r="A942" s="2" t="s">
        <v>110</v>
      </c>
      <c r="B942" s="857" t="s">
        <v>2037</v>
      </c>
      <c r="C942" s="855" t="s">
        <v>56</v>
      </c>
      <c r="D942" s="856" t="s">
        <v>2038</v>
      </c>
      <c r="E942" s="485">
        <f>(E923/'Emission Factor &amp; GWP Backup'!$E$108*'Emission Factor &amp; GWP Backup'!$E$110)+'Form-Sb'!E924/'Emission Factor &amp; GWP Backup'!$E$109*'Emission Factor &amp; GWP Backup'!$E$110</f>
        <v>0</v>
      </c>
      <c r="F942" s="485">
        <f>(F923/'Emission Factor &amp; GWP Backup'!$E$108*'Emission Factor &amp; GWP Backup'!$E$110)+'Form-Sb'!F924/'Emission Factor &amp; GWP Backup'!$E$109*'Emission Factor &amp; GWP Backup'!$E$110</f>
        <v>0</v>
      </c>
      <c r="G942" s="485">
        <f>(G923/'Emission Factor &amp; GWP Backup'!$E$108*'Emission Factor &amp; GWP Backup'!$E$110)+'Form-Sb'!G924/'Emission Factor &amp; GWP Backup'!$E$109*'Emission Factor &amp; GWP Backup'!$E$110</f>
        <v>0</v>
      </c>
      <c r="H942" s="485">
        <f>(H923/'Emission Factor &amp; GWP Backup'!$E$108*'Emission Factor &amp; GWP Backup'!$E$110)+'Form-Sb'!H924/'Emission Factor &amp; GWP Backup'!$E$109*'Emission Factor &amp; GWP Backup'!$E$110</f>
        <v>0</v>
      </c>
      <c r="I942" s="485">
        <f>(I923/'Emission Factor &amp; GWP Backup'!$E$108*'Emission Factor &amp; GWP Backup'!$E$110)+'Form-Sb'!I924/'Emission Factor &amp; GWP Backup'!$E$109*'Emission Factor &amp; GWP Backup'!$E$110</f>
        <v>0</v>
      </c>
      <c r="J942" s="611"/>
      <c r="K942" s="611"/>
    </row>
    <row r="943" spans="1:11" ht="15" customHeight="1" x14ac:dyDescent="0.35">
      <c r="A943" s="2" t="s">
        <v>115</v>
      </c>
      <c r="B943" s="857" t="s">
        <v>2039</v>
      </c>
      <c r="C943" s="855" t="s">
        <v>56</v>
      </c>
      <c r="D943" s="856" t="s">
        <v>2038</v>
      </c>
      <c r="E943" s="485">
        <f>(E933/'Emission Factor &amp; GWP Backup'!$E$108*'Emission Factor &amp; GWP Backup'!$E$110)+'Form-Sb'!E934/'Emission Factor &amp; GWP Backup'!$E$109*'Emission Factor &amp; GWP Backup'!$E$110</f>
        <v>0</v>
      </c>
      <c r="F943" s="485">
        <f>(F933/'Emission Factor &amp; GWP Backup'!$E$108*'Emission Factor &amp; GWP Backup'!$E$110)+'Form-Sb'!F934/'Emission Factor &amp; GWP Backup'!$E$109*'Emission Factor &amp; GWP Backup'!$E$110</f>
        <v>0</v>
      </c>
      <c r="G943" s="485">
        <f>(G933/'Emission Factor &amp; GWP Backup'!$E$108*'Emission Factor &amp; GWP Backup'!$E$110)+'Form-Sb'!G934/'Emission Factor &amp; GWP Backup'!$E$109*'Emission Factor &amp; GWP Backup'!$E$110</f>
        <v>0</v>
      </c>
      <c r="H943" s="485">
        <f>(H933/'Emission Factor &amp; GWP Backup'!$E$108*'Emission Factor &amp; GWP Backup'!$E$110)+'Form-Sb'!H934/'Emission Factor &amp; GWP Backup'!$E$109*'Emission Factor &amp; GWP Backup'!$E$110</f>
        <v>0</v>
      </c>
      <c r="I943" s="485">
        <f>(I933/'Emission Factor &amp; GWP Backup'!$E$108*'Emission Factor &amp; GWP Backup'!$E$110)+'Form-Sb'!I934/'Emission Factor &amp; GWP Backup'!$E$109*'Emission Factor &amp; GWP Backup'!$E$110</f>
        <v>0</v>
      </c>
      <c r="J943" s="611"/>
      <c r="K943" s="611"/>
    </row>
    <row r="944" spans="1:11" ht="15" customHeight="1" x14ac:dyDescent="0.35">
      <c r="A944" s="2" t="s">
        <v>118</v>
      </c>
      <c r="B944" s="857" t="s">
        <v>2040</v>
      </c>
      <c r="C944" s="855" t="s">
        <v>56</v>
      </c>
      <c r="D944" s="856" t="s">
        <v>2038</v>
      </c>
      <c r="E944" s="485">
        <f>(E939/'Emission Factor &amp; GWP Backup'!$E$111*'Emission Factor &amp; GWP Backup'!$E$110)+'Form-Sb'!E940/'Emission Factor &amp; GWP Backup'!$E$112*'Emission Factor &amp; GWP Backup'!$E$110</f>
        <v>0</v>
      </c>
      <c r="F944" s="485">
        <f>(F939/'Emission Factor &amp; GWP Backup'!$E$111*'Emission Factor &amp; GWP Backup'!$E$110)+'Form-Sb'!F940/'Emission Factor &amp; GWP Backup'!$E$112*'Emission Factor &amp; GWP Backup'!$E$110</f>
        <v>0</v>
      </c>
      <c r="G944" s="485">
        <f>(G939/'Emission Factor &amp; GWP Backup'!$E$111*'Emission Factor &amp; GWP Backup'!$E$110)+'Form-Sb'!G940/'Emission Factor &amp; GWP Backup'!$E$112*'Emission Factor &amp; GWP Backup'!$E$110</f>
        <v>0</v>
      </c>
      <c r="H944" s="485">
        <f>(H939/'Emission Factor &amp; GWP Backup'!$E$111*'Emission Factor &amp; GWP Backup'!$E$110)+'Form-Sb'!H940/'Emission Factor &amp; GWP Backup'!$E$112*'Emission Factor &amp; GWP Backup'!$E$110</f>
        <v>0</v>
      </c>
      <c r="I944" s="485">
        <f>(I939/'Emission Factor &amp; GWP Backup'!$E$111*'Emission Factor &amp; GWP Backup'!$E$110)+'Form-Sb'!I940/'Emission Factor &amp; GWP Backup'!$E$112*'Emission Factor &amp; GWP Backup'!$E$110</f>
        <v>0</v>
      </c>
      <c r="J944" s="611"/>
      <c r="K944" s="611"/>
    </row>
    <row r="945" spans="1:11" ht="15" customHeight="1" x14ac:dyDescent="0.35">
      <c r="A945" s="2" t="s">
        <v>121</v>
      </c>
      <c r="B945" s="857" t="s">
        <v>2041</v>
      </c>
      <c r="C945" s="855" t="s">
        <v>56</v>
      </c>
      <c r="D945" s="856" t="s">
        <v>2038</v>
      </c>
      <c r="E945" s="485">
        <f>E942-E943-E944</f>
        <v>0</v>
      </c>
      <c r="F945" s="485">
        <f>F942-F943-F944</f>
        <v>0</v>
      </c>
      <c r="G945" s="485">
        <f>G942-G943-G944</f>
        <v>0</v>
      </c>
      <c r="H945" s="485">
        <f>H942-H943-H944</f>
        <v>0</v>
      </c>
      <c r="I945" s="485">
        <f>I942-I943-I944</f>
        <v>0</v>
      </c>
      <c r="J945" s="611"/>
      <c r="K945" s="611"/>
    </row>
    <row r="946" spans="1:11" x14ac:dyDescent="0.35">
      <c r="A946" s="648" t="s">
        <v>2042</v>
      </c>
      <c r="B946" s="649" t="s">
        <v>2043</v>
      </c>
      <c r="C946" s="648"/>
      <c r="D946" s="649"/>
      <c r="E946" s="648"/>
      <c r="F946" s="648"/>
      <c r="G946" s="648"/>
      <c r="H946" s="648"/>
      <c r="I946" s="648"/>
      <c r="J946" s="883"/>
      <c r="K946" s="884"/>
    </row>
    <row r="947" spans="1:11" ht="15" customHeight="1" x14ac:dyDescent="0.35">
      <c r="A947" s="2" t="s">
        <v>110</v>
      </c>
      <c r="B947" s="857" t="s">
        <v>2044</v>
      </c>
      <c r="C947" s="855" t="s">
        <v>56</v>
      </c>
      <c r="D947" s="856" t="s">
        <v>2045</v>
      </c>
      <c r="E947" s="485">
        <f>IF(E920=0,0,E942/E920*1000)</f>
        <v>0</v>
      </c>
      <c r="F947" s="485">
        <f>IF(F920=0,0,F942/F920*1000)</f>
        <v>0</v>
      </c>
      <c r="G947" s="485">
        <f>IF(G920=0,0,G942/G920*1000)</f>
        <v>0</v>
      </c>
      <c r="H947" s="485">
        <f>IF(H920=0,0,H942/H920*1000)</f>
        <v>0</v>
      </c>
      <c r="I947" s="485">
        <f>IF(I920=0,0,I942/I920*1000)</f>
        <v>0</v>
      </c>
      <c r="J947" s="611"/>
      <c r="K947" s="611"/>
    </row>
    <row r="948" spans="1:11" ht="15" customHeight="1" x14ac:dyDescent="0.35">
      <c r="A948" s="2" t="s">
        <v>115</v>
      </c>
      <c r="B948" s="859" t="s">
        <v>2046</v>
      </c>
      <c r="C948" s="855" t="s">
        <v>56</v>
      </c>
      <c r="D948" s="856" t="s">
        <v>2045</v>
      </c>
      <c r="E948" s="485">
        <f>IF(E920=0,0,E945/E920*1000)</f>
        <v>0</v>
      </c>
      <c r="F948" s="485">
        <f>IF(F920=0,0,F945/F920*1000)</f>
        <v>0</v>
      </c>
      <c r="G948" s="485">
        <f>IF(G920=0,0,G945/G920*1000)</f>
        <v>0</v>
      </c>
      <c r="H948" s="485">
        <f>IF(H920=0,0,H945/H920*1000)</f>
        <v>0</v>
      </c>
      <c r="I948" s="485">
        <f>IF(I920=0,0,I945/I920*1000)</f>
        <v>0</v>
      </c>
      <c r="J948" s="611"/>
      <c r="K948" s="611"/>
    </row>
    <row r="949" spans="1:11" x14ac:dyDescent="0.35">
      <c r="A949" s="648" t="s">
        <v>2047</v>
      </c>
      <c r="B949" s="649" t="s">
        <v>2048</v>
      </c>
      <c r="C949" s="648"/>
      <c r="D949" s="649"/>
      <c r="E949" s="648"/>
      <c r="F949" s="648"/>
      <c r="G949" s="648"/>
      <c r="H949" s="648"/>
      <c r="I949" s="648"/>
      <c r="J949" s="883"/>
      <c r="K949" s="884"/>
    </row>
    <row r="950" spans="1:11" ht="26" customHeight="1" x14ac:dyDescent="0.35">
      <c r="A950" s="2" t="s">
        <v>110</v>
      </c>
      <c r="B950" s="859" t="s">
        <v>2049</v>
      </c>
      <c r="C950" s="855" t="s">
        <v>56</v>
      </c>
      <c r="D950" s="856" t="s">
        <v>2045</v>
      </c>
      <c r="E950" s="485">
        <f>E948</f>
        <v>0</v>
      </c>
      <c r="F950" s="485">
        <f>F948</f>
        <v>0</v>
      </c>
      <c r="G950" s="485">
        <f>G948</f>
        <v>0</v>
      </c>
      <c r="H950" s="485">
        <f>H948</f>
        <v>0</v>
      </c>
      <c r="I950" s="485">
        <f>I948</f>
        <v>0</v>
      </c>
      <c r="J950" s="611"/>
      <c r="K950" s="611"/>
    </row>
    <row r="951" spans="1:11" x14ac:dyDescent="0.35">
      <c r="A951" s="648" t="s">
        <v>2050</v>
      </c>
      <c r="B951" s="649" t="s">
        <v>2051</v>
      </c>
      <c r="C951" s="648"/>
      <c r="D951" s="649"/>
      <c r="E951" s="648"/>
      <c r="F951" s="648"/>
      <c r="G951" s="648"/>
      <c r="H951" s="648"/>
      <c r="I951" s="648"/>
      <c r="J951" s="883"/>
      <c r="K951" s="884"/>
    </row>
    <row r="952" spans="1:11" x14ac:dyDescent="0.35">
      <c r="A952" s="2" t="s">
        <v>110</v>
      </c>
      <c r="B952" s="859" t="s">
        <v>1299</v>
      </c>
      <c r="C952" s="855" t="s">
        <v>56</v>
      </c>
      <c r="D952" s="856" t="s">
        <v>2052</v>
      </c>
      <c r="E952" s="485">
        <f t="shared" ref="E952:I954" si="58">E109</f>
        <v>0</v>
      </c>
      <c r="F952" s="485">
        <f t="shared" si="58"/>
        <v>0</v>
      </c>
      <c r="G952" s="485">
        <f t="shared" si="58"/>
        <v>0</v>
      </c>
      <c r="H952" s="485">
        <f t="shared" si="58"/>
        <v>0</v>
      </c>
      <c r="I952" s="485">
        <f t="shared" si="58"/>
        <v>0</v>
      </c>
      <c r="J952" s="611"/>
      <c r="K952" s="611"/>
    </row>
    <row r="953" spans="1:11" x14ac:dyDescent="0.35">
      <c r="A953" s="2" t="s">
        <v>115</v>
      </c>
      <c r="B953" s="859" t="s">
        <v>1300</v>
      </c>
      <c r="C953" s="855" t="s">
        <v>56</v>
      </c>
      <c r="D953" s="856" t="s">
        <v>2052</v>
      </c>
      <c r="E953" s="485">
        <f t="shared" si="58"/>
        <v>0</v>
      </c>
      <c r="F953" s="485">
        <f t="shared" si="58"/>
        <v>0</v>
      </c>
      <c r="G953" s="485">
        <f t="shared" si="58"/>
        <v>0</v>
      </c>
      <c r="H953" s="485">
        <f t="shared" si="58"/>
        <v>0</v>
      </c>
      <c r="I953" s="485">
        <f t="shared" si="58"/>
        <v>0</v>
      </c>
      <c r="J953" s="611"/>
      <c r="K953" s="611"/>
    </row>
    <row r="954" spans="1:11" x14ac:dyDescent="0.35">
      <c r="A954" s="2" t="s">
        <v>118</v>
      </c>
      <c r="B954" s="859" t="s">
        <v>2053</v>
      </c>
      <c r="C954" s="855" t="s">
        <v>56</v>
      </c>
      <c r="D954" s="856" t="s">
        <v>1057</v>
      </c>
      <c r="E954" s="485">
        <f t="shared" si="58"/>
        <v>0</v>
      </c>
      <c r="F954" s="485">
        <f t="shared" si="58"/>
        <v>0</v>
      </c>
      <c r="G954" s="485">
        <f t="shared" si="58"/>
        <v>0</v>
      </c>
      <c r="H954" s="485">
        <f t="shared" si="58"/>
        <v>0</v>
      </c>
      <c r="I954" s="485">
        <f t="shared" si="58"/>
        <v>0</v>
      </c>
      <c r="J954" s="611"/>
      <c r="K954" s="611"/>
    </row>
    <row r="955" spans="1:11" ht="14.5" customHeight="1" x14ac:dyDescent="0.35">
      <c r="A955" s="2" t="s">
        <v>121</v>
      </c>
      <c r="B955" s="859" t="s">
        <v>2054</v>
      </c>
      <c r="C955" s="855" t="s">
        <v>56</v>
      </c>
      <c r="D955" s="856" t="s">
        <v>2055</v>
      </c>
      <c r="E955" s="485">
        <f>E952*E947*E954/100/1000</f>
        <v>0</v>
      </c>
      <c r="F955" s="485">
        <f>F952*F947*F954/100/1000</f>
        <v>0</v>
      </c>
      <c r="G955" s="485">
        <f>G952*G947*G954/100/1000</f>
        <v>0</v>
      </c>
      <c r="H955" s="485">
        <f>H952*H947*H954/100/1000</f>
        <v>0</v>
      </c>
      <c r="I955" s="485">
        <f>I952*I947*I954/100/1000</f>
        <v>0</v>
      </c>
      <c r="J955" s="611"/>
      <c r="K955" s="611"/>
    </row>
    <row r="956" spans="1:11" ht="14.5" customHeight="1" x14ac:dyDescent="0.35">
      <c r="A956" s="2" t="s">
        <v>124</v>
      </c>
      <c r="B956" s="858" t="s">
        <v>2056</v>
      </c>
      <c r="C956" s="855" t="s">
        <v>56</v>
      </c>
      <c r="D956" s="856" t="s">
        <v>2055</v>
      </c>
      <c r="E956" s="485">
        <f>E953*E947/1000</f>
        <v>0</v>
      </c>
      <c r="F956" s="485">
        <f>F953*F947/1000</f>
        <v>0</v>
      </c>
      <c r="G956" s="485">
        <f>G953*G947/1000</f>
        <v>0</v>
      </c>
      <c r="H956" s="485">
        <f>H953*H947/1000</f>
        <v>0</v>
      </c>
      <c r="I956" s="485">
        <f>I953*I947/1000</f>
        <v>0</v>
      </c>
      <c r="J956" s="611"/>
      <c r="K956" s="611"/>
    </row>
    <row r="957" spans="1:11" ht="14.5" customHeight="1" x14ac:dyDescent="0.35">
      <c r="A957" s="2" t="s">
        <v>162</v>
      </c>
      <c r="B957" s="858" t="s">
        <v>2057</v>
      </c>
      <c r="C957" s="855" t="s">
        <v>56</v>
      </c>
      <c r="D957" s="856" t="s">
        <v>2055</v>
      </c>
      <c r="E957" s="485">
        <f>(E927*E928*3.664)/1000</f>
        <v>0</v>
      </c>
      <c r="F957" s="485">
        <f>(F927*F928*3.664)/1000</f>
        <v>0</v>
      </c>
      <c r="G957" s="485">
        <f>(G927*G928*3.664)/1000</f>
        <v>0</v>
      </c>
      <c r="H957" s="485">
        <f>(H927*H928*3.664)/1000</f>
        <v>0</v>
      </c>
      <c r="I957" s="485">
        <f>(I927*I928*3.664)/1000</f>
        <v>0</v>
      </c>
      <c r="J957" s="611"/>
      <c r="K957" s="611"/>
    </row>
    <row r="958" spans="1:11" ht="26" customHeight="1" x14ac:dyDescent="0.35">
      <c r="A958" s="2" t="s">
        <v>202</v>
      </c>
      <c r="B958" s="859" t="s">
        <v>2058</v>
      </c>
      <c r="C958" s="855" t="s">
        <v>56</v>
      </c>
      <c r="D958" s="856" t="s">
        <v>2045</v>
      </c>
      <c r="E958" s="485">
        <f>IF(E920=0,0,(E950*E920+E955+E956+E957)/E920)</f>
        <v>0</v>
      </c>
      <c r="F958" s="485">
        <f>IF(F920=0,0,(F950*F920+F955+F956+F957)/F920)</f>
        <v>0</v>
      </c>
      <c r="G958" s="485">
        <f>IF(G920=0,0,(G950*G920+G955+G956+G957)/G920)</f>
        <v>0</v>
      </c>
      <c r="H958" s="485">
        <f>IF(H920=0,0,(H950*H920+H955+H956+H957)/H920)</f>
        <v>0</v>
      </c>
      <c r="I958" s="485">
        <f>IF(I920=0,0,(I950*I920+I955+I956+I957)/I920)</f>
        <v>0</v>
      </c>
      <c r="J958" s="611"/>
      <c r="K958" s="611"/>
    </row>
    <row r="959" spans="1:11" x14ac:dyDescent="0.35">
      <c r="A959" s="2" t="s">
        <v>203</v>
      </c>
      <c r="B959" s="3" t="s">
        <v>2059</v>
      </c>
      <c r="C959" s="855" t="s">
        <v>56</v>
      </c>
      <c r="D959" s="762" t="s">
        <v>1729</v>
      </c>
      <c r="E959" s="485">
        <f>IF(E911=$C$909,E913,E957+E956+E955+(E950*E920/1000))</f>
        <v>0</v>
      </c>
      <c r="F959" s="485">
        <f>IF(F911=$C$909,F913,F957+F956+F955+(F950*F920/1000))</f>
        <v>0</v>
      </c>
      <c r="G959" s="485">
        <f>IF(G911=$C$909,G913,G957+G956+G955+(G950*G920/1000))</f>
        <v>0</v>
      </c>
      <c r="H959" s="485">
        <f>IF(H911=$C$909,H913,H957+H956+H955+(H950*H920/1000))</f>
        <v>0</v>
      </c>
      <c r="I959" s="485">
        <f>IF(I911=$C$909,I913,I957+I956+I955+(I950*I920/1000))</f>
        <v>0</v>
      </c>
      <c r="J959" s="724"/>
      <c r="K959" s="611"/>
    </row>
    <row r="960" spans="1:11" x14ac:dyDescent="0.35">
      <c r="A960" s="2"/>
      <c r="B960" s="3"/>
      <c r="C960" s="580"/>
      <c r="D960" s="543"/>
      <c r="E960" s="650"/>
      <c r="F960" s="543"/>
      <c r="G960" s="597"/>
      <c r="H960" s="543"/>
      <c r="I960" s="543"/>
      <c r="J960" s="611"/>
      <c r="K960" s="611"/>
    </row>
    <row r="961" spans="1:11" ht="15" customHeight="1" thickBot="1" x14ac:dyDescent="0.4">
      <c r="A961" s="860"/>
      <c r="B961" s="3" t="s">
        <v>26</v>
      </c>
      <c r="C961" s="174"/>
      <c r="D961" s="174"/>
      <c r="K961" s="885"/>
    </row>
    <row r="962" spans="1:11" ht="15" customHeight="1" thickBot="1" x14ac:dyDescent="0.4">
      <c r="A962" s="744"/>
      <c r="B962" s="771" t="s">
        <v>2060</v>
      </c>
      <c r="C962" s="174"/>
      <c r="D962" s="174"/>
      <c r="K962" s="886"/>
    </row>
    <row r="963" spans="1:11" ht="15" customHeight="1" thickBot="1" x14ac:dyDescent="0.4">
      <c r="A963" s="745"/>
      <c r="B963" s="244" t="s">
        <v>28</v>
      </c>
      <c r="C963" s="174"/>
      <c r="D963" s="174"/>
      <c r="K963" s="886"/>
    </row>
    <row r="964" spans="1:11" ht="15" customHeight="1" thickBot="1" x14ac:dyDescent="0.4">
      <c r="A964" s="746"/>
      <c r="B964" s="244" t="s">
        <v>29</v>
      </c>
      <c r="C964" s="318"/>
      <c r="D964" s="318"/>
      <c r="E964" s="651"/>
      <c r="F964" s="651"/>
      <c r="G964" s="652"/>
      <c r="H964" s="799"/>
      <c r="I964" s="653"/>
      <c r="J964" s="653"/>
      <c r="K964" s="654"/>
    </row>
    <row r="965" spans="1:11" x14ac:dyDescent="0.35">
      <c r="A965" s="749" t="s">
        <v>30</v>
      </c>
      <c r="B965" s="244" t="s">
        <v>31</v>
      </c>
      <c r="C965" s="660"/>
      <c r="D965" s="661"/>
      <c r="E965" s="656"/>
      <c r="F965" s="656"/>
      <c r="G965" s="657"/>
      <c r="H965" s="661"/>
      <c r="I965" s="656"/>
      <c r="J965" s="656"/>
      <c r="K965" s="658"/>
    </row>
    <row r="966" spans="1:11" x14ac:dyDescent="0.35">
      <c r="A966" s="747" t="s">
        <v>32</v>
      </c>
      <c r="B966" s="3" t="s">
        <v>33</v>
      </c>
      <c r="C966" s="660"/>
      <c r="D966" s="661"/>
      <c r="E966" s="656"/>
      <c r="F966" s="656"/>
      <c r="G966" s="657"/>
      <c r="H966" s="661"/>
      <c r="I966" s="656"/>
      <c r="J966" s="656"/>
      <c r="K966" s="658"/>
    </row>
    <row r="967" spans="1:11" x14ac:dyDescent="0.35">
      <c r="A967" s="861"/>
      <c r="B967" s="174" t="s">
        <v>34</v>
      </c>
      <c r="C967" s="660"/>
      <c r="D967" s="661"/>
      <c r="E967" s="656"/>
      <c r="F967" s="656"/>
      <c r="G967" s="657"/>
      <c r="H967" s="661"/>
      <c r="I967" s="656"/>
      <c r="J967" s="656"/>
      <c r="K967" s="658"/>
    </row>
    <row r="968" spans="1:11" x14ac:dyDescent="0.35">
      <c r="A968" s="838" t="s">
        <v>35</v>
      </c>
      <c r="B968" s="3" t="s">
        <v>36</v>
      </c>
      <c r="C968" s="660"/>
      <c r="D968" s="661"/>
      <c r="E968" s="656"/>
      <c r="F968" s="656"/>
      <c r="G968" s="657"/>
      <c r="H968" s="661"/>
      <c r="I968" s="656"/>
      <c r="J968" s="656"/>
      <c r="K968" s="658"/>
    </row>
    <row r="969" spans="1:11" x14ac:dyDescent="0.35">
      <c r="A969" s="3"/>
      <c r="B969" s="3"/>
      <c r="C969" s="660"/>
      <c r="D969" s="661"/>
      <c r="E969" s="656"/>
      <c r="F969" s="656"/>
      <c r="G969" s="657"/>
      <c r="H969" s="661"/>
      <c r="I969" s="656"/>
      <c r="J969" s="656"/>
      <c r="K969" s="658"/>
    </row>
    <row r="970" spans="1:11" x14ac:dyDescent="0.35">
      <c r="A970" s="1037" t="s">
        <v>2061</v>
      </c>
      <c r="B970" s="938"/>
      <c r="C970" s="938"/>
      <c r="D970" s="938"/>
      <c r="E970" s="938"/>
      <c r="F970" s="938"/>
      <c r="G970" s="938"/>
      <c r="H970" s="1038"/>
      <c r="I970" s="938"/>
      <c r="J970" s="938"/>
      <c r="K970" s="1030"/>
    </row>
    <row r="971" spans="1:11" x14ac:dyDescent="0.35">
      <c r="A971" s="1039"/>
      <c r="B971" s="938"/>
      <c r="C971" s="938"/>
      <c r="D971" s="938"/>
      <c r="E971" s="938"/>
      <c r="F971" s="938"/>
      <c r="G971" s="938"/>
      <c r="H971" s="1038"/>
      <c r="I971" s="938"/>
      <c r="J971" s="938"/>
      <c r="K971" s="1030"/>
    </row>
    <row r="972" spans="1:11" x14ac:dyDescent="0.35">
      <c r="A972" s="659"/>
      <c r="B972" s="174"/>
      <c r="C972" s="660"/>
      <c r="D972" s="661"/>
      <c r="E972" s="661"/>
      <c r="F972" s="661"/>
      <c r="G972" s="662"/>
      <c r="H972" s="661"/>
      <c r="I972" s="661"/>
      <c r="J972" s="661"/>
      <c r="K972" s="663"/>
    </row>
    <row r="973" spans="1:11" x14ac:dyDescent="0.35">
      <c r="A973" s="659"/>
      <c r="B973" s="174"/>
      <c r="C973" s="660"/>
      <c r="D973" s="661"/>
      <c r="E973" s="661"/>
      <c r="F973" s="661"/>
      <c r="G973" s="662"/>
      <c r="H973" s="661"/>
      <c r="I973" s="661"/>
      <c r="J973" s="661"/>
      <c r="K973" s="663"/>
    </row>
    <row r="974" spans="1:11" x14ac:dyDescent="0.35">
      <c r="A974" s="659"/>
      <c r="B974" s="174"/>
      <c r="C974" s="660"/>
      <c r="D974" s="661"/>
      <c r="E974" s="661"/>
      <c r="F974" s="661"/>
      <c r="G974" s="662"/>
      <c r="H974" s="661"/>
      <c r="I974" s="661"/>
      <c r="J974" s="661"/>
      <c r="K974" s="663"/>
    </row>
    <row r="975" spans="1:11" x14ac:dyDescent="0.35">
      <c r="A975" s="780" t="s">
        <v>2062</v>
      </c>
      <c r="B975" s="662"/>
      <c r="C975" s="662"/>
      <c r="D975" s="662"/>
      <c r="E975" s="662"/>
      <c r="F975" s="662"/>
      <c r="G975" s="662"/>
      <c r="H975" s="662"/>
      <c r="I975" s="662"/>
      <c r="J975" s="662"/>
      <c r="K975" s="781"/>
    </row>
    <row r="976" spans="1:11" x14ac:dyDescent="0.35">
      <c r="A976" s="664" t="s">
        <v>2063</v>
      </c>
      <c r="B976" s="662"/>
      <c r="C976" s="660"/>
      <c r="D976" s="661"/>
      <c r="E976" s="661"/>
      <c r="F976" s="661"/>
      <c r="G976" s="662"/>
      <c r="H976" s="661"/>
      <c r="I976" s="661"/>
      <c r="J976" s="661"/>
      <c r="K976" s="663"/>
    </row>
    <row r="977" spans="1:11" x14ac:dyDescent="0.35">
      <c r="A977" s="665" t="s">
        <v>2064</v>
      </c>
      <c r="B977" s="662"/>
      <c r="C977" s="660"/>
      <c r="D977" s="661"/>
      <c r="E977" s="661"/>
      <c r="F977" s="661"/>
      <c r="G977" s="662"/>
      <c r="H977" s="661"/>
      <c r="I977" s="1029" t="s">
        <v>2065</v>
      </c>
      <c r="J977" s="938"/>
      <c r="K977" s="1030"/>
    </row>
    <row r="978" spans="1:11" ht="15" customHeight="1" x14ac:dyDescent="0.35">
      <c r="A978" s="1040" t="s">
        <v>2066</v>
      </c>
      <c r="B978" s="1024"/>
      <c r="C978" s="655"/>
      <c r="D978" s="656"/>
      <c r="E978" s="656"/>
      <c r="F978" s="656"/>
      <c r="G978" s="657"/>
      <c r="H978" s="656"/>
      <c r="I978" s="656"/>
      <c r="J978" s="656"/>
      <c r="K978" s="658"/>
    </row>
    <row r="979" spans="1:11" x14ac:dyDescent="0.35">
      <c r="A979" s="666"/>
      <c r="B979" s="657"/>
      <c r="C979" s="655"/>
      <c r="D979" s="656"/>
      <c r="E979" s="656"/>
      <c r="F979" s="656"/>
      <c r="G979" s="657"/>
      <c r="H979" s="656"/>
      <c r="I979" s="656"/>
      <c r="J979" s="656"/>
      <c r="K979" s="658"/>
    </row>
    <row r="980" spans="1:11" ht="15" customHeight="1" thickBot="1" x14ac:dyDescent="0.4">
      <c r="A980" s="1034" t="s">
        <v>2067</v>
      </c>
      <c r="B980" s="1035"/>
      <c r="C980" s="667"/>
      <c r="D980" s="668"/>
      <c r="E980" s="668"/>
      <c r="F980" s="668"/>
      <c r="G980" s="669"/>
      <c r="H980" s="668"/>
      <c r="I980" s="668"/>
      <c r="J980" s="668"/>
      <c r="K980" s="670"/>
    </row>
    <row r="981" spans="1:11" ht="15.5" customHeight="1" x14ac:dyDescent="0.35">
      <c r="A981" s="671"/>
      <c r="B981" s="672"/>
      <c r="C981" s="655"/>
      <c r="D981" s="656"/>
      <c r="E981" s="656"/>
      <c r="F981" s="656"/>
      <c r="G981" s="657"/>
      <c r="H981" s="656"/>
      <c r="I981" s="1023"/>
      <c r="J981" s="1024"/>
      <c r="K981" s="1024"/>
    </row>
    <row r="982" spans="1:11" ht="15.5" hidden="1" customHeight="1" x14ac:dyDescent="0.35">
      <c r="A982" s="671"/>
      <c r="B982" s="673"/>
      <c r="C982" s="655"/>
      <c r="D982" s="656"/>
      <c r="E982" s="656"/>
      <c r="F982" s="656"/>
      <c r="G982" s="657"/>
      <c r="H982" s="656"/>
      <c r="I982" s="657"/>
      <c r="J982" s="657"/>
      <c r="K982" s="657"/>
    </row>
    <row r="983" spans="1:11" ht="15.5" hidden="1" customHeight="1" x14ac:dyDescent="0.35">
      <c r="A983" s="671"/>
      <c r="B983" s="673"/>
      <c r="C983" s="655"/>
      <c r="D983" s="656"/>
      <c r="E983" s="656"/>
      <c r="F983" s="656"/>
      <c r="G983" s="657"/>
      <c r="H983" s="656"/>
      <c r="I983" s="657"/>
      <c r="J983" s="657"/>
      <c r="K983" s="657"/>
    </row>
    <row r="984" spans="1:11" ht="15.5" hidden="1" customHeight="1" x14ac:dyDescent="0.35">
      <c r="A984" s="671"/>
      <c r="B984" s="673"/>
      <c r="C984" s="655"/>
      <c r="D984" s="656"/>
      <c r="E984" s="656"/>
      <c r="F984" s="656"/>
      <c r="G984" s="657"/>
      <c r="H984" s="656"/>
      <c r="I984" s="657"/>
      <c r="J984" s="657"/>
      <c r="K984" s="657"/>
    </row>
    <row r="985" spans="1:11" ht="15.5" hidden="1" customHeight="1" x14ac:dyDescent="0.35">
      <c r="A985" s="671"/>
      <c r="B985" s="672"/>
      <c r="C985" s="655"/>
      <c r="D985" s="656"/>
      <c r="E985" s="656"/>
      <c r="F985" s="656"/>
      <c r="G985" s="657"/>
      <c r="H985" s="656"/>
      <c r="I985" s="1023"/>
      <c r="J985" s="1024"/>
      <c r="K985" s="1024"/>
    </row>
    <row r="986" spans="1:11" ht="15.5" hidden="1" customHeight="1" x14ac:dyDescent="0.35">
      <c r="A986" s="671"/>
      <c r="B986" s="673"/>
      <c r="C986" s="655"/>
      <c r="D986" s="656"/>
      <c r="E986" s="656"/>
      <c r="F986" s="656"/>
      <c r="G986" s="657"/>
      <c r="H986" s="656"/>
      <c r="I986" s="657"/>
      <c r="J986" s="657"/>
      <c r="K986" s="657"/>
    </row>
  </sheetData>
  <sheetProtection algorithmName="SHA-512" hashValue="fqbvEbf/z0t9ePhSX8283oKdx2BaJQ98Hd88cDM5zBxQ3oOzCxc7Le+pKQH0OuJSyiXQ7aiWX93SvCvofmGYNw==" saltValue="NrW4kG4E35jwDG8JtHgLZg==" spinCount="100000" sheet="1" objects="1" scenarios="1"/>
  <mergeCells count="16">
    <mergeCell ref="A1:K1"/>
    <mergeCell ref="L82:L85"/>
    <mergeCell ref="I985:K985"/>
    <mergeCell ref="A2:K2"/>
    <mergeCell ref="L50:M50"/>
    <mergeCell ref="A980:B980"/>
    <mergeCell ref="C3:K3"/>
    <mergeCell ref="A970:K971"/>
    <mergeCell ref="A978:B978"/>
    <mergeCell ref="A3:B3"/>
    <mergeCell ref="I981:K981"/>
    <mergeCell ref="A4:B5"/>
    <mergeCell ref="L49:N49"/>
    <mergeCell ref="I977:K977"/>
    <mergeCell ref="C583:D583"/>
    <mergeCell ref="C608:D608"/>
  </mergeCells>
  <conditionalFormatting sqref="A214 E518:I518 E519:J519">
    <cfRule type="cellIs" dxfId="352" priority="132" stopIfTrue="1" operator="equal">
      <formula>"NA"</formula>
    </cfRule>
    <cfRule type="cellIs" dxfId="351" priority="133" stopIfTrue="1" operator="equal">
      <formula>"NA"</formula>
    </cfRule>
  </conditionalFormatting>
  <conditionalFormatting sqref="A220:A227">
    <cfRule type="cellIs" dxfId="350" priority="131" stopIfTrue="1" operator="equal">
      <formula>"NA"</formula>
    </cfRule>
    <cfRule type="cellIs" dxfId="349" priority="130" stopIfTrue="1" operator="equal">
      <formula>"NA"</formula>
    </cfRule>
  </conditionalFormatting>
  <conditionalFormatting sqref="A966">
    <cfRule type="containsText" dxfId="348" priority="50" operator="containsText" text="Select">
      <formula>NOT(ISERROR(SEARCH("Select",A966)))</formula>
    </cfRule>
  </conditionalFormatting>
  <conditionalFormatting sqref="A206:G207">
    <cfRule type="cellIs" dxfId="347" priority="47" stopIfTrue="1" operator="equal">
      <formula>"NA"</formula>
    </cfRule>
    <cfRule type="cellIs" dxfId="346" priority="48" stopIfTrue="1" operator="equal">
      <formula>"NA"</formula>
    </cfRule>
  </conditionalFormatting>
  <conditionalFormatting sqref="A219:G219 H343:H349">
    <cfRule type="cellIs" dxfId="345" priority="597" stopIfTrue="1" operator="equal">
      <formula>"NA"</formula>
    </cfRule>
    <cfRule type="cellIs" dxfId="344" priority="596" stopIfTrue="1" operator="equal">
      <formula>"NA"</formula>
    </cfRule>
  </conditionalFormatting>
  <conditionalFormatting sqref="A355:G355">
    <cfRule type="cellIs" dxfId="343" priority="5" stopIfTrue="1" operator="equal">
      <formula>"NA"</formula>
    </cfRule>
    <cfRule type="cellIs" dxfId="342" priority="6" stopIfTrue="1" operator="equal">
      <formula>"NA"</formula>
    </cfRule>
  </conditionalFormatting>
  <conditionalFormatting sqref="A404:G405">
    <cfRule type="cellIs" dxfId="341" priority="45" stopIfTrue="1" operator="equal">
      <formula>"NA"</formula>
    </cfRule>
    <cfRule type="cellIs" dxfId="340" priority="46" stopIfTrue="1" operator="equal">
      <formula>"NA"</formula>
    </cfRule>
  </conditionalFormatting>
  <conditionalFormatting sqref="A426:G427">
    <cfRule type="cellIs" dxfId="339" priority="43" stopIfTrue="1" operator="equal">
      <formula>"NA"</formula>
    </cfRule>
    <cfRule type="cellIs" dxfId="338" priority="44" stopIfTrue="1" operator="equal">
      <formula>"NA"</formula>
    </cfRule>
  </conditionalFormatting>
  <conditionalFormatting sqref="A448:G449">
    <cfRule type="cellIs" dxfId="337" priority="41" stopIfTrue="1" operator="equal">
      <formula>"NA"</formula>
    </cfRule>
    <cfRule type="cellIs" dxfId="336" priority="42" stopIfTrue="1" operator="equal">
      <formula>"NA"</formula>
    </cfRule>
  </conditionalFormatting>
  <conditionalFormatting sqref="A470:G471">
    <cfRule type="cellIs" dxfId="335" priority="39" stopIfTrue="1" operator="equal">
      <formula>"NA"</formula>
    </cfRule>
    <cfRule type="cellIs" dxfId="334" priority="40" stopIfTrue="1" operator="equal">
      <formula>"NA"</formula>
    </cfRule>
  </conditionalFormatting>
  <conditionalFormatting sqref="A492:G493">
    <cfRule type="cellIs" dxfId="333" priority="37" stopIfTrue="1" operator="equal">
      <formula>"NA"</formula>
    </cfRule>
    <cfRule type="cellIs" dxfId="332" priority="38" stopIfTrue="1" operator="equal">
      <formula>"NA"</formula>
    </cfRule>
  </conditionalFormatting>
  <conditionalFormatting sqref="A514:G515">
    <cfRule type="cellIs" dxfId="331" priority="35" stopIfTrue="1" operator="equal">
      <formula>"NA"</formula>
    </cfRule>
    <cfRule type="cellIs" dxfId="330" priority="36" stopIfTrue="1" operator="equal">
      <formula>"NA"</formula>
    </cfRule>
  </conditionalFormatting>
  <conditionalFormatting sqref="A536:G537">
    <cfRule type="cellIs" dxfId="329" priority="33" stopIfTrue="1" operator="equal">
      <formula>"NA"</formula>
    </cfRule>
    <cfRule type="cellIs" dxfId="328" priority="34" stopIfTrue="1" operator="equal">
      <formula>"NA"</formula>
    </cfRule>
  </conditionalFormatting>
  <conditionalFormatting sqref="A558:G559">
    <cfRule type="cellIs" dxfId="327" priority="32" stopIfTrue="1" operator="equal">
      <formula>"NA"</formula>
    </cfRule>
    <cfRule type="cellIs" dxfId="326" priority="31" stopIfTrue="1" operator="equal">
      <formula>"NA"</formula>
    </cfRule>
  </conditionalFormatting>
  <conditionalFormatting sqref="A575:G575">
    <cfRule type="cellIs" dxfId="325" priority="29" stopIfTrue="1" operator="equal">
      <formula>"NA"</formula>
    </cfRule>
    <cfRule type="cellIs" dxfId="324" priority="30" stopIfTrue="1" operator="equal">
      <formula>"NA"</formula>
    </cfRule>
  </conditionalFormatting>
  <conditionalFormatting sqref="A591:G592">
    <cfRule type="cellIs" dxfId="323" priority="27" stopIfTrue="1" operator="equal">
      <formula>"NA"</formula>
    </cfRule>
    <cfRule type="cellIs" dxfId="322" priority="28" stopIfTrue="1" operator="equal">
      <formula>"NA"</formula>
    </cfRule>
  </conditionalFormatting>
  <conditionalFormatting sqref="A614:G614">
    <cfRule type="cellIs" dxfId="321" priority="25" stopIfTrue="1" operator="equal">
      <formula>"NA"</formula>
    </cfRule>
    <cfRule type="cellIs" dxfId="320" priority="26" stopIfTrue="1" operator="equal">
      <formula>"NA"</formula>
    </cfRule>
  </conditionalFormatting>
  <conditionalFormatting sqref="A645:G645">
    <cfRule type="cellIs" dxfId="319" priority="23" stopIfTrue="1" operator="equal">
      <formula>"NA"</formula>
    </cfRule>
    <cfRule type="cellIs" dxfId="318" priority="24" stopIfTrue="1" operator="equal">
      <formula>"NA"</formula>
    </cfRule>
  </conditionalFormatting>
  <conditionalFormatting sqref="A664:G664">
    <cfRule type="cellIs" dxfId="317" priority="21" stopIfTrue="1" operator="equal">
      <formula>"NA"</formula>
    </cfRule>
    <cfRule type="cellIs" dxfId="316" priority="22" stopIfTrue="1" operator="equal">
      <formula>"NA"</formula>
    </cfRule>
  </conditionalFormatting>
  <conditionalFormatting sqref="A682:G682">
    <cfRule type="cellIs" dxfId="315" priority="19" stopIfTrue="1" operator="equal">
      <formula>"NA"</formula>
    </cfRule>
    <cfRule type="cellIs" dxfId="314" priority="20" stopIfTrue="1" operator="equal">
      <formula>"NA"</formula>
    </cfRule>
  </conditionalFormatting>
  <conditionalFormatting sqref="A700:G700">
    <cfRule type="cellIs" dxfId="313" priority="17" stopIfTrue="1" operator="equal">
      <formula>"NA"</formula>
    </cfRule>
    <cfRule type="cellIs" dxfId="312" priority="18" stopIfTrue="1" operator="equal">
      <formula>"NA"</formula>
    </cfRule>
  </conditionalFormatting>
  <conditionalFormatting sqref="A722:G722">
    <cfRule type="cellIs" dxfId="311" priority="15" stopIfTrue="1" operator="equal">
      <formula>"NA"</formula>
    </cfRule>
    <cfRule type="cellIs" dxfId="310" priority="16" stopIfTrue="1" operator="equal">
      <formula>"NA"</formula>
    </cfRule>
  </conditionalFormatting>
  <conditionalFormatting sqref="A744:G744">
    <cfRule type="cellIs" dxfId="309" priority="14" stopIfTrue="1" operator="equal">
      <formula>"NA"</formula>
    </cfRule>
    <cfRule type="cellIs" dxfId="308" priority="13" stopIfTrue="1" operator="equal">
      <formula>"NA"</formula>
    </cfRule>
  </conditionalFormatting>
  <conditionalFormatting sqref="A780:G780">
    <cfRule type="cellIs" dxfId="307" priority="11" stopIfTrue="1" operator="equal">
      <formula>"NA"</formula>
    </cfRule>
    <cfRule type="cellIs" dxfId="306" priority="12" stopIfTrue="1" operator="equal">
      <formula>"NA"</formula>
    </cfRule>
  </conditionalFormatting>
  <conditionalFormatting sqref="A798:G798">
    <cfRule type="cellIs" dxfId="305" priority="9" stopIfTrue="1" operator="equal">
      <formula>"NA"</formula>
    </cfRule>
    <cfRule type="cellIs" dxfId="304" priority="10" stopIfTrue="1" operator="equal">
      <formula>"NA"</formula>
    </cfRule>
  </conditionalFormatting>
  <conditionalFormatting sqref="E482">
    <cfRule type="cellIs" dxfId="303" priority="333" stopIfTrue="1" operator="equal">
      <formula>"NA"</formula>
    </cfRule>
    <cfRule type="cellIs" dxfId="302" priority="332" stopIfTrue="1" operator="equal">
      <formula>"NA"</formula>
    </cfRule>
  </conditionalFormatting>
  <conditionalFormatting sqref="E80:F80">
    <cfRule type="cellIs" dxfId="301" priority="389" operator="equal">
      <formula>$K$8</formula>
    </cfRule>
  </conditionalFormatting>
  <conditionalFormatting sqref="E321:F328 G322 F323:G323 F325:G325">
    <cfRule type="cellIs" dxfId="300" priority="481" stopIfTrue="1" operator="equal">
      <formula>"NA"</formula>
    </cfRule>
    <cfRule type="cellIs" dxfId="299" priority="480" stopIfTrue="1" operator="equal">
      <formula>"NA"</formula>
    </cfRule>
  </conditionalFormatting>
  <conditionalFormatting sqref="E866:F872">
    <cfRule type="cellIs" dxfId="298" priority="477" stopIfTrue="1" operator="equal">
      <formula>"NA"</formula>
    </cfRule>
    <cfRule type="cellIs" dxfId="297" priority="476" stopIfTrue="1" operator="equal">
      <formula>"NA"</formula>
    </cfRule>
  </conditionalFormatting>
  <conditionalFormatting sqref="E648:G648">
    <cfRule type="cellIs" dxfId="296" priority="313" stopIfTrue="1" operator="equal">
      <formula>"NA"</formula>
    </cfRule>
    <cfRule type="cellIs" dxfId="295" priority="312" stopIfTrue="1" operator="equal">
      <formula>"NA"</formula>
    </cfRule>
  </conditionalFormatting>
  <conditionalFormatting sqref="E859:H861">
    <cfRule type="cellIs" dxfId="294" priority="479" stopIfTrue="1" operator="equal">
      <formula>"NA"</formula>
    </cfRule>
    <cfRule type="cellIs" dxfId="293" priority="478" stopIfTrue="1" operator="equal">
      <formula>"NA"</formula>
    </cfRule>
  </conditionalFormatting>
  <conditionalFormatting sqref="E10:I19">
    <cfRule type="containsText" dxfId="292" priority="87" operator="containsText" text="Select">
      <formula>NOT(ISERROR(SEARCH("Select",E10)))</formula>
    </cfRule>
  </conditionalFormatting>
  <conditionalFormatting sqref="E21:I29">
    <cfRule type="containsText" dxfId="291" priority="79" operator="containsText" text="Select">
      <formula>NOT(ISERROR(SEARCH("Select",E21)))</formula>
    </cfRule>
  </conditionalFormatting>
  <conditionalFormatting sqref="E34:I34">
    <cfRule type="cellIs" dxfId="290" priority="135" stopIfTrue="1" operator="equal">
      <formula>"NA"</formula>
    </cfRule>
    <cfRule type="cellIs" dxfId="289" priority="134" stopIfTrue="1" operator="equal">
      <formula>"NA"</formula>
    </cfRule>
  </conditionalFormatting>
  <conditionalFormatting sqref="E87:I88">
    <cfRule type="cellIs" dxfId="288" priority="222" stopIfTrue="1" operator="equal">
      <formula>"NA"</formula>
    </cfRule>
    <cfRule type="cellIs" dxfId="287" priority="221" stopIfTrue="1" operator="equal">
      <formula>"NA"</formula>
    </cfRule>
  </conditionalFormatting>
  <conditionalFormatting sqref="E920:I924">
    <cfRule type="cellIs" dxfId="286" priority="228" stopIfTrue="1" operator="equal">
      <formula>"NA"</formula>
    </cfRule>
    <cfRule type="cellIs" dxfId="285" priority="227" stopIfTrue="1" operator="equal">
      <formula>"NA"</formula>
    </cfRule>
  </conditionalFormatting>
  <conditionalFormatting sqref="E926:I928">
    <cfRule type="cellIs" dxfId="284" priority="226" stopIfTrue="1" operator="equal">
      <formula>"NA"</formula>
    </cfRule>
    <cfRule type="cellIs" dxfId="283" priority="225" stopIfTrue="1" operator="equal">
      <formula>"NA"</formula>
    </cfRule>
  </conditionalFormatting>
  <conditionalFormatting sqref="E930:I934">
    <cfRule type="cellIs" dxfId="282" priority="223" stopIfTrue="1" operator="equal">
      <formula>"NA"</formula>
    </cfRule>
    <cfRule type="cellIs" dxfId="281" priority="224" stopIfTrue="1" operator="equal">
      <formula>"NA"</formula>
    </cfRule>
  </conditionalFormatting>
  <conditionalFormatting sqref="E936:I940">
    <cfRule type="cellIs" dxfId="280" priority="243" stopIfTrue="1" operator="equal">
      <formula>"NA"</formula>
    </cfRule>
    <cfRule type="cellIs" dxfId="279" priority="244" stopIfTrue="1" operator="equal">
      <formula>"NA"</formula>
    </cfRule>
  </conditionalFormatting>
  <conditionalFormatting sqref="E942:I945">
    <cfRule type="cellIs" dxfId="278" priority="241" stopIfTrue="1" operator="equal">
      <formula>"NA"</formula>
    </cfRule>
    <cfRule type="cellIs" dxfId="277" priority="242" stopIfTrue="1" operator="equal">
      <formula>"NA"</formula>
    </cfRule>
  </conditionalFormatting>
  <conditionalFormatting sqref="E947:I948">
    <cfRule type="cellIs" dxfId="276" priority="239" stopIfTrue="1" operator="equal">
      <formula>"NA"</formula>
    </cfRule>
    <cfRule type="cellIs" dxfId="275" priority="240" stopIfTrue="1" operator="equal">
      <formula>"NA"</formula>
    </cfRule>
  </conditionalFormatting>
  <conditionalFormatting sqref="E950:I950">
    <cfRule type="cellIs" dxfId="274" priority="237" stopIfTrue="1" operator="equal">
      <formula>"NA"</formula>
    </cfRule>
    <cfRule type="cellIs" dxfId="273" priority="238" stopIfTrue="1" operator="equal">
      <formula>"NA"</formula>
    </cfRule>
  </conditionalFormatting>
  <conditionalFormatting sqref="E952:I958">
    <cfRule type="cellIs" dxfId="272" priority="235" stopIfTrue="1" operator="equal">
      <formula>"NA"</formula>
    </cfRule>
    <cfRule type="cellIs" dxfId="271" priority="236" stopIfTrue="1" operator="equal">
      <formula>"NA"</formula>
    </cfRule>
  </conditionalFormatting>
  <conditionalFormatting sqref="E82:J86">
    <cfRule type="cellIs" dxfId="270" priority="256" stopIfTrue="1" operator="equal">
      <formula>"NA"</formula>
    </cfRule>
    <cfRule type="cellIs" dxfId="269" priority="257" stopIfTrue="1" operator="equal">
      <formula>"NA"</formula>
    </cfRule>
  </conditionalFormatting>
  <conditionalFormatting sqref="E91:J98">
    <cfRule type="cellIs" dxfId="268" priority="4" stopIfTrue="1" operator="equal">
      <formula>"NA"</formula>
    </cfRule>
    <cfRule type="cellIs" dxfId="267" priority="3" stopIfTrue="1" operator="equal">
      <formula>"NA"</formula>
    </cfRule>
  </conditionalFormatting>
  <conditionalFormatting sqref="E321:J328">
    <cfRule type="cellIs" dxfId="266" priority="622" stopIfTrue="1" operator="equal">
      <formula>"NA"</formula>
    </cfRule>
    <cfRule type="cellIs" dxfId="265" priority="623" stopIfTrue="1" operator="equal">
      <formula>"NA"</formula>
    </cfRule>
  </conditionalFormatting>
  <conditionalFormatting sqref="E408:J409">
    <cfRule type="cellIs" dxfId="264" priority="442" stopIfTrue="1" operator="equal">
      <formula>"NA"</formula>
    </cfRule>
    <cfRule type="cellIs" dxfId="263" priority="443" stopIfTrue="1" operator="equal">
      <formula>"NA"</formula>
    </cfRule>
  </conditionalFormatting>
  <conditionalFormatting sqref="E413:J414">
    <cfRule type="cellIs" dxfId="262" priority="325" stopIfTrue="1" operator="equal">
      <formula>"NA"</formula>
    </cfRule>
    <cfRule type="cellIs" dxfId="261" priority="324" stopIfTrue="1" operator="equal">
      <formula>"NA"</formula>
    </cfRule>
  </conditionalFormatting>
  <conditionalFormatting sqref="E430:J431">
    <cfRule type="cellIs" dxfId="260" priority="440" stopIfTrue="1" operator="equal">
      <formula>"NA"</formula>
    </cfRule>
    <cfRule type="cellIs" dxfId="259" priority="441" stopIfTrue="1" operator="equal">
      <formula>"NA"</formula>
    </cfRule>
  </conditionalFormatting>
  <conditionalFormatting sqref="E452:J453">
    <cfRule type="cellIs" dxfId="258" priority="438" stopIfTrue="1" operator="equal">
      <formula>"NA"</formula>
    </cfRule>
    <cfRule type="cellIs" dxfId="257" priority="439" stopIfTrue="1" operator="equal">
      <formula>"NA"</formula>
    </cfRule>
  </conditionalFormatting>
  <conditionalFormatting sqref="E474:J475">
    <cfRule type="cellIs" dxfId="256" priority="437" stopIfTrue="1" operator="equal">
      <formula>"NA"</formula>
    </cfRule>
    <cfRule type="cellIs" dxfId="255" priority="436" stopIfTrue="1" operator="equal">
      <formula>"NA"</formula>
    </cfRule>
  </conditionalFormatting>
  <conditionalFormatting sqref="E496:J497">
    <cfRule type="cellIs" dxfId="254" priority="435" stopIfTrue="1" operator="equal">
      <formula>"NA"</formula>
    </cfRule>
    <cfRule type="cellIs" dxfId="253" priority="434" stopIfTrue="1" operator="equal">
      <formula>"NA"</formula>
    </cfRule>
  </conditionalFormatting>
  <conditionalFormatting sqref="E540:J541">
    <cfRule type="cellIs" dxfId="252" priority="98" stopIfTrue="1" operator="equal">
      <formula>"NA"</formula>
    </cfRule>
    <cfRule type="cellIs" dxfId="251" priority="97" stopIfTrue="1" operator="equal">
      <formula>"NA"</formula>
    </cfRule>
  </conditionalFormatting>
  <conditionalFormatting sqref="E562:J563">
    <cfRule type="cellIs" dxfId="250" priority="96" stopIfTrue="1" operator="equal">
      <formula>"NA"</formula>
    </cfRule>
    <cfRule type="cellIs" dxfId="249" priority="95" stopIfTrue="1" operator="equal">
      <formula>"NA"</formula>
    </cfRule>
  </conditionalFormatting>
  <conditionalFormatting sqref="E578:J578">
    <cfRule type="cellIs" dxfId="248" priority="534" stopIfTrue="1" operator="equal">
      <formula>"NA"</formula>
    </cfRule>
    <cfRule type="cellIs" dxfId="247" priority="535" stopIfTrue="1" operator="equal">
      <formula>"NA"</formula>
    </cfRule>
  </conditionalFormatting>
  <conditionalFormatting sqref="E597:J600">
    <cfRule type="cellIs" dxfId="246" priority="418" stopIfTrue="1" operator="equal">
      <formula>"NA"</formula>
    </cfRule>
    <cfRule type="cellIs" dxfId="245" priority="419" stopIfTrue="1" operator="equal">
      <formula>"NA"</formula>
    </cfRule>
  </conditionalFormatting>
  <conditionalFormatting sqref="E619:J622">
    <cfRule type="cellIs" dxfId="244" priority="865" stopIfTrue="1" operator="equal">
      <formula>"NA"</formula>
    </cfRule>
    <cfRule type="cellIs" dxfId="243" priority="864" stopIfTrue="1" operator="equal">
      <formula>"NA"</formula>
    </cfRule>
  </conditionalFormatting>
  <conditionalFormatting sqref="E908:J908">
    <cfRule type="cellIs" dxfId="242" priority="263" stopIfTrue="1" operator="equal">
      <formula>"NA"</formula>
    </cfRule>
    <cfRule type="cellIs" dxfId="241" priority="262" stopIfTrue="1" operator="equal">
      <formula>"NA"</formula>
    </cfRule>
  </conditionalFormatting>
  <conditionalFormatting sqref="E912:J913">
    <cfRule type="cellIs" dxfId="240" priority="266" stopIfTrue="1" operator="equal">
      <formula>"NA"</formula>
    </cfRule>
    <cfRule type="cellIs" dxfId="239" priority="267" stopIfTrue="1" operator="equal">
      <formula>"NA"</formula>
    </cfRule>
  </conditionalFormatting>
  <conditionalFormatting sqref="E916:J917">
    <cfRule type="cellIs" dxfId="238" priority="265" stopIfTrue="1" operator="equal">
      <formula>"NA"</formula>
    </cfRule>
    <cfRule type="cellIs" dxfId="237" priority="264" stopIfTrue="1" operator="equal">
      <formula>"NA"</formula>
    </cfRule>
  </conditionalFormatting>
  <conditionalFormatting sqref="E959:J959">
    <cfRule type="cellIs" dxfId="236" priority="252" stopIfTrue="1" operator="equal">
      <formula>"NA"</formula>
    </cfRule>
    <cfRule type="cellIs" dxfId="235" priority="251" stopIfTrue="1" operator="equal">
      <formula>"NA"</formula>
    </cfRule>
  </conditionalFormatting>
  <conditionalFormatting sqref="E8:K8">
    <cfRule type="cellIs" dxfId="234" priority="392" stopIfTrue="1" operator="equal">
      <formula>"NA"</formula>
    </cfRule>
    <cfRule type="cellIs" dxfId="233" priority="393" stopIfTrue="1" operator="equal">
      <formula>"NA"</formula>
    </cfRule>
  </conditionalFormatting>
  <conditionalFormatting sqref="F6">
    <cfRule type="expression" dxfId="232" priority="391">
      <formula>$K$8=1</formula>
    </cfRule>
  </conditionalFormatting>
  <conditionalFormatting sqref="F10:F19 F615:F618 F641:F643 F646:F647 F649:F651 F667:F669 F679:F680 F683 F685:F687 F697:F698 F701:F702 F704:F707 F719:F720 F723:F724 F726:F729 F741:F742 F745:F748 F751:F753 F777:F778 F782:F785 F795:F796 F799 F829:F838 F840:F846 F848:F852 F881:F888 F891 F894:F900">
    <cfRule type="expression" dxfId="231" priority="139">
      <formula>$K$8&lt;2</formula>
    </cfRule>
  </conditionalFormatting>
  <conditionalFormatting sqref="F21:F29">
    <cfRule type="expression" dxfId="230" priority="80">
      <formula>$K$8&lt;2</formula>
    </cfRule>
  </conditionalFormatting>
  <conditionalFormatting sqref="F31:F33 F35:F38 F42:F78 F80:F81 F101:F112 F114:F118 F122:F135 F137:F150 F152:F165 F167:F180 F182:F195 F199:F205 F208:F216 F343:F346 F351:F354 F466:G467 F472:G480 G483 F484:G485 F488:G488 G489 F494:G495 F527:F529 F549:F551 F571:F572 F576:F577 F584:F586 F593:F596">
    <cfRule type="expression" dxfId="229" priority="383" stopIfTrue="1">
      <formula>$K$8&lt;2</formula>
    </cfRule>
  </conditionalFormatting>
  <conditionalFormatting sqref="F232:F236">
    <cfRule type="expression" dxfId="228" priority="210" stopIfTrue="1">
      <formula>$K$8&lt;2</formula>
    </cfRule>
  </conditionalFormatting>
  <conditionalFormatting sqref="F241:F249">
    <cfRule type="expression" dxfId="227" priority="209" stopIfTrue="1">
      <formula>$K$8&lt;2</formula>
    </cfRule>
  </conditionalFormatting>
  <conditionalFormatting sqref="F257:F265">
    <cfRule type="expression" dxfId="226" priority="208" stopIfTrue="1">
      <formula>$K$8&lt;2</formula>
    </cfRule>
  </conditionalFormatting>
  <conditionalFormatting sqref="F273:F281">
    <cfRule type="expression" dxfId="225" priority="207" stopIfTrue="1">
      <formula>$K$8&lt;2</formula>
    </cfRule>
  </conditionalFormatting>
  <conditionalFormatting sqref="F289:F297">
    <cfRule type="expression" dxfId="224" priority="206" stopIfTrue="1">
      <formula>$K$8&lt;2</formula>
    </cfRule>
  </conditionalFormatting>
  <conditionalFormatting sqref="F305:F313">
    <cfRule type="expression" dxfId="223" priority="205" stopIfTrue="1">
      <formula>$K$8&lt;2</formula>
    </cfRule>
  </conditionalFormatting>
  <conditionalFormatting sqref="F335:F340">
    <cfRule type="expression" dxfId="222" priority="204" stopIfTrue="1">
      <formula>$K$8&lt;2</formula>
    </cfRule>
  </conditionalFormatting>
  <conditionalFormatting sqref="F348">
    <cfRule type="expression" dxfId="221" priority="2" stopIfTrue="1">
      <formula>$K$8&lt;2</formula>
    </cfRule>
  </conditionalFormatting>
  <conditionalFormatting sqref="F361:F365">
    <cfRule type="expression" dxfId="220" priority="201" stopIfTrue="1">
      <formula>$K$8&lt;2</formula>
    </cfRule>
  </conditionalFormatting>
  <conditionalFormatting sqref="F368:F372">
    <cfRule type="expression" dxfId="219" priority="200" stopIfTrue="1">
      <formula>$K$8&lt;2</formula>
    </cfRule>
  </conditionalFormatting>
  <conditionalFormatting sqref="F380:F381">
    <cfRule type="expression" dxfId="218" priority="182" stopIfTrue="1">
      <formula>$K$8&lt;2</formula>
    </cfRule>
  </conditionalFormatting>
  <conditionalFormatting sqref="F393:F395 F398:F401 F406:F407">
    <cfRule type="expression" dxfId="217" priority="199" stopIfTrue="1">
      <formula>$K$8&lt;2</formula>
    </cfRule>
  </conditionalFormatting>
  <conditionalFormatting sqref="F417:F419">
    <cfRule type="expression" dxfId="216" priority="198" stopIfTrue="1">
      <formula>$K$8&lt;2</formula>
    </cfRule>
  </conditionalFormatting>
  <conditionalFormatting sqref="F422:F423 F428:F429">
    <cfRule type="expression" dxfId="215" priority="76" stopIfTrue="1">
      <formula>$K$8&lt;2</formula>
    </cfRule>
  </conditionalFormatting>
  <conditionalFormatting sqref="F439:F441">
    <cfRule type="expression" dxfId="214" priority="196" stopIfTrue="1">
      <formula>$K$8&lt;2</formula>
    </cfRule>
  </conditionalFormatting>
  <conditionalFormatting sqref="F444:F445 F450:F451">
    <cfRule type="expression" dxfId="213" priority="72" stopIfTrue="1">
      <formula>$K$8&lt;2</formula>
    </cfRule>
  </conditionalFormatting>
  <conditionalFormatting sqref="F488:F489">
    <cfRule type="expression" dxfId="212" priority="64" stopIfTrue="1">
      <formula>$K$8&lt;2</formula>
    </cfRule>
  </conditionalFormatting>
  <conditionalFormatting sqref="F505:F507">
    <cfRule type="expression" dxfId="211" priority="176" stopIfTrue="1">
      <formula>$K$8&lt;2</formula>
    </cfRule>
  </conditionalFormatting>
  <conditionalFormatting sqref="F510:F511 F516:F517">
    <cfRule type="expression" dxfId="210" priority="60" stopIfTrue="1">
      <formula>$K$8&lt;2</formula>
    </cfRule>
  </conditionalFormatting>
  <conditionalFormatting sqref="F532:F533 F538:F539">
    <cfRule type="expression" dxfId="209" priority="56" stopIfTrue="1">
      <formula>$K$8&lt;2</formula>
    </cfRule>
  </conditionalFormatting>
  <conditionalFormatting sqref="F554:F555 F560:F561">
    <cfRule type="expression" dxfId="208" priority="52" stopIfTrue="1">
      <formula>$K$8&lt;2</formula>
    </cfRule>
  </conditionalFormatting>
  <conditionalFormatting sqref="F609:F610">
    <cfRule type="expression" dxfId="207" priority="254">
      <formula>$K$8&lt;2</formula>
    </cfRule>
  </conditionalFormatting>
  <conditionalFormatting sqref="F661:F662 F665">
    <cfRule type="expression" dxfId="206" priority="160">
      <formula>$K$8&lt;2</formula>
    </cfRule>
  </conditionalFormatting>
  <conditionalFormatting sqref="F801:F802">
    <cfRule type="expression" dxfId="205" priority="147">
      <formula>$K$8&lt;2</formula>
    </cfRule>
  </conditionalFormatting>
  <conditionalFormatting sqref="F461:G463">
    <cfRule type="expression" dxfId="204" priority="255" stopIfTrue="1">
      <formula>$K$8&lt;2</formula>
    </cfRule>
  </conditionalFormatting>
  <conditionalFormatting sqref="G6">
    <cfRule type="expression" dxfId="203" priority="387">
      <formula>$K$8&lt;3</formula>
    </cfRule>
  </conditionalFormatting>
  <conditionalFormatting sqref="G10:G19 G42:G78 G80:G81 G199:G205 G208:G216 G351:G354">
    <cfRule type="expression" dxfId="202" priority="137">
      <formula>$K$8&lt;3</formula>
    </cfRule>
  </conditionalFormatting>
  <conditionalFormatting sqref="G21:G29">
    <cfRule type="expression" dxfId="201" priority="82">
      <formula>$K$8&lt;3</formula>
    </cfRule>
  </conditionalFormatting>
  <conditionalFormatting sqref="G31:G33 G35:G38">
    <cfRule type="expression" dxfId="200" priority="253">
      <formula>$K$8&lt;3</formula>
    </cfRule>
  </conditionalFormatting>
  <conditionalFormatting sqref="G101:G112">
    <cfRule type="expression" dxfId="199" priority="219">
      <formula>$K$8&lt;3</formula>
    </cfRule>
  </conditionalFormatting>
  <conditionalFormatting sqref="G114:G118">
    <cfRule type="expression" dxfId="198" priority="218">
      <formula>$K$8&lt;3</formula>
    </cfRule>
  </conditionalFormatting>
  <conditionalFormatting sqref="G122:G135 G137:G150 G152:G165 G167:G180 G182:G195">
    <cfRule type="expression" dxfId="197" priority="217">
      <formula>$K$8&lt;3</formula>
    </cfRule>
  </conditionalFormatting>
  <conditionalFormatting sqref="G232:G236">
    <cfRule type="expression" dxfId="196" priority="214">
      <formula>$K$8&lt;3</formula>
    </cfRule>
  </conditionalFormatting>
  <conditionalFormatting sqref="G241:G249">
    <cfRule type="expression" dxfId="195" priority="195">
      <formula>$K$8&lt;3</formula>
    </cfRule>
  </conditionalFormatting>
  <conditionalFormatting sqref="G257:G265">
    <cfRule type="expression" dxfId="194" priority="191">
      <formula>$K$8&lt;3</formula>
    </cfRule>
  </conditionalFormatting>
  <conditionalFormatting sqref="G273:G281">
    <cfRule type="expression" dxfId="193" priority="190">
      <formula>$K$8&lt;3</formula>
    </cfRule>
  </conditionalFormatting>
  <conditionalFormatting sqref="G289:G297">
    <cfRule type="expression" dxfId="192" priority="189">
      <formula>$K$8&lt;3</formula>
    </cfRule>
  </conditionalFormatting>
  <conditionalFormatting sqref="G305:G313">
    <cfRule type="expression" dxfId="191" priority="188">
      <formula>$K$8&lt;3</formula>
    </cfRule>
  </conditionalFormatting>
  <conditionalFormatting sqref="G335:G340">
    <cfRule type="expression" dxfId="190" priority="187">
      <formula>$K$8&lt;3</formula>
    </cfRule>
  </conditionalFormatting>
  <conditionalFormatting sqref="G343:G346 A967">
    <cfRule type="expression" dxfId="189" priority="49">
      <formula>$K$8&lt;3</formula>
    </cfRule>
  </conditionalFormatting>
  <conditionalFormatting sqref="G348">
    <cfRule type="expression" dxfId="188" priority="1">
      <formula>$K$8&lt;3</formula>
    </cfRule>
  </conditionalFormatting>
  <conditionalFormatting sqref="G361:G365">
    <cfRule type="expression" dxfId="187" priority="184">
      <formula>$K$8&lt;3</formula>
    </cfRule>
  </conditionalFormatting>
  <conditionalFormatting sqref="G368:G372">
    <cfRule type="expression" dxfId="186" priority="183">
      <formula>$K$8&lt;3</formula>
    </cfRule>
  </conditionalFormatting>
  <conditionalFormatting sqref="G380:G381">
    <cfRule type="expression" dxfId="185" priority="181">
      <formula>$K$8&lt;3</formula>
    </cfRule>
  </conditionalFormatting>
  <conditionalFormatting sqref="G393:G395 G398:G401 G406:G407">
    <cfRule type="expression" dxfId="184" priority="180">
      <formula>$K$8&lt;3</formula>
    </cfRule>
  </conditionalFormatting>
  <conditionalFormatting sqref="G417:G419">
    <cfRule type="expression" dxfId="183" priority="179">
      <formula>$K$8&lt;3</formula>
    </cfRule>
  </conditionalFormatting>
  <conditionalFormatting sqref="G422:G423 G428:G429">
    <cfRule type="expression" dxfId="182" priority="75">
      <formula>$K$8&lt;3</formula>
    </cfRule>
  </conditionalFormatting>
  <conditionalFormatting sqref="G439:G441">
    <cfRule type="expression" dxfId="181" priority="194">
      <formula>$K$8&lt;3</formula>
    </cfRule>
  </conditionalFormatting>
  <conditionalFormatting sqref="G444:G445 G450:G451">
    <cfRule type="expression" dxfId="180" priority="71">
      <formula>$K$8&lt;3</formula>
    </cfRule>
  </conditionalFormatting>
  <conditionalFormatting sqref="G505:G507">
    <cfRule type="expression" dxfId="179" priority="177">
      <formula>$K$8&lt;3</formula>
    </cfRule>
  </conditionalFormatting>
  <conditionalFormatting sqref="G510:G511 G516:G517">
    <cfRule type="expression" dxfId="178" priority="59">
      <formula>$K$8&lt;3</formula>
    </cfRule>
  </conditionalFormatting>
  <conditionalFormatting sqref="G527:G529">
    <cfRule type="expression" dxfId="177" priority="174">
      <formula>$K$8&lt;3</formula>
    </cfRule>
  </conditionalFormatting>
  <conditionalFormatting sqref="G532:G533 G538:G539">
    <cfRule type="expression" dxfId="176" priority="55">
      <formula>$K$8&lt;3</formula>
    </cfRule>
  </conditionalFormatting>
  <conditionalFormatting sqref="G549:G551">
    <cfRule type="expression" dxfId="175" priority="172">
      <formula>$K$8&lt;3</formula>
    </cfRule>
  </conditionalFormatting>
  <conditionalFormatting sqref="G554:G555 G560:G561">
    <cfRule type="expression" dxfId="174" priority="51">
      <formula>$K$8&lt;3</formula>
    </cfRule>
  </conditionalFormatting>
  <conditionalFormatting sqref="G571:G572">
    <cfRule type="expression" dxfId="173" priority="170">
      <formula>$K$8&lt;3</formula>
    </cfRule>
  </conditionalFormatting>
  <conditionalFormatting sqref="G576:G577">
    <cfRule type="expression" dxfId="172" priority="169">
      <formula>$K$8&lt;3</formula>
    </cfRule>
  </conditionalFormatting>
  <conditionalFormatting sqref="G584:G586">
    <cfRule type="expression" dxfId="171" priority="168">
      <formula>$K$8&lt;3</formula>
    </cfRule>
  </conditionalFormatting>
  <conditionalFormatting sqref="G593:G596">
    <cfRule type="expression" dxfId="170" priority="167">
      <formula>$K$8&lt;3</formula>
    </cfRule>
  </conditionalFormatting>
  <conditionalFormatting sqref="G609:G610">
    <cfRule type="expression" dxfId="169" priority="166">
      <formula>$K$8&lt;3</formula>
    </cfRule>
  </conditionalFormatting>
  <conditionalFormatting sqref="G615:G618">
    <cfRule type="expression" dxfId="168" priority="165">
      <formula>$K$8&lt;3</formula>
    </cfRule>
  </conditionalFormatting>
  <conditionalFormatting sqref="G641:G643 G646:G647">
    <cfRule type="expression" dxfId="167" priority="164">
      <formula>$K$8&lt;3</formula>
    </cfRule>
  </conditionalFormatting>
  <conditionalFormatting sqref="G649:G651">
    <cfRule type="expression" dxfId="166" priority="163">
      <formula>$K$8&lt;3</formula>
    </cfRule>
  </conditionalFormatting>
  <conditionalFormatting sqref="G661:G662 G665">
    <cfRule type="expression" dxfId="165" priority="162">
      <formula>$K$8&lt;3</formula>
    </cfRule>
  </conditionalFormatting>
  <conditionalFormatting sqref="G667:G669">
    <cfRule type="expression" dxfId="164" priority="159">
      <formula>$K$8&lt;3</formula>
    </cfRule>
  </conditionalFormatting>
  <conditionalFormatting sqref="G679:G680 G683">
    <cfRule type="expression" dxfId="163" priority="158">
      <formula>$K$8&lt;3</formula>
    </cfRule>
  </conditionalFormatting>
  <conditionalFormatting sqref="G685:G687">
    <cfRule type="expression" dxfId="162" priority="157">
      <formula>$K$8&lt;3</formula>
    </cfRule>
  </conditionalFormatting>
  <conditionalFormatting sqref="G697:G698 G701:G702">
    <cfRule type="expression" dxfId="161" priority="156">
      <formula>$K$8&lt;3</formula>
    </cfRule>
  </conditionalFormatting>
  <conditionalFormatting sqref="G704:G707">
    <cfRule type="expression" dxfId="160" priority="155">
      <formula>$K$8&lt;3</formula>
    </cfRule>
  </conditionalFormatting>
  <conditionalFormatting sqref="G719:G720 G723:G724">
    <cfRule type="expression" dxfId="159" priority="154">
      <formula>$K$8&lt;3</formula>
    </cfRule>
  </conditionalFormatting>
  <conditionalFormatting sqref="G726:G729">
    <cfRule type="expression" dxfId="158" priority="153">
      <formula>$K$8&lt;3</formula>
    </cfRule>
  </conditionalFormatting>
  <conditionalFormatting sqref="G741:G742 G745:G748">
    <cfRule type="expression" dxfId="157" priority="152">
      <formula>$K$8&lt;3</formula>
    </cfRule>
  </conditionalFormatting>
  <conditionalFormatting sqref="G751:G753">
    <cfRule type="expression" dxfId="156" priority="151">
      <formula>$K$8&lt;3</formula>
    </cfRule>
  </conditionalFormatting>
  <conditionalFormatting sqref="G777:G778">
    <cfRule type="expression" dxfId="155" priority="150">
      <formula>$K$8&lt;3</formula>
    </cfRule>
  </conditionalFormatting>
  <conditionalFormatting sqref="G782:G785">
    <cfRule type="expression" dxfId="154" priority="149">
      <formula>$K$8&lt;3</formula>
    </cfRule>
  </conditionalFormatting>
  <conditionalFormatting sqref="G795:G796 G799">
    <cfRule type="expression" dxfId="153" priority="148">
      <formula>$K$8&lt;3</formula>
    </cfRule>
  </conditionalFormatting>
  <conditionalFormatting sqref="G801:G802">
    <cfRule type="expression" dxfId="152" priority="146">
      <formula>$K$8&lt;3</formula>
    </cfRule>
  </conditionalFormatting>
  <conditionalFormatting sqref="G829:G838">
    <cfRule type="expression" dxfId="151" priority="145">
      <formula>$K$8&lt;3</formula>
    </cfRule>
  </conditionalFormatting>
  <conditionalFormatting sqref="G840:G846">
    <cfRule type="expression" dxfId="150" priority="144">
      <formula>$K$8&lt;3</formula>
    </cfRule>
  </conditionalFormatting>
  <conditionalFormatting sqref="G848:G852">
    <cfRule type="expression" dxfId="149" priority="143">
      <formula>$K$8&lt;3</formula>
    </cfRule>
  </conditionalFormatting>
  <conditionalFormatting sqref="G881:G888">
    <cfRule type="expression" dxfId="148" priority="142">
      <formula>$K$8&lt;3</formula>
    </cfRule>
  </conditionalFormatting>
  <conditionalFormatting sqref="G891">
    <cfRule type="expression" dxfId="147" priority="141">
      <formula>$K$8&lt;3</formula>
    </cfRule>
  </conditionalFormatting>
  <conditionalFormatting sqref="G894:G900">
    <cfRule type="expression" dxfId="146" priority="140">
      <formula>$K$8&lt;3</formula>
    </cfRule>
  </conditionalFormatting>
  <conditionalFormatting sqref="G504:K504">
    <cfRule type="cellIs" dxfId="145" priority="408" stopIfTrue="1" operator="equal">
      <formula>"NA"</formula>
    </cfRule>
    <cfRule type="cellIs" dxfId="144" priority="409" stopIfTrue="1" operator="equal">
      <formula>"NA"</formula>
    </cfRule>
  </conditionalFormatting>
  <conditionalFormatting sqref="H20 K20">
    <cfRule type="cellIs" dxfId="143" priority="459" stopIfTrue="1" operator="equal">
      <formula>"NA"</formula>
    </cfRule>
    <cfRule type="cellIs" dxfId="142" priority="458" stopIfTrue="1" operator="equal">
      <formula>"NA"</formula>
    </cfRule>
  </conditionalFormatting>
  <conditionalFormatting sqref="H122:H135 H137:H150 H152:H165 H167:H180 H182:H195">
    <cfRule type="cellIs" dxfId="141" priority="379" stopIfTrue="1" operator="equal">
      <formula>"NA"</formula>
    </cfRule>
    <cfRule type="cellIs" dxfId="140" priority="378" stopIfTrue="1" operator="equal">
      <formula>"NA"</formula>
    </cfRule>
  </conditionalFormatting>
  <conditionalFormatting sqref="H199:H220">
    <cfRule type="cellIs" dxfId="139" priority="397" stopIfTrue="1" operator="equal">
      <formula>"NA"</formula>
    </cfRule>
    <cfRule type="cellIs" dxfId="138" priority="396" stopIfTrue="1" operator="equal">
      <formula>"NA"</formula>
    </cfRule>
  </conditionalFormatting>
  <conditionalFormatting sqref="H232:H236">
    <cfRule type="cellIs" dxfId="137" priority="375" stopIfTrue="1" operator="equal">
      <formula>"NA"</formula>
    </cfRule>
    <cfRule type="cellIs" dxfId="136" priority="374" stopIfTrue="1" operator="equal">
      <formula>"NA"</formula>
    </cfRule>
  </conditionalFormatting>
  <conditionalFormatting sqref="H241:H249">
    <cfRule type="cellIs" dxfId="135" priority="373" stopIfTrue="1" operator="equal">
      <formula>"NA"</formula>
    </cfRule>
    <cfRule type="cellIs" dxfId="134" priority="372" stopIfTrue="1" operator="equal">
      <formula>"NA"</formula>
    </cfRule>
  </conditionalFormatting>
  <conditionalFormatting sqref="H273:H281">
    <cfRule type="cellIs" dxfId="133" priority="368" stopIfTrue="1" operator="equal">
      <formula>"NA"</formula>
    </cfRule>
    <cfRule type="cellIs" dxfId="132" priority="369" stopIfTrue="1" operator="equal">
      <formula>"NA"</formula>
    </cfRule>
  </conditionalFormatting>
  <conditionalFormatting sqref="H289:H297">
    <cfRule type="cellIs" dxfId="131" priority="367" stopIfTrue="1" operator="equal">
      <formula>"NA"</formula>
    </cfRule>
    <cfRule type="cellIs" dxfId="130" priority="366" stopIfTrue="1" operator="equal">
      <formula>"NA"</formula>
    </cfRule>
  </conditionalFormatting>
  <conditionalFormatting sqref="H305:H313">
    <cfRule type="cellIs" dxfId="129" priority="364" stopIfTrue="1" operator="equal">
      <formula>"NA"</formula>
    </cfRule>
    <cfRule type="cellIs" dxfId="128" priority="365" stopIfTrue="1" operator="equal">
      <formula>"NA"</formula>
    </cfRule>
  </conditionalFormatting>
  <conditionalFormatting sqref="H335:H340">
    <cfRule type="cellIs" dxfId="127" priority="362" stopIfTrue="1" operator="equal">
      <formula>"NA"</formula>
    </cfRule>
    <cfRule type="cellIs" dxfId="126" priority="363" stopIfTrue="1" operator="equal">
      <formula>"NA"</formula>
    </cfRule>
  </conditionalFormatting>
  <conditionalFormatting sqref="H351:H355">
    <cfRule type="cellIs" dxfId="125" priority="8" stopIfTrue="1" operator="equal">
      <formula>"NA"</formula>
    </cfRule>
    <cfRule type="cellIs" dxfId="124" priority="7" stopIfTrue="1" operator="equal">
      <formula>"NA"</formula>
    </cfRule>
  </conditionalFormatting>
  <conditionalFormatting sqref="H361:H365">
    <cfRule type="cellIs" dxfId="123" priority="350" stopIfTrue="1" operator="equal">
      <formula>"NA"</formula>
    </cfRule>
    <cfRule type="cellIs" dxfId="122" priority="351" stopIfTrue="1" operator="equal">
      <formula>"NA"</formula>
    </cfRule>
  </conditionalFormatting>
  <conditionalFormatting sqref="H368:H372">
    <cfRule type="cellIs" dxfId="121" priority="348" stopIfTrue="1" operator="equal">
      <formula>"NA"</formula>
    </cfRule>
    <cfRule type="cellIs" dxfId="120" priority="349" stopIfTrue="1" operator="equal">
      <formula>"NA"</formula>
    </cfRule>
  </conditionalFormatting>
  <conditionalFormatting sqref="H380:H381">
    <cfRule type="cellIs" dxfId="119" priority="344" stopIfTrue="1" operator="equal">
      <formula>"NA"</formula>
    </cfRule>
    <cfRule type="cellIs" dxfId="118" priority="345" stopIfTrue="1" operator="equal">
      <formula>"NA"</formula>
    </cfRule>
  </conditionalFormatting>
  <conditionalFormatting sqref="H393:H407">
    <cfRule type="cellIs" dxfId="117" priority="342" stopIfTrue="1" operator="equal">
      <formula>"NA"</formula>
    </cfRule>
    <cfRule type="cellIs" dxfId="116" priority="343" stopIfTrue="1" operator="equal">
      <formula>"NA"</formula>
    </cfRule>
  </conditionalFormatting>
  <conditionalFormatting sqref="H417:H429">
    <cfRule type="cellIs" dxfId="115" priority="78" stopIfTrue="1" operator="equal">
      <formula>"NA"</formula>
    </cfRule>
    <cfRule type="cellIs" dxfId="114" priority="77" stopIfTrue="1" operator="equal">
      <formula>"NA"</formula>
    </cfRule>
  </conditionalFormatting>
  <conditionalFormatting sqref="H439:H451">
    <cfRule type="cellIs" dxfId="113" priority="74" stopIfTrue="1" operator="equal">
      <formula>"NA"</formula>
    </cfRule>
    <cfRule type="cellIs" dxfId="112" priority="73" stopIfTrue="1" operator="equal">
      <formula>"NA"</formula>
    </cfRule>
  </conditionalFormatting>
  <conditionalFormatting sqref="H461:H473">
    <cfRule type="cellIs" dxfId="111" priority="70" stopIfTrue="1" operator="equal">
      <formula>"NA"</formula>
    </cfRule>
    <cfRule type="cellIs" dxfId="110" priority="69" stopIfTrue="1" operator="equal">
      <formula>"NA"</formula>
    </cfRule>
  </conditionalFormatting>
  <conditionalFormatting sqref="H483:H495">
    <cfRule type="cellIs" dxfId="109" priority="66" stopIfTrue="1" operator="equal">
      <formula>"NA"</formula>
    </cfRule>
    <cfRule type="cellIs" dxfId="108" priority="65" stopIfTrue="1" operator="equal">
      <formula>"NA"</formula>
    </cfRule>
  </conditionalFormatting>
  <conditionalFormatting sqref="H505:H517">
    <cfRule type="cellIs" dxfId="107" priority="61" stopIfTrue="1" operator="equal">
      <formula>"NA"</formula>
    </cfRule>
    <cfRule type="cellIs" dxfId="106" priority="62" stopIfTrue="1" operator="equal">
      <formula>"NA"</formula>
    </cfRule>
  </conditionalFormatting>
  <conditionalFormatting sqref="H527:H539">
    <cfRule type="cellIs" dxfId="105" priority="58" stopIfTrue="1" operator="equal">
      <formula>"NA"</formula>
    </cfRule>
    <cfRule type="cellIs" dxfId="104" priority="57" stopIfTrue="1" operator="equal">
      <formula>"NA"</formula>
    </cfRule>
  </conditionalFormatting>
  <conditionalFormatting sqref="H549:H561">
    <cfRule type="cellIs" dxfId="103" priority="54" stopIfTrue="1" operator="equal">
      <formula>"NA"</formula>
    </cfRule>
    <cfRule type="cellIs" dxfId="102" priority="53" stopIfTrue="1" operator="equal">
      <formula>"NA"</formula>
    </cfRule>
  </conditionalFormatting>
  <conditionalFormatting sqref="H571:H577">
    <cfRule type="cellIs" dxfId="101" priority="320" stopIfTrue="1" operator="equal">
      <formula>"NA"</formula>
    </cfRule>
    <cfRule type="cellIs" dxfId="100" priority="321" stopIfTrue="1" operator="equal">
      <formula>"NA"</formula>
    </cfRule>
  </conditionalFormatting>
  <conditionalFormatting sqref="H584:H596">
    <cfRule type="cellIs" dxfId="99" priority="319" stopIfTrue="1" operator="equal">
      <formula>"NA"</formula>
    </cfRule>
    <cfRule type="cellIs" dxfId="98" priority="318" stopIfTrue="1" operator="equal">
      <formula>"NA"</formula>
    </cfRule>
  </conditionalFormatting>
  <conditionalFormatting sqref="H609:H618">
    <cfRule type="cellIs" dxfId="97" priority="317" stopIfTrue="1" operator="equal">
      <formula>"NA"</formula>
    </cfRule>
    <cfRule type="cellIs" dxfId="96" priority="316" stopIfTrue="1" operator="equal">
      <formula>"NA"</formula>
    </cfRule>
  </conditionalFormatting>
  <conditionalFormatting sqref="H642:H651">
    <cfRule type="cellIs" dxfId="95" priority="116" stopIfTrue="1" operator="equal">
      <formula>"NA"</formula>
    </cfRule>
    <cfRule type="cellIs" dxfId="94" priority="117" stopIfTrue="1" operator="equal">
      <formula>"NA"</formula>
    </cfRule>
  </conditionalFormatting>
  <conditionalFormatting sqref="H661:H669">
    <cfRule type="cellIs" dxfId="93" priority="115" stopIfTrue="1" operator="equal">
      <formula>"NA"</formula>
    </cfRule>
    <cfRule type="cellIs" dxfId="92" priority="114" stopIfTrue="1" operator="equal">
      <formula>"NA"</formula>
    </cfRule>
  </conditionalFormatting>
  <conditionalFormatting sqref="H679:H687">
    <cfRule type="cellIs" dxfId="91" priority="112" stopIfTrue="1" operator="equal">
      <formula>"NA"</formula>
    </cfRule>
    <cfRule type="cellIs" dxfId="90" priority="113" stopIfTrue="1" operator="equal">
      <formula>"NA"</formula>
    </cfRule>
  </conditionalFormatting>
  <conditionalFormatting sqref="H697:H707">
    <cfRule type="cellIs" dxfId="89" priority="111" stopIfTrue="1" operator="equal">
      <formula>"NA"</formula>
    </cfRule>
    <cfRule type="cellIs" dxfId="88" priority="110" stopIfTrue="1" operator="equal">
      <formula>"NA"</formula>
    </cfRule>
  </conditionalFormatting>
  <conditionalFormatting sqref="H719:H724">
    <cfRule type="cellIs" dxfId="87" priority="108" stopIfTrue="1" operator="equal">
      <formula>"NA"</formula>
    </cfRule>
    <cfRule type="cellIs" dxfId="86" priority="109" stopIfTrue="1" operator="equal">
      <formula>"NA"</formula>
    </cfRule>
  </conditionalFormatting>
  <conditionalFormatting sqref="H726:H729">
    <cfRule type="cellIs" dxfId="85" priority="296" stopIfTrue="1" operator="equal">
      <formula>"NA"</formula>
    </cfRule>
    <cfRule type="cellIs" dxfId="84" priority="297" stopIfTrue="1" operator="equal">
      <formula>"NA"</formula>
    </cfRule>
  </conditionalFormatting>
  <conditionalFormatting sqref="H741:H748">
    <cfRule type="cellIs" dxfId="83" priority="107" stopIfTrue="1" operator="equal">
      <formula>"NA"</formula>
    </cfRule>
    <cfRule type="cellIs" dxfId="82" priority="106" stopIfTrue="1" operator="equal">
      <formula>"NA"</formula>
    </cfRule>
  </conditionalFormatting>
  <conditionalFormatting sqref="H751:H753">
    <cfRule type="cellIs" dxfId="81" priority="293" stopIfTrue="1" operator="equal">
      <formula>"NA"</formula>
    </cfRule>
    <cfRule type="cellIs" dxfId="80" priority="292" stopIfTrue="1" operator="equal">
      <formula>"NA"</formula>
    </cfRule>
  </conditionalFormatting>
  <conditionalFormatting sqref="H777:H780">
    <cfRule type="cellIs" dxfId="79" priority="105" stopIfTrue="1" operator="equal">
      <formula>"NA"</formula>
    </cfRule>
    <cfRule type="cellIs" dxfId="78" priority="104" stopIfTrue="1" operator="equal">
      <formula>"NA"</formula>
    </cfRule>
  </conditionalFormatting>
  <conditionalFormatting sqref="H782:H785">
    <cfRule type="cellIs" dxfId="77" priority="289" stopIfTrue="1" operator="equal">
      <formula>"NA"</formula>
    </cfRule>
    <cfRule type="cellIs" dxfId="76" priority="288" stopIfTrue="1" operator="equal">
      <formula>"NA"</formula>
    </cfRule>
  </conditionalFormatting>
  <conditionalFormatting sqref="H795:H799">
    <cfRule type="cellIs" dxfId="75" priority="103" stopIfTrue="1" operator="equal">
      <formula>"NA"</formula>
    </cfRule>
    <cfRule type="cellIs" dxfId="74" priority="102" stopIfTrue="1" operator="equal">
      <formula>"NA"</formula>
    </cfRule>
  </conditionalFormatting>
  <conditionalFormatting sqref="H801:H802">
    <cfRule type="cellIs" dxfId="73" priority="283" stopIfTrue="1" operator="equal">
      <formula>"NA"</formula>
    </cfRule>
    <cfRule type="cellIs" dxfId="72" priority="282" stopIfTrue="1" operator="equal">
      <formula>"NA"</formula>
    </cfRule>
  </conditionalFormatting>
  <conditionalFormatting sqref="H829:H838">
    <cfRule type="cellIs" dxfId="71" priority="271" stopIfTrue="1" operator="equal">
      <formula>"NA"</formula>
    </cfRule>
    <cfRule type="cellIs" dxfId="70" priority="270" stopIfTrue="1" operator="equal">
      <formula>"NA"</formula>
    </cfRule>
  </conditionalFormatting>
  <conditionalFormatting sqref="H840:H846">
    <cfRule type="cellIs" dxfId="69" priority="281" stopIfTrue="1" operator="equal">
      <formula>"NA"</formula>
    </cfRule>
    <cfRule type="cellIs" dxfId="68" priority="280" stopIfTrue="1" operator="equal">
      <formula>"NA"</formula>
    </cfRule>
  </conditionalFormatting>
  <conditionalFormatting sqref="H848:H852">
    <cfRule type="cellIs" dxfId="67" priority="278" stopIfTrue="1" operator="equal">
      <formula>"NA"</formula>
    </cfRule>
    <cfRule type="cellIs" dxfId="66" priority="279" stopIfTrue="1" operator="equal">
      <formula>"NA"</formula>
    </cfRule>
  </conditionalFormatting>
  <conditionalFormatting sqref="H866:H872">
    <cfRule type="cellIs" dxfId="65" priority="1064" stopIfTrue="1" operator="equal">
      <formula>"NA"</formula>
    </cfRule>
    <cfRule type="cellIs" dxfId="64" priority="1065" stopIfTrue="1" operator="equal">
      <formula>"NA"</formula>
    </cfRule>
  </conditionalFormatting>
  <conditionalFormatting sqref="H875:H876">
    <cfRule type="cellIs" dxfId="63" priority="1063" stopIfTrue="1" operator="equal">
      <formula>"NA"</formula>
    </cfRule>
    <cfRule type="cellIs" dxfId="62" priority="1062" stopIfTrue="1" operator="equal">
      <formula>"NA"</formula>
    </cfRule>
  </conditionalFormatting>
  <conditionalFormatting sqref="H881:H888">
    <cfRule type="cellIs" dxfId="61" priority="584" stopIfTrue="1" operator="equal">
      <formula>"NA"</formula>
    </cfRule>
    <cfRule type="cellIs" dxfId="60" priority="585" stopIfTrue="1" operator="equal">
      <formula>"NA"</formula>
    </cfRule>
  </conditionalFormatting>
  <conditionalFormatting sqref="H891">
    <cfRule type="cellIs" dxfId="59" priority="277" stopIfTrue="1" operator="equal">
      <formula>"NA"</formula>
    </cfRule>
    <cfRule type="cellIs" dxfId="58" priority="276" stopIfTrue="1" operator="equal">
      <formula>"NA"</formula>
    </cfRule>
  </conditionalFormatting>
  <conditionalFormatting sqref="H894:H900">
    <cfRule type="cellIs" dxfId="57" priority="275" stopIfTrue="1" operator="equal">
      <formula>"NA"</formula>
    </cfRule>
    <cfRule type="cellIs" dxfId="56" priority="274" stopIfTrue="1" operator="equal">
      <formula>"NA"</formula>
    </cfRule>
  </conditionalFormatting>
  <conditionalFormatting sqref="H237:I237 H583:K583 H608:K608 H640:K641 H659:K660 H677:K678 H717:K718 H775:K776 H793:K794 K30 H30:H33 H35:H38 H42:H81 H89:H90 H99:H118 H119:K119 H198:K198 H228:K230 H257:H265 H319:K319 H333:K334 H341:K342 K386:K390 H391:K392 H415:K416 H695:K696">
    <cfRule type="cellIs" dxfId="55" priority="1188" stopIfTrue="1" operator="equal">
      <formula>"NA"</formula>
    </cfRule>
  </conditionalFormatting>
  <conditionalFormatting sqref="H238:K239">
    <cfRule type="cellIs" dxfId="54" priority="666" stopIfTrue="1" operator="equal">
      <formula>"NA"</formula>
    </cfRule>
    <cfRule type="cellIs" dxfId="53" priority="667" stopIfTrue="1" operator="equal">
      <formula>"NA"</formula>
    </cfRule>
  </conditionalFormatting>
  <conditionalFormatting sqref="H255:K255">
    <cfRule type="cellIs" dxfId="52" priority="696" stopIfTrue="1" operator="equal">
      <formula>"NA"</formula>
    </cfRule>
    <cfRule type="cellIs" dxfId="51" priority="697" stopIfTrue="1" operator="equal">
      <formula>"NA"</formula>
    </cfRule>
  </conditionalFormatting>
  <conditionalFormatting sqref="H271:K271">
    <cfRule type="cellIs" dxfId="50" priority="686" stopIfTrue="1" operator="equal">
      <formula>"NA"</formula>
    </cfRule>
    <cfRule type="cellIs" dxfId="49" priority="687" stopIfTrue="1" operator="equal">
      <formula>"NA"</formula>
    </cfRule>
  </conditionalFormatting>
  <conditionalFormatting sqref="H287:K287">
    <cfRule type="cellIs" dxfId="48" priority="676" stopIfTrue="1" operator="equal">
      <formula>"NA"</formula>
    </cfRule>
    <cfRule type="cellIs" dxfId="47" priority="677" stopIfTrue="1" operator="equal">
      <formula>"NA"</formula>
    </cfRule>
  </conditionalFormatting>
  <conditionalFormatting sqref="H303:K303">
    <cfRule type="cellIs" dxfId="46" priority="636" stopIfTrue="1" operator="equal">
      <formula>"NA"</formula>
    </cfRule>
    <cfRule type="cellIs" dxfId="45" priority="637" stopIfTrue="1" operator="equal">
      <formula>"NA"</formula>
    </cfRule>
  </conditionalFormatting>
  <conditionalFormatting sqref="H350:K350">
    <cfRule type="cellIs" dxfId="44" priority="588" stopIfTrue="1" operator="equal">
      <formula>"NA"</formula>
    </cfRule>
    <cfRule type="cellIs" dxfId="43" priority="589" stopIfTrue="1" operator="equal">
      <formula>"NA"</formula>
    </cfRule>
  </conditionalFormatting>
  <conditionalFormatting sqref="H437:K438">
    <cfRule type="cellIs" dxfId="42" priority="1060" stopIfTrue="1" operator="equal">
      <formula>"NA"</formula>
    </cfRule>
    <cfRule type="cellIs" dxfId="41" priority="1061" stopIfTrue="1" operator="equal">
      <formula>"NA"</formula>
    </cfRule>
  </conditionalFormatting>
  <conditionalFormatting sqref="H459:K460">
    <cfRule type="cellIs" dxfId="40" priority="1058" stopIfTrue="1" operator="equal">
      <formula>"NA"</formula>
    </cfRule>
    <cfRule type="cellIs" dxfId="39" priority="1059" stopIfTrue="1" operator="equal">
      <formula>"NA"</formula>
    </cfRule>
  </conditionalFormatting>
  <conditionalFormatting sqref="H482:K482">
    <cfRule type="cellIs" dxfId="38" priority="413" stopIfTrue="1" operator="equal">
      <formula>"NA"</formula>
    </cfRule>
    <cfRule type="cellIs" dxfId="37" priority="412" stopIfTrue="1" operator="equal">
      <formula>"NA"</formula>
    </cfRule>
  </conditionalFormatting>
  <conditionalFormatting sqref="H526:K526">
    <cfRule type="cellIs" dxfId="36" priority="1163" stopIfTrue="1" operator="equal">
      <formula>"NA"</formula>
    </cfRule>
    <cfRule type="cellIs" dxfId="35" priority="1162" stopIfTrue="1" operator="equal">
      <formula>"NA"</formula>
    </cfRule>
  </conditionalFormatting>
  <conditionalFormatting sqref="H548:K548">
    <cfRule type="cellIs" dxfId="34" priority="1161" stopIfTrue="1" operator="equal">
      <formula>"NA"</formula>
    </cfRule>
    <cfRule type="cellIs" dxfId="33" priority="1160" stopIfTrue="1" operator="equal">
      <formula>"NA"</formula>
    </cfRule>
  </conditionalFormatting>
  <conditionalFormatting sqref="H739:K739 J740:K740">
    <cfRule type="cellIs" dxfId="32" priority="483" stopIfTrue="1" operator="equal">
      <formula>"NA"</formula>
    </cfRule>
    <cfRule type="cellIs" dxfId="31" priority="482" stopIfTrue="1" operator="equal">
      <formula>"NA"</formula>
    </cfRule>
  </conditionalFormatting>
  <conditionalFormatting sqref="I237">
    <cfRule type="cellIs" dxfId="30" priority="531" stopIfTrue="1" operator="equal">
      <formula>"NA"</formula>
    </cfRule>
    <cfRule type="cellIs" dxfId="29" priority="530" stopIfTrue="1" operator="equal">
      <formula>"NA"</formula>
    </cfRule>
  </conditionalFormatting>
  <conditionalFormatting sqref="I648:J648">
    <cfRule type="cellIs" dxfId="28" priority="310" stopIfTrue="1" operator="equal">
      <formula>"NA"</formula>
    </cfRule>
    <cfRule type="cellIs" dxfId="27" priority="311" stopIfTrue="1" operator="equal">
      <formula>"NA"</formula>
    </cfRule>
  </conditionalFormatting>
  <conditionalFormatting sqref="I666:J666">
    <cfRule type="cellIs" dxfId="26" priority="309" stopIfTrue="1" operator="equal">
      <formula>"NA"</formula>
    </cfRule>
    <cfRule type="cellIs" dxfId="25" priority="308" stopIfTrue="1" operator="equal">
      <formula>"NA"</formula>
    </cfRule>
  </conditionalFormatting>
  <conditionalFormatting sqref="K30 H30:H33 H35:H38 H42:H81 H89:H90 H99:H118 H119:K119 H198:K198 H228:K230 H237:I237 H257:H265 H319:K319 H333:K334 H341:K342 K386:K390 H391:K392 H415:K416 H583:K583 H608:K608 H640:K641 H659:K660 H677:K678 H695:K696 H717:K718 H775:K776 H793:K794">
    <cfRule type="cellIs" dxfId="24" priority="1189" stopIfTrue="1" operator="equal">
      <formula>"NA"</formula>
    </cfRule>
  </conditionalFormatting>
  <conditionalFormatting sqref="K583">
    <cfRule type="cellIs" dxfId="23" priority="523" stopIfTrue="1" operator="equal">
      <formula>"NA"</formula>
    </cfRule>
    <cfRule type="cellIs" dxfId="22" priority="522" stopIfTrue="1" operator="equal">
      <formula>"NA"</formula>
    </cfRule>
  </conditionalFormatting>
  <conditionalFormatting sqref="K608">
    <cfRule type="cellIs" dxfId="21" priority="520" stopIfTrue="1" operator="equal">
      <formula>"NA"</formula>
    </cfRule>
    <cfRule type="cellIs" dxfId="20" priority="521" stopIfTrue="1" operator="equal">
      <formula>"NA"</formula>
    </cfRule>
  </conditionalFormatting>
  <conditionalFormatting sqref="K641">
    <cfRule type="cellIs" dxfId="19" priority="475" stopIfTrue="1" operator="equal">
      <formula>"NA"</formula>
    </cfRule>
    <cfRule type="cellIs" dxfId="18" priority="474" stopIfTrue="1" operator="equal">
      <formula>"NA"</formula>
    </cfRule>
  </conditionalFormatting>
  <conditionalFormatting sqref="K660">
    <cfRule type="cellIs" dxfId="17" priority="473" stopIfTrue="1" operator="equal">
      <formula>"NA"</formula>
    </cfRule>
    <cfRule type="cellIs" dxfId="16" priority="472" stopIfTrue="1" operator="equal">
      <formula>"NA"</formula>
    </cfRule>
  </conditionalFormatting>
  <conditionalFormatting sqref="K678">
    <cfRule type="cellIs" dxfId="15" priority="471" stopIfTrue="1" operator="equal">
      <formula>"NA"</formula>
    </cfRule>
    <cfRule type="cellIs" dxfId="14" priority="470" stopIfTrue="1" operator="equal">
      <formula>"NA"</formula>
    </cfRule>
  </conditionalFormatting>
  <conditionalFormatting sqref="K718">
    <cfRule type="cellIs" dxfId="13" priority="469" stopIfTrue="1" operator="equal">
      <formula>"NA"</formula>
    </cfRule>
    <cfRule type="cellIs" dxfId="12" priority="468" stopIfTrue="1" operator="equal">
      <formula>"NA"</formula>
    </cfRule>
  </conditionalFormatting>
  <conditionalFormatting sqref="K776">
    <cfRule type="cellIs" dxfId="11" priority="467" stopIfTrue="1" operator="equal">
      <formula>"NA"</formula>
    </cfRule>
    <cfRule type="cellIs" dxfId="10" priority="466" stopIfTrue="1" operator="equal">
      <formula>"NA"</formula>
    </cfRule>
  </conditionalFormatting>
  <conditionalFormatting sqref="K794">
    <cfRule type="cellIs" dxfId="9" priority="464" stopIfTrue="1" operator="equal">
      <formula>"NA"</formula>
    </cfRule>
    <cfRule type="cellIs" dxfId="8" priority="465" stopIfTrue="1" operator="equal">
      <formula>"NA"</formula>
    </cfRule>
  </conditionalFormatting>
  <conditionalFormatting sqref="K906">
    <cfRule type="cellIs" dxfId="7" priority="462" stopIfTrue="1" operator="equal">
      <formula>"NA"</formula>
    </cfRule>
    <cfRule type="cellIs" dxfId="6" priority="463" stopIfTrue="1" operator="equal">
      <formula>"NA"</formula>
    </cfRule>
  </conditionalFormatting>
  <conditionalFormatting sqref="K908:K913">
    <cfRule type="cellIs" dxfId="5" priority="444" stopIfTrue="1" operator="equal">
      <formula>"NA"</formula>
    </cfRule>
    <cfRule type="cellIs" dxfId="4" priority="445" stopIfTrue="1" operator="equal">
      <formula>"NA"</formula>
    </cfRule>
  </conditionalFormatting>
  <dataValidations xWindow="898" yWindow="817" count="12">
    <dataValidation type="list" allowBlank="1" showInputMessage="1" showErrorMessage="1" sqref="A965 E231:I231 E240:J240 E272:I272 E288:I288 E304:I304 E320:J320 E360:J360 E367:J367 G256:I256 G881:G888 H902:I902 I881:I888" xr:uid="{00000000-0002-0000-0500-000000000000}">
      <formula1>"Yes,No"</formula1>
    </dataValidation>
    <dataValidation type="decimal" operator="greaterThan" showErrorMessage="1" errorTitle="Text Alert" error="Please do not enter text" promptTitle="Numeric Input" prompt="Please enter numeric values or leave blank" sqref="E85:J86 E220:F220 E356:I357 E597:J598 E621:J622 E648:G648 E666:G666 E684:G684 E703:G703 E749:J750 E800:H800 E829:E831 E892:H893 F527:F529 G219:G220 G349 H890 H901 I122:J135 I137:J150 I152:J165 I167:J180 I182:J195 I199:I220 I232:I236 I241:I249 I257:I265 I273:I281 I289:I297 I305:I313 I335:I340 I343:I349 I351:J353 I355 I361:J365 I368:J376 I380:J381 I393:I395 I398:I407 I426:I427 I439:I441 I444:I451 I461:I463 I466:I473 I483:I485 I488:I495 I505:I507 I510:I517 I527:I529 I532:I539 I558:I559 I584:I586 I589:I596 I609:I610 I612:I618 I642:I643 I645:I651 I661:I662 I664:I665 I667:J669 I679:I680 I682:I687 I697:I698 I700:I707 I741:I742 I744:I748 I751:J753 I777:I778 I780 I782:J785 I795:I796 I798:I802 I829:J838 I840:J846 I848:J851 I859:J861 I866:J873 I875:J877 I890:J901 J349 J355:J357 J393:J407 J439:J451 J461:J473 J483:J495 J505:J517 J527:J539 J584:J596 J609:J618 J642:J651 J661:J665 J679:K687 J697:J707 J741:J748 J777:J780 J795:J802 J881:J888 K877" xr:uid="{00000000-0002-0000-0500-000001000000}">
      <formula1>-1</formula1>
    </dataValidation>
    <dataValidation operator="greaterThan" showErrorMessage="1" errorTitle="Text Alert" error="Please do not enter text" promptTitle="Numeric Input" prompt="Please enter numeric values or leave blank" sqref="E321:J322 E324:J325 H881:H888 J199:K220 J231:J237 J241:J249 J256:J265 J272:J281 J288:J297 J304:J313 J335:K340 J343:J346 J348 K122:K135 K137:K150 K152:K165 K167:K180 K182:K195 K231:K236 K240:K250 K256:K266 K272:K282 K288:K298 K304:K314 K320:K329 K343:K349 K351:K353 K355:K357 K360:K365 K367:K376 K380:K381 K393:K409 K417:K431 K439:K453 K461:K475 K483:K497 K505:K519 K527:K541 K549:K563 K584:K600 K609:K622 K642:K651 K661:K669 K697:K707 K719:K729 K741:K753 K777:K785 K795:K802 K829:K838 K840:K846 K848:K851 K855:K856 K859:K861 K863:K864 K866:K873 K875:K876 K881:K901" xr:uid="{00000000-0002-0000-0500-000002000000}"/>
    <dataValidation type="decimal" operator="notEqual" allowBlank="1" showInputMessage="1" showErrorMessage="1" errorTitle="Text Alert" error="Please do not enter &quot;0&quot; or text" promptTitle="Numeric Input" prompt="Please enter numeric values or leave blank" sqref="E725:J725 E781:J781 G847 G866:G873 G875:G876" xr:uid="{00000000-0002-0000-0500-000003000000}">
      <formula1>0</formula1>
    </dataValidation>
    <dataValidation operator="notEqual" allowBlank="1" showInputMessage="1" showErrorMessage="1" errorTitle="Text Alert" error="Please do not enter &quot;0&quot; or text" promptTitle="Numeric Input" prompt="Please enter numeric values or leave blank" sqref="E250:J250 E266:J266 E282:J282 E298:J298 E314:J314 E323:J323 E326:J329" xr:uid="{00000000-0002-0000-0500-000004000000}"/>
    <dataValidation type="list" allowBlank="1" showErrorMessage="1" sqref="F881" xr:uid="{00000000-0002-0000-0500-000005000000}">
      <formula1>$G$881:$G$882</formula1>
    </dataValidation>
    <dataValidation type="list" allowBlank="1" showInputMessage="1" showErrorMessage="1" sqref="E881 E882:F888" xr:uid="{00000000-0002-0000-0500-000006000000}">
      <formula1>$G$881:$G$882</formula1>
    </dataValidation>
    <dataValidation type="decimal" operator="notEqual" allowBlank="1" showInputMessage="1" showErrorMessage="1" errorTitle="Numeric value only" error="Plesse do not enter &quot;0&quot; or text" promptTitle="Numeric only" prompt="Please enter numeric value or leave blank" sqref="A967 E31:F38 E42:G78 E80:G81 E87:I88 E101:F109 E110:E118 E122:G135 E137:G150 E152:G165 E167:G180 E182:G195 E199:G218 E232:G236 E241:G249 E257:G265 E273:G281 E289:G297 E305:G313 E335:G340 E343:G346 E348:G348 E351:G353 E355:G355 E361:G365 E368:G372 E380:G381 E393:G395 E398:G401 E404:G407 E417:G419 E422:G423 E426:G429 E439:G441 E444:G445 E448:G451 E461:G463 E466:G467 E470:G473 E483:G485 E488:G489 E492:G495 E505:G507 E510:G511 E514:G517 E527:E529 E532:G533 E536:G539 E549:G551 E554:G555 E558:G561 E571:G572 E575:G577 E584:G586 E591:G596 E609:G610 E615:G618 E642:F643 E645:G647 E649:G651 E661:G662 E664:G665 E667:G669 E679:G680 E682:G683 E685:G687 E697:G698 E700:G702 E704:G707 E719:G720 E722:G724 E726:G729 E741:G742 E744:G748 E751:G753 E777:G778 E780:G780 E782:G785 E795:G796 E798:G799 E801:G802 E832:E838 E840:G846 E848:G852 E891:G891 E894:G900 F111:F118 F354:G354 F829:G838 G32:G38 G98 G101:G118 G527:G529 G641:G643 H34:I34 I417:J419 I422:I425 I428:I429 I549:I551 I554:I557 I560:I561 I719:I720 I722:I724 I726:J729 J42 J48 J422:J429 J549:J561 J719:J724" xr:uid="{00000000-0002-0000-0500-000007000000}">
      <formula1>0</formula1>
    </dataValidation>
    <dataValidation type="decimal" operator="notEqual" allowBlank="1" showInputMessage="1" showErrorMessage="1" errorTitle="Numeric value only" error="Please do not enter &quot;0&quot; or text" promptTitle="Numeric only" prompt="Please enter numeric value or leave blank" sqref="G31 I31:I33 I35:I38 J31:J38" xr:uid="{00000000-0002-0000-0500-000008000000}">
      <formula1>0</formula1>
    </dataValidation>
    <dataValidation type="list" allowBlank="1" showInputMessage="1" showErrorMessage="1" sqref="E911:J911" xr:uid="{00000000-0002-0000-0500-000009000000}">
      <formula1>$C$909:$C$910</formula1>
    </dataValidation>
    <dataValidation type="list" allowBlank="1" showInputMessage="1" showErrorMessage="1" sqref="A966 E10:I19 E21:I29" xr:uid="{00000000-0002-0000-0500-00000A000000}">
      <formula1>"Select,Yes,No,Not Applicable"</formula1>
    </dataValidation>
    <dataValidation type="decimal" operator="notEqual" allowBlank="1" showInputMessage="1" showErrorMessage="1" errorTitle="Numeric value only" error="Plesse do not enter &quot;0&quot; or text" promptTitle="Numeric only" prompt="Please do not enter %carbon value if not available" sqref="E402:G403 E424:G425 E446:G447 E468:G469 E490:G491 E512:G513 E534:G535 E556:G557 E574:G574 E589:G590 E612:G613" xr:uid="{00000000-0002-0000-0500-00000B000000}">
      <formula1>0</formula1>
    </dataValidation>
  </dataValidations>
  <hyperlinks>
    <hyperlink ref="C4" location="'Form-Sb'!A30" display="Production Data" xr:uid="{00000000-0004-0000-0500-000000000000}"/>
    <hyperlink ref="D4" location="'Form-Sb'!A121" display="Kiln Start/Stop" xr:uid="{00000000-0004-0000-0500-000001000000}"/>
    <hyperlink ref="E4" location="'Form-Sb'!A231" display="Own Generation" xr:uid="{00000000-0004-0000-0500-000002000000}"/>
    <hyperlink ref="F4" location="'Form-Sb'!A392" display="Solid Fuel Data" xr:uid="{00000000-0004-0000-0500-000003000000}"/>
    <hyperlink ref="G4" location="'Form-Sb'!A776" display="Gaseous Fuel Data" xr:uid="{00000000-0004-0000-0500-000004000000}"/>
    <hyperlink ref="H4" location="'Form-Sb'!A840" display="Raw Material Quality" xr:uid="{00000000-0004-0000-0500-000005000000}"/>
    <hyperlink ref="I4" location="'Form-Sb'!A891" display="Savings &amp; Investments" xr:uid="{00000000-0004-0000-0500-000006000000}"/>
    <hyperlink ref="C5" location="'Form-Sb'!A100" display="Process Data " xr:uid="{00000000-0004-0000-0500-000007000000}"/>
    <hyperlink ref="D5" location="'Form-Sb'!A199" display="Electricity Data " xr:uid="{00000000-0004-0000-0500-000008000000}"/>
    <hyperlink ref="E5" location="'Form-Sb'!A360" display="Renewable In Plant" xr:uid="{00000000-0004-0000-0500-000009000000}"/>
    <hyperlink ref="F5" location="'Form-Sb'!A641" display="Liquid Fuel Data " xr:uid="{00000000-0004-0000-0500-00000A000000}"/>
    <hyperlink ref="G5" location="'Form-Sb'!A829" display="Performance Indicator" xr:uid="{00000000-0004-0000-0500-00000B000000}"/>
    <hyperlink ref="H5" location="'Form-Sb'!A854" display="Misc Data" xr:uid="{00000000-0004-0000-0500-00000C000000}"/>
    <hyperlink ref="I5" location="'Form-Sb'!A905" display="Process Emission Estimate" xr:uid="{00000000-0004-0000-0500-00000D000000}"/>
  </hyperlinks>
  <printOptions horizontalCentered="1"/>
  <pageMargins left="0.23622047244094491" right="0" top="0.23622047244094491" bottom="0.43307086614173229" header="0.31496062992125978" footer="0.31496062992125978"/>
  <pageSetup paperSize="9" scale="63" fitToHeight="3" orientation="landscape" horizontalDpi="4294967295" verticalDpi="4294967295"/>
  <headerFooter>
    <oddFooter>&amp;CPage &amp;P of &amp;N&amp;RNote: Not to be quoted and not to be published without prior permission</oddFooter>
  </headerFooter>
  <rowBreaks count="6" manualBreakCount="6">
    <brk id="228" max="16383" man="1"/>
    <brk id="477" max="16383" man="1"/>
    <brk id="582" max="16383" man="1"/>
    <brk id="651" max="16383" man="1"/>
    <brk id="716" max="9" man="1"/>
    <brk id="827" max="16383" man="1"/>
  </rowBreaks>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XFD88"/>
  <sheetViews>
    <sheetView showGridLines="0" zoomScale="63" zoomScaleNormal="85" workbookViewId="0">
      <selection activeCell="E24" sqref="E24"/>
    </sheetView>
  </sheetViews>
  <sheetFormatPr defaultColWidth="0" defaultRowHeight="0" customHeight="1" zeroHeight="1" x14ac:dyDescent="0.35"/>
  <cols>
    <col min="1" max="1" width="7" style="47" customWidth="1"/>
    <col min="2" max="2" width="49.54296875" style="110" customWidth="1"/>
    <col min="3" max="3" width="16" style="110" customWidth="1"/>
    <col min="4" max="4" width="15.1796875" style="111" customWidth="1"/>
    <col min="5" max="5" width="18.54296875" style="47" customWidth="1"/>
    <col min="6" max="6" width="19" style="110" customWidth="1"/>
    <col min="7" max="7" width="13" style="12" hidden="1" customWidth="1"/>
    <col min="8" max="8" width="13" style="35" hidden="1" customWidth="1"/>
    <col min="9" max="19" width="13" style="12" hidden="1" customWidth="1"/>
    <col min="20" max="255" width="8.81640625" style="12" hidden="1" customWidth="1"/>
    <col min="256" max="256" width="0.54296875" style="12" hidden="1" customWidth="1"/>
    <col min="257" max="16384" width="0.54296875" style="12" hidden="1"/>
  </cols>
  <sheetData>
    <row r="1" spans="1:11" ht="15" customHeight="1" thickBot="1" x14ac:dyDescent="0.4">
      <c r="A1" s="39"/>
      <c r="B1" s="40"/>
      <c r="C1" s="40"/>
      <c r="D1" s="41"/>
      <c r="E1" s="42"/>
      <c r="F1" s="43"/>
      <c r="H1" s="12"/>
    </row>
    <row r="2" spans="1:11" s="20" customFormat="1" ht="35.25" customHeight="1" x14ac:dyDescent="0.35">
      <c r="A2" s="1045" t="s">
        <v>2068</v>
      </c>
      <c r="B2" s="955"/>
      <c r="C2" s="955"/>
      <c r="D2" s="955"/>
      <c r="E2" s="955"/>
      <c r="F2" s="1046"/>
      <c r="G2" s="29"/>
    </row>
    <row r="3" spans="1:11" s="45" customFormat="1" ht="18.75" customHeight="1" x14ac:dyDescent="0.35">
      <c r="A3" s="1052" t="str">
        <f>CONCATENATE('General Information'!A2,L1)</f>
        <v>Sector :-  Cement Sector</v>
      </c>
      <c r="B3" s="930"/>
      <c r="C3" s="930"/>
      <c r="D3" s="930"/>
      <c r="E3" s="930"/>
      <c r="F3" s="1048"/>
      <c r="G3" s="44"/>
    </row>
    <row r="4" spans="1:11" ht="18.75" customHeight="1" x14ac:dyDescent="0.35">
      <c r="A4" s="1051" t="str">
        <f>CONCATENATE('General Information'!B3:B3)</f>
        <v>Obligated Entity Name</v>
      </c>
      <c r="B4" s="931"/>
      <c r="C4" s="1053" t="str">
        <f>'Form-Sb'!C3</f>
        <v xml:space="preserve">  </v>
      </c>
      <c r="D4" s="930"/>
      <c r="E4" s="930"/>
      <c r="F4" s="931"/>
      <c r="H4" s="12"/>
      <c r="K4" s="35"/>
    </row>
    <row r="5" spans="1:11" ht="29" customHeight="1" x14ac:dyDescent="0.35">
      <c r="A5" s="204" t="s">
        <v>1171</v>
      </c>
      <c r="B5" s="363" t="s">
        <v>1172</v>
      </c>
      <c r="C5" s="364"/>
      <c r="D5" s="365" t="s">
        <v>1011</v>
      </c>
      <c r="E5" s="366" t="str">
        <f>'Form-Sb'!H6</f>
        <v>Baseline Year(s)</v>
      </c>
      <c r="F5" s="366" t="str">
        <f>'Form-Sb'!I6</f>
        <v xml:space="preserve">Current/Assessment /Target Year   </v>
      </c>
      <c r="H5" s="12"/>
      <c r="K5" s="35"/>
    </row>
    <row r="6" spans="1:11" s="47" customFormat="1" ht="13.5" customHeight="1" x14ac:dyDescent="0.35">
      <c r="A6" s="204" t="s">
        <v>65</v>
      </c>
      <c r="B6" s="1047" t="s">
        <v>66</v>
      </c>
      <c r="C6" s="930"/>
      <c r="D6" s="930"/>
      <c r="E6" s="930"/>
      <c r="F6" s="1048"/>
      <c r="K6" s="48"/>
    </row>
    <row r="7" spans="1:11" ht="27.75" customHeight="1" x14ac:dyDescent="0.35">
      <c r="A7" s="49" t="s">
        <v>67</v>
      </c>
      <c r="B7" s="50" t="s">
        <v>1210</v>
      </c>
      <c r="C7" s="3" t="s">
        <v>1211</v>
      </c>
      <c r="D7" s="2" t="s">
        <v>1018</v>
      </c>
      <c r="E7" s="51">
        <f>'Form-Sb'!H31</f>
        <v>0</v>
      </c>
      <c r="F7" s="291">
        <f>'Form-Sb'!I31</f>
        <v>0</v>
      </c>
      <c r="H7" s="12"/>
      <c r="K7" s="35"/>
    </row>
    <row r="8" spans="1:11" ht="31.5" customHeight="1" x14ac:dyDescent="0.35">
      <c r="A8" s="49" t="s">
        <v>72</v>
      </c>
      <c r="B8" s="50" t="s">
        <v>1213</v>
      </c>
      <c r="C8" s="3" t="s">
        <v>1211</v>
      </c>
      <c r="D8" s="52" t="s">
        <v>1018</v>
      </c>
      <c r="E8" s="51">
        <f>'Form-Sb'!H32</f>
        <v>0</v>
      </c>
      <c r="F8" s="291">
        <f>'Form-Sb'!I32</f>
        <v>0</v>
      </c>
      <c r="H8" s="12"/>
      <c r="K8" s="35"/>
    </row>
    <row r="9" spans="1:11" ht="14.5" customHeight="1" x14ac:dyDescent="0.35">
      <c r="A9" s="49" t="s">
        <v>76</v>
      </c>
      <c r="B9" s="50" t="s">
        <v>1214</v>
      </c>
      <c r="C9" s="3" t="s">
        <v>56</v>
      </c>
      <c r="D9" s="2" t="s">
        <v>1018</v>
      </c>
      <c r="E9" s="53">
        <f>'Form-Sb'!H33</f>
        <v>0</v>
      </c>
      <c r="F9" s="304">
        <f>'Form-Sb'!I33-'Form-Sb'!I868</f>
        <v>0</v>
      </c>
      <c r="H9" s="12"/>
      <c r="K9" s="35"/>
    </row>
    <row r="10" spans="1:11" ht="14.5" customHeight="1" x14ac:dyDescent="0.35">
      <c r="A10" s="49" t="s">
        <v>82</v>
      </c>
      <c r="B10" s="50" t="s">
        <v>2069</v>
      </c>
      <c r="C10" s="3" t="s">
        <v>56</v>
      </c>
      <c r="D10" s="52" t="s">
        <v>1018</v>
      </c>
      <c r="E10" s="53">
        <f>'Form-Sb'!H34</f>
        <v>0</v>
      </c>
      <c r="F10" s="292">
        <f>'Form-Sb'!I34</f>
        <v>0</v>
      </c>
      <c r="H10" s="12"/>
      <c r="K10" s="35"/>
    </row>
    <row r="11" spans="1:11" ht="14.5" customHeight="1" x14ac:dyDescent="0.35">
      <c r="A11" s="49" t="s">
        <v>86</v>
      </c>
      <c r="B11" s="50" t="s">
        <v>2070</v>
      </c>
      <c r="C11" s="3" t="s">
        <v>56</v>
      </c>
      <c r="D11" s="52" t="s">
        <v>1018</v>
      </c>
      <c r="E11" s="53">
        <f>'Form-Sb'!H35</f>
        <v>0</v>
      </c>
      <c r="F11" s="292">
        <f>'Form-Sb'!I35</f>
        <v>0</v>
      </c>
      <c r="H11" s="12"/>
      <c r="K11" s="35"/>
    </row>
    <row r="12" spans="1:11" ht="14.5" customHeight="1" x14ac:dyDescent="0.35">
      <c r="A12" s="49" t="s">
        <v>92</v>
      </c>
      <c r="B12" s="50" t="s">
        <v>2071</v>
      </c>
      <c r="C12" s="3" t="s">
        <v>56</v>
      </c>
      <c r="D12" s="52" t="s">
        <v>1018</v>
      </c>
      <c r="E12" s="53">
        <f>'Form-Sb'!H36</f>
        <v>0</v>
      </c>
      <c r="F12" s="292">
        <f>'Form-Sb'!I36</f>
        <v>0</v>
      </c>
      <c r="H12" s="12"/>
      <c r="K12" s="35"/>
    </row>
    <row r="13" spans="1:11" ht="14.5" customHeight="1" x14ac:dyDescent="0.35">
      <c r="A13" s="49" t="s">
        <v>94</v>
      </c>
      <c r="B13" s="50" t="s">
        <v>2072</v>
      </c>
      <c r="C13" s="3" t="s">
        <v>56</v>
      </c>
      <c r="D13" s="52" t="s">
        <v>1018</v>
      </c>
      <c r="E13" s="53">
        <f>'Form-Sb'!H37</f>
        <v>0</v>
      </c>
      <c r="F13" s="292">
        <f>'Form-Sb'!I37</f>
        <v>0</v>
      </c>
      <c r="H13" s="12"/>
      <c r="K13" s="35"/>
    </row>
    <row r="14" spans="1:11" ht="14.5" customHeight="1" x14ac:dyDescent="0.35">
      <c r="A14" s="49" t="s">
        <v>97</v>
      </c>
      <c r="B14" s="50" t="s">
        <v>2073</v>
      </c>
      <c r="C14" s="3" t="s">
        <v>56</v>
      </c>
      <c r="D14" s="52" t="s">
        <v>1018</v>
      </c>
      <c r="E14" s="53">
        <f>'Form-Sb'!H38</f>
        <v>0</v>
      </c>
      <c r="F14" s="292">
        <f>'Form-Sb'!I38</f>
        <v>0</v>
      </c>
      <c r="H14" s="12"/>
      <c r="K14" s="35"/>
    </row>
    <row r="15" spans="1:11" ht="14.5" customHeight="1" x14ac:dyDescent="0.35">
      <c r="A15" s="49" t="s">
        <v>99</v>
      </c>
      <c r="B15" s="54" t="s">
        <v>2074</v>
      </c>
      <c r="C15" s="20" t="s">
        <v>1226</v>
      </c>
      <c r="D15" s="52" t="s">
        <v>1057</v>
      </c>
      <c r="E15" s="51">
        <f>'Form-Sb'!H39</f>
        <v>0</v>
      </c>
      <c r="F15" s="292">
        <f>'Form-Sb'!I39</f>
        <v>0</v>
      </c>
      <c r="H15" s="12"/>
      <c r="K15" s="35"/>
    </row>
    <row r="16" spans="1:11" ht="14.5" customHeight="1" x14ac:dyDescent="0.35">
      <c r="A16" s="49" t="s">
        <v>101</v>
      </c>
      <c r="B16" s="54" t="s">
        <v>2075</v>
      </c>
      <c r="C16" s="20" t="s">
        <v>1228</v>
      </c>
      <c r="D16" s="52" t="s">
        <v>1057</v>
      </c>
      <c r="E16" s="53">
        <f>'Form-Sb'!H40</f>
        <v>0</v>
      </c>
      <c r="F16" s="292">
        <f>'Form-Sb'!I40</f>
        <v>0</v>
      </c>
      <c r="H16" s="12"/>
      <c r="K16" s="35"/>
    </row>
    <row r="17" spans="1:12" ht="14.5" customHeight="1" x14ac:dyDescent="0.35">
      <c r="A17" s="49" t="s">
        <v>103</v>
      </c>
      <c r="B17" s="50" t="s">
        <v>2076</v>
      </c>
      <c r="C17" s="3" t="s">
        <v>56</v>
      </c>
      <c r="D17" s="52" t="s">
        <v>1018</v>
      </c>
      <c r="E17" s="53">
        <f>'Form-Sb'!H42</f>
        <v>0</v>
      </c>
      <c r="F17" s="292">
        <f>'Form-Sb'!I42</f>
        <v>0</v>
      </c>
      <c r="H17" s="12"/>
      <c r="K17" s="35"/>
    </row>
    <row r="18" spans="1:12" ht="14.5" customHeight="1" x14ac:dyDescent="0.35">
      <c r="A18" s="49" t="s">
        <v>177</v>
      </c>
      <c r="B18" s="50" t="s">
        <v>2077</v>
      </c>
      <c r="C18" s="3" t="s">
        <v>56</v>
      </c>
      <c r="D18" s="52" t="s">
        <v>1018</v>
      </c>
      <c r="E18" s="53">
        <f>'Form-Sb'!H48</f>
        <v>0</v>
      </c>
      <c r="F18" s="292">
        <f>'Form-Sb'!I48</f>
        <v>0</v>
      </c>
      <c r="H18" s="12"/>
      <c r="K18" s="35"/>
    </row>
    <row r="19" spans="1:12" ht="15" customHeight="1" x14ac:dyDescent="0.35">
      <c r="A19" s="49" t="s">
        <v>182</v>
      </c>
      <c r="B19" s="50" t="s">
        <v>2078</v>
      </c>
      <c r="C19" s="3" t="s">
        <v>56</v>
      </c>
      <c r="D19" s="52" t="s">
        <v>1018</v>
      </c>
      <c r="E19" s="53">
        <f>'Form-Sb'!H53</f>
        <v>0</v>
      </c>
      <c r="F19" s="292">
        <f>'Form-Sb'!I53</f>
        <v>0</v>
      </c>
      <c r="H19" s="12"/>
      <c r="K19" s="35"/>
    </row>
    <row r="20" spans="1:12" ht="15" customHeight="1" x14ac:dyDescent="0.35">
      <c r="A20" s="49" t="s">
        <v>184</v>
      </c>
      <c r="B20" s="50" t="s">
        <v>2079</v>
      </c>
      <c r="C20" s="3" t="s">
        <v>56</v>
      </c>
      <c r="D20" s="52" t="s">
        <v>1018</v>
      </c>
      <c r="E20" s="53">
        <f>'Form-Sb'!H57</f>
        <v>0</v>
      </c>
      <c r="F20" s="292">
        <f>'Form-Sb'!I57</f>
        <v>0</v>
      </c>
      <c r="H20" s="12"/>
      <c r="K20" s="35"/>
    </row>
    <row r="21" spans="1:12" ht="15" customHeight="1" x14ac:dyDescent="0.35">
      <c r="A21" s="498" t="s">
        <v>186</v>
      </c>
      <c r="B21" s="495" t="str">
        <f>'Form-Sb'!B63</f>
        <v>White Cement (WC) Production</v>
      </c>
      <c r="C21" s="407" t="s">
        <v>56</v>
      </c>
      <c r="D21" s="408" t="s">
        <v>1018</v>
      </c>
      <c r="E21" s="496">
        <f>'Form-Sb'!H63</f>
        <v>0</v>
      </c>
      <c r="F21" s="496">
        <f>'Form-Sb'!I63</f>
        <v>0</v>
      </c>
      <c r="H21" s="12"/>
      <c r="K21" s="35"/>
    </row>
    <row r="22" spans="1:12" ht="15" customHeight="1" x14ac:dyDescent="0.35">
      <c r="A22" s="498" t="s">
        <v>188</v>
      </c>
      <c r="B22" s="495" t="str">
        <f>'Form-Sb'!B70</f>
        <v>Other Cement Production, PPC</v>
      </c>
      <c r="C22" s="407" t="s">
        <v>56</v>
      </c>
      <c r="D22" s="408" t="s">
        <v>1018</v>
      </c>
      <c r="E22" s="496">
        <f>'Form-Sb'!H70</f>
        <v>0</v>
      </c>
      <c r="F22" s="496">
        <f>'Form-Sb'!I70</f>
        <v>0</v>
      </c>
      <c r="H22" s="12"/>
      <c r="K22" s="35"/>
    </row>
    <row r="23" spans="1:12" ht="32.5" customHeight="1" x14ac:dyDescent="0.35">
      <c r="A23" s="498" t="s">
        <v>190</v>
      </c>
      <c r="B23" s="495" t="str">
        <f>'Form-Sb'!B78</f>
        <v>Quantity of GGBS (Grinding) directly used for construction</v>
      </c>
      <c r="C23" s="407" t="s">
        <v>56</v>
      </c>
      <c r="D23" s="408" t="s">
        <v>1018</v>
      </c>
      <c r="E23" s="496">
        <f>'Form-Sb'!H78</f>
        <v>0</v>
      </c>
      <c r="F23" s="496">
        <f>'Form-Sb'!I78</f>
        <v>0</v>
      </c>
      <c r="H23" s="12"/>
      <c r="K23" s="35"/>
    </row>
    <row r="24" spans="1:12" ht="15" customHeight="1" x14ac:dyDescent="0.35">
      <c r="A24" s="49" t="s">
        <v>192</v>
      </c>
      <c r="B24" s="50" t="s">
        <v>1271</v>
      </c>
      <c r="C24" s="3" t="s">
        <v>56</v>
      </c>
      <c r="D24" s="52" t="s">
        <v>1018</v>
      </c>
      <c r="E24" s="53">
        <f>'Form-Sb'!H80</f>
        <v>1041590.1066666668</v>
      </c>
      <c r="F24" s="292">
        <f>'Form-Sb'!I80</f>
        <v>0</v>
      </c>
      <c r="H24" s="12"/>
      <c r="K24" s="35"/>
    </row>
    <row r="25" spans="1:12" ht="15" customHeight="1" x14ac:dyDescent="0.35">
      <c r="A25" s="49" t="s">
        <v>194</v>
      </c>
      <c r="B25" s="50" t="s">
        <v>1273</v>
      </c>
      <c r="C25" s="3" t="s">
        <v>56</v>
      </c>
      <c r="D25" s="52" t="s">
        <v>1018</v>
      </c>
      <c r="E25" s="53">
        <f>'Form-Sb'!H81</f>
        <v>0</v>
      </c>
      <c r="F25" s="304">
        <f>'Form-Sb'!I81+'Form-Sb'!I868</f>
        <v>0</v>
      </c>
      <c r="H25" s="12"/>
      <c r="K25" s="35"/>
    </row>
    <row r="26" spans="1:12" s="47" customFormat="1" ht="15" customHeight="1" x14ac:dyDescent="0.35">
      <c r="A26" s="204" t="s">
        <v>251</v>
      </c>
      <c r="B26" s="1047" t="s">
        <v>2080</v>
      </c>
      <c r="C26" s="930"/>
      <c r="D26" s="930"/>
      <c r="E26" s="930"/>
      <c r="F26" s="1048"/>
      <c r="G26" s="1049"/>
      <c r="H26" s="930"/>
      <c r="I26" s="930"/>
      <c r="J26" s="930"/>
      <c r="K26" s="1048"/>
      <c r="L26" s="55"/>
    </row>
    <row r="27" spans="1:12" ht="14.5" customHeight="1" x14ac:dyDescent="0.35">
      <c r="A27" s="49" t="s">
        <v>1130</v>
      </c>
      <c r="B27" s="50" t="s">
        <v>1274</v>
      </c>
      <c r="C27" s="3" t="s">
        <v>56</v>
      </c>
      <c r="D27" s="52" t="s">
        <v>1018</v>
      </c>
      <c r="E27" s="17">
        <f>'Form-Sb'!H82</f>
        <v>0</v>
      </c>
      <c r="F27" s="67">
        <f>'Form-Sb'!I82</f>
        <v>0</v>
      </c>
      <c r="H27" s="12"/>
      <c r="K27" s="35"/>
    </row>
    <row r="28" spans="1:12" ht="14.5" customHeight="1" x14ac:dyDescent="0.35">
      <c r="A28" s="56" t="s">
        <v>1136</v>
      </c>
      <c r="B28" s="50" t="s">
        <v>1275</v>
      </c>
      <c r="C28" s="3" t="s">
        <v>56</v>
      </c>
      <c r="D28" s="52" t="s">
        <v>1018</v>
      </c>
      <c r="E28" s="17">
        <f>'Form-Sb'!H83</f>
        <v>0</v>
      </c>
      <c r="F28" s="67">
        <f>'Form-Sb'!I83</f>
        <v>0</v>
      </c>
      <c r="H28" s="12"/>
      <c r="K28" s="35"/>
    </row>
    <row r="29" spans="1:12" ht="14.5" customHeight="1" x14ac:dyDescent="0.35">
      <c r="A29" s="49" t="s">
        <v>1146</v>
      </c>
      <c r="B29" s="50" t="s">
        <v>1276</v>
      </c>
      <c r="C29" s="3" t="s">
        <v>56</v>
      </c>
      <c r="D29" s="52" t="s">
        <v>1018</v>
      </c>
      <c r="E29" s="17">
        <f>'Form-Sb'!H84</f>
        <v>0</v>
      </c>
      <c r="F29" s="67">
        <f>'Form-Sb'!I84</f>
        <v>0</v>
      </c>
      <c r="H29" s="12"/>
      <c r="K29" s="35"/>
    </row>
    <row r="30" spans="1:12" ht="14.5" customHeight="1" x14ac:dyDescent="0.35">
      <c r="A30" s="494" t="s">
        <v>2081</v>
      </c>
      <c r="B30" s="491" t="str">
        <f>'Form-Sb'!B85</f>
        <v xml:space="preserve">Quantity of Limestone Used as Additive </v>
      </c>
      <c r="C30" s="407" t="s">
        <v>56</v>
      </c>
      <c r="D30" s="408" t="s">
        <v>1018</v>
      </c>
      <c r="E30" s="492">
        <f>'Form-Sb'!H85</f>
        <v>0</v>
      </c>
      <c r="F30" s="492">
        <f>'Form-Sb'!I85</f>
        <v>0</v>
      </c>
      <c r="H30" s="12"/>
      <c r="K30" s="35"/>
    </row>
    <row r="31" spans="1:12" ht="14.5" customHeight="1" x14ac:dyDescent="0.35">
      <c r="A31" s="56" t="s">
        <v>2082</v>
      </c>
      <c r="B31" s="50" t="s">
        <v>2083</v>
      </c>
      <c r="C31" s="3" t="s">
        <v>56</v>
      </c>
      <c r="D31" s="52" t="s">
        <v>1018</v>
      </c>
      <c r="E31" s="17">
        <f>'Form-Sb'!H87</f>
        <v>0</v>
      </c>
      <c r="F31" s="67">
        <f>'Form-Sb'!I87</f>
        <v>0</v>
      </c>
      <c r="H31" s="12"/>
      <c r="K31" s="35"/>
    </row>
    <row r="32" spans="1:12" s="47" customFormat="1" ht="15.75" customHeight="1" x14ac:dyDescent="0.35">
      <c r="A32" s="204" t="s">
        <v>290</v>
      </c>
      <c r="B32" s="1047" t="s">
        <v>2084</v>
      </c>
      <c r="C32" s="930"/>
      <c r="D32" s="930"/>
      <c r="E32" s="930"/>
      <c r="F32" s="1048"/>
      <c r="G32" s="1054"/>
      <c r="H32" s="930"/>
      <c r="K32" s="48"/>
    </row>
    <row r="33" spans="1:16384" ht="14.5" customHeight="1" x14ac:dyDescent="0.35">
      <c r="A33" s="56" t="s">
        <v>2085</v>
      </c>
      <c r="B33" s="50" t="s">
        <v>1282</v>
      </c>
      <c r="C33" s="3" t="s">
        <v>56</v>
      </c>
      <c r="D33" s="52" t="s">
        <v>1283</v>
      </c>
      <c r="E33" s="17">
        <f>'Form-Sb'!H91</f>
        <v>0</v>
      </c>
      <c r="F33" s="17">
        <f>'Form-Sb'!I91</f>
        <v>0</v>
      </c>
      <c r="H33" s="12"/>
      <c r="K33" s="35"/>
    </row>
    <row r="34" spans="1:16384" ht="14.5" customHeight="1" x14ac:dyDescent="0.35">
      <c r="A34" s="56" t="s">
        <v>2086</v>
      </c>
      <c r="B34" s="50" t="s">
        <v>1284</v>
      </c>
      <c r="C34" s="3" t="s">
        <v>56</v>
      </c>
      <c r="D34" s="52" t="s">
        <v>1283</v>
      </c>
      <c r="E34" s="17">
        <f>'Form-Sb'!H92</f>
        <v>0</v>
      </c>
      <c r="F34" s="17">
        <f>'Form-Sb'!I92</f>
        <v>0</v>
      </c>
      <c r="H34" s="12"/>
      <c r="K34" s="35"/>
    </row>
    <row r="35" spans="1:16384" ht="14.5" customHeight="1" x14ac:dyDescent="0.35">
      <c r="A35" s="56" t="s">
        <v>2087</v>
      </c>
      <c r="B35" s="50" t="s">
        <v>1285</v>
      </c>
      <c r="C35" s="3" t="s">
        <v>56</v>
      </c>
      <c r="D35" s="52" t="s">
        <v>1283</v>
      </c>
      <c r="E35" s="17">
        <f>'Form-Sb'!H93</f>
        <v>0</v>
      </c>
      <c r="F35" s="17">
        <f>'Form-Sb'!I93</f>
        <v>0</v>
      </c>
      <c r="H35" s="12"/>
      <c r="K35" s="35"/>
    </row>
    <row r="36" spans="1:16384" ht="14.5" customHeight="1" x14ac:dyDescent="0.35">
      <c r="A36" s="56" t="s">
        <v>2088</v>
      </c>
      <c r="B36" s="50" t="s">
        <v>1286</v>
      </c>
      <c r="C36" s="3" t="s">
        <v>56</v>
      </c>
      <c r="D36" s="52" t="s">
        <v>1283</v>
      </c>
      <c r="E36" s="17">
        <f>'Form-Sb'!H94</f>
        <v>0</v>
      </c>
      <c r="F36" s="17">
        <f>'Form-Sb'!I94</f>
        <v>0</v>
      </c>
      <c r="G36" s="17">
        <f>'Form-Sb'!K94</f>
        <v>0</v>
      </c>
      <c r="H36" s="17">
        <f>'Form-Sb'!L94</f>
        <v>0</v>
      </c>
      <c r="I36" s="17">
        <f>'Form-Sb'!M94</f>
        <v>0</v>
      </c>
      <c r="J36" s="17">
        <f>'Form-Sb'!N94</f>
        <v>0</v>
      </c>
      <c r="K36" s="17">
        <f>'Form-Sb'!O94</f>
        <v>0</v>
      </c>
      <c r="L36" s="17">
        <f>'Form-Sb'!P94</f>
        <v>0</v>
      </c>
      <c r="M36" s="17">
        <f>'Form-Sb'!Q94</f>
        <v>0</v>
      </c>
      <c r="N36" s="17">
        <f>'Form-Sb'!R94</f>
        <v>0</v>
      </c>
      <c r="O36" s="17">
        <f>'Form-Sb'!S94</f>
        <v>0</v>
      </c>
      <c r="P36" s="17">
        <f>'Form-Sb'!T94</f>
        <v>0</v>
      </c>
      <c r="Q36" s="17">
        <f>'Form-Sb'!U94</f>
        <v>0</v>
      </c>
      <c r="R36" s="17">
        <f>'Form-Sb'!V94</f>
        <v>0</v>
      </c>
      <c r="S36" s="17">
        <f>'Form-Sb'!W94</f>
        <v>0</v>
      </c>
      <c r="T36" s="17">
        <f>'Form-Sb'!X94</f>
        <v>0</v>
      </c>
      <c r="U36" s="17">
        <f>'Form-Sb'!Y94</f>
        <v>0</v>
      </c>
      <c r="V36" s="17">
        <f>'Form-Sb'!Z94</f>
        <v>0</v>
      </c>
      <c r="W36" s="17">
        <f>'Form-Sb'!AA94</f>
        <v>0</v>
      </c>
      <c r="X36" s="17">
        <f>'Form-Sb'!AB94</f>
        <v>0</v>
      </c>
      <c r="Y36" s="17">
        <f>'Form-Sb'!AC94</f>
        <v>0</v>
      </c>
      <c r="Z36" s="17">
        <f>'Form-Sb'!AD94</f>
        <v>0</v>
      </c>
      <c r="AA36" s="17">
        <f>'Form-Sb'!AE94</f>
        <v>0</v>
      </c>
      <c r="AB36" s="17">
        <f>'Form-Sb'!AF94</f>
        <v>0</v>
      </c>
      <c r="AC36" s="17">
        <f>'Form-Sb'!AG94</f>
        <v>0</v>
      </c>
      <c r="AD36" s="17">
        <f>'Form-Sb'!AH94</f>
        <v>0</v>
      </c>
      <c r="AE36" s="17">
        <f>'Form-Sb'!AI94</f>
        <v>0</v>
      </c>
      <c r="AF36" s="17">
        <f>'Form-Sb'!AJ94</f>
        <v>0</v>
      </c>
      <c r="AG36" s="17">
        <f>'Form-Sb'!AK94</f>
        <v>0</v>
      </c>
      <c r="AH36" s="17">
        <f>'Form-Sb'!AL94</f>
        <v>0</v>
      </c>
      <c r="AI36" s="17">
        <f>'Form-Sb'!AM94</f>
        <v>0</v>
      </c>
      <c r="AJ36" s="17">
        <f>'Form-Sb'!AN94</f>
        <v>0</v>
      </c>
      <c r="AK36" s="17">
        <f>'Form-Sb'!AO94</f>
        <v>0</v>
      </c>
      <c r="AL36" s="17">
        <f>'Form-Sb'!AP94</f>
        <v>0</v>
      </c>
      <c r="AM36" s="17">
        <f>'Form-Sb'!AQ94</f>
        <v>0</v>
      </c>
      <c r="AN36" s="17">
        <f>'Form-Sb'!AR94</f>
        <v>0</v>
      </c>
      <c r="AO36" s="17">
        <f>'Form-Sb'!AS94</f>
        <v>0</v>
      </c>
      <c r="AP36" s="17">
        <f>'Form-Sb'!AT94</f>
        <v>0</v>
      </c>
      <c r="AQ36" s="17">
        <f>'Form-Sb'!AU94</f>
        <v>0</v>
      </c>
      <c r="AR36" s="17">
        <f>'Form-Sb'!AV94</f>
        <v>0</v>
      </c>
      <c r="AS36" s="17">
        <f>'Form-Sb'!AW94</f>
        <v>0</v>
      </c>
      <c r="AT36" s="17">
        <f>'Form-Sb'!AX94</f>
        <v>0</v>
      </c>
      <c r="AU36" s="17">
        <f>'Form-Sb'!AY94</f>
        <v>0</v>
      </c>
      <c r="AV36" s="17">
        <f>'Form-Sb'!AZ94</f>
        <v>0</v>
      </c>
      <c r="AW36" s="17">
        <f>'Form-Sb'!BA94</f>
        <v>0</v>
      </c>
      <c r="AX36" s="17">
        <f>'Form-Sb'!BB94</f>
        <v>0</v>
      </c>
      <c r="AY36" s="17">
        <f>'Form-Sb'!BC94</f>
        <v>0</v>
      </c>
      <c r="AZ36" s="17">
        <f>'Form-Sb'!BD94</f>
        <v>0</v>
      </c>
      <c r="BA36" s="17">
        <f>'Form-Sb'!BE94</f>
        <v>0</v>
      </c>
      <c r="BB36" s="17">
        <f>'Form-Sb'!BF94</f>
        <v>0</v>
      </c>
      <c r="BC36" s="17">
        <f>'Form-Sb'!BG94</f>
        <v>0</v>
      </c>
      <c r="BD36" s="17">
        <f>'Form-Sb'!BH94</f>
        <v>0</v>
      </c>
      <c r="BE36" s="17">
        <f>'Form-Sb'!BI94</f>
        <v>0</v>
      </c>
      <c r="BF36" s="17">
        <f>'Form-Sb'!BJ94</f>
        <v>0</v>
      </c>
      <c r="BG36" s="17">
        <f>'Form-Sb'!BK94</f>
        <v>0</v>
      </c>
      <c r="BH36" s="17">
        <f>'Form-Sb'!BL94</f>
        <v>0</v>
      </c>
      <c r="BI36" s="17">
        <f>'Form-Sb'!BM94</f>
        <v>0</v>
      </c>
      <c r="BJ36" s="17">
        <f>'Form-Sb'!BN94</f>
        <v>0</v>
      </c>
      <c r="BK36" s="17">
        <f>'Form-Sb'!BO94</f>
        <v>0</v>
      </c>
      <c r="BL36" s="17">
        <f>'Form-Sb'!BP94</f>
        <v>0</v>
      </c>
      <c r="BM36" s="17">
        <f>'Form-Sb'!BQ94</f>
        <v>0</v>
      </c>
      <c r="BN36" s="17">
        <f>'Form-Sb'!BR94</f>
        <v>0</v>
      </c>
      <c r="BO36" s="17">
        <f>'Form-Sb'!BS94</f>
        <v>0</v>
      </c>
      <c r="BP36" s="17">
        <f>'Form-Sb'!BT94</f>
        <v>0</v>
      </c>
      <c r="BQ36" s="17">
        <f>'Form-Sb'!BU94</f>
        <v>0</v>
      </c>
      <c r="BR36" s="17">
        <f>'Form-Sb'!BV94</f>
        <v>0</v>
      </c>
      <c r="BS36" s="17">
        <f>'Form-Sb'!BW94</f>
        <v>0</v>
      </c>
      <c r="BT36" s="17">
        <f>'Form-Sb'!BX94</f>
        <v>0</v>
      </c>
      <c r="BU36" s="17">
        <f>'Form-Sb'!BY94</f>
        <v>0</v>
      </c>
      <c r="BV36" s="17">
        <f>'Form-Sb'!BZ94</f>
        <v>0</v>
      </c>
      <c r="BW36" s="17">
        <f>'Form-Sb'!CA94</f>
        <v>0</v>
      </c>
      <c r="BX36" s="17">
        <f>'Form-Sb'!CB94</f>
        <v>0</v>
      </c>
      <c r="BY36" s="17">
        <f>'Form-Sb'!CC94</f>
        <v>0</v>
      </c>
      <c r="BZ36" s="17">
        <f>'Form-Sb'!CD94</f>
        <v>0</v>
      </c>
      <c r="CA36" s="17">
        <f>'Form-Sb'!CE94</f>
        <v>0</v>
      </c>
      <c r="CB36" s="17">
        <f>'Form-Sb'!CF94</f>
        <v>0</v>
      </c>
      <c r="CC36" s="17">
        <f>'Form-Sb'!CG94</f>
        <v>0</v>
      </c>
      <c r="CD36" s="17">
        <f>'Form-Sb'!CH94</f>
        <v>0</v>
      </c>
      <c r="CE36" s="17">
        <f>'Form-Sb'!CI94</f>
        <v>0</v>
      </c>
      <c r="CF36" s="17">
        <f>'Form-Sb'!CJ94</f>
        <v>0</v>
      </c>
      <c r="CG36" s="17">
        <f>'Form-Sb'!CK94</f>
        <v>0</v>
      </c>
      <c r="CH36" s="17">
        <f>'Form-Sb'!CL94</f>
        <v>0</v>
      </c>
      <c r="CI36" s="17">
        <f>'Form-Sb'!CM94</f>
        <v>0</v>
      </c>
      <c r="CJ36" s="17">
        <f>'Form-Sb'!CN94</f>
        <v>0</v>
      </c>
      <c r="CK36" s="17">
        <f>'Form-Sb'!CO94</f>
        <v>0</v>
      </c>
      <c r="CL36" s="17">
        <f>'Form-Sb'!CP94</f>
        <v>0</v>
      </c>
      <c r="CM36" s="17">
        <f>'Form-Sb'!CQ94</f>
        <v>0</v>
      </c>
      <c r="CN36" s="17">
        <f>'Form-Sb'!CR94</f>
        <v>0</v>
      </c>
      <c r="CO36" s="17">
        <f>'Form-Sb'!CS94</f>
        <v>0</v>
      </c>
      <c r="CP36" s="17">
        <f>'Form-Sb'!CT94</f>
        <v>0</v>
      </c>
      <c r="CQ36" s="17">
        <f>'Form-Sb'!CU94</f>
        <v>0</v>
      </c>
      <c r="CR36" s="17">
        <f>'Form-Sb'!CV94</f>
        <v>0</v>
      </c>
      <c r="CS36" s="17">
        <f>'Form-Sb'!CW94</f>
        <v>0</v>
      </c>
      <c r="CT36" s="17">
        <f>'Form-Sb'!CX94</f>
        <v>0</v>
      </c>
      <c r="CU36" s="17">
        <f>'Form-Sb'!CY94</f>
        <v>0</v>
      </c>
      <c r="CV36" s="17">
        <f>'Form-Sb'!CZ94</f>
        <v>0</v>
      </c>
      <c r="CW36" s="17">
        <f>'Form-Sb'!DA94</f>
        <v>0</v>
      </c>
      <c r="CX36" s="17">
        <f>'Form-Sb'!DB94</f>
        <v>0</v>
      </c>
      <c r="CY36" s="17">
        <f>'Form-Sb'!DC94</f>
        <v>0</v>
      </c>
      <c r="CZ36" s="17">
        <f>'Form-Sb'!DD94</f>
        <v>0</v>
      </c>
      <c r="DA36" s="17">
        <f>'Form-Sb'!DE94</f>
        <v>0</v>
      </c>
      <c r="DB36" s="17">
        <f>'Form-Sb'!DF94</f>
        <v>0</v>
      </c>
      <c r="DC36" s="17">
        <f>'Form-Sb'!DG94</f>
        <v>0</v>
      </c>
      <c r="DD36" s="17">
        <f>'Form-Sb'!DH94</f>
        <v>0</v>
      </c>
      <c r="DE36" s="17">
        <f>'Form-Sb'!DI94</f>
        <v>0</v>
      </c>
      <c r="DF36" s="17">
        <f>'Form-Sb'!DJ94</f>
        <v>0</v>
      </c>
      <c r="DG36" s="17">
        <f>'Form-Sb'!DK94</f>
        <v>0</v>
      </c>
      <c r="DH36" s="17">
        <f>'Form-Sb'!DL94</f>
        <v>0</v>
      </c>
      <c r="DI36" s="17">
        <f>'Form-Sb'!DM94</f>
        <v>0</v>
      </c>
      <c r="DJ36" s="17">
        <f>'Form-Sb'!DN94</f>
        <v>0</v>
      </c>
      <c r="DK36" s="17">
        <f>'Form-Sb'!DO94</f>
        <v>0</v>
      </c>
      <c r="DL36" s="17">
        <f>'Form-Sb'!DP94</f>
        <v>0</v>
      </c>
      <c r="DM36" s="17">
        <f>'Form-Sb'!DQ94</f>
        <v>0</v>
      </c>
      <c r="DN36" s="17">
        <f>'Form-Sb'!DR94</f>
        <v>0</v>
      </c>
      <c r="DO36" s="17">
        <f>'Form-Sb'!DS94</f>
        <v>0</v>
      </c>
      <c r="DP36" s="17">
        <f>'Form-Sb'!DT94</f>
        <v>0</v>
      </c>
      <c r="DQ36" s="17">
        <f>'Form-Sb'!DU94</f>
        <v>0</v>
      </c>
      <c r="DR36" s="17">
        <f>'Form-Sb'!DV94</f>
        <v>0</v>
      </c>
      <c r="DS36" s="17">
        <f>'Form-Sb'!DW94</f>
        <v>0</v>
      </c>
      <c r="DT36" s="17">
        <f>'Form-Sb'!DX94</f>
        <v>0</v>
      </c>
      <c r="DU36" s="17">
        <f>'Form-Sb'!DY94</f>
        <v>0</v>
      </c>
      <c r="DV36" s="17">
        <f>'Form-Sb'!DZ94</f>
        <v>0</v>
      </c>
      <c r="DW36" s="17">
        <f>'Form-Sb'!EA94</f>
        <v>0</v>
      </c>
      <c r="DX36" s="17">
        <f>'Form-Sb'!EB94</f>
        <v>0</v>
      </c>
      <c r="DY36" s="17">
        <f>'Form-Sb'!EC94</f>
        <v>0</v>
      </c>
      <c r="DZ36" s="17">
        <f>'Form-Sb'!ED94</f>
        <v>0</v>
      </c>
      <c r="EA36" s="17">
        <f>'Form-Sb'!EE94</f>
        <v>0</v>
      </c>
      <c r="EB36" s="17">
        <f>'Form-Sb'!EF94</f>
        <v>0</v>
      </c>
      <c r="EC36" s="17">
        <f>'Form-Sb'!EG94</f>
        <v>0</v>
      </c>
      <c r="ED36" s="17">
        <f>'Form-Sb'!EH94</f>
        <v>0</v>
      </c>
      <c r="EE36" s="17">
        <f>'Form-Sb'!EI94</f>
        <v>0</v>
      </c>
      <c r="EF36" s="17">
        <f>'Form-Sb'!EJ94</f>
        <v>0</v>
      </c>
      <c r="EG36" s="17">
        <f>'Form-Sb'!EK94</f>
        <v>0</v>
      </c>
      <c r="EH36" s="17">
        <f>'Form-Sb'!EL94</f>
        <v>0</v>
      </c>
      <c r="EI36" s="17">
        <f>'Form-Sb'!EM94</f>
        <v>0</v>
      </c>
      <c r="EJ36" s="17">
        <f>'Form-Sb'!EN94</f>
        <v>0</v>
      </c>
      <c r="EK36" s="17">
        <f>'Form-Sb'!EO94</f>
        <v>0</v>
      </c>
      <c r="EL36" s="17">
        <f>'Form-Sb'!EP94</f>
        <v>0</v>
      </c>
      <c r="EM36" s="17">
        <f>'Form-Sb'!EQ94</f>
        <v>0</v>
      </c>
      <c r="EN36" s="17">
        <f>'Form-Sb'!ER94</f>
        <v>0</v>
      </c>
      <c r="EO36" s="17">
        <f>'Form-Sb'!ES94</f>
        <v>0</v>
      </c>
      <c r="EP36" s="17">
        <f>'Form-Sb'!ET94</f>
        <v>0</v>
      </c>
      <c r="EQ36" s="17">
        <f>'Form-Sb'!EU94</f>
        <v>0</v>
      </c>
      <c r="ER36" s="17">
        <f>'Form-Sb'!EV94</f>
        <v>0</v>
      </c>
      <c r="ES36" s="17">
        <f>'Form-Sb'!EW94</f>
        <v>0</v>
      </c>
      <c r="ET36" s="17">
        <f>'Form-Sb'!EX94</f>
        <v>0</v>
      </c>
      <c r="EU36" s="17">
        <f>'Form-Sb'!EY94</f>
        <v>0</v>
      </c>
      <c r="EV36" s="17">
        <f>'Form-Sb'!EZ94</f>
        <v>0</v>
      </c>
      <c r="EW36" s="17">
        <f>'Form-Sb'!FA94</f>
        <v>0</v>
      </c>
      <c r="EX36" s="17">
        <f>'Form-Sb'!FB94</f>
        <v>0</v>
      </c>
      <c r="EY36" s="17">
        <f>'Form-Sb'!FC94</f>
        <v>0</v>
      </c>
      <c r="EZ36" s="17">
        <f>'Form-Sb'!FD94</f>
        <v>0</v>
      </c>
      <c r="FA36" s="17">
        <f>'Form-Sb'!FE94</f>
        <v>0</v>
      </c>
      <c r="FB36" s="17">
        <f>'Form-Sb'!FF94</f>
        <v>0</v>
      </c>
      <c r="FC36" s="17">
        <f>'Form-Sb'!FG94</f>
        <v>0</v>
      </c>
      <c r="FD36" s="17">
        <f>'Form-Sb'!FH94</f>
        <v>0</v>
      </c>
      <c r="FE36" s="17">
        <f>'Form-Sb'!FI94</f>
        <v>0</v>
      </c>
      <c r="FF36" s="17">
        <f>'Form-Sb'!FJ94</f>
        <v>0</v>
      </c>
      <c r="FG36" s="17">
        <f>'Form-Sb'!FK94</f>
        <v>0</v>
      </c>
      <c r="FH36" s="17">
        <f>'Form-Sb'!FL94</f>
        <v>0</v>
      </c>
      <c r="FI36" s="17">
        <f>'Form-Sb'!FM94</f>
        <v>0</v>
      </c>
      <c r="FJ36" s="17">
        <f>'Form-Sb'!FN94</f>
        <v>0</v>
      </c>
      <c r="FK36" s="17">
        <f>'Form-Sb'!FO94</f>
        <v>0</v>
      </c>
      <c r="FL36" s="17">
        <f>'Form-Sb'!FP94</f>
        <v>0</v>
      </c>
      <c r="FM36" s="17">
        <f>'Form-Sb'!FQ94</f>
        <v>0</v>
      </c>
      <c r="FN36" s="17">
        <f>'Form-Sb'!FR94</f>
        <v>0</v>
      </c>
      <c r="FO36" s="17">
        <f>'Form-Sb'!FS94</f>
        <v>0</v>
      </c>
      <c r="FP36" s="17">
        <f>'Form-Sb'!FT94</f>
        <v>0</v>
      </c>
      <c r="FQ36" s="17">
        <f>'Form-Sb'!FU94</f>
        <v>0</v>
      </c>
      <c r="FR36" s="17">
        <f>'Form-Sb'!FV94</f>
        <v>0</v>
      </c>
      <c r="FS36" s="17">
        <f>'Form-Sb'!FW94</f>
        <v>0</v>
      </c>
      <c r="FT36" s="17">
        <f>'Form-Sb'!FX94</f>
        <v>0</v>
      </c>
      <c r="FU36" s="17">
        <f>'Form-Sb'!FY94</f>
        <v>0</v>
      </c>
      <c r="FV36" s="17">
        <f>'Form-Sb'!FZ94</f>
        <v>0</v>
      </c>
      <c r="FW36" s="17">
        <f>'Form-Sb'!GA94</f>
        <v>0</v>
      </c>
      <c r="FX36" s="17">
        <f>'Form-Sb'!GB94</f>
        <v>0</v>
      </c>
      <c r="FY36" s="17">
        <f>'Form-Sb'!GC94</f>
        <v>0</v>
      </c>
      <c r="FZ36" s="17">
        <f>'Form-Sb'!GD94</f>
        <v>0</v>
      </c>
      <c r="GA36" s="17">
        <f>'Form-Sb'!GE94</f>
        <v>0</v>
      </c>
      <c r="GB36" s="17">
        <f>'Form-Sb'!GF94</f>
        <v>0</v>
      </c>
      <c r="GC36" s="17">
        <f>'Form-Sb'!GG94</f>
        <v>0</v>
      </c>
      <c r="GD36" s="17">
        <f>'Form-Sb'!GH94</f>
        <v>0</v>
      </c>
      <c r="GE36" s="17">
        <f>'Form-Sb'!GI94</f>
        <v>0</v>
      </c>
      <c r="GF36" s="17">
        <f>'Form-Sb'!GJ94</f>
        <v>0</v>
      </c>
      <c r="GG36" s="17">
        <f>'Form-Sb'!GK94</f>
        <v>0</v>
      </c>
      <c r="GH36" s="17">
        <f>'Form-Sb'!GL94</f>
        <v>0</v>
      </c>
      <c r="GI36" s="17">
        <f>'Form-Sb'!GM94</f>
        <v>0</v>
      </c>
      <c r="GJ36" s="17">
        <f>'Form-Sb'!GN94</f>
        <v>0</v>
      </c>
      <c r="GK36" s="17">
        <f>'Form-Sb'!GO94</f>
        <v>0</v>
      </c>
      <c r="GL36" s="17">
        <f>'Form-Sb'!GP94</f>
        <v>0</v>
      </c>
      <c r="GM36" s="17">
        <f>'Form-Sb'!GQ94</f>
        <v>0</v>
      </c>
      <c r="GN36" s="17">
        <f>'Form-Sb'!GR94</f>
        <v>0</v>
      </c>
      <c r="GO36" s="17">
        <f>'Form-Sb'!GS94</f>
        <v>0</v>
      </c>
      <c r="GP36" s="17">
        <f>'Form-Sb'!GT94</f>
        <v>0</v>
      </c>
      <c r="GQ36" s="17">
        <f>'Form-Sb'!GU94</f>
        <v>0</v>
      </c>
      <c r="GR36" s="17">
        <f>'Form-Sb'!GV94</f>
        <v>0</v>
      </c>
      <c r="GS36" s="17">
        <f>'Form-Sb'!GW94</f>
        <v>0</v>
      </c>
      <c r="GT36" s="17">
        <f>'Form-Sb'!GX94</f>
        <v>0</v>
      </c>
      <c r="GU36" s="17">
        <f>'Form-Sb'!GY94</f>
        <v>0</v>
      </c>
      <c r="GV36" s="17">
        <f>'Form-Sb'!GZ94</f>
        <v>0</v>
      </c>
      <c r="GW36" s="17">
        <f>'Form-Sb'!HA94</f>
        <v>0</v>
      </c>
      <c r="GX36" s="17">
        <f>'Form-Sb'!HB94</f>
        <v>0</v>
      </c>
      <c r="GY36" s="17">
        <f>'Form-Sb'!HC94</f>
        <v>0</v>
      </c>
      <c r="GZ36" s="17">
        <f>'Form-Sb'!HD94</f>
        <v>0</v>
      </c>
      <c r="HA36" s="17">
        <f>'Form-Sb'!HE94</f>
        <v>0</v>
      </c>
      <c r="HB36" s="17">
        <f>'Form-Sb'!HF94</f>
        <v>0</v>
      </c>
      <c r="HC36" s="17">
        <f>'Form-Sb'!HG94</f>
        <v>0</v>
      </c>
      <c r="HD36" s="17">
        <f>'Form-Sb'!HH94</f>
        <v>0</v>
      </c>
      <c r="HE36" s="17">
        <f>'Form-Sb'!HI94</f>
        <v>0</v>
      </c>
      <c r="HF36" s="17">
        <f>'Form-Sb'!HJ94</f>
        <v>0</v>
      </c>
      <c r="HG36" s="17">
        <f>'Form-Sb'!HK94</f>
        <v>0</v>
      </c>
      <c r="HH36" s="17">
        <f>'Form-Sb'!HL94</f>
        <v>0</v>
      </c>
      <c r="HI36" s="17">
        <f>'Form-Sb'!HM94</f>
        <v>0</v>
      </c>
      <c r="HJ36" s="17">
        <f>'Form-Sb'!HN94</f>
        <v>0</v>
      </c>
      <c r="HK36" s="17">
        <f>'Form-Sb'!HO94</f>
        <v>0</v>
      </c>
      <c r="HL36" s="17">
        <f>'Form-Sb'!HP94</f>
        <v>0</v>
      </c>
      <c r="HM36" s="17">
        <f>'Form-Sb'!HQ94</f>
        <v>0</v>
      </c>
      <c r="HN36" s="17">
        <f>'Form-Sb'!HR94</f>
        <v>0</v>
      </c>
      <c r="HO36" s="17">
        <f>'Form-Sb'!HS94</f>
        <v>0</v>
      </c>
      <c r="HP36" s="17">
        <f>'Form-Sb'!HT94</f>
        <v>0</v>
      </c>
      <c r="HQ36" s="17">
        <f>'Form-Sb'!HU94</f>
        <v>0</v>
      </c>
      <c r="HR36" s="17">
        <f>'Form-Sb'!HV94</f>
        <v>0</v>
      </c>
      <c r="HS36" s="17">
        <f>'Form-Sb'!HW94</f>
        <v>0</v>
      </c>
      <c r="HT36" s="17">
        <f>'Form-Sb'!HX94</f>
        <v>0</v>
      </c>
      <c r="HU36" s="17">
        <f>'Form-Sb'!HY94</f>
        <v>0</v>
      </c>
      <c r="HV36" s="17">
        <f>'Form-Sb'!HZ94</f>
        <v>0</v>
      </c>
      <c r="HW36" s="17">
        <f>'Form-Sb'!IA94</f>
        <v>0</v>
      </c>
      <c r="HX36" s="17">
        <f>'Form-Sb'!IB94</f>
        <v>0</v>
      </c>
      <c r="HY36" s="17">
        <f>'Form-Sb'!IC94</f>
        <v>0</v>
      </c>
      <c r="HZ36" s="17">
        <f>'Form-Sb'!ID94</f>
        <v>0</v>
      </c>
      <c r="IA36" s="17">
        <f>'Form-Sb'!IE94</f>
        <v>0</v>
      </c>
      <c r="IB36" s="17">
        <f>'Form-Sb'!IF94</f>
        <v>0</v>
      </c>
      <c r="IC36" s="17">
        <f>'Form-Sb'!IG94</f>
        <v>0</v>
      </c>
      <c r="ID36" s="17">
        <f>'Form-Sb'!IH94</f>
        <v>0</v>
      </c>
      <c r="IE36" s="17">
        <f>'Form-Sb'!II94</f>
        <v>0</v>
      </c>
      <c r="IF36" s="17">
        <f>'Form-Sb'!IJ94</f>
        <v>0</v>
      </c>
      <c r="IG36" s="17">
        <f>'Form-Sb'!IK94</f>
        <v>0</v>
      </c>
      <c r="IH36" s="17">
        <f>'Form-Sb'!IL94</f>
        <v>0</v>
      </c>
      <c r="II36" s="17">
        <f>'Form-Sb'!IM94</f>
        <v>0</v>
      </c>
      <c r="IJ36" s="17">
        <f>'Form-Sb'!IN94</f>
        <v>0</v>
      </c>
      <c r="IK36" s="17">
        <f>'Form-Sb'!IO94</f>
        <v>0</v>
      </c>
      <c r="IL36" s="17">
        <f>'Form-Sb'!IP94</f>
        <v>0</v>
      </c>
      <c r="IM36" s="17">
        <f>'Form-Sb'!IQ94</f>
        <v>0</v>
      </c>
      <c r="IN36" s="17">
        <f>'Form-Sb'!IR94</f>
        <v>0</v>
      </c>
      <c r="IO36" s="17">
        <f>'Form-Sb'!IS94</f>
        <v>0</v>
      </c>
      <c r="IP36" s="17">
        <f>'Form-Sb'!IT94</f>
        <v>0</v>
      </c>
      <c r="IQ36" s="17">
        <f>'Form-Sb'!IU94</f>
        <v>0</v>
      </c>
      <c r="IR36" s="17">
        <f>'Form-Sb'!IV94</f>
        <v>0</v>
      </c>
      <c r="IS36" s="17">
        <f>'Form-Sb'!IW94</f>
        <v>0</v>
      </c>
      <c r="IT36" s="17">
        <f>'Form-Sb'!IX94</f>
        <v>0</v>
      </c>
      <c r="IU36" s="17">
        <f>'Form-Sb'!IY94</f>
        <v>0</v>
      </c>
      <c r="IV36" s="17">
        <f>'Form-Sb'!IZ94</f>
        <v>0</v>
      </c>
      <c r="IW36" s="17">
        <f>'Form-Sb'!JA94</f>
        <v>0</v>
      </c>
      <c r="IX36" s="17">
        <f>'Form-Sb'!JB94</f>
        <v>0</v>
      </c>
      <c r="IY36" s="17">
        <f>'Form-Sb'!JC94</f>
        <v>0</v>
      </c>
      <c r="IZ36" s="17">
        <f>'Form-Sb'!JD94</f>
        <v>0</v>
      </c>
      <c r="JA36" s="17">
        <f>'Form-Sb'!JE94</f>
        <v>0</v>
      </c>
      <c r="JB36" s="17">
        <f>'Form-Sb'!JF94</f>
        <v>0</v>
      </c>
      <c r="JC36" s="17">
        <f>'Form-Sb'!JG94</f>
        <v>0</v>
      </c>
      <c r="JD36" s="17">
        <f>'Form-Sb'!JH94</f>
        <v>0</v>
      </c>
      <c r="JE36" s="17">
        <f>'Form-Sb'!JI94</f>
        <v>0</v>
      </c>
      <c r="JF36" s="17">
        <f>'Form-Sb'!JJ94</f>
        <v>0</v>
      </c>
      <c r="JG36" s="17">
        <f>'Form-Sb'!JK94</f>
        <v>0</v>
      </c>
      <c r="JH36" s="17">
        <f>'Form-Sb'!JL94</f>
        <v>0</v>
      </c>
      <c r="JI36" s="17">
        <f>'Form-Sb'!JM94</f>
        <v>0</v>
      </c>
      <c r="JJ36" s="17">
        <f>'Form-Sb'!JN94</f>
        <v>0</v>
      </c>
      <c r="JK36" s="17">
        <f>'Form-Sb'!JO94</f>
        <v>0</v>
      </c>
      <c r="JL36" s="17">
        <f>'Form-Sb'!JP94</f>
        <v>0</v>
      </c>
      <c r="JM36" s="17">
        <f>'Form-Sb'!JQ94</f>
        <v>0</v>
      </c>
      <c r="JN36" s="17">
        <f>'Form-Sb'!JR94</f>
        <v>0</v>
      </c>
      <c r="JO36" s="17">
        <f>'Form-Sb'!JS94</f>
        <v>0</v>
      </c>
      <c r="JP36" s="17">
        <f>'Form-Sb'!JT94</f>
        <v>0</v>
      </c>
      <c r="JQ36" s="17">
        <f>'Form-Sb'!JU94</f>
        <v>0</v>
      </c>
      <c r="JR36" s="17">
        <f>'Form-Sb'!JV94</f>
        <v>0</v>
      </c>
      <c r="JS36" s="17">
        <f>'Form-Sb'!JW94</f>
        <v>0</v>
      </c>
      <c r="JT36" s="17">
        <f>'Form-Sb'!JX94</f>
        <v>0</v>
      </c>
      <c r="JU36" s="17">
        <f>'Form-Sb'!JY94</f>
        <v>0</v>
      </c>
      <c r="JV36" s="17">
        <f>'Form-Sb'!JZ94</f>
        <v>0</v>
      </c>
      <c r="JW36" s="17">
        <f>'Form-Sb'!KA94</f>
        <v>0</v>
      </c>
      <c r="JX36" s="17">
        <f>'Form-Sb'!KB94</f>
        <v>0</v>
      </c>
      <c r="JY36" s="17">
        <f>'Form-Sb'!KC94</f>
        <v>0</v>
      </c>
      <c r="JZ36" s="17">
        <f>'Form-Sb'!KD94</f>
        <v>0</v>
      </c>
      <c r="KA36" s="17">
        <f>'Form-Sb'!KE94</f>
        <v>0</v>
      </c>
      <c r="KB36" s="17">
        <f>'Form-Sb'!KF94</f>
        <v>0</v>
      </c>
      <c r="KC36" s="17">
        <f>'Form-Sb'!KG94</f>
        <v>0</v>
      </c>
      <c r="KD36" s="17">
        <f>'Form-Sb'!KH94</f>
        <v>0</v>
      </c>
      <c r="KE36" s="17">
        <f>'Form-Sb'!KI94</f>
        <v>0</v>
      </c>
      <c r="KF36" s="17">
        <f>'Form-Sb'!KJ94</f>
        <v>0</v>
      </c>
      <c r="KG36" s="17">
        <f>'Form-Sb'!KK94</f>
        <v>0</v>
      </c>
      <c r="KH36" s="17">
        <f>'Form-Sb'!KL94</f>
        <v>0</v>
      </c>
      <c r="KI36" s="17">
        <f>'Form-Sb'!KM94</f>
        <v>0</v>
      </c>
      <c r="KJ36" s="17">
        <f>'Form-Sb'!KN94</f>
        <v>0</v>
      </c>
      <c r="KK36" s="17">
        <f>'Form-Sb'!KO94</f>
        <v>0</v>
      </c>
      <c r="KL36" s="17">
        <f>'Form-Sb'!KP94</f>
        <v>0</v>
      </c>
      <c r="KM36" s="17">
        <f>'Form-Sb'!KQ94</f>
        <v>0</v>
      </c>
      <c r="KN36" s="17">
        <f>'Form-Sb'!KR94</f>
        <v>0</v>
      </c>
      <c r="KO36" s="17">
        <f>'Form-Sb'!KS94</f>
        <v>0</v>
      </c>
      <c r="KP36" s="17">
        <f>'Form-Sb'!KT94</f>
        <v>0</v>
      </c>
      <c r="KQ36" s="17">
        <f>'Form-Sb'!KU94</f>
        <v>0</v>
      </c>
      <c r="KR36" s="17">
        <f>'Form-Sb'!KV94</f>
        <v>0</v>
      </c>
      <c r="KS36" s="17">
        <f>'Form-Sb'!KW94</f>
        <v>0</v>
      </c>
      <c r="KT36" s="17">
        <f>'Form-Sb'!KX94</f>
        <v>0</v>
      </c>
      <c r="KU36" s="17">
        <f>'Form-Sb'!KY94</f>
        <v>0</v>
      </c>
      <c r="KV36" s="17">
        <f>'Form-Sb'!KZ94</f>
        <v>0</v>
      </c>
      <c r="KW36" s="17">
        <f>'Form-Sb'!LA94</f>
        <v>0</v>
      </c>
      <c r="KX36" s="17">
        <f>'Form-Sb'!LB94</f>
        <v>0</v>
      </c>
      <c r="KY36" s="17">
        <f>'Form-Sb'!LC94</f>
        <v>0</v>
      </c>
      <c r="KZ36" s="17">
        <f>'Form-Sb'!LD94</f>
        <v>0</v>
      </c>
      <c r="LA36" s="17">
        <f>'Form-Sb'!LE94</f>
        <v>0</v>
      </c>
      <c r="LB36" s="17">
        <f>'Form-Sb'!LF94</f>
        <v>0</v>
      </c>
      <c r="LC36" s="17">
        <f>'Form-Sb'!LG94</f>
        <v>0</v>
      </c>
      <c r="LD36" s="17">
        <f>'Form-Sb'!LH94</f>
        <v>0</v>
      </c>
      <c r="LE36" s="17">
        <f>'Form-Sb'!LI94</f>
        <v>0</v>
      </c>
      <c r="LF36" s="17">
        <f>'Form-Sb'!LJ94</f>
        <v>0</v>
      </c>
      <c r="LG36" s="17">
        <f>'Form-Sb'!LK94</f>
        <v>0</v>
      </c>
      <c r="LH36" s="17">
        <f>'Form-Sb'!LL94</f>
        <v>0</v>
      </c>
      <c r="LI36" s="17">
        <f>'Form-Sb'!LM94</f>
        <v>0</v>
      </c>
      <c r="LJ36" s="17">
        <f>'Form-Sb'!LN94</f>
        <v>0</v>
      </c>
      <c r="LK36" s="17">
        <f>'Form-Sb'!LO94</f>
        <v>0</v>
      </c>
      <c r="LL36" s="17">
        <f>'Form-Sb'!LP94</f>
        <v>0</v>
      </c>
      <c r="LM36" s="17">
        <f>'Form-Sb'!LQ94</f>
        <v>0</v>
      </c>
      <c r="LN36" s="17">
        <f>'Form-Sb'!LR94</f>
        <v>0</v>
      </c>
      <c r="LO36" s="17">
        <f>'Form-Sb'!LS94</f>
        <v>0</v>
      </c>
      <c r="LP36" s="17">
        <f>'Form-Sb'!LT94</f>
        <v>0</v>
      </c>
      <c r="LQ36" s="17">
        <f>'Form-Sb'!LU94</f>
        <v>0</v>
      </c>
      <c r="LR36" s="17">
        <f>'Form-Sb'!LV94</f>
        <v>0</v>
      </c>
      <c r="LS36" s="17">
        <f>'Form-Sb'!LW94</f>
        <v>0</v>
      </c>
      <c r="LT36" s="17">
        <f>'Form-Sb'!LX94</f>
        <v>0</v>
      </c>
      <c r="LU36" s="17">
        <f>'Form-Sb'!LY94</f>
        <v>0</v>
      </c>
      <c r="LV36" s="17">
        <f>'Form-Sb'!LZ94</f>
        <v>0</v>
      </c>
      <c r="LW36" s="17">
        <f>'Form-Sb'!MA94</f>
        <v>0</v>
      </c>
      <c r="LX36" s="17">
        <f>'Form-Sb'!MB94</f>
        <v>0</v>
      </c>
      <c r="LY36" s="17">
        <f>'Form-Sb'!MC94</f>
        <v>0</v>
      </c>
      <c r="LZ36" s="17">
        <f>'Form-Sb'!MD94</f>
        <v>0</v>
      </c>
      <c r="MA36" s="17">
        <f>'Form-Sb'!ME94</f>
        <v>0</v>
      </c>
      <c r="MB36" s="17">
        <f>'Form-Sb'!MF94</f>
        <v>0</v>
      </c>
      <c r="MC36" s="17">
        <f>'Form-Sb'!MG94</f>
        <v>0</v>
      </c>
      <c r="MD36" s="17">
        <f>'Form-Sb'!MH94</f>
        <v>0</v>
      </c>
      <c r="ME36" s="17">
        <f>'Form-Sb'!MI94</f>
        <v>0</v>
      </c>
      <c r="MF36" s="17">
        <f>'Form-Sb'!MJ94</f>
        <v>0</v>
      </c>
      <c r="MG36" s="17">
        <f>'Form-Sb'!MK94</f>
        <v>0</v>
      </c>
      <c r="MH36" s="17">
        <f>'Form-Sb'!ML94</f>
        <v>0</v>
      </c>
      <c r="MI36" s="17">
        <f>'Form-Sb'!MM94</f>
        <v>0</v>
      </c>
      <c r="MJ36" s="17">
        <f>'Form-Sb'!MN94</f>
        <v>0</v>
      </c>
      <c r="MK36" s="17">
        <f>'Form-Sb'!MO94</f>
        <v>0</v>
      </c>
      <c r="ML36" s="17">
        <f>'Form-Sb'!MP94</f>
        <v>0</v>
      </c>
      <c r="MM36" s="17">
        <f>'Form-Sb'!MQ94</f>
        <v>0</v>
      </c>
      <c r="MN36" s="17">
        <f>'Form-Sb'!MR94</f>
        <v>0</v>
      </c>
      <c r="MO36" s="17">
        <f>'Form-Sb'!MS94</f>
        <v>0</v>
      </c>
      <c r="MP36" s="17">
        <f>'Form-Sb'!MT94</f>
        <v>0</v>
      </c>
      <c r="MQ36" s="17">
        <f>'Form-Sb'!MU94</f>
        <v>0</v>
      </c>
      <c r="MR36" s="17">
        <f>'Form-Sb'!MV94</f>
        <v>0</v>
      </c>
      <c r="MS36" s="17">
        <f>'Form-Sb'!MW94</f>
        <v>0</v>
      </c>
      <c r="MT36" s="17">
        <f>'Form-Sb'!MX94</f>
        <v>0</v>
      </c>
      <c r="MU36" s="17">
        <f>'Form-Sb'!MY94</f>
        <v>0</v>
      </c>
      <c r="MV36" s="17">
        <f>'Form-Sb'!MZ94</f>
        <v>0</v>
      </c>
      <c r="MW36" s="17">
        <f>'Form-Sb'!NA94</f>
        <v>0</v>
      </c>
      <c r="MX36" s="17">
        <f>'Form-Sb'!NB94</f>
        <v>0</v>
      </c>
      <c r="MY36" s="17">
        <f>'Form-Sb'!NC94</f>
        <v>0</v>
      </c>
      <c r="MZ36" s="17">
        <f>'Form-Sb'!ND94</f>
        <v>0</v>
      </c>
      <c r="NA36" s="17">
        <f>'Form-Sb'!NE94</f>
        <v>0</v>
      </c>
      <c r="NB36" s="17">
        <f>'Form-Sb'!NF94</f>
        <v>0</v>
      </c>
      <c r="NC36" s="17">
        <f>'Form-Sb'!NG94</f>
        <v>0</v>
      </c>
      <c r="ND36" s="17">
        <f>'Form-Sb'!NH94</f>
        <v>0</v>
      </c>
      <c r="NE36" s="17">
        <f>'Form-Sb'!NI94</f>
        <v>0</v>
      </c>
      <c r="NF36" s="17">
        <f>'Form-Sb'!NJ94</f>
        <v>0</v>
      </c>
      <c r="NG36" s="17">
        <f>'Form-Sb'!NK94</f>
        <v>0</v>
      </c>
      <c r="NH36" s="17">
        <f>'Form-Sb'!NL94</f>
        <v>0</v>
      </c>
      <c r="NI36" s="17">
        <f>'Form-Sb'!NM94</f>
        <v>0</v>
      </c>
      <c r="NJ36" s="17">
        <f>'Form-Sb'!NN94</f>
        <v>0</v>
      </c>
      <c r="NK36" s="17">
        <f>'Form-Sb'!NO94</f>
        <v>0</v>
      </c>
      <c r="NL36" s="17">
        <f>'Form-Sb'!NP94</f>
        <v>0</v>
      </c>
      <c r="NM36" s="17">
        <f>'Form-Sb'!NQ94</f>
        <v>0</v>
      </c>
      <c r="NN36" s="17">
        <f>'Form-Sb'!NR94</f>
        <v>0</v>
      </c>
      <c r="NO36" s="17">
        <f>'Form-Sb'!NS94</f>
        <v>0</v>
      </c>
      <c r="NP36" s="17">
        <f>'Form-Sb'!NT94</f>
        <v>0</v>
      </c>
      <c r="NQ36" s="17">
        <f>'Form-Sb'!NU94</f>
        <v>0</v>
      </c>
      <c r="NR36" s="17">
        <f>'Form-Sb'!NV94</f>
        <v>0</v>
      </c>
      <c r="NS36" s="17">
        <f>'Form-Sb'!NW94</f>
        <v>0</v>
      </c>
      <c r="NT36" s="17">
        <f>'Form-Sb'!NX94</f>
        <v>0</v>
      </c>
      <c r="NU36" s="17">
        <f>'Form-Sb'!NY94</f>
        <v>0</v>
      </c>
      <c r="NV36" s="17">
        <f>'Form-Sb'!NZ94</f>
        <v>0</v>
      </c>
      <c r="NW36" s="17">
        <f>'Form-Sb'!OA94</f>
        <v>0</v>
      </c>
      <c r="NX36" s="17">
        <f>'Form-Sb'!OB94</f>
        <v>0</v>
      </c>
      <c r="NY36" s="17">
        <f>'Form-Sb'!OC94</f>
        <v>0</v>
      </c>
      <c r="NZ36" s="17">
        <f>'Form-Sb'!OD94</f>
        <v>0</v>
      </c>
      <c r="OA36" s="17">
        <f>'Form-Sb'!OE94</f>
        <v>0</v>
      </c>
      <c r="OB36" s="17">
        <f>'Form-Sb'!OF94</f>
        <v>0</v>
      </c>
      <c r="OC36" s="17">
        <f>'Form-Sb'!OG94</f>
        <v>0</v>
      </c>
      <c r="OD36" s="17">
        <f>'Form-Sb'!OH94</f>
        <v>0</v>
      </c>
      <c r="OE36" s="17">
        <f>'Form-Sb'!OI94</f>
        <v>0</v>
      </c>
      <c r="OF36" s="17">
        <f>'Form-Sb'!OJ94</f>
        <v>0</v>
      </c>
      <c r="OG36" s="17">
        <f>'Form-Sb'!OK94</f>
        <v>0</v>
      </c>
      <c r="OH36" s="17">
        <f>'Form-Sb'!OL94</f>
        <v>0</v>
      </c>
      <c r="OI36" s="17">
        <f>'Form-Sb'!OM94</f>
        <v>0</v>
      </c>
      <c r="OJ36" s="17">
        <f>'Form-Sb'!ON94</f>
        <v>0</v>
      </c>
      <c r="OK36" s="17">
        <f>'Form-Sb'!OO94</f>
        <v>0</v>
      </c>
      <c r="OL36" s="17">
        <f>'Form-Sb'!OP94</f>
        <v>0</v>
      </c>
      <c r="OM36" s="17">
        <f>'Form-Sb'!OQ94</f>
        <v>0</v>
      </c>
      <c r="ON36" s="17">
        <f>'Form-Sb'!OR94</f>
        <v>0</v>
      </c>
      <c r="OO36" s="17">
        <f>'Form-Sb'!OS94</f>
        <v>0</v>
      </c>
      <c r="OP36" s="17">
        <f>'Form-Sb'!OT94</f>
        <v>0</v>
      </c>
      <c r="OQ36" s="17">
        <f>'Form-Sb'!OU94</f>
        <v>0</v>
      </c>
      <c r="OR36" s="17">
        <f>'Form-Sb'!OV94</f>
        <v>0</v>
      </c>
      <c r="OS36" s="17">
        <f>'Form-Sb'!OW94</f>
        <v>0</v>
      </c>
      <c r="OT36" s="17">
        <f>'Form-Sb'!OX94</f>
        <v>0</v>
      </c>
      <c r="OU36" s="17">
        <f>'Form-Sb'!OY94</f>
        <v>0</v>
      </c>
      <c r="OV36" s="17">
        <f>'Form-Sb'!OZ94</f>
        <v>0</v>
      </c>
      <c r="OW36" s="17">
        <f>'Form-Sb'!PA94</f>
        <v>0</v>
      </c>
      <c r="OX36" s="17">
        <f>'Form-Sb'!PB94</f>
        <v>0</v>
      </c>
      <c r="OY36" s="17">
        <f>'Form-Sb'!PC94</f>
        <v>0</v>
      </c>
      <c r="OZ36" s="17">
        <f>'Form-Sb'!PD94</f>
        <v>0</v>
      </c>
      <c r="PA36" s="17">
        <f>'Form-Sb'!PE94</f>
        <v>0</v>
      </c>
      <c r="PB36" s="17">
        <f>'Form-Sb'!PF94</f>
        <v>0</v>
      </c>
      <c r="PC36" s="17">
        <f>'Form-Sb'!PG94</f>
        <v>0</v>
      </c>
      <c r="PD36" s="17">
        <f>'Form-Sb'!PH94</f>
        <v>0</v>
      </c>
      <c r="PE36" s="17">
        <f>'Form-Sb'!PI94</f>
        <v>0</v>
      </c>
      <c r="PF36" s="17">
        <f>'Form-Sb'!PJ94</f>
        <v>0</v>
      </c>
      <c r="PG36" s="17">
        <f>'Form-Sb'!PK94</f>
        <v>0</v>
      </c>
      <c r="PH36" s="17">
        <f>'Form-Sb'!PL94</f>
        <v>0</v>
      </c>
      <c r="PI36" s="17">
        <f>'Form-Sb'!PM94</f>
        <v>0</v>
      </c>
      <c r="PJ36" s="17">
        <f>'Form-Sb'!PN94</f>
        <v>0</v>
      </c>
      <c r="PK36" s="17">
        <f>'Form-Sb'!PO94</f>
        <v>0</v>
      </c>
      <c r="PL36" s="17">
        <f>'Form-Sb'!PP94</f>
        <v>0</v>
      </c>
      <c r="PM36" s="17">
        <f>'Form-Sb'!PQ94</f>
        <v>0</v>
      </c>
      <c r="PN36" s="17">
        <f>'Form-Sb'!PR94</f>
        <v>0</v>
      </c>
      <c r="PO36" s="17">
        <f>'Form-Sb'!PS94</f>
        <v>0</v>
      </c>
      <c r="PP36" s="17">
        <f>'Form-Sb'!PT94</f>
        <v>0</v>
      </c>
      <c r="PQ36" s="17">
        <f>'Form-Sb'!PU94</f>
        <v>0</v>
      </c>
      <c r="PR36" s="17">
        <f>'Form-Sb'!PV94</f>
        <v>0</v>
      </c>
      <c r="PS36" s="17">
        <f>'Form-Sb'!PW94</f>
        <v>0</v>
      </c>
      <c r="PT36" s="17">
        <f>'Form-Sb'!PX94</f>
        <v>0</v>
      </c>
      <c r="PU36" s="17">
        <f>'Form-Sb'!PY94</f>
        <v>0</v>
      </c>
      <c r="PV36" s="17">
        <f>'Form-Sb'!PZ94</f>
        <v>0</v>
      </c>
      <c r="PW36" s="17">
        <f>'Form-Sb'!QA94</f>
        <v>0</v>
      </c>
      <c r="PX36" s="17">
        <f>'Form-Sb'!QB94</f>
        <v>0</v>
      </c>
      <c r="PY36" s="17">
        <f>'Form-Sb'!QC94</f>
        <v>0</v>
      </c>
      <c r="PZ36" s="17">
        <f>'Form-Sb'!QD94</f>
        <v>0</v>
      </c>
      <c r="QA36" s="17">
        <f>'Form-Sb'!QE94</f>
        <v>0</v>
      </c>
      <c r="QB36" s="17">
        <f>'Form-Sb'!QF94</f>
        <v>0</v>
      </c>
      <c r="QC36" s="17">
        <f>'Form-Sb'!QG94</f>
        <v>0</v>
      </c>
      <c r="QD36" s="17">
        <f>'Form-Sb'!QH94</f>
        <v>0</v>
      </c>
      <c r="QE36" s="17">
        <f>'Form-Sb'!QI94</f>
        <v>0</v>
      </c>
      <c r="QF36" s="17">
        <f>'Form-Sb'!QJ94</f>
        <v>0</v>
      </c>
      <c r="QG36" s="17">
        <f>'Form-Sb'!QK94</f>
        <v>0</v>
      </c>
      <c r="QH36" s="17">
        <f>'Form-Sb'!QL94</f>
        <v>0</v>
      </c>
      <c r="QI36" s="17">
        <f>'Form-Sb'!QM94</f>
        <v>0</v>
      </c>
      <c r="QJ36" s="17">
        <f>'Form-Sb'!QN94</f>
        <v>0</v>
      </c>
      <c r="QK36" s="17">
        <f>'Form-Sb'!QO94</f>
        <v>0</v>
      </c>
      <c r="QL36" s="17">
        <f>'Form-Sb'!QP94</f>
        <v>0</v>
      </c>
      <c r="QM36" s="17">
        <f>'Form-Sb'!QQ94</f>
        <v>0</v>
      </c>
      <c r="QN36" s="17">
        <f>'Form-Sb'!QR94</f>
        <v>0</v>
      </c>
      <c r="QO36" s="17">
        <f>'Form-Sb'!QS94</f>
        <v>0</v>
      </c>
      <c r="QP36" s="17">
        <f>'Form-Sb'!QT94</f>
        <v>0</v>
      </c>
      <c r="QQ36" s="17">
        <f>'Form-Sb'!QU94</f>
        <v>0</v>
      </c>
      <c r="QR36" s="17">
        <f>'Form-Sb'!QV94</f>
        <v>0</v>
      </c>
      <c r="QS36" s="17">
        <f>'Form-Sb'!QW94</f>
        <v>0</v>
      </c>
      <c r="QT36" s="17">
        <f>'Form-Sb'!QX94</f>
        <v>0</v>
      </c>
      <c r="QU36" s="17">
        <f>'Form-Sb'!QY94</f>
        <v>0</v>
      </c>
      <c r="QV36" s="17">
        <f>'Form-Sb'!QZ94</f>
        <v>0</v>
      </c>
      <c r="QW36" s="17">
        <f>'Form-Sb'!RA94</f>
        <v>0</v>
      </c>
      <c r="QX36" s="17">
        <f>'Form-Sb'!RB94</f>
        <v>0</v>
      </c>
      <c r="QY36" s="17">
        <f>'Form-Sb'!RC94</f>
        <v>0</v>
      </c>
      <c r="QZ36" s="17">
        <f>'Form-Sb'!RD94</f>
        <v>0</v>
      </c>
      <c r="RA36" s="17">
        <f>'Form-Sb'!RE94</f>
        <v>0</v>
      </c>
      <c r="RB36" s="17">
        <f>'Form-Sb'!RF94</f>
        <v>0</v>
      </c>
      <c r="RC36" s="17">
        <f>'Form-Sb'!RG94</f>
        <v>0</v>
      </c>
      <c r="RD36" s="17">
        <f>'Form-Sb'!RH94</f>
        <v>0</v>
      </c>
      <c r="RE36" s="17">
        <f>'Form-Sb'!RI94</f>
        <v>0</v>
      </c>
      <c r="RF36" s="17">
        <f>'Form-Sb'!RJ94</f>
        <v>0</v>
      </c>
      <c r="RG36" s="17">
        <f>'Form-Sb'!RK94</f>
        <v>0</v>
      </c>
      <c r="RH36" s="17">
        <f>'Form-Sb'!RL94</f>
        <v>0</v>
      </c>
      <c r="RI36" s="17">
        <f>'Form-Sb'!RM94</f>
        <v>0</v>
      </c>
      <c r="RJ36" s="17">
        <f>'Form-Sb'!RN94</f>
        <v>0</v>
      </c>
      <c r="RK36" s="17">
        <f>'Form-Sb'!RO94</f>
        <v>0</v>
      </c>
      <c r="RL36" s="17">
        <f>'Form-Sb'!RP94</f>
        <v>0</v>
      </c>
      <c r="RM36" s="17">
        <f>'Form-Sb'!RQ94</f>
        <v>0</v>
      </c>
      <c r="RN36" s="17">
        <f>'Form-Sb'!RR94</f>
        <v>0</v>
      </c>
      <c r="RO36" s="17">
        <f>'Form-Sb'!RS94</f>
        <v>0</v>
      </c>
      <c r="RP36" s="17">
        <f>'Form-Sb'!RT94</f>
        <v>0</v>
      </c>
      <c r="RQ36" s="17">
        <f>'Form-Sb'!RU94</f>
        <v>0</v>
      </c>
      <c r="RR36" s="17">
        <f>'Form-Sb'!RV94</f>
        <v>0</v>
      </c>
      <c r="RS36" s="17">
        <f>'Form-Sb'!RW94</f>
        <v>0</v>
      </c>
      <c r="RT36" s="17">
        <f>'Form-Sb'!RX94</f>
        <v>0</v>
      </c>
      <c r="RU36" s="17">
        <f>'Form-Sb'!RY94</f>
        <v>0</v>
      </c>
      <c r="RV36" s="17">
        <f>'Form-Sb'!RZ94</f>
        <v>0</v>
      </c>
      <c r="RW36" s="17">
        <f>'Form-Sb'!SA94</f>
        <v>0</v>
      </c>
      <c r="RX36" s="17">
        <f>'Form-Sb'!SB94</f>
        <v>0</v>
      </c>
      <c r="RY36" s="17">
        <f>'Form-Sb'!SC94</f>
        <v>0</v>
      </c>
      <c r="RZ36" s="17">
        <f>'Form-Sb'!SD94</f>
        <v>0</v>
      </c>
      <c r="SA36" s="17">
        <f>'Form-Sb'!SE94</f>
        <v>0</v>
      </c>
      <c r="SB36" s="17">
        <f>'Form-Sb'!SF94</f>
        <v>0</v>
      </c>
      <c r="SC36" s="17">
        <f>'Form-Sb'!SG94</f>
        <v>0</v>
      </c>
      <c r="SD36" s="17">
        <f>'Form-Sb'!SH94</f>
        <v>0</v>
      </c>
      <c r="SE36" s="17">
        <f>'Form-Sb'!SI94</f>
        <v>0</v>
      </c>
      <c r="SF36" s="17">
        <f>'Form-Sb'!SJ94</f>
        <v>0</v>
      </c>
      <c r="SG36" s="17">
        <f>'Form-Sb'!SK94</f>
        <v>0</v>
      </c>
      <c r="SH36" s="17">
        <f>'Form-Sb'!SL94</f>
        <v>0</v>
      </c>
      <c r="SI36" s="17">
        <f>'Form-Sb'!SM94</f>
        <v>0</v>
      </c>
      <c r="SJ36" s="17">
        <f>'Form-Sb'!SN94</f>
        <v>0</v>
      </c>
      <c r="SK36" s="17">
        <f>'Form-Sb'!SO94</f>
        <v>0</v>
      </c>
      <c r="SL36" s="17">
        <f>'Form-Sb'!SP94</f>
        <v>0</v>
      </c>
      <c r="SM36" s="17">
        <f>'Form-Sb'!SQ94</f>
        <v>0</v>
      </c>
      <c r="SN36" s="17">
        <f>'Form-Sb'!SR94</f>
        <v>0</v>
      </c>
      <c r="SO36" s="17">
        <f>'Form-Sb'!SS94</f>
        <v>0</v>
      </c>
      <c r="SP36" s="17">
        <f>'Form-Sb'!ST94</f>
        <v>0</v>
      </c>
      <c r="SQ36" s="17">
        <f>'Form-Sb'!SU94</f>
        <v>0</v>
      </c>
      <c r="SR36" s="17">
        <f>'Form-Sb'!SV94</f>
        <v>0</v>
      </c>
      <c r="SS36" s="17">
        <f>'Form-Sb'!SW94</f>
        <v>0</v>
      </c>
      <c r="ST36" s="17">
        <f>'Form-Sb'!SX94</f>
        <v>0</v>
      </c>
      <c r="SU36" s="17">
        <f>'Form-Sb'!SY94</f>
        <v>0</v>
      </c>
      <c r="SV36" s="17">
        <f>'Form-Sb'!SZ94</f>
        <v>0</v>
      </c>
      <c r="SW36" s="17">
        <f>'Form-Sb'!TA94</f>
        <v>0</v>
      </c>
      <c r="SX36" s="17">
        <f>'Form-Sb'!TB94</f>
        <v>0</v>
      </c>
      <c r="SY36" s="17">
        <f>'Form-Sb'!TC94</f>
        <v>0</v>
      </c>
      <c r="SZ36" s="17">
        <f>'Form-Sb'!TD94</f>
        <v>0</v>
      </c>
      <c r="TA36" s="17">
        <f>'Form-Sb'!TE94</f>
        <v>0</v>
      </c>
      <c r="TB36" s="17">
        <f>'Form-Sb'!TF94</f>
        <v>0</v>
      </c>
      <c r="TC36" s="17">
        <f>'Form-Sb'!TG94</f>
        <v>0</v>
      </c>
      <c r="TD36" s="17">
        <f>'Form-Sb'!TH94</f>
        <v>0</v>
      </c>
      <c r="TE36" s="17">
        <f>'Form-Sb'!TI94</f>
        <v>0</v>
      </c>
      <c r="TF36" s="17">
        <f>'Form-Sb'!TJ94</f>
        <v>0</v>
      </c>
      <c r="TG36" s="17">
        <f>'Form-Sb'!TK94</f>
        <v>0</v>
      </c>
      <c r="TH36" s="17">
        <f>'Form-Sb'!TL94</f>
        <v>0</v>
      </c>
      <c r="TI36" s="17">
        <f>'Form-Sb'!TM94</f>
        <v>0</v>
      </c>
      <c r="TJ36" s="17">
        <f>'Form-Sb'!TN94</f>
        <v>0</v>
      </c>
      <c r="TK36" s="17">
        <f>'Form-Sb'!TO94</f>
        <v>0</v>
      </c>
      <c r="TL36" s="17">
        <f>'Form-Sb'!TP94</f>
        <v>0</v>
      </c>
      <c r="TM36" s="17">
        <f>'Form-Sb'!TQ94</f>
        <v>0</v>
      </c>
      <c r="TN36" s="17">
        <f>'Form-Sb'!TR94</f>
        <v>0</v>
      </c>
      <c r="TO36" s="17">
        <f>'Form-Sb'!TS94</f>
        <v>0</v>
      </c>
      <c r="TP36" s="17">
        <f>'Form-Sb'!TT94</f>
        <v>0</v>
      </c>
      <c r="TQ36" s="17">
        <f>'Form-Sb'!TU94</f>
        <v>0</v>
      </c>
      <c r="TR36" s="17">
        <f>'Form-Sb'!TV94</f>
        <v>0</v>
      </c>
      <c r="TS36" s="17">
        <f>'Form-Sb'!TW94</f>
        <v>0</v>
      </c>
      <c r="TT36" s="17">
        <f>'Form-Sb'!TX94</f>
        <v>0</v>
      </c>
      <c r="TU36" s="17">
        <f>'Form-Sb'!TY94</f>
        <v>0</v>
      </c>
      <c r="TV36" s="17">
        <f>'Form-Sb'!TZ94</f>
        <v>0</v>
      </c>
      <c r="TW36" s="17">
        <f>'Form-Sb'!UA94</f>
        <v>0</v>
      </c>
      <c r="TX36" s="17">
        <f>'Form-Sb'!UB94</f>
        <v>0</v>
      </c>
      <c r="TY36" s="17">
        <f>'Form-Sb'!UC94</f>
        <v>0</v>
      </c>
      <c r="TZ36" s="17">
        <f>'Form-Sb'!UD94</f>
        <v>0</v>
      </c>
      <c r="UA36" s="17">
        <f>'Form-Sb'!UE94</f>
        <v>0</v>
      </c>
      <c r="UB36" s="17">
        <f>'Form-Sb'!UF94</f>
        <v>0</v>
      </c>
      <c r="UC36" s="17">
        <f>'Form-Sb'!UG94</f>
        <v>0</v>
      </c>
      <c r="UD36" s="17">
        <f>'Form-Sb'!UH94</f>
        <v>0</v>
      </c>
      <c r="UE36" s="17">
        <f>'Form-Sb'!UI94</f>
        <v>0</v>
      </c>
      <c r="UF36" s="17">
        <f>'Form-Sb'!UJ94</f>
        <v>0</v>
      </c>
      <c r="UG36" s="17">
        <f>'Form-Sb'!UK94</f>
        <v>0</v>
      </c>
      <c r="UH36" s="17">
        <f>'Form-Sb'!UL94</f>
        <v>0</v>
      </c>
      <c r="UI36" s="17">
        <f>'Form-Sb'!UM94</f>
        <v>0</v>
      </c>
      <c r="UJ36" s="17">
        <f>'Form-Sb'!UN94</f>
        <v>0</v>
      </c>
      <c r="UK36" s="17">
        <f>'Form-Sb'!UO94</f>
        <v>0</v>
      </c>
      <c r="UL36" s="17">
        <f>'Form-Sb'!UP94</f>
        <v>0</v>
      </c>
      <c r="UM36" s="17">
        <f>'Form-Sb'!UQ94</f>
        <v>0</v>
      </c>
      <c r="UN36" s="17">
        <f>'Form-Sb'!UR94</f>
        <v>0</v>
      </c>
      <c r="UO36" s="17">
        <f>'Form-Sb'!US94</f>
        <v>0</v>
      </c>
      <c r="UP36" s="17">
        <f>'Form-Sb'!UT94</f>
        <v>0</v>
      </c>
      <c r="UQ36" s="17">
        <f>'Form-Sb'!UU94</f>
        <v>0</v>
      </c>
      <c r="UR36" s="17">
        <f>'Form-Sb'!UV94</f>
        <v>0</v>
      </c>
      <c r="US36" s="17">
        <f>'Form-Sb'!UW94</f>
        <v>0</v>
      </c>
      <c r="UT36" s="17">
        <f>'Form-Sb'!UX94</f>
        <v>0</v>
      </c>
      <c r="UU36" s="17">
        <f>'Form-Sb'!UY94</f>
        <v>0</v>
      </c>
      <c r="UV36" s="17">
        <f>'Form-Sb'!UZ94</f>
        <v>0</v>
      </c>
      <c r="UW36" s="17">
        <f>'Form-Sb'!VA94</f>
        <v>0</v>
      </c>
      <c r="UX36" s="17">
        <f>'Form-Sb'!VB94</f>
        <v>0</v>
      </c>
      <c r="UY36" s="17">
        <f>'Form-Sb'!VC94</f>
        <v>0</v>
      </c>
      <c r="UZ36" s="17">
        <f>'Form-Sb'!VD94</f>
        <v>0</v>
      </c>
      <c r="VA36" s="17">
        <f>'Form-Sb'!VE94</f>
        <v>0</v>
      </c>
      <c r="VB36" s="17">
        <f>'Form-Sb'!VF94</f>
        <v>0</v>
      </c>
      <c r="VC36" s="17">
        <f>'Form-Sb'!VG94</f>
        <v>0</v>
      </c>
      <c r="VD36" s="17">
        <f>'Form-Sb'!VH94</f>
        <v>0</v>
      </c>
      <c r="VE36" s="17">
        <f>'Form-Sb'!VI94</f>
        <v>0</v>
      </c>
      <c r="VF36" s="17">
        <f>'Form-Sb'!VJ94</f>
        <v>0</v>
      </c>
      <c r="VG36" s="17">
        <f>'Form-Sb'!VK94</f>
        <v>0</v>
      </c>
      <c r="VH36" s="17">
        <f>'Form-Sb'!VL94</f>
        <v>0</v>
      </c>
      <c r="VI36" s="17">
        <f>'Form-Sb'!VM94</f>
        <v>0</v>
      </c>
      <c r="VJ36" s="17">
        <f>'Form-Sb'!VN94</f>
        <v>0</v>
      </c>
      <c r="VK36" s="17">
        <f>'Form-Sb'!VO94</f>
        <v>0</v>
      </c>
      <c r="VL36" s="17">
        <f>'Form-Sb'!VP94</f>
        <v>0</v>
      </c>
      <c r="VM36" s="17">
        <f>'Form-Sb'!VQ94</f>
        <v>0</v>
      </c>
      <c r="VN36" s="17">
        <f>'Form-Sb'!VR94</f>
        <v>0</v>
      </c>
      <c r="VO36" s="17">
        <f>'Form-Sb'!VS94</f>
        <v>0</v>
      </c>
      <c r="VP36" s="17">
        <f>'Form-Sb'!VT94</f>
        <v>0</v>
      </c>
      <c r="VQ36" s="17">
        <f>'Form-Sb'!VU94</f>
        <v>0</v>
      </c>
      <c r="VR36" s="17">
        <f>'Form-Sb'!VV94</f>
        <v>0</v>
      </c>
      <c r="VS36" s="17">
        <f>'Form-Sb'!VW94</f>
        <v>0</v>
      </c>
      <c r="VT36" s="17">
        <f>'Form-Sb'!VX94</f>
        <v>0</v>
      </c>
      <c r="VU36" s="17">
        <f>'Form-Sb'!VY94</f>
        <v>0</v>
      </c>
      <c r="VV36" s="17">
        <f>'Form-Sb'!VZ94</f>
        <v>0</v>
      </c>
      <c r="VW36" s="17">
        <f>'Form-Sb'!WA94</f>
        <v>0</v>
      </c>
      <c r="VX36" s="17">
        <f>'Form-Sb'!WB94</f>
        <v>0</v>
      </c>
      <c r="VY36" s="17">
        <f>'Form-Sb'!WC94</f>
        <v>0</v>
      </c>
      <c r="VZ36" s="17">
        <f>'Form-Sb'!WD94</f>
        <v>0</v>
      </c>
      <c r="WA36" s="17">
        <f>'Form-Sb'!WE94</f>
        <v>0</v>
      </c>
      <c r="WB36" s="17">
        <f>'Form-Sb'!WF94</f>
        <v>0</v>
      </c>
      <c r="WC36" s="17">
        <f>'Form-Sb'!WG94</f>
        <v>0</v>
      </c>
      <c r="WD36" s="17">
        <f>'Form-Sb'!WH94</f>
        <v>0</v>
      </c>
      <c r="WE36" s="17">
        <f>'Form-Sb'!WI94</f>
        <v>0</v>
      </c>
      <c r="WF36" s="17">
        <f>'Form-Sb'!WJ94</f>
        <v>0</v>
      </c>
      <c r="WG36" s="17">
        <f>'Form-Sb'!WK94</f>
        <v>0</v>
      </c>
      <c r="WH36" s="17">
        <f>'Form-Sb'!WL94</f>
        <v>0</v>
      </c>
      <c r="WI36" s="17">
        <f>'Form-Sb'!WM94</f>
        <v>0</v>
      </c>
      <c r="WJ36" s="17">
        <f>'Form-Sb'!WN94</f>
        <v>0</v>
      </c>
      <c r="WK36" s="17">
        <f>'Form-Sb'!WO94</f>
        <v>0</v>
      </c>
      <c r="WL36" s="17">
        <f>'Form-Sb'!WP94</f>
        <v>0</v>
      </c>
      <c r="WM36" s="17">
        <f>'Form-Sb'!WQ94</f>
        <v>0</v>
      </c>
      <c r="WN36" s="17">
        <f>'Form-Sb'!WR94</f>
        <v>0</v>
      </c>
      <c r="WO36" s="17">
        <f>'Form-Sb'!WS94</f>
        <v>0</v>
      </c>
      <c r="WP36" s="17">
        <f>'Form-Sb'!WT94</f>
        <v>0</v>
      </c>
      <c r="WQ36" s="17">
        <f>'Form-Sb'!WU94</f>
        <v>0</v>
      </c>
      <c r="WR36" s="17">
        <f>'Form-Sb'!WV94</f>
        <v>0</v>
      </c>
      <c r="WS36" s="17">
        <f>'Form-Sb'!WW94</f>
        <v>0</v>
      </c>
      <c r="WT36" s="17">
        <f>'Form-Sb'!WX94</f>
        <v>0</v>
      </c>
      <c r="WU36" s="17">
        <f>'Form-Sb'!WY94</f>
        <v>0</v>
      </c>
      <c r="WV36" s="17">
        <f>'Form-Sb'!WZ94</f>
        <v>0</v>
      </c>
      <c r="WW36" s="17">
        <f>'Form-Sb'!XA94</f>
        <v>0</v>
      </c>
      <c r="WX36" s="17">
        <f>'Form-Sb'!XB94</f>
        <v>0</v>
      </c>
      <c r="WY36" s="17">
        <f>'Form-Sb'!XC94</f>
        <v>0</v>
      </c>
      <c r="WZ36" s="17">
        <f>'Form-Sb'!XD94</f>
        <v>0</v>
      </c>
      <c r="XA36" s="17">
        <f>'Form-Sb'!XE94</f>
        <v>0</v>
      </c>
      <c r="XB36" s="17">
        <f>'Form-Sb'!XF94</f>
        <v>0</v>
      </c>
      <c r="XC36" s="17">
        <f>'Form-Sb'!XG94</f>
        <v>0</v>
      </c>
      <c r="XD36" s="17">
        <f>'Form-Sb'!XH94</f>
        <v>0</v>
      </c>
      <c r="XE36" s="17">
        <f>'Form-Sb'!XI94</f>
        <v>0</v>
      </c>
      <c r="XF36" s="17">
        <f>'Form-Sb'!XJ94</f>
        <v>0</v>
      </c>
      <c r="XG36" s="17">
        <f>'Form-Sb'!XK94</f>
        <v>0</v>
      </c>
      <c r="XH36" s="17">
        <f>'Form-Sb'!XL94</f>
        <v>0</v>
      </c>
      <c r="XI36" s="17">
        <f>'Form-Sb'!XM94</f>
        <v>0</v>
      </c>
      <c r="XJ36" s="17">
        <f>'Form-Sb'!XN94</f>
        <v>0</v>
      </c>
      <c r="XK36" s="17">
        <f>'Form-Sb'!XO94</f>
        <v>0</v>
      </c>
      <c r="XL36" s="17">
        <f>'Form-Sb'!XP94</f>
        <v>0</v>
      </c>
      <c r="XM36" s="17">
        <f>'Form-Sb'!XQ94</f>
        <v>0</v>
      </c>
      <c r="XN36" s="17">
        <f>'Form-Sb'!XR94</f>
        <v>0</v>
      </c>
      <c r="XO36" s="17">
        <f>'Form-Sb'!XS94</f>
        <v>0</v>
      </c>
      <c r="XP36" s="17">
        <f>'Form-Sb'!XT94</f>
        <v>0</v>
      </c>
      <c r="XQ36" s="17">
        <f>'Form-Sb'!XU94</f>
        <v>0</v>
      </c>
      <c r="XR36" s="17">
        <f>'Form-Sb'!XV94</f>
        <v>0</v>
      </c>
      <c r="XS36" s="17">
        <f>'Form-Sb'!XW94</f>
        <v>0</v>
      </c>
      <c r="XT36" s="17">
        <f>'Form-Sb'!XX94</f>
        <v>0</v>
      </c>
      <c r="XU36" s="17">
        <f>'Form-Sb'!XY94</f>
        <v>0</v>
      </c>
      <c r="XV36" s="17">
        <f>'Form-Sb'!XZ94</f>
        <v>0</v>
      </c>
      <c r="XW36" s="17">
        <f>'Form-Sb'!YA94</f>
        <v>0</v>
      </c>
      <c r="XX36" s="17">
        <f>'Form-Sb'!YB94</f>
        <v>0</v>
      </c>
      <c r="XY36" s="17">
        <f>'Form-Sb'!YC94</f>
        <v>0</v>
      </c>
      <c r="XZ36" s="17">
        <f>'Form-Sb'!YD94</f>
        <v>0</v>
      </c>
      <c r="YA36" s="17">
        <f>'Form-Sb'!YE94</f>
        <v>0</v>
      </c>
      <c r="YB36" s="17">
        <f>'Form-Sb'!YF94</f>
        <v>0</v>
      </c>
      <c r="YC36" s="17">
        <f>'Form-Sb'!YG94</f>
        <v>0</v>
      </c>
      <c r="YD36" s="17">
        <f>'Form-Sb'!YH94</f>
        <v>0</v>
      </c>
      <c r="YE36" s="17">
        <f>'Form-Sb'!YI94</f>
        <v>0</v>
      </c>
      <c r="YF36" s="17">
        <f>'Form-Sb'!YJ94</f>
        <v>0</v>
      </c>
      <c r="YG36" s="17">
        <f>'Form-Sb'!YK94</f>
        <v>0</v>
      </c>
      <c r="YH36" s="17">
        <f>'Form-Sb'!YL94</f>
        <v>0</v>
      </c>
      <c r="YI36" s="17">
        <f>'Form-Sb'!YM94</f>
        <v>0</v>
      </c>
      <c r="YJ36" s="17">
        <f>'Form-Sb'!YN94</f>
        <v>0</v>
      </c>
      <c r="YK36" s="17">
        <f>'Form-Sb'!YO94</f>
        <v>0</v>
      </c>
      <c r="YL36" s="17">
        <f>'Form-Sb'!YP94</f>
        <v>0</v>
      </c>
      <c r="YM36" s="17">
        <f>'Form-Sb'!YQ94</f>
        <v>0</v>
      </c>
      <c r="YN36" s="17">
        <f>'Form-Sb'!YR94</f>
        <v>0</v>
      </c>
      <c r="YO36" s="17">
        <f>'Form-Sb'!YS94</f>
        <v>0</v>
      </c>
      <c r="YP36" s="17">
        <f>'Form-Sb'!YT94</f>
        <v>0</v>
      </c>
      <c r="YQ36" s="17">
        <f>'Form-Sb'!YU94</f>
        <v>0</v>
      </c>
      <c r="YR36" s="17">
        <f>'Form-Sb'!YV94</f>
        <v>0</v>
      </c>
      <c r="YS36" s="17">
        <f>'Form-Sb'!YW94</f>
        <v>0</v>
      </c>
      <c r="YT36" s="17">
        <f>'Form-Sb'!YX94</f>
        <v>0</v>
      </c>
      <c r="YU36" s="17">
        <f>'Form-Sb'!YY94</f>
        <v>0</v>
      </c>
      <c r="YV36" s="17">
        <f>'Form-Sb'!YZ94</f>
        <v>0</v>
      </c>
      <c r="YW36" s="17">
        <f>'Form-Sb'!ZA94</f>
        <v>0</v>
      </c>
      <c r="YX36" s="17">
        <f>'Form-Sb'!ZB94</f>
        <v>0</v>
      </c>
      <c r="YY36" s="17">
        <f>'Form-Sb'!ZC94</f>
        <v>0</v>
      </c>
      <c r="YZ36" s="17">
        <f>'Form-Sb'!ZD94</f>
        <v>0</v>
      </c>
      <c r="ZA36" s="17">
        <f>'Form-Sb'!ZE94</f>
        <v>0</v>
      </c>
      <c r="ZB36" s="17">
        <f>'Form-Sb'!ZF94</f>
        <v>0</v>
      </c>
      <c r="ZC36" s="17">
        <f>'Form-Sb'!ZG94</f>
        <v>0</v>
      </c>
      <c r="ZD36" s="17">
        <f>'Form-Sb'!ZH94</f>
        <v>0</v>
      </c>
      <c r="ZE36" s="17">
        <f>'Form-Sb'!ZI94</f>
        <v>0</v>
      </c>
      <c r="ZF36" s="17">
        <f>'Form-Sb'!ZJ94</f>
        <v>0</v>
      </c>
      <c r="ZG36" s="17">
        <f>'Form-Sb'!ZK94</f>
        <v>0</v>
      </c>
      <c r="ZH36" s="17">
        <f>'Form-Sb'!ZL94</f>
        <v>0</v>
      </c>
      <c r="ZI36" s="17">
        <f>'Form-Sb'!ZM94</f>
        <v>0</v>
      </c>
      <c r="ZJ36" s="17">
        <f>'Form-Sb'!ZN94</f>
        <v>0</v>
      </c>
      <c r="ZK36" s="17">
        <f>'Form-Sb'!ZO94</f>
        <v>0</v>
      </c>
      <c r="ZL36" s="17">
        <f>'Form-Sb'!ZP94</f>
        <v>0</v>
      </c>
      <c r="ZM36" s="17">
        <f>'Form-Sb'!ZQ94</f>
        <v>0</v>
      </c>
      <c r="ZN36" s="17">
        <f>'Form-Sb'!ZR94</f>
        <v>0</v>
      </c>
      <c r="ZO36" s="17">
        <f>'Form-Sb'!ZS94</f>
        <v>0</v>
      </c>
      <c r="ZP36" s="17">
        <f>'Form-Sb'!ZT94</f>
        <v>0</v>
      </c>
      <c r="ZQ36" s="17">
        <f>'Form-Sb'!ZU94</f>
        <v>0</v>
      </c>
      <c r="ZR36" s="17">
        <f>'Form-Sb'!ZV94</f>
        <v>0</v>
      </c>
      <c r="ZS36" s="17">
        <f>'Form-Sb'!ZW94</f>
        <v>0</v>
      </c>
      <c r="ZT36" s="17">
        <f>'Form-Sb'!ZX94</f>
        <v>0</v>
      </c>
      <c r="ZU36" s="17">
        <f>'Form-Sb'!ZY94</f>
        <v>0</v>
      </c>
      <c r="ZV36" s="17">
        <f>'Form-Sb'!ZZ94</f>
        <v>0</v>
      </c>
      <c r="ZW36" s="17">
        <f>'Form-Sb'!AAA94</f>
        <v>0</v>
      </c>
      <c r="ZX36" s="17">
        <f>'Form-Sb'!AAB94</f>
        <v>0</v>
      </c>
      <c r="ZY36" s="17">
        <f>'Form-Sb'!AAC94</f>
        <v>0</v>
      </c>
      <c r="ZZ36" s="17">
        <f>'Form-Sb'!AAD94</f>
        <v>0</v>
      </c>
      <c r="AAA36" s="17">
        <f>'Form-Sb'!AAE94</f>
        <v>0</v>
      </c>
      <c r="AAB36" s="17">
        <f>'Form-Sb'!AAF94</f>
        <v>0</v>
      </c>
      <c r="AAC36" s="17">
        <f>'Form-Sb'!AAG94</f>
        <v>0</v>
      </c>
      <c r="AAD36" s="17">
        <f>'Form-Sb'!AAH94</f>
        <v>0</v>
      </c>
      <c r="AAE36" s="17">
        <f>'Form-Sb'!AAI94</f>
        <v>0</v>
      </c>
      <c r="AAF36" s="17">
        <f>'Form-Sb'!AAJ94</f>
        <v>0</v>
      </c>
      <c r="AAG36" s="17">
        <f>'Form-Sb'!AAK94</f>
        <v>0</v>
      </c>
      <c r="AAH36" s="17">
        <f>'Form-Sb'!AAL94</f>
        <v>0</v>
      </c>
      <c r="AAI36" s="17">
        <f>'Form-Sb'!AAM94</f>
        <v>0</v>
      </c>
      <c r="AAJ36" s="17">
        <f>'Form-Sb'!AAN94</f>
        <v>0</v>
      </c>
      <c r="AAK36" s="17">
        <f>'Form-Sb'!AAO94</f>
        <v>0</v>
      </c>
      <c r="AAL36" s="17">
        <f>'Form-Sb'!AAP94</f>
        <v>0</v>
      </c>
      <c r="AAM36" s="17">
        <f>'Form-Sb'!AAQ94</f>
        <v>0</v>
      </c>
      <c r="AAN36" s="17">
        <f>'Form-Sb'!AAR94</f>
        <v>0</v>
      </c>
      <c r="AAO36" s="17">
        <f>'Form-Sb'!AAS94</f>
        <v>0</v>
      </c>
      <c r="AAP36" s="17">
        <f>'Form-Sb'!AAT94</f>
        <v>0</v>
      </c>
      <c r="AAQ36" s="17">
        <f>'Form-Sb'!AAU94</f>
        <v>0</v>
      </c>
      <c r="AAR36" s="17">
        <f>'Form-Sb'!AAV94</f>
        <v>0</v>
      </c>
      <c r="AAS36" s="17">
        <f>'Form-Sb'!AAW94</f>
        <v>0</v>
      </c>
      <c r="AAT36" s="17">
        <f>'Form-Sb'!AAX94</f>
        <v>0</v>
      </c>
      <c r="AAU36" s="17">
        <f>'Form-Sb'!AAY94</f>
        <v>0</v>
      </c>
      <c r="AAV36" s="17">
        <f>'Form-Sb'!AAZ94</f>
        <v>0</v>
      </c>
      <c r="AAW36" s="17">
        <f>'Form-Sb'!ABA94</f>
        <v>0</v>
      </c>
      <c r="AAX36" s="17">
        <f>'Form-Sb'!ABB94</f>
        <v>0</v>
      </c>
      <c r="AAY36" s="17">
        <f>'Form-Sb'!ABC94</f>
        <v>0</v>
      </c>
      <c r="AAZ36" s="17">
        <f>'Form-Sb'!ABD94</f>
        <v>0</v>
      </c>
      <c r="ABA36" s="17">
        <f>'Form-Sb'!ABE94</f>
        <v>0</v>
      </c>
      <c r="ABB36" s="17">
        <f>'Form-Sb'!ABF94</f>
        <v>0</v>
      </c>
      <c r="ABC36" s="17">
        <f>'Form-Sb'!ABG94</f>
        <v>0</v>
      </c>
      <c r="ABD36" s="17">
        <f>'Form-Sb'!ABH94</f>
        <v>0</v>
      </c>
      <c r="ABE36" s="17">
        <f>'Form-Sb'!ABI94</f>
        <v>0</v>
      </c>
      <c r="ABF36" s="17">
        <f>'Form-Sb'!ABJ94</f>
        <v>0</v>
      </c>
      <c r="ABG36" s="17">
        <f>'Form-Sb'!ABK94</f>
        <v>0</v>
      </c>
      <c r="ABH36" s="17">
        <f>'Form-Sb'!ABL94</f>
        <v>0</v>
      </c>
      <c r="ABI36" s="17">
        <f>'Form-Sb'!ABM94</f>
        <v>0</v>
      </c>
      <c r="ABJ36" s="17">
        <f>'Form-Sb'!ABN94</f>
        <v>0</v>
      </c>
      <c r="ABK36" s="17">
        <f>'Form-Sb'!ABO94</f>
        <v>0</v>
      </c>
      <c r="ABL36" s="17">
        <f>'Form-Sb'!ABP94</f>
        <v>0</v>
      </c>
      <c r="ABM36" s="17">
        <f>'Form-Sb'!ABQ94</f>
        <v>0</v>
      </c>
      <c r="ABN36" s="17">
        <f>'Form-Sb'!ABR94</f>
        <v>0</v>
      </c>
      <c r="ABO36" s="17">
        <f>'Form-Sb'!ABS94</f>
        <v>0</v>
      </c>
      <c r="ABP36" s="17">
        <f>'Form-Sb'!ABT94</f>
        <v>0</v>
      </c>
      <c r="ABQ36" s="17">
        <f>'Form-Sb'!ABU94</f>
        <v>0</v>
      </c>
      <c r="ABR36" s="17">
        <f>'Form-Sb'!ABV94</f>
        <v>0</v>
      </c>
      <c r="ABS36" s="17">
        <f>'Form-Sb'!ABW94</f>
        <v>0</v>
      </c>
      <c r="ABT36" s="17">
        <f>'Form-Sb'!ABX94</f>
        <v>0</v>
      </c>
      <c r="ABU36" s="17">
        <f>'Form-Sb'!ABY94</f>
        <v>0</v>
      </c>
      <c r="ABV36" s="17">
        <f>'Form-Sb'!ABZ94</f>
        <v>0</v>
      </c>
      <c r="ABW36" s="17">
        <f>'Form-Sb'!ACA94</f>
        <v>0</v>
      </c>
      <c r="ABX36" s="17">
        <f>'Form-Sb'!ACB94</f>
        <v>0</v>
      </c>
      <c r="ABY36" s="17">
        <f>'Form-Sb'!ACC94</f>
        <v>0</v>
      </c>
      <c r="ABZ36" s="17">
        <f>'Form-Sb'!ACD94</f>
        <v>0</v>
      </c>
      <c r="ACA36" s="17">
        <f>'Form-Sb'!ACE94</f>
        <v>0</v>
      </c>
      <c r="ACB36" s="17">
        <f>'Form-Sb'!ACF94</f>
        <v>0</v>
      </c>
      <c r="ACC36" s="17">
        <f>'Form-Sb'!ACG94</f>
        <v>0</v>
      </c>
      <c r="ACD36" s="17">
        <f>'Form-Sb'!ACH94</f>
        <v>0</v>
      </c>
      <c r="ACE36" s="17">
        <f>'Form-Sb'!ACI94</f>
        <v>0</v>
      </c>
      <c r="ACF36" s="17">
        <f>'Form-Sb'!ACJ94</f>
        <v>0</v>
      </c>
      <c r="ACG36" s="17">
        <f>'Form-Sb'!ACK94</f>
        <v>0</v>
      </c>
      <c r="ACH36" s="17">
        <f>'Form-Sb'!ACL94</f>
        <v>0</v>
      </c>
      <c r="ACI36" s="17">
        <f>'Form-Sb'!ACM94</f>
        <v>0</v>
      </c>
      <c r="ACJ36" s="17">
        <f>'Form-Sb'!ACN94</f>
        <v>0</v>
      </c>
      <c r="ACK36" s="17">
        <f>'Form-Sb'!ACO94</f>
        <v>0</v>
      </c>
      <c r="ACL36" s="17">
        <f>'Form-Sb'!ACP94</f>
        <v>0</v>
      </c>
      <c r="ACM36" s="17">
        <f>'Form-Sb'!ACQ94</f>
        <v>0</v>
      </c>
      <c r="ACN36" s="17">
        <f>'Form-Sb'!ACR94</f>
        <v>0</v>
      </c>
      <c r="ACO36" s="17">
        <f>'Form-Sb'!ACS94</f>
        <v>0</v>
      </c>
      <c r="ACP36" s="17">
        <f>'Form-Sb'!ACT94</f>
        <v>0</v>
      </c>
      <c r="ACQ36" s="17">
        <f>'Form-Sb'!ACU94</f>
        <v>0</v>
      </c>
      <c r="ACR36" s="17">
        <f>'Form-Sb'!ACV94</f>
        <v>0</v>
      </c>
      <c r="ACS36" s="17">
        <f>'Form-Sb'!ACW94</f>
        <v>0</v>
      </c>
      <c r="ACT36" s="17">
        <f>'Form-Sb'!ACX94</f>
        <v>0</v>
      </c>
      <c r="ACU36" s="17">
        <f>'Form-Sb'!ACY94</f>
        <v>0</v>
      </c>
      <c r="ACV36" s="17">
        <f>'Form-Sb'!ACZ94</f>
        <v>0</v>
      </c>
      <c r="ACW36" s="17">
        <f>'Form-Sb'!ADA94</f>
        <v>0</v>
      </c>
      <c r="ACX36" s="17">
        <f>'Form-Sb'!ADB94</f>
        <v>0</v>
      </c>
      <c r="ACY36" s="17">
        <f>'Form-Sb'!ADC94</f>
        <v>0</v>
      </c>
      <c r="ACZ36" s="17">
        <f>'Form-Sb'!ADD94</f>
        <v>0</v>
      </c>
      <c r="ADA36" s="17">
        <f>'Form-Sb'!ADE94</f>
        <v>0</v>
      </c>
      <c r="ADB36" s="17">
        <f>'Form-Sb'!ADF94</f>
        <v>0</v>
      </c>
      <c r="ADC36" s="17">
        <f>'Form-Sb'!ADG94</f>
        <v>0</v>
      </c>
      <c r="ADD36" s="17">
        <f>'Form-Sb'!ADH94</f>
        <v>0</v>
      </c>
      <c r="ADE36" s="17">
        <f>'Form-Sb'!ADI94</f>
        <v>0</v>
      </c>
      <c r="ADF36" s="17">
        <f>'Form-Sb'!ADJ94</f>
        <v>0</v>
      </c>
      <c r="ADG36" s="17">
        <f>'Form-Sb'!ADK94</f>
        <v>0</v>
      </c>
      <c r="ADH36" s="17">
        <f>'Form-Sb'!ADL94</f>
        <v>0</v>
      </c>
      <c r="ADI36" s="17">
        <f>'Form-Sb'!ADM94</f>
        <v>0</v>
      </c>
      <c r="ADJ36" s="17">
        <f>'Form-Sb'!ADN94</f>
        <v>0</v>
      </c>
      <c r="ADK36" s="17">
        <f>'Form-Sb'!ADO94</f>
        <v>0</v>
      </c>
      <c r="ADL36" s="17">
        <f>'Form-Sb'!ADP94</f>
        <v>0</v>
      </c>
      <c r="ADM36" s="17">
        <f>'Form-Sb'!ADQ94</f>
        <v>0</v>
      </c>
      <c r="ADN36" s="17">
        <f>'Form-Sb'!ADR94</f>
        <v>0</v>
      </c>
      <c r="ADO36" s="17">
        <f>'Form-Sb'!ADS94</f>
        <v>0</v>
      </c>
      <c r="ADP36" s="17">
        <f>'Form-Sb'!ADT94</f>
        <v>0</v>
      </c>
      <c r="ADQ36" s="17">
        <f>'Form-Sb'!ADU94</f>
        <v>0</v>
      </c>
      <c r="ADR36" s="17">
        <f>'Form-Sb'!ADV94</f>
        <v>0</v>
      </c>
      <c r="ADS36" s="17">
        <f>'Form-Sb'!ADW94</f>
        <v>0</v>
      </c>
      <c r="ADT36" s="17">
        <f>'Form-Sb'!ADX94</f>
        <v>0</v>
      </c>
      <c r="ADU36" s="17">
        <f>'Form-Sb'!ADY94</f>
        <v>0</v>
      </c>
      <c r="ADV36" s="17">
        <f>'Form-Sb'!ADZ94</f>
        <v>0</v>
      </c>
      <c r="ADW36" s="17">
        <f>'Form-Sb'!AEA94</f>
        <v>0</v>
      </c>
      <c r="ADX36" s="17">
        <f>'Form-Sb'!AEB94</f>
        <v>0</v>
      </c>
      <c r="ADY36" s="17">
        <f>'Form-Sb'!AEC94</f>
        <v>0</v>
      </c>
      <c r="ADZ36" s="17">
        <f>'Form-Sb'!AED94</f>
        <v>0</v>
      </c>
      <c r="AEA36" s="17">
        <f>'Form-Sb'!AEE94</f>
        <v>0</v>
      </c>
      <c r="AEB36" s="17">
        <f>'Form-Sb'!AEF94</f>
        <v>0</v>
      </c>
      <c r="AEC36" s="17">
        <f>'Form-Sb'!AEG94</f>
        <v>0</v>
      </c>
      <c r="AED36" s="17">
        <f>'Form-Sb'!AEH94</f>
        <v>0</v>
      </c>
      <c r="AEE36" s="17">
        <f>'Form-Sb'!AEI94</f>
        <v>0</v>
      </c>
      <c r="AEF36" s="17">
        <f>'Form-Sb'!AEJ94</f>
        <v>0</v>
      </c>
      <c r="AEG36" s="17">
        <f>'Form-Sb'!AEK94</f>
        <v>0</v>
      </c>
      <c r="AEH36" s="17">
        <f>'Form-Sb'!AEL94</f>
        <v>0</v>
      </c>
      <c r="AEI36" s="17">
        <f>'Form-Sb'!AEM94</f>
        <v>0</v>
      </c>
      <c r="AEJ36" s="17">
        <f>'Form-Sb'!AEN94</f>
        <v>0</v>
      </c>
      <c r="AEK36" s="17">
        <f>'Form-Sb'!AEO94</f>
        <v>0</v>
      </c>
      <c r="AEL36" s="17">
        <f>'Form-Sb'!AEP94</f>
        <v>0</v>
      </c>
      <c r="AEM36" s="17">
        <f>'Form-Sb'!AEQ94</f>
        <v>0</v>
      </c>
      <c r="AEN36" s="17">
        <f>'Form-Sb'!AER94</f>
        <v>0</v>
      </c>
      <c r="AEO36" s="17">
        <f>'Form-Sb'!AES94</f>
        <v>0</v>
      </c>
      <c r="AEP36" s="17">
        <f>'Form-Sb'!AET94</f>
        <v>0</v>
      </c>
      <c r="AEQ36" s="17">
        <f>'Form-Sb'!AEU94</f>
        <v>0</v>
      </c>
      <c r="AER36" s="17">
        <f>'Form-Sb'!AEV94</f>
        <v>0</v>
      </c>
      <c r="AES36" s="17">
        <f>'Form-Sb'!AEW94</f>
        <v>0</v>
      </c>
      <c r="AET36" s="17">
        <f>'Form-Sb'!AEX94</f>
        <v>0</v>
      </c>
      <c r="AEU36" s="17">
        <f>'Form-Sb'!AEY94</f>
        <v>0</v>
      </c>
      <c r="AEV36" s="17">
        <f>'Form-Sb'!AEZ94</f>
        <v>0</v>
      </c>
      <c r="AEW36" s="17">
        <f>'Form-Sb'!AFA94</f>
        <v>0</v>
      </c>
      <c r="AEX36" s="17">
        <f>'Form-Sb'!AFB94</f>
        <v>0</v>
      </c>
      <c r="AEY36" s="17">
        <f>'Form-Sb'!AFC94</f>
        <v>0</v>
      </c>
      <c r="AEZ36" s="17">
        <f>'Form-Sb'!AFD94</f>
        <v>0</v>
      </c>
      <c r="AFA36" s="17">
        <f>'Form-Sb'!AFE94</f>
        <v>0</v>
      </c>
      <c r="AFB36" s="17">
        <f>'Form-Sb'!AFF94</f>
        <v>0</v>
      </c>
      <c r="AFC36" s="17">
        <f>'Form-Sb'!AFG94</f>
        <v>0</v>
      </c>
      <c r="AFD36" s="17">
        <f>'Form-Sb'!AFH94</f>
        <v>0</v>
      </c>
      <c r="AFE36" s="17">
        <f>'Form-Sb'!AFI94</f>
        <v>0</v>
      </c>
      <c r="AFF36" s="17">
        <f>'Form-Sb'!AFJ94</f>
        <v>0</v>
      </c>
      <c r="AFG36" s="17">
        <f>'Form-Sb'!AFK94</f>
        <v>0</v>
      </c>
      <c r="AFH36" s="17">
        <f>'Form-Sb'!AFL94</f>
        <v>0</v>
      </c>
      <c r="AFI36" s="17">
        <f>'Form-Sb'!AFM94</f>
        <v>0</v>
      </c>
      <c r="AFJ36" s="17">
        <f>'Form-Sb'!AFN94</f>
        <v>0</v>
      </c>
      <c r="AFK36" s="17">
        <f>'Form-Sb'!AFO94</f>
        <v>0</v>
      </c>
      <c r="AFL36" s="17">
        <f>'Form-Sb'!AFP94</f>
        <v>0</v>
      </c>
      <c r="AFM36" s="17">
        <f>'Form-Sb'!AFQ94</f>
        <v>0</v>
      </c>
      <c r="AFN36" s="17">
        <f>'Form-Sb'!AFR94</f>
        <v>0</v>
      </c>
      <c r="AFO36" s="17">
        <f>'Form-Sb'!AFS94</f>
        <v>0</v>
      </c>
      <c r="AFP36" s="17">
        <f>'Form-Sb'!AFT94</f>
        <v>0</v>
      </c>
      <c r="AFQ36" s="17">
        <f>'Form-Sb'!AFU94</f>
        <v>0</v>
      </c>
      <c r="AFR36" s="17">
        <f>'Form-Sb'!AFV94</f>
        <v>0</v>
      </c>
      <c r="AFS36" s="17">
        <f>'Form-Sb'!AFW94</f>
        <v>0</v>
      </c>
      <c r="AFT36" s="17">
        <f>'Form-Sb'!AFX94</f>
        <v>0</v>
      </c>
      <c r="AFU36" s="17">
        <f>'Form-Sb'!AFY94</f>
        <v>0</v>
      </c>
      <c r="AFV36" s="17">
        <f>'Form-Sb'!AFZ94</f>
        <v>0</v>
      </c>
      <c r="AFW36" s="17">
        <f>'Form-Sb'!AGA94</f>
        <v>0</v>
      </c>
      <c r="AFX36" s="17">
        <f>'Form-Sb'!AGB94</f>
        <v>0</v>
      </c>
      <c r="AFY36" s="17">
        <f>'Form-Sb'!AGC94</f>
        <v>0</v>
      </c>
      <c r="AFZ36" s="17">
        <f>'Form-Sb'!AGD94</f>
        <v>0</v>
      </c>
      <c r="AGA36" s="17">
        <f>'Form-Sb'!AGE94</f>
        <v>0</v>
      </c>
      <c r="AGB36" s="17">
        <f>'Form-Sb'!AGF94</f>
        <v>0</v>
      </c>
      <c r="AGC36" s="17">
        <f>'Form-Sb'!AGG94</f>
        <v>0</v>
      </c>
      <c r="AGD36" s="17">
        <f>'Form-Sb'!AGH94</f>
        <v>0</v>
      </c>
      <c r="AGE36" s="17">
        <f>'Form-Sb'!AGI94</f>
        <v>0</v>
      </c>
      <c r="AGF36" s="17">
        <f>'Form-Sb'!AGJ94</f>
        <v>0</v>
      </c>
      <c r="AGG36" s="17">
        <f>'Form-Sb'!AGK94</f>
        <v>0</v>
      </c>
      <c r="AGH36" s="17">
        <f>'Form-Sb'!AGL94</f>
        <v>0</v>
      </c>
      <c r="AGI36" s="17">
        <f>'Form-Sb'!AGM94</f>
        <v>0</v>
      </c>
      <c r="AGJ36" s="17">
        <f>'Form-Sb'!AGN94</f>
        <v>0</v>
      </c>
      <c r="AGK36" s="17">
        <f>'Form-Sb'!AGO94</f>
        <v>0</v>
      </c>
      <c r="AGL36" s="17">
        <f>'Form-Sb'!AGP94</f>
        <v>0</v>
      </c>
      <c r="AGM36" s="17">
        <f>'Form-Sb'!AGQ94</f>
        <v>0</v>
      </c>
      <c r="AGN36" s="17">
        <f>'Form-Sb'!AGR94</f>
        <v>0</v>
      </c>
      <c r="AGO36" s="17">
        <f>'Form-Sb'!AGS94</f>
        <v>0</v>
      </c>
      <c r="AGP36" s="17">
        <f>'Form-Sb'!AGT94</f>
        <v>0</v>
      </c>
      <c r="AGQ36" s="17">
        <f>'Form-Sb'!AGU94</f>
        <v>0</v>
      </c>
      <c r="AGR36" s="17">
        <f>'Form-Sb'!AGV94</f>
        <v>0</v>
      </c>
      <c r="AGS36" s="17">
        <f>'Form-Sb'!AGW94</f>
        <v>0</v>
      </c>
      <c r="AGT36" s="17">
        <f>'Form-Sb'!AGX94</f>
        <v>0</v>
      </c>
      <c r="AGU36" s="17">
        <f>'Form-Sb'!AGY94</f>
        <v>0</v>
      </c>
      <c r="AGV36" s="17">
        <f>'Form-Sb'!AGZ94</f>
        <v>0</v>
      </c>
      <c r="AGW36" s="17">
        <f>'Form-Sb'!AHA94</f>
        <v>0</v>
      </c>
      <c r="AGX36" s="17">
        <f>'Form-Sb'!AHB94</f>
        <v>0</v>
      </c>
      <c r="AGY36" s="17">
        <f>'Form-Sb'!AHC94</f>
        <v>0</v>
      </c>
      <c r="AGZ36" s="17">
        <f>'Form-Sb'!AHD94</f>
        <v>0</v>
      </c>
      <c r="AHA36" s="17">
        <f>'Form-Sb'!AHE94</f>
        <v>0</v>
      </c>
      <c r="AHB36" s="17">
        <f>'Form-Sb'!AHF94</f>
        <v>0</v>
      </c>
      <c r="AHC36" s="17">
        <f>'Form-Sb'!AHG94</f>
        <v>0</v>
      </c>
      <c r="AHD36" s="17">
        <f>'Form-Sb'!AHH94</f>
        <v>0</v>
      </c>
      <c r="AHE36" s="17">
        <f>'Form-Sb'!AHI94</f>
        <v>0</v>
      </c>
      <c r="AHF36" s="17">
        <f>'Form-Sb'!AHJ94</f>
        <v>0</v>
      </c>
      <c r="AHG36" s="17">
        <f>'Form-Sb'!AHK94</f>
        <v>0</v>
      </c>
      <c r="AHH36" s="17">
        <f>'Form-Sb'!AHL94</f>
        <v>0</v>
      </c>
      <c r="AHI36" s="17">
        <f>'Form-Sb'!AHM94</f>
        <v>0</v>
      </c>
      <c r="AHJ36" s="17">
        <f>'Form-Sb'!AHN94</f>
        <v>0</v>
      </c>
      <c r="AHK36" s="17">
        <f>'Form-Sb'!AHO94</f>
        <v>0</v>
      </c>
      <c r="AHL36" s="17">
        <f>'Form-Sb'!AHP94</f>
        <v>0</v>
      </c>
      <c r="AHM36" s="17">
        <f>'Form-Sb'!AHQ94</f>
        <v>0</v>
      </c>
      <c r="AHN36" s="17">
        <f>'Form-Sb'!AHR94</f>
        <v>0</v>
      </c>
      <c r="AHO36" s="17">
        <f>'Form-Sb'!AHS94</f>
        <v>0</v>
      </c>
      <c r="AHP36" s="17">
        <f>'Form-Sb'!AHT94</f>
        <v>0</v>
      </c>
      <c r="AHQ36" s="17">
        <f>'Form-Sb'!AHU94</f>
        <v>0</v>
      </c>
      <c r="AHR36" s="17">
        <f>'Form-Sb'!AHV94</f>
        <v>0</v>
      </c>
      <c r="AHS36" s="17">
        <f>'Form-Sb'!AHW94</f>
        <v>0</v>
      </c>
      <c r="AHT36" s="17">
        <f>'Form-Sb'!AHX94</f>
        <v>0</v>
      </c>
      <c r="AHU36" s="17">
        <f>'Form-Sb'!AHY94</f>
        <v>0</v>
      </c>
      <c r="AHV36" s="17">
        <f>'Form-Sb'!AHZ94</f>
        <v>0</v>
      </c>
      <c r="AHW36" s="17">
        <f>'Form-Sb'!AIA94</f>
        <v>0</v>
      </c>
      <c r="AHX36" s="17">
        <f>'Form-Sb'!AIB94</f>
        <v>0</v>
      </c>
      <c r="AHY36" s="17">
        <f>'Form-Sb'!AIC94</f>
        <v>0</v>
      </c>
      <c r="AHZ36" s="17">
        <f>'Form-Sb'!AID94</f>
        <v>0</v>
      </c>
      <c r="AIA36" s="17">
        <f>'Form-Sb'!AIE94</f>
        <v>0</v>
      </c>
      <c r="AIB36" s="17">
        <f>'Form-Sb'!AIF94</f>
        <v>0</v>
      </c>
      <c r="AIC36" s="17">
        <f>'Form-Sb'!AIG94</f>
        <v>0</v>
      </c>
      <c r="AID36" s="17">
        <f>'Form-Sb'!AIH94</f>
        <v>0</v>
      </c>
      <c r="AIE36" s="17">
        <f>'Form-Sb'!AII94</f>
        <v>0</v>
      </c>
      <c r="AIF36" s="17">
        <f>'Form-Sb'!AIJ94</f>
        <v>0</v>
      </c>
      <c r="AIG36" s="17">
        <f>'Form-Sb'!AIK94</f>
        <v>0</v>
      </c>
      <c r="AIH36" s="17">
        <f>'Form-Sb'!AIL94</f>
        <v>0</v>
      </c>
      <c r="AII36" s="17">
        <f>'Form-Sb'!AIM94</f>
        <v>0</v>
      </c>
      <c r="AIJ36" s="17">
        <f>'Form-Sb'!AIN94</f>
        <v>0</v>
      </c>
      <c r="AIK36" s="17">
        <f>'Form-Sb'!AIO94</f>
        <v>0</v>
      </c>
      <c r="AIL36" s="17">
        <f>'Form-Sb'!AIP94</f>
        <v>0</v>
      </c>
      <c r="AIM36" s="17">
        <f>'Form-Sb'!AIQ94</f>
        <v>0</v>
      </c>
      <c r="AIN36" s="17">
        <f>'Form-Sb'!AIR94</f>
        <v>0</v>
      </c>
      <c r="AIO36" s="17">
        <f>'Form-Sb'!AIS94</f>
        <v>0</v>
      </c>
      <c r="AIP36" s="17">
        <f>'Form-Sb'!AIT94</f>
        <v>0</v>
      </c>
      <c r="AIQ36" s="17">
        <f>'Form-Sb'!AIU94</f>
        <v>0</v>
      </c>
      <c r="AIR36" s="17">
        <f>'Form-Sb'!AIV94</f>
        <v>0</v>
      </c>
      <c r="AIS36" s="17">
        <f>'Form-Sb'!AIW94</f>
        <v>0</v>
      </c>
      <c r="AIT36" s="17">
        <f>'Form-Sb'!AIX94</f>
        <v>0</v>
      </c>
      <c r="AIU36" s="17">
        <f>'Form-Sb'!AIY94</f>
        <v>0</v>
      </c>
      <c r="AIV36" s="17">
        <f>'Form-Sb'!AIZ94</f>
        <v>0</v>
      </c>
      <c r="AIW36" s="17">
        <f>'Form-Sb'!AJA94</f>
        <v>0</v>
      </c>
      <c r="AIX36" s="17">
        <f>'Form-Sb'!AJB94</f>
        <v>0</v>
      </c>
      <c r="AIY36" s="17">
        <f>'Form-Sb'!AJC94</f>
        <v>0</v>
      </c>
      <c r="AIZ36" s="17">
        <f>'Form-Sb'!AJD94</f>
        <v>0</v>
      </c>
      <c r="AJA36" s="17">
        <f>'Form-Sb'!AJE94</f>
        <v>0</v>
      </c>
      <c r="AJB36" s="17">
        <f>'Form-Sb'!AJF94</f>
        <v>0</v>
      </c>
      <c r="AJC36" s="17">
        <f>'Form-Sb'!AJG94</f>
        <v>0</v>
      </c>
      <c r="AJD36" s="17">
        <f>'Form-Sb'!AJH94</f>
        <v>0</v>
      </c>
      <c r="AJE36" s="17">
        <f>'Form-Sb'!AJI94</f>
        <v>0</v>
      </c>
      <c r="AJF36" s="17">
        <f>'Form-Sb'!AJJ94</f>
        <v>0</v>
      </c>
      <c r="AJG36" s="17">
        <f>'Form-Sb'!AJK94</f>
        <v>0</v>
      </c>
      <c r="AJH36" s="17">
        <f>'Form-Sb'!AJL94</f>
        <v>0</v>
      </c>
      <c r="AJI36" s="17">
        <f>'Form-Sb'!AJM94</f>
        <v>0</v>
      </c>
      <c r="AJJ36" s="17">
        <f>'Form-Sb'!AJN94</f>
        <v>0</v>
      </c>
      <c r="AJK36" s="17">
        <f>'Form-Sb'!AJO94</f>
        <v>0</v>
      </c>
      <c r="AJL36" s="17">
        <f>'Form-Sb'!AJP94</f>
        <v>0</v>
      </c>
      <c r="AJM36" s="17">
        <f>'Form-Sb'!AJQ94</f>
        <v>0</v>
      </c>
      <c r="AJN36" s="17">
        <f>'Form-Sb'!AJR94</f>
        <v>0</v>
      </c>
      <c r="AJO36" s="17">
        <f>'Form-Sb'!AJS94</f>
        <v>0</v>
      </c>
      <c r="AJP36" s="17">
        <f>'Form-Sb'!AJT94</f>
        <v>0</v>
      </c>
      <c r="AJQ36" s="17">
        <f>'Form-Sb'!AJU94</f>
        <v>0</v>
      </c>
      <c r="AJR36" s="17">
        <f>'Form-Sb'!AJV94</f>
        <v>0</v>
      </c>
      <c r="AJS36" s="17">
        <f>'Form-Sb'!AJW94</f>
        <v>0</v>
      </c>
      <c r="AJT36" s="17">
        <f>'Form-Sb'!AJX94</f>
        <v>0</v>
      </c>
      <c r="AJU36" s="17">
        <f>'Form-Sb'!AJY94</f>
        <v>0</v>
      </c>
      <c r="AJV36" s="17">
        <f>'Form-Sb'!AJZ94</f>
        <v>0</v>
      </c>
      <c r="AJW36" s="17">
        <f>'Form-Sb'!AKA94</f>
        <v>0</v>
      </c>
      <c r="AJX36" s="17">
        <f>'Form-Sb'!AKB94</f>
        <v>0</v>
      </c>
      <c r="AJY36" s="17">
        <f>'Form-Sb'!AKC94</f>
        <v>0</v>
      </c>
      <c r="AJZ36" s="17">
        <f>'Form-Sb'!AKD94</f>
        <v>0</v>
      </c>
      <c r="AKA36" s="17">
        <f>'Form-Sb'!AKE94</f>
        <v>0</v>
      </c>
      <c r="AKB36" s="17">
        <f>'Form-Sb'!AKF94</f>
        <v>0</v>
      </c>
      <c r="AKC36" s="17">
        <f>'Form-Sb'!AKG94</f>
        <v>0</v>
      </c>
      <c r="AKD36" s="17">
        <f>'Form-Sb'!AKH94</f>
        <v>0</v>
      </c>
      <c r="AKE36" s="17">
        <f>'Form-Sb'!AKI94</f>
        <v>0</v>
      </c>
      <c r="AKF36" s="17">
        <f>'Form-Sb'!AKJ94</f>
        <v>0</v>
      </c>
      <c r="AKG36" s="17">
        <f>'Form-Sb'!AKK94</f>
        <v>0</v>
      </c>
      <c r="AKH36" s="17">
        <f>'Form-Sb'!AKL94</f>
        <v>0</v>
      </c>
      <c r="AKI36" s="17">
        <f>'Form-Sb'!AKM94</f>
        <v>0</v>
      </c>
      <c r="AKJ36" s="17">
        <f>'Form-Sb'!AKN94</f>
        <v>0</v>
      </c>
      <c r="AKK36" s="17">
        <f>'Form-Sb'!AKO94</f>
        <v>0</v>
      </c>
      <c r="AKL36" s="17">
        <f>'Form-Sb'!AKP94</f>
        <v>0</v>
      </c>
      <c r="AKM36" s="17">
        <f>'Form-Sb'!AKQ94</f>
        <v>0</v>
      </c>
      <c r="AKN36" s="17">
        <f>'Form-Sb'!AKR94</f>
        <v>0</v>
      </c>
      <c r="AKO36" s="17">
        <f>'Form-Sb'!AKS94</f>
        <v>0</v>
      </c>
      <c r="AKP36" s="17">
        <f>'Form-Sb'!AKT94</f>
        <v>0</v>
      </c>
      <c r="AKQ36" s="17">
        <f>'Form-Sb'!AKU94</f>
        <v>0</v>
      </c>
      <c r="AKR36" s="17">
        <f>'Form-Sb'!AKV94</f>
        <v>0</v>
      </c>
      <c r="AKS36" s="17">
        <f>'Form-Sb'!AKW94</f>
        <v>0</v>
      </c>
      <c r="AKT36" s="17">
        <f>'Form-Sb'!AKX94</f>
        <v>0</v>
      </c>
      <c r="AKU36" s="17">
        <f>'Form-Sb'!AKY94</f>
        <v>0</v>
      </c>
      <c r="AKV36" s="17">
        <f>'Form-Sb'!AKZ94</f>
        <v>0</v>
      </c>
      <c r="AKW36" s="17">
        <f>'Form-Sb'!ALA94</f>
        <v>0</v>
      </c>
      <c r="AKX36" s="17">
        <f>'Form-Sb'!ALB94</f>
        <v>0</v>
      </c>
      <c r="AKY36" s="17">
        <f>'Form-Sb'!ALC94</f>
        <v>0</v>
      </c>
      <c r="AKZ36" s="17">
        <f>'Form-Sb'!ALD94</f>
        <v>0</v>
      </c>
      <c r="ALA36" s="17">
        <f>'Form-Sb'!ALE94</f>
        <v>0</v>
      </c>
      <c r="ALB36" s="17">
        <f>'Form-Sb'!ALF94</f>
        <v>0</v>
      </c>
      <c r="ALC36" s="17">
        <f>'Form-Sb'!ALG94</f>
        <v>0</v>
      </c>
      <c r="ALD36" s="17">
        <f>'Form-Sb'!ALH94</f>
        <v>0</v>
      </c>
      <c r="ALE36" s="17">
        <f>'Form-Sb'!ALI94</f>
        <v>0</v>
      </c>
      <c r="ALF36" s="17">
        <f>'Form-Sb'!ALJ94</f>
        <v>0</v>
      </c>
      <c r="ALG36" s="17">
        <f>'Form-Sb'!ALK94</f>
        <v>0</v>
      </c>
      <c r="ALH36" s="17">
        <f>'Form-Sb'!ALL94</f>
        <v>0</v>
      </c>
      <c r="ALI36" s="17">
        <f>'Form-Sb'!ALM94</f>
        <v>0</v>
      </c>
      <c r="ALJ36" s="17">
        <f>'Form-Sb'!ALN94</f>
        <v>0</v>
      </c>
      <c r="ALK36" s="17">
        <f>'Form-Sb'!ALO94</f>
        <v>0</v>
      </c>
      <c r="ALL36" s="17">
        <f>'Form-Sb'!ALP94</f>
        <v>0</v>
      </c>
      <c r="ALM36" s="17">
        <f>'Form-Sb'!ALQ94</f>
        <v>0</v>
      </c>
      <c r="ALN36" s="17">
        <f>'Form-Sb'!ALR94</f>
        <v>0</v>
      </c>
      <c r="ALO36" s="17">
        <f>'Form-Sb'!ALS94</f>
        <v>0</v>
      </c>
      <c r="ALP36" s="17">
        <f>'Form-Sb'!ALT94</f>
        <v>0</v>
      </c>
      <c r="ALQ36" s="17">
        <f>'Form-Sb'!ALU94</f>
        <v>0</v>
      </c>
      <c r="ALR36" s="17">
        <f>'Form-Sb'!ALV94</f>
        <v>0</v>
      </c>
      <c r="ALS36" s="17">
        <f>'Form-Sb'!ALW94</f>
        <v>0</v>
      </c>
      <c r="ALT36" s="17">
        <f>'Form-Sb'!ALX94</f>
        <v>0</v>
      </c>
      <c r="ALU36" s="17">
        <f>'Form-Sb'!ALY94</f>
        <v>0</v>
      </c>
      <c r="ALV36" s="17">
        <f>'Form-Sb'!ALZ94</f>
        <v>0</v>
      </c>
      <c r="ALW36" s="17">
        <f>'Form-Sb'!AMA94</f>
        <v>0</v>
      </c>
      <c r="ALX36" s="17">
        <f>'Form-Sb'!AMB94</f>
        <v>0</v>
      </c>
      <c r="ALY36" s="17">
        <f>'Form-Sb'!AMC94</f>
        <v>0</v>
      </c>
      <c r="ALZ36" s="17">
        <f>'Form-Sb'!AMD94</f>
        <v>0</v>
      </c>
      <c r="AMA36" s="17">
        <f>'Form-Sb'!AME94</f>
        <v>0</v>
      </c>
      <c r="AMB36" s="17">
        <f>'Form-Sb'!AMF94</f>
        <v>0</v>
      </c>
      <c r="AMC36" s="17">
        <f>'Form-Sb'!AMG94</f>
        <v>0</v>
      </c>
      <c r="AMD36" s="17">
        <f>'Form-Sb'!AMH94</f>
        <v>0</v>
      </c>
      <c r="AME36" s="17">
        <f>'Form-Sb'!AMI94</f>
        <v>0</v>
      </c>
      <c r="AMF36" s="17">
        <f>'Form-Sb'!AMJ94</f>
        <v>0</v>
      </c>
      <c r="AMG36" s="17">
        <f>'Form-Sb'!AMK94</f>
        <v>0</v>
      </c>
      <c r="AMH36" s="17">
        <f>'Form-Sb'!AML94</f>
        <v>0</v>
      </c>
      <c r="AMI36" s="17">
        <f>'Form-Sb'!AMM94</f>
        <v>0</v>
      </c>
      <c r="AMJ36" s="17">
        <f>'Form-Sb'!AMN94</f>
        <v>0</v>
      </c>
      <c r="AMK36" s="17">
        <f>'Form-Sb'!AMO94</f>
        <v>0</v>
      </c>
      <c r="AML36" s="17">
        <f>'Form-Sb'!AMP94</f>
        <v>0</v>
      </c>
      <c r="AMM36" s="17">
        <f>'Form-Sb'!AMQ94</f>
        <v>0</v>
      </c>
      <c r="AMN36" s="17">
        <f>'Form-Sb'!AMR94</f>
        <v>0</v>
      </c>
      <c r="AMO36" s="17">
        <f>'Form-Sb'!AMS94</f>
        <v>0</v>
      </c>
      <c r="AMP36" s="17">
        <f>'Form-Sb'!AMT94</f>
        <v>0</v>
      </c>
      <c r="AMQ36" s="17">
        <f>'Form-Sb'!AMU94</f>
        <v>0</v>
      </c>
      <c r="AMR36" s="17">
        <f>'Form-Sb'!AMV94</f>
        <v>0</v>
      </c>
      <c r="AMS36" s="17">
        <f>'Form-Sb'!AMW94</f>
        <v>0</v>
      </c>
      <c r="AMT36" s="17">
        <f>'Form-Sb'!AMX94</f>
        <v>0</v>
      </c>
      <c r="AMU36" s="17">
        <f>'Form-Sb'!AMY94</f>
        <v>0</v>
      </c>
      <c r="AMV36" s="17">
        <f>'Form-Sb'!AMZ94</f>
        <v>0</v>
      </c>
      <c r="AMW36" s="17">
        <f>'Form-Sb'!ANA94</f>
        <v>0</v>
      </c>
      <c r="AMX36" s="17">
        <f>'Form-Sb'!ANB94</f>
        <v>0</v>
      </c>
      <c r="AMY36" s="17">
        <f>'Form-Sb'!ANC94</f>
        <v>0</v>
      </c>
      <c r="AMZ36" s="17">
        <f>'Form-Sb'!AND94</f>
        <v>0</v>
      </c>
      <c r="ANA36" s="17">
        <f>'Form-Sb'!ANE94</f>
        <v>0</v>
      </c>
      <c r="ANB36" s="17">
        <f>'Form-Sb'!ANF94</f>
        <v>0</v>
      </c>
      <c r="ANC36" s="17">
        <f>'Form-Sb'!ANG94</f>
        <v>0</v>
      </c>
      <c r="AND36" s="17">
        <f>'Form-Sb'!ANH94</f>
        <v>0</v>
      </c>
      <c r="ANE36" s="17">
        <f>'Form-Sb'!ANI94</f>
        <v>0</v>
      </c>
      <c r="ANF36" s="17">
        <f>'Form-Sb'!ANJ94</f>
        <v>0</v>
      </c>
      <c r="ANG36" s="17">
        <f>'Form-Sb'!ANK94</f>
        <v>0</v>
      </c>
      <c r="ANH36" s="17">
        <f>'Form-Sb'!ANL94</f>
        <v>0</v>
      </c>
      <c r="ANI36" s="17">
        <f>'Form-Sb'!ANM94</f>
        <v>0</v>
      </c>
      <c r="ANJ36" s="17">
        <f>'Form-Sb'!ANN94</f>
        <v>0</v>
      </c>
      <c r="ANK36" s="17">
        <f>'Form-Sb'!ANO94</f>
        <v>0</v>
      </c>
      <c r="ANL36" s="17">
        <f>'Form-Sb'!ANP94</f>
        <v>0</v>
      </c>
      <c r="ANM36" s="17">
        <f>'Form-Sb'!ANQ94</f>
        <v>0</v>
      </c>
      <c r="ANN36" s="17">
        <f>'Form-Sb'!ANR94</f>
        <v>0</v>
      </c>
      <c r="ANO36" s="17">
        <f>'Form-Sb'!ANS94</f>
        <v>0</v>
      </c>
      <c r="ANP36" s="17">
        <f>'Form-Sb'!ANT94</f>
        <v>0</v>
      </c>
      <c r="ANQ36" s="17">
        <f>'Form-Sb'!ANU94</f>
        <v>0</v>
      </c>
      <c r="ANR36" s="17">
        <f>'Form-Sb'!ANV94</f>
        <v>0</v>
      </c>
      <c r="ANS36" s="17">
        <f>'Form-Sb'!ANW94</f>
        <v>0</v>
      </c>
      <c r="ANT36" s="17">
        <f>'Form-Sb'!ANX94</f>
        <v>0</v>
      </c>
      <c r="ANU36" s="17">
        <f>'Form-Sb'!ANY94</f>
        <v>0</v>
      </c>
      <c r="ANV36" s="17">
        <f>'Form-Sb'!ANZ94</f>
        <v>0</v>
      </c>
      <c r="ANW36" s="17">
        <f>'Form-Sb'!AOA94</f>
        <v>0</v>
      </c>
      <c r="ANX36" s="17">
        <f>'Form-Sb'!AOB94</f>
        <v>0</v>
      </c>
      <c r="ANY36" s="17">
        <f>'Form-Sb'!AOC94</f>
        <v>0</v>
      </c>
      <c r="ANZ36" s="17">
        <f>'Form-Sb'!AOD94</f>
        <v>0</v>
      </c>
      <c r="AOA36" s="17">
        <f>'Form-Sb'!AOE94</f>
        <v>0</v>
      </c>
      <c r="AOB36" s="17">
        <f>'Form-Sb'!AOF94</f>
        <v>0</v>
      </c>
      <c r="AOC36" s="17">
        <f>'Form-Sb'!AOG94</f>
        <v>0</v>
      </c>
      <c r="AOD36" s="17">
        <f>'Form-Sb'!AOH94</f>
        <v>0</v>
      </c>
      <c r="AOE36" s="17">
        <f>'Form-Sb'!AOI94</f>
        <v>0</v>
      </c>
      <c r="AOF36" s="17">
        <f>'Form-Sb'!AOJ94</f>
        <v>0</v>
      </c>
      <c r="AOG36" s="17">
        <f>'Form-Sb'!AOK94</f>
        <v>0</v>
      </c>
      <c r="AOH36" s="17">
        <f>'Form-Sb'!AOL94</f>
        <v>0</v>
      </c>
      <c r="AOI36" s="17">
        <f>'Form-Sb'!AOM94</f>
        <v>0</v>
      </c>
      <c r="AOJ36" s="17">
        <f>'Form-Sb'!AON94</f>
        <v>0</v>
      </c>
      <c r="AOK36" s="17">
        <f>'Form-Sb'!AOO94</f>
        <v>0</v>
      </c>
      <c r="AOL36" s="17">
        <f>'Form-Sb'!AOP94</f>
        <v>0</v>
      </c>
      <c r="AOM36" s="17">
        <f>'Form-Sb'!AOQ94</f>
        <v>0</v>
      </c>
      <c r="AON36" s="17">
        <f>'Form-Sb'!AOR94</f>
        <v>0</v>
      </c>
      <c r="AOO36" s="17">
        <f>'Form-Sb'!AOS94</f>
        <v>0</v>
      </c>
      <c r="AOP36" s="17">
        <f>'Form-Sb'!AOT94</f>
        <v>0</v>
      </c>
      <c r="AOQ36" s="17">
        <f>'Form-Sb'!AOU94</f>
        <v>0</v>
      </c>
      <c r="AOR36" s="17">
        <f>'Form-Sb'!AOV94</f>
        <v>0</v>
      </c>
      <c r="AOS36" s="17">
        <f>'Form-Sb'!AOW94</f>
        <v>0</v>
      </c>
      <c r="AOT36" s="17">
        <f>'Form-Sb'!AOX94</f>
        <v>0</v>
      </c>
      <c r="AOU36" s="17">
        <f>'Form-Sb'!AOY94</f>
        <v>0</v>
      </c>
      <c r="AOV36" s="17">
        <f>'Form-Sb'!AOZ94</f>
        <v>0</v>
      </c>
      <c r="AOW36" s="17">
        <f>'Form-Sb'!APA94</f>
        <v>0</v>
      </c>
      <c r="AOX36" s="17">
        <f>'Form-Sb'!APB94</f>
        <v>0</v>
      </c>
      <c r="AOY36" s="17">
        <f>'Form-Sb'!APC94</f>
        <v>0</v>
      </c>
      <c r="AOZ36" s="17">
        <f>'Form-Sb'!APD94</f>
        <v>0</v>
      </c>
      <c r="APA36" s="17">
        <f>'Form-Sb'!APE94</f>
        <v>0</v>
      </c>
      <c r="APB36" s="17">
        <f>'Form-Sb'!APF94</f>
        <v>0</v>
      </c>
      <c r="APC36" s="17">
        <f>'Form-Sb'!APG94</f>
        <v>0</v>
      </c>
      <c r="APD36" s="17">
        <f>'Form-Sb'!APH94</f>
        <v>0</v>
      </c>
      <c r="APE36" s="17">
        <f>'Form-Sb'!API94</f>
        <v>0</v>
      </c>
      <c r="APF36" s="17">
        <f>'Form-Sb'!APJ94</f>
        <v>0</v>
      </c>
      <c r="APG36" s="17">
        <f>'Form-Sb'!APK94</f>
        <v>0</v>
      </c>
      <c r="APH36" s="17">
        <f>'Form-Sb'!APL94</f>
        <v>0</v>
      </c>
      <c r="API36" s="17">
        <f>'Form-Sb'!APM94</f>
        <v>0</v>
      </c>
      <c r="APJ36" s="17">
        <f>'Form-Sb'!APN94</f>
        <v>0</v>
      </c>
      <c r="APK36" s="17">
        <f>'Form-Sb'!APO94</f>
        <v>0</v>
      </c>
      <c r="APL36" s="17">
        <f>'Form-Sb'!APP94</f>
        <v>0</v>
      </c>
      <c r="APM36" s="17">
        <f>'Form-Sb'!APQ94</f>
        <v>0</v>
      </c>
      <c r="APN36" s="17">
        <f>'Form-Sb'!APR94</f>
        <v>0</v>
      </c>
      <c r="APO36" s="17">
        <f>'Form-Sb'!APS94</f>
        <v>0</v>
      </c>
      <c r="APP36" s="17">
        <f>'Form-Sb'!APT94</f>
        <v>0</v>
      </c>
      <c r="APQ36" s="17">
        <f>'Form-Sb'!APU94</f>
        <v>0</v>
      </c>
      <c r="APR36" s="17">
        <f>'Form-Sb'!APV94</f>
        <v>0</v>
      </c>
      <c r="APS36" s="17">
        <f>'Form-Sb'!APW94</f>
        <v>0</v>
      </c>
      <c r="APT36" s="17">
        <f>'Form-Sb'!APX94</f>
        <v>0</v>
      </c>
      <c r="APU36" s="17">
        <f>'Form-Sb'!APY94</f>
        <v>0</v>
      </c>
      <c r="APV36" s="17">
        <f>'Form-Sb'!APZ94</f>
        <v>0</v>
      </c>
      <c r="APW36" s="17">
        <f>'Form-Sb'!AQA94</f>
        <v>0</v>
      </c>
      <c r="APX36" s="17">
        <f>'Form-Sb'!AQB94</f>
        <v>0</v>
      </c>
      <c r="APY36" s="17">
        <f>'Form-Sb'!AQC94</f>
        <v>0</v>
      </c>
      <c r="APZ36" s="17">
        <f>'Form-Sb'!AQD94</f>
        <v>0</v>
      </c>
      <c r="AQA36" s="17">
        <f>'Form-Sb'!AQE94</f>
        <v>0</v>
      </c>
      <c r="AQB36" s="17">
        <f>'Form-Sb'!AQF94</f>
        <v>0</v>
      </c>
      <c r="AQC36" s="17">
        <f>'Form-Sb'!AQG94</f>
        <v>0</v>
      </c>
      <c r="AQD36" s="17">
        <f>'Form-Sb'!AQH94</f>
        <v>0</v>
      </c>
      <c r="AQE36" s="17">
        <f>'Form-Sb'!AQI94</f>
        <v>0</v>
      </c>
      <c r="AQF36" s="17">
        <f>'Form-Sb'!AQJ94</f>
        <v>0</v>
      </c>
      <c r="AQG36" s="17">
        <f>'Form-Sb'!AQK94</f>
        <v>0</v>
      </c>
      <c r="AQH36" s="17">
        <f>'Form-Sb'!AQL94</f>
        <v>0</v>
      </c>
      <c r="AQI36" s="17">
        <f>'Form-Sb'!AQM94</f>
        <v>0</v>
      </c>
      <c r="AQJ36" s="17">
        <f>'Form-Sb'!AQN94</f>
        <v>0</v>
      </c>
      <c r="AQK36" s="17">
        <f>'Form-Sb'!AQO94</f>
        <v>0</v>
      </c>
      <c r="AQL36" s="17">
        <f>'Form-Sb'!AQP94</f>
        <v>0</v>
      </c>
      <c r="AQM36" s="17">
        <f>'Form-Sb'!AQQ94</f>
        <v>0</v>
      </c>
      <c r="AQN36" s="17">
        <f>'Form-Sb'!AQR94</f>
        <v>0</v>
      </c>
      <c r="AQO36" s="17">
        <f>'Form-Sb'!AQS94</f>
        <v>0</v>
      </c>
      <c r="AQP36" s="17">
        <f>'Form-Sb'!AQT94</f>
        <v>0</v>
      </c>
      <c r="AQQ36" s="17">
        <f>'Form-Sb'!AQU94</f>
        <v>0</v>
      </c>
      <c r="AQR36" s="17">
        <f>'Form-Sb'!AQV94</f>
        <v>0</v>
      </c>
      <c r="AQS36" s="17">
        <f>'Form-Sb'!AQW94</f>
        <v>0</v>
      </c>
      <c r="AQT36" s="17">
        <f>'Form-Sb'!AQX94</f>
        <v>0</v>
      </c>
      <c r="AQU36" s="17">
        <f>'Form-Sb'!AQY94</f>
        <v>0</v>
      </c>
      <c r="AQV36" s="17">
        <f>'Form-Sb'!AQZ94</f>
        <v>0</v>
      </c>
      <c r="AQW36" s="17">
        <f>'Form-Sb'!ARA94</f>
        <v>0</v>
      </c>
      <c r="AQX36" s="17">
        <f>'Form-Sb'!ARB94</f>
        <v>0</v>
      </c>
      <c r="AQY36" s="17">
        <f>'Form-Sb'!ARC94</f>
        <v>0</v>
      </c>
      <c r="AQZ36" s="17">
        <f>'Form-Sb'!ARD94</f>
        <v>0</v>
      </c>
      <c r="ARA36" s="17">
        <f>'Form-Sb'!ARE94</f>
        <v>0</v>
      </c>
      <c r="ARB36" s="17">
        <f>'Form-Sb'!ARF94</f>
        <v>0</v>
      </c>
      <c r="ARC36" s="17">
        <f>'Form-Sb'!ARG94</f>
        <v>0</v>
      </c>
      <c r="ARD36" s="17">
        <f>'Form-Sb'!ARH94</f>
        <v>0</v>
      </c>
      <c r="ARE36" s="17">
        <f>'Form-Sb'!ARI94</f>
        <v>0</v>
      </c>
      <c r="ARF36" s="17">
        <f>'Form-Sb'!ARJ94</f>
        <v>0</v>
      </c>
      <c r="ARG36" s="17">
        <f>'Form-Sb'!ARK94</f>
        <v>0</v>
      </c>
      <c r="ARH36" s="17">
        <f>'Form-Sb'!ARL94</f>
        <v>0</v>
      </c>
      <c r="ARI36" s="17">
        <f>'Form-Sb'!ARM94</f>
        <v>0</v>
      </c>
      <c r="ARJ36" s="17">
        <f>'Form-Sb'!ARN94</f>
        <v>0</v>
      </c>
      <c r="ARK36" s="17">
        <f>'Form-Sb'!ARO94</f>
        <v>0</v>
      </c>
      <c r="ARL36" s="17">
        <f>'Form-Sb'!ARP94</f>
        <v>0</v>
      </c>
      <c r="ARM36" s="17">
        <f>'Form-Sb'!ARQ94</f>
        <v>0</v>
      </c>
      <c r="ARN36" s="17">
        <f>'Form-Sb'!ARR94</f>
        <v>0</v>
      </c>
      <c r="ARO36" s="17">
        <f>'Form-Sb'!ARS94</f>
        <v>0</v>
      </c>
      <c r="ARP36" s="17">
        <f>'Form-Sb'!ART94</f>
        <v>0</v>
      </c>
      <c r="ARQ36" s="17">
        <f>'Form-Sb'!ARU94</f>
        <v>0</v>
      </c>
      <c r="ARR36" s="17">
        <f>'Form-Sb'!ARV94</f>
        <v>0</v>
      </c>
      <c r="ARS36" s="17">
        <f>'Form-Sb'!ARW94</f>
        <v>0</v>
      </c>
      <c r="ART36" s="17">
        <f>'Form-Sb'!ARX94</f>
        <v>0</v>
      </c>
      <c r="ARU36" s="17">
        <f>'Form-Sb'!ARY94</f>
        <v>0</v>
      </c>
      <c r="ARV36" s="17">
        <f>'Form-Sb'!ARZ94</f>
        <v>0</v>
      </c>
      <c r="ARW36" s="17">
        <f>'Form-Sb'!ASA94</f>
        <v>0</v>
      </c>
      <c r="ARX36" s="17">
        <f>'Form-Sb'!ASB94</f>
        <v>0</v>
      </c>
      <c r="ARY36" s="17">
        <f>'Form-Sb'!ASC94</f>
        <v>0</v>
      </c>
      <c r="ARZ36" s="17">
        <f>'Form-Sb'!ASD94</f>
        <v>0</v>
      </c>
      <c r="ASA36" s="17">
        <f>'Form-Sb'!ASE94</f>
        <v>0</v>
      </c>
      <c r="ASB36" s="17">
        <f>'Form-Sb'!ASF94</f>
        <v>0</v>
      </c>
      <c r="ASC36" s="17">
        <f>'Form-Sb'!ASG94</f>
        <v>0</v>
      </c>
      <c r="ASD36" s="17">
        <f>'Form-Sb'!ASH94</f>
        <v>0</v>
      </c>
      <c r="ASE36" s="17">
        <f>'Form-Sb'!ASI94</f>
        <v>0</v>
      </c>
      <c r="ASF36" s="17">
        <f>'Form-Sb'!ASJ94</f>
        <v>0</v>
      </c>
      <c r="ASG36" s="17">
        <f>'Form-Sb'!ASK94</f>
        <v>0</v>
      </c>
      <c r="ASH36" s="17">
        <f>'Form-Sb'!ASL94</f>
        <v>0</v>
      </c>
      <c r="ASI36" s="17">
        <f>'Form-Sb'!ASM94</f>
        <v>0</v>
      </c>
      <c r="ASJ36" s="17">
        <f>'Form-Sb'!ASN94</f>
        <v>0</v>
      </c>
      <c r="ASK36" s="17">
        <f>'Form-Sb'!ASO94</f>
        <v>0</v>
      </c>
      <c r="ASL36" s="17">
        <f>'Form-Sb'!ASP94</f>
        <v>0</v>
      </c>
      <c r="ASM36" s="17">
        <f>'Form-Sb'!ASQ94</f>
        <v>0</v>
      </c>
      <c r="ASN36" s="17">
        <f>'Form-Sb'!ASR94</f>
        <v>0</v>
      </c>
      <c r="ASO36" s="17">
        <f>'Form-Sb'!ASS94</f>
        <v>0</v>
      </c>
      <c r="ASP36" s="17">
        <f>'Form-Sb'!AST94</f>
        <v>0</v>
      </c>
      <c r="ASQ36" s="17">
        <f>'Form-Sb'!ASU94</f>
        <v>0</v>
      </c>
      <c r="ASR36" s="17">
        <f>'Form-Sb'!ASV94</f>
        <v>0</v>
      </c>
      <c r="ASS36" s="17">
        <f>'Form-Sb'!ASW94</f>
        <v>0</v>
      </c>
      <c r="AST36" s="17">
        <f>'Form-Sb'!ASX94</f>
        <v>0</v>
      </c>
      <c r="ASU36" s="17">
        <f>'Form-Sb'!ASY94</f>
        <v>0</v>
      </c>
      <c r="ASV36" s="17">
        <f>'Form-Sb'!ASZ94</f>
        <v>0</v>
      </c>
      <c r="ASW36" s="17">
        <f>'Form-Sb'!ATA94</f>
        <v>0</v>
      </c>
      <c r="ASX36" s="17">
        <f>'Form-Sb'!ATB94</f>
        <v>0</v>
      </c>
      <c r="ASY36" s="17">
        <f>'Form-Sb'!ATC94</f>
        <v>0</v>
      </c>
      <c r="ASZ36" s="17">
        <f>'Form-Sb'!ATD94</f>
        <v>0</v>
      </c>
      <c r="ATA36" s="17">
        <f>'Form-Sb'!ATE94</f>
        <v>0</v>
      </c>
      <c r="ATB36" s="17">
        <f>'Form-Sb'!ATF94</f>
        <v>0</v>
      </c>
      <c r="ATC36" s="17">
        <f>'Form-Sb'!ATG94</f>
        <v>0</v>
      </c>
      <c r="ATD36" s="17">
        <f>'Form-Sb'!ATH94</f>
        <v>0</v>
      </c>
      <c r="ATE36" s="17">
        <f>'Form-Sb'!ATI94</f>
        <v>0</v>
      </c>
      <c r="ATF36" s="17">
        <f>'Form-Sb'!ATJ94</f>
        <v>0</v>
      </c>
      <c r="ATG36" s="17">
        <f>'Form-Sb'!ATK94</f>
        <v>0</v>
      </c>
      <c r="ATH36" s="17">
        <f>'Form-Sb'!ATL94</f>
        <v>0</v>
      </c>
      <c r="ATI36" s="17">
        <f>'Form-Sb'!ATM94</f>
        <v>0</v>
      </c>
      <c r="ATJ36" s="17">
        <f>'Form-Sb'!ATN94</f>
        <v>0</v>
      </c>
      <c r="ATK36" s="17">
        <f>'Form-Sb'!ATO94</f>
        <v>0</v>
      </c>
      <c r="ATL36" s="17">
        <f>'Form-Sb'!ATP94</f>
        <v>0</v>
      </c>
      <c r="ATM36" s="17">
        <f>'Form-Sb'!ATQ94</f>
        <v>0</v>
      </c>
      <c r="ATN36" s="17">
        <f>'Form-Sb'!ATR94</f>
        <v>0</v>
      </c>
      <c r="ATO36" s="17">
        <f>'Form-Sb'!ATS94</f>
        <v>0</v>
      </c>
      <c r="ATP36" s="17">
        <f>'Form-Sb'!ATT94</f>
        <v>0</v>
      </c>
      <c r="ATQ36" s="17">
        <f>'Form-Sb'!ATU94</f>
        <v>0</v>
      </c>
      <c r="ATR36" s="17">
        <f>'Form-Sb'!ATV94</f>
        <v>0</v>
      </c>
      <c r="ATS36" s="17">
        <f>'Form-Sb'!ATW94</f>
        <v>0</v>
      </c>
      <c r="ATT36" s="17">
        <f>'Form-Sb'!ATX94</f>
        <v>0</v>
      </c>
      <c r="ATU36" s="17">
        <f>'Form-Sb'!ATY94</f>
        <v>0</v>
      </c>
      <c r="ATV36" s="17">
        <f>'Form-Sb'!ATZ94</f>
        <v>0</v>
      </c>
      <c r="ATW36" s="17">
        <f>'Form-Sb'!AUA94</f>
        <v>0</v>
      </c>
      <c r="ATX36" s="17">
        <f>'Form-Sb'!AUB94</f>
        <v>0</v>
      </c>
      <c r="ATY36" s="17">
        <f>'Form-Sb'!AUC94</f>
        <v>0</v>
      </c>
      <c r="ATZ36" s="17">
        <f>'Form-Sb'!AUD94</f>
        <v>0</v>
      </c>
      <c r="AUA36" s="17">
        <f>'Form-Sb'!AUE94</f>
        <v>0</v>
      </c>
      <c r="AUB36" s="17">
        <f>'Form-Sb'!AUF94</f>
        <v>0</v>
      </c>
      <c r="AUC36" s="17">
        <f>'Form-Sb'!AUG94</f>
        <v>0</v>
      </c>
      <c r="AUD36" s="17">
        <f>'Form-Sb'!AUH94</f>
        <v>0</v>
      </c>
      <c r="AUE36" s="17">
        <f>'Form-Sb'!AUI94</f>
        <v>0</v>
      </c>
      <c r="AUF36" s="17">
        <f>'Form-Sb'!AUJ94</f>
        <v>0</v>
      </c>
      <c r="AUG36" s="17">
        <f>'Form-Sb'!AUK94</f>
        <v>0</v>
      </c>
      <c r="AUH36" s="17">
        <f>'Form-Sb'!AUL94</f>
        <v>0</v>
      </c>
      <c r="AUI36" s="17">
        <f>'Form-Sb'!AUM94</f>
        <v>0</v>
      </c>
      <c r="AUJ36" s="17">
        <f>'Form-Sb'!AUN94</f>
        <v>0</v>
      </c>
      <c r="AUK36" s="17">
        <f>'Form-Sb'!AUO94</f>
        <v>0</v>
      </c>
      <c r="AUL36" s="17">
        <f>'Form-Sb'!AUP94</f>
        <v>0</v>
      </c>
      <c r="AUM36" s="17">
        <f>'Form-Sb'!AUQ94</f>
        <v>0</v>
      </c>
      <c r="AUN36" s="17">
        <f>'Form-Sb'!AUR94</f>
        <v>0</v>
      </c>
      <c r="AUO36" s="17">
        <f>'Form-Sb'!AUS94</f>
        <v>0</v>
      </c>
      <c r="AUP36" s="17">
        <f>'Form-Sb'!AUT94</f>
        <v>0</v>
      </c>
      <c r="AUQ36" s="17">
        <f>'Form-Sb'!AUU94</f>
        <v>0</v>
      </c>
      <c r="AUR36" s="17">
        <f>'Form-Sb'!AUV94</f>
        <v>0</v>
      </c>
      <c r="AUS36" s="17">
        <f>'Form-Sb'!AUW94</f>
        <v>0</v>
      </c>
      <c r="AUT36" s="17">
        <f>'Form-Sb'!AUX94</f>
        <v>0</v>
      </c>
      <c r="AUU36" s="17">
        <f>'Form-Sb'!AUY94</f>
        <v>0</v>
      </c>
      <c r="AUV36" s="17">
        <f>'Form-Sb'!AUZ94</f>
        <v>0</v>
      </c>
      <c r="AUW36" s="17">
        <f>'Form-Sb'!AVA94</f>
        <v>0</v>
      </c>
      <c r="AUX36" s="17">
        <f>'Form-Sb'!AVB94</f>
        <v>0</v>
      </c>
      <c r="AUY36" s="17">
        <f>'Form-Sb'!AVC94</f>
        <v>0</v>
      </c>
      <c r="AUZ36" s="17">
        <f>'Form-Sb'!AVD94</f>
        <v>0</v>
      </c>
      <c r="AVA36" s="17">
        <f>'Form-Sb'!AVE94</f>
        <v>0</v>
      </c>
      <c r="AVB36" s="17">
        <f>'Form-Sb'!AVF94</f>
        <v>0</v>
      </c>
      <c r="AVC36" s="17">
        <f>'Form-Sb'!AVG94</f>
        <v>0</v>
      </c>
      <c r="AVD36" s="17">
        <f>'Form-Sb'!AVH94</f>
        <v>0</v>
      </c>
      <c r="AVE36" s="17">
        <f>'Form-Sb'!AVI94</f>
        <v>0</v>
      </c>
      <c r="AVF36" s="17">
        <f>'Form-Sb'!AVJ94</f>
        <v>0</v>
      </c>
      <c r="AVG36" s="17">
        <f>'Form-Sb'!AVK94</f>
        <v>0</v>
      </c>
      <c r="AVH36" s="17">
        <f>'Form-Sb'!AVL94</f>
        <v>0</v>
      </c>
      <c r="AVI36" s="17">
        <f>'Form-Sb'!AVM94</f>
        <v>0</v>
      </c>
      <c r="AVJ36" s="17">
        <f>'Form-Sb'!AVN94</f>
        <v>0</v>
      </c>
      <c r="AVK36" s="17">
        <f>'Form-Sb'!AVO94</f>
        <v>0</v>
      </c>
      <c r="AVL36" s="17">
        <f>'Form-Sb'!AVP94</f>
        <v>0</v>
      </c>
      <c r="AVM36" s="17">
        <f>'Form-Sb'!AVQ94</f>
        <v>0</v>
      </c>
      <c r="AVN36" s="17">
        <f>'Form-Sb'!AVR94</f>
        <v>0</v>
      </c>
      <c r="AVO36" s="17">
        <f>'Form-Sb'!AVS94</f>
        <v>0</v>
      </c>
      <c r="AVP36" s="17">
        <f>'Form-Sb'!AVT94</f>
        <v>0</v>
      </c>
      <c r="AVQ36" s="17">
        <f>'Form-Sb'!AVU94</f>
        <v>0</v>
      </c>
      <c r="AVR36" s="17">
        <f>'Form-Sb'!AVV94</f>
        <v>0</v>
      </c>
      <c r="AVS36" s="17">
        <f>'Form-Sb'!AVW94</f>
        <v>0</v>
      </c>
      <c r="AVT36" s="17">
        <f>'Form-Sb'!AVX94</f>
        <v>0</v>
      </c>
      <c r="AVU36" s="17">
        <f>'Form-Sb'!AVY94</f>
        <v>0</v>
      </c>
      <c r="AVV36" s="17">
        <f>'Form-Sb'!AVZ94</f>
        <v>0</v>
      </c>
      <c r="AVW36" s="17">
        <f>'Form-Sb'!AWA94</f>
        <v>0</v>
      </c>
      <c r="AVX36" s="17">
        <f>'Form-Sb'!AWB94</f>
        <v>0</v>
      </c>
      <c r="AVY36" s="17">
        <f>'Form-Sb'!AWC94</f>
        <v>0</v>
      </c>
      <c r="AVZ36" s="17">
        <f>'Form-Sb'!AWD94</f>
        <v>0</v>
      </c>
      <c r="AWA36" s="17">
        <f>'Form-Sb'!AWE94</f>
        <v>0</v>
      </c>
      <c r="AWB36" s="17">
        <f>'Form-Sb'!AWF94</f>
        <v>0</v>
      </c>
      <c r="AWC36" s="17">
        <f>'Form-Sb'!AWG94</f>
        <v>0</v>
      </c>
      <c r="AWD36" s="17">
        <f>'Form-Sb'!AWH94</f>
        <v>0</v>
      </c>
      <c r="AWE36" s="17">
        <f>'Form-Sb'!AWI94</f>
        <v>0</v>
      </c>
      <c r="AWF36" s="17">
        <f>'Form-Sb'!AWJ94</f>
        <v>0</v>
      </c>
      <c r="AWG36" s="17">
        <f>'Form-Sb'!AWK94</f>
        <v>0</v>
      </c>
      <c r="AWH36" s="17">
        <f>'Form-Sb'!AWL94</f>
        <v>0</v>
      </c>
      <c r="AWI36" s="17">
        <f>'Form-Sb'!AWM94</f>
        <v>0</v>
      </c>
      <c r="AWJ36" s="17">
        <f>'Form-Sb'!AWN94</f>
        <v>0</v>
      </c>
      <c r="AWK36" s="17">
        <f>'Form-Sb'!AWO94</f>
        <v>0</v>
      </c>
      <c r="AWL36" s="17">
        <f>'Form-Sb'!AWP94</f>
        <v>0</v>
      </c>
      <c r="AWM36" s="17">
        <f>'Form-Sb'!AWQ94</f>
        <v>0</v>
      </c>
      <c r="AWN36" s="17">
        <f>'Form-Sb'!AWR94</f>
        <v>0</v>
      </c>
      <c r="AWO36" s="17">
        <f>'Form-Sb'!AWS94</f>
        <v>0</v>
      </c>
      <c r="AWP36" s="17">
        <f>'Form-Sb'!AWT94</f>
        <v>0</v>
      </c>
      <c r="AWQ36" s="17">
        <f>'Form-Sb'!AWU94</f>
        <v>0</v>
      </c>
      <c r="AWR36" s="17">
        <f>'Form-Sb'!AWV94</f>
        <v>0</v>
      </c>
      <c r="AWS36" s="17">
        <f>'Form-Sb'!AWW94</f>
        <v>0</v>
      </c>
      <c r="AWT36" s="17">
        <f>'Form-Sb'!AWX94</f>
        <v>0</v>
      </c>
      <c r="AWU36" s="17">
        <f>'Form-Sb'!AWY94</f>
        <v>0</v>
      </c>
      <c r="AWV36" s="17">
        <f>'Form-Sb'!AWZ94</f>
        <v>0</v>
      </c>
      <c r="AWW36" s="17">
        <f>'Form-Sb'!AXA94</f>
        <v>0</v>
      </c>
      <c r="AWX36" s="17">
        <f>'Form-Sb'!AXB94</f>
        <v>0</v>
      </c>
      <c r="AWY36" s="17">
        <f>'Form-Sb'!AXC94</f>
        <v>0</v>
      </c>
      <c r="AWZ36" s="17">
        <f>'Form-Sb'!AXD94</f>
        <v>0</v>
      </c>
      <c r="AXA36" s="17">
        <f>'Form-Sb'!AXE94</f>
        <v>0</v>
      </c>
      <c r="AXB36" s="17">
        <f>'Form-Sb'!AXF94</f>
        <v>0</v>
      </c>
      <c r="AXC36" s="17">
        <f>'Form-Sb'!AXG94</f>
        <v>0</v>
      </c>
      <c r="AXD36" s="17">
        <f>'Form-Sb'!AXH94</f>
        <v>0</v>
      </c>
      <c r="AXE36" s="17">
        <f>'Form-Sb'!AXI94</f>
        <v>0</v>
      </c>
      <c r="AXF36" s="17">
        <f>'Form-Sb'!AXJ94</f>
        <v>0</v>
      </c>
      <c r="AXG36" s="17">
        <f>'Form-Sb'!AXK94</f>
        <v>0</v>
      </c>
      <c r="AXH36" s="17">
        <f>'Form-Sb'!AXL94</f>
        <v>0</v>
      </c>
      <c r="AXI36" s="17">
        <f>'Form-Sb'!AXM94</f>
        <v>0</v>
      </c>
      <c r="AXJ36" s="17">
        <f>'Form-Sb'!AXN94</f>
        <v>0</v>
      </c>
      <c r="AXK36" s="17">
        <f>'Form-Sb'!AXO94</f>
        <v>0</v>
      </c>
      <c r="AXL36" s="17">
        <f>'Form-Sb'!AXP94</f>
        <v>0</v>
      </c>
      <c r="AXM36" s="17">
        <f>'Form-Sb'!AXQ94</f>
        <v>0</v>
      </c>
      <c r="AXN36" s="17">
        <f>'Form-Sb'!AXR94</f>
        <v>0</v>
      </c>
      <c r="AXO36" s="17">
        <f>'Form-Sb'!AXS94</f>
        <v>0</v>
      </c>
      <c r="AXP36" s="17">
        <f>'Form-Sb'!AXT94</f>
        <v>0</v>
      </c>
      <c r="AXQ36" s="17">
        <f>'Form-Sb'!AXU94</f>
        <v>0</v>
      </c>
      <c r="AXR36" s="17">
        <f>'Form-Sb'!AXV94</f>
        <v>0</v>
      </c>
      <c r="AXS36" s="17">
        <f>'Form-Sb'!AXW94</f>
        <v>0</v>
      </c>
      <c r="AXT36" s="17">
        <f>'Form-Sb'!AXX94</f>
        <v>0</v>
      </c>
      <c r="AXU36" s="17">
        <f>'Form-Sb'!AXY94</f>
        <v>0</v>
      </c>
      <c r="AXV36" s="17">
        <f>'Form-Sb'!AXZ94</f>
        <v>0</v>
      </c>
      <c r="AXW36" s="17">
        <f>'Form-Sb'!AYA94</f>
        <v>0</v>
      </c>
      <c r="AXX36" s="17">
        <f>'Form-Sb'!AYB94</f>
        <v>0</v>
      </c>
      <c r="AXY36" s="17">
        <f>'Form-Sb'!AYC94</f>
        <v>0</v>
      </c>
      <c r="AXZ36" s="17">
        <f>'Form-Sb'!AYD94</f>
        <v>0</v>
      </c>
      <c r="AYA36" s="17">
        <f>'Form-Sb'!AYE94</f>
        <v>0</v>
      </c>
      <c r="AYB36" s="17">
        <f>'Form-Sb'!AYF94</f>
        <v>0</v>
      </c>
      <c r="AYC36" s="17">
        <f>'Form-Sb'!AYG94</f>
        <v>0</v>
      </c>
      <c r="AYD36" s="17">
        <f>'Form-Sb'!AYH94</f>
        <v>0</v>
      </c>
      <c r="AYE36" s="17">
        <f>'Form-Sb'!AYI94</f>
        <v>0</v>
      </c>
      <c r="AYF36" s="17">
        <f>'Form-Sb'!AYJ94</f>
        <v>0</v>
      </c>
      <c r="AYG36" s="17">
        <f>'Form-Sb'!AYK94</f>
        <v>0</v>
      </c>
      <c r="AYH36" s="17">
        <f>'Form-Sb'!AYL94</f>
        <v>0</v>
      </c>
      <c r="AYI36" s="17">
        <f>'Form-Sb'!AYM94</f>
        <v>0</v>
      </c>
      <c r="AYJ36" s="17">
        <f>'Form-Sb'!AYN94</f>
        <v>0</v>
      </c>
      <c r="AYK36" s="17">
        <f>'Form-Sb'!AYO94</f>
        <v>0</v>
      </c>
      <c r="AYL36" s="17">
        <f>'Form-Sb'!AYP94</f>
        <v>0</v>
      </c>
      <c r="AYM36" s="17">
        <f>'Form-Sb'!AYQ94</f>
        <v>0</v>
      </c>
      <c r="AYN36" s="17">
        <f>'Form-Sb'!AYR94</f>
        <v>0</v>
      </c>
      <c r="AYO36" s="17">
        <f>'Form-Sb'!AYS94</f>
        <v>0</v>
      </c>
      <c r="AYP36" s="17">
        <f>'Form-Sb'!AYT94</f>
        <v>0</v>
      </c>
      <c r="AYQ36" s="17">
        <f>'Form-Sb'!AYU94</f>
        <v>0</v>
      </c>
      <c r="AYR36" s="17">
        <f>'Form-Sb'!AYV94</f>
        <v>0</v>
      </c>
      <c r="AYS36" s="17">
        <f>'Form-Sb'!AYW94</f>
        <v>0</v>
      </c>
      <c r="AYT36" s="17">
        <f>'Form-Sb'!AYX94</f>
        <v>0</v>
      </c>
      <c r="AYU36" s="17">
        <f>'Form-Sb'!AYY94</f>
        <v>0</v>
      </c>
      <c r="AYV36" s="17">
        <f>'Form-Sb'!AYZ94</f>
        <v>0</v>
      </c>
      <c r="AYW36" s="17">
        <f>'Form-Sb'!AZA94</f>
        <v>0</v>
      </c>
      <c r="AYX36" s="17">
        <f>'Form-Sb'!AZB94</f>
        <v>0</v>
      </c>
      <c r="AYY36" s="17">
        <f>'Form-Sb'!AZC94</f>
        <v>0</v>
      </c>
      <c r="AYZ36" s="17">
        <f>'Form-Sb'!AZD94</f>
        <v>0</v>
      </c>
      <c r="AZA36" s="17">
        <f>'Form-Sb'!AZE94</f>
        <v>0</v>
      </c>
      <c r="AZB36" s="17">
        <f>'Form-Sb'!AZF94</f>
        <v>0</v>
      </c>
      <c r="AZC36" s="17">
        <f>'Form-Sb'!AZG94</f>
        <v>0</v>
      </c>
      <c r="AZD36" s="17">
        <f>'Form-Sb'!AZH94</f>
        <v>0</v>
      </c>
      <c r="AZE36" s="17">
        <f>'Form-Sb'!AZI94</f>
        <v>0</v>
      </c>
      <c r="AZF36" s="17">
        <f>'Form-Sb'!AZJ94</f>
        <v>0</v>
      </c>
      <c r="AZG36" s="17">
        <f>'Form-Sb'!AZK94</f>
        <v>0</v>
      </c>
      <c r="AZH36" s="17">
        <f>'Form-Sb'!AZL94</f>
        <v>0</v>
      </c>
      <c r="AZI36" s="17">
        <f>'Form-Sb'!AZM94</f>
        <v>0</v>
      </c>
      <c r="AZJ36" s="17">
        <f>'Form-Sb'!AZN94</f>
        <v>0</v>
      </c>
      <c r="AZK36" s="17">
        <f>'Form-Sb'!AZO94</f>
        <v>0</v>
      </c>
      <c r="AZL36" s="17">
        <f>'Form-Sb'!AZP94</f>
        <v>0</v>
      </c>
      <c r="AZM36" s="17">
        <f>'Form-Sb'!AZQ94</f>
        <v>0</v>
      </c>
      <c r="AZN36" s="17">
        <f>'Form-Sb'!AZR94</f>
        <v>0</v>
      </c>
      <c r="AZO36" s="17">
        <f>'Form-Sb'!AZS94</f>
        <v>0</v>
      </c>
      <c r="AZP36" s="17">
        <f>'Form-Sb'!AZT94</f>
        <v>0</v>
      </c>
      <c r="AZQ36" s="17">
        <f>'Form-Sb'!AZU94</f>
        <v>0</v>
      </c>
      <c r="AZR36" s="17">
        <f>'Form-Sb'!AZV94</f>
        <v>0</v>
      </c>
      <c r="AZS36" s="17">
        <f>'Form-Sb'!AZW94</f>
        <v>0</v>
      </c>
      <c r="AZT36" s="17">
        <f>'Form-Sb'!AZX94</f>
        <v>0</v>
      </c>
      <c r="AZU36" s="17">
        <f>'Form-Sb'!AZY94</f>
        <v>0</v>
      </c>
      <c r="AZV36" s="17">
        <f>'Form-Sb'!AZZ94</f>
        <v>0</v>
      </c>
      <c r="AZW36" s="17">
        <f>'Form-Sb'!BAA94</f>
        <v>0</v>
      </c>
      <c r="AZX36" s="17">
        <f>'Form-Sb'!BAB94</f>
        <v>0</v>
      </c>
      <c r="AZY36" s="17">
        <f>'Form-Sb'!BAC94</f>
        <v>0</v>
      </c>
      <c r="AZZ36" s="17">
        <f>'Form-Sb'!BAD94</f>
        <v>0</v>
      </c>
      <c r="BAA36" s="17">
        <f>'Form-Sb'!BAE94</f>
        <v>0</v>
      </c>
      <c r="BAB36" s="17">
        <f>'Form-Sb'!BAF94</f>
        <v>0</v>
      </c>
      <c r="BAC36" s="17">
        <f>'Form-Sb'!BAG94</f>
        <v>0</v>
      </c>
      <c r="BAD36" s="17">
        <f>'Form-Sb'!BAH94</f>
        <v>0</v>
      </c>
      <c r="BAE36" s="17">
        <f>'Form-Sb'!BAI94</f>
        <v>0</v>
      </c>
      <c r="BAF36" s="17">
        <f>'Form-Sb'!BAJ94</f>
        <v>0</v>
      </c>
      <c r="BAG36" s="17">
        <f>'Form-Sb'!BAK94</f>
        <v>0</v>
      </c>
      <c r="BAH36" s="17">
        <f>'Form-Sb'!BAL94</f>
        <v>0</v>
      </c>
      <c r="BAI36" s="17">
        <f>'Form-Sb'!BAM94</f>
        <v>0</v>
      </c>
      <c r="BAJ36" s="17">
        <f>'Form-Sb'!BAN94</f>
        <v>0</v>
      </c>
      <c r="BAK36" s="17">
        <f>'Form-Sb'!BAO94</f>
        <v>0</v>
      </c>
      <c r="BAL36" s="17">
        <f>'Form-Sb'!BAP94</f>
        <v>0</v>
      </c>
      <c r="BAM36" s="17">
        <f>'Form-Sb'!BAQ94</f>
        <v>0</v>
      </c>
      <c r="BAN36" s="17">
        <f>'Form-Sb'!BAR94</f>
        <v>0</v>
      </c>
      <c r="BAO36" s="17">
        <f>'Form-Sb'!BAS94</f>
        <v>0</v>
      </c>
      <c r="BAP36" s="17">
        <f>'Form-Sb'!BAT94</f>
        <v>0</v>
      </c>
      <c r="BAQ36" s="17">
        <f>'Form-Sb'!BAU94</f>
        <v>0</v>
      </c>
      <c r="BAR36" s="17">
        <f>'Form-Sb'!BAV94</f>
        <v>0</v>
      </c>
      <c r="BAS36" s="17">
        <f>'Form-Sb'!BAW94</f>
        <v>0</v>
      </c>
      <c r="BAT36" s="17">
        <f>'Form-Sb'!BAX94</f>
        <v>0</v>
      </c>
      <c r="BAU36" s="17">
        <f>'Form-Sb'!BAY94</f>
        <v>0</v>
      </c>
      <c r="BAV36" s="17">
        <f>'Form-Sb'!BAZ94</f>
        <v>0</v>
      </c>
      <c r="BAW36" s="17">
        <f>'Form-Sb'!BBA94</f>
        <v>0</v>
      </c>
      <c r="BAX36" s="17">
        <f>'Form-Sb'!BBB94</f>
        <v>0</v>
      </c>
      <c r="BAY36" s="17">
        <f>'Form-Sb'!BBC94</f>
        <v>0</v>
      </c>
      <c r="BAZ36" s="17">
        <f>'Form-Sb'!BBD94</f>
        <v>0</v>
      </c>
      <c r="BBA36" s="17">
        <f>'Form-Sb'!BBE94</f>
        <v>0</v>
      </c>
      <c r="BBB36" s="17">
        <f>'Form-Sb'!BBF94</f>
        <v>0</v>
      </c>
      <c r="BBC36" s="17">
        <f>'Form-Sb'!BBG94</f>
        <v>0</v>
      </c>
      <c r="BBD36" s="17">
        <f>'Form-Sb'!BBH94</f>
        <v>0</v>
      </c>
      <c r="BBE36" s="17">
        <f>'Form-Sb'!BBI94</f>
        <v>0</v>
      </c>
      <c r="BBF36" s="17">
        <f>'Form-Sb'!BBJ94</f>
        <v>0</v>
      </c>
      <c r="BBG36" s="17">
        <f>'Form-Sb'!BBK94</f>
        <v>0</v>
      </c>
      <c r="BBH36" s="17">
        <f>'Form-Sb'!BBL94</f>
        <v>0</v>
      </c>
      <c r="BBI36" s="17">
        <f>'Form-Sb'!BBM94</f>
        <v>0</v>
      </c>
      <c r="BBJ36" s="17">
        <f>'Form-Sb'!BBN94</f>
        <v>0</v>
      </c>
      <c r="BBK36" s="17">
        <f>'Form-Sb'!BBO94</f>
        <v>0</v>
      </c>
      <c r="BBL36" s="17">
        <f>'Form-Sb'!BBP94</f>
        <v>0</v>
      </c>
      <c r="BBM36" s="17">
        <f>'Form-Sb'!BBQ94</f>
        <v>0</v>
      </c>
      <c r="BBN36" s="17">
        <f>'Form-Sb'!BBR94</f>
        <v>0</v>
      </c>
      <c r="BBO36" s="17">
        <f>'Form-Sb'!BBS94</f>
        <v>0</v>
      </c>
      <c r="BBP36" s="17">
        <f>'Form-Sb'!BBT94</f>
        <v>0</v>
      </c>
      <c r="BBQ36" s="17">
        <f>'Form-Sb'!BBU94</f>
        <v>0</v>
      </c>
      <c r="BBR36" s="17">
        <f>'Form-Sb'!BBV94</f>
        <v>0</v>
      </c>
      <c r="BBS36" s="17">
        <f>'Form-Sb'!BBW94</f>
        <v>0</v>
      </c>
      <c r="BBT36" s="17">
        <f>'Form-Sb'!BBX94</f>
        <v>0</v>
      </c>
      <c r="BBU36" s="17">
        <f>'Form-Sb'!BBY94</f>
        <v>0</v>
      </c>
      <c r="BBV36" s="17">
        <f>'Form-Sb'!BBZ94</f>
        <v>0</v>
      </c>
      <c r="BBW36" s="17">
        <f>'Form-Sb'!BCA94</f>
        <v>0</v>
      </c>
      <c r="BBX36" s="17">
        <f>'Form-Sb'!BCB94</f>
        <v>0</v>
      </c>
      <c r="BBY36" s="17">
        <f>'Form-Sb'!BCC94</f>
        <v>0</v>
      </c>
      <c r="BBZ36" s="17">
        <f>'Form-Sb'!BCD94</f>
        <v>0</v>
      </c>
      <c r="BCA36" s="17">
        <f>'Form-Sb'!BCE94</f>
        <v>0</v>
      </c>
      <c r="BCB36" s="17">
        <f>'Form-Sb'!BCF94</f>
        <v>0</v>
      </c>
      <c r="BCC36" s="17">
        <f>'Form-Sb'!BCG94</f>
        <v>0</v>
      </c>
      <c r="BCD36" s="17">
        <f>'Form-Sb'!BCH94</f>
        <v>0</v>
      </c>
      <c r="BCE36" s="17">
        <f>'Form-Sb'!BCI94</f>
        <v>0</v>
      </c>
      <c r="BCF36" s="17">
        <f>'Form-Sb'!BCJ94</f>
        <v>0</v>
      </c>
      <c r="BCG36" s="17">
        <f>'Form-Sb'!BCK94</f>
        <v>0</v>
      </c>
      <c r="BCH36" s="17">
        <f>'Form-Sb'!BCL94</f>
        <v>0</v>
      </c>
      <c r="BCI36" s="17">
        <f>'Form-Sb'!BCM94</f>
        <v>0</v>
      </c>
      <c r="BCJ36" s="17">
        <f>'Form-Sb'!BCN94</f>
        <v>0</v>
      </c>
      <c r="BCK36" s="17">
        <f>'Form-Sb'!BCO94</f>
        <v>0</v>
      </c>
      <c r="BCL36" s="17">
        <f>'Form-Sb'!BCP94</f>
        <v>0</v>
      </c>
      <c r="BCM36" s="17">
        <f>'Form-Sb'!BCQ94</f>
        <v>0</v>
      </c>
      <c r="BCN36" s="17">
        <f>'Form-Sb'!BCR94</f>
        <v>0</v>
      </c>
      <c r="BCO36" s="17">
        <f>'Form-Sb'!BCS94</f>
        <v>0</v>
      </c>
      <c r="BCP36" s="17">
        <f>'Form-Sb'!BCT94</f>
        <v>0</v>
      </c>
      <c r="BCQ36" s="17">
        <f>'Form-Sb'!BCU94</f>
        <v>0</v>
      </c>
      <c r="BCR36" s="17">
        <f>'Form-Sb'!BCV94</f>
        <v>0</v>
      </c>
      <c r="BCS36" s="17">
        <f>'Form-Sb'!BCW94</f>
        <v>0</v>
      </c>
      <c r="BCT36" s="17">
        <f>'Form-Sb'!BCX94</f>
        <v>0</v>
      </c>
      <c r="BCU36" s="17">
        <f>'Form-Sb'!BCY94</f>
        <v>0</v>
      </c>
      <c r="BCV36" s="17">
        <f>'Form-Sb'!BCZ94</f>
        <v>0</v>
      </c>
      <c r="BCW36" s="17">
        <f>'Form-Sb'!BDA94</f>
        <v>0</v>
      </c>
      <c r="BCX36" s="17">
        <f>'Form-Sb'!BDB94</f>
        <v>0</v>
      </c>
      <c r="BCY36" s="17">
        <f>'Form-Sb'!BDC94</f>
        <v>0</v>
      </c>
      <c r="BCZ36" s="17">
        <f>'Form-Sb'!BDD94</f>
        <v>0</v>
      </c>
      <c r="BDA36" s="17">
        <f>'Form-Sb'!BDE94</f>
        <v>0</v>
      </c>
      <c r="BDB36" s="17">
        <f>'Form-Sb'!BDF94</f>
        <v>0</v>
      </c>
      <c r="BDC36" s="17">
        <f>'Form-Sb'!BDG94</f>
        <v>0</v>
      </c>
      <c r="BDD36" s="17">
        <f>'Form-Sb'!BDH94</f>
        <v>0</v>
      </c>
      <c r="BDE36" s="17">
        <f>'Form-Sb'!BDI94</f>
        <v>0</v>
      </c>
      <c r="BDF36" s="17">
        <f>'Form-Sb'!BDJ94</f>
        <v>0</v>
      </c>
      <c r="BDG36" s="17">
        <f>'Form-Sb'!BDK94</f>
        <v>0</v>
      </c>
      <c r="BDH36" s="17">
        <f>'Form-Sb'!BDL94</f>
        <v>0</v>
      </c>
      <c r="BDI36" s="17">
        <f>'Form-Sb'!BDM94</f>
        <v>0</v>
      </c>
      <c r="BDJ36" s="17">
        <f>'Form-Sb'!BDN94</f>
        <v>0</v>
      </c>
      <c r="BDK36" s="17">
        <f>'Form-Sb'!BDO94</f>
        <v>0</v>
      </c>
      <c r="BDL36" s="17">
        <f>'Form-Sb'!BDP94</f>
        <v>0</v>
      </c>
      <c r="BDM36" s="17">
        <f>'Form-Sb'!BDQ94</f>
        <v>0</v>
      </c>
      <c r="BDN36" s="17">
        <f>'Form-Sb'!BDR94</f>
        <v>0</v>
      </c>
      <c r="BDO36" s="17">
        <f>'Form-Sb'!BDS94</f>
        <v>0</v>
      </c>
      <c r="BDP36" s="17">
        <f>'Form-Sb'!BDT94</f>
        <v>0</v>
      </c>
      <c r="BDQ36" s="17">
        <f>'Form-Sb'!BDU94</f>
        <v>0</v>
      </c>
      <c r="BDR36" s="17">
        <f>'Form-Sb'!BDV94</f>
        <v>0</v>
      </c>
      <c r="BDS36" s="17">
        <f>'Form-Sb'!BDW94</f>
        <v>0</v>
      </c>
      <c r="BDT36" s="17">
        <f>'Form-Sb'!BDX94</f>
        <v>0</v>
      </c>
      <c r="BDU36" s="17">
        <f>'Form-Sb'!BDY94</f>
        <v>0</v>
      </c>
      <c r="BDV36" s="17">
        <f>'Form-Sb'!BDZ94</f>
        <v>0</v>
      </c>
      <c r="BDW36" s="17">
        <f>'Form-Sb'!BEA94</f>
        <v>0</v>
      </c>
      <c r="BDX36" s="17">
        <f>'Form-Sb'!BEB94</f>
        <v>0</v>
      </c>
      <c r="BDY36" s="17">
        <f>'Form-Sb'!BEC94</f>
        <v>0</v>
      </c>
      <c r="BDZ36" s="17">
        <f>'Form-Sb'!BED94</f>
        <v>0</v>
      </c>
      <c r="BEA36" s="17">
        <f>'Form-Sb'!BEE94</f>
        <v>0</v>
      </c>
      <c r="BEB36" s="17">
        <f>'Form-Sb'!BEF94</f>
        <v>0</v>
      </c>
      <c r="BEC36" s="17">
        <f>'Form-Sb'!BEG94</f>
        <v>0</v>
      </c>
      <c r="BED36" s="17">
        <f>'Form-Sb'!BEH94</f>
        <v>0</v>
      </c>
      <c r="BEE36" s="17">
        <f>'Form-Sb'!BEI94</f>
        <v>0</v>
      </c>
      <c r="BEF36" s="17">
        <f>'Form-Sb'!BEJ94</f>
        <v>0</v>
      </c>
      <c r="BEG36" s="17">
        <f>'Form-Sb'!BEK94</f>
        <v>0</v>
      </c>
      <c r="BEH36" s="17">
        <f>'Form-Sb'!BEL94</f>
        <v>0</v>
      </c>
      <c r="BEI36" s="17">
        <f>'Form-Sb'!BEM94</f>
        <v>0</v>
      </c>
      <c r="BEJ36" s="17">
        <f>'Form-Sb'!BEN94</f>
        <v>0</v>
      </c>
      <c r="BEK36" s="17">
        <f>'Form-Sb'!BEO94</f>
        <v>0</v>
      </c>
      <c r="BEL36" s="17">
        <f>'Form-Sb'!BEP94</f>
        <v>0</v>
      </c>
      <c r="BEM36" s="17">
        <f>'Form-Sb'!BEQ94</f>
        <v>0</v>
      </c>
      <c r="BEN36" s="17">
        <f>'Form-Sb'!BER94</f>
        <v>0</v>
      </c>
      <c r="BEO36" s="17">
        <f>'Form-Sb'!BES94</f>
        <v>0</v>
      </c>
      <c r="BEP36" s="17">
        <f>'Form-Sb'!BET94</f>
        <v>0</v>
      </c>
      <c r="BEQ36" s="17">
        <f>'Form-Sb'!BEU94</f>
        <v>0</v>
      </c>
      <c r="BER36" s="17">
        <f>'Form-Sb'!BEV94</f>
        <v>0</v>
      </c>
      <c r="BES36" s="17">
        <f>'Form-Sb'!BEW94</f>
        <v>0</v>
      </c>
      <c r="BET36" s="17">
        <f>'Form-Sb'!BEX94</f>
        <v>0</v>
      </c>
      <c r="BEU36" s="17">
        <f>'Form-Sb'!BEY94</f>
        <v>0</v>
      </c>
      <c r="BEV36" s="17">
        <f>'Form-Sb'!BEZ94</f>
        <v>0</v>
      </c>
      <c r="BEW36" s="17">
        <f>'Form-Sb'!BFA94</f>
        <v>0</v>
      </c>
      <c r="BEX36" s="17">
        <f>'Form-Sb'!BFB94</f>
        <v>0</v>
      </c>
      <c r="BEY36" s="17">
        <f>'Form-Sb'!BFC94</f>
        <v>0</v>
      </c>
      <c r="BEZ36" s="17">
        <f>'Form-Sb'!BFD94</f>
        <v>0</v>
      </c>
      <c r="BFA36" s="17">
        <f>'Form-Sb'!BFE94</f>
        <v>0</v>
      </c>
      <c r="BFB36" s="17">
        <f>'Form-Sb'!BFF94</f>
        <v>0</v>
      </c>
      <c r="BFC36" s="17">
        <f>'Form-Sb'!BFG94</f>
        <v>0</v>
      </c>
      <c r="BFD36" s="17">
        <f>'Form-Sb'!BFH94</f>
        <v>0</v>
      </c>
      <c r="BFE36" s="17">
        <f>'Form-Sb'!BFI94</f>
        <v>0</v>
      </c>
      <c r="BFF36" s="17">
        <f>'Form-Sb'!BFJ94</f>
        <v>0</v>
      </c>
      <c r="BFG36" s="17">
        <f>'Form-Sb'!BFK94</f>
        <v>0</v>
      </c>
      <c r="BFH36" s="17">
        <f>'Form-Sb'!BFL94</f>
        <v>0</v>
      </c>
      <c r="BFI36" s="17">
        <f>'Form-Sb'!BFM94</f>
        <v>0</v>
      </c>
      <c r="BFJ36" s="17">
        <f>'Form-Sb'!BFN94</f>
        <v>0</v>
      </c>
      <c r="BFK36" s="17">
        <f>'Form-Sb'!BFO94</f>
        <v>0</v>
      </c>
      <c r="BFL36" s="17">
        <f>'Form-Sb'!BFP94</f>
        <v>0</v>
      </c>
      <c r="BFM36" s="17">
        <f>'Form-Sb'!BFQ94</f>
        <v>0</v>
      </c>
      <c r="BFN36" s="17">
        <f>'Form-Sb'!BFR94</f>
        <v>0</v>
      </c>
      <c r="BFO36" s="17">
        <f>'Form-Sb'!BFS94</f>
        <v>0</v>
      </c>
      <c r="BFP36" s="17">
        <f>'Form-Sb'!BFT94</f>
        <v>0</v>
      </c>
      <c r="BFQ36" s="17">
        <f>'Form-Sb'!BFU94</f>
        <v>0</v>
      </c>
      <c r="BFR36" s="17">
        <f>'Form-Sb'!BFV94</f>
        <v>0</v>
      </c>
      <c r="BFS36" s="17">
        <f>'Form-Sb'!BFW94</f>
        <v>0</v>
      </c>
      <c r="BFT36" s="17">
        <f>'Form-Sb'!BFX94</f>
        <v>0</v>
      </c>
      <c r="BFU36" s="17">
        <f>'Form-Sb'!BFY94</f>
        <v>0</v>
      </c>
      <c r="BFV36" s="17">
        <f>'Form-Sb'!BFZ94</f>
        <v>0</v>
      </c>
      <c r="BFW36" s="17">
        <f>'Form-Sb'!BGA94</f>
        <v>0</v>
      </c>
      <c r="BFX36" s="17">
        <f>'Form-Sb'!BGB94</f>
        <v>0</v>
      </c>
      <c r="BFY36" s="17">
        <f>'Form-Sb'!BGC94</f>
        <v>0</v>
      </c>
      <c r="BFZ36" s="17">
        <f>'Form-Sb'!BGD94</f>
        <v>0</v>
      </c>
      <c r="BGA36" s="17">
        <f>'Form-Sb'!BGE94</f>
        <v>0</v>
      </c>
      <c r="BGB36" s="17">
        <f>'Form-Sb'!BGF94</f>
        <v>0</v>
      </c>
      <c r="BGC36" s="17">
        <f>'Form-Sb'!BGG94</f>
        <v>0</v>
      </c>
      <c r="BGD36" s="17">
        <f>'Form-Sb'!BGH94</f>
        <v>0</v>
      </c>
      <c r="BGE36" s="17">
        <f>'Form-Sb'!BGI94</f>
        <v>0</v>
      </c>
      <c r="BGF36" s="17">
        <f>'Form-Sb'!BGJ94</f>
        <v>0</v>
      </c>
      <c r="BGG36" s="17">
        <f>'Form-Sb'!BGK94</f>
        <v>0</v>
      </c>
      <c r="BGH36" s="17">
        <f>'Form-Sb'!BGL94</f>
        <v>0</v>
      </c>
      <c r="BGI36" s="17">
        <f>'Form-Sb'!BGM94</f>
        <v>0</v>
      </c>
      <c r="BGJ36" s="17">
        <f>'Form-Sb'!BGN94</f>
        <v>0</v>
      </c>
      <c r="BGK36" s="17">
        <f>'Form-Sb'!BGO94</f>
        <v>0</v>
      </c>
      <c r="BGL36" s="17">
        <f>'Form-Sb'!BGP94</f>
        <v>0</v>
      </c>
      <c r="BGM36" s="17">
        <f>'Form-Sb'!BGQ94</f>
        <v>0</v>
      </c>
      <c r="BGN36" s="17">
        <f>'Form-Sb'!BGR94</f>
        <v>0</v>
      </c>
      <c r="BGO36" s="17">
        <f>'Form-Sb'!BGS94</f>
        <v>0</v>
      </c>
      <c r="BGP36" s="17">
        <f>'Form-Sb'!BGT94</f>
        <v>0</v>
      </c>
      <c r="BGQ36" s="17">
        <f>'Form-Sb'!BGU94</f>
        <v>0</v>
      </c>
      <c r="BGR36" s="17">
        <f>'Form-Sb'!BGV94</f>
        <v>0</v>
      </c>
      <c r="BGS36" s="17">
        <f>'Form-Sb'!BGW94</f>
        <v>0</v>
      </c>
      <c r="BGT36" s="17">
        <f>'Form-Sb'!BGX94</f>
        <v>0</v>
      </c>
      <c r="BGU36" s="17">
        <f>'Form-Sb'!BGY94</f>
        <v>0</v>
      </c>
      <c r="BGV36" s="17">
        <f>'Form-Sb'!BGZ94</f>
        <v>0</v>
      </c>
      <c r="BGW36" s="17">
        <f>'Form-Sb'!BHA94</f>
        <v>0</v>
      </c>
      <c r="BGX36" s="17">
        <f>'Form-Sb'!BHB94</f>
        <v>0</v>
      </c>
      <c r="BGY36" s="17">
        <f>'Form-Sb'!BHC94</f>
        <v>0</v>
      </c>
      <c r="BGZ36" s="17">
        <f>'Form-Sb'!BHD94</f>
        <v>0</v>
      </c>
      <c r="BHA36" s="17">
        <f>'Form-Sb'!BHE94</f>
        <v>0</v>
      </c>
      <c r="BHB36" s="17">
        <f>'Form-Sb'!BHF94</f>
        <v>0</v>
      </c>
      <c r="BHC36" s="17">
        <f>'Form-Sb'!BHG94</f>
        <v>0</v>
      </c>
      <c r="BHD36" s="17">
        <f>'Form-Sb'!BHH94</f>
        <v>0</v>
      </c>
      <c r="BHE36" s="17">
        <f>'Form-Sb'!BHI94</f>
        <v>0</v>
      </c>
      <c r="BHF36" s="17">
        <f>'Form-Sb'!BHJ94</f>
        <v>0</v>
      </c>
      <c r="BHG36" s="17">
        <f>'Form-Sb'!BHK94</f>
        <v>0</v>
      </c>
      <c r="BHH36" s="17">
        <f>'Form-Sb'!BHL94</f>
        <v>0</v>
      </c>
      <c r="BHI36" s="17">
        <f>'Form-Sb'!BHM94</f>
        <v>0</v>
      </c>
      <c r="BHJ36" s="17">
        <f>'Form-Sb'!BHN94</f>
        <v>0</v>
      </c>
      <c r="BHK36" s="17">
        <f>'Form-Sb'!BHO94</f>
        <v>0</v>
      </c>
      <c r="BHL36" s="17">
        <f>'Form-Sb'!BHP94</f>
        <v>0</v>
      </c>
      <c r="BHM36" s="17">
        <f>'Form-Sb'!BHQ94</f>
        <v>0</v>
      </c>
      <c r="BHN36" s="17">
        <f>'Form-Sb'!BHR94</f>
        <v>0</v>
      </c>
      <c r="BHO36" s="17">
        <f>'Form-Sb'!BHS94</f>
        <v>0</v>
      </c>
      <c r="BHP36" s="17">
        <f>'Form-Sb'!BHT94</f>
        <v>0</v>
      </c>
      <c r="BHQ36" s="17">
        <f>'Form-Sb'!BHU94</f>
        <v>0</v>
      </c>
      <c r="BHR36" s="17">
        <f>'Form-Sb'!BHV94</f>
        <v>0</v>
      </c>
      <c r="BHS36" s="17">
        <f>'Form-Sb'!BHW94</f>
        <v>0</v>
      </c>
      <c r="BHT36" s="17">
        <f>'Form-Sb'!BHX94</f>
        <v>0</v>
      </c>
      <c r="BHU36" s="17">
        <f>'Form-Sb'!BHY94</f>
        <v>0</v>
      </c>
      <c r="BHV36" s="17">
        <f>'Form-Sb'!BHZ94</f>
        <v>0</v>
      </c>
      <c r="BHW36" s="17">
        <f>'Form-Sb'!BIA94</f>
        <v>0</v>
      </c>
      <c r="BHX36" s="17">
        <f>'Form-Sb'!BIB94</f>
        <v>0</v>
      </c>
      <c r="BHY36" s="17">
        <f>'Form-Sb'!BIC94</f>
        <v>0</v>
      </c>
      <c r="BHZ36" s="17">
        <f>'Form-Sb'!BID94</f>
        <v>0</v>
      </c>
      <c r="BIA36" s="17">
        <f>'Form-Sb'!BIE94</f>
        <v>0</v>
      </c>
      <c r="BIB36" s="17">
        <f>'Form-Sb'!BIF94</f>
        <v>0</v>
      </c>
      <c r="BIC36" s="17">
        <f>'Form-Sb'!BIG94</f>
        <v>0</v>
      </c>
      <c r="BID36" s="17">
        <f>'Form-Sb'!BIH94</f>
        <v>0</v>
      </c>
      <c r="BIE36" s="17">
        <f>'Form-Sb'!BII94</f>
        <v>0</v>
      </c>
      <c r="BIF36" s="17">
        <f>'Form-Sb'!BIJ94</f>
        <v>0</v>
      </c>
      <c r="BIG36" s="17">
        <f>'Form-Sb'!BIK94</f>
        <v>0</v>
      </c>
      <c r="BIH36" s="17">
        <f>'Form-Sb'!BIL94</f>
        <v>0</v>
      </c>
      <c r="BII36" s="17">
        <f>'Form-Sb'!BIM94</f>
        <v>0</v>
      </c>
      <c r="BIJ36" s="17">
        <f>'Form-Sb'!BIN94</f>
        <v>0</v>
      </c>
      <c r="BIK36" s="17">
        <f>'Form-Sb'!BIO94</f>
        <v>0</v>
      </c>
      <c r="BIL36" s="17">
        <f>'Form-Sb'!BIP94</f>
        <v>0</v>
      </c>
      <c r="BIM36" s="17">
        <f>'Form-Sb'!BIQ94</f>
        <v>0</v>
      </c>
      <c r="BIN36" s="17">
        <f>'Form-Sb'!BIR94</f>
        <v>0</v>
      </c>
      <c r="BIO36" s="17">
        <f>'Form-Sb'!BIS94</f>
        <v>0</v>
      </c>
      <c r="BIP36" s="17">
        <f>'Form-Sb'!BIT94</f>
        <v>0</v>
      </c>
      <c r="BIQ36" s="17">
        <f>'Form-Sb'!BIU94</f>
        <v>0</v>
      </c>
      <c r="BIR36" s="17">
        <f>'Form-Sb'!BIV94</f>
        <v>0</v>
      </c>
      <c r="BIS36" s="17">
        <f>'Form-Sb'!BIW94</f>
        <v>0</v>
      </c>
      <c r="BIT36" s="17">
        <f>'Form-Sb'!BIX94</f>
        <v>0</v>
      </c>
      <c r="BIU36" s="17">
        <f>'Form-Sb'!BIY94</f>
        <v>0</v>
      </c>
      <c r="BIV36" s="17">
        <f>'Form-Sb'!BIZ94</f>
        <v>0</v>
      </c>
      <c r="BIW36" s="17">
        <f>'Form-Sb'!BJA94</f>
        <v>0</v>
      </c>
      <c r="BIX36" s="17">
        <f>'Form-Sb'!BJB94</f>
        <v>0</v>
      </c>
      <c r="BIY36" s="17">
        <f>'Form-Sb'!BJC94</f>
        <v>0</v>
      </c>
      <c r="BIZ36" s="17">
        <f>'Form-Sb'!BJD94</f>
        <v>0</v>
      </c>
      <c r="BJA36" s="17">
        <f>'Form-Sb'!BJE94</f>
        <v>0</v>
      </c>
      <c r="BJB36" s="17">
        <f>'Form-Sb'!BJF94</f>
        <v>0</v>
      </c>
      <c r="BJC36" s="17">
        <f>'Form-Sb'!BJG94</f>
        <v>0</v>
      </c>
      <c r="BJD36" s="17">
        <f>'Form-Sb'!BJH94</f>
        <v>0</v>
      </c>
      <c r="BJE36" s="17">
        <f>'Form-Sb'!BJI94</f>
        <v>0</v>
      </c>
      <c r="BJF36" s="17">
        <f>'Form-Sb'!BJJ94</f>
        <v>0</v>
      </c>
      <c r="BJG36" s="17">
        <f>'Form-Sb'!BJK94</f>
        <v>0</v>
      </c>
      <c r="BJH36" s="17">
        <f>'Form-Sb'!BJL94</f>
        <v>0</v>
      </c>
      <c r="BJI36" s="17">
        <f>'Form-Sb'!BJM94</f>
        <v>0</v>
      </c>
      <c r="BJJ36" s="17">
        <f>'Form-Sb'!BJN94</f>
        <v>0</v>
      </c>
      <c r="BJK36" s="17">
        <f>'Form-Sb'!BJO94</f>
        <v>0</v>
      </c>
      <c r="BJL36" s="17">
        <f>'Form-Sb'!BJP94</f>
        <v>0</v>
      </c>
      <c r="BJM36" s="17">
        <f>'Form-Sb'!BJQ94</f>
        <v>0</v>
      </c>
      <c r="BJN36" s="17">
        <f>'Form-Sb'!BJR94</f>
        <v>0</v>
      </c>
      <c r="BJO36" s="17">
        <f>'Form-Sb'!BJS94</f>
        <v>0</v>
      </c>
      <c r="BJP36" s="17">
        <f>'Form-Sb'!BJT94</f>
        <v>0</v>
      </c>
      <c r="BJQ36" s="17">
        <f>'Form-Sb'!BJU94</f>
        <v>0</v>
      </c>
      <c r="BJR36" s="17">
        <f>'Form-Sb'!BJV94</f>
        <v>0</v>
      </c>
      <c r="BJS36" s="17">
        <f>'Form-Sb'!BJW94</f>
        <v>0</v>
      </c>
      <c r="BJT36" s="17">
        <f>'Form-Sb'!BJX94</f>
        <v>0</v>
      </c>
      <c r="BJU36" s="17">
        <f>'Form-Sb'!BJY94</f>
        <v>0</v>
      </c>
      <c r="BJV36" s="17">
        <f>'Form-Sb'!BJZ94</f>
        <v>0</v>
      </c>
      <c r="BJW36" s="17">
        <f>'Form-Sb'!BKA94</f>
        <v>0</v>
      </c>
      <c r="BJX36" s="17">
        <f>'Form-Sb'!BKB94</f>
        <v>0</v>
      </c>
      <c r="BJY36" s="17">
        <f>'Form-Sb'!BKC94</f>
        <v>0</v>
      </c>
      <c r="BJZ36" s="17">
        <f>'Form-Sb'!BKD94</f>
        <v>0</v>
      </c>
      <c r="BKA36" s="17">
        <f>'Form-Sb'!BKE94</f>
        <v>0</v>
      </c>
      <c r="BKB36" s="17">
        <f>'Form-Sb'!BKF94</f>
        <v>0</v>
      </c>
      <c r="BKC36" s="17">
        <f>'Form-Sb'!BKG94</f>
        <v>0</v>
      </c>
      <c r="BKD36" s="17">
        <f>'Form-Sb'!BKH94</f>
        <v>0</v>
      </c>
      <c r="BKE36" s="17">
        <f>'Form-Sb'!BKI94</f>
        <v>0</v>
      </c>
      <c r="BKF36" s="17">
        <f>'Form-Sb'!BKJ94</f>
        <v>0</v>
      </c>
      <c r="BKG36" s="17">
        <f>'Form-Sb'!BKK94</f>
        <v>0</v>
      </c>
      <c r="BKH36" s="17">
        <f>'Form-Sb'!BKL94</f>
        <v>0</v>
      </c>
      <c r="BKI36" s="17">
        <f>'Form-Sb'!BKM94</f>
        <v>0</v>
      </c>
      <c r="BKJ36" s="17">
        <f>'Form-Sb'!BKN94</f>
        <v>0</v>
      </c>
      <c r="BKK36" s="17">
        <f>'Form-Sb'!BKO94</f>
        <v>0</v>
      </c>
      <c r="BKL36" s="17">
        <f>'Form-Sb'!BKP94</f>
        <v>0</v>
      </c>
      <c r="BKM36" s="17">
        <f>'Form-Sb'!BKQ94</f>
        <v>0</v>
      </c>
      <c r="BKN36" s="17">
        <f>'Form-Sb'!BKR94</f>
        <v>0</v>
      </c>
      <c r="BKO36" s="17">
        <f>'Form-Sb'!BKS94</f>
        <v>0</v>
      </c>
      <c r="BKP36" s="17">
        <f>'Form-Sb'!BKT94</f>
        <v>0</v>
      </c>
      <c r="BKQ36" s="17">
        <f>'Form-Sb'!BKU94</f>
        <v>0</v>
      </c>
      <c r="BKR36" s="17">
        <f>'Form-Sb'!BKV94</f>
        <v>0</v>
      </c>
      <c r="BKS36" s="17">
        <f>'Form-Sb'!BKW94</f>
        <v>0</v>
      </c>
      <c r="BKT36" s="17">
        <f>'Form-Sb'!BKX94</f>
        <v>0</v>
      </c>
      <c r="BKU36" s="17">
        <f>'Form-Sb'!BKY94</f>
        <v>0</v>
      </c>
      <c r="BKV36" s="17">
        <f>'Form-Sb'!BKZ94</f>
        <v>0</v>
      </c>
      <c r="BKW36" s="17">
        <f>'Form-Sb'!BLA94</f>
        <v>0</v>
      </c>
      <c r="BKX36" s="17">
        <f>'Form-Sb'!BLB94</f>
        <v>0</v>
      </c>
      <c r="BKY36" s="17">
        <f>'Form-Sb'!BLC94</f>
        <v>0</v>
      </c>
      <c r="BKZ36" s="17">
        <f>'Form-Sb'!BLD94</f>
        <v>0</v>
      </c>
      <c r="BLA36" s="17">
        <f>'Form-Sb'!BLE94</f>
        <v>0</v>
      </c>
      <c r="BLB36" s="17">
        <f>'Form-Sb'!BLF94</f>
        <v>0</v>
      </c>
      <c r="BLC36" s="17">
        <f>'Form-Sb'!BLG94</f>
        <v>0</v>
      </c>
      <c r="BLD36" s="17">
        <f>'Form-Sb'!BLH94</f>
        <v>0</v>
      </c>
      <c r="BLE36" s="17">
        <f>'Form-Sb'!BLI94</f>
        <v>0</v>
      </c>
      <c r="BLF36" s="17">
        <f>'Form-Sb'!BLJ94</f>
        <v>0</v>
      </c>
      <c r="BLG36" s="17">
        <f>'Form-Sb'!BLK94</f>
        <v>0</v>
      </c>
      <c r="BLH36" s="17">
        <f>'Form-Sb'!BLL94</f>
        <v>0</v>
      </c>
      <c r="BLI36" s="17">
        <f>'Form-Sb'!BLM94</f>
        <v>0</v>
      </c>
      <c r="BLJ36" s="17">
        <f>'Form-Sb'!BLN94</f>
        <v>0</v>
      </c>
      <c r="BLK36" s="17">
        <f>'Form-Sb'!BLO94</f>
        <v>0</v>
      </c>
      <c r="BLL36" s="17">
        <f>'Form-Sb'!BLP94</f>
        <v>0</v>
      </c>
      <c r="BLM36" s="17">
        <f>'Form-Sb'!BLQ94</f>
        <v>0</v>
      </c>
      <c r="BLN36" s="17">
        <f>'Form-Sb'!BLR94</f>
        <v>0</v>
      </c>
      <c r="BLO36" s="17">
        <f>'Form-Sb'!BLS94</f>
        <v>0</v>
      </c>
      <c r="BLP36" s="17">
        <f>'Form-Sb'!BLT94</f>
        <v>0</v>
      </c>
      <c r="BLQ36" s="17">
        <f>'Form-Sb'!BLU94</f>
        <v>0</v>
      </c>
      <c r="BLR36" s="17">
        <f>'Form-Sb'!BLV94</f>
        <v>0</v>
      </c>
      <c r="BLS36" s="17">
        <f>'Form-Sb'!BLW94</f>
        <v>0</v>
      </c>
      <c r="BLT36" s="17">
        <f>'Form-Sb'!BLX94</f>
        <v>0</v>
      </c>
      <c r="BLU36" s="17">
        <f>'Form-Sb'!BLY94</f>
        <v>0</v>
      </c>
      <c r="BLV36" s="17">
        <f>'Form-Sb'!BLZ94</f>
        <v>0</v>
      </c>
      <c r="BLW36" s="17">
        <f>'Form-Sb'!BMA94</f>
        <v>0</v>
      </c>
      <c r="BLX36" s="17">
        <f>'Form-Sb'!BMB94</f>
        <v>0</v>
      </c>
      <c r="BLY36" s="17">
        <f>'Form-Sb'!BMC94</f>
        <v>0</v>
      </c>
      <c r="BLZ36" s="17">
        <f>'Form-Sb'!BMD94</f>
        <v>0</v>
      </c>
      <c r="BMA36" s="17">
        <f>'Form-Sb'!BME94</f>
        <v>0</v>
      </c>
      <c r="BMB36" s="17">
        <f>'Form-Sb'!BMF94</f>
        <v>0</v>
      </c>
      <c r="BMC36" s="17">
        <f>'Form-Sb'!BMG94</f>
        <v>0</v>
      </c>
      <c r="BMD36" s="17">
        <f>'Form-Sb'!BMH94</f>
        <v>0</v>
      </c>
      <c r="BME36" s="17">
        <f>'Form-Sb'!BMI94</f>
        <v>0</v>
      </c>
      <c r="BMF36" s="17">
        <f>'Form-Sb'!BMJ94</f>
        <v>0</v>
      </c>
      <c r="BMG36" s="17">
        <f>'Form-Sb'!BMK94</f>
        <v>0</v>
      </c>
      <c r="BMH36" s="17">
        <f>'Form-Sb'!BML94</f>
        <v>0</v>
      </c>
      <c r="BMI36" s="17">
        <f>'Form-Sb'!BMM94</f>
        <v>0</v>
      </c>
      <c r="BMJ36" s="17">
        <f>'Form-Sb'!BMN94</f>
        <v>0</v>
      </c>
      <c r="BMK36" s="17">
        <f>'Form-Sb'!BMO94</f>
        <v>0</v>
      </c>
      <c r="BML36" s="17">
        <f>'Form-Sb'!BMP94</f>
        <v>0</v>
      </c>
      <c r="BMM36" s="17">
        <f>'Form-Sb'!BMQ94</f>
        <v>0</v>
      </c>
      <c r="BMN36" s="17">
        <f>'Form-Sb'!BMR94</f>
        <v>0</v>
      </c>
      <c r="BMO36" s="17">
        <f>'Form-Sb'!BMS94</f>
        <v>0</v>
      </c>
      <c r="BMP36" s="17">
        <f>'Form-Sb'!BMT94</f>
        <v>0</v>
      </c>
      <c r="BMQ36" s="17">
        <f>'Form-Sb'!BMU94</f>
        <v>0</v>
      </c>
      <c r="BMR36" s="17">
        <f>'Form-Sb'!BMV94</f>
        <v>0</v>
      </c>
      <c r="BMS36" s="17">
        <f>'Form-Sb'!BMW94</f>
        <v>0</v>
      </c>
      <c r="BMT36" s="17">
        <f>'Form-Sb'!BMX94</f>
        <v>0</v>
      </c>
      <c r="BMU36" s="17">
        <f>'Form-Sb'!BMY94</f>
        <v>0</v>
      </c>
      <c r="BMV36" s="17">
        <f>'Form-Sb'!BMZ94</f>
        <v>0</v>
      </c>
      <c r="BMW36" s="17">
        <f>'Form-Sb'!BNA94</f>
        <v>0</v>
      </c>
      <c r="BMX36" s="17">
        <f>'Form-Sb'!BNB94</f>
        <v>0</v>
      </c>
      <c r="BMY36" s="17">
        <f>'Form-Sb'!BNC94</f>
        <v>0</v>
      </c>
      <c r="BMZ36" s="17">
        <f>'Form-Sb'!BND94</f>
        <v>0</v>
      </c>
      <c r="BNA36" s="17">
        <f>'Form-Sb'!BNE94</f>
        <v>0</v>
      </c>
      <c r="BNB36" s="17">
        <f>'Form-Sb'!BNF94</f>
        <v>0</v>
      </c>
      <c r="BNC36" s="17">
        <f>'Form-Sb'!BNG94</f>
        <v>0</v>
      </c>
      <c r="BND36" s="17">
        <f>'Form-Sb'!BNH94</f>
        <v>0</v>
      </c>
      <c r="BNE36" s="17">
        <f>'Form-Sb'!BNI94</f>
        <v>0</v>
      </c>
      <c r="BNF36" s="17">
        <f>'Form-Sb'!BNJ94</f>
        <v>0</v>
      </c>
      <c r="BNG36" s="17">
        <f>'Form-Sb'!BNK94</f>
        <v>0</v>
      </c>
      <c r="BNH36" s="17">
        <f>'Form-Sb'!BNL94</f>
        <v>0</v>
      </c>
      <c r="BNI36" s="17">
        <f>'Form-Sb'!BNM94</f>
        <v>0</v>
      </c>
      <c r="BNJ36" s="17">
        <f>'Form-Sb'!BNN94</f>
        <v>0</v>
      </c>
      <c r="BNK36" s="17">
        <f>'Form-Sb'!BNO94</f>
        <v>0</v>
      </c>
      <c r="BNL36" s="17">
        <f>'Form-Sb'!BNP94</f>
        <v>0</v>
      </c>
      <c r="BNM36" s="17">
        <f>'Form-Sb'!BNQ94</f>
        <v>0</v>
      </c>
      <c r="BNN36" s="17">
        <f>'Form-Sb'!BNR94</f>
        <v>0</v>
      </c>
      <c r="BNO36" s="17">
        <f>'Form-Sb'!BNS94</f>
        <v>0</v>
      </c>
      <c r="BNP36" s="17">
        <f>'Form-Sb'!BNT94</f>
        <v>0</v>
      </c>
      <c r="BNQ36" s="17">
        <f>'Form-Sb'!BNU94</f>
        <v>0</v>
      </c>
      <c r="BNR36" s="17">
        <f>'Form-Sb'!BNV94</f>
        <v>0</v>
      </c>
      <c r="BNS36" s="17">
        <f>'Form-Sb'!BNW94</f>
        <v>0</v>
      </c>
      <c r="BNT36" s="17">
        <f>'Form-Sb'!BNX94</f>
        <v>0</v>
      </c>
      <c r="BNU36" s="17">
        <f>'Form-Sb'!BNY94</f>
        <v>0</v>
      </c>
      <c r="BNV36" s="17">
        <f>'Form-Sb'!BNZ94</f>
        <v>0</v>
      </c>
      <c r="BNW36" s="17">
        <f>'Form-Sb'!BOA94</f>
        <v>0</v>
      </c>
      <c r="BNX36" s="17">
        <f>'Form-Sb'!BOB94</f>
        <v>0</v>
      </c>
      <c r="BNY36" s="17">
        <f>'Form-Sb'!BOC94</f>
        <v>0</v>
      </c>
      <c r="BNZ36" s="17">
        <f>'Form-Sb'!BOD94</f>
        <v>0</v>
      </c>
      <c r="BOA36" s="17">
        <f>'Form-Sb'!BOE94</f>
        <v>0</v>
      </c>
      <c r="BOB36" s="17">
        <f>'Form-Sb'!BOF94</f>
        <v>0</v>
      </c>
      <c r="BOC36" s="17">
        <f>'Form-Sb'!BOG94</f>
        <v>0</v>
      </c>
      <c r="BOD36" s="17">
        <f>'Form-Sb'!BOH94</f>
        <v>0</v>
      </c>
      <c r="BOE36" s="17">
        <f>'Form-Sb'!BOI94</f>
        <v>0</v>
      </c>
      <c r="BOF36" s="17">
        <f>'Form-Sb'!BOJ94</f>
        <v>0</v>
      </c>
      <c r="BOG36" s="17">
        <f>'Form-Sb'!BOK94</f>
        <v>0</v>
      </c>
      <c r="BOH36" s="17">
        <f>'Form-Sb'!BOL94</f>
        <v>0</v>
      </c>
      <c r="BOI36" s="17">
        <f>'Form-Sb'!BOM94</f>
        <v>0</v>
      </c>
      <c r="BOJ36" s="17">
        <f>'Form-Sb'!BON94</f>
        <v>0</v>
      </c>
      <c r="BOK36" s="17">
        <f>'Form-Sb'!BOO94</f>
        <v>0</v>
      </c>
      <c r="BOL36" s="17">
        <f>'Form-Sb'!BOP94</f>
        <v>0</v>
      </c>
      <c r="BOM36" s="17">
        <f>'Form-Sb'!BOQ94</f>
        <v>0</v>
      </c>
      <c r="BON36" s="17">
        <f>'Form-Sb'!BOR94</f>
        <v>0</v>
      </c>
      <c r="BOO36" s="17">
        <f>'Form-Sb'!BOS94</f>
        <v>0</v>
      </c>
      <c r="BOP36" s="17">
        <f>'Form-Sb'!BOT94</f>
        <v>0</v>
      </c>
      <c r="BOQ36" s="17">
        <f>'Form-Sb'!BOU94</f>
        <v>0</v>
      </c>
      <c r="BOR36" s="17">
        <f>'Form-Sb'!BOV94</f>
        <v>0</v>
      </c>
      <c r="BOS36" s="17">
        <f>'Form-Sb'!BOW94</f>
        <v>0</v>
      </c>
      <c r="BOT36" s="17">
        <f>'Form-Sb'!BOX94</f>
        <v>0</v>
      </c>
      <c r="BOU36" s="17">
        <f>'Form-Sb'!BOY94</f>
        <v>0</v>
      </c>
      <c r="BOV36" s="17">
        <f>'Form-Sb'!BOZ94</f>
        <v>0</v>
      </c>
      <c r="BOW36" s="17">
        <f>'Form-Sb'!BPA94</f>
        <v>0</v>
      </c>
      <c r="BOX36" s="17">
        <f>'Form-Sb'!BPB94</f>
        <v>0</v>
      </c>
      <c r="BOY36" s="17">
        <f>'Form-Sb'!BPC94</f>
        <v>0</v>
      </c>
      <c r="BOZ36" s="17">
        <f>'Form-Sb'!BPD94</f>
        <v>0</v>
      </c>
      <c r="BPA36" s="17">
        <f>'Form-Sb'!BPE94</f>
        <v>0</v>
      </c>
      <c r="BPB36" s="17">
        <f>'Form-Sb'!BPF94</f>
        <v>0</v>
      </c>
      <c r="BPC36" s="17">
        <f>'Form-Sb'!BPG94</f>
        <v>0</v>
      </c>
      <c r="BPD36" s="17">
        <f>'Form-Sb'!BPH94</f>
        <v>0</v>
      </c>
      <c r="BPE36" s="17">
        <f>'Form-Sb'!BPI94</f>
        <v>0</v>
      </c>
      <c r="BPF36" s="17">
        <f>'Form-Sb'!BPJ94</f>
        <v>0</v>
      </c>
      <c r="BPG36" s="17">
        <f>'Form-Sb'!BPK94</f>
        <v>0</v>
      </c>
      <c r="BPH36" s="17">
        <f>'Form-Sb'!BPL94</f>
        <v>0</v>
      </c>
      <c r="BPI36" s="17">
        <f>'Form-Sb'!BPM94</f>
        <v>0</v>
      </c>
      <c r="BPJ36" s="17">
        <f>'Form-Sb'!BPN94</f>
        <v>0</v>
      </c>
      <c r="BPK36" s="17">
        <f>'Form-Sb'!BPO94</f>
        <v>0</v>
      </c>
      <c r="BPL36" s="17">
        <f>'Form-Sb'!BPP94</f>
        <v>0</v>
      </c>
      <c r="BPM36" s="17">
        <f>'Form-Sb'!BPQ94</f>
        <v>0</v>
      </c>
      <c r="BPN36" s="17">
        <f>'Form-Sb'!BPR94</f>
        <v>0</v>
      </c>
      <c r="BPO36" s="17">
        <f>'Form-Sb'!BPS94</f>
        <v>0</v>
      </c>
      <c r="BPP36" s="17">
        <f>'Form-Sb'!BPT94</f>
        <v>0</v>
      </c>
      <c r="BPQ36" s="17">
        <f>'Form-Sb'!BPU94</f>
        <v>0</v>
      </c>
      <c r="BPR36" s="17">
        <f>'Form-Sb'!BPV94</f>
        <v>0</v>
      </c>
      <c r="BPS36" s="17">
        <f>'Form-Sb'!BPW94</f>
        <v>0</v>
      </c>
      <c r="BPT36" s="17">
        <f>'Form-Sb'!BPX94</f>
        <v>0</v>
      </c>
      <c r="BPU36" s="17">
        <f>'Form-Sb'!BPY94</f>
        <v>0</v>
      </c>
      <c r="BPV36" s="17">
        <f>'Form-Sb'!BPZ94</f>
        <v>0</v>
      </c>
      <c r="BPW36" s="17">
        <f>'Form-Sb'!BQA94</f>
        <v>0</v>
      </c>
      <c r="BPX36" s="17">
        <f>'Form-Sb'!BQB94</f>
        <v>0</v>
      </c>
      <c r="BPY36" s="17">
        <f>'Form-Sb'!BQC94</f>
        <v>0</v>
      </c>
      <c r="BPZ36" s="17">
        <f>'Form-Sb'!BQD94</f>
        <v>0</v>
      </c>
      <c r="BQA36" s="17">
        <f>'Form-Sb'!BQE94</f>
        <v>0</v>
      </c>
      <c r="BQB36" s="17">
        <f>'Form-Sb'!BQF94</f>
        <v>0</v>
      </c>
      <c r="BQC36" s="17">
        <f>'Form-Sb'!BQG94</f>
        <v>0</v>
      </c>
      <c r="BQD36" s="17">
        <f>'Form-Sb'!BQH94</f>
        <v>0</v>
      </c>
      <c r="BQE36" s="17">
        <f>'Form-Sb'!BQI94</f>
        <v>0</v>
      </c>
      <c r="BQF36" s="17">
        <f>'Form-Sb'!BQJ94</f>
        <v>0</v>
      </c>
      <c r="BQG36" s="17">
        <f>'Form-Sb'!BQK94</f>
        <v>0</v>
      </c>
      <c r="BQH36" s="17">
        <f>'Form-Sb'!BQL94</f>
        <v>0</v>
      </c>
      <c r="BQI36" s="17">
        <f>'Form-Sb'!BQM94</f>
        <v>0</v>
      </c>
      <c r="BQJ36" s="17">
        <f>'Form-Sb'!BQN94</f>
        <v>0</v>
      </c>
      <c r="BQK36" s="17">
        <f>'Form-Sb'!BQO94</f>
        <v>0</v>
      </c>
      <c r="BQL36" s="17">
        <f>'Form-Sb'!BQP94</f>
        <v>0</v>
      </c>
      <c r="BQM36" s="17">
        <f>'Form-Sb'!BQQ94</f>
        <v>0</v>
      </c>
      <c r="BQN36" s="17">
        <f>'Form-Sb'!BQR94</f>
        <v>0</v>
      </c>
      <c r="BQO36" s="17">
        <f>'Form-Sb'!BQS94</f>
        <v>0</v>
      </c>
      <c r="BQP36" s="17">
        <f>'Form-Sb'!BQT94</f>
        <v>0</v>
      </c>
      <c r="BQQ36" s="17">
        <f>'Form-Sb'!BQU94</f>
        <v>0</v>
      </c>
      <c r="BQR36" s="17">
        <f>'Form-Sb'!BQV94</f>
        <v>0</v>
      </c>
      <c r="BQS36" s="17">
        <f>'Form-Sb'!BQW94</f>
        <v>0</v>
      </c>
      <c r="BQT36" s="17">
        <f>'Form-Sb'!BQX94</f>
        <v>0</v>
      </c>
      <c r="BQU36" s="17">
        <f>'Form-Sb'!BQY94</f>
        <v>0</v>
      </c>
      <c r="BQV36" s="17">
        <f>'Form-Sb'!BQZ94</f>
        <v>0</v>
      </c>
      <c r="BQW36" s="17">
        <f>'Form-Sb'!BRA94</f>
        <v>0</v>
      </c>
      <c r="BQX36" s="17">
        <f>'Form-Sb'!BRB94</f>
        <v>0</v>
      </c>
      <c r="BQY36" s="17">
        <f>'Form-Sb'!BRC94</f>
        <v>0</v>
      </c>
      <c r="BQZ36" s="17">
        <f>'Form-Sb'!BRD94</f>
        <v>0</v>
      </c>
      <c r="BRA36" s="17">
        <f>'Form-Sb'!BRE94</f>
        <v>0</v>
      </c>
      <c r="BRB36" s="17">
        <f>'Form-Sb'!BRF94</f>
        <v>0</v>
      </c>
      <c r="BRC36" s="17">
        <f>'Form-Sb'!BRG94</f>
        <v>0</v>
      </c>
      <c r="BRD36" s="17">
        <f>'Form-Sb'!BRH94</f>
        <v>0</v>
      </c>
      <c r="BRE36" s="17">
        <f>'Form-Sb'!BRI94</f>
        <v>0</v>
      </c>
      <c r="BRF36" s="17">
        <f>'Form-Sb'!BRJ94</f>
        <v>0</v>
      </c>
      <c r="BRG36" s="17">
        <f>'Form-Sb'!BRK94</f>
        <v>0</v>
      </c>
      <c r="BRH36" s="17">
        <f>'Form-Sb'!BRL94</f>
        <v>0</v>
      </c>
      <c r="BRI36" s="17">
        <f>'Form-Sb'!BRM94</f>
        <v>0</v>
      </c>
      <c r="BRJ36" s="17">
        <f>'Form-Sb'!BRN94</f>
        <v>0</v>
      </c>
      <c r="BRK36" s="17">
        <f>'Form-Sb'!BRO94</f>
        <v>0</v>
      </c>
      <c r="BRL36" s="17">
        <f>'Form-Sb'!BRP94</f>
        <v>0</v>
      </c>
      <c r="BRM36" s="17">
        <f>'Form-Sb'!BRQ94</f>
        <v>0</v>
      </c>
      <c r="BRN36" s="17">
        <f>'Form-Sb'!BRR94</f>
        <v>0</v>
      </c>
      <c r="BRO36" s="17">
        <f>'Form-Sb'!BRS94</f>
        <v>0</v>
      </c>
      <c r="BRP36" s="17">
        <f>'Form-Sb'!BRT94</f>
        <v>0</v>
      </c>
      <c r="BRQ36" s="17">
        <f>'Form-Sb'!BRU94</f>
        <v>0</v>
      </c>
      <c r="BRR36" s="17">
        <f>'Form-Sb'!BRV94</f>
        <v>0</v>
      </c>
      <c r="BRS36" s="17">
        <f>'Form-Sb'!BRW94</f>
        <v>0</v>
      </c>
      <c r="BRT36" s="17">
        <f>'Form-Sb'!BRX94</f>
        <v>0</v>
      </c>
      <c r="BRU36" s="17">
        <f>'Form-Sb'!BRY94</f>
        <v>0</v>
      </c>
      <c r="BRV36" s="17">
        <f>'Form-Sb'!BRZ94</f>
        <v>0</v>
      </c>
      <c r="BRW36" s="17">
        <f>'Form-Sb'!BSA94</f>
        <v>0</v>
      </c>
      <c r="BRX36" s="17">
        <f>'Form-Sb'!BSB94</f>
        <v>0</v>
      </c>
      <c r="BRY36" s="17">
        <f>'Form-Sb'!BSC94</f>
        <v>0</v>
      </c>
      <c r="BRZ36" s="17">
        <f>'Form-Sb'!BSD94</f>
        <v>0</v>
      </c>
      <c r="BSA36" s="17">
        <f>'Form-Sb'!BSE94</f>
        <v>0</v>
      </c>
      <c r="BSB36" s="17">
        <f>'Form-Sb'!BSF94</f>
        <v>0</v>
      </c>
      <c r="BSC36" s="17">
        <f>'Form-Sb'!BSG94</f>
        <v>0</v>
      </c>
      <c r="BSD36" s="17">
        <f>'Form-Sb'!BSH94</f>
        <v>0</v>
      </c>
      <c r="BSE36" s="17">
        <f>'Form-Sb'!BSI94</f>
        <v>0</v>
      </c>
      <c r="BSF36" s="17">
        <f>'Form-Sb'!BSJ94</f>
        <v>0</v>
      </c>
      <c r="BSG36" s="17">
        <f>'Form-Sb'!BSK94</f>
        <v>0</v>
      </c>
      <c r="BSH36" s="17">
        <f>'Form-Sb'!BSL94</f>
        <v>0</v>
      </c>
      <c r="BSI36" s="17">
        <f>'Form-Sb'!BSM94</f>
        <v>0</v>
      </c>
      <c r="BSJ36" s="17">
        <f>'Form-Sb'!BSN94</f>
        <v>0</v>
      </c>
      <c r="BSK36" s="17">
        <f>'Form-Sb'!BSO94</f>
        <v>0</v>
      </c>
      <c r="BSL36" s="17">
        <f>'Form-Sb'!BSP94</f>
        <v>0</v>
      </c>
      <c r="BSM36" s="17">
        <f>'Form-Sb'!BSQ94</f>
        <v>0</v>
      </c>
      <c r="BSN36" s="17">
        <f>'Form-Sb'!BSR94</f>
        <v>0</v>
      </c>
      <c r="BSO36" s="17">
        <f>'Form-Sb'!BSS94</f>
        <v>0</v>
      </c>
      <c r="BSP36" s="17">
        <f>'Form-Sb'!BST94</f>
        <v>0</v>
      </c>
      <c r="BSQ36" s="17">
        <f>'Form-Sb'!BSU94</f>
        <v>0</v>
      </c>
      <c r="BSR36" s="17">
        <f>'Form-Sb'!BSV94</f>
        <v>0</v>
      </c>
      <c r="BSS36" s="17">
        <f>'Form-Sb'!BSW94</f>
        <v>0</v>
      </c>
      <c r="BST36" s="17">
        <f>'Form-Sb'!BSX94</f>
        <v>0</v>
      </c>
      <c r="BSU36" s="17">
        <f>'Form-Sb'!BSY94</f>
        <v>0</v>
      </c>
      <c r="BSV36" s="17">
        <f>'Form-Sb'!BSZ94</f>
        <v>0</v>
      </c>
      <c r="BSW36" s="17">
        <f>'Form-Sb'!BTA94</f>
        <v>0</v>
      </c>
      <c r="BSX36" s="17">
        <f>'Form-Sb'!BTB94</f>
        <v>0</v>
      </c>
      <c r="BSY36" s="17">
        <f>'Form-Sb'!BTC94</f>
        <v>0</v>
      </c>
      <c r="BSZ36" s="17">
        <f>'Form-Sb'!BTD94</f>
        <v>0</v>
      </c>
      <c r="BTA36" s="17">
        <f>'Form-Sb'!BTE94</f>
        <v>0</v>
      </c>
      <c r="BTB36" s="17">
        <f>'Form-Sb'!BTF94</f>
        <v>0</v>
      </c>
      <c r="BTC36" s="17">
        <f>'Form-Sb'!BTG94</f>
        <v>0</v>
      </c>
      <c r="BTD36" s="17">
        <f>'Form-Sb'!BTH94</f>
        <v>0</v>
      </c>
      <c r="BTE36" s="17">
        <f>'Form-Sb'!BTI94</f>
        <v>0</v>
      </c>
      <c r="BTF36" s="17">
        <f>'Form-Sb'!BTJ94</f>
        <v>0</v>
      </c>
      <c r="BTG36" s="17">
        <f>'Form-Sb'!BTK94</f>
        <v>0</v>
      </c>
      <c r="BTH36" s="17">
        <f>'Form-Sb'!BTL94</f>
        <v>0</v>
      </c>
      <c r="BTI36" s="17">
        <f>'Form-Sb'!BTM94</f>
        <v>0</v>
      </c>
      <c r="BTJ36" s="17">
        <f>'Form-Sb'!BTN94</f>
        <v>0</v>
      </c>
      <c r="BTK36" s="17">
        <f>'Form-Sb'!BTO94</f>
        <v>0</v>
      </c>
      <c r="BTL36" s="17">
        <f>'Form-Sb'!BTP94</f>
        <v>0</v>
      </c>
      <c r="BTM36" s="17">
        <f>'Form-Sb'!BTQ94</f>
        <v>0</v>
      </c>
      <c r="BTN36" s="17">
        <f>'Form-Sb'!BTR94</f>
        <v>0</v>
      </c>
      <c r="BTO36" s="17">
        <f>'Form-Sb'!BTS94</f>
        <v>0</v>
      </c>
      <c r="BTP36" s="17">
        <f>'Form-Sb'!BTT94</f>
        <v>0</v>
      </c>
      <c r="BTQ36" s="17">
        <f>'Form-Sb'!BTU94</f>
        <v>0</v>
      </c>
      <c r="BTR36" s="17">
        <f>'Form-Sb'!BTV94</f>
        <v>0</v>
      </c>
      <c r="BTS36" s="17">
        <f>'Form-Sb'!BTW94</f>
        <v>0</v>
      </c>
      <c r="BTT36" s="17">
        <f>'Form-Sb'!BTX94</f>
        <v>0</v>
      </c>
      <c r="BTU36" s="17">
        <f>'Form-Sb'!BTY94</f>
        <v>0</v>
      </c>
      <c r="BTV36" s="17">
        <f>'Form-Sb'!BTZ94</f>
        <v>0</v>
      </c>
      <c r="BTW36" s="17">
        <f>'Form-Sb'!BUA94</f>
        <v>0</v>
      </c>
      <c r="BTX36" s="17">
        <f>'Form-Sb'!BUB94</f>
        <v>0</v>
      </c>
      <c r="BTY36" s="17">
        <f>'Form-Sb'!BUC94</f>
        <v>0</v>
      </c>
      <c r="BTZ36" s="17">
        <f>'Form-Sb'!BUD94</f>
        <v>0</v>
      </c>
      <c r="BUA36" s="17">
        <f>'Form-Sb'!BUE94</f>
        <v>0</v>
      </c>
      <c r="BUB36" s="17">
        <f>'Form-Sb'!BUF94</f>
        <v>0</v>
      </c>
      <c r="BUC36" s="17">
        <f>'Form-Sb'!BUG94</f>
        <v>0</v>
      </c>
      <c r="BUD36" s="17">
        <f>'Form-Sb'!BUH94</f>
        <v>0</v>
      </c>
      <c r="BUE36" s="17">
        <f>'Form-Sb'!BUI94</f>
        <v>0</v>
      </c>
      <c r="BUF36" s="17">
        <f>'Form-Sb'!BUJ94</f>
        <v>0</v>
      </c>
      <c r="BUG36" s="17">
        <f>'Form-Sb'!BUK94</f>
        <v>0</v>
      </c>
      <c r="BUH36" s="17">
        <f>'Form-Sb'!BUL94</f>
        <v>0</v>
      </c>
      <c r="BUI36" s="17">
        <f>'Form-Sb'!BUM94</f>
        <v>0</v>
      </c>
      <c r="BUJ36" s="17">
        <f>'Form-Sb'!BUN94</f>
        <v>0</v>
      </c>
      <c r="BUK36" s="17">
        <f>'Form-Sb'!BUO94</f>
        <v>0</v>
      </c>
      <c r="BUL36" s="17">
        <f>'Form-Sb'!BUP94</f>
        <v>0</v>
      </c>
      <c r="BUM36" s="17">
        <f>'Form-Sb'!BUQ94</f>
        <v>0</v>
      </c>
      <c r="BUN36" s="17">
        <f>'Form-Sb'!BUR94</f>
        <v>0</v>
      </c>
      <c r="BUO36" s="17">
        <f>'Form-Sb'!BUS94</f>
        <v>0</v>
      </c>
      <c r="BUP36" s="17">
        <f>'Form-Sb'!BUT94</f>
        <v>0</v>
      </c>
      <c r="BUQ36" s="17">
        <f>'Form-Sb'!BUU94</f>
        <v>0</v>
      </c>
      <c r="BUR36" s="17">
        <f>'Form-Sb'!BUV94</f>
        <v>0</v>
      </c>
      <c r="BUS36" s="17">
        <f>'Form-Sb'!BUW94</f>
        <v>0</v>
      </c>
      <c r="BUT36" s="17">
        <f>'Form-Sb'!BUX94</f>
        <v>0</v>
      </c>
      <c r="BUU36" s="17">
        <f>'Form-Sb'!BUY94</f>
        <v>0</v>
      </c>
      <c r="BUV36" s="17">
        <f>'Form-Sb'!BUZ94</f>
        <v>0</v>
      </c>
      <c r="BUW36" s="17">
        <f>'Form-Sb'!BVA94</f>
        <v>0</v>
      </c>
      <c r="BUX36" s="17">
        <f>'Form-Sb'!BVB94</f>
        <v>0</v>
      </c>
      <c r="BUY36" s="17">
        <f>'Form-Sb'!BVC94</f>
        <v>0</v>
      </c>
      <c r="BUZ36" s="17">
        <f>'Form-Sb'!BVD94</f>
        <v>0</v>
      </c>
      <c r="BVA36" s="17">
        <f>'Form-Sb'!BVE94</f>
        <v>0</v>
      </c>
      <c r="BVB36" s="17">
        <f>'Form-Sb'!BVF94</f>
        <v>0</v>
      </c>
      <c r="BVC36" s="17">
        <f>'Form-Sb'!BVG94</f>
        <v>0</v>
      </c>
      <c r="BVD36" s="17">
        <f>'Form-Sb'!BVH94</f>
        <v>0</v>
      </c>
      <c r="BVE36" s="17">
        <f>'Form-Sb'!BVI94</f>
        <v>0</v>
      </c>
      <c r="BVF36" s="17">
        <f>'Form-Sb'!BVJ94</f>
        <v>0</v>
      </c>
      <c r="BVG36" s="17">
        <f>'Form-Sb'!BVK94</f>
        <v>0</v>
      </c>
      <c r="BVH36" s="17">
        <f>'Form-Sb'!BVL94</f>
        <v>0</v>
      </c>
      <c r="BVI36" s="17">
        <f>'Form-Sb'!BVM94</f>
        <v>0</v>
      </c>
      <c r="BVJ36" s="17">
        <f>'Form-Sb'!BVN94</f>
        <v>0</v>
      </c>
      <c r="BVK36" s="17">
        <f>'Form-Sb'!BVO94</f>
        <v>0</v>
      </c>
      <c r="BVL36" s="17">
        <f>'Form-Sb'!BVP94</f>
        <v>0</v>
      </c>
      <c r="BVM36" s="17">
        <f>'Form-Sb'!BVQ94</f>
        <v>0</v>
      </c>
      <c r="BVN36" s="17">
        <f>'Form-Sb'!BVR94</f>
        <v>0</v>
      </c>
      <c r="BVO36" s="17">
        <f>'Form-Sb'!BVS94</f>
        <v>0</v>
      </c>
      <c r="BVP36" s="17">
        <f>'Form-Sb'!BVT94</f>
        <v>0</v>
      </c>
      <c r="BVQ36" s="17">
        <f>'Form-Sb'!BVU94</f>
        <v>0</v>
      </c>
      <c r="BVR36" s="17">
        <f>'Form-Sb'!BVV94</f>
        <v>0</v>
      </c>
      <c r="BVS36" s="17">
        <f>'Form-Sb'!BVW94</f>
        <v>0</v>
      </c>
      <c r="BVT36" s="17">
        <f>'Form-Sb'!BVX94</f>
        <v>0</v>
      </c>
      <c r="BVU36" s="17">
        <f>'Form-Sb'!BVY94</f>
        <v>0</v>
      </c>
      <c r="BVV36" s="17">
        <f>'Form-Sb'!BVZ94</f>
        <v>0</v>
      </c>
      <c r="BVW36" s="17">
        <f>'Form-Sb'!BWA94</f>
        <v>0</v>
      </c>
      <c r="BVX36" s="17">
        <f>'Form-Sb'!BWB94</f>
        <v>0</v>
      </c>
      <c r="BVY36" s="17">
        <f>'Form-Sb'!BWC94</f>
        <v>0</v>
      </c>
      <c r="BVZ36" s="17">
        <f>'Form-Sb'!BWD94</f>
        <v>0</v>
      </c>
      <c r="BWA36" s="17">
        <f>'Form-Sb'!BWE94</f>
        <v>0</v>
      </c>
      <c r="BWB36" s="17">
        <f>'Form-Sb'!BWF94</f>
        <v>0</v>
      </c>
      <c r="BWC36" s="17">
        <f>'Form-Sb'!BWG94</f>
        <v>0</v>
      </c>
      <c r="BWD36" s="17">
        <f>'Form-Sb'!BWH94</f>
        <v>0</v>
      </c>
      <c r="BWE36" s="17">
        <f>'Form-Sb'!BWI94</f>
        <v>0</v>
      </c>
      <c r="BWF36" s="17">
        <f>'Form-Sb'!BWJ94</f>
        <v>0</v>
      </c>
      <c r="BWG36" s="17">
        <f>'Form-Sb'!BWK94</f>
        <v>0</v>
      </c>
      <c r="BWH36" s="17">
        <f>'Form-Sb'!BWL94</f>
        <v>0</v>
      </c>
      <c r="BWI36" s="17">
        <f>'Form-Sb'!BWM94</f>
        <v>0</v>
      </c>
      <c r="BWJ36" s="17">
        <f>'Form-Sb'!BWN94</f>
        <v>0</v>
      </c>
      <c r="BWK36" s="17">
        <f>'Form-Sb'!BWO94</f>
        <v>0</v>
      </c>
      <c r="BWL36" s="17">
        <f>'Form-Sb'!BWP94</f>
        <v>0</v>
      </c>
      <c r="BWM36" s="17">
        <f>'Form-Sb'!BWQ94</f>
        <v>0</v>
      </c>
      <c r="BWN36" s="17">
        <f>'Form-Sb'!BWR94</f>
        <v>0</v>
      </c>
      <c r="BWO36" s="17">
        <f>'Form-Sb'!BWS94</f>
        <v>0</v>
      </c>
      <c r="BWP36" s="17">
        <f>'Form-Sb'!BWT94</f>
        <v>0</v>
      </c>
      <c r="BWQ36" s="17">
        <f>'Form-Sb'!BWU94</f>
        <v>0</v>
      </c>
      <c r="BWR36" s="17">
        <f>'Form-Sb'!BWV94</f>
        <v>0</v>
      </c>
      <c r="BWS36" s="17">
        <f>'Form-Sb'!BWW94</f>
        <v>0</v>
      </c>
      <c r="BWT36" s="17">
        <f>'Form-Sb'!BWX94</f>
        <v>0</v>
      </c>
      <c r="BWU36" s="17">
        <f>'Form-Sb'!BWY94</f>
        <v>0</v>
      </c>
      <c r="BWV36" s="17">
        <f>'Form-Sb'!BWZ94</f>
        <v>0</v>
      </c>
      <c r="BWW36" s="17">
        <f>'Form-Sb'!BXA94</f>
        <v>0</v>
      </c>
      <c r="BWX36" s="17">
        <f>'Form-Sb'!BXB94</f>
        <v>0</v>
      </c>
      <c r="BWY36" s="17">
        <f>'Form-Sb'!BXC94</f>
        <v>0</v>
      </c>
      <c r="BWZ36" s="17">
        <f>'Form-Sb'!BXD94</f>
        <v>0</v>
      </c>
      <c r="BXA36" s="17">
        <f>'Form-Sb'!BXE94</f>
        <v>0</v>
      </c>
      <c r="BXB36" s="17">
        <f>'Form-Sb'!BXF94</f>
        <v>0</v>
      </c>
      <c r="BXC36" s="17">
        <f>'Form-Sb'!BXG94</f>
        <v>0</v>
      </c>
      <c r="BXD36" s="17">
        <f>'Form-Sb'!BXH94</f>
        <v>0</v>
      </c>
      <c r="BXE36" s="17">
        <f>'Form-Sb'!BXI94</f>
        <v>0</v>
      </c>
      <c r="BXF36" s="17">
        <f>'Form-Sb'!BXJ94</f>
        <v>0</v>
      </c>
      <c r="BXG36" s="17">
        <f>'Form-Sb'!BXK94</f>
        <v>0</v>
      </c>
      <c r="BXH36" s="17">
        <f>'Form-Sb'!BXL94</f>
        <v>0</v>
      </c>
      <c r="BXI36" s="17">
        <f>'Form-Sb'!BXM94</f>
        <v>0</v>
      </c>
      <c r="BXJ36" s="17">
        <f>'Form-Sb'!BXN94</f>
        <v>0</v>
      </c>
      <c r="BXK36" s="17">
        <f>'Form-Sb'!BXO94</f>
        <v>0</v>
      </c>
      <c r="BXL36" s="17">
        <f>'Form-Sb'!BXP94</f>
        <v>0</v>
      </c>
      <c r="BXM36" s="17">
        <f>'Form-Sb'!BXQ94</f>
        <v>0</v>
      </c>
      <c r="BXN36" s="17">
        <f>'Form-Sb'!BXR94</f>
        <v>0</v>
      </c>
      <c r="BXO36" s="17">
        <f>'Form-Sb'!BXS94</f>
        <v>0</v>
      </c>
      <c r="BXP36" s="17">
        <f>'Form-Sb'!BXT94</f>
        <v>0</v>
      </c>
      <c r="BXQ36" s="17">
        <f>'Form-Sb'!BXU94</f>
        <v>0</v>
      </c>
      <c r="BXR36" s="17">
        <f>'Form-Sb'!BXV94</f>
        <v>0</v>
      </c>
      <c r="BXS36" s="17">
        <f>'Form-Sb'!BXW94</f>
        <v>0</v>
      </c>
      <c r="BXT36" s="17">
        <f>'Form-Sb'!BXX94</f>
        <v>0</v>
      </c>
      <c r="BXU36" s="17">
        <f>'Form-Sb'!BXY94</f>
        <v>0</v>
      </c>
      <c r="BXV36" s="17">
        <f>'Form-Sb'!BXZ94</f>
        <v>0</v>
      </c>
      <c r="BXW36" s="17">
        <f>'Form-Sb'!BYA94</f>
        <v>0</v>
      </c>
      <c r="BXX36" s="17">
        <f>'Form-Sb'!BYB94</f>
        <v>0</v>
      </c>
      <c r="BXY36" s="17">
        <f>'Form-Sb'!BYC94</f>
        <v>0</v>
      </c>
      <c r="BXZ36" s="17">
        <f>'Form-Sb'!BYD94</f>
        <v>0</v>
      </c>
      <c r="BYA36" s="17">
        <f>'Form-Sb'!BYE94</f>
        <v>0</v>
      </c>
      <c r="BYB36" s="17">
        <f>'Form-Sb'!BYF94</f>
        <v>0</v>
      </c>
      <c r="BYC36" s="17">
        <f>'Form-Sb'!BYG94</f>
        <v>0</v>
      </c>
      <c r="BYD36" s="17">
        <f>'Form-Sb'!BYH94</f>
        <v>0</v>
      </c>
      <c r="BYE36" s="17">
        <f>'Form-Sb'!BYI94</f>
        <v>0</v>
      </c>
      <c r="BYF36" s="17">
        <f>'Form-Sb'!BYJ94</f>
        <v>0</v>
      </c>
      <c r="BYG36" s="17">
        <f>'Form-Sb'!BYK94</f>
        <v>0</v>
      </c>
      <c r="BYH36" s="17">
        <f>'Form-Sb'!BYL94</f>
        <v>0</v>
      </c>
      <c r="BYI36" s="17">
        <f>'Form-Sb'!BYM94</f>
        <v>0</v>
      </c>
      <c r="BYJ36" s="17">
        <f>'Form-Sb'!BYN94</f>
        <v>0</v>
      </c>
      <c r="BYK36" s="17">
        <f>'Form-Sb'!BYO94</f>
        <v>0</v>
      </c>
      <c r="BYL36" s="17">
        <f>'Form-Sb'!BYP94</f>
        <v>0</v>
      </c>
      <c r="BYM36" s="17">
        <f>'Form-Sb'!BYQ94</f>
        <v>0</v>
      </c>
      <c r="BYN36" s="17">
        <f>'Form-Sb'!BYR94</f>
        <v>0</v>
      </c>
      <c r="BYO36" s="17">
        <f>'Form-Sb'!BYS94</f>
        <v>0</v>
      </c>
      <c r="BYP36" s="17">
        <f>'Form-Sb'!BYT94</f>
        <v>0</v>
      </c>
      <c r="BYQ36" s="17">
        <f>'Form-Sb'!BYU94</f>
        <v>0</v>
      </c>
      <c r="BYR36" s="17">
        <f>'Form-Sb'!BYV94</f>
        <v>0</v>
      </c>
      <c r="BYS36" s="17">
        <f>'Form-Sb'!BYW94</f>
        <v>0</v>
      </c>
      <c r="BYT36" s="17">
        <f>'Form-Sb'!BYX94</f>
        <v>0</v>
      </c>
      <c r="BYU36" s="17">
        <f>'Form-Sb'!BYY94</f>
        <v>0</v>
      </c>
      <c r="BYV36" s="17">
        <f>'Form-Sb'!BYZ94</f>
        <v>0</v>
      </c>
      <c r="BYW36" s="17">
        <f>'Form-Sb'!BZA94</f>
        <v>0</v>
      </c>
      <c r="BYX36" s="17">
        <f>'Form-Sb'!BZB94</f>
        <v>0</v>
      </c>
      <c r="BYY36" s="17">
        <f>'Form-Sb'!BZC94</f>
        <v>0</v>
      </c>
      <c r="BYZ36" s="17">
        <f>'Form-Sb'!BZD94</f>
        <v>0</v>
      </c>
      <c r="BZA36" s="17">
        <f>'Form-Sb'!BZE94</f>
        <v>0</v>
      </c>
      <c r="BZB36" s="17">
        <f>'Form-Sb'!BZF94</f>
        <v>0</v>
      </c>
      <c r="BZC36" s="17">
        <f>'Form-Sb'!BZG94</f>
        <v>0</v>
      </c>
      <c r="BZD36" s="17">
        <f>'Form-Sb'!BZH94</f>
        <v>0</v>
      </c>
      <c r="BZE36" s="17">
        <f>'Form-Sb'!BZI94</f>
        <v>0</v>
      </c>
      <c r="BZF36" s="17">
        <f>'Form-Sb'!BZJ94</f>
        <v>0</v>
      </c>
      <c r="BZG36" s="17">
        <f>'Form-Sb'!BZK94</f>
        <v>0</v>
      </c>
      <c r="BZH36" s="17">
        <f>'Form-Sb'!BZL94</f>
        <v>0</v>
      </c>
      <c r="BZI36" s="17">
        <f>'Form-Sb'!BZM94</f>
        <v>0</v>
      </c>
      <c r="BZJ36" s="17">
        <f>'Form-Sb'!BZN94</f>
        <v>0</v>
      </c>
      <c r="BZK36" s="17">
        <f>'Form-Sb'!BZO94</f>
        <v>0</v>
      </c>
      <c r="BZL36" s="17">
        <f>'Form-Sb'!BZP94</f>
        <v>0</v>
      </c>
      <c r="BZM36" s="17">
        <f>'Form-Sb'!BZQ94</f>
        <v>0</v>
      </c>
      <c r="BZN36" s="17">
        <f>'Form-Sb'!BZR94</f>
        <v>0</v>
      </c>
      <c r="BZO36" s="17">
        <f>'Form-Sb'!BZS94</f>
        <v>0</v>
      </c>
      <c r="BZP36" s="17">
        <f>'Form-Sb'!BZT94</f>
        <v>0</v>
      </c>
      <c r="BZQ36" s="17">
        <f>'Form-Sb'!BZU94</f>
        <v>0</v>
      </c>
      <c r="BZR36" s="17">
        <f>'Form-Sb'!BZV94</f>
        <v>0</v>
      </c>
      <c r="BZS36" s="17">
        <f>'Form-Sb'!BZW94</f>
        <v>0</v>
      </c>
      <c r="BZT36" s="17">
        <f>'Form-Sb'!BZX94</f>
        <v>0</v>
      </c>
      <c r="BZU36" s="17">
        <f>'Form-Sb'!BZY94</f>
        <v>0</v>
      </c>
      <c r="BZV36" s="17">
        <f>'Form-Sb'!BZZ94</f>
        <v>0</v>
      </c>
      <c r="BZW36" s="17">
        <f>'Form-Sb'!CAA94</f>
        <v>0</v>
      </c>
      <c r="BZX36" s="17">
        <f>'Form-Sb'!CAB94</f>
        <v>0</v>
      </c>
      <c r="BZY36" s="17">
        <f>'Form-Sb'!CAC94</f>
        <v>0</v>
      </c>
      <c r="BZZ36" s="17">
        <f>'Form-Sb'!CAD94</f>
        <v>0</v>
      </c>
      <c r="CAA36" s="17">
        <f>'Form-Sb'!CAE94</f>
        <v>0</v>
      </c>
      <c r="CAB36" s="17">
        <f>'Form-Sb'!CAF94</f>
        <v>0</v>
      </c>
      <c r="CAC36" s="17">
        <f>'Form-Sb'!CAG94</f>
        <v>0</v>
      </c>
      <c r="CAD36" s="17">
        <f>'Form-Sb'!CAH94</f>
        <v>0</v>
      </c>
      <c r="CAE36" s="17">
        <f>'Form-Sb'!CAI94</f>
        <v>0</v>
      </c>
      <c r="CAF36" s="17">
        <f>'Form-Sb'!CAJ94</f>
        <v>0</v>
      </c>
      <c r="CAG36" s="17">
        <f>'Form-Sb'!CAK94</f>
        <v>0</v>
      </c>
      <c r="CAH36" s="17">
        <f>'Form-Sb'!CAL94</f>
        <v>0</v>
      </c>
      <c r="CAI36" s="17">
        <f>'Form-Sb'!CAM94</f>
        <v>0</v>
      </c>
      <c r="CAJ36" s="17">
        <f>'Form-Sb'!CAN94</f>
        <v>0</v>
      </c>
      <c r="CAK36" s="17">
        <f>'Form-Sb'!CAO94</f>
        <v>0</v>
      </c>
      <c r="CAL36" s="17">
        <f>'Form-Sb'!CAP94</f>
        <v>0</v>
      </c>
      <c r="CAM36" s="17">
        <f>'Form-Sb'!CAQ94</f>
        <v>0</v>
      </c>
      <c r="CAN36" s="17">
        <f>'Form-Sb'!CAR94</f>
        <v>0</v>
      </c>
      <c r="CAO36" s="17">
        <f>'Form-Sb'!CAS94</f>
        <v>0</v>
      </c>
      <c r="CAP36" s="17">
        <f>'Form-Sb'!CAT94</f>
        <v>0</v>
      </c>
      <c r="CAQ36" s="17">
        <f>'Form-Sb'!CAU94</f>
        <v>0</v>
      </c>
      <c r="CAR36" s="17">
        <f>'Form-Sb'!CAV94</f>
        <v>0</v>
      </c>
      <c r="CAS36" s="17">
        <f>'Form-Sb'!CAW94</f>
        <v>0</v>
      </c>
      <c r="CAT36" s="17">
        <f>'Form-Sb'!CAX94</f>
        <v>0</v>
      </c>
      <c r="CAU36" s="17">
        <f>'Form-Sb'!CAY94</f>
        <v>0</v>
      </c>
      <c r="CAV36" s="17">
        <f>'Form-Sb'!CAZ94</f>
        <v>0</v>
      </c>
      <c r="CAW36" s="17">
        <f>'Form-Sb'!CBA94</f>
        <v>0</v>
      </c>
      <c r="CAX36" s="17">
        <f>'Form-Sb'!CBB94</f>
        <v>0</v>
      </c>
      <c r="CAY36" s="17">
        <f>'Form-Sb'!CBC94</f>
        <v>0</v>
      </c>
      <c r="CAZ36" s="17">
        <f>'Form-Sb'!CBD94</f>
        <v>0</v>
      </c>
      <c r="CBA36" s="17">
        <f>'Form-Sb'!CBE94</f>
        <v>0</v>
      </c>
      <c r="CBB36" s="17">
        <f>'Form-Sb'!CBF94</f>
        <v>0</v>
      </c>
      <c r="CBC36" s="17">
        <f>'Form-Sb'!CBG94</f>
        <v>0</v>
      </c>
      <c r="CBD36" s="17">
        <f>'Form-Sb'!CBH94</f>
        <v>0</v>
      </c>
      <c r="CBE36" s="17">
        <f>'Form-Sb'!CBI94</f>
        <v>0</v>
      </c>
      <c r="CBF36" s="17">
        <f>'Form-Sb'!CBJ94</f>
        <v>0</v>
      </c>
      <c r="CBG36" s="17">
        <f>'Form-Sb'!CBK94</f>
        <v>0</v>
      </c>
      <c r="CBH36" s="17">
        <f>'Form-Sb'!CBL94</f>
        <v>0</v>
      </c>
      <c r="CBI36" s="17">
        <f>'Form-Sb'!CBM94</f>
        <v>0</v>
      </c>
      <c r="CBJ36" s="17">
        <f>'Form-Sb'!CBN94</f>
        <v>0</v>
      </c>
      <c r="CBK36" s="17">
        <f>'Form-Sb'!CBO94</f>
        <v>0</v>
      </c>
      <c r="CBL36" s="17">
        <f>'Form-Sb'!CBP94</f>
        <v>0</v>
      </c>
      <c r="CBM36" s="17">
        <f>'Form-Sb'!CBQ94</f>
        <v>0</v>
      </c>
      <c r="CBN36" s="17">
        <f>'Form-Sb'!CBR94</f>
        <v>0</v>
      </c>
      <c r="CBO36" s="17">
        <f>'Form-Sb'!CBS94</f>
        <v>0</v>
      </c>
      <c r="CBP36" s="17">
        <f>'Form-Sb'!CBT94</f>
        <v>0</v>
      </c>
      <c r="CBQ36" s="17">
        <f>'Form-Sb'!CBU94</f>
        <v>0</v>
      </c>
      <c r="CBR36" s="17">
        <f>'Form-Sb'!CBV94</f>
        <v>0</v>
      </c>
      <c r="CBS36" s="17">
        <f>'Form-Sb'!CBW94</f>
        <v>0</v>
      </c>
      <c r="CBT36" s="17">
        <f>'Form-Sb'!CBX94</f>
        <v>0</v>
      </c>
      <c r="CBU36" s="17">
        <f>'Form-Sb'!CBY94</f>
        <v>0</v>
      </c>
      <c r="CBV36" s="17">
        <f>'Form-Sb'!CBZ94</f>
        <v>0</v>
      </c>
      <c r="CBW36" s="17">
        <f>'Form-Sb'!CCA94</f>
        <v>0</v>
      </c>
      <c r="CBX36" s="17">
        <f>'Form-Sb'!CCB94</f>
        <v>0</v>
      </c>
      <c r="CBY36" s="17">
        <f>'Form-Sb'!CCC94</f>
        <v>0</v>
      </c>
      <c r="CBZ36" s="17">
        <f>'Form-Sb'!CCD94</f>
        <v>0</v>
      </c>
      <c r="CCA36" s="17">
        <f>'Form-Sb'!CCE94</f>
        <v>0</v>
      </c>
      <c r="CCB36" s="17">
        <f>'Form-Sb'!CCF94</f>
        <v>0</v>
      </c>
      <c r="CCC36" s="17">
        <f>'Form-Sb'!CCG94</f>
        <v>0</v>
      </c>
      <c r="CCD36" s="17">
        <f>'Form-Sb'!CCH94</f>
        <v>0</v>
      </c>
      <c r="CCE36" s="17">
        <f>'Form-Sb'!CCI94</f>
        <v>0</v>
      </c>
      <c r="CCF36" s="17">
        <f>'Form-Sb'!CCJ94</f>
        <v>0</v>
      </c>
      <c r="CCG36" s="17">
        <f>'Form-Sb'!CCK94</f>
        <v>0</v>
      </c>
      <c r="CCH36" s="17">
        <f>'Form-Sb'!CCL94</f>
        <v>0</v>
      </c>
      <c r="CCI36" s="17">
        <f>'Form-Sb'!CCM94</f>
        <v>0</v>
      </c>
      <c r="CCJ36" s="17">
        <f>'Form-Sb'!CCN94</f>
        <v>0</v>
      </c>
      <c r="CCK36" s="17">
        <f>'Form-Sb'!CCO94</f>
        <v>0</v>
      </c>
      <c r="CCL36" s="17">
        <f>'Form-Sb'!CCP94</f>
        <v>0</v>
      </c>
      <c r="CCM36" s="17">
        <f>'Form-Sb'!CCQ94</f>
        <v>0</v>
      </c>
      <c r="CCN36" s="17">
        <f>'Form-Sb'!CCR94</f>
        <v>0</v>
      </c>
      <c r="CCO36" s="17">
        <f>'Form-Sb'!CCS94</f>
        <v>0</v>
      </c>
      <c r="CCP36" s="17">
        <f>'Form-Sb'!CCT94</f>
        <v>0</v>
      </c>
      <c r="CCQ36" s="17">
        <f>'Form-Sb'!CCU94</f>
        <v>0</v>
      </c>
      <c r="CCR36" s="17">
        <f>'Form-Sb'!CCV94</f>
        <v>0</v>
      </c>
      <c r="CCS36" s="17">
        <f>'Form-Sb'!CCW94</f>
        <v>0</v>
      </c>
      <c r="CCT36" s="17">
        <f>'Form-Sb'!CCX94</f>
        <v>0</v>
      </c>
      <c r="CCU36" s="17">
        <f>'Form-Sb'!CCY94</f>
        <v>0</v>
      </c>
      <c r="CCV36" s="17">
        <f>'Form-Sb'!CCZ94</f>
        <v>0</v>
      </c>
      <c r="CCW36" s="17">
        <f>'Form-Sb'!CDA94</f>
        <v>0</v>
      </c>
      <c r="CCX36" s="17">
        <f>'Form-Sb'!CDB94</f>
        <v>0</v>
      </c>
      <c r="CCY36" s="17">
        <f>'Form-Sb'!CDC94</f>
        <v>0</v>
      </c>
      <c r="CCZ36" s="17">
        <f>'Form-Sb'!CDD94</f>
        <v>0</v>
      </c>
      <c r="CDA36" s="17">
        <f>'Form-Sb'!CDE94</f>
        <v>0</v>
      </c>
      <c r="CDB36" s="17">
        <f>'Form-Sb'!CDF94</f>
        <v>0</v>
      </c>
      <c r="CDC36" s="17">
        <f>'Form-Sb'!CDG94</f>
        <v>0</v>
      </c>
      <c r="CDD36" s="17">
        <f>'Form-Sb'!CDH94</f>
        <v>0</v>
      </c>
      <c r="CDE36" s="17">
        <f>'Form-Sb'!CDI94</f>
        <v>0</v>
      </c>
      <c r="CDF36" s="17">
        <f>'Form-Sb'!CDJ94</f>
        <v>0</v>
      </c>
      <c r="CDG36" s="17">
        <f>'Form-Sb'!CDK94</f>
        <v>0</v>
      </c>
      <c r="CDH36" s="17">
        <f>'Form-Sb'!CDL94</f>
        <v>0</v>
      </c>
      <c r="CDI36" s="17">
        <f>'Form-Sb'!CDM94</f>
        <v>0</v>
      </c>
      <c r="CDJ36" s="17">
        <f>'Form-Sb'!CDN94</f>
        <v>0</v>
      </c>
      <c r="CDK36" s="17">
        <f>'Form-Sb'!CDO94</f>
        <v>0</v>
      </c>
      <c r="CDL36" s="17">
        <f>'Form-Sb'!CDP94</f>
        <v>0</v>
      </c>
      <c r="CDM36" s="17">
        <f>'Form-Sb'!CDQ94</f>
        <v>0</v>
      </c>
      <c r="CDN36" s="17">
        <f>'Form-Sb'!CDR94</f>
        <v>0</v>
      </c>
      <c r="CDO36" s="17">
        <f>'Form-Sb'!CDS94</f>
        <v>0</v>
      </c>
      <c r="CDP36" s="17">
        <f>'Form-Sb'!CDT94</f>
        <v>0</v>
      </c>
      <c r="CDQ36" s="17">
        <f>'Form-Sb'!CDU94</f>
        <v>0</v>
      </c>
      <c r="CDR36" s="17">
        <f>'Form-Sb'!CDV94</f>
        <v>0</v>
      </c>
      <c r="CDS36" s="17">
        <f>'Form-Sb'!CDW94</f>
        <v>0</v>
      </c>
      <c r="CDT36" s="17">
        <f>'Form-Sb'!CDX94</f>
        <v>0</v>
      </c>
      <c r="CDU36" s="17">
        <f>'Form-Sb'!CDY94</f>
        <v>0</v>
      </c>
      <c r="CDV36" s="17">
        <f>'Form-Sb'!CDZ94</f>
        <v>0</v>
      </c>
      <c r="CDW36" s="17">
        <f>'Form-Sb'!CEA94</f>
        <v>0</v>
      </c>
      <c r="CDX36" s="17">
        <f>'Form-Sb'!CEB94</f>
        <v>0</v>
      </c>
      <c r="CDY36" s="17">
        <f>'Form-Sb'!CEC94</f>
        <v>0</v>
      </c>
      <c r="CDZ36" s="17">
        <f>'Form-Sb'!CED94</f>
        <v>0</v>
      </c>
      <c r="CEA36" s="17">
        <f>'Form-Sb'!CEE94</f>
        <v>0</v>
      </c>
      <c r="CEB36" s="17">
        <f>'Form-Sb'!CEF94</f>
        <v>0</v>
      </c>
      <c r="CEC36" s="17">
        <f>'Form-Sb'!CEG94</f>
        <v>0</v>
      </c>
      <c r="CED36" s="17">
        <f>'Form-Sb'!CEH94</f>
        <v>0</v>
      </c>
      <c r="CEE36" s="17">
        <f>'Form-Sb'!CEI94</f>
        <v>0</v>
      </c>
      <c r="CEF36" s="17">
        <f>'Form-Sb'!CEJ94</f>
        <v>0</v>
      </c>
      <c r="CEG36" s="17">
        <f>'Form-Sb'!CEK94</f>
        <v>0</v>
      </c>
      <c r="CEH36" s="17">
        <f>'Form-Sb'!CEL94</f>
        <v>0</v>
      </c>
      <c r="CEI36" s="17">
        <f>'Form-Sb'!CEM94</f>
        <v>0</v>
      </c>
      <c r="CEJ36" s="17">
        <f>'Form-Sb'!CEN94</f>
        <v>0</v>
      </c>
      <c r="CEK36" s="17">
        <f>'Form-Sb'!CEO94</f>
        <v>0</v>
      </c>
      <c r="CEL36" s="17">
        <f>'Form-Sb'!CEP94</f>
        <v>0</v>
      </c>
      <c r="CEM36" s="17">
        <f>'Form-Sb'!CEQ94</f>
        <v>0</v>
      </c>
      <c r="CEN36" s="17">
        <f>'Form-Sb'!CER94</f>
        <v>0</v>
      </c>
      <c r="CEO36" s="17">
        <f>'Form-Sb'!CES94</f>
        <v>0</v>
      </c>
      <c r="CEP36" s="17">
        <f>'Form-Sb'!CET94</f>
        <v>0</v>
      </c>
      <c r="CEQ36" s="17">
        <f>'Form-Sb'!CEU94</f>
        <v>0</v>
      </c>
      <c r="CER36" s="17">
        <f>'Form-Sb'!CEV94</f>
        <v>0</v>
      </c>
      <c r="CES36" s="17">
        <f>'Form-Sb'!CEW94</f>
        <v>0</v>
      </c>
      <c r="CET36" s="17">
        <f>'Form-Sb'!CEX94</f>
        <v>0</v>
      </c>
      <c r="CEU36" s="17">
        <f>'Form-Sb'!CEY94</f>
        <v>0</v>
      </c>
      <c r="CEV36" s="17">
        <f>'Form-Sb'!CEZ94</f>
        <v>0</v>
      </c>
      <c r="CEW36" s="17">
        <f>'Form-Sb'!CFA94</f>
        <v>0</v>
      </c>
      <c r="CEX36" s="17">
        <f>'Form-Sb'!CFB94</f>
        <v>0</v>
      </c>
      <c r="CEY36" s="17">
        <f>'Form-Sb'!CFC94</f>
        <v>0</v>
      </c>
      <c r="CEZ36" s="17">
        <f>'Form-Sb'!CFD94</f>
        <v>0</v>
      </c>
      <c r="CFA36" s="17">
        <f>'Form-Sb'!CFE94</f>
        <v>0</v>
      </c>
      <c r="CFB36" s="17">
        <f>'Form-Sb'!CFF94</f>
        <v>0</v>
      </c>
      <c r="CFC36" s="17">
        <f>'Form-Sb'!CFG94</f>
        <v>0</v>
      </c>
      <c r="CFD36" s="17">
        <f>'Form-Sb'!CFH94</f>
        <v>0</v>
      </c>
      <c r="CFE36" s="17">
        <f>'Form-Sb'!CFI94</f>
        <v>0</v>
      </c>
      <c r="CFF36" s="17">
        <f>'Form-Sb'!CFJ94</f>
        <v>0</v>
      </c>
      <c r="CFG36" s="17">
        <f>'Form-Sb'!CFK94</f>
        <v>0</v>
      </c>
      <c r="CFH36" s="17">
        <f>'Form-Sb'!CFL94</f>
        <v>0</v>
      </c>
      <c r="CFI36" s="17">
        <f>'Form-Sb'!CFM94</f>
        <v>0</v>
      </c>
      <c r="CFJ36" s="17">
        <f>'Form-Sb'!CFN94</f>
        <v>0</v>
      </c>
      <c r="CFK36" s="17">
        <f>'Form-Sb'!CFO94</f>
        <v>0</v>
      </c>
      <c r="CFL36" s="17">
        <f>'Form-Sb'!CFP94</f>
        <v>0</v>
      </c>
      <c r="CFM36" s="17">
        <f>'Form-Sb'!CFQ94</f>
        <v>0</v>
      </c>
      <c r="CFN36" s="17">
        <f>'Form-Sb'!CFR94</f>
        <v>0</v>
      </c>
      <c r="CFO36" s="17">
        <f>'Form-Sb'!CFS94</f>
        <v>0</v>
      </c>
      <c r="CFP36" s="17">
        <f>'Form-Sb'!CFT94</f>
        <v>0</v>
      </c>
      <c r="CFQ36" s="17">
        <f>'Form-Sb'!CFU94</f>
        <v>0</v>
      </c>
      <c r="CFR36" s="17">
        <f>'Form-Sb'!CFV94</f>
        <v>0</v>
      </c>
      <c r="CFS36" s="17">
        <f>'Form-Sb'!CFW94</f>
        <v>0</v>
      </c>
      <c r="CFT36" s="17">
        <f>'Form-Sb'!CFX94</f>
        <v>0</v>
      </c>
      <c r="CFU36" s="17">
        <f>'Form-Sb'!CFY94</f>
        <v>0</v>
      </c>
      <c r="CFV36" s="17">
        <f>'Form-Sb'!CFZ94</f>
        <v>0</v>
      </c>
      <c r="CFW36" s="17">
        <f>'Form-Sb'!CGA94</f>
        <v>0</v>
      </c>
      <c r="CFX36" s="17">
        <f>'Form-Sb'!CGB94</f>
        <v>0</v>
      </c>
      <c r="CFY36" s="17">
        <f>'Form-Sb'!CGC94</f>
        <v>0</v>
      </c>
      <c r="CFZ36" s="17">
        <f>'Form-Sb'!CGD94</f>
        <v>0</v>
      </c>
      <c r="CGA36" s="17">
        <f>'Form-Sb'!CGE94</f>
        <v>0</v>
      </c>
      <c r="CGB36" s="17">
        <f>'Form-Sb'!CGF94</f>
        <v>0</v>
      </c>
      <c r="CGC36" s="17">
        <f>'Form-Sb'!CGG94</f>
        <v>0</v>
      </c>
      <c r="CGD36" s="17">
        <f>'Form-Sb'!CGH94</f>
        <v>0</v>
      </c>
      <c r="CGE36" s="17">
        <f>'Form-Sb'!CGI94</f>
        <v>0</v>
      </c>
      <c r="CGF36" s="17">
        <f>'Form-Sb'!CGJ94</f>
        <v>0</v>
      </c>
      <c r="CGG36" s="17">
        <f>'Form-Sb'!CGK94</f>
        <v>0</v>
      </c>
      <c r="CGH36" s="17">
        <f>'Form-Sb'!CGL94</f>
        <v>0</v>
      </c>
      <c r="CGI36" s="17">
        <f>'Form-Sb'!CGM94</f>
        <v>0</v>
      </c>
      <c r="CGJ36" s="17">
        <f>'Form-Sb'!CGN94</f>
        <v>0</v>
      </c>
      <c r="CGK36" s="17">
        <f>'Form-Sb'!CGO94</f>
        <v>0</v>
      </c>
      <c r="CGL36" s="17">
        <f>'Form-Sb'!CGP94</f>
        <v>0</v>
      </c>
      <c r="CGM36" s="17">
        <f>'Form-Sb'!CGQ94</f>
        <v>0</v>
      </c>
      <c r="CGN36" s="17">
        <f>'Form-Sb'!CGR94</f>
        <v>0</v>
      </c>
      <c r="CGO36" s="17">
        <f>'Form-Sb'!CGS94</f>
        <v>0</v>
      </c>
      <c r="CGP36" s="17">
        <f>'Form-Sb'!CGT94</f>
        <v>0</v>
      </c>
      <c r="CGQ36" s="17">
        <f>'Form-Sb'!CGU94</f>
        <v>0</v>
      </c>
      <c r="CGR36" s="17">
        <f>'Form-Sb'!CGV94</f>
        <v>0</v>
      </c>
      <c r="CGS36" s="17">
        <f>'Form-Sb'!CGW94</f>
        <v>0</v>
      </c>
      <c r="CGT36" s="17">
        <f>'Form-Sb'!CGX94</f>
        <v>0</v>
      </c>
      <c r="CGU36" s="17">
        <f>'Form-Sb'!CGY94</f>
        <v>0</v>
      </c>
      <c r="CGV36" s="17">
        <f>'Form-Sb'!CGZ94</f>
        <v>0</v>
      </c>
      <c r="CGW36" s="17">
        <f>'Form-Sb'!CHA94</f>
        <v>0</v>
      </c>
      <c r="CGX36" s="17">
        <f>'Form-Sb'!CHB94</f>
        <v>0</v>
      </c>
      <c r="CGY36" s="17">
        <f>'Form-Sb'!CHC94</f>
        <v>0</v>
      </c>
      <c r="CGZ36" s="17">
        <f>'Form-Sb'!CHD94</f>
        <v>0</v>
      </c>
      <c r="CHA36" s="17">
        <f>'Form-Sb'!CHE94</f>
        <v>0</v>
      </c>
      <c r="CHB36" s="17">
        <f>'Form-Sb'!CHF94</f>
        <v>0</v>
      </c>
      <c r="CHC36" s="17">
        <f>'Form-Sb'!CHG94</f>
        <v>0</v>
      </c>
      <c r="CHD36" s="17">
        <f>'Form-Sb'!CHH94</f>
        <v>0</v>
      </c>
      <c r="CHE36" s="17">
        <f>'Form-Sb'!CHI94</f>
        <v>0</v>
      </c>
      <c r="CHF36" s="17">
        <f>'Form-Sb'!CHJ94</f>
        <v>0</v>
      </c>
      <c r="CHG36" s="17">
        <f>'Form-Sb'!CHK94</f>
        <v>0</v>
      </c>
      <c r="CHH36" s="17">
        <f>'Form-Sb'!CHL94</f>
        <v>0</v>
      </c>
      <c r="CHI36" s="17">
        <f>'Form-Sb'!CHM94</f>
        <v>0</v>
      </c>
      <c r="CHJ36" s="17">
        <f>'Form-Sb'!CHN94</f>
        <v>0</v>
      </c>
      <c r="CHK36" s="17">
        <f>'Form-Sb'!CHO94</f>
        <v>0</v>
      </c>
      <c r="CHL36" s="17">
        <f>'Form-Sb'!CHP94</f>
        <v>0</v>
      </c>
      <c r="CHM36" s="17">
        <f>'Form-Sb'!CHQ94</f>
        <v>0</v>
      </c>
      <c r="CHN36" s="17">
        <f>'Form-Sb'!CHR94</f>
        <v>0</v>
      </c>
      <c r="CHO36" s="17">
        <f>'Form-Sb'!CHS94</f>
        <v>0</v>
      </c>
      <c r="CHP36" s="17">
        <f>'Form-Sb'!CHT94</f>
        <v>0</v>
      </c>
      <c r="CHQ36" s="17">
        <f>'Form-Sb'!CHU94</f>
        <v>0</v>
      </c>
      <c r="CHR36" s="17">
        <f>'Form-Sb'!CHV94</f>
        <v>0</v>
      </c>
      <c r="CHS36" s="17">
        <f>'Form-Sb'!CHW94</f>
        <v>0</v>
      </c>
      <c r="CHT36" s="17">
        <f>'Form-Sb'!CHX94</f>
        <v>0</v>
      </c>
      <c r="CHU36" s="17">
        <f>'Form-Sb'!CHY94</f>
        <v>0</v>
      </c>
      <c r="CHV36" s="17">
        <f>'Form-Sb'!CHZ94</f>
        <v>0</v>
      </c>
      <c r="CHW36" s="17">
        <f>'Form-Sb'!CIA94</f>
        <v>0</v>
      </c>
      <c r="CHX36" s="17">
        <f>'Form-Sb'!CIB94</f>
        <v>0</v>
      </c>
      <c r="CHY36" s="17">
        <f>'Form-Sb'!CIC94</f>
        <v>0</v>
      </c>
      <c r="CHZ36" s="17">
        <f>'Form-Sb'!CID94</f>
        <v>0</v>
      </c>
      <c r="CIA36" s="17">
        <f>'Form-Sb'!CIE94</f>
        <v>0</v>
      </c>
      <c r="CIB36" s="17">
        <f>'Form-Sb'!CIF94</f>
        <v>0</v>
      </c>
      <c r="CIC36" s="17">
        <f>'Form-Sb'!CIG94</f>
        <v>0</v>
      </c>
      <c r="CID36" s="17">
        <f>'Form-Sb'!CIH94</f>
        <v>0</v>
      </c>
      <c r="CIE36" s="17">
        <f>'Form-Sb'!CII94</f>
        <v>0</v>
      </c>
      <c r="CIF36" s="17">
        <f>'Form-Sb'!CIJ94</f>
        <v>0</v>
      </c>
      <c r="CIG36" s="17">
        <f>'Form-Sb'!CIK94</f>
        <v>0</v>
      </c>
      <c r="CIH36" s="17">
        <f>'Form-Sb'!CIL94</f>
        <v>0</v>
      </c>
      <c r="CII36" s="17">
        <f>'Form-Sb'!CIM94</f>
        <v>0</v>
      </c>
      <c r="CIJ36" s="17">
        <f>'Form-Sb'!CIN94</f>
        <v>0</v>
      </c>
      <c r="CIK36" s="17">
        <f>'Form-Sb'!CIO94</f>
        <v>0</v>
      </c>
      <c r="CIL36" s="17">
        <f>'Form-Sb'!CIP94</f>
        <v>0</v>
      </c>
      <c r="CIM36" s="17">
        <f>'Form-Sb'!CIQ94</f>
        <v>0</v>
      </c>
      <c r="CIN36" s="17">
        <f>'Form-Sb'!CIR94</f>
        <v>0</v>
      </c>
      <c r="CIO36" s="17">
        <f>'Form-Sb'!CIS94</f>
        <v>0</v>
      </c>
      <c r="CIP36" s="17">
        <f>'Form-Sb'!CIT94</f>
        <v>0</v>
      </c>
      <c r="CIQ36" s="17">
        <f>'Form-Sb'!CIU94</f>
        <v>0</v>
      </c>
      <c r="CIR36" s="17">
        <f>'Form-Sb'!CIV94</f>
        <v>0</v>
      </c>
      <c r="CIS36" s="17">
        <f>'Form-Sb'!CIW94</f>
        <v>0</v>
      </c>
      <c r="CIT36" s="17">
        <f>'Form-Sb'!CIX94</f>
        <v>0</v>
      </c>
      <c r="CIU36" s="17">
        <f>'Form-Sb'!CIY94</f>
        <v>0</v>
      </c>
      <c r="CIV36" s="17">
        <f>'Form-Sb'!CIZ94</f>
        <v>0</v>
      </c>
      <c r="CIW36" s="17">
        <f>'Form-Sb'!CJA94</f>
        <v>0</v>
      </c>
      <c r="CIX36" s="17">
        <f>'Form-Sb'!CJB94</f>
        <v>0</v>
      </c>
      <c r="CIY36" s="17">
        <f>'Form-Sb'!CJC94</f>
        <v>0</v>
      </c>
      <c r="CIZ36" s="17">
        <f>'Form-Sb'!CJD94</f>
        <v>0</v>
      </c>
      <c r="CJA36" s="17">
        <f>'Form-Sb'!CJE94</f>
        <v>0</v>
      </c>
      <c r="CJB36" s="17">
        <f>'Form-Sb'!CJF94</f>
        <v>0</v>
      </c>
      <c r="CJC36" s="17">
        <f>'Form-Sb'!CJG94</f>
        <v>0</v>
      </c>
      <c r="CJD36" s="17">
        <f>'Form-Sb'!CJH94</f>
        <v>0</v>
      </c>
      <c r="CJE36" s="17">
        <f>'Form-Sb'!CJI94</f>
        <v>0</v>
      </c>
      <c r="CJF36" s="17">
        <f>'Form-Sb'!CJJ94</f>
        <v>0</v>
      </c>
      <c r="CJG36" s="17">
        <f>'Form-Sb'!CJK94</f>
        <v>0</v>
      </c>
      <c r="CJH36" s="17">
        <f>'Form-Sb'!CJL94</f>
        <v>0</v>
      </c>
      <c r="CJI36" s="17">
        <f>'Form-Sb'!CJM94</f>
        <v>0</v>
      </c>
      <c r="CJJ36" s="17">
        <f>'Form-Sb'!CJN94</f>
        <v>0</v>
      </c>
      <c r="CJK36" s="17">
        <f>'Form-Sb'!CJO94</f>
        <v>0</v>
      </c>
      <c r="CJL36" s="17">
        <f>'Form-Sb'!CJP94</f>
        <v>0</v>
      </c>
      <c r="CJM36" s="17">
        <f>'Form-Sb'!CJQ94</f>
        <v>0</v>
      </c>
      <c r="CJN36" s="17">
        <f>'Form-Sb'!CJR94</f>
        <v>0</v>
      </c>
      <c r="CJO36" s="17">
        <f>'Form-Sb'!CJS94</f>
        <v>0</v>
      </c>
      <c r="CJP36" s="17">
        <f>'Form-Sb'!CJT94</f>
        <v>0</v>
      </c>
      <c r="CJQ36" s="17">
        <f>'Form-Sb'!CJU94</f>
        <v>0</v>
      </c>
      <c r="CJR36" s="17">
        <f>'Form-Sb'!CJV94</f>
        <v>0</v>
      </c>
      <c r="CJS36" s="17">
        <f>'Form-Sb'!CJW94</f>
        <v>0</v>
      </c>
      <c r="CJT36" s="17">
        <f>'Form-Sb'!CJX94</f>
        <v>0</v>
      </c>
      <c r="CJU36" s="17">
        <f>'Form-Sb'!CJY94</f>
        <v>0</v>
      </c>
      <c r="CJV36" s="17">
        <f>'Form-Sb'!CJZ94</f>
        <v>0</v>
      </c>
      <c r="CJW36" s="17">
        <f>'Form-Sb'!CKA94</f>
        <v>0</v>
      </c>
      <c r="CJX36" s="17">
        <f>'Form-Sb'!CKB94</f>
        <v>0</v>
      </c>
      <c r="CJY36" s="17">
        <f>'Form-Sb'!CKC94</f>
        <v>0</v>
      </c>
      <c r="CJZ36" s="17">
        <f>'Form-Sb'!CKD94</f>
        <v>0</v>
      </c>
      <c r="CKA36" s="17">
        <f>'Form-Sb'!CKE94</f>
        <v>0</v>
      </c>
      <c r="CKB36" s="17">
        <f>'Form-Sb'!CKF94</f>
        <v>0</v>
      </c>
      <c r="CKC36" s="17">
        <f>'Form-Sb'!CKG94</f>
        <v>0</v>
      </c>
      <c r="CKD36" s="17">
        <f>'Form-Sb'!CKH94</f>
        <v>0</v>
      </c>
      <c r="CKE36" s="17">
        <f>'Form-Sb'!CKI94</f>
        <v>0</v>
      </c>
      <c r="CKF36" s="17">
        <f>'Form-Sb'!CKJ94</f>
        <v>0</v>
      </c>
      <c r="CKG36" s="17">
        <f>'Form-Sb'!CKK94</f>
        <v>0</v>
      </c>
      <c r="CKH36" s="17">
        <f>'Form-Sb'!CKL94</f>
        <v>0</v>
      </c>
      <c r="CKI36" s="17">
        <f>'Form-Sb'!CKM94</f>
        <v>0</v>
      </c>
      <c r="CKJ36" s="17">
        <f>'Form-Sb'!CKN94</f>
        <v>0</v>
      </c>
      <c r="CKK36" s="17">
        <f>'Form-Sb'!CKO94</f>
        <v>0</v>
      </c>
      <c r="CKL36" s="17">
        <f>'Form-Sb'!CKP94</f>
        <v>0</v>
      </c>
      <c r="CKM36" s="17">
        <f>'Form-Sb'!CKQ94</f>
        <v>0</v>
      </c>
      <c r="CKN36" s="17">
        <f>'Form-Sb'!CKR94</f>
        <v>0</v>
      </c>
      <c r="CKO36" s="17">
        <f>'Form-Sb'!CKS94</f>
        <v>0</v>
      </c>
      <c r="CKP36" s="17">
        <f>'Form-Sb'!CKT94</f>
        <v>0</v>
      </c>
      <c r="CKQ36" s="17">
        <f>'Form-Sb'!CKU94</f>
        <v>0</v>
      </c>
      <c r="CKR36" s="17">
        <f>'Form-Sb'!CKV94</f>
        <v>0</v>
      </c>
      <c r="CKS36" s="17">
        <f>'Form-Sb'!CKW94</f>
        <v>0</v>
      </c>
      <c r="CKT36" s="17">
        <f>'Form-Sb'!CKX94</f>
        <v>0</v>
      </c>
      <c r="CKU36" s="17">
        <f>'Form-Sb'!CKY94</f>
        <v>0</v>
      </c>
      <c r="CKV36" s="17">
        <f>'Form-Sb'!CKZ94</f>
        <v>0</v>
      </c>
      <c r="CKW36" s="17">
        <f>'Form-Sb'!CLA94</f>
        <v>0</v>
      </c>
      <c r="CKX36" s="17">
        <f>'Form-Sb'!CLB94</f>
        <v>0</v>
      </c>
      <c r="CKY36" s="17">
        <f>'Form-Sb'!CLC94</f>
        <v>0</v>
      </c>
      <c r="CKZ36" s="17">
        <f>'Form-Sb'!CLD94</f>
        <v>0</v>
      </c>
      <c r="CLA36" s="17">
        <f>'Form-Sb'!CLE94</f>
        <v>0</v>
      </c>
      <c r="CLB36" s="17">
        <f>'Form-Sb'!CLF94</f>
        <v>0</v>
      </c>
      <c r="CLC36" s="17">
        <f>'Form-Sb'!CLG94</f>
        <v>0</v>
      </c>
      <c r="CLD36" s="17">
        <f>'Form-Sb'!CLH94</f>
        <v>0</v>
      </c>
      <c r="CLE36" s="17">
        <f>'Form-Sb'!CLI94</f>
        <v>0</v>
      </c>
      <c r="CLF36" s="17">
        <f>'Form-Sb'!CLJ94</f>
        <v>0</v>
      </c>
      <c r="CLG36" s="17">
        <f>'Form-Sb'!CLK94</f>
        <v>0</v>
      </c>
      <c r="CLH36" s="17">
        <f>'Form-Sb'!CLL94</f>
        <v>0</v>
      </c>
      <c r="CLI36" s="17">
        <f>'Form-Sb'!CLM94</f>
        <v>0</v>
      </c>
      <c r="CLJ36" s="17">
        <f>'Form-Sb'!CLN94</f>
        <v>0</v>
      </c>
      <c r="CLK36" s="17">
        <f>'Form-Sb'!CLO94</f>
        <v>0</v>
      </c>
      <c r="CLL36" s="17">
        <f>'Form-Sb'!CLP94</f>
        <v>0</v>
      </c>
      <c r="CLM36" s="17">
        <f>'Form-Sb'!CLQ94</f>
        <v>0</v>
      </c>
      <c r="CLN36" s="17">
        <f>'Form-Sb'!CLR94</f>
        <v>0</v>
      </c>
      <c r="CLO36" s="17">
        <f>'Form-Sb'!CLS94</f>
        <v>0</v>
      </c>
      <c r="CLP36" s="17">
        <f>'Form-Sb'!CLT94</f>
        <v>0</v>
      </c>
      <c r="CLQ36" s="17">
        <f>'Form-Sb'!CLU94</f>
        <v>0</v>
      </c>
      <c r="CLR36" s="17">
        <f>'Form-Sb'!CLV94</f>
        <v>0</v>
      </c>
      <c r="CLS36" s="17">
        <f>'Form-Sb'!CLW94</f>
        <v>0</v>
      </c>
      <c r="CLT36" s="17">
        <f>'Form-Sb'!CLX94</f>
        <v>0</v>
      </c>
      <c r="CLU36" s="17">
        <f>'Form-Sb'!CLY94</f>
        <v>0</v>
      </c>
      <c r="CLV36" s="17">
        <f>'Form-Sb'!CLZ94</f>
        <v>0</v>
      </c>
      <c r="CLW36" s="17">
        <f>'Form-Sb'!CMA94</f>
        <v>0</v>
      </c>
      <c r="CLX36" s="17">
        <f>'Form-Sb'!CMB94</f>
        <v>0</v>
      </c>
      <c r="CLY36" s="17">
        <f>'Form-Sb'!CMC94</f>
        <v>0</v>
      </c>
      <c r="CLZ36" s="17">
        <f>'Form-Sb'!CMD94</f>
        <v>0</v>
      </c>
      <c r="CMA36" s="17">
        <f>'Form-Sb'!CME94</f>
        <v>0</v>
      </c>
      <c r="CMB36" s="17">
        <f>'Form-Sb'!CMF94</f>
        <v>0</v>
      </c>
      <c r="CMC36" s="17">
        <f>'Form-Sb'!CMG94</f>
        <v>0</v>
      </c>
      <c r="CMD36" s="17">
        <f>'Form-Sb'!CMH94</f>
        <v>0</v>
      </c>
      <c r="CME36" s="17">
        <f>'Form-Sb'!CMI94</f>
        <v>0</v>
      </c>
      <c r="CMF36" s="17">
        <f>'Form-Sb'!CMJ94</f>
        <v>0</v>
      </c>
      <c r="CMG36" s="17">
        <f>'Form-Sb'!CMK94</f>
        <v>0</v>
      </c>
      <c r="CMH36" s="17">
        <f>'Form-Sb'!CML94</f>
        <v>0</v>
      </c>
      <c r="CMI36" s="17">
        <f>'Form-Sb'!CMM94</f>
        <v>0</v>
      </c>
      <c r="CMJ36" s="17">
        <f>'Form-Sb'!CMN94</f>
        <v>0</v>
      </c>
      <c r="CMK36" s="17">
        <f>'Form-Sb'!CMO94</f>
        <v>0</v>
      </c>
      <c r="CML36" s="17">
        <f>'Form-Sb'!CMP94</f>
        <v>0</v>
      </c>
      <c r="CMM36" s="17">
        <f>'Form-Sb'!CMQ94</f>
        <v>0</v>
      </c>
      <c r="CMN36" s="17">
        <f>'Form-Sb'!CMR94</f>
        <v>0</v>
      </c>
      <c r="CMO36" s="17">
        <f>'Form-Sb'!CMS94</f>
        <v>0</v>
      </c>
      <c r="CMP36" s="17">
        <f>'Form-Sb'!CMT94</f>
        <v>0</v>
      </c>
      <c r="CMQ36" s="17">
        <f>'Form-Sb'!CMU94</f>
        <v>0</v>
      </c>
      <c r="CMR36" s="17">
        <f>'Form-Sb'!CMV94</f>
        <v>0</v>
      </c>
      <c r="CMS36" s="17">
        <f>'Form-Sb'!CMW94</f>
        <v>0</v>
      </c>
      <c r="CMT36" s="17">
        <f>'Form-Sb'!CMX94</f>
        <v>0</v>
      </c>
      <c r="CMU36" s="17">
        <f>'Form-Sb'!CMY94</f>
        <v>0</v>
      </c>
      <c r="CMV36" s="17">
        <f>'Form-Sb'!CMZ94</f>
        <v>0</v>
      </c>
      <c r="CMW36" s="17">
        <f>'Form-Sb'!CNA94</f>
        <v>0</v>
      </c>
      <c r="CMX36" s="17">
        <f>'Form-Sb'!CNB94</f>
        <v>0</v>
      </c>
      <c r="CMY36" s="17">
        <f>'Form-Sb'!CNC94</f>
        <v>0</v>
      </c>
      <c r="CMZ36" s="17">
        <f>'Form-Sb'!CND94</f>
        <v>0</v>
      </c>
      <c r="CNA36" s="17">
        <f>'Form-Sb'!CNE94</f>
        <v>0</v>
      </c>
      <c r="CNB36" s="17">
        <f>'Form-Sb'!CNF94</f>
        <v>0</v>
      </c>
      <c r="CNC36" s="17">
        <f>'Form-Sb'!CNG94</f>
        <v>0</v>
      </c>
      <c r="CND36" s="17">
        <f>'Form-Sb'!CNH94</f>
        <v>0</v>
      </c>
      <c r="CNE36" s="17">
        <f>'Form-Sb'!CNI94</f>
        <v>0</v>
      </c>
      <c r="CNF36" s="17">
        <f>'Form-Sb'!CNJ94</f>
        <v>0</v>
      </c>
      <c r="CNG36" s="17">
        <f>'Form-Sb'!CNK94</f>
        <v>0</v>
      </c>
      <c r="CNH36" s="17">
        <f>'Form-Sb'!CNL94</f>
        <v>0</v>
      </c>
      <c r="CNI36" s="17">
        <f>'Form-Sb'!CNM94</f>
        <v>0</v>
      </c>
      <c r="CNJ36" s="17">
        <f>'Form-Sb'!CNN94</f>
        <v>0</v>
      </c>
      <c r="CNK36" s="17">
        <f>'Form-Sb'!CNO94</f>
        <v>0</v>
      </c>
      <c r="CNL36" s="17">
        <f>'Form-Sb'!CNP94</f>
        <v>0</v>
      </c>
      <c r="CNM36" s="17">
        <f>'Form-Sb'!CNQ94</f>
        <v>0</v>
      </c>
      <c r="CNN36" s="17">
        <f>'Form-Sb'!CNR94</f>
        <v>0</v>
      </c>
      <c r="CNO36" s="17">
        <f>'Form-Sb'!CNS94</f>
        <v>0</v>
      </c>
      <c r="CNP36" s="17">
        <f>'Form-Sb'!CNT94</f>
        <v>0</v>
      </c>
      <c r="CNQ36" s="17">
        <f>'Form-Sb'!CNU94</f>
        <v>0</v>
      </c>
      <c r="CNR36" s="17">
        <f>'Form-Sb'!CNV94</f>
        <v>0</v>
      </c>
      <c r="CNS36" s="17">
        <f>'Form-Sb'!CNW94</f>
        <v>0</v>
      </c>
      <c r="CNT36" s="17">
        <f>'Form-Sb'!CNX94</f>
        <v>0</v>
      </c>
      <c r="CNU36" s="17">
        <f>'Form-Sb'!CNY94</f>
        <v>0</v>
      </c>
      <c r="CNV36" s="17">
        <f>'Form-Sb'!CNZ94</f>
        <v>0</v>
      </c>
      <c r="CNW36" s="17">
        <f>'Form-Sb'!COA94</f>
        <v>0</v>
      </c>
      <c r="CNX36" s="17">
        <f>'Form-Sb'!COB94</f>
        <v>0</v>
      </c>
      <c r="CNY36" s="17">
        <f>'Form-Sb'!COC94</f>
        <v>0</v>
      </c>
      <c r="CNZ36" s="17">
        <f>'Form-Sb'!COD94</f>
        <v>0</v>
      </c>
      <c r="COA36" s="17">
        <f>'Form-Sb'!COE94</f>
        <v>0</v>
      </c>
      <c r="COB36" s="17">
        <f>'Form-Sb'!COF94</f>
        <v>0</v>
      </c>
      <c r="COC36" s="17">
        <f>'Form-Sb'!COG94</f>
        <v>0</v>
      </c>
      <c r="COD36" s="17">
        <f>'Form-Sb'!COH94</f>
        <v>0</v>
      </c>
      <c r="COE36" s="17">
        <f>'Form-Sb'!COI94</f>
        <v>0</v>
      </c>
      <c r="COF36" s="17">
        <f>'Form-Sb'!COJ94</f>
        <v>0</v>
      </c>
      <c r="COG36" s="17">
        <f>'Form-Sb'!COK94</f>
        <v>0</v>
      </c>
      <c r="COH36" s="17">
        <f>'Form-Sb'!COL94</f>
        <v>0</v>
      </c>
      <c r="COI36" s="17">
        <f>'Form-Sb'!COM94</f>
        <v>0</v>
      </c>
      <c r="COJ36" s="17">
        <f>'Form-Sb'!CON94</f>
        <v>0</v>
      </c>
      <c r="COK36" s="17">
        <f>'Form-Sb'!COO94</f>
        <v>0</v>
      </c>
      <c r="COL36" s="17">
        <f>'Form-Sb'!COP94</f>
        <v>0</v>
      </c>
      <c r="COM36" s="17">
        <f>'Form-Sb'!COQ94</f>
        <v>0</v>
      </c>
      <c r="CON36" s="17">
        <f>'Form-Sb'!COR94</f>
        <v>0</v>
      </c>
      <c r="COO36" s="17">
        <f>'Form-Sb'!COS94</f>
        <v>0</v>
      </c>
      <c r="COP36" s="17">
        <f>'Form-Sb'!COT94</f>
        <v>0</v>
      </c>
      <c r="COQ36" s="17">
        <f>'Form-Sb'!COU94</f>
        <v>0</v>
      </c>
      <c r="COR36" s="17">
        <f>'Form-Sb'!COV94</f>
        <v>0</v>
      </c>
      <c r="COS36" s="17">
        <f>'Form-Sb'!COW94</f>
        <v>0</v>
      </c>
      <c r="COT36" s="17">
        <f>'Form-Sb'!COX94</f>
        <v>0</v>
      </c>
      <c r="COU36" s="17">
        <f>'Form-Sb'!COY94</f>
        <v>0</v>
      </c>
      <c r="COV36" s="17">
        <f>'Form-Sb'!COZ94</f>
        <v>0</v>
      </c>
      <c r="COW36" s="17">
        <f>'Form-Sb'!CPA94</f>
        <v>0</v>
      </c>
      <c r="COX36" s="17">
        <f>'Form-Sb'!CPB94</f>
        <v>0</v>
      </c>
      <c r="COY36" s="17">
        <f>'Form-Sb'!CPC94</f>
        <v>0</v>
      </c>
      <c r="COZ36" s="17">
        <f>'Form-Sb'!CPD94</f>
        <v>0</v>
      </c>
      <c r="CPA36" s="17">
        <f>'Form-Sb'!CPE94</f>
        <v>0</v>
      </c>
      <c r="CPB36" s="17">
        <f>'Form-Sb'!CPF94</f>
        <v>0</v>
      </c>
      <c r="CPC36" s="17">
        <f>'Form-Sb'!CPG94</f>
        <v>0</v>
      </c>
      <c r="CPD36" s="17">
        <f>'Form-Sb'!CPH94</f>
        <v>0</v>
      </c>
      <c r="CPE36" s="17">
        <f>'Form-Sb'!CPI94</f>
        <v>0</v>
      </c>
      <c r="CPF36" s="17">
        <f>'Form-Sb'!CPJ94</f>
        <v>0</v>
      </c>
      <c r="CPG36" s="17">
        <f>'Form-Sb'!CPK94</f>
        <v>0</v>
      </c>
      <c r="CPH36" s="17">
        <f>'Form-Sb'!CPL94</f>
        <v>0</v>
      </c>
      <c r="CPI36" s="17">
        <f>'Form-Sb'!CPM94</f>
        <v>0</v>
      </c>
      <c r="CPJ36" s="17">
        <f>'Form-Sb'!CPN94</f>
        <v>0</v>
      </c>
      <c r="CPK36" s="17">
        <f>'Form-Sb'!CPO94</f>
        <v>0</v>
      </c>
      <c r="CPL36" s="17">
        <f>'Form-Sb'!CPP94</f>
        <v>0</v>
      </c>
      <c r="CPM36" s="17">
        <f>'Form-Sb'!CPQ94</f>
        <v>0</v>
      </c>
      <c r="CPN36" s="17">
        <f>'Form-Sb'!CPR94</f>
        <v>0</v>
      </c>
      <c r="CPO36" s="17">
        <f>'Form-Sb'!CPS94</f>
        <v>0</v>
      </c>
      <c r="CPP36" s="17">
        <f>'Form-Sb'!CPT94</f>
        <v>0</v>
      </c>
      <c r="CPQ36" s="17">
        <f>'Form-Sb'!CPU94</f>
        <v>0</v>
      </c>
      <c r="CPR36" s="17">
        <f>'Form-Sb'!CPV94</f>
        <v>0</v>
      </c>
      <c r="CPS36" s="17">
        <f>'Form-Sb'!CPW94</f>
        <v>0</v>
      </c>
      <c r="CPT36" s="17">
        <f>'Form-Sb'!CPX94</f>
        <v>0</v>
      </c>
      <c r="CPU36" s="17">
        <f>'Form-Sb'!CPY94</f>
        <v>0</v>
      </c>
      <c r="CPV36" s="17">
        <f>'Form-Sb'!CPZ94</f>
        <v>0</v>
      </c>
      <c r="CPW36" s="17">
        <f>'Form-Sb'!CQA94</f>
        <v>0</v>
      </c>
      <c r="CPX36" s="17">
        <f>'Form-Sb'!CQB94</f>
        <v>0</v>
      </c>
      <c r="CPY36" s="17">
        <f>'Form-Sb'!CQC94</f>
        <v>0</v>
      </c>
      <c r="CPZ36" s="17">
        <f>'Form-Sb'!CQD94</f>
        <v>0</v>
      </c>
      <c r="CQA36" s="17">
        <f>'Form-Sb'!CQE94</f>
        <v>0</v>
      </c>
      <c r="CQB36" s="17">
        <f>'Form-Sb'!CQF94</f>
        <v>0</v>
      </c>
      <c r="CQC36" s="17">
        <f>'Form-Sb'!CQG94</f>
        <v>0</v>
      </c>
      <c r="CQD36" s="17">
        <f>'Form-Sb'!CQH94</f>
        <v>0</v>
      </c>
      <c r="CQE36" s="17">
        <f>'Form-Sb'!CQI94</f>
        <v>0</v>
      </c>
      <c r="CQF36" s="17">
        <f>'Form-Sb'!CQJ94</f>
        <v>0</v>
      </c>
      <c r="CQG36" s="17">
        <f>'Form-Sb'!CQK94</f>
        <v>0</v>
      </c>
      <c r="CQH36" s="17">
        <f>'Form-Sb'!CQL94</f>
        <v>0</v>
      </c>
      <c r="CQI36" s="17">
        <f>'Form-Sb'!CQM94</f>
        <v>0</v>
      </c>
      <c r="CQJ36" s="17">
        <f>'Form-Sb'!CQN94</f>
        <v>0</v>
      </c>
      <c r="CQK36" s="17">
        <f>'Form-Sb'!CQO94</f>
        <v>0</v>
      </c>
      <c r="CQL36" s="17">
        <f>'Form-Sb'!CQP94</f>
        <v>0</v>
      </c>
      <c r="CQM36" s="17">
        <f>'Form-Sb'!CQQ94</f>
        <v>0</v>
      </c>
      <c r="CQN36" s="17">
        <f>'Form-Sb'!CQR94</f>
        <v>0</v>
      </c>
      <c r="CQO36" s="17">
        <f>'Form-Sb'!CQS94</f>
        <v>0</v>
      </c>
      <c r="CQP36" s="17">
        <f>'Form-Sb'!CQT94</f>
        <v>0</v>
      </c>
      <c r="CQQ36" s="17">
        <f>'Form-Sb'!CQU94</f>
        <v>0</v>
      </c>
      <c r="CQR36" s="17">
        <f>'Form-Sb'!CQV94</f>
        <v>0</v>
      </c>
      <c r="CQS36" s="17">
        <f>'Form-Sb'!CQW94</f>
        <v>0</v>
      </c>
      <c r="CQT36" s="17">
        <f>'Form-Sb'!CQX94</f>
        <v>0</v>
      </c>
      <c r="CQU36" s="17">
        <f>'Form-Sb'!CQY94</f>
        <v>0</v>
      </c>
      <c r="CQV36" s="17">
        <f>'Form-Sb'!CQZ94</f>
        <v>0</v>
      </c>
      <c r="CQW36" s="17">
        <f>'Form-Sb'!CRA94</f>
        <v>0</v>
      </c>
      <c r="CQX36" s="17">
        <f>'Form-Sb'!CRB94</f>
        <v>0</v>
      </c>
      <c r="CQY36" s="17">
        <f>'Form-Sb'!CRC94</f>
        <v>0</v>
      </c>
      <c r="CQZ36" s="17">
        <f>'Form-Sb'!CRD94</f>
        <v>0</v>
      </c>
      <c r="CRA36" s="17">
        <f>'Form-Sb'!CRE94</f>
        <v>0</v>
      </c>
      <c r="CRB36" s="17">
        <f>'Form-Sb'!CRF94</f>
        <v>0</v>
      </c>
      <c r="CRC36" s="17">
        <f>'Form-Sb'!CRG94</f>
        <v>0</v>
      </c>
      <c r="CRD36" s="17">
        <f>'Form-Sb'!CRH94</f>
        <v>0</v>
      </c>
      <c r="CRE36" s="17">
        <f>'Form-Sb'!CRI94</f>
        <v>0</v>
      </c>
      <c r="CRF36" s="17">
        <f>'Form-Sb'!CRJ94</f>
        <v>0</v>
      </c>
      <c r="CRG36" s="17">
        <f>'Form-Sb'!CRK94</f>
        <v>0</v>
      </c>
      <c r="CRH36" s="17">
        <f>'Form-Sb'!CRL94</f>
        <v>0</v>
      </c>
      <c r="CRI36" s="17">
        <f>'Form-Sb'!CRM94</f>
        <v>0</v>
      </c>
      <c r="CRJ36" s="17">
        <f>'Form-Sb'!CRN94</f>
        <v>0</v>
      </c>
      <c r="CRK36" s="17">
        <f>'Form-Sb'!CRO94</f>
        <v>0</v>
      </c>
      <c r="CRL36" s="17">
        <f>'Form-Sb'!CRP94</f>
        <v>0</v>
      </c>
      <c r="CRM36" s="17">
        <f>'Form-Sb'!CRQ94</f>
        <v>0</v>
      </c>
      <c r="CRN36" s="17">
        <f>'Form-Sb'!CRR94</f>
        <v>0</v>
      </c>
      <c r="CRO36" s="17">
        <f>'Form-Sb'!CRS94</f>
        <v>0</v>
      </c>
      <c r="CRP36" s="17">
        <f>'Form-Sb'!CRT94</f>
        <v>0</v>
      </c>
      <c r="CRQ36" s="17">
        <f>'Form-Sb'!CRU94</f>
        <v>0</v>
      </c>
      <c r="CRR36" s="17">
        <f>'Form-Sb'!CRV94</f>
        <v>0</v>
      </c>
      <c r="CRS36" s="17">
        <f>'Form-Sb'!CRW94</f>
        <v>0</v>
      </c>
      <c r="CRT36" s="17">
        <f>'Form-Sb'!CRX94</f>
        <v>0</v>
      </c>
      <c r="CRU36" s="17">
        <f>'Form-Sb'!CRY94</f>
        <v>0</v>
      </c>
      <c r="CRV36" s="17">
        <f>'Form-Sb'!CRZ94</f>
        <v>0</v>
      </c>
      <c r="CRW36" s="17">
        <f>'Form-Sb'!CSA94</f>
        <v>0</v>
      </c>
      <c r="CRX36" s="17">
        <f>'Form-Sb'!CSB94</f>
        <v>0</v>
      </c>
      <c r="CRY36" s="17">
        <f>'Form-Sb'!CSC94</f>
        <v>0</v>
      </c>
      <c r="CRZ36" s="17">
        <f>'Form-Sb'!CSD94</f>
        <v>0</v>
      </c>
      <c r="CSA36" s="17">
        <f>'Form-Sb'!CSE94</f>
        <v>0</v>
      </c>
      <c r="CSB36" s="17">
        <f>'Form-Sb'!CSF94</f>
        <v>0</v>
      </c>
      <c r="CSC36" s="17">
        <f>'Form-Sb'!CSG94</f>
        <v>0</v>
      </c>
      <c r="CSD36" s="17">
        <f>'Form-Sb'!CSH94</f>
        <v>0</v>
      </c>
      <c r="CSE36" s="17">
        <f>'Form-Sb'!CSI94</f>
        <v>0</v>
      </c>
      <c r="CSF36" s="17">
        <f>'Form-Sb'!CSJ94</f>
        <v>0</v>
      </c>
      <c r="CSG36" s="17">
        <f>'Form-Sb'!CSK94</f>
        <v>0</v>
      </c>
      <c r="CSH36" s="17">
        <f>'Form-Sb'!CSL94</f>
        <v>0</v>
      </c>
      <c r="CSI36" s="17">
        <f>'Form-Sb'!CSM94</f>
        <v>0</v>
      </c>
      <c r="CSJ36" s="17">
        <f>'Form-Sb'!CSN94</f>
        <v>0</v>
      </c>
      <c r="CSK36" s="17">
        <f>'Form-Sb'!CSO94</f>
        <v>0</v>
      </c>
      <c r="CSL36" s="17">
        <f>'Form-Sb'!CSP94</f>
        <v>0</v>
      </c>
      <c r="CSM36" s="17">
        <f>'Form-Sb'!CSQ94</f>
        <v>0</v>
      </c>
      <c r="CSN36" s="17">
        <f>'Form-Sb'!CSR94</f>
        <v>0</v>
      </c>
      <c r="CSO36" s="17">
        <f>'Form-Sb'!CSS94</f>
        <v>0</v>
      </c>
      <c r="CSP36" s="17">
        <f>'Form-Sb'!CST94</f>
        <v>0</v>
      </c>
      <c r="CSQ36" s="17">
        <f>'Form-Sb'!CSU94</f>
        <v>0</v>
      </c>
      <c r="CSR36" s="17">
        <f>'Form-Sb'!CSV94</f>
        <v>0</v>
      </c>
      <c r="CSS36" s="17">
        <f>'Form-Sb'!CSW94</f>
        <v>0</v>
      </c>
      <c r="CST36" s="17">
        <f>'Form-Sb'!CSX94</f>
        <v>0</v>
      </c>
      <c r="CSU36" s="17">
        <f>'Form-Sb'!CSY94</f>
        <v>0</v>
      </c>
      <c r="CSV36" s="17">
        <f>'Form-Sb'!CSZ94</f>
        <v>0</v>
      </c>
      <c r="CSW36" s="17">
        <f>'Form-Sb'!CTA94</f>
        <v>0</v>
      </c>
      <c r="CSX36" s="17">
        <f>'Form-Sb'!CTB94</f>
        <v>0</v>
      </c>
      <c r="CSY36" s="17">
        <f>'Form-Sb'!CTC94</f>
        <v>0</v>
      </c>
      <c r="CSZ36" s="17">
        <f>'Form-Sb'!CTD94</f>
        <v>0</v>
      </c>
      <c r="CTA36" s="17">
        <f>'Form-Sb'!CTE94</f>
        <v>0</v>
      </c>
      <c r="CTB36" s="17">
        <f>'Form-Sb'!CTF94</f>
        <v>0</v>
      </c>
      <c r="CTC36" s="17">
        <f>'Form-Sb'!CTG94</f>
        <v>0</v>
      </c>
      <c r="CTD36" s="17">
        <f>'Form-Sb'!CTH94</f>
        <v>0</v>
      </c>
      <c r="CTE36" s="17">
        <f>'Form-Sb'!CTI94</f>
        <v>0</v>
      </c>
      <c r="CTF36" s="17">
        <f>'Form-Sb'!CTJ94</f>
        <v>0</v>
      </c>
      <c r="CTG36" s="17">
        <f>'Form-Sb'!CTK94</f>
        <v>0</v>
      </c>
      <c r="CTH36" s="17">
        <f>'Form-Sb'!CTL94</f>
        <v>0</v>
      </c>
      <c r="CTI36" s="17">
        <f>'Form-Sb'!CTM94</f>
        <v>0</v>
      </c>
      <c r="CTJ36" s="17">
        <f>'Form-Sb'!CTN94</f>
        <v>0</v>
      </c>
      <c r="CTK36" s="17">
        <f>'Form-Sb'!CTO94</f>
        <v>0</v>
      </c>
      <c r="CTL36" s="17">
        <f>'Form-Sb'!CTP94</f>
        <v>0</v>
      </c>
      <c r="CTM36" s="17">
        <f>'Form-Sb'!CTQ94</f>
        <v>0</v>
      </c>
      <c r="CTN36" s="17">
        <f>'Form-Sb'!CTR94</f>
        <v>0</v>
      </c>
      <c r="CTO36" s="17">
        <f>'Form-Sb'!CTS94</f>
        <v>0</v>
      </c>
      <c r="CTP36" s="17">
        <f>'Form-Sb'!CTT94</f>
        <v>0</v>
      </c>
      <c r="CTQ36" s="17">
        <f>'Form-Sb'!CTU94</f>
        <v>0</v>
      </c>
      <c r="CTR36" s="17">
        <f>'Form-Sb'!CTV94</f>
        <v>0</v>
      </c>
      <c r="CTS36" s="17">
        <f>'Form-Sb'!CTW94</f>
        <v>0</v>
      </c>
      <c r="CTT36" s="17">
        <f>'Form-Sb'!CTX94</f>
        <v>0</v>
      </c>
      <c r="CTU36" s="17">
        <f>'Form-Sb'!CTY94</f>
        <v>0</v>
      </c>
      <c r="CTV36" s="17">
        <f>'Form-Sb'!CTZ94</f>
        <v>0</v>
      </c>
      <c r="CTW36" s="17">
        <f>'Form-Sb'!CUA94</f>
        <v>0</v>
      </c>
      <c r="CTX36" s="17">
        <f>'Form-Sb'!CUB94</f>
        <v>0</v>
      </c>
      <c r="CTY36" s="17">
        <f>'Form-Sb'!CUC94</f>
        <v>0</v>
      </c>
      <c r="CTZ36" s="17">
        <f>'Form-Sb'!CUD94</f>
        <v>0</v>
      </c>
      <c r="CUA36" s="17">
        <f>'Form-Sb'!CUE94</f>
        <v>0</v>
      </c>
      <c r="CUB36" s="17">
        <f>'Form-Sb'!CUF94</f>
        <v>0</v>
      </c>
      <c r="CUC36" s="17">
        <f>'Form-Sb'!CUG94</f>
        <v>0</v>
      </c>
      <c r="CUD36" s="17">
        <f>'Form-Sb'!CUH94</f>
        <v>0</v>
      </c>
      <c r="CUE36" s="17">
        <f>'Form-Sb'!CUI94</f>
        <v>0</v>
      </c>
      <c r="CUF36" s="17">
        <f>'Form-Sb'!CUJ94</f>
        <v>0</v>
      </c>
      <c r="CUG36" s="17">
        <f>'Form-Sb'!CUK94</f>
        <v>0</v>
      </c>
      <c r="CUH36" s="17">
        <f>'Form-Sb'!CUL94</f>
        <v>0</v>
      </c>
      <c r="CUI36" s="17">
        <f>'Form-Sb'!CUM94</f>
        <v>0</v>
      </c>
      <c r="CUJ36" s="17">
        <f>'Form-Sb'!CUN94</f>
        <v>0</v>
      </c>
      <c r="CUK36" s="17">
        <f>'Form-Sb'!CUO94</f>
        <v>0</v>
      </c>
      <c r="CUL36" s="17">
        <f>'Form-Sb'!CUP94</f>
        <v>0</v>
      </c>
      <c r="CUM36" s="17">
        <f>'Form-Sb'!CUQ94</f>
        <v>0</v>
      </c>
      <c r="CUN36" s="17">
        <f>'Form-Sb'!CUR94</f>
        <v>0</v>
      </c>
      <c r="CUO36" s="17">
        <f>'Form-Sb'!CUS94</f>
        <v>0</v>
      </c>
      <c r="CUP36" s="17">
        <f>'Form-Sb'!CUT94</f>
        <v>0</v>
      </c>
      <c r="CUQ36" s="17">
        <f>'Form-Sb'!CUU94</f>
        <v>0</v>
      </c>
      <c r="CUR36" s="17">
        <f>'Form-Sb'!CUV94</f>
        <v>0</v>
      </c>
      <c r="CUS36" s="17">
        <f>'Form-Sb'!CUW94</f>
        <v>0</v>
      </c>
      <c r="CUT36" s="17">
        <f>'Form-Sb'!CUX94</f>
        <v>0</v>
      </c>
      <c r="CUU36" s="17">
        <f>'Form-Sb'!CUY94</f>
        <v>0</v>
      </c>
      <c r="CUV36" s="17">
        <f>'Form-Sb'!CUZ94</f>
        <v>0</v>
      </c>
      <c r="CUW36" s="17">
        <f>'Form-Sb'!CVA94</f>
        <v>0</v>
      </c>
      <c r="CUX36" s="17">
        <f>'Form-Sb'!CVB94</f>
        <v>0</v>
      </c>
      <c r="CUY36" s="17">
        <f>'Form-Sb'!CVC94</f>
        <v>0</v>
      </c>
      <c r="CUZ36" s="17">
        <f>'Form-Sb'!CVD94</f>
        <v>0</v>
      </c>
      <c r="CVA36" s="17">
        <f>'Form-Sb'!CVE94</f>
        <v>0</v>
      </c>
      <c r="CVB36" s="17">
        <f>'Form-Sb'!CVF94</f>
        <v>0</v>
      </c>
      <c r="CVC36" s="17">
        <f>'Form-Sb'!CVG94</f>
        <v>0</v>
      </c>
      <c r="CVD36" s="17">
        <f>'Form-Sb'!CVH94</f>
        <v>0</v>
      </c>
      <c r="CVE36" s="17">
        <f>'Form-Sb'!CVI94</f>
        <v>0</v>
      </c>
      <c r="CVF36" s="17">
        <f>'Form-Sb'!CVJ94</f>
        <v>0</v>
      </c>
      <c r="CVG36" s="17">
        <f>'Form-Sb'!CVK94</f>
        <v>0</v>
      </c>
      <c r="CVH36" s="17">
        <f>'Form-Sb'!CVL94</f>
        <v>0</v>
      </c>
      <c r="CVI36" s="17">
        <f>'Form-Sb'!CVM94</f>
        <v>0</v>
      </c>
      <c r="CVJ36" s="17">
        <f>'Form-Sb'!CVN94</f>
        <v>0</v>
      </c>
      <c r="CVK36" s="17">
        <f>'Form-Sb'!CVO94</f>
        <v>0</v>
      </c>
      <c r="CVL36" s="17">
        <f>'Form-Sb'!CVP94</f>
        <v>0</v>
      </c>
      <c r="CVM36" s="17">
        <f>'Form-Sb'!CVQ94</f>
        <v>0</v>
      </c>
      <c r="CVN36" s="17">
        <f>'Form-Sb'!CVR94</f>
        <v>0</v>
      </c>
      <c r="CVO36" s="17">
        <f>'Form-Sb'!CVS94</f>
        <v>0</v>
      </c>
      <c r="CVP36" s="17">
        <f>'Form-Sb'!CVT94</f>
        <v>0</v>
      </c>
      <c r="CVQ36" s="17">
        <f>'Form-Sb'!CVU94</f>
        <v>0</v>
      </c>
      <c r="CVR36" s="17">
        <f>'Form-Sb'!CVV94</f>
        <v>0</v>
      </c>
      <c r="CVS36" s="17">
        <f>'Form-Sb'!CVW94</f>
        <v>0</v>
      </c>
      <c r="CVT36" s="17">
        <f>'Form-Sb'!CVX94</f>
        <v>0</v>
      </c>
      <c r="CVU36" s="17">
        <f>'Form-Sb'!CVY94</f>
        <v>0</v>
      </c>
      <c r="CVV36" s="17">
        <f>'Form-Sb'!CVZ94</f>
        <v>0</v>
      </c>
      <c r="CVW36" s="17">
        <f>'Form-Sb'!CWA94</f>
        <v>0</v>
      </c>
      <c r="CVX36" s="17">
        <f>'Form-Sb'!CWB94</f>
        <v>0</v>
      </c>
      <c r="CVY36" s="17">
        <f>'Form-Sb'!CWC94</f>
        <v>0</v>
      </c>
      <c r="CVZ36" s="17">
        <f>'Form-Sb'!CWD94</f>
        <v>0</v>
      </c>
      <c r="CWA36" s="17">
        <f>'Form-Sb'!CWE94</f>
        <v>0</v>
      </c>
      <c r="CWB36" s="17">
        <f>'Form-Sb'!CWF94</f>
        <v>0</v>
      </c>
      <c r="CWC36" s="17">
        <f>'Form-Sb'!CWG94</f>
        <v>0</v>
      </c>
      <c r="CWD36" s="17">
        <f>'Form-Sb'!CWH94</f>
        <v>0</v>
      </c>
      <c r="CWE36" s="17">
        <f>'Form-Sb'!CWI94</f>
        <v>0</v>
      </c>
      <c r="CWF36" s="17">
        <f>'Form-Sb'!CWJ94</f>
        <v>0</v>
      </c>
      <c r="CWG36" s="17">
        <f>'Form-Sb'!CWK94</f>
        <v>0</v>
      </c>
      <c r="CWH36" s="17">
        <f>'Form-Sb'!CWL94</f>
        <v>0</v>
      </c>
      <c r="CWI36" s="17">
        <f>'Form-Sb'!CWM94</f>
        <v>0</v>
      </c>
      <c r="CWJ36" s="17">
        <f>'Form-Sb'!CWN94</f>
        <v>0</v>
      </c>
      <c r="CWK36" s="17">
        <f>'Form-Sb'!CWO94</f>
        <v>0</v>
      </c>
      <c r="CWL36" s="17">
        <f>'Form-Sb'!CWP94</f>
        <v>0</v>
      </c>
      <c r="CWM36" s="17">
        <f>'Form-Sb'!CWQ94</f>
        <v>0</v>
      </c>
      <c r="CWN36" s="17">
        <f>'Form-Sb'!CWR94</f>
        <v>0</v>
      </c>
      <c r="CWO36" s="17">
        <f>'Form-Sb'!CWS94</f>
        <v>0</v>
      </c>
      <c r="CWP36" s="17">
        <f>'Form-Sb'!CWT94</f>
        <v>0</v>
      </c>
      <c r="CWQ36" s="17">
        <f>'Form-Sb'!CWU94</f>
        <v>0</v>
      </c>
      <c r="CWR36" s="17">
        <f>'Form-Sb'!CWV94</f>
        <v>0</v>
      </c>
      <c r="CWS36" s="17">
        <f>'Form-Sb'!CWW94</f>
        <v>0</v>
      </c>
      <c r="CWT36" s="17">
        <f>'Form-Sb'!CWX94</f>
        <v>0</v>
      </c>
      <c r="CWU36" s="17">
        <f>'Form-Sb'!CWY94</f>
        <v>0</v>
      </c>
      <c r="CWV36" s="17">
        <f>'Form-Sb'!CWZ94</f>
        <v>0</v>
      </c>
      <c r="CWW36" s="17">
        <f>'Form-Sb'!CXA94</f>
        <v>0</v>
      </c>
      <c r="CWX36" s="17">
        <f>'Form-Sb'!CXB94</f>
        <v>0</v>
      </c>
      <c r="CWY36" s="17">
        <f>'Form-Sb'!CXC94</f>
        <v>0</v>
      </c>
      <c r="CWZ36" s="17">
        <f>'Form-Sb'!CXD94</f>
        <v>0</v>
      </c>
      <c r="CXA36" s="17">
        <f>'Form-Sb'!CXE94</f>
        <v>0</v>
      </c>
      <c r="CXB36" s="17">
        <f>'Form-Sb'!CXF94</f>
        <v>0</v>
      </c>
      <c r="CXC36" s="17">
        <f>'Form-Sb'!CXG94</f>
        <v>0</v>
      </c>
      <c r="CXD36" s="17">
        <f>'Form-Sb'!CXH94</f>
        <v>0</v>
      </c>
      <c r="CXE36" s="17">
        <f>'Form-Sb'!CXI94</f>
        <v>0</v>
      </c>
      <c r="CXF36" s="17">
        <f>'Form-Sb'!CXJ94</f>
        <v>0</v>
      </c>
      <c r="CXG36" s="17">
        <f>'Form-Sb'!CXK94</f>
        <v>0</v>
      </c>
      <c r="CXH36" s="17">
        <f>'Form-Sb'!CXL94</f>
        <v>0</v>
      </c>
      <c r="CXI36" s="17">
        <f>'Form-Sb'!CXM94</f>
        <v>0</v>
      </c>
      <c r="CXJ36" s="17">
        <f>'Form-Sb'!CXN94</f>
        <v>0</v>
      </c>
      <c r="CXK36" s="17">
        <f>'Form-Sb'!CXO94</f>
        <v>0</v>
      </c>
      <c r="CXL36" s="17">
        <f>'Form-Sb'!CXP94</f>
        <v>0</v>
      </c>
      <c r="CXM36" s="17">
        <f>'Form-Sb'!CXQ94</f>
        <v>0</v>
      </c>
      <c r="CXN36" s="17">
        <f>'Form-Sb'!CXR94</f>
        <v>0</v>
      </c>
      <c r="CXO36" s="17">
        <f>'Form-Sb'!CXS94</f>
        <v>0</v>
      </c>
      <c r="CXP36" s="17">
        <f>'Form-Sb'!CXT94</f>
        <v>0</v>
      </c>
      <c r="CXQ36" s="17">
        <f>'Form-Sb'!CXU94</f>
        <v>0</v>
      </c>
      <c r="CXR36" s="17">
        <f>'Form-Sb'!CXV94</f>
        <v>0</v>
      </c>
      <c r="CXS36" s="17">
        <f>'Form-Sb'!CXW94</f>
        <v>0</v>
      </c>
      <c r="CXT36" s="17">
        <f>'Form-Sb'!CXX94</f>
        <v>0</v>
      </c>
      <c r="CXU36" s="17">
        <f>'Form-Sb'!CXY94</f>
        <v>0</v>
      </c>
      <c r="CXV36" s="17">
        <f>'Form-Sb'!CXZ94</f>
        <v>0</v>
      </c>
      <c r="CXW36" s="17">
        <f>'Form-Sb'!CYA94</f>
        <v>0</v>
      </c>
      <c r="CXX36" s="17">
        <f>'Form-Sb'!CYB94</f>
        <v>0</v>
      </c>
      <c r="CXY36" s="17">
        <f>'Form-Sb'!CYC94</f>
        <v>0</v>
      </c>
      <c r="CXZ36" s="17">
        <f>'Form-Sb'!CYD94</f>
        <v>0</v>
      </c>
      <c r="CYA36" s="17">
        <f>'Form-Sb'!CYE94</f>
        <v>0</v>
      </c>
      <c r="CYB36" s="17">
        <f>'Form-Sb'!CYF94</f>
        <v>0</v>
      </c>
      <c r="CYC36" s="17">
        <f>'Form-Sb'!CYG94</f>
        <v>0</v>
      </c>
      <c r="CYD36" s="17">
        <f>'Form-Sb'!CYH94</f>
        <v>0</v>
      </c>
      <c r="CYE36" s="17">
        <f>'Form-Sb'!CYI94</f>
        <v>0</v>
      </c>
      <c r="CYF36" s="17">
        <f>'Form-Sb'!CYJ94</f>
        <v>0</v>
      </c>
      <c r="CYG36" s="17">
        <f>'Form-Sb'!CYK94</f>
        <v>0</v>
      </c>
      <c r="CYH36" s="17">
        <f>'Form-Sb'!CYL94</f>
        <v>0</v>
      </c>
      <c r="CYI36" s="17">
        <f>'Form-Sb'!CYM94</f>
        <v>0</v>
      </c>
      <c r="CYJ36" s="17">
        <f>'Form-Sb'!CYN94</f>
        <v>0</v>
      </c>
      <c r="CYK36" s="17">
        <f>'Form-Sb'!CYO94</f>
        <v>0</v>
      </c>
      <c r="CYL36" s="17">
        <f>'Form-Sb'!CYP94</f>
        <v>0</v>
      </c>
      <c r="CYM36" s="17">
        <f>'Form-Sb'!CYQ94</f>
        <v>0</v>
      </c>
      <c r="CYN36" s="17">
        <f>'Form-Sb'!CYR94</f>
        <v>0</v>
      </c>
      <c r="CYO36" s="17">
        <f>'Form-Sb'!CYS94</f>
        <v>0</v>
      </c>
      <c r="CYP36" s="17">
        <f>'Form-Sb'!CYT94</f>
        <v>0</v>
      </c>
      <c r="CYQ36" s="17">
        <f>'Form-Sb'!CYU94</f>
        <v>0</v>
      </c>
      <c r="CYR36" s="17">
        <f>'Form-Sb'!CYV94</f>
        <v>0</v>
      </c>
      <c r="CYS36" s="17">
        <f>'Form-Sb'!CYW94</f>
        <v>0</v>
      </c>
      <c r="CYT36" s="17">
        <f>'Form-Sb'!CYX94</f>
        <v>0</v>
      </c>
      <c r="CYU36" s="17">
        <f>'Form-Sb'!CYY94</f>
        <v>0</v>
      </c>
      <c r="CYV36" s="17">
        <f>'Form-Sb'!CYZ94</f>
        <v>0</v>
      </c>
      <c r="CYW36" s="17">
        <f>'Form-Sb'!CZA94</f>
        <v>0</v>
      </c>
      <c r="CYX36" s="17">
        <f>'Form-Sb'!CZB94</f>
        <v>0</v>
      </c>
      <c r="CYY36" s="17">
        <f>'Form-Sb'!CZC94</f>
        <v>0</v>
      </c>
      <c r="CYZ36" s="17">
        <f>'Form-Sb'!CZD94</f>
        <v>0</v>
      </c>
      <c r="CZA36" s="17">
        <f>'Form-Sb'!CZE94</f>
        <v>0</v>
      </c>
      <c r="CZB36" s="17">
        <f>'Form-Sb'!CZF94</f>
        <v>0</v>
      </c>
      <c r="CZC36" s="17">
        <f>'Form-Sb'!CZG94</f>
        <v>0</v>
      </c>
      <c r="CZD36" s="17">
        <f>'Form-Sb'!CZH94</f>
        <v>0</v>
      </c>
      <c r="CZE36" s="17">
        <f>'Form-Sb'!CZI94</f>
        <v>0</v>
      </c>
      <c r="CZF36" s="17">
        <f>'Form-Sb'!CZJ94</f>
        <v>0</v>
      </c>
      <c r="CZG36" s="17">
        <f>'Form-Sb'!CZK94</f>
        <v>0</v>
      </c>
      <c r="CZH36" s="17">
        <f>'Form-Sb'!CZL94</f>
        <v>0</v>
      </c>
      <c r="CZI36" s="17">
        <f>'Form-Sb'!CZM94</f>
        <v>0</v>
      </c>
      <c r="CZJ36" s="17">
        <f>'Form-Sb'!CZN94</f>
        <v>0</v>
      </c>
      <c r="CZK36" s="17">
        <f>'Form-Sb'!CZO94</f>
        <v>0</v>
      </c>
      <c r="CZL36" s="17">
        <f>'Form-Sb'!CZP94</f>
        <v>0</v>
      </c>
      <c r="CZM36" s="17">
        <f>'Form-Sb'!CZQ94</f>
        <v>0</v>
      </c>
      <c r="CZN36" s="17">
        <f>'Form-Sb'!CZR94</f>
        <v>0</v>
      </c>
      <c r="CZO36" s="17">
        <f>'Form-Sb'!CZS94</f>
        <v>0</v>
      </c>
      <c r="CZP36" s="17">
        <f>'Form-Sb'!CZT94</f>
        <v>0</v>
      </c>
      <c r="CZQ36" s="17">
        <f>'Form-Sb'!CZU94</f>
        <v>0</v>
      </c>
      <c r="CZR36" s="17">
        <f>'Form-Sb'!CZV94</f>
        <v>0</v>
      </c>
      <c r="CZS36" s="17">
        <f>'Form-Sb'!CZW94</f>
        <v>0</v>
      </c>
      <c r="CZT36" s="17">
        <f>'Form-Sb'!CZX94</f>
        <v>0</v>
      </c>
      <c r="CZU36" s="17">
        <f>'Form-Sb'!CZY94</f>
        <v>0</v>
      </c>
      <c r="CZV36" s="17">
        <f>'Form-Sb'!CZZ94</f>
        <v>0</v>
      </c>
      <c r="CZW36" s="17">
        <f>'Form-Sb'!DAA94</f>
        <v>0</v>
      </c>
      <c r="CZX36" s="17">
        <f>'Form-Sb'!DAB94</f>
        <v>0</v>
      </c>
      <c r="CZY36" s="17">
        <f>'Form-Sb'!DAC94</f>
        <v>0</v>
      </c>
      <c r="CZZ36" s="17">
        <f>'Form-Sb'!DAD94</f>
        <v>0</v>
      </c>
      <c r="DAA36" s="17">
        <f>'Form-Sb'!DAE94</f>
        <v>0</v>
      </c>
      <c r="DAB36" s="17">
        <f>'Form-Sb'!DAF94</f>
        <v>0</v>
      </c>
      <c r="DAC36" s="17">
        <f>'Form-Sb'!DAG94</f>
        <v>0</v>
      </c>
      <c r="DAD36" s="17">
        <f>'Form-Sb'!DAH94</f>
        <v>0</v>
      </c>
      <c r="DAE36" s="17">
        <f>'Form-Sb'!DAI94</f>
        <v>0</v>
      </c>
      <c r="DAF36" s="17">
        <f>'Form-Sb'!DAJ94</f>
        <v>0</v>
      </c>
      <c r="DAG36" s="17">
        <f>'Form-Sb'!DAK94</f>
        <v>0</v>
      </c>
      <c r="DAH36" s="17">
        <f>'Form-Sb'!DAL94</f>
        <v>0</v>
      </c>
      <c r="DAI36" s="17">
        <f>'Form-Sb'!DAM94</f>
        <v>0</v>
      </c>
      <c r="DAJ36" s="17">
        <f>'Form-Sb'!DAN94</f>
        <v>0</v>
      </c>
      <c r="DAK36" s="17">
        <f>'Form-Sb'!DAO94</f>
        <v>0</v>
      </c>
      <c r="DAL36" s="17">
        <f>'Form-Sb'!DAP94</f>
        <v>0</v>
      </c>
      <c r="DAM36" s="17">
        <f>'Form-Sb'!DAQ94</f>
        <v>0</v>
      </c>
      <c r="DAN36" s="17">
        <f>'Form-Sb'!DAR94</f>
        <v>0</v>
      </c>
      <c r="DAO36" s="17">
        <f>'Form-Sb'!DAS94</f>
        <v>0</v>
      </c>
      <c r="DAP36" s="17">
        <f>'Form-Sb'!DAT94</f>
        <v>0</v>
      </c>
      <c r="DAQ36" s="17">
        <f>'Form-Sb'!DAU94</f>
        <v>0</v>
      </c>
      <c r="DAR36" s="17">
        <f>'Form-Sb'!DAV94</f>
        <v>0</v>
      </c>
      <c r="DAS36" s="17">
        <f>'Form-Sb'!DAW94</f>
        <v>0</v>
      </c>
      <c r="DAT36" s="17">
        <f>'Form-Sb'!DAX94</f>
        <v>0</v>
      </c>
      <c r="DAU36" s="17">
        <f>'Form-Sb'!DAY94</f>
        <v>0</v>
      </c>
      <c r="DAV36" s="17">
        <f>'Form-Sb'!DAZ94</f>
        <v>0</v>
      </c>
      <c r="DAW36" s="17">
        <f>'Form-Sb'!DBA94</f>
        <v>0</v>
      </c>
      <c r="DAX36" s="17">
        <f>'Form-Sb'!DBB94</f>
        <v>0</v>
      </c>
      <c r="DAY36" s="17">
        <f>'Form-Sb'!DBC94</f>
        <v>0</v>
      </c>
      <c r="DAZ36" s="17">
        <f>'Form-Sb'!DBD94</f>
        <v>0</v>
      </c>
      <c r="DBA36" s="17">
        <f>'Form-Sb'!DBE94</f>
        <v>0</v>
      </c>
      <c r="DBB36" s="17">
        <f>'Form-Sb'!DBF94</f>
        <v>0</v>
      </c>
      <c r="DBC36" s="17">
        <f>'Form-Sb'!DBG94</f>
        <v>0</v>
      </c>
      <c r="DBD36" s="17">
        <f>'Form-Sb'!DBH94</f>
        <v>0</v>
      </c>
      <c r="DBE36" s="17">
        <f>'Form-Sb'!DBI94</f>
        <v>0</v>
      </c>
      <c r="DBF36" s="17">
        <f>'Form-Sb'!DBJ94</f>
        <v>0</v>
      </c>
      <c r="DBG36" s="17">
        <f>'Form-Sb'!DBK94</f>
        <v>0</v>
      </c>
      <c r="DBH36" s="17">
        <f>'Form-Sb'!DBL94</f>
        <v>0</v>
      </c>
      <c r="DBI36" s="17">
        <f>'Form-Sb'!DBM94</f>
        <v>0</v>
      </c>
      <c r="DBJ36" s="17">
        <f>'Form-Sb'!DBN94</f>
        <v>0</v>
      </c>
      <c r="DBK36" s="17">
        <f>'Form-Sb'!DBO94</f>
        <v>0</v>
      </c>
      <c r="DBL36" s="17">
        <f>'Form-Sb'!DBP94</f>
        <v>0</v>
      </c>
      <c r="DBM36" s="17">
        <f>'Form-Sb'!DBQ94</f>
        <v>0</v>
      </c>
      <c r="DBN36" s="17">
        <f>'Form-Sb'!DBR94</f>
        <v>0</v>
      </c>
      <c r="DBO36" s="17">
        <f>'Form-Sb'!DBS94</f>
        <v>0</v>
      </c>
      <c r="DBP36" s="17">
        <f>'Form-Sb'!DBT94</f>
        <v>0</v>
      </c>
      <c r="DBQ36" s="17">
        <f>'Form-Sb'!DBU94</f>
        <v>0</v>
      </c>
      <c r="DBR36" s="17">
        <f>'Form-Sb'!DBV94</f>
        <v>0</v>
      </c>
      <c r="DBS36" s="17">
        <f>'Form-Sb'!DBW94</f>
        <v>0</v>
      </c>
      <c r="DBT36" s="17">
        <f>'Form-Sb'!DBX94</f>
        <v>0</v>
      </c>
      <c r="DBU36" s="17">
        <f>'Form-Sb'!DBY94</f>
        <v>0</v>
      </c>
      <c r="DBV36" s="17">
        <f>'Form-Sb'!DBZ94</f>
        <v>0</v>
      </c>
      <c r="DBW36" s="17">
        <f>'Form-Sb'!DCA94</f>
        <v>0</v>
      </c>
      <c r="DBX36" s="17">
        <f>'Form-Sb'!DCB94</f>
        <v>0</v>
      </c>
      <c r="DBY36" s="17">
        <f>'Form-Sb'!DCC94</f>
        <v>0</v>
      </c>
      <c r="DBZ36" s="17">
        <f>'Form-Sb'!DCD94</f>
        <v>0</v>
      </c>
      <c r="DCA36" s="17">
        <f>'Form-Sb'!DCE94</f>
        <v>0</v>
      </c>
      <c r="DCB36" s="17">
        <f>'Form-Sb'!DCF94</f>
        <v>0</v>
      </c>
      <c r="DCC36" s="17">
        <f>'Form-Sb'!DCG94</f>
        <v>0</v>
      </c>
      <c r="DCD36" s="17">
        <f>'Form-Sb'!DCH94</f>
        <v>0</v>
      </c>
      <c r="DCE36" s="17">
        <f>'Form-Sb'!DCI94</f>
        <v>0</v>
      </c>
      <c r="DCF36" s="17">
        <f>'Form-Sb'!DCJ94</f>
        <v>0</v>
      </c>
      <c r="DCG36" s="17">
        <f>'Form-Sb'!DCK94</f>
        <v>0</v>
      </c>
      <c r="DCH36" s="17">
        <f>'Form-Sb'!DCL94</f>
        <v>0</v>
      </c>
      <c r="DCI36" s="17">
        <f>'Form-Sb'!DCM94</f>
        <v>0</v>
      </c>
      <c r="DCJ36" s="17">
        <f>'Form-Sb'!DCN94</f>
        <v>0</v>
      </c>
      <c r="DCK36" s="17">
        <f>'Form-Sb'!DCO94</f>
        <v>0</v>
      </c>
      <c r="DCL36" s="17">
        <f>'Form-Sb'!DCP94</f>
        <v>0</v>
      </c>
      <c r="DCM36" s="17">
        <f>'Form-Sb'!DCQ94</f>
        <v>0</v>
      </c>
      <c r="DCN36" s="17">
        <f>'Form-Sb'!DCR94</f>
        <v>0</v>
      </c>
      <c r="DCO36" s="17">
        <f>'Form-Sb'!DCS94</f>
        <v>0</v>
      </c>
      <c r="DCP36" s="17">
        <f>'Form-Sb'!DCT94</f>
        <v>0</v>
      </c>
      <c r="DCQ36" s="17">
        <f>'Form-Sb'!DCU94</f>
        <v>0</v>
      </c>
      <c r="DCR36" s="17">
        <f>'Form-Sb'!DCV94</f>
        <v>0</v>
      </c>
      <c r="DCS36" s="17">
        <f>'Form-Sb'!DCW94</f>
        <v>0</v>
      </c>
      <c r="DCT36" s="17">
        <f>'Form-Sb'!DCX94</f>
        <v>0</v>
      </c>
      <c r="DCU36" s="17">
        <f>'Form-Sb'!DCY94</f>
        <v>0</v>
      </c>
      <c r="DCV36" s="17">
        <f>'Form-Sb'!DCZ94</f>
        <v>0</v>
      </c>
      <c r="DCW36" s="17">
        <f>'Form-Sb'!DDA94</f>
        <v>0</v>
      </c>
      <c r="DCX36" s="17">
        <f>'Form-Sb'!DDB94</f>
        <v>0</v>
      </c>
      <c r="DCY36" s="17">
        <f>'Form-Sb'!DDC94</f>
        <v>0</v>
      </c>
      <c r="DCZ36" s="17">
        <f>'Form-Sb'!DDD94</f>
        <v>0</v>
      </c>
      <c r="DDA36" s="17">
        <f>'Form-Sb'!DDE94</f>
        <v>0</v>
      </c>
      <c r="DDB36" s="17">
        <f>'Form-Sb'!DDF94</f>
        <v>0</v>
      </c>
      <c r="DDC36" s="17">
        <f>'Form-Sb'!DDG94</f>
        <v>0</v>
      </c>
      <c r="DDD36" s="17">
        <f>'Form-Sb'!DDH94</f>
        <v>0</v>
      </c>
      <c r="DDE36" s="17">
        <f>'Form-Sb'!DDI94</f>
        <v>0</v>
      </c>
      <c r="DDF36" s="17">
        <f>'Form-Sb'!DDJ94</f>
        <v>0</v>
      </c>
      <c r="DDG36" s="17">
        <f>'Form-Sb'!DDK94</f>
        <v>0</v>
      </c>
      <c r="DDH36" s="17">
        <f>'Form-Sb'!DDL94</f>
        <v>0</v>
      </c>
      <c r="DDI36" s="17">
        <f>'Form-Sb'!DDM94</f>
        <v>0</v>
      </c>
      <c r="DDJ36" s="17">
        <f>'Form-Sb'!DDN94</f>
        <v>0</v>
      </c>
      <c r="DDK36" s="17">
        <f>'Form-Sb'!DDO94</f>
        <v>0</v>
      </c>
      <c r="DDL36" s="17">
        <f>'Form-Sb'!DDP94</f>
        <v>0</v>
      </c>
      <c r="DDM36" s="17">
        <f>'Form-Sb'!DDQ94</f>
        <v>0</v>
      </c>
      <c r="DDN36" s="17">
        <f>'Form-Sb'!DDR94</f>
        <v>0</v>
      </c>
      <c r="DDO36" s="17">
        <f>'Form-Sb'!DDS94</f>
        <v>0</v>
      </c>
      <c r="DDP36" s="17">
        <f>'Form-Sb'!DDT94</f>
        <v>0</v>
      </c>
      <c r="DDQ36" s="17">
        <f>'Form-Sb'!DDU94</f>
        <v>0</v>
      </c>
      <c r="DDR36" s="17">
        <f>'Form-Sb'!DDV94</f>
        <v>0</v>
      </c>
      <c r="DDS36" s="17">
        <f>'Form-Sb'!DDW94</f>
        <v>0</v>
      </c>
      <c r="DDT36" s="17">
        <f>'Form-Sb'!DDX94</f>
        <v>0</v>
      </c>
      <c r="DDU36" s="17">
        <f>'Form-Sb'!DDY94</f>
        <v>0</v>
      </c>
      <c r="DDV36" s="17">
        <f>'Form-Sb'!DDZ94</f>
        <v>0</v>
      </c>
      <c r="DDW36" s="17">
        <f>'Form-Sb'!DEA94</f>
        <v>0</v>
      </c>
      <c r="DDX36" s="17">
        <f>'Form-Sb'!DEB94</f>
        <v>0</v>
      </c>
      <c r="DDY36" s="17">
        <f>'Form-Sb'!DEC94</f>
        <v>0</v>
      </c>
      <c r="DDZ36" s="17">
        <f>'Form-Sb'!DED94</f>
        <v>0</v>
      </c>
      <c r="DEA36" s="17">
        <f>'Form-Sb'!DEE94</f>
        <v>0</v>
      </c>
      <c r="DEB36" s="17">
        <f>'Form-Sb'!DEF94</f>
        <v>0</v>
      </c>
      <c r="DEC36" s="17">
        <f>'Form-Sb'!DEG94</f>
        <v>0</v>
      </c>
      <c r="DED36" s="17">
        <f>'Form-Sb'!DEH94</f>
        <v>0</v>
      </c>
      <c r="DEE36" s="17">
        <f>'Form-Sb'!DEI94</f>
        <v>0</v>
      </c>
      <c r="DEF36" s="17">
        <f>'Form-Sb'!DEJ94</f>
        <v>0</v>
      </c>
      <c r="DEG36" s="17">
        <f>'Form-Sb'!DEK94</f>
        <v>0</v>
      </c>
      <c r="DEH36" s="17">
        <f>'Form-Sb'!DEL94</f>
        <v>0</v>
      </c>
      <c r="DEI36" s="17">
        <f>'Form-Sb'!DEM94</f>
        <v>0</v>
      </c>
      <c r="DEJ36" s="17">
        <f>'Form-Sb'!DEN94</f>
        <v>0</v>
      </c>
      <c r="DEK36" s="17">
        <f>'Form-Sb'!DEO94</f>
        <v>0</v>
      </c>
      <c r="DEL36" s="17">
        <f>'Form-Sb'!DEP94</f>
        <v>0</v>
      </c>
      <c r="DEM36" s="17">
        <f>'Form-Sb'!DEQ94</f>
        <v>0</v>
      </c>
      <c r="DEN36" s="17">
        <f>'Form-Sb'!DER94</f>
        <v>0</v>
      </c>
      <c r="DEO36" s="17">
        <f>'Form-Sb'!DES94</f>
        <v>0</v>
      </c>
      <c r="DEP36" s="17">
        <f>'Form-Sb'!DET94</f>
        <v>0</v>
      </c>
      <c r="DEQ36" s="17">
        <f>'Form-Sb'!DEU94</f>
        <v>0</v>
      </c>
      <c r="DER36" s="17">
        <f>'Form-Sb'!DEV94</f>
        <v>0</v>
      </c>
      <c r="DES36" s="17">
        <f>'Form-Sb'!DEW94</f>
        <v>0</v>
      </c>
      <c r="DET36" s="17">
        <f>'Form-Sb'!DEX94</f>
        <v>0</v>
      </c>
      <c r="DEU36" s="17">
        <f>'Form-Sb'!DEY94</f>
        <v>0</v>
      </c>
      <c r="DEV36" s="17">
        <f>'Form-Sb'!DEZ94</f>
        <v>0</v>
      </c>
      <c r="DEW36" s="17">
        <f>'Form-Sb'!DFA94</f>
        <v>0</v>
      </c>
      <c r="DEX36" s="17">
        <f>'Form-Sb'!DFB94</f>
        <v>0</v>
      </c>
      <c r="DEY36" s="17">
        <f>'Form-Sb'!DFC94</f>
        <v>0</v>
      </c>
      <c r="DEZ36" s="17">
        <f>'Form-Sb'!DFD94</f>
        <v>0</v>
      </c>
      <c r="DFA36" s="17">
        <f>'Form-Sb'!DFE94</f>
        <v>0</v>
      </c>
      <c r="DFB36" s="17">
        <f>'Form-Sb'!DFF94</f>
        <v>0</v>
      </c>
      <c r="DFC36" s="17">
        <f>'Form-Sb'!DFG94</f>
        <v>0</v>
      </c>
      <c r="DFD36" s="17">
        <f>'Form-Sb'!DFH94</f>
        <v>0</v>
      </c>
      <c r="DFE36" s="17">
        <f>'Form-Sb'!DFI94</f>
        <v>0</v>
      </c>
      <c r="DFF36" s="17">
        <f>'Form-Sb'!DFJ94</f>
        <v>0</v>
      </c>
      <c r="DFG36" s="17">
        <f>'Form-Sb'!DFK94</f>
        <v>0</v>
      </c>
      <c r="DFH36" s="17">
        <f>'Form-Sb'!DFL94</f>
        <v>0</v>
      </c>
      <c r="DFI36" s="17">
        <f>'Form-Sb'!DFM94</f>
        <v>0</v>
      </c>
      <c r="DFJ36" s="17">
        <f>'Form-Sb'!DFN94</f>
        <v>0</v>
      </c>
      <c r="DFK36" s="17">
        <f>'Form-Sb'!DFO94</f>
        <v>0</v>
      </c>
      <c r="DFL36" s="17">
        <f>'Form-Sb'!DFP94</f>
        <v>0</v>
      </c>
      <c r="DFM36" s="17">
        <f>'Form-Sb'!DFQ94</f>
        <v>0</v>
      </c>
      <c r="DFN36" s="17">
        <f>'Form-Sb'!DFR94</f>
        <v>0</v>
      </c>
      <c r="DFO36" s="17">
        <f>'Form-Sb'!DFS94</f>
        <v>0</v>
      </c>
      <c r="DFP36" s="17">
        <f>'Form-Sb'!DFT94</f>
        <v>0</v>
      </c>
      <c r="DFQ36" s="17">
        <f>'Form-Sb'!DFU94</f>
        <v>0</v>
      </c>
      <c r="DFR36" s="17">
        <f>'Form-Sb'!DFV94</f>
        <v>0</v>
      </c>
      <c r="DFS36" s="17">
        <f>'Form-Sb'!DFW94</f>
        <v>0</v>
      </c>
      <c r="DFT36" s="17">
        <f>'Form-Sb'!DFX94</f>
        <v>0</v>
      </c>
      <c r="DFU36" s="17">
        <f>'Form-Sb'!DFY94</f>
        <v>0</v>
      </c>
      <c r="DFV36" s="17">
        <f>'Form-Sb'!DFZ94</f>
        <v>0</v>
      </c>
      <c r="DFW36" s="17">
        <f>'Form-Sb'!DGA94</f>
        <v>0</v>
      </c>
      <c r="DFX36" s="17">
        <f>'Form-Sb'!DGB94</f>
        <v>0</v>
      </c>
      <c r="DFY36" s="17">
        <f>'Form-Sb'!DGC94</f>
        <v>0</v>
      </c>
      <c r="DFZ36" s="17">
        <f>'Form-Sb'!DGD94</f>
        <v>0</v>
      </c>
      <c r="DGA36" s="17">
        <f>'Form-Sb'!DGE94</f>
        <v>0</v>
      </c>
      <c r="DGB36" s="17">
        <f>'Form-Sb'!DGF94</f>
        <v>0</v>
      </c>
      <c r="DGC36" s="17">
        <f>'Form-Sb'!DGG94</f>
        <v>0</v>
      </c>
      <c r="DGD36" s="17">
        <f>'Form-Sb'!DGH94</f>
        <v>0</v>
      </c>
      <c r="DGE36" s="17">
        <f>'Form-Sb'!DGI94</f>
        <v>0</v>
      </c>
      <c r="DGF36" s="17">
        <f>'Form-Sb'!DGJ94</f>
        <v>0</v>
      </c>
      <c r="DGG36" s="17">
        <f>'Form-Sb'!DGK94</f>
        <v>0</v>
      </c>
      <c r="DGH36" s="17">
        <f>'Form-Sb'!DGL94</f>
        <v>0</v>
      </c>
      <c r="DGI36" s="17">
        <f>'Form-Sb'!DGM94</f>
        <v>0</v>
      </c>
      <c r="DGJ36" s="17">
        <f>'Form-Sb'!DGN94</f>
        <v>0</v>
      </c>
      <c r="DGK36" s="17">
        <f>'Form-Sb'!DGO94</f>
        <v>0</v>
      </c>
      <c r="DGL36" s="17">
        <f>'Form-Sb'!DGP94</f>
        <v>0</v>
      </c>
      <c r="DGM36" s="17">
        <f>'Form-Sb'!DGQ94</f>
        <v>0</v>
      </c>
      <c r="DGN36" s="17">
        <f>'Form-Sb'!DGR94</f>
        <v>0</v>
      </c>
      <c r="DGO36" s="17">
        <f>'Form-Sb'!DGS94</f>
        <v>0</v>
      </c>
      <c r="DGP36" s="17">
        <f>'Form-Sb'!DGT94</f>
        <v>0</v>
      </c>
      <c r="DGQ36" s="17">
        <f>'Form-Sb'!DGU94</f>
        <v>0</v>
      </c>
      <c r="DGR36" s="17">
        <f>'Form-Sb'!DGV94</f>
        <v>0</v>
      </c>
      <c r="DGS36" s="17">
        <f>'Form-Sb'!DGW94</f>
        <v>0</v>
      </c>
      <c r="DGT36" s="17">
        <f>'Form-Sb'!DGX94</f>
        <v>0</v>
      </c>
      <c r="DGU36" s="17">
        <f>'Form-Sb'!DGY94</f>
        <v>0</v>
      </c>
      <c r="DGV36" s="17">
        <f>'Form-Sb'!DGZ94</f>
        <v>0</v>
      </c>
      <c r="DGW36" s="17">
        <f>'Form-Sb'!DHA94</f>
        <v>0</v>
      </c>
      <c r="DGX36" s="17">
        <f>'Form-Sb'!DHB94</f>
        <v>0</v>
      </c>
      <c r="DGY36" s="17">
        <f>'Form-Sb'!DHC94</f>
        <v>0</v>
      </c>
      <c r="DGZ36" s="17">
        <f>'Form-Sb'!DHD94</f>
        <v>0</v>
      </c>
      <c r="DHA36" s="17">
        <f>'Form-Sb'!DHE94</f>
        <v>0</v>
      </c>
      <c r="DHB36" s="17">
        <f>'Form-Sb'!DHF94</f>
        <v>0</v>
      </c>
      <c r="DHC36" s="17">
        <f>'Form-Sb'!DHG94</f>
        <v>0</v>
      </c>
      <c r="DHD36" s="17">
        <f>'Form-Sb'!DHH94</f>
        <v>0</v>
      </c>
      <c r="DHE36" s="17">
        <f>'Form-Sb'!DHI94</f>
        <v>0</v>
      </c>
      <c r="DHF36" s="17">
        <f>'Form-Sb'!DHJ94</f>
        <v>0</v>
      </c>
      <c r="DHG36" s="17">
        <f>'Form-Sb'!DHK94</f>
        <v>0</v>
      </c>
      <c r="DHH36" s="17">
        <f>'Form-Sb'!DHL94</f>
        <v>0</v>
      </c>
      <c r="DHI36" s="17">
        <f>'Form-Sb'!DHM94</f>
        <v>0</v>
      </c>
      <c r="DHJ36" s="17">
        <f>'Form-Sb'!DHN94</f>
        <v>0</v>
      </c>
      <c r="DHK36" s="17">
        <f>'Form-Sb'!DHO94</f>
        <v>0</v>
      </c>
      <c r="DHL36" s="17">
        <f>'Form-Sb'!DHP94</f>
        <v>0</v>
      </c>
      <c r="DHM36" s="17">
        <f>'Form-Sb'!DHQ94</f>
        <v>0</v>
      </c>
      <c r="DHN36" s="17">
        <f>'Form-Sb'!DHR94</f>
        <v>0</v>
      </c>
      <c r="DHO36" s="17">
        <f>'Form-Sb'!DHS94</f>
        <v>0</v>
      </c>
      <c r="DHP36" s="17">
        <f>'Form-Sb'!DHT94</f>
        <v>0</v>
      </c>
      <c r="DHQ36" s="17">
        <f>'Form-Sb'!DHU94</f>
        <v>0</v>
      </c>
      <c r="DHR36" s="17">
        <f>'Form-Sb'!DHV94</f>
        <v>0</v>
      </c>
      <c r="DHS36" s="17">
        <f>'Form-Sb'!DHW94</f>
        <v>0</v>
      </c>
      <c r="DHT36" s="17">
        <f>'Form-Sb'!DHX94</f>
        <v>0</v>
      </c>
      <c r="DHU36" s="17">
        <f>'Form-Sb'!DHY94</f>
        <v>0</v>
      </c>
      <c r="DHV36" s="17">
        <f>'Form-Sb'!DHZ94</f>
        <v>0</v>
      </c>
      <c r="DHW36" s="17">
        <f>'Form-Sb'!DIA94</f>
        <v>0</v>
      </c>
      <c r="DHX36" s="17">
        <f>'Form-Sb'!DIB94</f>
        <v>0</v>
      </c>
      <c r="DHY36" s="17">
        <f>'Form-Sb'!DIC94</f>
        <v>0</v>
      </c>
      <c r="DHZ36" s="17">
        <f>'Form-Sb'!DID94</f>
        <v>0</v>
      </c>
      <c r="DIA36" s="17">
        <f>'Form-Sb'!DIE94</f>
        <v>0</v>
      </c>
      <c r="DIB36" s="17">
        <f>'Form-Sb'!DIF94</f>
        <v>0</v>
      </c>
      <c r="DIC36" s="17">
        <f>'Form-Sb'!DIG94</f>
        <v>0</v>
      </c>
      <c r="DID36" s="17">
        <f>'Form-Sb'!DIH94</f>
        <v>0</v>
      </c>
      <c r="DIE36" s="17">
        <f>'Form-Sb'!DII94</f>
        <v>0</v>
      </c>
      <c r="DIF36" s="17">
        <f>'Form-Sb'!DIJ94</f>
        <v>0</v>
      </c>
      <c r="DIG36" s="17">
        <f>'Form-Sb'!DIK94</f>
        <v>0</v>
      </c>
      <c r="DIH36" s="17">
        <f>'Form-Sb'!DIL94</f>
        <v>0</v>
      </c>
      <c r="DII36" s="17">
        <f>'Form-Sb'!DIM94</f>
        <v>0</v>
      </c>
      <c r="DIJ36" s="17">
        <f>'Form-Sb'!DIN94</f>
        <v>0</v>
      </c>
      <c r="DIK36" s="17">
        <f>'Form-Sb'!DIO94</f>
        <v>0</v>
      </c>
      <c r="DIL36" s="17">
        <f>'Form-Sb'!DIP94</f>
        <v>0</v>
      </c>
      <c r="DIM36" s="17">
        <f>'Form-Sb'!DIQ94</f>
        <v>0</v>
      </c>
      <c r="DIN36" s="17">
        <f>'Form-Sb'!DIR94</f>
        <v>0</v>
      </c>
      <c r="DIO36" s="17">
        <f>'Form-Sb'!DIS94</f>
        <v>0</v>
      </c>
      <c r="DIP36" s="17">
        <f>'Form-Sb'!DIT94</f>
        <v>0</v>
      </c>
      <c r="DIQ36" s="17">
        <f>'Form-Sb'!DIU94</f>
        <v>0</v>
      </c>
      <c r="DIR36" s="17">
        <f>'Form-Sb'!DIV94</f>
        <v>0</v>
      </c>
      <c r="DIS36" s="17">
        <f>'Form-Sb'!DIW94</f>
        <v>0</v>
      </c>
      <c r="DIT36" s="17">
        <f>'Form-Sb'!DIX94</f>
        <v>0</v>
      </c>
      <c r="DIU36" s="17">
        <f>'Form-Sb'!DIY94</f>
        <v>0</v>
      </c>
      <c r="DIV36" s="17">
        <f>'Form-Sb'!DIZ94</f>
        <v>0</v>
      </c>
      <c r="DIW36" s="17">
        <f>'Form-Sb'!DJA94</f>
        <v>0</v>
      </c>
      <c r="DIX36" s="17">
        <f>'Form-Sb'!DJB94</f>
        <v>0</v>
      </c>
      <c r="DIY36" s="17">
        <f>'Form-Sb'!DJC94</f>
        <v>0</v>
      </c>
      <c r="DIZ36" s="17">
        <f>'Form-Sb'!DJD94</f>
        <v>0</v>
      </c>
      <c r="DJA36" s="17">
        <f>'Form-Sb'!DJE94</f>
        <v>0</v>
      </c>
      <c r="DJB36" s="17">
        <f>'Form-Sb'!DJF94</f>
        <v>0</v>
      </c>
      <c r="DJC36" s="17">
        <f>'Form-Sb'!DJG94</f>
        <v>0</v>
      </c>
      <c r="DJD36" s="17">
        <f>'Form-Sb'!DJH94</f>
        <v>0</v>
      </c>
      <c r="DJE36" s="17">
        <f>'Form-Sb'!DJI94</f>
        <v>0</v>
      </c>
      <c r="DJF36" s="17">
        <f>'Form-Sb'!DJJ94</f>
        <v>0</v>
      </c>
      <c r="DJG36" s="17">
        <f>'Form-Sb'!DJK94</f>
        <v>0</v>
      </c>
      <c r="DJH36" s="17">
        <f>'Form-Sb'!DJL94</f>
        <v>0</v>
      </c>
      <c r="DJI36" s="17">
        <f>'Form-Sb'!DJM94</f>
        <v>0</v>
      </c>
      <c r="DJJ36" s="17">
        <f>'Form-Sb'!DJN94</f>
        <v>0</v>
      </c>
      <c r="DJK36" s="17">
        <f>'Form-Sb'!DJO94</f>
        <v>0</v>
      </c>
      <c r="DJL36" s="17">
        <f>'Form-Sb'!DJP94</f>
        <v>0</v>
      </c>
      <c r="DJM36" s="17">
        <f>'Form-Sb'!DJQ94</f>
        <v>0</v>
      </c>
      <c r="DJN36" s="17">
        <f>'Form-Sb'!DJR94</f>
        <v>0</v>
      </c>
      <c r="DJO36" s="17">
        <f>'Form-Sb'!DJS94</f>
        <v>0</v>
      </c>
      <c r="DJP36" s="17">
        <f>'Form-Sb'!DJT94</f>
        <v>0</v>
      </c>
      <c r="DJQ36" s="17">
        <f>'Form-Sb'!DJU94</f>
        <v>0</v>
      </c>
      <c r="DJR36" s="17">
        <f>'Form-Sb'!DJV94</f>
        <v>0</v>
      </c>
      <c r="DJS36" s="17">
        <f>'Form-Sb'!DJW94</f>
        <v>0</v>
      </c>
      <c r="DJT36" s="17">
        <f>'Form-Sb'!DJX94</f>
        <v>0</v>
      </c>
      <c r="DJU36" s="17">
        <f>'Form-Sb'!DJY94</f>
        <v>0</v>
      </c>
      <c r="DJV36" s="17">
        <f>'Form-Sb'!DJZ94</f>
        <v>0</v>
      </c>
      <c r="DJW36" s="17">
        <f>'Form-Sb'!DKA94</f>
        <v>0</v>
      </c>
      <c r="DJX36" s="17">
        <f>'Form-Sb'!DKB94</f>
        <v>0</v>
      </c>
      <c r="DJY36" s="17">
        <f>'Form-Sb'!DKC94</f>
        <v>0</v>
      </c>
      <c r="DJZ36" s="17">
        <f>'Form-Sb'!DKD94</f>
        <v>0</v>
      </c>
      <c r="DKA36" s="17">
        <f>'Form-Sb'!DKE94</f>
        <v>0</v>
      </c>
      <c r="DKB36" s="17">
        <f>'Form-Sb'!DKF94</f>
        <v>0</v>
      </c>
      <c r="DKC36" s="17">
        <f>'Form-Sb'!DKG94</f>
        <v>0</v>
      </c>
      <c r="DKD36" s="17">
        <f>'Form-Sb'!DKH94</f>
        <v>0</v>
      </c>
      <c r="DKE36" s="17">
        <f>'Form-Sb'!DKI94</f>
        <v>0</v>
      </c>
      <c r="DKF36" s="17">
        <f>'Form-Sb'!DKJ94</f>
        <v>0</v>
      </c>
      <c r="DKG36" s="17">
        <f>'Form-Sb'!DKK94</f>
        <v>0</v>
      </c>
      <c r="DKH36" s="17">
        <f>'Form-Sb'!DKL94</f>
        <v>0</v>
      </c>
      <c r="DKI36" s="17">
        <f>'Form-Sb'!DKM94</f>
        <v>0</v>
      </c>
      <c r="DKJ36" s="17">
        <f>'Form-Sb'!DKN94</f>
        <v>0</v>
      </c>
      <c r="DKK36" s="17">
        <f>'Form-Sb'!DKO94</f>
        <v>0</v>
      </c>
      <c r="DKL36" s="17">
        <f>'Form-Sb'!DKP94</f>
        <v>0</v>
      </c>
      <c r="DKM36" s="17">
        <f>'Form-Sb'!DKQ94</f>
        <v>0</v>
      </c>
      <c r="DKN36" s="17">
        <f>'Form-Sb'!DKR94</f>
        <v>0</v>
      </c>
      <c r="DKO36" s="17">
        <f>'Form-Sb'!DKS94</f>
        <v>0</v>
      </c>
      <c r="DKP36" s="17">
        <f>'Form-Sb'!DKT94</f>
        <v>0</v>
      </c>
      <c r="DKQ36" s="17">
        <f>'Form-Sb'!DKU94</f>
        <v>0</v>
      </c>
      <c r="DKR36" s="17">
        <f>'Form-Sb'!DKV94</f>
        <v>0</v>
      </c>
      <c r="DKS36" s="17">
        <f>'Form-Sb'!DKW94</f>
        <v>0</v>
      </c>
      <c r="DKT36" s="17">
        <f>'Form-Sb'!DKX94</f>
        <v>0</v>
      </c>
      <c r="DKU36" s="17">
        <f>'Form-Sb'!DKY94</f>
        <v>0</v>
      </c>
      <c r="DKV36" s="17">
        <f>'Form-Sb'!DKZ94</f>
        <v>0</v>
      </c>
      <c r="DKW36" s="17">
        <f>'Form-Sb'!DLA94</f>
        <v>0</v>
      </c>
      <c r="DKX36" s="17">
        <f>'Form-Sb'!DLB94</f>
        <v>0</v>
      </c>
      <c r="DKY36" s="17">
        <f>'Form-Sb'!DLC94</f>
        <v>0</v>
      </c>
      <c r="DKZ36" s="17">
        <f>'Form-Sb'!DLD94</f>
        <v>0</v>
      </c>
      <c r="DLA36" s="17">
        <f>'Form-Sb'!DLE94</f>
        <v>0</v>
      </c>
      <c r="DLB36" s="17">
        <f>'Form-Sb'!DLF94</f>
        <v>0</v>
      </c>
      <c r="DLC36" s="17">
        <f>'Form-Sb'!DLG94</f>
        <v>0</v>
      </c>
      <c r="DLD36" s="17">
        <f>'Form-Sb'!DLH94</f>
        <v>0</v>
      </c>
      <c r="DLE36" s="17">
        <f>'Form-Sb'!DLI94</f>
        <v>0</v>
      </c>
      <c r="DLF36" s="17">
        <f>'Form-Sb'!DLJ94</f>
        <v>0</v>
      </c>
      <c r="DLG36" s="17">
        <f>'Form-Sb'!DLK94</f>
        <v>0</v>
      </c>
      <c r="DLH36" s="17">
        <f>'Form-Sb'!DLL94</f>
        <v>0</v>
      </c>
      <c r="DLI36" s="17">
        <f>'Form-Sb'!DLM94</f>
        <v>0</v>
      </c>
      <c r="DLJ36" s="17">
        <f>'Form-Sb'!DLN94</f>
        <v>0</v>
      </c>
      <c r="DLK36" s="17">
        <f>'Form-Sb'!DLO94</f>
        <v>0</v>
      </c>
      <c r="DLL36" s="17">
        <f>'Form-Sb'!DLP94</f>
        <v>0</v>
      </c>
      <c r="DLM36" s="17">
        <f>'Form-Sb'!DLQ94</f>
        <v>0</v>
      </c>
      <c r="DLN36" s="17">
        <f>'Form-Sb'!DLR94</f>
        <v>0</v>
      </c>
      <c r="DLO36" s="17">
        <f>'Form-Sb'!DLS94</f>
        <v>0</v>
      </c>
      <c r="DLP36" s="17">
        <f>'Form-Sb'!DLT94</f>
        <v>0</v>
      </c>
      <c r="DLQ36" s="17">
        <f>'Form-Sb'!DLU94</f>
        <v>0</v>
      </c>
      <c r="DLR36" s="17">
        <f>'Form-Sb'!DLV94</f>
        <v>0</v>
      </c>
      <c r="DLS36" s="17">
        <f>'Form-Sb'!DLW94</f>
        <v>0</v>
      </c>
      <c r="DLT36" s="17">
        <f>'Form-Sb'!DLX94</f>
        <v>0</v>
      </c>
      <c r="DLU36" s="17">
        <f>'Form-Sb'!DLY94</f>
        <v>0</v>
      </c>
      <c r="DLV36" s="17">
        <f>'Form-Sb'!DLZ94</f>
        <v>0</v>
      </c>
      <c r="DLW36" s="17">
        <f>'Form-Sb'!DMA94</f>
        <v>0</v>
      </c>
      <c r="DLX36" s="17">
        <f>'Form-Sb'!DMB94</f>
        <v>0</v>
      </c>
      <c r="DLY36" s="17">
        <f>'Form-Sb'!DMC94</f>
        <v>0</v>
      </c>
      <c r="DLZ36" s="17">
        <f>'Form-Sb'!DMD94</f>
        <v>0</v>
      </c>
      <c r="DMA36" s="17">
        <f>'Form-Sb'!DME94</f>
        <v>0</v>
      </c>
      <c r="DMB36" s="17">
        <f>'Form-Sb'!DMF94</f>
        <v>0</v>
      </c>
      <c r="DMC36" s="17">
        <f>'Form-Sb'!DMG94</f>
        <v>0</v>
      </c>
      <c r="DMD36" s="17">
        <f>'Form-Sb'!DMH94</f>
        <v>0</v>
      </c>
      <c r="DME36" s="17">
        <f>'Form-Sb'!DMI94</f>
        <v>0</v>
      </c>
      <c r="DMF36" s="17">
        <f>'Form-Sb'!DMJ94</f>
        <v>0</v>
      </c>
      <c r="DMG36" s="17">
        <f>'Form-Sb'!DMK94</f>
        <v>0</v>
      </c>
      <c r="DMH36" s="17">
        <f>'Form-Sb'!DML94</f>
        <v>0</v>
      </c>
      <c r="DMI36" s="17">
        <f>'Form-Sb'!DMM94</f>
        <v>0</v>
      </c>
      <c r="DMJ36" s="17">
        <f>'Form-Sb'!DMN94</f>
        <v>0</v>
      </c>
      <c r="DMK36" s="17">
        <f>'Form-Sb'!DMO94</f>
        <v>0</v>
      </c>
      <c r="DML36" s="17">
        <f>'Form-Sb'!DMP94</f>
        <v>0</v>
      </c>
      <c r="DMM36" s="17">
        <f>'Form-Sb'!DMQ94</f>
        <v>0</v>
      </c>
      <c r="DMN36" s="17">
        <f>'Form-Sb'!DMR94</f>
        <v>0</v>
      </c>
      <c r="DMO36" s="17">
        <f>'Form-Sb'!DMS94</f>
        <v>0</v>
      </c>
      <c r="DMP36" s="17">
        <f>'Form-Sb'!DMT94</f>
        <v>0</v>
      </c>
      <c r="DMQ36" s="17">
        <f>'Form-Sb'!DMU94</f>
        <v>0</v>
      </c>
      <c r="DMR36" s="17">
        <f>'Form-Sb'!DMV94</f>
        <v>0</v>
      </c>
      <c r="DMS36" s="17">
        <f>'Form-Sb'!DMW94</f>
        <v>0</v>
      </c>
      <c r="DMT36" s="17">
        <f>'Form-Sb'!DMX94</f>
        <v>0</v>
      </c>
      <c r="DMU36" s="17">
        <f>'Form-Sb'!DMY94</f>
        <v>0</v>
      </c>
      <c r="DMV36" s="17">
        <f>'Form-Sb'!DMZ94</f>
        <v>0</v>
      </c>
      <c r="DMW36" s="17">
        <f>'Form-Sb'!DNA94</f>
        <v>0</v>
      </c>
      <c r="DMX36" s="17">
        <f>'Form-Sb'!DNB94</f>
        <v>0</v>
      </c>
      <c r="DMY36" s="17">
        <f>'Form-Sb'!DNC94</f>
        <v>0</v>
      </c>
      <c r="DMZ36" s="17">
        <f>'Form-Sb'!DND94</f>
        <v>0</v>
      </c>
      <c r="DNA36" s="17">
        <f>'Form-Sb'!DNE94</f>
        <v>0</v>
      </c>
      <c r="DNB36" s="17">
        <f>'Form-Sb'!DNF94</f>
        <v>0</v>
      </c>
      <c r="DNC36" s="17">
        <f>'Form-Sb'!DNG94</f>
        <v>0</v>
      </c>
      <c r="DND36" s="17">
        <f>'Form-Sb'!DNH94</f>
        <v>0</v>
      </c>
      <c r="DNE36" s="17">
        <f>'Form-Sb'!DNI94</f>
        <v>0</v>
      </c>
      <c r="DNF36" s="17">
        <f>'Form-Sb'!DNJ94</f>
        <v>0</v>
      </c>
      <c r="DNG36" s="17">
        <f>'Form-Sb'!DNK94</f>
        <v>0</v>
      </c>
      <c r="DNH36" s="17">
        <f>'Form-Sb'!DNL94</f>
        <v>0</v>
      </c>
      <c r="DNI36" s="17">
        <f>'Form-Sb'!DNM94</f>
        <v>0</v>
      </c>
      <c r="DNJ36" s="17">
        <f>'Form-Sb'!DNN94</f>
        <v>0</v>
      </c>
      <c r="DNK36" s="17">
        <f>'Form-Sb'!DNO94</f>
        <v>0</v>
      </c>
      <c r="DNL36" s="17">
        <f>'Form-Sb'!DNP94</f>
        <v>0</v>
      </c>
      <c r="DNM36" s="17">
        <f>'Form-Sb'!DNQ94</f>
        <v>0</v>
      </c>
      <c r="DNN36" s="17">
        <f>'Form-Sb'!DNR94</f>
        <v>0</v>
      </c>
      <c r="DNO36" s="17">
        <f>'Form-Sb'!DNS94</f>
        <v>0</v>
      </c>
      <c r="DNP36" s="17">
        <f>'Form-Sb'!DNT94</f>
        <v>0</v>
      </c>
      <c r="DNQ36" s="17">
        <f>'Form-Sb'!DNU94</f>
        <v>0</v>
      </c>
      <c r="DNR36" s="17">
        <f>'Form-Sb'!DNV94</f>
        <v>0</v>
      </c>
      <c r="DNS36" s="17">
        <f>'Form-Sb'!DNW94</f>
        <v>0</v>
      </c>
      <c r="DNT36" s="17">
        <f>'Form-Sb'!DNX94</f>
        <v>0</v>
      </c>
      <c r="DNU36" s="17">
        <f>'Form-Sb'!DNY94</f>
        <v>0</v>
      </c>
      <c r="DNV36" s="17">
        <f>'Form-Sb'!DNZ94</f>
        <v>0</v>
      </c>
      <c r="DNW36" s="17">
        <f>'Form-Sb'!DOA94</f>
        <v>0</v>
      </c>
      <c r="DNX36" s="17">
        <f>'Form-Sb'!DOB94</f>
        <v>0</v>
      </c>
      <c r="DNY36" s="17">
        <f>'Form-Sb'!DOC94</f>
        <v>0</v>
      </c>
      <c r="DNZ36" s="17">
        <f>'Form-Sb'!DOD94</f>
        <v>0</v>
      </c>
      <c r="DOA36" s="17">
        <f>'Form-Sb'!DOE94</f>
        <v>0</v>
      </c>
      <c r="DOB36" s="17">
        <f>'Form-Sb'!DOF94</f>
        <v>0</v>
      </c>
      <c r="DOC36" s="17">
        <f>'Form-Sb'!DOG94</f>
        <v>0</v>
      </c>
      <c r="DOD36" s="17">
        <f>'Form-Sb'!DOH94</f>
        <v>0</v>
      </c>
      <c r="DOE36" s="17">
        <f>'Form-Sb'!DOI94</f>
        <v>0</v>
      </c>
      <c r="DOF36" s="17">
        <f>'Form-Sb'!DOJ94</f>
        <v>0</v>
      </c>
      <c r="DOG36" s="17">
        <f>'Form-Sb'!DOK94</f>
        <v>0</v>
      </c>
      <c r="DOH36" s="17">
        <f>'Form-Sb'!DOL94</f>
        <v>0</v>
      </c>
      <c r="DOI36" s="17">
        <f>'Form-Sb'!DOM94</f>
        <v>0</v>
      </c>
      <c r="DOJ36" s="17">
        <f>'Form-Sb'!DON94</f>
        <v>0</v>
      </c>
      <c r="DOK36" s="17">
        <f>'Form-Sb'!DOO94</f>
        <v>0</v>
      </c>
      <c r="DOL36" s="17">
        <f>'Form-Sb'!DOP94</f>
        <v>0</v>
      </c>
      <c r="DOM36" s="17">
        <f>'Form-Sb'!DOQ94</f>
        <v>0</v>
      </c>
      <c r="DON36" s="17">
        <f>'Form-Sb'!DOR94</f>
        <v>0</v>
      </c>
      <c r="DOO36" s="17">
        <f>'Form-Sb'!DOS94</f>
        <v>0</v>
      </c>
      <c r="DOP36" s="17">
        <f>'Form-Sb'!DOT94</f>
        <v>0</v>
      </c>
      <c r="DOQ36" s="17">
        <f>'Form-Sb'!DOU94</f>
        <v>0</v>
      </c>
      <c r="DOR36" s="17">
        <f>'Form-Sb'!DOV94</f>
        <v>0</v>
      </c>
      <c r="DOS36" s="17">
        <f>'Form-Sb'!DOW94</f>
        <v>0</v>
      </c>
      <c r="DOT36" s="17">
        <f>'Form-Sb'!DOX94</f>
        <v>0</v>
      </c>
      <c r="DOU36" s="17">
        <f>'Form-Sb'!DOY94</f>
        <v>0</v>
      </c>
      <c r="DOV36" s="17">
        <f>'Form-Sb'!DOZ94</f>
        <v>0</v>
      </c>
      <c r="DOW36" s="17">
        <f>'Form-Sb'!DPA94</f>
        <v>0</v>
      </c>
      <c r="DOX36" s="17">
        <f>'Form-Sb'!DPB94</f>
        <v>0</v>
      </c>
      <c r="DOY36" s="17">
        <f>'Form-Sb'!DPC94</f>
        <v>0</v>
      </c>
      <c r="DOZ36" s="17">
        <f>'Form-Sb'!DPD94</f>
        <v>0</v>
      </c>
      <c r="DPA36" s="17">
        <f>'Form-Sb'!DPE94</f>
        <v>0</v>
      </c>
      <c r="DPB36" s="17">
        <f>'Form-Sb'!DPF94</f>
        <v>0</v>
      </c>
      <c r="DPC36" s="17">
        <f>'Form-Sb'!DPG94</f>
        <v>0</v>
      </c>
      <c r="DPD36" s="17">
        <f>'Form-Sb'!DPH94</f>
        <v>0</v>
      </c>
      <c r="DPE36" s="17">
        <f>'Form-Sb'!DPI94</f>
        <v>0</v>
      </c>
      <c r="DPF36" s="17">
        <f>'Form-Sb'!DPJ94</f>
        <v>0</v>
      </c>
      <c r="DPG36" s="17">
        <f>'Form-Sb'!DPK94</f>
        <v>0</v>
      </c>
      <c r="DPH36" s="17">
        <f>'Form-Sb'!DPL94</f>
        <v>0</v>
      </c>
      <c r="DPI36" s="17">
        <f>'Form-Sb'!DPM94</f>
        <v>0</v>
      </c>
      <c r="DPJ36" s="17">
        <f>'Form-Sb'!DPN94</f>
        <v>0</v>
      </c>
      <c r="DPK36" s="17">
        <f>'Form-Sb'!DPO94</f>
        <v>0</v>
      </c>
      <c r="DPL36" s="17">
        <f>'Form-Sb'!DPP94</f>
        <v>0</v>
      </c>
      <c r="DPM36" s="17">
        <f>'Form-Sb'!DPQ94</f>
        <v>0</v>
      </c>
      <c r="DPN36" s="17">
        <f>'Form-Sb'!DPR94</f>
        <v>0</v>
      </c>
      <c r="DPO36" s="17">
        <f>'Form-Sb'!DPS94</f>
        <v>0</v>
      </c>
      <c r="DPP36" s="17">
        <f>'Form-Sb'!DPT94</f>
        <v>0</v>
      </c>
      <c r="DPQ36" s="17">
        <f>'Form-Sb'!DPU94</f>
        <v>0</v>
      </c>
      <c r="DPR36" s="17">
        <f>'Form-Sb'!DPV94</f>
        <v>0</v>
      </c>
      <c r="DPS36" s="17">
        <f>'Form-Sb'!DPW94</f>
        <v>0</v>
      </c>
      <c r="DPT36" s="17">
        <f>'Form-Sb'!DPX94</f>
        <v>0</v>
      </c>
      <c r="DPU36" s="17">
        <f>'Form-Sb'!DPY94</f>
        <v>0</v>
      </c>
      <c r="DPV36" s="17">
        <f>'Form-Sb'!DPZ94</f>
        <v>0</v>
      </c>
      <c r="DPW36" s="17">
        <f>'Form-Sb'!DQA94</f>
        <v>0</v>
      </c>
      <c r="DPX36" s="17">
        <f>'Form-Sb'!DQB94</f>
        <v>0</v>
      </c>
      <c r="DPY36" s="17">
        <f>'Form-Sb'!DQC94</f>
        <v>0</v>
      </c>
      <c r="DPZ36" s="17">
        <f>'Form-Sb'!DQD94</f>
        <v>0</v>
      </c>
      <c r="DQA36" s="17">
        <f>'Form-Sb'!DQE94</f>
        <v>0</v>
      </c>
      <c r="DQB36" s="17">
        <f>'Form-Sb'!DQF94</f>
        <v>0</v>
      </c>
      <c r="DQC36" s="17">
        <f>'Form-Sb'!DQG94</f>
        <v>0</v>
      </c>
      <c r="DQD36" s="17">
        <f>'Form-Sb'!DQH94</f>
        <v>0</v>
      </c>
      <c r="DQE36" s="17">
        <f>'Form-Sb'!DQI94</f>
        <v>0</v>
      </c>
      <c r="DQF36" s="17">
        <f>'Form-Sb'!DQJ94</f>
        <v>0</v>
      </c>
      <c r="DQG36" s="17">
        <f>'Form-Sb'!DQK94</f>
        <v>0</v>
      </c>
      <c r="DQH36" s="17">
        <f>'Form-Sb'!DQL94</f>
        <v>0</v>
      </c>
      <c r="DQI36" s="17">
        <f>'Form-Sb'!DQM94</f>
        <v>0</v>
      </c>
      <c r="DQJ36" s="17">
        <f>'Form-Sb'!DQN94</f>
        <v>0</v>
      </c>
      <c r="DQK36" s="17">
        <f>'Form-Sb'!DQO94</f>
        <v>0</v>
      </c>
      <c r="DQL36" s="17">
        <f>'Form-Sb'!DQP94</f>
        <v>0</v>
      </c>
      <c r="DQM36" s="17">
        <f>'Form-Sb'!DQQ94</f>
        <v>0</v>
      </c>
      <c r="DQN36" s="17">
        <f>'Form-Sb'!DQR94</f>
        <v>0</v>
      </c>
      <c r="DQO36" s="17">
        <f>'Form-Sb'!DQS94</f>
        <v>0</v>
      </c>
      <c r="DQP36" s="17">
        <f>'Form-Sb'!DQT94</f>
        <v>0</v>
      </c>
      <c r="DQQ36" s="17">
        <f>'Form-Sb'!DQU94</f>
        <v>0</v>
      </c>
      <c r="DQR36" s="17">
        <f>'Form-Sb'!DQV94</f>
        <v>0</v>
      </c>
      <c r="DQS36" s="17">
        <f>'Form-Sb'!DQW94</f>
        <v>0</v>
      </c>
      <c r="DQT36" s="17">
        <f>'Form-Sb'!DQX94</f>
        <v>0</v>
      </c>
      <c r="DQU36" s="17">
        <f>'Form-Sb'!DQY94</f>
        <v>0</v>
      </c>
      <c r="DQV36" s="17">
        <f>'Form-Sb'!DQZ94</f>
        <v>0</v>
      </c>
      <c r="DQW36" s="17">
        <f>'Form-Sb'!DRA94</f>
        <v>0</v>
      </c>
      <c r="DQX36" s="17">
        <f>'Form-Sb'!DRB94</f>
        <v>0</v>
      </c>
      <c r="DQY36" s="17">
        <f>'Form-Sb'!DRC94</f>
        <v>0</v>
      </c>
      <c r="DQZ36" s="17">
        <f>'Form-Sb'!DRD94</f>
        <v>0</v>
      </c>
      <c r="DRA36" s="17">
        <f>'Form-Sb'!DRE94</f>
        <v>0</v>
      </c>
      <c r="DRB36" s="17">
        <f>'Form-Sb'!DRF94</f>
        <v>0</v>
      </c>
      <c r="DRC36" s="17">
        <f>'Form-Sb'!DRG94</f>
        <v>0</v>
      </c>
      <c r="DRD36" s="17">
        <f>'Form-Sb'!DRH94</f>
        <v>0</v>
      </c>
      <c r="DRE36" s="17">
        <f>'Form-Sb'!DRI94</f>
        <v>0</v>
      </c>
      <c r="DRF36" s="17">
        <f>'Form-Sb'!DRJ94</f>
        <v>0</v>
      </c>
      <c r="DRG36" s="17">
        <f>'Form-Sb'!DRK94</f>
        <v>0</v>
      </c>
      <c r="DRH36" s="17">
        <f>'Form-Sb'!DRL94</f>
        <v>0</v>
      </c>
      <c r="DRI36" s="17">
        <f>'Form-Sb'!DRM94</f>
        <v>0</v>
      </c>
      <c r="DRJ36" s="17">
        <f>'Form-Sb'!DRN94</f>
        <v>0</v>
      </c>
      <c r="DRK36" s="17">
        <f>'Form-Sb'!DRO94</f>
        <v>0</v>
      </c>
      <c r="DRL36" s="17">
        <f>'Form-Sb'!DRP94</f>
        <v>0</v>
      </c>
      <c r="DRM36" s="17">
        <f>'Form-Sb'!DRQ94</f>
        <v>0</v>
      </c>
      <c r="DRN36" s="17">
        <f>'Form-Sb'!DRR94</f>
        <v>0</v>
      </c>
      <c r="DRO36" s="17">
        <f>'Form-Sb'!DRS94</f>
        <v>0</v>
      </c>
      <c r="DRP36" s="17">
        <f>'Form-Sb'!DRT94</f>
        <v>0</v>
      </c>
      <c r="DRQ36" s="17">
        <f>'Form-Sb'!DRU94</f>
        <v>0</v>
      </c>
      <c r="DRR36" s="17">
        <f>'Form-Sb'!DRV94</f>
        <v>0</v>
      </c>
      <c r="DRS36" s="17">
        <f>'Form-Sb'!DRW94</f>
        <v>0</v>
      </c>
      <c r="DRT36" s="17">
        <f>'Form-Sb'!DRX94</f>
        <v>0</v>
      </c>
      <c r="DRU36" s="17">
        <f>'Form-Sb'!DRY94</f>
        <v>0</v>
      </c>
      <c r="DRV36" s="17">
        <f>'Form-Sb'!DRZ94</f>
        <v>0</v>
      </c>
      <c r="DRW36" s="17">
        <f>'Form-Sb'!DSA94</f>
        <v>0</v>
      </c>
      <c r="DRX36" s="17">
        <f>'Form-Sb'!DSB94</f>
        <v>0</v>
      </c>
      <c r="DRY36" s="17">
        <f>'Form-Sb'!DSC94</f>
        <v>0</v>
      </c>
      <c r="DRZ36" s="17">
        <f>'Form-Sb'!DSD94</f>
        <v>0</v>
      </c>
      <c r="DSA36" s="17">
        <f>'Form-Sb'!DSE94</f>
        <v>0</v>
      </c>
      <c r="DSB36" s="17">
        <f>'Form-Sb'!DSF94</f>
        <v>0</v>
      </c>
      <c r="DSC36" s="17">
        <f>'Form-Sb'!DSG94</f>
        <v>0</v>
      </c>
      <c r="DSD36" s="17">
        <f>'Form-Sb'!DSH94</f>
        <v>0</v>
      </c>
      <c r="DSE36" s="17">
        <f>'Form-Sb'!DSI94</f>
        <v>0</v>
      </c>
      <c r="DSF36" s="17">
        <f>'Form-Sb'!DSJ94</f>
        <v>0</v>
      </c>
      <c r="DSG36" s="17">
        <f>'Form-Sb'!DSK94</f>
        <v>0</v>
      </c>
      <c r="DSH36" s="17">
        <f>'Form-Sb'!DSL94</f>
        <v>0</v>
      </c>
      <c r="DSI36" s="17">
        <f>'Form-Sb'!DSM94</f>
        <v>0</v>
      </c>
      <c r="DSJ36" s="17">
        <f>'Form-Sb'!DSN94</f>
        <v>0</v>
      </c>
      <c r="DSK36" s="17">
        <f>'Form-Sb'!DSO94</f>
        <v>0</v>
      </c>
      <c r="DSL36" s="17">
        <f>'Form-Sb'!DSP94</f>
        <v>0</v>
      </c>
      <c r="DSM36" s="17">
        <f>'Form-Sb'!DSQ94</f>
        <v>0</v>
      </c>
      <c r="DSN36" s="17">
        <f>'Form-Sb'!DSR94</f>
        <v>0</v>
      </c>
      <c r="DSO36" s="17">
        <f>'Form-Sb'!DSS94</f>
        <v>0</v>
      </c>
      <c r="DSP36" s="17">
        <f>'Form-Sb'!DST94</f>
        <v>0</v>
      </c>
      <c r="DSQ36" s="17">
        <f>'Form-Sb'!DSU94</f>
        <v>0</v>
      </c>
      <c r="DSR36" s="17">
        <f>'Form-Sb'!DSV94</f>
        <v>0</v>
      </c>
      <c r="DSS36" s="17">
        <f>'Form-Sb'!DSW94</f>
        <v>0</v>
      </c>
      <c r="DST36" s="17">
        <f>'Form-Sb'!DSX94</f>
        <v>0</v>
      </c>
      <c r="DSU36" s="17">
        <f>'Form-Sb'!DSY94</f>
        <v>0</v>
      </c>
      <c r="DSV36" s="17">
        <f>'Form-Sb'!DSZ94</f>
        <v>0</v>
      </c>
      <c r="DSW36" s="17">
        <f>'Form-Sb'!DTA94</f>
        <v>0</v>
      </c>
      <c r="DSX36" s="17">
        <f>'Form-Sb'!DTB94</f>
        <v>0</v>
      </c>
      <c r="DSY36" s="17">
        <f>'Form-Sb'!DTC94</f>
        <v>0</v>
      </c>
      <c r="DSZ36" s="17">
        <f>'Form-Sb'!DTD94</f>
        <v>0</v>
      </c>
      <c r="DTA36" s="17">
        <f>'Form-Sb'!DTE94</f>
        <v>0</v>
      </c>
      <c r="DTB36" s="17">
        <f>'Form-Sb'!DTF94</f>
        <v>0</v>
      </c>
      <c r="DTC36" s="17">
        <f>'Form-Sb'!DTG94</f>
        <v>0</v>
      </c>
      <c r="DTD36" s="17">
        <f>'Form-Sb'!DTH94</f>
        <v>0</v>
      </c>
      <c r="DTE36" s="17">
        <f>'Form-Sb'!DTI94</f>
        <v>0</v>
      </c>
      <c r="DTF36" s="17">
        <f>'Form-Sb'!DTJ94</f>
        <v>0</v>
      </c>
      <c r="DTG36" s="17">
        <f>'Form-Sb'!DTK94</f>
        <v>0</v>
      </c>
      <c r="DTH36" s="17">
        <f>'Form-Sb'!DTL94</f>
        <v>0</v>
      </c>
      <c r="DTI36" s="17">
        <f>'Form-Sb'!DTM94</f>
        <v>0</v>
      </c>
      <c r="DTJ36" s="17">
        <f>'Form-Sb'!DTN94</f>
        <v>0</v>
      </c>
      <c r="DTK36" s="17">
        <f>'Form-Sb'!DTO94</f>
        <v>0</v>
      </c>
      <c r="DTL36" s="17">
        <f>'Form-Sb'!DTP94</f>
        <v>0</v>
      </c>
      <c r="DTM36" s="17">
        <f>'Form-Sb'!DTQ94</f>
        <v>0</v>
      </c>
      <c r="DTN36" s="17">
        <f>'Form-Sb'!DTR94</f>
        <v>0</v>
      </c>
      <c r="DTO36" s="17">
        <f>'Form-Sb'!DTS94</f>
        <v>0</v>
      </c>
      <c r="DTP36" s="17">
        <f>'Form-Sb'!DTT94</f>
        <v>0</v>
      </c>
      <c r="DTQ36" s="17">
        <f>'Form-Sb'!DTU94</f>
        <v>0</v>
      </c>
      <c r="DTR36" s="17">
        <f>'Form-Sb'!DTV94</f>
        <v>0</v>
      </c>
      <c r="DTS36" s="17">
        <f>'Form-Sb'!DTW94</f>
        <v>0</v>
      </c>
      <c r="DTT36" s="17">
        <f>'Form-Sb'!DTX94</f>
        <v>0</v>
      </c>
      <c r="DTU36" s="17">
        <f>'Form-Sb'!DTY94</f>
        <v>0</v>
      </c>
      <c r="DTV36" s="17">
        <f>'Form-Sb'!DTZ94</f>
        <v>0</v>
      </c>
      <c r="DTW36" s="17">
        <f>'Form-Sb'!DUA94</f>
        <v>0</v>
      </c>
      <c r="DTX36" s="17">
        <f>'Form-Sb'!DUB94</f>
        <v>0</v>
      </c>
      <c r="DTY36" s="17">
        <f>'Form-Sb'!DUC94</f>
        <v>0</v>
      </c>
      <c r="DTZ36" s="17">
        <f>'Form-Sb'!DUD94</f>
        <v>0</v>
      </c>
      <c r="DUA36" s="17">
        <f>'Form-Sb'!DUE94</f>
        <v>0</v>
      </c>
      <c r="DUB36" s="17">
        <f>'Form-Sb'!DUF94</f>
        <v>0</v>
      </c>
      <c r="DUC36" s="17">
        <f>'Form-Sb'!DUG94</f>
        <v>0</v>
      </c>
      <c r="DUD36" s="17">
        <f>'Form-Sb'!DUH94</f>
        <v>0</v>
      </c>
      <c r="DUE36" s="17">
        <f>'Form-Sb'!DUI94</f>
        <v>0</v>
      </c>
      <c r="DUF36" s="17">
        <f>'Form-Sb'!DUJ94</f>
        <v>0</v>
      </c>
      <c r="DUG36" s="17">
        <f>'Form-Sb'!DUK94</f>
        <v>0</v>
      </c>
      <c r="DUH36" s="17">
        <f>'Form-Sb'!DUL94</f>
        <v>0</v>
      </c>
      <c r="DUI36" s="17">
        <f>'Form-Sb'!DUM94</f>
        <v>0</v>
      </c>
      <c r="DUJ36" s="17">
        <f>'Form-Sb'!DUN94</f>
        <v>0</v>
      </c>
      <c r="DUK36" s="17">
        <f>'Form-Sb'!DUO94</f>
        <v>0</v>
      </c>
      <c r="DUL36" s="17">
        <f>'Form-Sb'!DUP94</f>
        <v>0</v>
      </c>
      <c r="DUM36" s="17">
        <f>'Form-Sb'!DUQ94</f>
        <v>0</v>
      </c>
      <c r="DUN36" s="17">
        <f>'Form-Sb'!DUR94</f>
        <v>0</v>
      </c>
      <c r="DUO36" s="17">
        <f>'Form-Sb'!DUS94</f>
        <v>0</v>
      </c>
      <c r="DUP36" s="17">
        <f>'Form-Sb'!DUT94</f>
        <v>0</v>
      </c>
      <c r="DUQ36" s="17">
        <f>'Form-Sb'!DUU94</f>
        <v>0</v>
      </c>
      <c r="DUR36" s="17">
        <f>'Form-Sb'!DUV94</f>
        <v>0</v>
      </c>
      <c r="DUS36" s="17">
        <f>'Form-Sb'!DUW94</f>
        <v>0</v>
      </c>
      <c r="DUT36" s="17">
        <f>'Form-Sb'!DUX94</f>
        <v>0</v>
      </c>
      <c r="DUU36" s="17">
        <f>'Form-Sb'!DUY94</f>
        <v>0</v>
      </c>
      <c r="DUV36" s="17">
        <f>'Form-Sb'!DUZ94</f>
        <v>0</v>
      </c>
      <c r="DUW36" s="17">
        <f>'Form-Sb'!DVA94</f>
        <v>0</v>
      </c>
      <c r="DUX36" s="17">
        <f>'Form-Sb'!DVB94</f>
        <v>0</v>
      </c>
      <c r="DUY36" s="17">
        <f>'Form-Sb'!DVC94</f>
        <v>0</v>
      </c>
      <c r="DUZ36" s="17">
        <f>'Form-Sb'!DVD94</f>
        <v>0</v>
      </c>
      <c r="DVA36" s="17">
        <f>'Form-Sb'!DVE94</f>
        <v>0</v>
      </c>
      <c r="DVB36" s="17">
        <f>'Form-Sb'!DVF94</f>
        <v>0</v>
      </c>
      <c r="DVC36" s="17">
        <f>'Form-Sb'!DVG94</f>
        <v>0</v>
      </c>
      <c r="DVD36" s="17">
        <f>'Form-Sb'!DVH94</f>
        <v>0</v>
      </c>
      <c r="DVE36" s="17">
        <f>'Form-Sb'!DVI94</f>
        <v>0</v>
      </c>
      <c r="DVF36" s="17">
        <f>'Form-Sb'!DVJ94</f>
        <v>0</v>
      </c>
      <c r="DVG36" s="17">
        <f>'Form-Sb'!DVK94</f>
        <v>0</v>
      </c>
      <c r="DVH36" s="17">
        <f>'Form-Sb'!DVL94</f>
        <v>0</v>
      </c>
      <c r="DVI36" s="17">
        <f>'Form-Sb'!DVM94</f>
        <v>0</v>
      </c>
      <c r="DVJ36" s="17">
        <f>'Form-Sb'!DVN94</f>
        <v>0</v>
      </c>
      <c r="DVK36" s="17">
        <f>'Form-Sb'!DVO94</f>
        <v>0</v>
      </c>
      <c r="DVL36" s="17">
        <f>'Form-Sb'!DVP94</f>
        <v>0</v>
      </c>
      <c r="DVM36" s="17">
        <f>'Form-Sb'!DVQ94</f>
        <v>0</v>
      </c>
      <c r="DVN36" s="17">
        <f>'Form-Sb'!DVR94</f>
        <v>0</v>
      </c>
      <c r="DVO36" s="17">
        <f>'Form-Sb'!DVS94</f>
        <v>0</v>
      </c>
      <c r="DVP36" s="17">
        <f>'Form-Sb'!DVT94</f>
        <v>0</v>
      </c>
      <c r="DVQ36" s="17">
        <f>'Form-Sb'!DVU94</f>
        <v>0</v>
      </c>
      <c r="DVR36" s="17">
        <f>'Form-Sb'!DVV94</f>
        <v>0</v>
      </c>
      <c r="DVS36" s="17">
        <f>'Form-Sb'!DVW94</f>
        <v>0</v>
      </c>
      <c r="DVT36" s="17">
        <f>'Form-Sb'!DVX94</f>
        <v>0</v>
      </c>
      <c r="DVU36" s="17">
        <f>'Form-Sb'!DVY94</f>
        <v>0</v>
      </c>
      <c r="DVV36" s="17">
        <f>'Form-Sb'!DVZ94</f>
        <v>0</v>
      </c>
      <c r="DVW36" s="17">
        <f>'Form-Sb'!DWA94</f>
        <v>0</v>
      </c>
      <c r="DVX36" s="17">
        <f>'Form-Sb'!DWB94</f>
        <v>0</v>
      </c>
      <c r="DVY36" s="17">
        <f>'Form-Sb'!DWC94</f>
        <v>0</v>
      </c>
      <c r="DVZ36" s="17">
        <f>'Form-Sb'!DWD94</f>
        <v>0</v>
      </c>
      <c r="DWA36" s="17">
        <f>'Form-Sb'!DWE94</f>
        <v>0</v>
      </c>
      <c r="DWB36" s="17">
        <f>'Form-Sb'!DWF94</f>
        <v>0</v>
      </c>
      <c r="DWC36" s="17">
        <f>'Form-Sb'!DWG94</f>
        <v>0</v>
      </c>
      <c r="DWD36" s="17">
        <f>'Form-Sb'!DWH94</f>
        <v>0</v>
      </c>
      <c r="DWE36" s="17">
        <f>'Form-Sb'!DWI94</f>
        <v>0</v>
      </c>
      <c r="DWF36" s="17">
        <f>'Form-Sb'!DWJ94</f>
        <v>0</v>
      </c>
      <c r="DWG36" s="17">
        <f>'Form-Sb'!DWK94</f>
        <v>0</v>
      </c>
      <c r="DWH36" s="17">
        <f>'Form-Sb'!DWL94</f>
        <v>0</v>
      </c>
      <c r="DWI36" s="17">
        <f>'Form-Sb'!DWM94</f>
        <v>0</v>
      </c>
      <c r="DWJ36" s="17">
        <f>'Form-Sb'!DWN94</f>
        <v>0</v>
      </c>
      <c r="DWK36" s="17">
        <f>'Form-Sb'!DWO94</f>
        <v>0</v>
      </c>
      <c r="DWL36" s="17">
        <f>'Form-Sb'!DWP94</f>
        <v>0</v>
      </c>
      <c r="DWM36" s="17">
        <f>'Form-Sb'!DWQ94</f>
        <v>0</v>
      </c>
      <c r="DWN36" s="17">
        <f>'Form-Sb'!DWR94</f>
        <v>0</v>
      </c>
      <c r="DWO36" s="17">
        <f>'Form-Sb'!DWS94</f>
        <v>0</v>
      </c>
      <c r="DWP36" s="17">
        <f>'Form-Sb'!DWT94</f>
        <v>0</v>
      </c>
      <c r="DWQ36" s="17">
        <f>'Form-Sb'!DWU94</f>
        <v>0</v>
      </c>
      <c r="DWR36" s="17">
        <f>'Form-Sb'!DWV94</f>
        <v>0</v>
      </c>
      <c r="DWS36" s="17">
        <f>'Form-Sb'!DWW94</f>
        <v>0</v>
      </c>
      <c r="DWT36" s="17">
        <f>'Form-Sb'!DWX94</f>
        <v>0</v>
      </c>
      <c r="DWU36" s="17">
        <f>'Form-Sb'!DWY94</f>
        <v>0</v>
      </c>
      <c r="DWV36" s="17">
        <f>'Form-Sb'!DWZ94</f>
        <v>0</v>
      </c>
      <c r="DWW36" s="17">
        <f>'Form-Sb'!DXA94</f>
        <v>0</v>
      </c>
      <c r="DWX36" s="17">
        <f>'Form-Sb'!DXB94</f>
        <v>0</v>
      </c>
      <c r="DWY36" s="17">
        <f>'Form-Sb'!DXC94</f>
        <v>0</v>
      </c>
      <c r="DWZ36" s="17">
        <f>'Form-Sb'!DXD94</f>
        <v>0</v>
      </c>
      <c r="DXA36" s="17">
        <f>'Form-Sb'!DXE94</f>
        <v>0</v>
      </c>
      <c r="DXB36" s="17">
        <f>'Form-Sb'!DXF94</f>
        <v>0</v>
      </c>
      <c r="DXC36" s="17">
        <f>'Form-Sb'!DXG94</f>
        <v>0</v>
      </c>
      <c r="DXD36" s="17">
        <f>'Form-Sb'!DXH94</f>
        <v>0</v>
      </c>
      <c r="DXE36" s="17">
        <f>'Form-Sb'!DXI94</f>
        <v>0</v>
      </c>
      <c r="DXF36" s="17">
        <f>'Form-Sb'!DXJ94</f>
        <v>0</v>
      </c>
      <c r="DXG36" s="17">
        <f>'Form-Sb'!DXK94</f>
        <v>0</v>
      </c>
      <c r="DXH36" s="17">
        <f>'Form-Sb'!DXL94</f>
        <v>0</v>
      </c>
      <c r="DXI36" s="17">
        <f>'Form-Sb'!DXM94</f>
        <v>0</v>
      </c>
      <c r="DXJ36" s="17">
        <f>'Form-Sb'!DXN94</f>
        <v>0</v>
      </c>
      <c r="DXK36" s="17">
        <f>'Form-Sb'!DXO94</f>
        <v>0</v>
      </c>
      <c r="DXL36" s="17">
        <f>'Form-Sb'!DXP94</f>
        <v>0</v>
      </c>
      <c r="DXM36" s="17">
        <f>'Form-Sb'!DXQ94</f>
        <v>0</v>
      </c>
      <c r="DXN36" s="17">
        <f>'Form-Sb'!DXR94</f>
        <v>0</v>
      </c>
      <c r="DXO36" s="17">
        <f>'Form-Sb'!DXS94</f>
        <v>0</v>
      </c>
      <c r="DXP36" s="17">
        <f>'Form-Sb'!DXT94</f>
        <v>0</v>
      </c>
      <c r="DXQ36" s="17">
        <f>'Form-Sb'!DXU94</f>
        <v>0</v>
      </c>
      <c r="DXR36" s="17">
        <f>'Form-Sb'!DXV94</f>
        <v>0</v>
      </c>
      <c r="DXS36" s="17">
        <f>'Form-Sb'!DXW94</f>
        <v>0</v>
      </c>
      <c r="DXT36" s="17">
        <f>'Form-Sb'!DXX94</f>
        <v>0</v>
      </c>
      <c r="DXU36" s="17">
        <f>'Form-Sb'!DXY94</f>
        <v>0</v>
      </c>
      <c r="DXV36" s="17">
        <f>'Form-Sb'!DXZ94</f>
        <v>0</v>
      </c>
      <c r="DXW36" s="17">
        <f>'Form-Sb'!DYA94</f>
        <v>0</v>
      </c>
      <c r="DXX36" s="17">
        <f>'Form-Sb'!DYB94</f>
        <v>0</v>
      </c>
      <c r="DXY36" s="17">
        <f>'Form-Sb'!DYC94</f>
        <v>0</v>
      </c>
      <c r="DXZ36" s="17">
        <f>'Form-Sb'!DYD94</f>
        <v>0</v>
      </c>
      <c r="DYA36" s="17">
        <f>'Form-Sb'!DYE94</f>
        <v>0</v>
      </c>
      <c r="DYB36" s="17">
        <f>'Form-Sb'!DYF94</f>
        <v>0</v>
      </c>
      <c r="DYC36" s="17">
        <f>'Form-Sb'!DYG94</f>
        <v>0</v>
      </c>
      <c r="DYD36" s="17">
        <f>'Form-Sb'!DYH94</f>
        <v>0</v>
      </c>
      <c r="DYE36" s="17">
        <f>'Form-Sb'!DYI94</f>
        <v>0</v>
      </c>
      <c r="DYF36" s="17">
        <f>'Form-Sb'!DYJ94</f>
        <v>0</v>
      </c>
      <c r="DYG36" s="17">
        <f>'Form-Sb'!DYK94</f>
        <v>0</v>
      </c>
      <c r="DYH36" s="17">
        <f>'Form-Sb'!DYL94</f>
        <v>0</v>
      </c>
      <c r="DYI36" s="17">
        <f>'Form-Sb'!DYM94</f>
        <v>0</v>
      </c>
      <c r="DYJ36" s="17">
        <f>'Form-Sb'!DYN94</f>
        <v>0</v>
      </c>
      <c r="DYK36" s="17">
        <f>'Form-Sb'!DYO94</f>
        <v>0</v>
      </c>
      <c r="DYL36" s="17">
        <f>'Form-Sb'!DYP94</f>
        <v>0</v>
      </c>
      <c r="DYM36" s="17">
        <f>'Form-Sb'!DYQ94</f>
        <v>0</v>
      </c>
      <c r="DYN36" s="17">
        <f>'Form-Sb'!DYR94</f>
        <v>0</v>
      </c>
      <c r="DYO36" s="17">
        <f>'Form-Sb'!DYS94</f>
        <v>0</v>
      </c>
      <c r="DYP36" s="17">
        <f>'Form-Sb'!DYT94</f>
        <v>0</v>
      </c>
      <c r="DYQ36" s="17">
        <f>'Form-Sb'!DYU94</f>
        <v>0</v>
      </c>
      <c r="DYR36" s="17">
        <f>'Form-Sb'!DYV94</f>
        <v>0</v>
      </c>
      <c r="DYS36" s="17">
        <f>'Form-Sb'!DYW94</f>
        <v>0</v>
      </c>
      <c r="DYT36" s="17">
        <f>'Form-Sb'!DYX94</f>
        <v>0</v>
      </c>
      <c r="DYU36" s="17">
        <f>'Form-Sb'!DYY94</f>
        <v>0</v>
      </c>
      <c r="DYV36" s="17">
        <f>'Form-Sb'!DYZ94</f>
        <v>0</v>
      </c>
      <c r="DYW36" s="17">
        <f>'Form-Sb'!DZA94</f>
        <v>0</v>
      </c>
      <c r="DYX36" s="17">
        <f>'Form-Sb'!DZB94</f>
        <v>0</v>
      </c>
      <c r="DYY36" s="17">
        <f>'Form-Sb'!DZC94</f>
        <v>0</v>
      </c>
      <c r="DYZ36" s="17">
        <f>'Form-Sb'!DZD94</f>
        <v>0</v>
      </c>
      <c r="DZA36" s="17">
        <f>'Form-Sb'!DZE94</f>
        <v>0</v>
      </c>
      <c r="DZB36" s="17">
        <f>'Form-Sb'!DZF94</f>
        <v>0</v>
      </c>
      <c r="DZC36" s="17">
        <f>'Form-Sb'!DZG94</f>
        <v>0</v>
      </c>
      <c r="DZD36" s="17">
        <f>'Form-Sb'!DZH94</f>
        <v>0</v>
      </c>
      <c r="DZE36" s="17">
        <f>'Form-Sb'!DZI94</f>
        <v>0</v>
      </c>
      <c r="DZF36" s="17">
        <f>'Form-Sb'!DZJ94</f>
        <v>0</v>
      </c>
      <c r="DZG36" s="17">
        <f>'Form-Sb'!DZK94</f>
        <v>0</v>
      </c>
      <c r="DZH36" s="17">
        <f>'Form-Sb'!DZL94</f>
        <v>0</v>
      </c>
      <c r="DZI36" s="17">
        <f>'Form-Sb'!DZM94</f>
        <v>0</v>
      </c>
      <c r="DZJ36" s="17">
        <f>'Form-Sb'!DZN94</f>
        <v>0</v>
      </c>
      <c r="DZK36" s="17">
        <f>'Form-Sb'!DZO94</f>
        <v>0</v>
      </c>
      <c r="DZL36" s="17">
        <f>'Form-Sb'!DZP94</f>
        <v>0</v>
      </c>
      <c r="DZM36" s="17">
        <f>'Form-Sb'!DZQ94</f>
        <v>0</v>
      </c>
      <c r="DZN36" s="17">
        <f>'Form-Sb'!DZR94</f>
        <v>0</v>
      </c>
      <c r="DZO36" s="17">
        <f>'Form-Sb'!DZS94</f>
        <v>0</v>
      </c>
      <c r="DZP36" s="17">
        <f>'Form-Sb'!DZT94</f>
        <v>0</v>
      </c>
      <c r="DZQ36" s="17">
        <f>'Form-Sb'!DZU94</f>
        <v>0</v>
      </c>
      <c r="DZR36" s="17">
        <f>'Form-Sb'!DZV94</f>
        <v>0</v>
      </c>
      <c r="DZS36" s="17">
        <f>'Form-Sb'!DZW94</f>
        <v>0</v>
      </c>
      <c r="DZT36" s="17">
        <f>'Form-Sb'!DZX94</f>
        <v>0</v>
      </c>
      <c r="DZU36" s="17">
        <f>'Form-Sb'!DZY94</f>
        <v>0</v>
      </c>
      <c r="DZV36" s="17">
        <f>'Form-Sb'!DZZ94</f>
        <v>0</v>
      </c>
      <c r="DZW36" s="17">
        <f>'Form-Sb'!EAA94</f>
        <v>0</v>
      </c>
      <c r="DZX36" s="17">
        <f>'Form-Sb'!EAB94</f>
        <v>0</v>
      </c>
      <c r="DZY36" s="17">
        <f>'Form-Sb'!EAC94</f>
        <v>0</v>
      </c>
      <c r="DZZ36" s="17">
        <f>'Form-Sb'!EAD94</f>
        <v>0</v>
      </c>
      <c r="EAA36" s="17">
        <f>'Form-Sb'!EAE94</f>
        <v>0</v>
      </c>
      <c r="EAB36" s="17">
        <f>'Form-Sb'!EAF94</f>
        <v>0</v>
      </c>
      <c r="EAC36" s="17">
        <f>'Form-Sb'!EAG94</f>
        <v>0</v>
      </c>
      <c r="EAD36" s="17">
        <f>'Form-Sb'!EAH94</f>
        <v>0</v>
      </c>
      <c r="EAE36" s="17">
        <f>'Form-Sb'!EAI94</f>
        <v>0</v>
      </c>
      <c r="EAF36" s="17">
        <f>'Form-Sb'!EAJ94</f>
        <v>0</v>
      </c>
      <c r="EAG36" s="17">
        <f>'Form-Sb'!EAK94</f>
        <v>0</v>
      </c>
      <c r="EAH36" s="17">
        <f>'Form-Sb'!EAL94</f>
        <v>0</v>
      </c>
      <c r="EAI36" s="17">
        <f>'Form-Sb'!EAM94</f>
        <v>0</v>
      </c>
      <c r="EAJ36" s="17">
        <f>'Form-Sb'!EAN94</f>
        <v>0</v>
      </c>
      <c r="EAK36" s="17">
        <f>'Form-Sb'!EAO94</f>
        <v>0</v>
      </c>
      <c r="EAL36" s="17">
        <f>'Form-Sb'!EAP94</f>
        <v>0</v>
      </c>
      <c r="EAM36" s="17">
        <f>'Form-Sb'!EAQ94</f>
        <v>0</v>
      </c>
      <c r="EAN36" s="17">
        <f>'Form-Sb'!EAR94</f>
        <v>0</v>
      </c>
      <c r="EAO36" s="17">
        <f>'Form-Sb'!EAS94</f>
        <v>0</v>
      </c>
      <c r="EAP36" s="17">
        <f>'Form-Sb'!EAT94</f>
        <v>0</v>
      </c>
      <c r="EAQ36" s="17">
        <f>'Form-Sb'!EAU94</f>
        <v>0</v>
      </c>
      <c r="EAR36" s="17">
        <f>'Form-Sb'!EAV94</f>
        <v>0</v>
      </c>
      <c r="EAS36" s="17">
        <f>'Form-Sb'!EAW94</f>
        <v>0</v>
      </c>
      <c r="EAT36" s="17">
        <f>'Form-Sb'!EAX94</f>
        <v>0</v>
      </c>
      <c r="EAU36" s="17">
        <f>'Form-Sb'!EAY94</f>
        <v>0</v>
      </c>
      <c r="EAV36" s="17">
        <f>'Form-Sb'!EAZ94</f>
        <v>0</v>
      </c>
      <c r="EAW36" s="17">
        <f>'Form-Sb'!EBA94</f>
        <v>0</v>
      </c>
      <c r="EAX36" s="17">
        <f>'Form-Sb'!EBB94</f>
        <v>0</v>
      </c>
      <c r="EAY36" s="17">
        <f>'Form-Sb'!EBC94</f>
        <v>0</v>
      </c>
      <c r="EAZ36" s="17">
        <f>'Form-Sb'!EBD94</f>
        <v>0</v>
      </c>
      <c r="EBA36" s="17">
        <f>'Form-Sb'!EBE94</f>
        <v>0</v>
      </c>
      <c r="EBB36" s="17">
        <f>'Form-Sb'!EBF94</f>
        <v>0</v>
      </c>
      <c r="EBC36" s="17">
        <f>'Form-Sb'!EBG94</f>
        <v>0</v>
      </c>
      <c r="EBD36" s="17">
        <f>'Form-Sb'!EBH94</f>
        <v>0</v>
      </c>
      <c r="EBE36" s="17">
        <f>'Form-Sb'!EBI94</f>
        <v>0</v>
      </c>
      <c r="EBF36" s="17">
        <f>'Form-Sb'!EBJ94</f>
        <v>0</v>
      </c>
      <c r="EBG36" s="17">
        <f>'Form-Sb'!EBK94</f>
        <v>0</v>
      </c>
      <c r="EBH36" s="17">
        <f>'Form-Sb'!EBL94</f>
        <v>0</v>
      </c>
      <c r="EBI36" s="17">
        <f>'Form-Sb'!EBM94</f>
        <v>0</v>
      </c>
      <c r="EBJ36" s="17">
        <f>'Form-Sb'!EBN94</f>
        <v>0</v>
      </c>
      <c r="EBK36" s="17">
        <f>'Form-Sb'!EBO94</f>
        <v>0</v>
      </c>
      <c r="EBL36" s="17">
        <f>'Form-Sb'!EBP94</f>
        <v>0</v>
      </c>
      <c r="EBM36" s="17">
        <f>'Form-Sb'!EBQ94</f>
        <v>0</v>
      </c>
      <c r="EBN36" s="17">
        <f>'Form-Sb'!EBR94</f>
        <v>0</v>
      </c>
      <c r="EBO36" s="17">
        <f>'Form-Sb'!EBS94</f>
        <v>0</v>
      </c>
      <c r="EBP36" s="17">
        <f>'Form-Sb'!EBT94</f>
        <v>0</v>
      </c>
      <c r="EBQ36" s="17">
        <f>'Form-Sb'!EBU94</f>
        <v>0</v>
      </c>
      <c r="EBR36" s="17">
        <f>'Form-Sb'!EBV94</f>
        <v>0</v>
      </c>
      <c r="EBS36" s="17">
        <f>'Form-Sb'!EBW94</f>
        <v>0</v>
      </c>
      <c r="EBT36" s="17">
        <f>'Form-Sb'!EBX94</f>
        <v>0</v>
      </c>
      <c r="EBU36" s="17">
        <f>'Form-Sb'!EBY94</f>
        <v>0</v>
      </c>
      <c r="EBV36" s="17">
        <f>'Form-Sb'!EBZ94</f>
        <v>0</v>
      </c>
      <c r="EBW36" s="17">
        <f>'Form-Sb'!ECA94</f>
        <v>0</v>
      </c>
      <c r="EBX36" s="17">
        <f>'Form-Sb'!ECB94</f>
        <v>0</v>
      </c>
      <c r="EBY36" s="17">
        <f>'Form-Sb'!ECC94</f>
        <v>0</v>
      </c>
      <c r="EBZ36" s="17">
        <f>'Form-Sb'!ECD94</f>
        <v>0</v>
      </c>
      <c r="ECA36" s="17">
        <f>'Form-Sb'!ECE94</f>
        <v>0</v>
      </c>
      <c r="ECB36" s="17">
        <f>'Form-Sb'!ECF94</f>
        <v>0</v>
      </c>
      <c r="ECC36" s="17">
        <f>'Form-Sb'!ECG94</f>
        <v>0</v>
      </c>
      <c r="ECD36" s="17">
        <f>'Form-Sb'!ECH94</f>
        <v>0</v>
      </c>
      <c r="ECE36" s="17">
        <f>'Form-Sb'!ECI94</f>
        <v>0</v>
      </c>
      <c r="ECF36" s="17">
        <f>'Form-Sb'!ECJ94</f>
        <v>0</v>
      </c>
      <c r="ECG36" s="17">
        <f>'Form-Sb'!ECK94</f>
        <v>0</v>
      </c>
      <c r="ECH36" s="17">
        <f>'Form-Sb'!ECL94</f>
        <v>0</v>
      </c>
      <c r="ECI36" s="17">
        <f>'Form-Sb'!ECM94</f>
        <v>0</v>
      </c>
      <c r="ECJ36" s="17">
        <f>'Form-Sb'!ECN94</f>
        <v>0</v>
      </c>
      <c r="ECK36" s="17">
        <f>'Form-Sb'!ECO94</f>
        <v>0</v>
      </c>
      <c r="ECL36" s="17">
        <f>'Form-Sb'!ECP94</f>
        <v>0</v>
      </c>
      <c r="ECM36" s="17">
        <f>'Form-Sb'!ECQ94</f>
        <v>0</v>
      </c>
      <c r="ECN36" s="17">
        <f>'Form-Sb'!ECR94</f>
        <v>0</v>
      </c>
      <c r="ECO36" s="17">
        <f>'Form-Sb'!ECS94</f>
        <v>0</v>
      </c>
      <c r="ECP36" s="17">
        <f>'Form-Sb'!ECT94</f>
        <v>0</v>
      </c>
      <c r="ECQ36" s="17">
        <f>'Form-Sb'!ECU94</f>
        <v>0</v>
      </c>
      <c r="ECR36" s="17">
        <f>'Form-Sb'!ECV94</f>
        <v>0</v>
      </c>
      <c r="ECS36" s="17">
        <f>'Form-Sb'!ECW94</f>
        <v>0</v>
      </c>
      <c r="ECT36" s="17">
        <f>'Form-Sb'!ECX94</f>
        <v>0</v>
      </c>
      <c r="ECU36" s="17">
        <f>'Form-Sb'!ECY94</f>
        <v>0</v>
      </c>
      <c r="ECV36" s="17">
        <f>'Form-Sb'!ECZ94</f>
        <v>0</v>
      </c>
      <c r="ECW36" s="17">
        <f>'Form-Sb'!EDA94</f>
        <v>0</v>
      </c>
      <c r="ECX36" s="17">
        <f>'Form-Sb'!EDB94</f>
        <v>0</v>
      </c>
      <c r="ECY36" s="17">
        <f>'Form-Sb'!EDC94</f>
        <v>0</v>
      </c>
      <c r="ECZ36" s="17">
        <f>'Form-Sb'!EDD94</f>
        <v>0</v>
      </c>
      <c r="EDA36" s="17">
        <f>'Form-Sb'!EDE94</f>
        <v>0</v>
      </c>
      <c r="EDB36" s="17">
        <f>'Form-Sb'!EDF94</f>
        <v>0</v>
      </c>
      <c r="EDC36" s="17">
        <f>'Form-Sb'!EDG94</f>
        <v>0</v>
      </c>
      <c r="EDD36" s="17">
        <f>'Form-Sb'!EDH94</f>
        <v>0</v>
      </c>
      <c r="EDE36" s="17">
        <f>'Form-Sb'!EDI94</f>
        <v>0</v>
      </c>
      <c r="EDF36" s="17">
        <f>'Form-Sb'!EDJ94</f>
        <v>0</v>
      </c>
      <c r="EDG36" s="17">
        <f>'Form-Sb'!EDK94</f>
        <v>0</v>
      </c>
      <c r="EDH36" s="17">
        <f>'Form-Sb'!EDL94</f>
        <v>0</v>
      </c>
      <c r="EDI36" s="17">
        <f>'Form-Sb'!EDM94</f>
        <v>0</v>
      </c>
      <c r="EDJ36" s="17">
        <f>'Form-Sb'!EDN94</f>
        <v>0</v>
      </c>
      <c r="EDK36" s="17">
        <f>'Form-Sb'!EDO94</f>
        <v>0</v>
      </c>
      <c r="EDL36" s="17">
        <f>'Form-Sb'!EDP94</f>
        <v>0</v>
      </c>
      <c r="EDM36" s="17">
        <f>'Form-Sb'!EDQ94</f>
        <v>0</v>
      </c>
      <c r="EDN36" s="17">
        <f>'Form-Sb'!EDR94</f>
        <v>0</v>
      </c>
      <c r="EDO36" s="17">
        <f>'Form-Sb'!EDS94</f>
        <v>0</v>
      </c>
      <c r="EDP36" s="17">
        <f>'Form-Sb'!EDT94</f>
        <v>0</v>
      </c>
      <c r="EDQ36" s="17">
        <f>'Form-Sb'!EDU94</f>
        <v>0</v>
      </c>
      <c r="EDR36" s="17">
        <f>'Form-Sb'!EDV94</f>
        <v>0</v>
      </c>
      <c r="EDS36" s="17">
        <f>'Form-Sb'!EDW94</f>
        <v>0</v>
      </c>
      <c r="EDT36" s="17">
        <f>'Form-Sb'!EDX94</f>
        <v>0</v>
      </c>
      <c r="EDU36" s="17">
        <f>'Form-Sb'!EDY94</f>
        <v>0</v>
      </c>
      <c r="EDV36" s="17">
        <f>'Form-Sb'!EDZ94</f>
        <v>0</v>
      </c>
      <c r="EDW36" s="17">
        <f>'Form-Sb'!EEA94</f>
        <v>0</v>
      </c>
      <c r="EDX36" s="17">
        <f>'Form-Sb'!EEB94</f>
        <v>0</v>
      </c>
      <c r="EDY36" s="17">
        <f>'Form-Sb'!EEC94</f>
        <v>0</v>
      </c>
      <c r="EDZ36" s="17">
        <f>'Form-Sb'!EED94</f>
        <v>0</v>
      </c>
      <c r="EEA36" s="17">
        <f>'Form-Sb'!EEE94</f>
        <v>0</v>
      </c>
      <c r="EEB36" s="17">
        <f>'Form-Sb'!EEF94</f>
        <v>0</v>
      </c>
      <c r="EEC36" s="17">
        <f>'Form-Sb'!EEG94</f>
        <v>0</v>
      </c>
      <c r="EED36" s="17">
        <f>'Form-Sb'!EEH94</f>
        <v>0</v>
      </c>
      <c r="EEE36" s="17">
        <f>'Form-Sb'!EEI94</f>
        <v>0</v>
      </c>
      <c r="EEF36" s="17">
        <f>'Form-Sb'!EEJ94</f>
        <v>0</v>
      </c>
      <c r="EEG36" s="17">
        <f>'Form-Sb'!EEK94</f>
        <v>0</v>
      </c>
      <c r="EEH36" s="17">
        <f>'Form-Sb'!EEL94</f>
        <v>0</v>
      </c>
      <c r="EEI36" s="17">
        <f>'Form-Sb'!EEM94</f>
        <v>0</v>
      </c>
      <c r="EEJ36" s="17">
        <f>'Form-Sb'!EEN94</f>
        <v>0</v>
      </c>
      <c r="EEK36" s="17">
        <f>'Form-Sb'!EEO94</f>
        <v>0</v>
      </c>
      <c r="EEL36" s="17">
        <f>'Form-Sb'!EEP94</f>
        <v>0</v>
      </c>
      <c r="EEM36" s="17">
        <f>'Form-Sb'!EEQ94</f>
        <v>0</v>
      </c>
      <c r="EEN36" s="17">
        <f>'Form-Sb'!EER94</f>
        <v>0</v>
      </c>
      <c r="EEO36" s="17">
        <f>'Form-Sb'!EES94</f>
        <v>0</v>
      </c>
      <c r="EEP36" s="17">
        <f>'Form-Sb'!EET94</f>
        <v>0</v>
      </c>
      <c r="EEQ36" s="17">
        <f>'Form-Sb'!EEU94</f>
        <v>0</v>
      </c>
      <c r="EER36" s="17">
        <f>'Form-Sb'!EEV94</f>
        <v>0</v>
      </c>
      <c r="EES36" s="17">
        <f>'Form-Sb'!EEW94</f>
        <v>0</v>
      </c>
      <c r="EET36" s="17">
        <f>'Form-Sb'!EEX94</f>
        <v>0</v>
      </c>
      <c r="EEU36" s="17">
        <f>'Form-Sb'!EEY94</f>
        <v>0</v>
      </c>
      <c r="EEV36" s="17">
        <f>'Form-Sb'!EEZ94</f>
        <v>0</v>
      </c>
      <c r="EEW36" s="17">
        <f>'Form-Sb'!EFA94</f>
        <v>0</v>
      </c>
      <c r="EEX36" s="17">
        <f>'Form-Sb'!EFB94</f>
        <v>0</v>
      </c>
      <c r="EEY36" s="17">
        <f>'Form-Sb'!EFC94</f>
        <v>0</v>
      </c>
      <c r="EEZ36" s="17">
        <f>'Form-Sb'!EFD94</f>
        <v>0</v>
      </c>
      <c r="EFA36" s="17">
        <f>'Form-Sb'!EFE94</f>
        <v>0</v>
      </c>
      <c r="EFB36" s="17">
        <f>'Form-Sb'!EFF94</f>
        <v>0</v>
      </c>
      <c r="EFC36" s="17">
        <f>'Form-Sb'!EFG94</f>
        <v>0</v>
      </c>
      <c r="EFD36" s="17">
        <f>'Form-Sb'!EFH94</f>
        <v>0</v>
      </c>
      <c r="EFE36" s="17">
        <f>'Form-Sb'!EFI94</f>
        <v>0</v>
      </c>
      <c r="EFF36" s="17">
        <f>'Form-Sb'!EFJ94</f>
        <v>0</v>
      </c>
      <c r="EFG36" s="17">
        <f>'Form-Sb'!EFK94</f>
        <v>0</v>
      </c>
      <c r="EFH36" s="17">
        <f>'Form-Sb'!EFL94</f>
        <v>0</v>
      </c>
      <c r="EFI36" s="17">
        <f>'Form-Sb'!EFM94</f>
        <v>0</v>
      </c>
      <c r="EFJ36" s="17">
        <f>'Form-Sb'!EFN94</f>
        <v>0</v>
      </c>
      <c r="EFK36" s="17">
        <f>'Form-Sb'!EFO94</f>
        <v>0</v>
      </c>
      <c r="EFL36" s="17">
        <f>'Form-Sb'!EFP94</f>
        <v>0</v>
      </c>
      <c r="EFM36" s="17">
        <f>'Form-Sb'!EFQ94</f>
        <v>0</v>
      </c>
      <c r="EFN36" s="17">
        <f>'Form-Sb'!EFR94</f>
        <v>0</v>
      </c>
      <c r="EFO36" s="17">
        <f>'Form-Sb'!EFS94</f>
        <v>0</v>
      </c>
      <c r="EFP36" s="17">
        <f>'Form-Sb'!EFT94</f>
        <v>0</v>
      </c>
      <c r="EFQ36" s="17">
        <f>'Form-Sb'!EFU94</f>
        <v>0</v>
      </c>
      <c r="EFR36" s="17">
        <f>'Form-Sb'!EFV94</f>
        <v>0</v>
      </c>
      <c r="EFS36" s="17">
        <f>'Form-Sb'!EFW94</f>
        <v>0</v>
      </c>
      <c r="EFT36" s="17">
        <f>'Form-Sb'!EFX94</f>
        <v>0</v>
      </c>
      <c r="EFU36" s="17">
        <f>'Form-Sb'!EFY94</f>
        <v>0</v>
      </c>
      <c r="EFV36" s="17">
        <f>'Form-Sb'!EFZ94</f>
        <v>0</v>
      </c>
      <c r="EFW36" s="17">
        <f>'Form-Sb'!EGA94</f>
        <v>0</v>
      </c>
      <c r="EFX36" s="17">
        <f>'Form-Sb'!EGB94</f>
        <v>0</v>
      </c>
      <c r="EFY36" s="17">
        <f>'Form-Sb'!EGC94</f>
        <v>0</v>
      </c>
      <c r="EFZ36" s="17">
        <f>'Form-Sb'!EGD94</f>
        <v>0</v>
      </c>
      <c r="EGA36" s="17">
        <f>'Form-Sb'!EGE94</f>
        <v>0</v>
      </c>
      <c r="EGB36" s="17">
        <f>'Form-Sb'!EGF94</f>
        <v>0</v>
      </c>
      <c r="EGC36" s="17">
        <f>'Form-Sb'!EGG94</f>
        <v>0</v>
      </c>
      <c r="EGD36" s="17">
        <f>'Form-Sb'!EGH94</f>
        <v>0</v>
      </c>
      <c r="EGE36" s="17">
        <f>'Form-Sb'!EGI94</f>
        <v>0</v>
      </c>
      <c r="EGF36" s="17">
        <f>'Form-Sb'!EGJ94</f>
        <v>0</v>
      </c>
      <c r="EGG36" s="17">
        <f>'Form-Sb'!EGK94</f>
        <v>0</v>
      </c>
      <c r="EGH36" s="17">
        <f>'Form-Sb'!EGL94</f>
        <v>0</v>
      </c>
      <c r="EGI36" s="17">
        <f>'Form-Sb'!EGM94</f>
        <v>0</v>
      </c>
      <c r="EGJ36" s="17">
        <f>'Form-Sb'!EGN94</f>
        <v>0</v>
      </c>
      <c r="EGK36" s="17">
        <f>'Form-Sb'!EGO94</f>
        <v>0</v>
      </c>
      <c r="EGL36" s="17">
        <f>'Form-Sb'!EGP94</f>
        <v>0</v>
      </c>
      <c r="EGM36" s="17">
        <f>'Form-Sb'!EGQ94</f>
        <v>0</v>
      </c>
      <c r="EGN36" s="17">
        <f>'Form-Sb'!EGR94</f>
        <v>0</v>
      </c>
      <c r="EGO36" s="17">
        <f>'Form-Sb'!EGS94</f>
        <v>0</v>
      </c>
      <c r="EGP36" s="17">
        <f>'Form-Sb'!EGT94</f>
        <v>0</v>
      </c>
      <c r="EGQ36" s="17">
        <f>'Form-Sb'!EGU94</f>
        <v>0</v>
      </c>
      <c r="EGR36" s="17">
        <f>'Form-Sb'!EGV94</f>
        <v>0</v>
      </c>
      <c r="EGS36" s="17">
        <f>'Form-Sb'!EGW94</f>
        <v>0</v>
      </c>
      <c r="EGT36" s="17">
        <f>'Form-Sb'!EGX94</f>
        <v>0</v>
      </c>
      <c r="EGU36" s="17">
        <f>'Form-Sb'!EGY94</f>
        <v>0</v>
      </c>
      <c r="EGV36" s="17">
        <f>'Form-Sb'!EGZ94</f>
        <v>0</v>
      </c>
      <c r="EGW36" s="17">
        <f>'Form-Sb'!EHA94</f>
        <v>0</v>
      </c>
      <c r="EGX36" s="17">
        <f>'Form-Sb'!EHB94</f>
        <v>0</v>
      </c>
      <c r="EGY36" s="17">
        <f>'Form-Sb'!EHC94</f>
        <v>0</v>
      </c>
      <c r="EGZ36" s="17">
        <f>'Form-Sb'!EHD94</f>
        <v>0</v>
      </c>
      <c r="EHA36" s="17">
        <f>'Form-Sb'!EHE94</f>
        <v>0</v>
      </c>
      <c r="EHB36" s="17">
        <f>'Form-Sb'!EHF94</f>
        <v>0</v>
      </c>
      <c r="EHC36" s="17">
        <f>'Form-Sb'!EHG94</f>
        <v>0</v>
      </c>
      <c r="EHD36" s="17">
        <f>'Form-Sb'!EHH94</f>
        <v>0</v>
      </c>
      <c r="EHE36" s="17">
        <f>'Form-Sb'!EHI94</f>
        <v>0</v>
      </c>
      <c r="EHF36" s="17">
        <f>'Form-Sb'!EHJ94</f>
        <v>0</v>
      </c>
      <c r="EHG36" s="17">
        <f>'Form-Sb'!EHK94</f>
        <v>0</v>
      </c>
      <c r="EHH36" s="17">
        <f>'Form-Sb'!EHL94</f>
        <v>0</v>
      </c>
      <c r="EHI36" s="17">
        <f>'Form-Sb'!EHM94</f>
        <v>0</v>
      </c>
      <c r="EHJ36" s="17">
        <f>'Form-Sb'!EHN94</f>
        <v>0</v>
      </c>
      <c r="EHK36" s="17">
        <f>'Form-Sb'!EHO94</f>
        <v>0</v>
      </c>
      <c r="EHL36" s="17">
        <f>'Form-Sb'!EHP94</f>
        <v>0</v>
      </c>
      <c r="EHM36" s="17">
        <f>'Form-Sb'!EHQ94</f>
        <v>0</v>
      </c>
      <c r="EHN36" s="17">
        <f>'Form-Sb'!EHR94</f>
        <v>0</v>
      </c>
      <c r="EHO36" s="17">
        <f>'Form-Sb'!EHS94</f>
        <v>0</v>
      </c>
      <c r="EHP36" s="17">
        <f>'Form-Sb'!EHT94</f>
        <v>0</v>
      </c>
      <c r="EHQ36" s="17">
        <f>'Form-Sb'!EHU94</f>
        <v>0</v>
      </c>
      <c r="EHR36" s="17">
        <f>'Form-Sb'!EHV94</f>
        <v>0</v>
      </c>
      <c r="EHS36" s="17">
        <f>'Form-Sb'!EHW94</f>
        <v>0</v>
      </c>
      <c r="EHT36" s="17">
        <f>'Form-Sb'!EHX94</f>
        <v>0</v>
      </c>
      <c r="EHU36" s="17">
        <f>'Form-Sb'!EHY94</f>
        <v>0</v>
      </c>
      <c r="EHV36" s="17">
        <f>'Form-Sb'!EHZ94</f>
        <v>0</v>
      </c>
      <c r="EHW36" s="17">
        <f>'Form-Sb'!EIA94</f>
        <v>0</v>
      </c>
      <c r="EHX36" s="17">
        <f>'Form-Sb'!EIB94</f>
        <v>0</v>
      </c>
      <c r="EHY36" s="17">
        <f>'Form-Sb'!EIC94</f>
        <v>0</v>
      </c>
      <c r="EHZ36" s="17">
        <f>'Form-Sb'!EID94</f>
        <v>0</v>
      </c>
      <c r="EIA36" s="17">
        <f>'Form-Sb'!EIE94</f>
        <v>0</v>
      </c>
      <c r="EIB36" s="17">
        <f>'Form-Sb'!EIF94</f>
        <v>0</v>
      </c>
      <c r="EIC36" s="17">
        <f>'Form-Sb'!EIG94</f>
        <v>0</v>
      </c>
      <c r="EID36" s="17">
        <f>'Form-Sb'!EIH94</f>
        <v>0</v>
      </c>
      <c r="EIE36" s="17">
        <f>'Form-Sb'!EII94</f>
        <v>0</v>
      </c>
      <c r="EIF36" s="17">
        <f>'Form-Sb'!EIJ94</f>
        <v>0</v>
      </c>
      <c r="EIG36" s="17">
        <f>'Form-Sb'!EIK94</f>
        <v>0</v>
      </c>
      <c r="EIH36" s="17">
        <f>'Form-Sb'!EIL94</f>
        <v>0</v>
      </c>
      <c r="EII36" s="17">
        <f>'Form-Sb'!EIM94</f>
        <v>0</v>
      </c>
      <c r="EIJ36" s="17">
        <f>'Form-Sb'!EIN94</f>
        <v>0</v>
      </c>
      <c r="EIK36" s="17">
        <f>'Form-Sb'!EIO94</f>
        <v>0</v>
      </c>
      <c r="EIL36" s="17">
        <f>'Form-Sb'!EIP94</f>
        <v>0</v>
      </c>
      <c r="EIM36" s="17">
        <f>'Form-Sb'!EIQ94</f>
        <v>0</v>
      </c>
      <c r="EIN36" s="17">
        <f>'Form-Sb'!EIR94</f>
        <v>0</v>
      </c>
      <c r="EIO36" s="17">
        <f>'Form-Sb'!EIS94</f>
        <v>0</v>
      </c>
      <c r="EIP36" s="17">
        <f>'Form-Sb'!EIT94</f>
        <v>0</v>
      </c>
      <c r="EIQ36" s="17">
        <f>'Form-Sb'!EIU94</f>
        <v>0</v>
      </c>
      <c r="EIR36" s="17">
        <f>'Form-Sb'!EIV94</f>
        <v>0</v>
      </c>
      <c r="EIS36" s="17">
        <f>'Form-Sb'!EIW94</f>
        <v>0</v>
      </c>
      <c r="EIT36" s="17">
        <f>'Form-Sb'!EIX94</f>
        <v>0</v>
      </c>
      <c r="EIU36" s="17">
        <f>'Form-Sb'!EIY94</f>
        <v>0</v>
      </c>
      <c r="EIV36" s="17">
        <f>'Form-Sb'!EIZ94</f>
        <v>0</v>
      </c>
      <c r="EIW36" s="17">
        <f>'Form-Sb'!EJA94</f>
        <v>0</v>
      </c>
      <c r="EIX36" s="17">
        <f>'Form-Sb'!EJB94</f>
        <v>0</v>
      </c>
      <c r="EIY36" s="17">
        <f>'Form-Sb'!EJC94</f>
        <v>0</v>
      </c>
      <c r="EIZ36" s="17">
        <f>'Form-Sb'!EJD94</f>
        <v>0</v>
      </c>
      <c r="EJA36" s="17">
        <f>'Form-Sb'!EJE94</f>
        <v>0</v>
      </c>
      <c r="EJB36" s="17">
        <f>'Form-Sb'!EJF94</f>
        <v>0</v>
      </c>
      <c r="EJC36" s="17">
        <f>'Form-Sb'!EJG94</f>
        <v>0</v>
      </c>
      <c r="EJD36" s="17">
        <f>'Form-Sb'!EJH94</f>
        <v>0</v>
      </c>
      <c r="EJE36" s="17">
        <f>'Form-Sb'!EJI94</f>
        <v>0</v>
      </c>
      <c r="EJF36" s="17">
        <f>'Form-Sb'!EJJ94</f>
        <v>0</v>
      </c>
      <c r="EJG36" s="17">
        <f>'Form-Sb'!EJK94</f>
        <v>0</v>
      </c>
      <c r="EJH36" s="17">
        <f>'Form-Sb'!EJL94</f>
        <v>0</v>
      </c>
      <c r="EJI36" s="17">
        <f>'Form-Sb'!EJM94</f>
        <v>0</v>
      </c>
      <c r="EJJ36" s="17">
        <f>'Form-Sb'!EJN94</f>
        <v>0</v>
      </c>
      <c r="EJK36" s="17">
        <f>'Form-Sb'!EJO94</f>
        <v>0</v>
      </c>
      <c r="EJL36" s="17">
        <f>'Form-Sb'!EJP94</f>
        <v>0</v>
      </c>
      <c r="EJM36" s="17">
        <f>'Form-Sb'!EJQ94</f>
        <v>0</v>
      </c>
      <c r="EJN36" s="17">
        <f>'Form-Sb'!EJR94</f>
        <v>0</v>
      </c>
      <c r="EJO36" s="17">
        <f>'Form-Sb'!EJS94</f>
        <v>0</v>
      </c>
      <c r="EJP36" s="17">
        <f>'Form-Sb'!EJT94</f>
        <v>0</v>
      </c>
      <c r="EJQ36" s="17">
        <f>'Form-Sb'!EJU94</f>
        <v>0</v>
      </c>
      <c r="EJR36" s="17">
        <f>'Form-Sb'!EJV94</f>
        <v>0</v>
      </c>
      <c r="EJS36" s="17">
        <f>'Form-Sb'!EJW94</f>
        <v>0</v>
      </c>
      <c r="EJT36" s="17">
        <f>'Form-Sb'!EJX94</f>
        <v>0</v>
      </c>
      <c r="EJU36" s="17">
        <f>'Form-Sb'!EJY94</f>
        <v>0</v>
      </c>
      <c r="EJV36" s="17">
        <f>'Form-Sb'!EJZ94</f>
        <v>0</v>
      </c>
      <c r="EJW36" s="17">
        <f>'Form-Sb'!EKA94</f>
        <v>0</v>
      </c>
      <c r="EJX36" s="17">
        <f>'Form-Sb'!EKB94</f>
        <v>0</v>
      </c>
      <c r="EJY36" s="17">
        <f>'Form-Sb'!EKC94</f>
        <v>0</v>
      </c>
      <c r="EJZ36" s="17">
        <f>'Form-Sb'!EKD94</f>
        <v>0</v>
      </c>
      <c r="EKA36" s="17">
        <f>'Form-Sb'!EKE94</f>
        <v>0</v>
      </c>
      <c r="EKB36" s="17">
        <f>'Form-Sb'!EKF94</f>
        <v>0</v>
      </c>
      <c r="EKC36" s="17">
        <f>'Form-Sb'!EKG94</f>
        <v>0</v>
      </c>
      <c r="EKD36" s="17">
        <f>'Form-Sb'!EKH94</f>
        <v>0</v>
      </c>
      <c r="EKE36" s="17">
        <f>'Form-Sb'!EKI94</f>
        <v>0</v>
      </c>
      <c r="EKF36" s="17">
        <f>'Form-Sb'!EKJ94</f>
        <v>0</v>
      </c>
      <c r="EKG36" s="17">
        <f>'Form-Sb'!EKK94</f>
        <v>0</v>
      </c>
      <c r="EKH36" s="17">
        <f>'Form-Sb'!EKL94</f>
        <v>0</v>
      </c>
      <c r="EKI36" s="17">
        <f>'Form-Sb'!EKM94</f>
        <v>0</v>
      </c>
      <c r="EKJ36" s="17">
        <f>'Form-Sb'!EKN94</f>
        <v>0</v>
      </c>
      <c r="EKK36" s="17">
        <f>'Form-Sb'!EKO94</f>
        <v>0</v>
      </c>
      <c r="EKL36" s="17">
        <f>'Form-Sb'!EKP94</f>
        <v>0</v>
      </c>
      <c r="EKM36" s="17">
        <f>'Form-Sb'!EKQ94</f>
        <v>0</v>
      </c>
      <c r="EKN36" s="17">
        <f>'Form-Sb'!EKR94</f>
        <v>0</v>
      </c>
      <c r="EKO36" s="17">
        <f>'Form-Sb'!EKS94</f>
        <v>0</v>
      </c>
      <c r="EKP36" s="17">
        <f>'Form-Sb'!EKT94</f>
        <v>0</v>
      </c>
      <c r="EKQ36" s="17">
        <f>'Form-Sb'!EKU94</f>
        <v>0</v>
      </c>
      <c r="EKR36" s="17">
        <f>'Form-Sb'!EKV94</f>
        <v>0</v>
      </c>
      <c r="EKS36" s="17">
        <f>'Form-Sb'!EKW94</f>
        <v>0</v>
      </c>
      <c r="EKT36" s="17">
        <f>'Form-Sb'!EKX94</f>
        <v>0</v>
      </c>
      <c r="EKU36" s="17">
        <f>'Form-Sb'!EKY94</f>
        <v>0</v>
      </c>
      <c r="EKV36" s="17">
        <f>'Form-Sb'!EKZ94</f>
        <v>0</v>
      </c>
      <c r="EKW36" s="17">
        <f>'Form-Sb'!ELA94</f>
        <v>0</v>
      </c>
      <c r="EKX36" s="17">
        <f>'Form-Sb'!ELB94</f>
        <v>0</v>
      </c>
      <c r="EKY36" s="17">
        <f>'Form-Sb'!ELC94</f>
        <v>0</v>
      </c>
      <c r="EKZ36" s="17">
        <f>'Form-Sb'!ELD94</f>
        <v>0</v>
      </c>
      <c r="ELA36" s="17">
        <f>'Form-Sb'!ELE94</f>
        <v>0</v>
      </c>
      <c r="ELB36" s="17">
        <f>'Form-Sb'!ELF94</f>
        <v>0</v>
      </c>
      <c r="ELC36" s="17">
        <f>'Form-Sb'!ELG94</f>
        <v>0</v>
      </c>
      <c r="ELD36" s="17">
        <f>'Form-Sb'!ELH94</f>
        <v>0</v>
      </c>
      <c r="ELE36" s="17">
        <f>'Form-Sb'!ELI94</f>
        <v>0</v>
      </c>
      <c r="ELF36" s="17">
        <f>'Form-Sb'!ELJ94</f>
        <v>0</v>
      </c>
      <c r="ELG36" s="17">
        <f>'Form-Sb'!ELK94</f>
        <v>0</v>
      </c>
      <c r="ELH36" s="17">
        <f>'Form-Sb'!ELL94</f>
        <v>0</v>
      </c>
      <c r="ELI36" s="17">
        <f>'Form-Sb'!ELM94</f>
        <v>0</v>
      </c>
      <c r="ELJ36" s="17">
        <f>'Form-Sb'!ELN94</f>
        <v>0</v>
      </c>
      <c r="ELK36" s="17">
        <f>'Form-Sb'!ELO94</f>
        <v>0</v>
      </c>
      <c r="ELL36" s="17">
        <f>'Form-Sb'!ELP94</f>
        <v>0</v>
      </c>
      <c r="ELM36" s="17">
        <f>'Form-Sb'!ELQ94</f>
        <v>0</v>
      </c>
      <c r="ELN36" s="17">
        <f>'Form-Sb'!ELR94</f>
        <v>0</v>
      </c>
      <c r="ELO36" s="17">
        <f>'Form-Sb'!ELS94</f>
        <v>0</v>
      </c>
      <c r="ELP36" s="17">
        <f>'Form-Sb'!ELT94</f>
        <v>0</v>
      </c>
      <c r="ELQ36" s="17">
        <f>'Form-Sb'!ELU94</f>
        <v>0</v>
      </c>
      <c r="ELR36" s="17">
        <f>'Form-Sb'!ELV94</f>
        <v>0</v>
      </c>
      <c r="ELS36" s="17">
        <f>'Form-Sb'!ELW94</f>
        <v>0</v>
      </c>
      <c r="ELT36" s="17">
        <f>'Form-Sb'!ELX94</f>
        <v>0</v>
      </c>
      <c r="ELU36" s="17">
        <f>'Form-Sb'!ELY94</f>
        <v>0</v>
      </c>
      <c r="ELV36" s="17">
        <f>'Form-Sb'!ELZ94</f>
        <v>0</v>
      </c>
      <c r="ELW36" s="17">
        <f>'Form-Sb'!EMA94</f>
        <v>0</v>
      </c>
      <c r="ELX36" s="17">
        <f>'Form-Sb'!EMB94</f>
        <v>0</v>
      </c>
      <c r="ELY36" s="17">
        <f>'Form-Sb'!EMC94</f>
        <v>0</v>
      </c>
      <c r="ELZ36" s="17">
        <f>'Form-Sb'!EMD94</f>
        <v>0</v>
      </c>
      <c r="EMA36" s="17">
        <f>'Form-Sb'!EME94</f>
        <v>0</v>
      </c>
      <c r="EMB36" s="17">
        <f>'Form-Sb'!EMF94</f>
        <v>0</v>
      </c>
      <c r="EMC36" s="17">
        <f>'Form-Sb'!EMG94</f>
        <v>0</v>
      </c>
      <c r="EMD36" s="17">
        <f>'Form-Sb'!EMH94</f>
        <v>0</v>
      </c>
      <c r="EME36" s="17">
        <f>'Form-Sb'!EMI94</f>
        <v>0</v>
      </c>
      <c r="EMF36" s="17">
        <f>'Form-Sb'!EMJ94</f>
        <v>0</v>
      </c>
      <c r="EMG36" s="17">
        <f>'Form-Sb'!EMK94</f>
        <v>0</v>
      </c>
      <c r="EMH36" s="17">
        <f>'Form-Sb'!EML94</f>
        <v>0</v>
      </c>
      <c r="EMI36" s="17">
        <f>'Form-Sb'!EMM94</f>
        <v>0</v>
      </c>
      <c r="EMJ36" s="17">
        <f>'Form-Sb'!EMN94</f>
        <v>0</v>
      </c>
      <c r="EMK36" s="17">
        <f>'Form-Sb'!EMO94</f>
        <v>0</v>
      </c>
      <c r="EML36" s="17">
        <f>'Form-Sb'!EMP94</f>
        <v>0</v>
      </c>
      <c r="EMM36" s="17">
        <f>'Form-Sb'!EMQ94</f>
        <v>0</v>
      </c>
      <c r="EMN36" s="17">
        <f>'Form-Sb'!EMR94</f>
        <v>0</v>
      </c>
      <c r="EMO36" s="17">
        <f>'Form-Sb'!EMS94</f>
        <v>0</v>
      </c>
      <c r="EMP36" s="17">
        <f>'Form-Sb'!EMT94</f>
        <v>0</v>
      </c>
      <c r="EMQ36" s="17">
        <f>'Form-Sb'!EMU94</f>
        <v>0</v>
      </c>
      <c r="EMR36" s="17">
        <f>'Form-Sb'!EMV94</f>
        <v>0</v>
      </c>
      <c r="EMS36" s="17">
        <f>'Form-Sb'!EMW94</f>
        <v>0</v>
      </c>
      <c r="EMT36" s="17">
        <f>'Form-Sb'!EMX94</f>
        <v>0</v>
      </c>
      <c r="EMU36" s="17">
        <f>'Form-Sb'!EMY94</f>
        <v>0</v>
      </c>
      <c r="EMV36" s="17">
        <f>'Form-Sb'!EMZ94</f>
        <v>0</v>
      </c>
      <c r="EMW36" s="17">
        <f>'Form-Sb'!ENA94</f>
        <v>0</v>
      </c>
      <c r="EMX36" s="17">
        <f>'Form-Sb'!ENB94</f>
        <v>0</v>
      </c>
      <c r="EMY36" s="17">
        <f>'Form-Sb'!ENC94</f>
        <v>0</v>
      </c>
      <c r="EMZ36" s="17">
        <f>'Form-Sb'!END94</f>
        <v>0</v>
      </c>
      <c r="ENA36" s="17">
        <f>'Form-Sb'!ENE94</f>
        <v>0</v>
      </c>
      <c r="ENB36" s="17">
        <f>'Form-Sb'!ENF94</f>
        <v>0</v>
      </c>
      <c r="ENC36" s="17">
        <f>'Form-Sb'!ENG94</f>
        <v>0</v>
      </c>
      <c r="END36" s="17">
        <f>'Form-Sb'!ENH94</f>
        <v>0</v>
      </c>
      <c r="ENE36" s="17">
        <f>'Form-Sb'!ENI94</f>
        <v>0</v>
      </c>
      <c r="ENF36" s="17">
        <f>'Form-Sb'!ENJ94</f>
        <v>0</v>
      </c>
      <c r="ENG36" s="17">
        <f>'Form-Sb'!ENK94</f>
        <v>0</v>
      </c>
      <c r="ENH36" s="17">
        <f>'Form-Sb'!ENL94</f>
        <v>0</v>
      </c>
      <c r="ENI36" s="17">
        <f>'Form-Sb'!ENM94</f>
        <v>0</v>
      </c>
      <c r="ENJ36" s="17">
        <f>'Form-Sb'!ENN94</f>
        <v>0</v>
      </c>
      <c r="ENK36" s="17">
        <f>'Form-Sb'!ENO94</f>
        <v>0</v>
      </c>
      <c r="ENL36" s="17">
        <f>'Form-Sb'!ENP94</f>
        <v>0</v>
      </c>
      <c r="ENM36" s="17">
        <f>'Form-Sb'!ENQ94</f>
        <v>0</v>
      </c>
      <c r="ENN36" s="17">
        <f>'Form-Sb'!ENR94</f>
        <v>0</v>
      </c>
      <c r="ENO36" s="17">
        <f>'Form-Sb'!ENS94</f>
        <v>0</v>
      </c>
      <c r="ENP36" s="17">
        <f>'Form-Sb'!ENT94</f>
        <v>0</v>
      </c>
      <c r="ENQ36" s="17">
        <f>'Form-Sb'!ENU94</f>
        <v>0</v>
      </c>
      <c r="ENR36" s="17">
        <f>'Form-Sb'!ENV94</f>
        <v>0</v>
      </c>
      <c r="ENS36" s="17">
        <f>'Form-Sb'!ENW94</f>
        <v>0</v>
      </c>
      <c r="ENT36" s="17">
        <f>'Form-Sb'!ENX94</f>
        <v>0</v>
      </c>
      <c r="ENU36" s="17">
        <f>'Form-Sb'!ENY94</f>
        <v>0</v>
      </c>
      <c r="ENV36" s="17">
        <f>'Form-Sb'!ENZ94</f>
        <v>0</v>
      </c>
      <c r="ENW36" s="17">
        <f>'Form-Sb'!EOA94</f>
        <v>0</v>
      </c>
      <c r="ENX36" s="17">
        <f>'Form-Sb'!EOB94</f>
        <v>0</v>
      </c>
      <c r="ENY36" s="17">
        <f>'Form-Sb'!EOC94</f>
        <v>0</v>
      </c>
      <c r="ENZ36" s="17">
        <f>'Form-Sb'!EOD94</f>
        <v>0</v>
      </c>
      <c r="EOA36" s="17">
        <f>'Form-Sb'!EOE94</f>
        <v>0</v>
      </c>
      <c r="EOB36" s="17">
        <f>'Form-Sb'!EOF94</f>
        <v>0</v>
      </c>
      <c r="EOC36" s="17">
        <f>'Form-Sb'!EOG94</f>
        <v>0</v>
      </c>
      <c r="EOD36" s="17">
        <f>'Form-Sb'!EOH94</f>
        <v>0</v>
      </c>
      <c r="EOE36" s="17">
        <f>'Form-Sb'!EOI94</f>
        <v>0</v>
      </c>
      <c r="EOF36" s="17">
        <f>'Form-Sb'!EOJ94</f>
        <v>0</v>
      </c>
      <c r="EOG36" s="17">
        <f>'Form-Sb'!EOK94</f>
        <v>0</v>
      </c>
      <c r="EOH36" s="17">
        <f>'Form-Sb'!EOL94</f>
        <v>0</v>
      </c>
      <c r="EOI36" s="17">
        <f>'Form-Sb'!EOM94</f>
        <v>0</v>
      </c>
      <c r="EOJ36" s="17">
        <f>'Form-Sb'!EON94</f>
        <v>0</v>
      </c>
      <c r="EOK36" s="17">
        <f>'Form-Sb'!EOO94</f>
        <v>0</v>
      </c>
      <c r="EOL36" s="17">
        <f>'Form-Sb'!EOP94</f>
        <v>0</v>
      </c>
      <c r="EOM36" s="17">
        <f>'Form-Sb'!EOQ94</f>
        <v>0</v>
      </c>
      <c r="EON36" s="17">
        <f>'Form-Sb'!EOR94</f>
        <v>0</v>
      </c>
      <c r="EOO36" s="17">
        <f>'Form-Sb'!EOS94</f>
        <v>0</v>
      </c>
      <c r="EOP36" s="17">
        <f>'Form-Sb'!EOT94</f>
        <v>0</v>
      </c>
      <c r="EOQ36" s="17">
        <f>'Form-Sb'!EOU94</f>
        <v>0</v>
      </c>
      <c r="EOR36" s="17">
        <f>'Form-Sb'!EOV94</f>
        <v>0</v>
      </c>
      <c r="EOS36" s="17">
        <f>'Form-Sb'!EOW94</f>
        <v>0</v>
      </c>
      <c r="EOT36" s="17">
        <f>'Form-Sb'!EOX94</f>
        <v>0</v>
      </c>
      <c r="EOU36" s="17">
        <f>'Form-Sb'!EOY94</f>
        <v>0</v>
      </c>
      <c r="EOV36" s="17">
        <f>'Form-Sb'!EOZ94</f>
        <v>0</v>
      </c>
      <c r="EOW36" s="17">
        <f>'Form-Sb'!EPA94</f>
        <v>0</v>
      </c>
      <c r="EOX36" s="17">
        <f>'Form-Sb'!EPB94</f>
        <v>0</v>
      </c>
      <c r="EOY36" s="17">
        <f>'Form-Sb'!EPC94</f>
        <v>0</v>
      </c>
      <c r="EOZ36" s="17">
        <f>'Form-Sb'!EPD94</f>
        <v>0</v>
      </c>
      <c r="EPA36" s="17">
        <f>'Form-Sb'!EPE94</f>
        <v>0</v>
      </c>
      <c r="EPB36" s="17">
        <f>'Form-Sb'!EPF94</f>
        <v>0</v>
      </c>
      <c r="EPC36" s="17">
        <f>'Form-Sb'!EPG94</f>
        <v>0</v>
      </c>
      <c r="EPD36" s="17">
        <f>'Form-Sb'!EPH94</f>
        <v>0</v>
      </c>
      <c r="EPE36" s="17">
        <f>'Form-Sb'!EPI94</f>
        <v>0</v>
      </c>
      <c r="EPF36" s="17">
        <f>'Form-Sb'!EPJ94</f>
        <v>0</v>
      </c>
      <c r="EPG36" s="17">
        <f>'Form-Sb'!EPK94</f>
        <v>0</v>
      </c>
      <c r="EPH36" s="17">
        <f>'Form-Sb'!EPL94</f>
        <v>0</v>
      </c>
      <c r="EPI36" s="17">
        <f>'Form-Sb'!EPM94</f>
        <v>0</v>
      </c>
      <c r="EPJ36" s="17">
        <f>'Form-Sb'!EPN94</f>
        <v>0</v>
      </c>
      <c r="EPK36" s="17">
        <f>'Form-Sb'!EPO94</f>
        <v>0</v>
      </c>
      <c r="EPL36" s="17">
        <f>'Form-Sb'!EPP94</f>
        <v>0</v>
      </c>
      <c r="EPM36" s="17">
        <f>'Form-Sb'!EPQ94</f>
        <v>0</v>
      </c>
      <c r="EPN36" s="17">
        <f>'Form-Sb'!EPR94</f>
        <v>0</v>
      </c>
      <c r="EPO36" s="17">
        <f>'Form-Sb'!EPS94</f>
        <v>0</v>
      </c>
      <c r="EPP36" s="17">
        <f>'Form-Sb'!EPT94</f>
        <v>0</v>
      </c>
      <c r="EPQ36" s="17">
        <f>'Form-Sb'!EPU94</f>
        <v>0</v>
      </c>
      <c r="EPR36" s="17">
        <f>'Form-Sb'!EPV94</f>
        <v>0</v>
      </c>
      <c r="EPS36" s="17">
        <f>'Form-Sb'!EPW94</f>
        <v>0</v>
      </c>
      <c r="EPT36" s="17">
        <f>'Form-Sb'!EPX94</f>
        <v>0</v>
      </c>
      <c r="EPU36" s="17">
        <f>'Form-Sb'!EPY94</f>
        <v>0</v>
      </c>
      <c r="EPV36" s="17">
        <f>'Form-Sb'!EPZ94</f>
        <v>0</v>
      </c>
      <c r="EPW36" s="17">
        <f>'Form-Sb'!EQA94</f>
        <v>0</v>
      </c>
      <c r="EPX36" s="17">
        <f>'Form-Sb'!EQB94</f>
        <v>0</v>
      </c>
      <c r="EPY36" s="17">
        <f>'Form-Sb'!EQC94</f>
        <v>0</v>
      </c>
      <c r="EPZ36" s="17">
        <f>'Form-Sb'!EQD94</f>
        <v>0</v>
      </c>
      <c r="EQA36" s="17">
        <f>'Form-Sb'!EQE94</f>
        <v>0</v>
      </c>
      <c r="EQB36" s="17">
        <f>'Form-Sb'!EQF94</f>
        <v>0</v>
      </c>
      <c r="EQC36" s="17">
        <f>'Form-Sb'!EQG94</f>
        <v>0</v>
      </c>
      <c r="EQD36" s="17">
        <f>'Form-Sb'!EQH94</f>
        <v>0</v>
      </c>
      <c r="EQE36" s="17">
        <f>'Form-Sb'!EQI94</f>
        <v>0</v>
      </c>
      <c r="EQF36" s="17">
        <f>'Form-Sb'!EQJ94</f>
        <v>0</v>
      </c>
      <c r="EQG36" s="17">
        <f>'Form-Sb'!EQK94</f>
        <v>0</v>
      </c>
      <c r="EQH36" s="17">
        <f>'Form-Sb'!EQL94</f>
        <v>0</v>
      </c>
      <c r="EQI36" s="17">
        <f>'Form-Sb'!EQM94</f>
        <v>0</v>
      </c>
      <c r="EQJ36" s="17">
        <f>'Form-Sb'!EQN94</f>
        <v>0</v>
      </c>
      <c r="EQK36" s="17">
        <f>'Form-Sb'!EQO94</f>
        <v>0</v>
      </c>
      <c r="EQL36" s="17">
        <f>'Form-Sb'!EQP94</f>
        <v>0</v>
      </c>
      <c r="EQM36" s="17">
        <f>'Form-Sb'!EQQ94</f>
        <v>0</v>
      </c>
      <c r="EQN36" s="17">
        <f>'Form-Sb'!EQR94</f>
        <v>0</v>
      </c>
      <c r="EQO36" s="17">
        <f>'Form-Sb'!EQS94</f>
        <v>0</v>
      </c>
      <c r="EQP36" s="17">
        <f>'Form-Sb'!EQT94</f>
        <v>0</v>
      </c>
      <c r="EQQ36" s="17">
        <f>'Form-Sb'!EQU94</f>
        <v>0</v>
      </c>
      <c r="EQR36" s="17">
        <f>'Form-Sb'!EQV94</f>
        <v>0</v>
      </c>
      <c r="EQS36" s="17">
        <f>'Form-Sb'!EQW94</f>
        <v>0</v>
      </c>
      <c r="EQT36" s="17">
        <f>'Form-Sb'!EQX94</f>
        <v>0</v>
      </c>
      <c r="EQU36" s="17">
        <f>'Form-Sb'!EQY94</f>
        <v>0</v>
      </c>
      <c r="EQV36" s="17">
        <f>'Form-Sb'!EQZ94</f>
        <v>0</v>
      </c>
      <c r="EQW36" s="17">
        <f>'Form-Sb'!ERA94</f>
        <v>0</v>
      </c>
      <c r="EQX36" s="17">
        <f>'Form-Sb'!ERB94</f>
        <v>0</v>
      </c>
      <c r="EQY36" s="17">
        <f>'Form-Sb'!ERC94</f>
        <v>0</v>
      </c>
      <c r="EQZ36" s="17">
        <f>'Form-Sb'!ERD94</f>
        <v>0</v>
      </c>
      <c r="ERA36" s="17">
        <f>'Form-Sb'!ERE94</f>
        <v>0</v>
      </c>
      <c r="ERB36" s="17">
        <f>'Form-Sb'!ERF94</f>
        <v>0</v>
      </c>
      <c r="ERC36" s="17">
        <f>'Form-Sb'!ERG94</f>
        <v>0</v>
      </c>
      <c r="ERD36" s="17">
        <f>'Form-Sb'!ERH94</f>
        <v>0</v>
      </c>
      <c r="ERE36" s="17">
        <f>'Form-Sb'!ERI94</f>
        <v>0</v>
      </c>
      <c r="ERF36" s="17">
        <f>'Form-Sb'!ERJ94</f>
        <v>0</v>
      </c>
      <c r="ERG36" s="17">
        <f>'Form-Sb'!ERK94</f>
        <v>0</v>
      </c>
      <c r="ERH36" s="17">
        <f>'Form-Sb'!ERL94</f>
        <v>0</v>
      </c>
      <c r="ERI36" s="17">
        <f>'Form-Sb'!ERM94</f>
        <v>0</v>
      </c>
      <c r="ERJ36" s="17">
        <f>'Form-Sb'!ERN94</f>
        <v>0</v>
      </c>
      <c r="ERK36" s="17">
        <f>'Form-Sb'!ERO94</f>
        <v>0</v>
      </c>
      <c r="ERL36" s="17">
        <f>'Form-Sb'!ERP94</f>
        <v>0</v>
      </c>
      <c r="ERM36" s="17">
        <f>'Form-Sb'!ERQ94</f>
        <v>0</v>
      </c>
      <c r="ERN36" s="17">
        <f>'Form-Sb'!ERR94</f>
        <v>0</v>
      </c>
      <c r="ERO36" s="17">
        <f>'Form-Sb'!ERS94</f>
        <v>0</v>
      </c>
      <c r="ERP36" s="17">
        <f>'Form-Sb'!ERT94</f>
        <v>0</v>
      </c>
      <c r="ERQ36" s="17">
        <f>'Form-Sb'!ERU94</f>
        <v>0</v>
      </c>
      <c r="ERR36" s="17">
        <f>'Form-Sb'!ERV94</f>
        <v>0</v>
      </c>
      <c r="ERS36" s="17">
        <f>'Form-Sb'!ERW94</f>
        <v>0</v>
      </c>
      <c r="ERT36" s="17">
        <f>'Form-Sb'!ERX94</f>
        <v>0</v>
      </c>
      <c r="ERU36" s="17">
        <f>'Form-Sb'!ERY94</f>
        <v>0</v>
      </c>
      <c r="ERV36" s="17">
        <f>'Form-Sb'!ERZ94</f>
        <v>0</v>
      </c>
      <c r="ERW36" s="17">
        <f>'Form-Sb'!ESA94</f>
        <v>0</v>
      </c>
      <c r="ERX36" s="17">
        <f>'Form-Sb'!ESB94</f>
        <v>0</v>
      </c>
      <c r="ERY36" s="17">
        <f>'Form-Sb'!ESC94</f>
        <v>0</v>
      </c>
      <c r="ERZ36" s="17">
        <f>'Form-Sb'!ESD94</f>
        <v>0</v>
      </c>
      <c r="ESA36" s="17">
        <f>'Form-Sb'!ESE94</f>
        <v>0</v>
      </c>
      <c r="ESB36" s="17">
        <f>'Form-Sb'!ESF94</f>
        <v>0</v>
      </c>
      <c r="ESC36" s="17">
        <f>'Form-Sb'!ESG94</f>
        <v>0</v>
      </c>
      <c r="ESD36" s="17">
        <f>'Form-Sb'!ESH94</f>
        <v>0</v>
      </c>
      <c r="ESE36" s="17">
        <f>'Form-Sb'!ESI94</f>
        <v>0</v>
      </c>
      <c r="ESF36" s="17">
        <f>'Form-Sb'!ESJ94</f>
        <v>0</v>
      </c>
      <c r="ESG36" s="17">
        <f>'Form-Sb'!ESK94</f>
        <v>0</v>
      </c>
      <c r="ESH36" s="17">
        <f>'Form-Sb'!ESL94</f>
        <v>0</v>
      </c>
      <c r="ESI36" s="17">
        <f>'Form-Sb'!ESM94</f>
        <v>0</v>
      </c>
      <c r="ESJ36" s="17">
        <f>'Form-Sb'!ESN94</f>
        <v>0</v>
      </c>
      <c r="ESK36" s="17">
        <f>'Form-Sb'!ESO94</f>
        <v>0</v>
      </c>
      <c r="ESL36" s="17">
        <f>'Form-Sb'!ESP94</f>
        <v>0</v>
      </c>
      <c r="ESM36" s="17">
        <f>'Form-Sb'!ESQ94</f>
        <v>0</v>
      </c>
      <c r="ESN36" s="17">
        <f>'Form-Sb'!ESR94</f>
        <v>0</v>
      </c>
      <c r="ESO36" s="17">
        <f>'Form-Sb'!ESS94</f>
        <v>0</v>
      </c>
      <c r="ESP36" s="17">
        <f>'Form-Sb'!EST94</f>
        <v>0</v>
      </c>
      <c r="ESQ36" s="17">
        <f>'Form-Sb'!ESU94</f>
        <v>0</v>
      </c>
      <c r="ESR36" s="17">
        <f>'Form-Sb'!ESV94</f>
        <v>0</v>
      </c>
      <c r="ESS36" s="17">
        <f>'Form-Sb'!ESW94</f>
        <v>0</v>
      </c>
      <c r="EST36" s="17">
        <f>'Form-Sb'!ESX94</f>
        <v>0</v>
      </c>
      <c r="ESU36" s="17">
        <f>'Form-Sb'!ESY94</f>
        <v>0</v>
      </c>
      <c r="ESV36" s="17">
        <f>'Form-Sb'!ESZ94</f>
        <v>0</v>
      </c>
      <c r="ESW36" s="17">
        <f>'Form-Sb'!ETA94</f>
        <v>0</v>
      </c>
      <c r="ESX36" s="17">
        <f>'Form-Sb'!ETB94</f>
        <v>0</v>
      </c>
      <c r="ESY36" s="17">
        <f>'Form-Sb'!ETC94</f>
        <v>0</v>
      </c>
      <c r="ESZ36" s="17">
        <f>'Form-Sb'!ETD94</f>
        <v>0</v>
      </c>
      <c r="ETA36" s="17">
        <f>'Form-Sb'!ETE94</f>
        <v>0</v>
      </c>
      <c r="ETB36" s="17">
        <f>'Form-Sb'!ETF94</f>
        <v>0</v>
      </c>
      <c r="ETC36" s="17">
        <f>'Form-Sb'!ETG94</f>
        <v>0</v>
      </c>
      <c r="ETD36" s="17">
        <f>'Form-Sb'!ETH94</f>
        <v>0</v>
      </c>
      <c r="ETE36" s="17">
        <f>'Form-Sb'!ETI94</f>
        <v>0</v>
      </c>
      <c r="ETF36" s="17">
        <f>'Form-Sb'!ETJ94</f>
        <v>0</v>
      </c>
      <c r="ETG36" s="17">
        <f>'Form-Sb'!ETK94</f>
        <v>0</v>
      </c>
      <c r="ETH36" s="17">
        <f>'Form-Sb'!ETL94</f>
        <v>0</v>
      </c>
      <c r="ETI36" s="17">
        <f>'Form-Sb'!ETM94</f>
        <v>0</v>
      </c>
      <c r="ETJ36" s="17">
        <f>'Form-Sb'!ETN94</f>
        <v>0</v>
      </c>
      <c r="ETK36" s="17">
        <f>'Form-Sb'!ETO94</f>
        <v>0</v>
      </c>
      <c r="ETL36" s="17">
        <f>'Form-Sb'!ETP94</f>
        <v>0</v>
      </c>
      <c r="ETM36" s="17">
        <f>'Form-Sb'!ETQ94</f>
        <v>0</v>
      </c>
      <c r="ETN36" s="17">
        <f>'Form-Sb'!ETR94</f>
        <v>0</v>
      </c>
      <c r="ETO36" s="17">
        <f>'Form-Sb'!ETS94</f>
        <v>0</v>
      </c>
      <c r="ETP36" s="17">
        <f>'Form-Sb'!ETT94</f>
        <v>0</v>
      </c>
      <c r="ETQ36" s="17">
        <f>'Form-Sb'!ETU94</f>
        <v>0</v>
      </c>
      <c r="ETR36" s="17">
        <f>'Form-Sb'!ETV94</f>
        <v>0</v>
      </c>
      <c r="ETS36" s="17">
        <f>'Form-Sb'!ETW94</f>
        <v>0</v>
      </c>
      <c r="ETT36" s="17">
        <f>'Form-Sb'!ETX94</f>
        <v>0</v>
      </c>
      <c r="ETU36" s="17">
        <f>'Form-Sb'!ETY94</f>
        <v>0</v>
      </c>
      <c r="ETV36" s="17">
        <f>'Form-Sb'!ETZ94</f>
        <v>0</v>
      </c>
      <c r="ETW36" s="17">
        <f>'Form-Sb'!EUA94</f>
        <v>0</v>
      </c>
      <c r="ETX36" s="17">
        <f>'Form-Sb'!EUB94</f>
        <v>0</v>
      </c>
      <c r="ETY36" s="17">
        <f>'Form-Sb'!EUC94</f>
        <v>0</v>
      </c>
      <c r="ETZ36" s="17">
        <f>'Form-Sb'!EUD94</f>
        <v>0</v>
      </c>
      <c r="EUA36" s="17">
        <f>'Form-Sb'!EUE94</f>
        <v>0</v>
      </c>
      <c r="EUB36" s="17">
        <f>'Form-Sb'!EUF94</f>
        <v>0</v>
      </c>
      <c r="EUC36" s="17">
        <f>'Form-Sb'!EUG94</f>
        <v>0</v>
      </c>
      <c r="EUD36" s="17">
        <f>'Form-Sb'!EUH94</f>
        <v>0</v>
      </c>
      <c r="EUE36" s="17">
        <f>'Form-Sb'!EUI94</f>
        <v>0</v>
      </c>
      <c r="EUF36" s="17">
        <f>'Form-Sb'!EUJ94</f>
        <v>0</v>
      </c>
      <c r="EUG36" s="17">
        <f>'Form-Sb'!EUK94</f>
        <v>0</v>
      </c>
      <c r="EUH36" s="17">
        <f>'Form-Sb'!EUL94</f>
        <v>0</v>
      </c>
      <c r="EUI36" s="17">
        <f>'Form-Sb'!EUM94</f>
        <v>0</v>
      </c>
      <c r="EUJ36" s="17">
        <f>'Form-Sb'!EUN94</f>
        <v>0</v>
      </c>
      <c r="EUK36" s="17">
        <f>'Form-Sb'!EUO94</f>
        <v>0</v>
      </c>
      <c r="EUL36" s="17">
        <f>'Form-Sb'!EUP94</f>
        <v>0</v>
      </c>
      <c r="EUM36" s="17">
        <f>'Form-Sb'!EUQ94</f>
        <v>0</v>
      </c>
      <c r="EUN36" s="17">
        <f>'Form-Sb'!EUR94</f>
        <v>0</v>
      </c>
      <c r="EUO36" s="17">
        <f>'Form-Sb'!EUS94</f>
        <v>0</v>
      </c>
      <c r="EUP36" s="17">
        <f>'Form-Sb'!EUT94</f>
        <v>0</v>
      </c>
      <c r="EUQ36" s="17">
        <f>'Form-Sb'!EUU94</f>
        <v>0</v>
      </c>
      <c r="EUR36" s="17">
        <f>'Form-Sb'!EUV94</f>
        <v>0</v>
      </c>
      <c r="EUS36" s="17">
        <f>'Form-Sb'!EUW94</f>
        <v>0</v>
      </c>
      <c r="EUT36" s="17">
        <f>'Form-Sb'!EUX94</f>
        <v>0</v>
      </c>
      <c r="EUU36" s="17">
        <f>'Form-Sb'!EUY94</f>
        <v>0</v>
      </c>
      <c r="EUV36" s="17">
        <f>'Form-Sb'!EUZ94</f>
        <v>0</v>
      </c>
      <c r="EUW36" s="17">
        <f>'Form-Sb'!EVA94</f>
        <v>0</v>
      </c>
      <c r="EUX36" s="17">
        <f>'Form-Sb'!EVB94</f>
        <v>0</v>
      </c>
      <c r="EUY36" s="17">
        <f>'Form-Sb'!EVC94</f>
        <v>0</v>
      </c>
      <c r="EUZ36" s="17">
        <f>'Form-Sb'!EVD94</f>
        <v>0</v>
      </c>
      <c r="EVA36" s="17">
        <f>'Form-Sb'!EVE94</f>
        <v>0</v>
      </c>
      <c r="EVB36" s="17">
        <f>'Form-Sb'!EVF94</f>
        <v>0</v>
      </c>
      <c r="EVC36" s="17">
        <f>'Form-Sb'!EVG94</f>
        <v>0</v>
      </c>
      <c r="EVD36" s="17">
        <f>'Form-Sb'!EVH94</f>
        <v>0</v>
      </c>
      <c r="EVE36" s="17">
        <f>'Form-Sb'!EVI94</f>
        <v>0</v>
      </c>
      <c r="EVF36" s="17">
        <f>'Form-Sb'!EVJ94</f>
        <v>0</v>
      </c>
      <c r="EVG36" s="17">
        <f>'Form-Sb'!EVK94</f>
        <v>0</v>
      </c>
      <c r="EVH36" s="17">
        <f>'Form-Sb'!EVL94</f>
        <v>0</v>
      </c>
      <c r="EVI36" s="17">
        <f>'Form-Sb'!EVM94</f>
        <v>0</v>
      </c>
      <c r="EVJ36" s="17">
        <f>'Form-Sb'!EVN94</f>
        <v>0</v>
      </c>
      <c r="EVK36" s="17">
        <f>'Form-Sb'!EVO94</f>
        <v>0</v>
      </c>
      <c r="EVL36" s="17">
        <f>'Form-Sb'!EVP94</f>
        <v>0</v>
      </c>
      <c r="EVM36" s="17">
        <f>'Form-Sb'!EVQ94</f>
        <v>0</v>
      </c>
      <c r="EVN36" s="17">
        <f>'Form-Sb'!EVR94</f>
        <v>0</v>
      </c>
      <c r="EVO36" s="17">
        <f>'Form-Sb'!EVS94</f>
        <v>0</v>
      </c>
      <c r="EVP36" s="17">
        <f>'Form-Sb'!EVT94</f>
        <v>0</v>
      </c>
      <c r="EVQ36" s="17">
        <f>'Form-Sb'!EVU94</f>
        <v>0</v>
      </c>
      <c r="EVR36" s="17">
        <f>'Form-Sb'!EVV94</f>
        <v>0</v>
      </c>
      <c r="EVS36" s="17">
        <f>'Form-Sb'!EVW94</f>
        <v>0</v>
      </c>
      <c r="EVT36" s="17">
        <f>'Form-Sb'!EVX94</f>
        <v>0</v>
      </c>
      <c r="EVU36" s="17">
        <f>'Form-Sb'!EVY94</f>
        <v>0</v>
      </c>
      <c r="EVV36" s="17">
        <f>'Form-Sb'!EVZ94</f>
        <v>0</v>
      </c>
      <c r="EVW36" s="17">
        <f>'Form-Sb'!EWA94</f>
        <v>0</v>
      </c>
      <c r="EVX36" s="17">
        <f>'Form-Sb'!EWB94</f>
        <v>0</v>
      </c>
      <c r="EVY36" s="17">
        <f>'Form-Sb'!EWC94</f>
        <v>0</v>
      </c>
      <c r="EVZ36" s="17">
        <f>'Form-Sb'!EWD94</f>
        <v>0</v>
      </c>
      <c r="EWA36" s="17">
        <f>'Form-Sb'!EWE94</f>
        <v>0</v>
      </c>
      <c r="EWB36" s="17">
        <f>'Form-Sb'!EWF94</f>
        <v>0</v>
      </c>
      <c r="EWC36" s="17">
        <f>'Form-Sb'!EWG94</f>
        <v>0</v>
      </c>
      <c r="EWD36" s="17">
        <f>'Form-Sb'!EWH94</f>
        <v>0</v>
      </c>
      <c r="EWE36" s="17">
        <f>'Form-Sb'!EWI94</f>
        <v>0</v>
      </c>
      <c r="EWF36" s="17">
        <f>'Form-Sb'!EWJ94</f>
        <v>0</v>
      </c>
      <c r="EWG36" s="17">
        <f>'Form-Sb'!EWK94</f>
        <v>0</v>
      </c>
      <c r="EWH36" s="17">
        <f>'Form-Sb'!EWL94</f>
        <v>0</v>
      </c>
      <c r="EWI36" s="17">
        <f>'Form-Sb'!EWM94</f>
        <v>0</v>
      </c>
      <c r="EWJ36" s="17">
        <f>'Form-Sb'!EWN94</f>
        <v>0</v>
      </c>
      <c r="EWK36" s="17">
        <f>'Form-Sb'!EWO94</f>
        <v>0</v>
      </c>
      <c r="EWL36" s="17">
        <f>'Form-Sb'!EWP94</f>
        <v>0</v>
      </c>
      <c r="EWM36" s="17">
        <f>'Form-Sb'!EWQ94</f>
        <v>0</v>
      </c>
      <c r="EWN36" s="17">
        <f>'Form-Sb'!EWR94</f>
        <v>0</v>
      </c>
      <c r="EWO36" s="17">
        <f>'Form-Sb'!EWS94</f>
        <v>0</v>
      </c>
      <c r="EWP36" s="17">
        <f>'Form-Sb'!EWT94</f>
        <v>0</v>
      </c>
      <c r="EWQ36" s="17">
        <f>'Form-Sb'!EWU94</f>
        <v>0</v>
      </c>
      <c r="EWR36" s="17">
        <f>'Form-Sb'!EWV94</f>
        <v>0</v>
      </c>
      <c r="EWS36" s="17">
        <f>'Form-Sb'!EWW94</f>
        <v>0</v>
      </c>
      <c r="EWT36" s="17">
        <f>'Form-Sb'!EWX94</f>
        <v>0</v>
      </c>
      <c r="EWU36" s="17">
        <f>'Form-Sb'!EWY94</f>
        <v>0</v>
      </c>
      <c r="EWV36" s="17">
        <f>'Form-Sb'!EWZ94</f>
        <v>0</v>
      </c>
      <c r="EWW36" s="17">
        <f>'Form-Sb'!EXA94</f>
        <v>0</v>
      </c>
      <c r="EWX36" s="17">
        <f>'Form-Sb'!EXB94</f>
        <v>0</v>
      </c>
      <c r="EWY36" s="17">
        <f>'Form-Sb'!EXC94</f>
        <v>0</v>
      </c>
      <c r="EWZ36" s="17">
        <f>'Form-Sb'!EXD94</f>
        <v>0</v>
      </c>
      <c r="EXA36" s="17">
        <f>'Form-Sb'!EXE94</f>
        <v>0</v>
      </c>
      <c r="EXB36" s="17">
        <f>'Form-Sb'!EXF94</f>
        <v>0</v>
      </c>
      <c r="EXC36" s="17">
        <f>'Form-Sb'!EXG94</f>
        <v>0</v>
      </c>
      <c r="EXD36" s="17">
        <f>'Form-Sb'!EXH94</f>
        <v>0</v>
      </c>
      <c r="EXE36" s="17">
        <f>'Form-Sb'!EXI94</f>
        <v>0</v>
      </c>
      <c r="EXF36" s="17">
        <f>'Form-Sb'!EXJ94</f>
        <v>0</v>
      </c>
      <c r="EXG36" s="17">
        <f>'Form-Sb'!EXK94</f>
        <v>0</v>
      </c>
      <c r="EXH36" s="17">
        <f>'Form-Sb'!EXL94</f>
        <v>0</v>
      </c>
      <c r="EXI36" s="17">
        <f>'Form-Sb'!EXM94</f>
        <v>0</v>
      </c>
      <c r="EXJ36" s="17">
        <f>'Form-Sb'!EXN94</f>
        <v>0</v>
      </c>
      <c r="EXK36" s="17">
        <f>'Form-Sb'!EXO94</f>
        <v>0</v>
      </c>
      <c r="EXL36" s="17">
        <f>'Form-Sb'!EXP94</f>
        <v>0</v>
      </c>
      <c r="EXM36" s="17">
        <f>'Form-Sb'!EXQ94</f>
        <v>0</v>
      </c>
      <c r="EXN36" s="17">
        <f>'Form-Sb'!EXR94</f>
        <v>0</v>
      </c>
      <c r="EXO36" s="17">
        <f>'Form-Sb'!EXS94</f>
        <v>0</v>
      </c>
      <c r="EXP36" s="17">
        <f>'Form-Sb'!EXT94</f>
        <v>0</v>
      </c>
      <c r="EXQ36" s="17">
        <f>'Form-Sb'!EXU94</f>
        <v>0</v>
      </c>
      <c r="EXR36" s="17">
        <f>'Form-Sb'!EXV94</f>
        <v>0</v>
      </c>
      <c r="EXS36" s="17">
        <f>'Form-Sb'!EXW94</f>
        <v>0</v>
      </c>
      <c r="EXT36" s="17">
        <f>'Form-Sb'!EXX94</f>
        <v>0</v>
      </c>
      <c r="EXU36" s="17">
        <f>'Form-Sb'!EXY94</f>
        <v>0</v>
      </c>
      <c r="EXV36" s="17">
        <f>'Form-Sb'!EXZ94</f>
        <v>0</v>
      </c>
      <c r="EXW36" s="17">
        <f>'Form-Sb'!EYA94</f>
        <v>0</v>
      </c>
      <c r="EXX36" s="17">
        <f>'Form-Sb'!EYB94</f>
        <v>0</v>
      </c>
      <c r="EXY36" s="17">
        <f>'Form-Sb'!EYC94</f>
        <v>0</v>
      </c>
      <c r="EXZ36" s="17">
        <f>'Form-Sb'!EYD94</f>
        <v>0</v>
      </c>
      <c r="EYA36" s="17">
        <f>'Form-Sb'!EYE94</f>
        <v>0</v>
      </c>
      <c r="EYB36" s="17">
        <f>'Form-Sb'!EYF94</f>
        <v>0</v>
      </c>
      <c r="EYC36" s="17">
        <f>'Form-Sb'!EYG94</f>
        <v>0</v>
      </c>
      <c r="EYD36" s="17">
        <f>'Form-Sb'!EYH94</f>
        <v>0</v>
      </c>
      <c r="EYE36" s="17">
        <f>'Form-Sb'!EYI94</f>
        <v>0</v>
      </c>
      <c r="EYF36" s="17">
        <f>'Form-Sb'!EYJ94</f>
        <v>0</v>
      </c>
      <c r="EYG36" s="17">
        <f>'Form-Sb'!EYK94</f>
        <v>0</v>
      </c>
      <c r="EYH36" s="17">
        <f>'Form-Sb'!EYL94</f>
        <v>0</v>
      </c>
      <c r="EYI36" s="17">
        <f>'Form-Sb'!EYM94</f>
        <v>0</v>
      </c>
      <c r="EYJ36" s="17">
        <f>'Form-Sb'!EYN94</f>
        <v>0</v>
      </c>
      <c r="EYK36" s="17">
        <f>'Form-Sb'!EYO94</f>
        <v>0</v>
      </c>
      <c r="EYL36" s="17">
        <f>'Form-Sb'!EYP94</f>
        <v>0</v>
      </c>
      <c r="EYM36" s="17">
        <f>'Form-Sb'!EYQ94</f>
        <v>0</v>
      </c>
      <c r="EYN36" s="17">
        <f>'Form-Sb'!EYR94</f>
        <v>0</v>
      </c>
      <c r="EYO36" s="17">
        <f>'Form-Sb'!EYS94</f>
        <v>0</v>
      </c>
      <c r="EYP36" s="17">
        <f>'Form-Sb'!EYT94</f>
        <v>0</v>
      </c>
      <c r="EYQ36" s="17">
        <f>'Form-Sb'!EYU94</f>
        <v>0</v>
      </c>
      <c r="EYR36" s="17">
        <f>'Form-Sb'!EYV94</f>
        <v>0</v>
      </c>
      <c r="EYS36" s="17">
        <f>'Form-Sb'!EYW94</f>
        <v>0</v>
      </c>
      <c r="EYT36" s="17">
        <f>'Form-Sb'!EYX94</f>
        <v>0</v>
      </c>
      <c r="EYU36" s="17">
        <f>'Form-Sb'!EYY94</f>
        <v>0</v>
      </c>
      <c r="EYV36" s="17">
        <f>'Form-Sb'!EYZ94</f>
        <v>0</v>
      </c>
      <c r="EYW36" s="17">
        <f>'Form-Sb'!EZA94</f>
        <v>0</v>
      </c>
      <c r="EYX36" s="17">
        <f>'Form-Sb'!EZB94</f>
        <v>0</v>
      </c>
      <c r="EYY36" s="17">
        <f>'Form-Sb'!EZC94</f>
        <v>0</v>
      </c>
      <c r="EYZ36" s="17">
        <f>'Form-Sb'!EZD94</f>
        <v>0</v>
      </c>
      <c r="EZA36" s="17">
        <f>'Form-Sb'!EZE94</f>
        <v>0</v>
      </c>
      <c r="EZB36" s="17">
        <f>'Form-Sb'!EZF94</f>
        <v>0</v>
      </c>
      <c r="EZC36" s="17">
        <f>'Form-Sb'!EZG94</f>
        <v>0</v>
      </c>
      <c r="EZD36" s="17">
        <f>'Form-Sb'!EZH94</f>
        <v>0</v>
      </c>
      <c r="EZE36" s="17">
        <f>'Form-Sb'!EZI94</f>
        <v>0</v>
      </c>
      <c r="EZF36" s="17">
        <f>'Form-Sb'!EZJ94</f>
        <v>0</v>
      </c>
      <c r="EZG36" s="17">
        <f>'Form-Sb'!EZK94</f>
        <v>0</v>
      </c>
      <c r="EZH36" s="17">
        <f>'Form-Sb'!EZL94</f>
        <v>0</v>
      </c>
      <c r="EZI36" s="17">
        <f>'Form-Sb'!EZM94</f>
        <v>0</v>
      </c>
      <c r="EZJ36" s="17">
        <f>'Form-Sb'!EZN94</f>
        <v>0</v>
      </c>
      <c r="EZK36" s="17">
        <f>'Form-Sb'!EZO94</f>
        <v>0</v>
      </c>
      <c r="EZL36" s="17">
        <f>'Form-Sb'!EZP94</f>
        <v>0</v>
      </c>
      <c r="EZM36" s="17">
        <f>'Form-Sb'!EZQ94</f>
        <v>0</v>
      </c>
      <c r="EZN36" s="17">
        <f>'Form-Sb'!EZR94</f>
        <v>0</v>
      </c>
      <c r="EZO36" s="17">
        <f>'Form-Sb'!EZS94</f>
        <v>0</v>
      </c>
      <c r="EZP36" s="17">
        <f>'Form-Sb'!EZT94</f>
        <v>0</v>
      </c>
      <c r="EZQ36" s="17">
        <f>'Form-Sb'!EZU94</f>
        <v>0</v>
      </c>
      <c r="EZR36" s="17">
        <f>'Form-Sb'!EZV94</f>
        <v>0</v>
      </c>
      <c r="EZS36" s="17">
        <f>'Form-Sb'!EZW94</f>
        <v>0</v>
      </c>
      <c r="EZT36" s="17">
        <f>'Form-Sb'!EZX94</f>
        <v>0</v>
      </c>
      <c r="EZU36" s="17">
        <f>'Form-Sb'!EZY94</f>
        <v>0</v>
      </c>
      <c r="EZV36" s="17">
        <f>'Form-Sb'!EZZ94</f>
        <v>0</v>
      </c>
      <c r="EZW36" s="17">
        <f>'Form-Sb'!FAA94</f>
        <v>0</v>
      </c>
      <c r="EZX36" s="17">
        <f>'Form-Sb'!FAB94</f>
        <v>0</v>
      </c>
      <c r="EZY36" s="17">
        <f>'Form-Sb'!FAC94</f>
        <v>0</v>
      </c>
      <c r="EZZ36" s="17">
        <f>'Form-Sb'!FAD94</f>
        <v>0</v>
      </c>
      <c r="FAA36" s="17">
        <f>'Form-Sb'!FAE94</f>
        <v>0</v>
      </c>
      <c r="FAB36" s="17">
        <f>'Form-Sb'!FAF94</f>
        <v>0</v>
      </c>
      <c r="FAC36" s="17">
        <f>'Form-Sb'!FAG94</f>
        <v>0</v>
      </c>
      <c r="FAD36" s="17">
        <f>'Form-Sb'!FAH94</f>
        <v>0</v>
      </c>
      <c r="FAE36" s="17">
        <f>'Form-Sb'!FAI94</f>
        <v>0</v>
      </c>
      <c r="FAF36" s="17">
        <f>'Form-Sb'!FAJ94</f>
        <v>0</v>
      </c>
      <c r="FAG36" s="17">
        <f>'Form-Sb'!FAK94</f>
        <v>0</v>
      </c>
      <c r="FAH36" s="17">
        <f>'Form-Sb'!FAL94</f>
        <v>0</v>
      </c>
      <c r="FAI36" s="17">
        <f>'Form-Sb'!FAM94</f>
        <v>0</v>
      </c>
      <c r="FAJ36" s="17">
        <f>'Form-Sb'!FAN94</f>
        <v>0</v>
      </c>
      <c r="FAK36" s="17">
        <f>'Form-Sb'!FAO94</f>
        <v>0</v>
      </c>
      <c r="FAL36" s="17">
        <f>'Form-Sb'!FAP94</f>
        <v>0</v>
      </c>
      <c r="FAM36" s="17">
        <f>'Form-Sb'!FAQ94</f>
        <v>0</v>
      </c>
      <c r="FAN36" s="17">
        <f>'Form-Sb'!FAR94</f>
        <v>0</v>
      </c>
      <c r="FAO36" s="17">
        <f>'Form-Sb'!FAS94</f>
        <v>0</v>
      </c>
      <c r="FAP36" s="17">
        <f>'Form-Sb'!FAT94</f>
        <v>0</v>
      </c>
      <c r="FAQ36" s="17">
        <f>'Form-Sb'!FAU94</f>
        <v>0</v>
      </c>
      <c r="FAR36" s="17">
        <f>'Form-Sb'!FAV94</f>
        <v>0</v>
      </c>
      <c r="FAS36" s="17">
        <f>'Form-Sb'!FAW94</f>
        <v>0</v>
      </c>
      <c r="FAT36" s="17">
        <f>'Form-Sb'!FAX94</f>
        <v>0</v>
      </c>
      <c r="FAU36" s="17">
        <f>'Form-Sb'!FAY94</f>
        <v>0</v>
      </c>
      <c r="FAV36" s="17">
        <f>'Form-Sb'!FAZ94</f>
        <v>0</v>
      </c>
      <c r="FAW36" s="17">
        <f>'Form-Sb'!FBA94</f>
        <v>0</v>
      </c>
      <c r="FAX36" s="17">
        <f>'Form-Sb'!FBB94</f>
        <v>0</v>
      </c>
      <c r="FAY36" s="17">
        <f>'Form-Sb'!FBC94</f>
        <v>0</v>
      </c>
      <c r="FAZ36" s="17">
        <f>'Form-Sb'!FBD94</f>
        <v>0</v>
      </c>
      <c r="FBA36" s="17">
        <f>'Form-Sb'!FBE94</f>
        <v>0</v>
      </c>
      <c r="FBB36" s="17">
        <f>'Form-Sb'!FBF94</f>
        <v>0</v>
      </c>
      <c r="FBC36" s="17">
        <f>'Form-Sb'!FBG94</f>
        <v>0</v>
      </c>
      <c r="FBD36" s="17">
        <f>'Form-Sb'!FBH94</f>
        <v>0</v>
      </c>
      <c r="FBE36" s="17">
        <f>'Form-Sb'!FBI94</f>
        <v>0</v>
      </c>
      <c r="FBF36" s="17">
        <f>'Form-Sb'!FBJ94</f>
        <v>0</v>
      </c>
      <c r="FBG36" s="17">
        <f>'Form-Sb'!FBK94</f>
        <v>0</v>
      </c>
      <c r="FBH36" s="17">
        <f>'Form-Sb'!FBL94</f>
        <v>0</v>
      </c>
      <c r="FBI36" s="17">
        <f>'Form-Sb'!FBM94</f>
        <v>0</v>
      </c>
      <c r="FBJ36" s="17">
        <f>'Form-Sb'!FBN94</f>
        <v>0</v>
      </c>
      <c r="FBK36" s="17">
        <f>'Form-Sb'!FBO94</f>
        <v>0</v>
      </c>
      <c r="FBL36" s="17">
        <f>'Form-Sb'!FBP94</f>
        <v>0</v>
      </c>
      <c r="FBM36" s="17">
        <f>'Form-Sb'!FBQ94</f>
        <v>0</v>
      </c>
      <c r="FBN36" s="17">
        <f>'Form-Sb'!FBR94</f>
        <v>0</v>
      </c>
      <c r="FBO36" s="17">
        <f>'Form-Sb'!FBS94</f>
        <v>0</v>
      </c>
      <c r="FBP36" s="17">
        <f>'Form-Sb'!FBT94</f>
        <v>0</v>
      </c>
      <c r="FBQ36" s="17">
        <f>'Form-Sb'!FBU94</f>
        <v>0</v>
      </c>
      <c r="FBR36" s="17">
        <f>'Form-Sb'!FBV94</f>
        <v>0</v>
      </c>
      <c r="FBS36" s="17">
        <f>'Form-Sb'!FBW94</f>
        <v>0</v>
      </c>
      <c r="FBT36" s="17">
        <f>'Form-Sb'!FBX94</f>
        <v>0</v>
      </c>
      <c r="FBU36" s="17">
        <f>'Form-Sb'!FBY94</f>
        <v>0</v>
      </c>
      <c r="FBV36" s="17">
        <f>'Form-Sb'!FBZ94</f>
        <v>0</v>
      </c>
      <c r="FBW36" s="17">
        <f>'Form-Sb'!FCA94</f>
        <v>0</v>
      </c>
      <c r="FBX36" s="17">
        <f>'Form-Sb'!FCB94</f>
        <v>0</v>
      </c>
      <c r="FBY36" s="17">
        <f>'Form-Sb'!FCC94</f>
        <v>0</v>
      </c>
      <c r="FBZ36" s="17">
        <f>'Form-Sb'!FCD94</f>
        <v>0</v>
      </c>
      <c r="FCA36" s="17">
        <f>'Form-Sb'!FCE94</f>
        <v>0</v>
      </c>
      <c r="FCB36" s="17">
        <f>'Form-Sb'!FCF94</f>
        <v>0</v>
      </c>
      <c r="FCC36" s="17">
        <f>'Form-Sb'!FCG94</f>
        <v>0</v>
      </c>
      <c r="FCD36" s="17">
        <f>'Form-Sb'!FCH94</f>
        <v>0</v>
      </c>
      <c r="FCE36" s="17">
        <f>'Form-Sb'!FCI94</f>
        <v>0</v>
      </c>
      <c r="FCF36" s="17">
        <f>'Form-Sb'!FCJ94</f>
        <v>0</v>
      </c>
      <c r="FCG36" s="17">
        <f>'Form-Sb'!FCK94</f>
        <v>0</v>
      </c>
      <c r="FCH36" s="17">
        <f>'Form-Sb'!FCL94</f>
        <v>0</v>
      </c>
      <c r="FCI36" s="17">
        <f>'Form-Sb'!FCM94</f>
        <v>0</v>
      </c>
      <c r="FCJ36" s="17">
        <f>'Form-Sb'!FCN94</f>
        <v>0</v>
      </c>
      <c r="FCK36" s="17">
        <f>'Form-Sb'!FCO94</f>
        <v>0</v>
      </c>
      <c r="FCL36" s="17">
        <f>'Form-Sb'!FCP94</f>
        <v>0</v>
      </c>
      <c r="FCM36" s="17">
        <f>'Form-Sb'!FCQ94</f>
        <v>0</v>
      </c>
      <c r="FCN36" s="17">
        <f>'Form-Sb'!FCR94</f>
        <v>0</v>
      </c>
      <c r="FCO36" s="17">
        <f>'Form-Sb'!FCS94</f>
        <v>0</v>
      </c>
      <c r="FCP36" s="17">
        <f>'Form-Sb'!FCT94</f>
        <v>0</v>
      </c>
      <c r="FCQ36" s="17">
        <f>'Form-Sb'!FCU94</f>
        <v>0</v>
      </c>
      <c r="FCR36" s="17">
        <f>'Form-Sb'!FCV94</f>
        <v>0</v>
      </c>
      <c r="FCS36" s="17">
        <f>'Form-Sb'!FCW94</f>
        <v>0</v>
      </c>
      <c r="FCT36" s="17">
        <f>'Form-Sb'!FCX94</f>
        <v>0</v>
      </c>
      <c r="FCU36" s="17">
        <f>'Form-Sb'!FCY94</f>
        <v>0</v>
      </c>
      <c r="FCV36" s="17">
        <f>'Form-Sb'!FCZ94</f>
        <v>0</v>
      </c>
      <c r="FCW36" s="17">
        <f>'Form-Sb'!FDA94</f>
        <v>0</v>
      </c>
      <c r="FCX36" s="17">
        <f>'Form-Sb'!FDB94</f>
        <v>0</v>
      </c>
      <c r="FCY36" s="17">
        <f>'Form-Sb'!FDC94</f>
        <v>0</v>
      </c>
      <c r="FCZ36" s="17">
        <f>'Form-Sb'!FDD94</f>
        <v>0</v>
      </c>
      <c r="FDA36" s="17">
        <f>'Form-Sb'!FDE94</f>
        <v>0</v>
      </c>
      <c r="FDB36" s="17">
        <f>'Form-Sb'!FDF94</f>
        <v>0</v>
      </c>
      <c r="FDC36" s="17">
        <f>'Form-Sb'!FDG94</f>
        <v>0</v>
      </c>
      <c r="FDD36" s="17">
        <f>'Form-Sb'!FDH94</f>
        <v>0</v>
      </c>
      <c r="FDE36" s="17">
        <f>'Form-Sb'!FDI94</f>
        <v>0</v>
      </c>
      <c r="FDF36" s="17">
        <f>'Form-Sb'!FDJ94</f>
        <v>0</v>
      </c>
      <c r="FDG36" s="17">
        <f>'Form-Sb'!FDK94</f>
        <v>0</v>
      </c>
      <c r="FDH36" s="17">
        <f>'Form-Sb'!FDL94</f>
        <v>0</v>
      </c>
      <c r="FDI36" s="17">
        <f>'Form-Sb'!FDM94</f>
        <v>0</v>
      </c>
      <c r="FDJ36" s="17">
        <f>'Form-Sb'!FDN94</f>
        <v>0</v>
      </c>
      <c r="FDK36" s="17">
        <f>'Form-Sb'!FDO94</f>
        <v>0</v>
      </c>
      <c r="FDL36" s="17">
        <f>'Form-Sb'!FDP94</f>
        <v>0</v>
      </c>
      <c r="FDM36" s="17">
        <f>'Form-Sb'!FDQ94</f>
        <v>0</v>
      </c>
      <c r="FDN36" s="17">
        <f>'Form-Sb'!FDR94</f>
        <v>0</v>
      </c>
      <c r="FDO36" s="17">
        <f>'Form-Sb'!FDS94</f>
        <v>0</v>
      </c>
      <c r="FDP36" s="17">
        <f>'Form-Sb'!FDT94</f>
        <v>0</v>
      </c>
      <c r="FDQ36" s="17">
        <f>'Form-Sb'!FDU94</f>
        <v>0</v>
      </c>
      <c r="FDR36" s="17">
        <f>'Form-Sb'!FDV94</f>
        <v>0</v>
      </c>
      <c r="FDS36" s="17">
        <f>'Form-Sb'!FDW94</f>
        <v>0</v>
      </c>
      <c r="FDT36" s="17">
        <f>'Form-Sb'!FDX94</f>
        <v>0</v>
      </c>
      <c r="FDU36" s="17">
        <f>'Form-Sb'!FDY94</f>
        <v>0</v>
      </c>
      <c r="FDV36" s="17">
        <f>'Form-Sb'!FDZ94</f>
        <v>0</v>
      </c>
      <c r="FDW36" s="17">
        <f>'Form-Sb'!FEA94</f>
        <v>0</v>
      </c>
      <c r="FDX36" s="17">
        <f>'Form-Sb'!FEB94</f>
        <v>0</v>
      </c>
      <c r="FDY36" s="17">
        <f>'Form-Sb'!FEC94</f>
        <v>0</v>
      </c>
      <c r="FDZ36" s="17">
        <f>'Form-Sb'!FED94</f>
        <v>0</v>
      </c>
      <c r="FEA36" s="17">
        <f>'Form-Sb'!FEE94</f>
        <v>0</v>
      </c>
      <c r="FEB36" s="17">
        <f>'Form-Sb'!FEF94</f>
        <v>0</v>
      </c>
      <c r="FEC36" s="17">
        <f>'Form-Sb'!FEG94</f>
        <v>0</v>
      </c>
      <c r="FED36" s="17">
        <f>'Form-Sb'!FEH94</f>
        <v>0</v>
      </c>
      <c r="FEE36" s="17">
        <f>'Form-Sb'!FEI94</f>
        <v>0</v>
      </c>
      <c r="FEF36" s="17">
        <f>'Form-Sb'!FEJ94</f>
        <v>0</v>
      </c>
      <c r="FEG36" s="17">
        <f>'Form-Sb'!FEK94</f>
        <v>0</v>
      </c>
      <c r="FEH36" s="17">
        <f>'Form-Sb'!FEL94</f>
        <v>0</v>
      </c>
      <c r="FEI36" s="17">
        <f>'Form-Sb'!FEM94</f>
        <v>0</v>
      </c>
      <c r="FEJ36" s="17">
        <f>'Form-Sb'!FEN94</f>
        <v>0</v>
      </c>
      <c r="FEK36" s="17">
        <f>'Form-Sb'!FEO94</f>
        <v>0</v>
      </c>
      <c r="FEL36" s="17">
        <f>'Form-Sb'!FEP94</f>
        <v>0</v>
      </c>
      <c r="FEM36" s="17">
        <f>'Form-Sb'!FEQ94</f>
        <v>0</v>
      </c>
      <c r="FEN36" s="17">
        <f>'Form-Sb'!FER94</f>
        <v>0</v>
      </c>
      <c r="FEO36" s="17">
        <f>'Form-Sb'!FES94</f>
        <v>0</v>
      </c>
      <c r="FEP36" s="17">
        <f>'Form-Sb'!FET94</f>
        <v>0</v>
      </c>
      <c r="FEQ36" s="17">
        <f>'Form-Sb'!FEU94</f>
        <v>0</v>
      </c>
      <c r="FER36" s="17">
        <f>'Form-Sb'!FEV94</f>
        <v>0</v>
      </c>
      <c r="FES36" s="17">
        <f>'Form-Sb'!FEW94</f>
        <v>0</v>
      </c>
      <c r="FET36" s="17">
        <f>'Form-Sb'!FEX94</f>
        <v>0</v>
      </c>
      <c r="FEU36" s="17">
        <f>'Form-Sb'!FEY94</f>
        <v>0</v>
      </c>
      <c r="FEV36" s="17">
        <f>'Form-Sb'!FEZ94</f>
        <v>0</v>
      </c>
      <c r="FEW36" s="17">
        <f>'Form-Sb'!FFA94</f>
        <v>0</v>
      </c>
      <c r="FEX36" s="17">
        <f>'Form-Sb'!FFB94</f>
        <v>0</v>
      </c>
      <c r="FEY36" s="17">
        <f>'Form-Sb'!FFC94</f>
        <v>0</v>
      </c>
      <c r="FEZ36" s="17">
        <f>'Form-Sb'!FFD94</f>
        <v>0</v>
      </c>
      <c r="FFA36" s="17">
        <f>'Form-Sb'!FFE94</f>
        <v>0</v>
      </c>
      <c r="FFB36" s="17">
        <f>'Form-Sb'!FFF94</f>
        <v>0</v>
      </c>
      <c r="FFC36" s="17">
        <f>'Form-Sb'!FFG94</f>
        <v>0</v>
      </c>
      <c r="FFD36" s="17">
        <f>'Form-Sb'!FFH94</f>
        <v>0</v>
      </c>
      <c r="FFE36" s="17">
        <f>'Form-Sb'!FFI94</f>
        <v>0</v>
      </c>
      <c r="FFF36" s="17">
        <f>'Form-Sb'!FFJ94</f>
        <v>0</v>
      </c>
      <c r="FFG36" s="17">
        <f>'Form-Sb'!FFK94</f>
        <v>0</v>
      </c>
      <c r="FFH36" s="17">
        <f>'Form-Sb'!FFL94</f>
        <v>0</v>
      </c>
      <c r="FFI36" s="17">
        <f>'Form-Sb'!FFM94</f>
        <v>0</v>
      </c>
      <c r="FFJ36" s="17">
        <f>'Form-Sb'!FFN94</f>
        <v>0</v>
      </c>
      <c r="FFK36" s="17">
        <f>'Form-Sb'!FFO94</f>
        <v>0</v>
      </c>
      <c r="FFL36" s="17">
        <f>'Form-Sb'!FFP94</f>
        <v>0</v>
      </c>
      <c r="FFM36" s="17">
        <f>'Form-Sb'!FFQ94</f>
        <v>0</v>
      </c>
      <c r="FFN36" s="17">
        <f>'Form-Sb'!FFR94</f>
        <v>0</v>
      </c>
      <c r="FFO36" s="17">
        <f>'Form-Sb'!FFS94</f>
        <v>0</v>
      </c>
      <c r="FFP36" s="17">
        <f>'Form-Sb'!FFT94</f>
        <v>0</v>
      </c>
      <c r="FFQ36" s="17">
        <f>'Form-Sb'!FFU94</f>
        <v>0</v>
      </c>
      <c r="FFR36" s="17">
        <f>'Form-Sb'!FFV94</f>
        <v>0</v>
      </c>
      <c r="FFS36" s="17">
        <f>'Form-Sb'!FFW94</f>
        <v>0</v>
      </c>
      <c r="FFT36" s="17">
        <f>'Form-Sb'!FFX94</f>
        <v>0</v>
      </c>
      <c r="FFU36" s="17">
        <f>'Form-Sb'!FFY94</f>
        <v>0</v>
      </c>
      <c r="FFV36" s="17">
        <f>'Form-Sb'!FFZ94</f>
        <v>0</v>
      </c>
      <c r="FFW36" s="17">
        <f>'Form-Sb'!FGA94</f>
        <v>0</v>
      </c>
      <c r="FFX36" s="17">
        <f>'Form-Sb'!FGB94</f>
        <v>0</v>
      </c>
      <c r="FFY36" s="17">
        <f>'Form-Sb'!FGC94</f>
        <v>0</v>
      </c>
      <c r="FFZ36" s="17">
        <f>'Form-Sb'!FGD94</f>
        <v>0</v>
      </c>
      <c r="FGA36" s="17">
        <f>'Form-Sb'!FGE94</f>
        <v>0</v>
      </c>
      <c r="FGB36" s="17">
        <f>'Form-Sb'!FGF94</f>
        <v>0</v>
      </c>
      <c r="FGC36" s="17">
        <f>'Form-Sb'!FGG94</f>
        <v>0</v>
      </c>
      <c r="FGD36" s="17">
        <f>'Form-Sb'!FGH94</f>
        <v>0</v>
      </c>
      <c r="FGE36" s="17">
        <f>'Form-Sb'!FGI94</f>
        <v>0</v>
      </c>
      <c r="FGF36" s="17">
        <f>'Form-Sb'!FGJ94</f>
        <v>0</v>
      </c>
      <c r="FGG36" s="17">
        <f>'Form-Sb'!FGK94</f>
        <v>0</v>
      </c>
      <c r="FGH36" s="17">
        <f>'Form-Sb'!FGL94</f>
        <v>0</v>
      </c>
      <c r="FGI36" s="17">
        <f>'Form-Sb'!FGM94</f>
        <v>0</v>
      </c>
      <c r="FGJ36" s="17">
        <f>'Form-Sb'!FGN94</f>
        <v>0</v>
      </c>
      <c r="FGK36" s="17">
        <f>'Form-Sb'!FGO94</f>
        <v>0</v>
      </c>
      <c r="FGL36" s="17">
        <f>'Form-Sb'!FGP94</f>
        <v>0</v>
      </c>
      <c r="FGM36" s="17">
        <f>'Form-Sb'!FGQ94</f>
        <v>0</v>
      </c>
      <c r="FGN36" s="17">
        <f>'Form-Sb'!FGR94</f>
        <v>0</v>
      </c>
      <c r="FGO36" s="17">
        <f>'Form-Sb'!FGS94</f>
        <v>0</v>
      </c>
      <c r="FGP36" s="17">
        <f>'Form-Sb'!FGT94</f>
        <v>0</v>
      </c>
      <c r="FGQ36" s="17">
        <f>'Form-Sb'!FGU94</f>
        <v>0</v>
      </c>
      <c r="FGR36" s="17">
        <f>'Form-Sb'!FGV94</f>
        <v>0</v>
      </c>
      <c r="FGS36" s="17">
        <f>'Form-Sb'!FGW94</f>
        <v>0</v>
      </c>
      <c r="FGT36" s="17">
        <f>'Form-Sb'!FGX94</f>
        <v>0</v>
      </c>
      <c r="FGU36" s="17">
        <f>'Form-Sb'!FGY94</f>
        <v>0</v>
      </c>
      <c r="FGV36" s="17">
        <f>'Form-Sb'!FGZ94</f>
        <v>0</v>
      </c>
      <c r="FGW36" s="17">
        <f>'Form-Sb'!FHA94</f>
        <v>0</v>
      </c>
      <c r="FGX36" s="17">
        <f>'Form-Sb'!FHB94</f>
        <v>0</v>
      </c>
      <c r="FGY36" s="17">
        <f>'Form-Sb'!FHC94</f>
        <v>0</v>
      </c>
      <c r="FGZ36" s="17">
        <f>'Form-Sb'!FHD94</f>
        <v>0</v>
      </c>
      <c r="FHA36" s="17">
        <f>'Form-Sb'!FHE94</f>
        <v>0</v>
      </c>
      <c r="FHB36" s="17">
        <f>'Form-Sb'!FHF94</f>
        <v>0</v>
      </c>
      <c r="FHC36" s="17">
        <f>'Form-Sb'!FHG94</f>
        <v>0</v>
      </c>
      <c r="FHD36" s="17">
        <f>'Form-Sb'!FHH94</f>
        <v>0</v>
      </c>
      <c r="FHE36" s="17">
        <f>'Form-Sb'!FHI94</f>
        <v>0</v>
      </c>
      <c r="FHF36" s="17">
        <f>'Form-Sb'!FHJ94</f>
        <v>0</v>
      </c>
      <c r="FHG36" s="17">
        <f>'Form-Sb'!FHK94</f>
        <v>0</v>
      </c>
      <c r="FHH36" s="17">
        <f>'Form-Sb'!FHL94</f>
        <v>0</v>
      </c>
      <c r="FHI36" s="17">
        <f>'Form-Sb'!FHM94</f>
        <v>0</v>
      </c>
      <c r="FHJ36" s="17">
        <f>'Form-Sb'!FHN94</f>
        <v>0</v>
      </c>
      <c r="FHK36" s="17">
        <f>'Form-Sb'!FHO94</f>
        <v>0</v>
      </c>
      <c r="FHL36" s="17">
        <f>'Form-Sb'!FHP94</f>
        <v>0</v>
      </c>
      <c r="FHM36" s="17">
        <f>'Form-Sb'!FHQ94</f>
        <v>0</v>
      </c>
      <c r="FHN36" s="17">
        <f>'Form-Sb'!FHR94</f>
        <v>0</v>
      </c>
      <c r="FHO36" s="17">
        <f>'Form-Sb'!FHS94</f>
        <v>0</v>
      </c>
      <c r="FHP36" s="17">
        <f>'Form-Sb'!FHT94</f>
        <v>0</v>
      </c>
      <c r="FHQ36" s="17">
        <f>'Form-Sb'!FHU94</f>
        <v>0</v>
      </c>
      <c r="FHR36" s="17">
        <f>'Form-Sb'!FHV94</f>
        <v>0</v>
      </c>
      <c r="FHS36" s="17">
        <f>'Form-Sb'!FHW94</f>
        <v>0</v>
      </c>
      <c r="FHT36" s="17">
        <f>'Form-Sb'!FHX94</f>
        <v>0</v>
      </c>
      <c r="FHU36" s="17">
        <f>'Form-Sb'!FHY94</f>
        <v>0</v>
      </c>
      <c r="FHV36" s="17">
        <f>'Form-Sb'!FHZ94</f>
        <v>0</v>
      </c>
      <c r="FHW36" s="17">
        <f>'Form-Sb'!FIA94</f>
        <v>0</v>
      </c>
      <c r="FHX36" s="17">
        <f>'Form-Sb'!FIB94</f>
        <v>0</v>
      </c>
      <c r="FHY36" s="17">
        <f>'Form-Sb'!FIC94</f>
        <v>0</v>
      </c>
      <c r="FHZ36" s="17">
        <f>'Form-Sb'!FID94</f>
        <v>0</v>
      </c>
      <c r="FIA36" s="17">
        <f>'Form-Sb'!FIE94</f>
        <v>0</v>
      </c>
      <c r="FIB36" s="17">
        <f>'Form-Sb'!FIF94</f>
        <v>0</v>
      </c>
      <c r="FIC36" s="17">
        <f>'Form-Sb'!FIG94</f>
        <v>0</v>
      </c>
      <c r="FID36" s="17">
        <f>'Form-Sb'!FIH94</f>
        <v>0</v>
      </c>
      <c r="FIE36" s="17">
        <f>'Form-Sb'!FII94</f>
        <v>0</v>
      </c>
      <c r="FIF36" s="17">
        <f>'Form-Sb'!FIJ94</f>
        <v>0</v>
      </c>
      <c r="FIG36" s="17">
        <f>'Form-Sb'!FIK94</f>
        <v>0</v>
      </c>
      <c r="FIH36" s="17">
        <f>'Form-Sb'!FIL94</f>
        <v>0</v>
      </c>
      <c r="FII36" s="17">
        <f>'Form-Sb'!FIM94</f>
        <v>0</v>
      </c>
      <c r="FIJ36" s="17">
        <f>'Form-Sb'!FIN94</f>
        <v>0</v>
      </c>
      <c r="FIK36" s="17">
        <f>'Form-Sb'!FIO94</f>
        <v>0</v>
      </c>
      <c r="FIL36" s="17">
        <f>'Form-Sb'!FIP94</f>
        <v>0</v>
      </c>
      <c r="FIM36" s="17">
        <f>'Form-Sb'!FIQ94</f>
        <v>0</v>
      </c>
      <c r="FIN36" s="17">
        <f>'Form-Sb'!FIR94</f>
        <v>0</v>
      </c>
      <c r="FIO36" s="17">
        <f>'Form-Sb'!FIS94</f>
        <v>0</v>
      </c>
      <c r="FIP36" s="17">
        <f>'Form-Sb'!FIT94</f>
        <v>0</v>
      </c>
      <c r="FIQ36" s="17">
        <f>'Form-Sb'!FIU94</f>
        <v>0</v>
      </c>
      <c r="FIR36" s="17">
        <f>'Form-Sb'!FIV94</f>
        <v>0</v>
      </c>
      <c r="FIS36" s="17">
        <f>'Form-Sb'!FIW94</f>
        <v>0</v>
      </c>
      <c r="FIT36" s="17">
        <f>'Form-Sb'!FIX94</f>
        <v>0</v>
      </c>
      <c r="FIU36" s="17">
        <f>'Form-Sb'!FIY94</f>
        <v>0</v>
      </c>
      <c r="FIV36" s="17">
        <f>'Form-Sb'!FIZ94</f>
        <v>0</v>
      </c>
      <c r="FIW36" s="17">
        <f>'Form-Sb'!FJA94</f>
        <v>0</v>
      </c>
      <c r="FIX36" s="17">
        <f>'Form-Sb'!FJB94</f>
        <v>0</v>
      </c>
      <c r="FIY36" s="17">
        <f>'Form-Sb'!FJC94</f>
        <v>0</v>
      </c>
      <c r="FIZ36" s="17">
        <f>'Form-Sb'!FJD94</f>
        <v>0</v>
      </c>
      <c r="FJA36" s="17">
        <f>'Form-Sb'!FJE94</f>
        <v>0</v>
      </c>
      <c r="FJB36" s="17">
        <f>'Form-Sb'!FJF94</f>
        <v>0</v>
      </c>
      <c r="FJC36" s="17">
        <f>'Form-Sb'!FJG94</f>
        <v>0</v>
      </c>
      <c r="FJD36" s="17">
        <f>'Form-Sb'!FJH94</f>
        <v>0</v>
      </c>
      <c r="FJE36" s="17">
        <f>'Form-Sb'!FJI94</f>
        <v>0</v>
      </c>
      <c r="FJF36" s="17">
        <f>'Form-Sb'!FJJ94</f>
        <v>0</v>
      </c>
      <c r="FJG36" s="17">
        <f>'Form-Sb'!FJK94</f>
        <v>0</v>
      </c>
      <c r="FJH36" s="17">
        <f>'Form-Sb'!FJL94</f>
        <v>0</v>
      </c>
      <c r="FJI36" s="17">
        <f>'Form-Sb'!FJM94</f>
        <v>0</v>
      </c>
      <c r="FJJ36" s="17">
        <f>'Form-Sb'!FJN94</f>
        <v>0</v>
      </c>
      <c r="FJK36" s="17">
        <f>'Form-Sb'!FJO94</f>
        <v>0</v>
      </c>
      <c r="FJL36" s="17">
        <f>'Form-Sb'!FJP94</f>
        <v>0</v>
      </c>
      <c r="FJM36" s="17">
        <f>'Form-Sb'!FJQ94</f>
        <v>0</v>
      </c>
      <c r="FJN36" s="17">
        <f>'Form-Sb'!FJR94</f>
        <v>0</v>
      </c>
      <c r="FJO36" s="17">
        <f>'Form-Sb'!FJS94</f>
        <v>0</v>
      </c>
      <c r="FJP36" s="17">
        <f>'Form-Sb'!FJT94</f>
        <v>0</v>
      </c>
      <c r="FJQ36" s="17">
        <f>'Form-Sb'!FJU94</f>
        <v>0</v>
      </c>
      <c r="FJR36" s="17">
        <f>'Form-Sb'!FJV94</f>
        <v>0</v>
      </c>
      <c r="FJS36" s="17">
        <f>'Form-Sb'!FJW94</f>
        <v>0</v>
      </c>
      <c r="FJT36" s="17">
        <f>'Form-Sb'!FJX94</f>
        <v>0</v>
      </c>
      <c r="FJU36" s="17">
        <f>'Form-Sb'!FJY94</f>
        <v>0</v>
      </c>
      <c r="FJV36" s="17">
        <f>'Form-Sb'!FJZ94</f>
        <v>0</v>
      </c>
      <c r="FJW36" s="17">
        <f>'Form-Sb'!FKA94</f>
        <v>0</v>
      </c>
      <c r="FJX36" s="17">
        <f>'Form-Sb'!FKB94</f>
        <v>0</v>
      </c>
      <c r="FJY36" s="17">
        <f>'Form-Sb'!FKC94</f>
        <v>0</v>
      </c>
      <c r="FJZ36" s="17">
        <f>'Form-Sb'!FKD94</f>
        <v>0</v>
      </c>
      <c r="FKA36" s="17">
        <f>'Form-Sb'!FKE94</f>
        <v>0</v>
      </c>
      <c r="FKB36" s="17">
        <f>'Form-Sb'!FKF94</f>
        <v>0</v>
      </c>
      <c r="FKC36" s="17">
        <f>'Form-Sb'!FKG94</f>
        <v>0</v>
      </c>
      <c r="FKD36" s="17">
        <f>'Form-Sb'!FKH94</f>
        <v>0</v>
      </c>
      <c r="FKE36" s="17">
        <f>'Form-Sb'!FKI94</f>
        <v>0</v>
      </c>
      <c r="FKF36" s="17">
        <f>'Form-Sb'!FKJ94</f>
        <v>0</v>
      </c>
      <c r="FKG36" s="17">
        <f>'Form-Sb'!FKK94</f>
        <v>0</v>
      </c>
      <c r="FKH36" s="17">
        <f>'Form-Sb'!FKL94</f>
        <v>0</v>
      </c>
      <c r="FKI36" s="17">
        <f>'Form-Sb'!FKM94</f>
        <v>0</v>
      </c>
      <c r="FKJ36" s="17">
        <f>'Form-Sb'!FKN94</f>
        <v>0</v>
      </c>
      <c r="FKK36" s="17">
        <f>'Form-Sb'!FKO94</f>
        <v>0</v>
      </c>
      <c r="FKL36" s="17">
        <f>'Form-Sb'!FKP94</f>
        <v>0</v>
      </c>
      <c r="FKM36" s="17">
        <f>'Form-Sb'!FKQ94</f>
        <v>0</v>
      </c>
      <c r="FKN36" s="17">
        <f>'Form-Sb'!FKR94</f>
        <v>0</v>
      </c>
      <c r="FKO36" s="17">
        <f>'Form-Sb'!FKS94</f>
        <v>0</v>
      </c>
      <c r="FKP36" s="17">
        <f>'Form-Sb'!FKT94</f>
        <v>0</v>
      </c>
      <c r="FKQ36" s="17">
        <f>'Form-Sb'!FKU94</f>
        <v>0</v>
      </c>
      <c r="FKR36" s="17">
        <f>'Form-Sb'!FKV94</f>
        <v>0</v>
      </c>
      <c r="FKS36" s="17">
        <f>'Form-Sb'!FKW94</f>
        <v>0</v>
      </c>
      <c r="FKT36" s="17">
        <f>'Form-Sb'!FKX94</f>
        <v>0</v>
      </c>
      <c r="FKU36" s="17">
        <f>'Form-Sb'!FKY94</f>
        <v>0</v>
      </c>
      <c r="FKV36" s="17">
        <f>'Form-Sb'!FKZ94</f>
        <v>0</v>
      </c>
      <c r="FKW36" s="17">
        <f>'Form-Sb'!FLA94</f>
        <v>0</v>
      </c>
      <c r="FKX36" s="17">
        <f>'Form-Sb'!FLB94</f>
        <v>0</v>
      </c>
      <c r="FKY36" s="17">
        <f>'Form-Sb'!FLC94</f>
        <v>0</v>
      </c>
      <c r="FKZ36" s="17">
        <f>'Form-Sb'!FLD94</f>
        <v>0</v>
      </c>
      <c r="FLA36" s="17">
        <f>'Form-Sb'!FLE94</f>
        <v>0</v>
      </c>
      <c r="FLB36" s="17">
        <f>'Form-Sb'!FLF94</f>
        <v>0</v>
      </c>
      <c r="FLC36" s="17">
        <f>'Form-Sb'!FLG94</f>
        <v>0</v>
      </c>
      <c r="FLD36" s="17">
        <f>'Form-Sb'!FLH94</f>
        <v>0</v>
      </c>
      <c r="FLE36" s="17">
        <f>'Form-Sb'!FLI94</f>
        <v>0</v>
      </c>
      <c r="FLF36" s="17">
        <f>'Form-Sb'!FLJ94</f>
        <v>0</v>
      </c>
      <c r="FLG36" s="17">
        <f>'Form-Sb'!FLK94</f>
        <v>0</v>
      </c>
      <c r="FLH36" s="17">
        <f>'Form-Sb'!FLL94</f>
        <v>0</v>
      </c>
      <c r="FLI36" s="17">
        <f>'Form-Sb'!FLM94</f>
        <v>0</v>
      </c>
      <c r="FLJ36" s="17">
        <f>'Form-Sb'!FLN94</f>
        <v>0</v>
      </c>
      <c r="FLK36" s="17">
        <f>'Form-Sb'!FLO94</f>
        <v>0</v>
      </c>
      <c r="FLL36" s="17">
        <f>'Form-Sb'!FLP94</f>
        <v>0</v>
      </c>
      <c r="FLM36" s="17">
        <f>'Form-Sb'!FLQ94</f>
        <v>0</v>
      </c>
      <c r="FLN36" s="17">
        <f>'Form-Sb'!FLR94</f>
        <v>0</v>
      </c>
      <c r="FLO36" s="17">
        <f>'Form-Sb'!FLS94</f>
        <v>0</v>
      </c>
      <c r="FLP36" s="17">
        <f>'Form-Sb'!FLT94</f>
        <v>0</v>
      </c>
      <c r="FLQ36" s="17">
        <f>'Form-Sb'!FLU94</f>
        <v>0</v>
      </c>
      <c r="FLR36" s="17">
        <f>'Form-Sb'!FLV94</f>
        <v>0</v>
      </c>
      <c r="FLS36" s="17">
        <f>'Form-Sb'!FLW94</f>
        <v>0</v>
      </c>
      <c r="FLT36" s="17">
        <f>'Form-Sb'!FLX94</f>
        <v>0</v>
      </c>
      <c r="FLU36" s="17">
        <f>'Form-Sb'!FLY94</f>
        <v>0</v>
      </c>
      <c r="FLV36" s="17">
        <f>'Form-Sb'!FLZ94</f>
        <v>0</v>
      </c>
      <c r="FLW36" s="17">
        <f>'Form-Sb'!FMA94</f>
        <v>0</v>
      </c>
      <c r="FLX36" s="17">
        <f>'Form-Sb'!FMB94</f>
        <v>0</v>
      </c>
      <c r="FLY36" s="17">
        <f>'Form-Sb'!FMC94</f>
        <v>0</v>
      </c>
      <c r="FLZ36" s="17">
        <f>'Form-Sb'!FMD94</f>
        <v>0</v>
      </c>
      <c r="FMA36" s="17">
        <f>'Form-Sb'!FME94</f>
        <v>0</v>
      </c>
      <c r="FMB36" s="17">
        <f>'Form-Sb'!FMF94</f>
        <v>0</v>
      </c>
      <c r="FMC36" s="17">
        <f>'Form-Sb'!FMG94</f>
        <v>0</v>
      </c>
      <c r="FMD36" s="17">
        <f>'Form-Sb'!FMH94</f>
        <v>0</v>
      </c>
      <c r="FME36" s="17">
        <f>'Form-Sb'!FMI94</f>
        <v>0</v>
      </c>
      <c r="FMF36" s="17">
        <f>'Form-Sb'!FMJ94</f>
        <v>0</v>
      </c>
      <c r="FMG36" s="17">
        <f>'Form-Sb'!FMK94</f>
        <v>0</v>
      </c>
      <c r="FMH36" s="17">
        <f>'Form-Sb'!FML94</f>
        <v>0</v>
      </c>
      <c r="FMI36" s="17">
        <f>'Form-Sb'!FMM94</f>
        <v>0</v>
      </c>
      <c r="FMJ36" s="17">
        <f>'Form-Sb'!FMN94</f>
        <v>0</v>
      </c>
      <c r="FMK36" s="17">
        <f>'Form-Sb'!FMO94</f>
        <v>0</v>
      </c>
      <c r="FML36" s="17">
        <f>'Form-Sb'!FMP94</f>
        <v>0</v>
      </c>
      <c r="FMM36" s="17">
        <f>'Form-Sb'!FMQ94</f>
        <v>0</v>
      </c>
      <c r="FMN36" s="17">
        <f>'Form-Sb'!FMR94</f>
        <v>0</v>
      </c>
      <c r="FMO36" s="17">
        <f>'Form-Sb'!FMS94</f>
        <v>0</v>
      </c>
      <c r="FMP36" s="17">
        <f>'Form-Sb'!FMT94</f>
        <v>0</v>
      </c>
      <c r="FMQ36" s="17">
        <f>'Form-Sb'!FMU94</f>
        <v>0</v>
      </c>
      <c r="FMR36" s="17">
        <f>'Form-Sb'!FMV94</f>
        <v>0</v>
      </c>
      <c r="FMS36" s="17">
        <f>'Form-Sb'!FMW94</f>
        <v>0</v>
      </c>
      <c r="FMT36" s="17">
        <f>'Form-Sb'!FMX94</f>
        <v>0</v>
      </c>
      <c r="FMU36" s="17">
        <f>'Form-Sb'!FMY94</f>
        <v>0</v>
      </c>
      <c r="FMV36" s="17">
        <f>'Form-Sb'!FMZ94</f>
        <v>0</v>
      </c>
      <c r="FMW36" s="17">
        <f>'Form-Sb'!FNA94</f>
        <v>0</v>
      </c>
      <c r="FMX36" s="17">
        <f>'Form-Sb'!FNB94</f>
        <v>0</v>
      </c>
      <c r="FMY36" s="17">
        <f>'Form-Sb'!FNC94</f>
        <v>0</v>
      </c>
      <c r="FMZ36" s="17">
        <f>'Form-Sb'!FND94</f>
        <v>0</v>
      </c>
      <c r="FNA36" s="17">
        <f>'Form-Sb'!FNE94</f>
        <v>0</v>
      </c>
      <c r="FNB36" s="17">
        <f>'Form-Sb'!FNF94</f>
        <v>0</v>
      </c>
      <c r="FNC36" s="17">
        <f>'Form-Sb'!FNG94</f>
        <v>0</v>
      </c>
      <c r="FND36" s="17">
        <f>'Form-Sb'!FNH94</f>
        <v>0</v>
      </c>
      <c r="FNE36" s="17">
        <f>'Form-Sb'!FNI94</f>
        <v>0</v>
      </c>
      <c r="FNF36" s="17">
        <f>'Form-Sb'!FNJ94</f>
        <v>0</v>
      </c>
      <c r="FNG36" s="17">
        <f>'Form-Sb'!FNK94</f>
        <v>0</v>
      </c>
      <c r="FNH36" s="17">
        <f>'Form-Sb'!FNL94</f>
        <v>0</v>
      </c>
      <c r="FNI36" s="17">
        <f>'Form-Sb'!FNM94</f>
        <v>0</v>
      </c>
      <c r="FNJ36" s="17">
        <f>'Form-Sb'!FNN94</f>
        <v>0</v>
      </c>
      <c r="FNK36" s="17">
        <f>'Form-Sb'!FNO94</f>
        <v>0</v>
      </c>
      <c r="FNL36" s="17">
        <f>'Form-Sb'!FNP94</f>
        <v>0</v>
      </c>
      <c r="FNM36" s="17">
        <f>'Form-Sb'!FNQ94</f>
        <v>0</v>
      </c>
      <c r="FNN36" s="17">
        <f>'Form-Sb'!FNR94</f>
        <v>0</v>
      </c>
      <c r="FNO36" s="17">
        <f>'Form-Sb'!FNS94</f>
        <v>0</v>
      </c>
      <c r="FNP36" s="17">
        <f>'Form-Sb'!FNT94</f>
        <v>0</v>
      </c>
      <c r="FNQ36" s="17">
        <f>'Form-Sb'!FNU94</f>
        <v>0</v>
      </c>
      <c r="FNR36" s="17">
        <f>'Form-Sb'!FNV94</f>
        <v>0</v>
      </c>
      <c r="FNS36" s="17">
        <f>'Form-Sb'!FNW94</f>
        <v>0</v>
      </c>
      <c r="FNT36" s="17">
        <f>'Form-Sb'!FNX94</f>
        <v>0</v>
      </c>
      <c r="FNU36" s="17">
        <f>'Form-Sb'!FNY94</f>
        <v>0</v>
      </c>
      <c r="FNV36" s="17">
        <f>'Form-Sb'!FNZ94</f>
        <v>0</v>
      </c>
      <c r="FNW36" s="17">
        <f>'Form-Sb'!FOA94</f>
        <v>0</v>
      </c>
      <c r="FNX36" s="17">
        <f>'Form-Sb'!FOB94</f>
        <v>0</v>
      </c>
      <c r="FNY36" s="17">
        <f>'Form-Sb'!FOC94</f>
        <v>0</v>
      </c>
      <c r="FNZ36" s="17">
        <f>'Form-Sb'!FOD94</f>
        <v>0</v>
      </c>
      <c r="FOA36" s="17">
        <f>'Form-Sb'!FOE94</f>
        <v>0</v>
      </c>
      <c r="FOB36" s="17">
        <f>'Form-Sb'!FOF94</f>
        <v>0</v>
      </c>
      <c r="FOC36" s="17">
        <f>'Form-Sb'!FOG94</f>
        <v>0</v>
      </c>
      <c r="FOD36" s="17">
        <f>'Form-Sb'!FOH94</f>
        <v>0</v>
      </c>
      <c r="FOE36" s="17">
        <f>'Form-Sb'!FOI94</f>
        <v>0</v>
      </c>
      <c r="FOF36" s="17">
        <f>'Form-Sb'!FOJ94</f>
        <v>0</v>
      </c>
      <c r="FOG36" s="17">
        <f>'Form-Sb'!FOK94</f>
        <v>0</v>
      </c>
      <c r="FOH36" s="17">
        <f>'Form-Sb'!FOL94</f>
        <v>0</v>
      </c>
      <c r="FOI36" s="17">
        <f>'Form-Sb'!FOM94</f>
        <v>0</v>
      </c>
      <c r="FOJ36" s="17">
        <f>'Form-Sb'!FON94</f>
        <v>0</v>
      </c>
      <c r="FOK36" s="17">
        <f>'Form-Sb'!FOO94</f>
        <v>0</v>
      </c>
      <c r="FOL36" s="17">
        <f>'Form-Sb'!FOP94</f>
        <v>0</v>
      </c>
      <c r="FOM36" s="17">
        <f>'Form-Sb'!FOQ94</f>
        <v>0</v>
      </c>
      <c r="FON36" s="17">
        <f>'Form-Sb'!FOR94</f>
        <v>0</v>
      </c>
      <c r="FOO36" s="17">
        <f>'Form-Sb'!FOS94</f>
        <v>0</v>
      </c>
      <c r="FOP36" s="17">
        <f>'Form-Sb'!FOT94</f>
        <v>0</v>
      </c>
      <c r="FOQ36" s="17">
        <f>'Form-Sb'!FOU94</f>
        <v>0</v>
      </c>
      <c r="FOR36" s="17">
        <f>'Form-Sb'!FOV94</f>
        <v>0</v>
      </c>
      <c r="FOS36" s="17">
        <f>'Form-Sb'!FOW94</f>
        <v>0</v>
      </c>
      <c r="FOT36" s="17">
        <f>'Form-Sb'!FOX94</f>
        <v>0</v>
      </c>
      <c r="FOU36" s="17">
        <f>'Form-Sb'!FOY94</f>
        <v>0</v>
      </c>
      <c r="FOV36" s="17">
        <f>'Form-Sb'!FOZ94</f>
        <v>0</v>
      </c>
      <c r="FOW36" s="17">
        <f>'Form-Sb'!FPA94</f>
        <v>0</v>
      </c>
      <c r="FOX36" s="17">
        <f>'Form-Sb'!FPB94</f>
        <v>0</v>
      </c>
      <c r="FOY36" s="17">
        <f>'Form-Sb'!FPC94</f>
        <v>0</v>
      </c>
      <c r="FOZ36" s="17">
        <f>'Form-Sb'!FPD94</f>
        <v>0</v>
      </c>
      <c r="FPA36" s="17">
        <f>'Form-Sb'!FPE94</f>
        <v>0</v>
      </c>
      <c r="FPB36" s="17">
        <f>'Form-Sb'!FPF94</f>
        <v>0</v>
      </c>
      <c r="FPC36" s="17">
        <f>'Form-Sb'!FPG94</f>
        <v>0</v>
      </c>
      <c r="FPD36" s="17">
        <f>'Form-Sb'!FPH94</f>
        <v>0</v>
      </c>
      <c r="FPE36" s="17">
        <f>'Form-Sb'!FPI94</f>
        <v>0</v>
      </c>
      <c r="FPF36" s="17">
        <f>'Form-Sb'!FPJ94</f>
        <v>0</v>
      </c>
      <c r="FPG36" s="17">
        <f>'Form-Sb'!FPK94</f>
        <v>0</v>
      </c>
      <c r="FPH36" s="17">
        <f>'Form-Sb'!FPL94</f>
        <v>0</v>
      </c>
      <c r="FPI36" s="17">
        <f>'Form-Sb'!FPM94</f>
        <v>0</v>
      </c>
      <c r="FPJ36" s="17">
        <f>'Form-Sb'!FPN94</f>
        <v>0</v>
      </c>
      <c r="FPK36" s="17">
        <f>'Form-Sb'!FPO94</f>
        <v>0</v>
      </c>
      <c r="FPL36" s="17">
        <f>'Form-Sb'!FPP94</f>
        <v>0</v>
      </c>
      <c r="FPM36" s="17">
        <f>'Form-Sb'!FPQ94</f>
        <v>0</v>
      </c>
      <c r="FPN36" s="17">
        <f>'Form-Sb'!FPR94</f>
        <v>0</v>
      </c>
      <c r="FPO36" s="17">
        <f>'Form-Sb'!FPS94</f>
        <v>0</v>
      </c>
      <c r="FPP36" s="17">
        <f>'Form-Sb'!FPT94</f>
        <v>0</v>
      </c>
      <c r="FPQ36" s="17">
        <f>'Form-Sb'!FPU94</f>
        <v>0</v>
      </c>
      <c r="FPR36" s="17">
        <f>'Form-Sb'!FPV94</f>
        <v>0</v>
      </c>
      <c r="FPS36" s="17">
        <f>'Form-Sb'!FPW94</f>
        <v>0</v>
      </c>
      <c r="FPT36" s="17">
        <f>'Form-Sb'!FPX94</f>
        <v>0</v>
      </c>
      <c r="FPU36" s="17">
        <f>'Form-Sb'!FPY94</f>
        <v>0</v>
      </c>
      <c r="FPV36" s="17">
        <f>'Form-Sb'!FPZ94</f>
        <v>0</v>
      </c>
      <c r="FPW36" s="17">
        <f>'Form-Sb'!FQA94</f>
        <v>0</v>
      </c>
      <c r="FPX36" s="17">
        <f>'Form-Sb'!FQB94</f>
        <v>0</v>
      </c>
      <c r="FPY36" s="17">
        <f>'Form-Sb'!FQC94</f>
        <v>0</v>
      </c>
      <c r="FPZ36" s="17">
        <f>'Form-Sb'!FQD94</f>
        <v>0</v>
      </c>
      <c r="FQA36" s="17">
        <f>'Form-Sb'!FQE94</f>
        <v>0</v>
      </c>
      <c r="FQB36" s="17">
        <f>'Form-Sb'!FQF94</f>
        <v>0</v>
      </c>
      <c r="FQC36" s="17">
        <f>'Form-Sb'!FQG94</f>
        <v>0</v>
      </c>
      <c r="FQD36" s="17">
        <f>'Form-Sb'!FQH94</f>
        <v>0</v>
      </c>
      <c r="FQE36" s="17">
        <f>'Form-Sb'!FQI94</f>
        <v>0</v>
      </c>
      <c r="FQF36" s="17">
        <f>'Form-Sb'!FQJ94</f>
        <v>0</v>
      </c>
      <c r="FQG36" s="17">
        <f>'Form-Sb'!FQK94</f>
        <v>0</v>
      </c>
      <c r="FQH36" s="17">
        <f>'Form-Sb'!FQL94</f>
        <v>0</v>
      </c>
      <c r="FQI36" s="17">
        <f>'Form-Sb'!FQM94</f>
        <v>0</v>
      </c>
      <c r="FQJ36" s="17">
        <f>'Form-Sb'!FQN94</f>
        <v>0</v>
      </c>
      <c r="FQK36" s="17">
        <f>'Form-Sb'!FQO94</f>
        <v>0</v>
      </c>
      <c r="FQL36" s="17">
        <f>'Form-Sb'!FQP94</f>
        <v>0</v>
      </c>
      <c r="FQM36" s="17">
        <f>'Form-Sb'!FQQ94</f>
        <v>0</v>
      </c>
      <c r="FQN36" s="17">
        <f>'Form-Sb'!FQR94</f>
        <v>0</v>
      </c>
      <c r="FQO36" s="17">
        <f>'Form-Sb'!FQS94</f>
        <v>0</v>
      </c>
      <c r="FQP36" s="17">
        <f>'Form-Sb'!FQT94</f>
        <v>0</v>
      </c>
      <c r="FQQ36" s="17">
        <f>'Form-Sb'!FQU94</f>
        <v>0</v>
      </c>
      <c r="FQR36" s="17">
        <f>'Form-Sb'!FQV94</f>
        <v>0</v>
      </c>
      <c r="FQS36" s="17">
        <f>'Form-Sb'!FQW94</f>
        <v>0</v>
      </c>
      <c r="FQT36" s="17">
        <f>'Form-Sb'!FQX94</f>
        <v>0</v>
      </c>
      <c r="FQU36" s="17">
        <f>'Form-Sb'!FQY94</f>
        <v>0</v>
      </c>
      <c r="FQV36" s="17">
        <f>'Form-Sb'!FQZ94</f>
        <v>0</v>
      </c>
      <c r="FQW36" s="17">
        <f>'Form-Sb'!FRA94</f>
        <v>0</v>
      </c>
      <c r="FQX36" s="17">
        <f>'Form-Sb'!FRB94</f>
        <v>0</v>
      </c>
      <c r="FQY36" s="17">
        <f>'Form-Sb'!FRC94</f>
        <v>0</v>
      </c>
      <c r="FQZ36" s="17">
        <f>'Form-Sb'!FRD94</f>
        <v>0</v>
      </c>
      <c r="FRA36" s="17">
        <f>'Form-Sb'!FRE94</f>
        <v>0</v>
      </c>
      <c r="FRB36" s="17">
        <f>'Form-Sb'!FRF94</f>
        <v>0</v>
      </c>
      <c r="FRC36" s="17">
        <f>'Form-Sb'!FRG94</f>
        <v>0</v>
      </c>
      <c r="FRD36" s="17">
        <f>'Form-Sb'!FRH94</f>
        <v>0</v>
      </c>
      <c r="FRE36" s="17">
        <f>'Form-Sb'!FRI94</f>
        <v>0</v>
      </c>
      <c r="FRF36" s="17">
        <f>'Form-Sb'!FRJ94</f>
        <v>0</v>
      </c>
      <c r="FRG36" s="17">
        <f>'Form-Sb'!FRK94</f>
        <v>0</v>
      </c>
      <c r="FRH36" s="17">
        <f>'Form-Sb'!FRL94</f>
        <v>0</v>
      </c>
      <c r="FRI36" s="17">
        <f>'Form-Sb'!FRM94</f>
        <v>0</v>
      </c>
      <c r="FRJ36" s="17">
        <f>'Form-Sb'!FRN94</f>
        <v>0</v>
      </c>
      <c r="FRK36" s="17">
        <f>'Form-Sb'!FRO94</f>
        <v>0</v>
      </c>
      <c r="FRL36" s="17">
        <f>'Form-Sb'!FRP94</f>
        <v>0</v>
      </c>
      <c r="FRM36" s="17">
        <f>'Form-Sb'!FRQ94</f>
        <v>0</v>
      </c>
      <c r="FRN36" s="17">
        <f>'Form-Sb'!FRR94</f>
        <v>0</v>
      </c>
      <c r="FRO36" s="17">
        <f>'Form-Sb'!FRS94</f>
        <v>0</v>
      </c>
      <c r="FRP36" s="17">
        <f>'Form-Sb'!FRT94</f>
        <v>0</v>
      </c>
      <c r="FRQ36" s="17">
        <f>'Form-Sb'!FRU94</f>
        <v>0</v>
      </c>
      <c r="FRR36" s="17">
        <f>'Form-Sb'!FRV94</f>
        <v>0</v>
      </c>
      <c r="FRS36" s="17">
        <f>'Form-Sb'!FRW94</f>
        <v>0</v>
      </c>
      <c r="FRT36" s="17">
        <f>'Form-Sb'!FRX94</f>
        <v>0</v>
      </c>
      <c r="FRU36" s="17">
        <f>'Form-Sb'!FRY94</f>
        <v>0</v>
      </c>
      <c r="FRV36" s="17">
        <f>'Form-Sb'!FRZ94</f>
        <v>0</v>
      </c>
      <c r="FRW36" s="17">
        <f>'Form-Sb'!FSA94</f>
        <v>0</v>
      </c>
      <c r="FRX36" s="17">
        <f>'Form-Sb'!FSB94</f>
        <v>0</v>
      </c>
      <c r="FRY36" s="17">
        <f>'Form-Sb'!FSC94</f>
        <v>0</v>
      </c>
      <c r="FRZ36" s="17">
        <f>'Form-Sb'!FSD94</f>
        <v>0</v>
      </c>
      <c r="FSA36" s="17">
        <f>'Form-Sb'!FSE94</f>
        <v>0</v>
      </c>
      <c r="FSB36" s="17">
        <f>'Form-Sb'!FSF94</f>
        <v>0</v>
      </c>
      <c r="FSC36" s="17">
        <f>'Form-Sb'!FSG94</f>
        <v>0</v>
      </c>
      <c r="FSD36" s="17">
        <f>'Form-Sb'!FSH94</f>
        <v>0</v>
      </c>
      <c r="FSE36" s="17">
        <f>'Form-Sb'!FSI94</f>
        <v>0</v>
      </c>
      <c r="FSF36" s="17">
        <f>'Form-Sb'!FSJ94</f>
        <v>0</v>
      </c>
      <c r="FSG36" s="17">
        <f>'Form-Sb'!FSK94</f>
        <v>0</v>
      </c>
      <c r="FSH36" s="17">
        <f>'Form-Sb'!FSL94</f>
        <v>0</v>
      </c>
      <c r="FSI36" s="17">
        <f>'Form-Sb'!FSM94</f>
        <v>0</v>
      </c>
      <c r="FSJ36" s="17">
        <f>'Form-Sb'!FSN94</f>
        <v>0</v>
      </c>
      <c r="FSK36" s="17">
        <f>'Form-Sb'!FSO94</f>
        <v>0</v>
      </c>
      <c r="FSL36" s="17">
        <f>'Form-Sb'!FSP94</f>
        <v>0</v>
      </c>
      <c r="FSM36" s="17">
        <f>'Form-Sb'!FSQ94</f>
        <v>0</v>
      </c>
      <c r="FSN36" s="17">
        <f>'Form-Sb'!FSR94</f>
        <v>0</v>
      </c>
      <c r="FSO36" s="17">
        <f>'Form-Sb'!FSS94</f>
        <v>0</v>
      </c>
      <c r="FSP36" s="17">
        <f>'Form-Sb'!FST94</f>
        <v>0</v>
      </c>
      <c r="FSQ36" s="17">
        <f>'Form-Sb'!FSU94</f>
        <v>0</v>
      </c>
      <c r="FSR36" s="17">
        <f>'Form-Sb'!FSV94</f>
        <v>0</v>
      </c>
      <c r="FSS36" s="17">
        <f>'Form-Sb'!FSW94</f>
        <v>0</v>
      </c>
      <c r="FST36" s="17">
        <f>'Form-Sb'!FSX94</f>
        <v>0</v>
      </c>
      <c r="FSU36" s="17">
        <f>'Form-Sb'!FSY94</f>
        <v>0</v>
      </c>
      <c r="FSV36" s="17">
        <f>'Form-Sb'!FSZ94</f>
        <v>0</v>
      </c>
      <c r="FSW36" s="17">
        <f>'Form-Sb'!FTA94</f>
        <v>0</v>
      </c>
      <c r="FSX36" s="17">
        <f>'Form-Sb'!FTB94</f>
        <v>0</v>
      </c>
      <c r="FSY36" s="17">
        <f>'Form-Sb'!FTC94</f>
        <v>0</v>
      </c>
      <c r="FSZ36" s="17">
        <f>'Form-Sb'!FTD94</f>
        <v>0</v>
      </c>
      <c r="FTA36" s="17">
        <f>'Form-Sb'!FTE94</f>
        <v>0</v>
      </c>
      <c r="FTB36" s="17">
        <f>'Form-Sb'!FTF94</f>
        <v>0</v>
      </c>
      <c r="FTC36" s="17">
        <f>'Form-Sb'!FTG94</f>
        <v>0</v>
      </c>
      <c r="FTD36" s="17">
        <f>'Form-Sb'!FTH94</f>
        <v>0</v>
      </c>
      <c r="FTE36" s="17">
        <f>'Form-Sb'!FTI94</f>
        <v>0</v>
      </c>
      <c r="FTF36" s="17">
        <f>'Form-Sb'!FTJ94</f>
        <v>0</v>
      </c>
      <c r="FTG36" s="17">
        <f>'Form-Sb'!FTK94</f>
        <v>0</v>
      </c>
      <c r="FTH36" s="17">
        <f>'Form-Sb'!FTL94</f>
        <v>0</v>
      </c>
      <c r="FTI36" s="17">
        <f>'Form-Sb'!FTM94</f>
        <v>0</v>
      </c>
      <c r="FTJ36" s="17">
        <f>'Form-Sb'!FTN94</f>
        <v>0</v>
      </c>
      <c r="FTK36" s="17">
        <f>'Form-Sb'!FTO94</f>
        <v>0</v>
      </c>
      <c r="FTL36" s="17">
        <f>'Form-Sb'!FTP94</f>
        <v>0</v>
      </c>
      <c r="FTM36" s="17">
        <f>'Form-Sb'!FTQ94</f>
        <v>0</v>
      </c>
      <c r="FTN36" s="17">
        <f>'Form-Sb'!FTR94</f>
        <v>0</v>
      </c>
      <c r="FTO36" s="17">
        <f>'Form-Sb'!FTS94</f>
        <v>0</v>
      </c>
      <c r="FTP36" s="17">
        <f>'Form-Sb'!FTT94</f>
        <v>0</v>
      </c>
      <c r="FTQ36" s="17">
        <f>'Form-Sb'!FTU94</f>
        <v>0</v>
      </c>
      <c r="FTR36" s="17">
        <f>'Form-Sb'!FTV94</f>
        <v>0</v>
      </c>
      <c r="FTS36" s="17">
        <f>'Form-Sb'!FTW94</f>
        <v>0</v>
      </c>
      <c r="FTT36" s="17">
        <f>'Form-Sb'!FTX94</f>
        <v>0</v>
      </c>
      <c r="FTU36" s="17">
        <f>'Form-Sb'!FTY94</f>
        <v>0</v>
      </c>
      <c r="FTV36" s="17">
        <f>'Form-Sb'!FTZ94</f>
        <v>0</v>
      </c>
      <c r="FTW36" s="17">
        <f>'Form-Sb'!FUA94</f>
        <v>0</v>
      </c>
      <c r="FTX36" s="17">
        <f>'Form-Sb'!FUB94</f>
        <v>0</v>
      </c>
      <c r="FTY36" s="17">
        <f>'Form-Sb'!FUC94</f>
        <v>0</v>
      </c>
      <c r="FTZ36" s="17">
        <f>'Form-Sb'!FUD94</f>
        <v>0</v>
      </c>
      <c r="FUA36" s="17">
        <f>'Form-Sb'!FUE94</f>
        <v>0</v>
      </c>
      <c r="FUB36" s="17">
        <f>'Form-Sb'!FUF94</f>
        <v>0</v>
      </c>
      <c r="FUC36" s="17">
        <f>'Form-Sb'!FUG94</f>
        <v>0</v>
      </c>
      <c r="FUD36" s="17">
        <f>'Form-Sb'!FUH94</f>
        <v>0</v>
      </c>
      <c r="FUE36" s="17">
        <f>'Form-Sb'!FUI94</f>
        <v>0</v>
      </c>
      <c r="FUF36" s="17">
        <f>'Form-Sb'!FUJ94</f>
        <v>0</v>
      </c>
      <c r="FUG36" s="17">
        <f>'Form-Sb'!FUK94</f>
        <v>0</v>
      </c>
      <c r="FUH36" s="17">
        <f>'Form-Sb'!FUL94</f>
        <v>0</v>
      </c>
      <c r="FUI36" s="17">
        <f>'Form-Sb'!FUM94</f>
        <v>0</v>
      </c>
      <c r="FUJ36" s="17">
        <f>'Form-Sb'!FUN94</f>
        <v>0</v>
      </c>
      <c r="FUK36" s="17">
        <f>'Form-Sb'!FUO94</f>
        <v>0</v>
      </c>
      <c r="FUL36" s="17">
        <f>'Form-Sb'!FUP94</f>
        <v>0</v>
      </c>
      <c r="FUM36" s="17">
        <f>'Form-Sb'!FUQ94</f>
        <v>0</v>
      </c>
      <c r="FUN36" s="17">
        <f>'Form-Sb'!FUR94</f>
        <v>0</v>
      </c>
      <c r="FUO36" s="17">
        <f>'Form-Sb'!FUS94</f>
        <v>0</v>
      </c>
      <c r="FUP36" s="17">
        <f>'Form-Sb'!FUT94</f>
        <v>0</v>
      </c>
      <c r="FUQ36" s="17">
        <f>'Form-Sb'!FUU94</f>
        <v>0</v>
      </c>
      <c r="FUR36" s="17">
        <f>'Form-Sb'!FUV94</f>
        <v>0</v>
      </c>
      <c r="FUS36" s="17">
        <f>'Form-Sb'!FUW94</f>
        <v>0</v>
      </c>
      <c r="FUT36" s="17">
        <f>'Form-Sb'!FUX94</f>
        <v>0</v>
      </c>
      <c r="FUU36" s="17">
        <f>'Form-Sb'!FUY94</f>
        <v>0</v>
      </c>
      <c r="FUV36" s="17">
        <f>'Form-Sb'!FUZ94</f>
        <v>0</v>
      </c>
      <c r="FUW36" s="17">
        <f>'Form-Sb'!FVA94</f>
        <v>0</v>
      </c>
      <c r="FUX36" s="17">
        <f>'Form-Sb'!FVB94</f>
        <v>0</v>
      </c>
      <c r="FUY36" s="17">
        <f>'Form-Sb'!FVC94</f>
        <v>0</v>
      </c>
      <c r="FUZ36" s="17">
        <f>'Form-Sb'!FVD94</f>
        <v>0</v>
      </c>
      <c r="FVA36" s="17">
        <f>'Form-Sb'!FVE94</f>
        <v>0</v>
      </c>
      <c r="FVB36" s="17">
        <f>'Form-Sb'!FVF94</f>
        <v>0</v>
      </c>
      <c r="FVC36" s="17">
        <f>'Form-Sb'!FVG94</f>
        <v>0</v>
      </c>
      <c r="FVD36" s="17">
        <f>'Form-Sb'!FVH94</f>
        <v>0</v>
      </c>
      <c r="FVE36" s="17">
        <f>'Form-Sb'!FVI94</f>
        <v>0</v>
      </c>
      <c r="FVF36" s="17">
        <f>'Form-Sb'!FVJ94</f>
        <v>0</v>
      </c>
      <c r="FVG36" s="17">
        <f>'Form-Sb'!FVK94</f>
        <v>0</v>
      </c>
      <c r="FVH36" s="17">
        <f>'Form-Sb'!FVL94</f>
        <v>0</v>
      </c>
      <c r="FVI36" s="17">
        <f>'Form-Sb'!FVM94</f>
        <v>0</v>
      </c>
      <c r="FVJ36" s="17">
        <f>'Form-Sb'!FVN94</f>
        <v>0</v>
      </c>
      <c r="FVK36" s="17">
        <f>'Form-Sb'!FVO94</f>
        <v>0</v>
      </c>
      <c r="FVL36" s="17">
        <f>'Form-Sb'!FVP94</f>
        <v>0</v>
      </c>
      <c r="FVM36" s="17">
        <f>'Form-Sb'!FVQ94</f>
        <v>0</v>
      </c>
      <c r="FVN36" s="17">
        <f>'Form-Sb'!FVR94</f>
        <v>0</v>
      </c>
      <c r="FVO36" s="17">
        <f>'Form-Sb'!FVS94</f>
        <v>0</v>
      </c>
      <c r="FVP36" s="17">
        <f>'Form-Sb'!FVT94</f>
        <v>0</v>
      </c>
      <c r="FVQ36" s="17">
        <f>'Form-Sb'!FVU94</f>
        <v>0</v>
      </c>
      <c r="FVR36" s="17">
        <f>'Form-Sb'!FVV94</f>
        <v>0</v>
      </c>
      <c r="FVS36" s="17">
        <f>'Form-Sb'!FVW94</f>
        <v>0</v>
      </c>
      <c r="FVT36" s="17">
        <f>'Form-Sb'!FVX94</f>
        <v>0</v>
      </c>
      <c r="FVU36" s="17">
        <f>'Form-Sb'!FVY94</f>
        <v>0</v>
      </c>
      <c r="FVV36" s="17">
        <f>'Form-Sb'!FVZ94</f>
        <v>0</v>
      </c>
      <c r="FVW36" s="17">
        <f>'Form-Sb'!FWA94</f>
        <v>0</v>
      </c>
      <c r="FVX36" s="17">
        <f>'Form-Sb'!FWB94</f>
        <v>0</v>
      </c>
      <c r="FVY36" s="17">
        <f>'Form-Sb'!FWC94</f>
        <v>0</v>
      </c>
      <c r="FVZ36" s="17">
        <f>'Form-Sb'!FWD94</f>
        <v>0</v>
      </c>
      <c r="FWA36" s="17">
        <f>'Form-Sb'!FWE94</f>
        <v>0</v>
      </c>
      <c r="FWB36" s="17">
        <f>'Form-Sb'!FWF94</f>
        <v>0</v>
      </c>
      <c r="FWC36" s="17">
        <f>'Form-Sb'!FWG94</f>
        <v>0</v>
      </c>
      <c r="FWD36" s="17">
        <f>'Form-Sb'!FWH94</f>
        <v>0</v>
      </c>
      <c r="FWE36" s="17">
        <f>'Form-Sb'!FWI94</f>
        <v>0</v>
      </c>
      <c r="FWF36" s="17">
        <f>'Form-Sb'!FWJ94</f>
        <v>0</v>
      </c>
      <c r="FWG36" s="17">
        <f>'Form-Sb'!FWK94</f>
        <v>0</v>
      </c>
      <c r="FWH36" s="17">
        <f>'Form-Sb'!FWL94</f>
        <v>0</v>
      </c>
      <c r="FWI36" s="17">
        <f>'Form-Sb'!FWM94</f>
        <v>0</v>
      </c>
      <c r="FWJ36" s="17">
        <f>'Form-Sb'!FWN94</f>
        <v>0</v>
      </c>
      <c r="FWK36" s="17">
        <f>'Form-Sb'!FWO94</f>
        <v>0</v>
      </c>
      <c r="FWL36" s="17">
        <f>'Form-Sb'!FWP94</f>
        <v>0</v>
      </c>
      <c r="FWM36" s="17">
        <f>'Form-Sb'!FWQ94</f>
        <v>0</v>
      </c>
      <c r="FWN36" s="17">
        <f>'Form-Sb'!FWR94</f>
        <v>0</v>
      </c>
      <c r="FWO36" s="17">
        <f>'Form-Sb'!FWS94</f>
        <v>0</v>
      </c>
      <c r="FWP36" s="17">
        <f>'Form-Sb'!FWT94</f>
        <v>0</v>
      </c>
      <c r="FWQ36" s="17">
        <f>'Form-Sb'!FWU94</f>
        <v>0</v>
      </c>
      <c r="FWR36" s="17">
        <f>'Form-Sb'!FWV94</f>
        <v>0</v>
      </c>
      <c r="FWS36" s="17">
        <f>'Form-Sb'!FWW94</f>
        <v>0</v>
      </c>
      <c r="FWT36" s="17">
        <f>'Form-Sb'!FWX94</f>
        <v>0</v>
      </c>
      <c r="FWU36" s="17">
        <f>'Form-Sb'!FWY94</f>
        <v>0</v>
      </c>
      <c r="FWV36" s="17">
        <f>'Form-Sb'!FWZ94</f>
        <v>0</v>
      </c>
      <c r="FWW36" s="17">
        <f>'Form-Sb'!FXA94</f>
        <v>0</v>
      </c>
      <c r="FWX36" s="17">
        <f>'Form-Sb'!FXB94</f>
        <v>0</v>
      </c>
      <c r="FWY36" s="17">
        <f>'Form-Sb'!FXC94</f>
        <v>0</v>
      </c>
      <c r="FWZ36" s="17">
        <f>'Form-Sb'!FXD94</f>
        <v>0</v>
      </c>
      <c r="FXA36" s="17">
        <f>'Form-Sb'!FXE94</f>
        <v>0</v>
      </c>
      <c r="FXB36" s="17">
        <f>'Form-Sb'!FXF94</f>
        <v>0</v>
      </c>
      <c r="FXC36" s="17">
        <f>'Form-Sb'!FXG94</f>
        <v>0</v>
      </c>
      <c r="FXD36" s="17">
        <f>'Form-Sb'!FXH94</f>
        <v>0</v>
      </c>
      <c r="FXE36" s="17">
        <f>'Form-Sb'!FXI94</f>
        <v>0</v>
      </c>
      <c r="FXF36" s="17">
        <f>'Form-Sb'!FXJ94</f>
        <v>0</v>
      </c>
      <c r="FXG36" s="17">
        <f>'Form-Sb'!FXK94</f>
        <v>0</v>
      </c>
      <c r="FXH36" s="17">
        <f>'Form-Sb'!FXL94</f>
        <v>0</v>
      </c>
      <c r="FXI36" s="17">
        <f>'Form-Sb'!FXM94</f>
        <v>0</v>
      </c>
      <c r="FXJ36" s="17">
        <f>'Form-Sb'!FXN94</f>
        <v>0</v>
      </c>
      <c r="FXK36" s="17">
        <f>'Form-Sb'!FXO94</f>
        <v>0</v>
      </c>
      <c r="FXL36" s="17">
        <f>'Form-Sb'!FXP94</f>
        <v>0</v>
      </c>
      <c r="FXM36" s="17">
        <f>'Form-Sb'!FXQ94</f>
        <v>0</v>
      </c>
      <c r="FXN36" s="17">
        <f>'Form-Sb'!FXR94</f>
        <v>0</v>
      </c>
      <c r="FXO36" s="17">
        <f>'Form-Sb'!FXS94</f>
        <v>0</v>
      </c>
      <c r="FXP36" s="17">
        <f>'Form-Sb'!FXT94</f>
        <v>0</v>
      </c>
      <c r="FXQ36" s="17">
        <f>'Form-Sb'!FXU94</f>
        <v>0</v>
      </c>
      <c r="FXR36" s="17">
        <f>'Form-Sb'!FXV94</f>
        <v>0</v>
      </c>
      <c r="FXS36" s="17">
        <f>'Form-Sb'!FXW94</f>
        <v>0</v>
      </c>
      <c r="FXT36" s="17">
        <f>'Form-Sb'!FXX94</f>
        <v>0</v>
      </c>
      <c r="FXU36" s="17">
        <f>'Form-Sb'!FXY94</f>
        <v>0</v>
      </c>
      <c r="FXV36" s="17">
        <f>'Form-Sb'!FXZ94</f>
        <v>0</v>
      </c>
      <c r="FXW36" s="17">
        <f>'Form-Sb'!FYA94</f>
        <v>0</v>
      </c>
      <c r="FXX36" s="17">
        <f>'Form-Sb'!FYB94</f>
        <v>0</v>
      </c>
      <c r="FXY36" s="17">
        <f>'Form-Sb'!FYC94</f>
        <v>0</v>
      </c>
      <c r="FXZ36" s="17">
        <f>'Form-Sb'!FYD94</f>
        <v>0</v>
      </c>
      <c r="FYA36" s="17">
        <f>'Form-Sb'!FYE94</f>
        <v>0</v>
      </c>
      <c r="FYB36" s="17">
        <f>'Form-Sb'!FYF94</f>
        <v>0</v>
      </c>
      <c r="FYC36" s="17">
        <f>'Form-Sb'!FYG94</f>
        <v>0</v>
      </c>
      <c r="FYD36" s="17">
        <f>'Form-Sb'!FYH94</f>
        <v>0</v>
      </c>
      <c r="FYE36" s="17">
        <f>'Form-Sb'!FYI94</f>
        <v>0</v>
      </c>
      <c r="FYF36" s="17">
        <f>'Form-Sb'!FYJ94</f>
        <v>0</v>
      </c>
      <c r="FYG36" s="17">
        <f>'Form-Sb'!FYK94</f>
        <v>0</v>
      </c>
      <c r="FYH36" s="17">
        <f>'Form-Sb'!FYL94</f>
        <v>0</v>
      </c>
      <c r="FYI36" s="17">
        <f>'Form-Sb'!FYM94</f>
        <v>0</v>
      </c>
      <c r="FYJ36" s="17">
        <f>'Form-Sb'!FYN94</f>
        <v>0</v>
      </c>
      <c r="FYK36" s="17">
        <f>'Form-Sb'!FYO94</f>
        <v>0</v>
      </c>
      <c r="FYL36" s="17">
        <f>'Form-Sb'!FYP94</f>
        <v>0</v>
      </c>
      <c r="FYM36" s="17">
        <f>'Form-Sb'!FYQ94</f>
        <v>0</v>
      </c>
      <c r="FYN36" s="17">
        <f>'Form-Sb'!FYR94</f>
        <v>0</v>
      </c>
      <c r="FYO36" s="17">
        <f>'Form-Sb'!FYS94</f>
        <v>0</v>
      </c>
      <c r="FYP36" s="17">
        <f>'Form-Sb'!FYT94</f>
        <v>0</v>
      </c>
      <c r="FYQ36" s="17">
        <f>'Form-Sb'!FYU94</f>
        <v>0</v>
      </c>
      <c r="FYR36" s="17">
        <f>'Form-Sb'!FYV94</f>
        <v>0</v>
      </c>
      <c r="FYS36" s="17">
        <f>'Form-Sb'!FYW94</f>
        <v>0</v>
      </c>
      <c r="FYT36" s="17">
        <f>'Form-Sb'!FYX94</f>
        <v>0</v>
      </c>
      <c r="FYU36" s="17">
        <f>'Form-Sb'!FYY94</f>
        <v>0</v>
      </c>
      <c r="FYV36" s="17">
        <f>'Form-Sb'!FYZ94</f>
        <v>0</v>
      </c>
      <c r="FYW36" s="17">
        <f>'Form-Sb'!FZA94</f>
        <v>0</v>
      </c>
      <c r="FYX36" s="17">
        <f>'Form-Sb'!FZB94</f>
        <v>0</v>
      </c>
      <c r="FYY36" s="17">
        <f>'Form-Sb'!FZC94</f>
        <v>0</v>
      </c>
      <c r="FYZ36" s="17">
        <f>'Form-Sb'!FZD94</f>
        <v>0</v>
      </c>
      <c r="FZA36" s="17">
        <f>'Form-Sb'!FZE94</f>
        <v>0</v>
      </c>
      <c r="FZB36" s="17">
        <f>'Form-Sb'!FZF94</f>
        <v>0</v>
      </c>
      <c r="FZC36" s="17">
        <f>'Form-Sb'!FZG94</f>
        <v>0</v>
      </c>
      <c r="FZD36" s="17">
        <f>'Form-Sb'!FZH94</f>
        <v>0</v>
      </c>
      <c r="FZE36" s="17">
        <f>'Form-Sb'!FZI94</f>
        <v>0</v>
      </c>
      <c r="FZF36" s="17">
        <f>'Form-Sb'!FZJ94</f>
        <v>0</v>
      </c>
      <c r="FZG36" s="17">
        <f>'Form-Sb'!FZK94</f>
        <v>0</v>
      </c>
      <c r="FZH36" s="17">
        <f>'Form-Sb'!FZL94</f>
        <v>0</v>
      </c>
      <c r="FZI36" s="17">
        <f>'Form-Sb'!FZM94</f>
        <v>0</v>
      </c>
      <c r="FZJ36" s="17">
        <f>'Form-Sb'!FZN94</f>
        <v>0</v>
      </c>
      <c r="FZK36" s="17">
        <f>'Form-Sb'!FZO94</f>
        <v>0</v>
      </c>
      <c r="FZL36" s="17">
        <f>'Form-Sb'!FZP94</f>
        <v>0</v>
      </c>
      <c r="FZM36" s="17">
        <f>'Form-Sb'!FZQ94</f>
        <v>0</v>
      </c>
      <c r="FZN36" s="17">
        <f>'Form-Sb'!FZR94</f>
        <v>0</v>
      </c>
      <c r="FZO36" s="17">
        <f>'Form-Sb'!FZS94</f>
        <v>0</v>
      </c>
      <c r="FZP36" s="17">
        <f>'Form-Sb'!FZT94</f>
        <v>0</v>
      </c>
      <c r="FZQ36" s="17">
        <f>'Form-Sb'!FZU94</f>
        <v>0</v>
      </c>
      <c r="FZR36" s="17">
        <f>'Form-Sb'!FZV94</f>
        <v>0</v>
      </c>
      <c r="FZS36" s="17">
        <f>'Form-Sb'!FZW94</f>
        <v>0</v>
      </c>
      <c r="FZT36" s="17">
        <f>'Form-Sb'!FZX94</f>
        <v>0</v>
      </c>
      <c r="FZU36" s="17">
        <f>'Form-Sb'!FZY94</f>
        <v>0</v>
      </c>
      <c r="FZV36" s="17">
        <f>'Form-Sb'!FZZ94</f>
        <v>0</v>
      </c>
      <c r="FZW36" s="17">
        <f>'Form-Sb'!GAA94</f>
        <v>0</v>
      </c>
      <c r="FZX36" s="17">
        <f>'Form-Sb'!GAB94</f>
        <v>0</v>
      </c>
      <c r="FZY36" s="17">
        <f>'Form-Sb'!GAC94</f>
        <v>0</v>
      </c>
      <c r="FZZ36" s="17">
        <f>'Form-Sb'!GAD94</f>
        <v>0</v>
      </c>
      <c r="GAA36" s="17">
        <f>'Form-Sb'!GAE94</f>
        <v>0</v>
      </c>
      <c r="GAB36" s="17">
        <f>'Form-Sb'!GAF94</f>
        <v>0</v>
      </c>
      <c r="GAC36" s="17">
        <f>'Form-Sb'!GAG94</f>
        <v>0</v>
      </c>
      <c r="GAD36" s="17">
        <f>'Form-Sb'!GAH94</f>
        <v>0</v>
      </c>
      <c r="GAE36" s="17">
        <f>'Form-Sb'!GAI94</f>
        <v>0</v>
      </c>
      <c r="GAF36" s="17">
        <f>'Form-Sb'!GAJ94</f>
        <v>0</v>
      </c>
      <c r="GAG36" s="17">
        <f>'Form-Sb'!GAK94</f>
        <v>0</v>
      </c>
      <c r="GAH36" s="17">
        <f>'Form-Sb'!GAL94</f>
        <v>0</v>
      </c>
      <c r="GAI36" s="17">
        <f>'Form-Sb'!GAM94</f>
        <v>0</v>
      </c>
      <c r="GAJ36" s="17">
        <f>'Form-Sb'!GAN94</f>
        <v>0</v>
      </c>
      <c r="GAK36" s="17">
        <f>'Form-Sb'!GAO94</f>
        <v>0</v>
      </c>
      <c r="GAL36" s="17">
        <f>'Form-Sb'!GAP94</f>
        <v>0</v>
      </c>
      <c r="GAM36" s="17">
        <f>'Form-Sb'!GAQ94</f>
        <v>0</v>
      </c>
      <c r="GAN36" s="17">
        <f>'Form-Sb'!GAR94</f>
        <v>0</v>
      </c>
      <c r="GAO36" s="17">
        <f>'Form-Sb'!GAS94</f>
        <v>0</v>
      </c>
      <c r="GAP36" s="17">
        <f>'Form-Sb'!GAT94</f>
        <v>0</v>
      </c>
      <c r="GAQ36" s="17">
        <f>'Form-Sb'!GAU94</f>
        <v>0</v>
      </c>
      <c r="GAR36" s="17">
        <f>'Form-Sb'!GAV94</f>
        <v>0</v>
      </c>
      <c r="GAS36" s="17">
        <f>'Form-Sb'!GAW94</f>
        <v>0</v>
      </c>
      <c r="GAT36" s="17">
        <f>'Form-Sb'!GAX94</f>
        <v>0</v>
      </c>
      <c r="GAU36" s="17">
        <f>'Form-Sb'!GAY94</f>
        <v>0</v>
      </c>
      <c r="GAV36" s="17">
        <f>'Form-Sb'!GAZ94</f>
        <v>0</v>
      </c>
      <c r="GAW36" s="17">
        <f>'Form-Sb'!GBA94</f>
        <v>0</v>
      </c>
      <c r="GAX36" s="17">
        <f>'Form-Sb'!GBB94</f>
        <v>0</v>
      </c>
      <c r="GAY36" s="17">
        <f>'Form-Sb'!GBC94</f>
        <v>0</v>
      </c>
      <c r="GAZ36" s="17">
        <f>'Form-Sb'!GBD94</f>
        <v>0</v>
      </c>
      <c r="GBA36" s="17">
        <f>'Form-Sb'!GBE94</f>
        <v>0</v>
      </c>
      <c r="GBB36" s="17">
        <f>'Form-Sb'!GBF94</f>
        <v>0</v>
      </c>
      <c r="GBC36" s="17">
        <f>'Form-Sb'!GBG94</f>
        <v>0</v>
      </c>
      <c r="GBD36" s="17">
        <f>'Form-Sb'!GBH94</f>
        <v>0</v>
      </c>
      <c r="GBE36" s="17">
        <f>'Form-Sb'!GBI94</f>
        <v>0</v>
      </c>
      <c r="GBF36" s="17">
        <f>'Form-Sb'!GBJ94</f>
        <v>0</v>
      </c>
      <c r="GBG36" s="17">
        <f>'Form-Sb'!GBK94</f>
        <v>0</v>
      </c>
      <c r="GBH36" s="17">
        <f>'Form-Sb'!GBL94</f>
        <v>0</v>
      </c>
      <c r="GBI36" s="17">
        <f>'Form-Sb'!GBM94</f>
        <v>0</v>
      </c>
      <c r="GBJ36" s="17">
        <f>'Form-Sb'!GBN94</f>
        <v>0</v>
      </c>
      <c r="GBK36" s="17">
        <f>'Form-Sb'!GBO94</f>
        <v>0</v>
      </c>
      <c r="GBL36" s="17">
        <f>'Form-Sb'!GBP94</f>
        <v>0</v>
      </c>
      <c r="GBM36" s="17">
        <f>'Form-Sb'!GBQ94</f>
        <v>0</v>
      </c>
      <c r="GBN36" s="17">
        <f>'Form-Sb'!GBR94</f>
        <v>0</v>
      </c>
      <c r="GBO36" s="17">
        <f>'Form-Sb'!GBS94</f>
        <v>0</v>
      </c>
      <c r="GBP36" s="17">
        <f>'Form-Sb'!GBT94</f>
        <v>0</v>
      </c>
      <c r="GBQ36" s="17">
        <f>'Form-Sb'!GBU94</f>
        <v>0</v>
      </c>
      <c r="GBR36" s="17">
        <f>'Form-Sb'!GBV94</f>
        <v>0</v>
      </c>
      <c r="GBS36" s="17">
        <f>'Form-Sb'!GBW94</f>
        <v>0</v>
      </c>
      <c r="GBT36" s="17">
        <f>'Form-Sb'!GBX94</f>
        <v>0</v>
      </c>
      <c r="GBU36" s="17">
        <f>'Form-Sb'!GBY94</f>
        <v>0</v>
      </c>
      <c r="GBV36" s="17">
        <f>'Form-Sb'!GBZ94</f>
        <v>0</v>
      </c>
      <c r="GBW36" s="17">
        <f>'Form-Sb'!GCA94</f>
        <v>0</v>
      </c>
      <c r="GBX36" s="17">
        <f>'Form-Sb'!GCB94</f>
        <v>0</v>
      </c>
      <c r="GBY36" s="17">
        <f>'Form-Sb'!GCC94</f>
        <v>0</v>
      </c>
      <c r="GBZ36" s="17">
        <f>'Form-Sb'!GCD94</f>
        <v>0</v>
      </c>
      <c r="GCA36" s="17">
        <f>'Form-Sb'!GCE94</f>
        <v>0</v>
      </c>
      <c r="GCB36" s="17">
        <f>'Form-Sb'!GCF94</f>
        <v>0</v>
      </c>
      <c r="GCC36" s="17">
        <f>'Form-Sb'!GCG94</f>
        <v>0</v>
      </c>
      <c r="GCD36" s="17">
        <f>'Form-Sb'!GCH94</f>
        <v>0</v>
      </c>
      <c r="GCE36" s="17">
        <f>'Form-Sb'!GCI94</f>
        <v>0</v>
      </c>
      <c r="GCF36" s="17">
        <f>'Form-Sb'!GCJ94</f>
        <v>0</v>
      </c>
      <c r="GCG36" s="17">
        <f>'Form-Sb'!GCK94</f>
        <v>0</v>
      </c>
      <c r="GCH36" s="17">
        <f>'Form-Sb'!GCL94</f>
        <v>0</v>
      </c>
      <c r="GCI36" s="17">
        <f>'Form-Sb'!GCM94</f>
        <v>0</v>
      </c>
      <c r="GCJ36" s="17">
        <f>'Form-Sb'!GCN94</f>
        <v>0</v>
      </c>
      <c r="GCK36" s="17">
        <f>'Form-Sb'!GCO94</f>
        <v>0</v>
      </c>
      <c r="GCL36" s="17">
        <f>'Form-Sb'!GCP94</f>
        <v>0</v>
      </c>
      <c r="GCM36" s="17">
        <f>'Form-Sb'!GCQ94</f>
        <v>0</v>
      </c>
      <c r="GCN36" s="17">
        <f>'Form-Sb'!GCR94</f>
        <v>0</v>
      </c>
      <c r="GCO36" s="17">
        <f>'Form-Sb'!GCS94</f>
        <v>0</v>
      </c>
      <c r="GCP36" s="17">
        <f>'Form-Sb'!GCT94</f>
        <v>0</v>
      </c>
      <c r="GCQ36" s="17">
        <f>'Form-Sb'!GCU94</f>
        <v>0</v>
      </c>
      <c r="GCR36" s="17">
        <f>'Form-Sb'!GCV94</f>
        <v>0</v>
      </c>
      <c r="GCS36" s="17">
        <f>'Form-Sb'!GCW94</f>
        <v>0</v>
      </c>
      <c r="GCT36" s="17">
        <f>'Form-Sb'!GCX94</f>
        <v>0</v>
      </c>
      <c r="GCU36" s="17">
        <f>'Form-Sb'!GCY94</f>
        <v>0</v>
      </c>
      <c r="GCV36" s="17">
        <f>'Form-Sb'!GCZ94</f>
        <v>0</v>
      </c>
      <c r="GCW36" s="17">
        <f>'Form-Sb'!GDA94</f>
        <v>0</v>
      </c>
      <c r="GCX36" s="17">
        <f>'Form-Sb'!GDB94</f>
        <v>0</v>
      </c>
      <c r="GCY36" s="17">
        <f>'Form-Sb'!GDC94</f>
        <v>0</v>
      </c>
      <c r="GCZ36" s="17">
        <f>'Form-Sb'!GDD94</f>
        <v>0</v>
      </c>
      <c r="GDA36" s="17">
        <f>'Form-Sb'!GDE94</f>
        <v>0</v>
      </c>
      <c r="GDB36" s="17">
        <f>'Form-Sb'!GDF94</f>
        <v>0</v>
      </c>
      <c r="GDC36" s="17">
        <f>'Form-Sb'!GDG94</f>
        <v>0</v>
      </c>
      <c r="GDD36" s="17">
        <f>'Form-Sb'!GDH94</f>
        <v>0</v>
      </c>
      <c r="GDE36" s="17">
        <f>'Form-Sb'!GDI94</f>
        <v>0</v>
      </c>
      <c r="GDF36" s="17">
        <f>'Form-Sb'!GDJ94</f>
        <v>0</v>
      </c>
      <c r="GDG36" s="17">
        <f>'Form-Sb'!GDK94</f>
        <v>0</v>
      </c>
      <c r="GDH36" s="17">
        <f>'Form-Sb'!GDL94</f>
        <v>0</v>
      </c>
      <c r="GDI36" s="17">
        <f>'Form-Sb'!GDM94</f>
        <v>0</v>
      </c>
      <c r="GDJ36" s="17">
        <f>'Form-Sb'!GDN94</f>
        <v>0</v>
      </c>
      <c r="GDK36" s="17">
        <f>'Form-Sb'!GDO94</f>
        <v>0</v>
      </c>
      <c r="GDL36" s="17">
        <f>'Form-Sb'!GDP94</f>
        <v>0</v>
      </c>
      <c r="GDM36" s="17">
        <f>'Form-Sb'!GDQ94</f>
        <v>0</v>
      </c>
      <c r="GDN36" s="17">
        <f>'Form-Sb'!GDR94</f>
        <v>0</v>
      </c>
      <c r="GDO36" s="17">
        <f>'Form-Sb'!GDS94</f>
        <v>0</v>
      </c>
      <c r="GDP36" s="17">
        <f>'Form-Sb'!GDT94</f>
        <v>0</v>
      </c>
      <c r="GDQ36" s="17">
        <f>'Form-Sb'!GDU94</f>
        <v>0</v>
      </c>
      <c r="GDR36" s="17">
        <f>'Form-Sb'!GDV94</f>
        <v>0</v>
      </c>
      <c r="GDS36" s="17">
        <f>'Form-Sb'!GDW94</f>
        <v>0</v>
      </c>
      <c r="GDT36" s="17">
        <f>'Form-Sb'!GDX94</f>
        <v>0</v>
      </c>
      <c r="GDU36" s="17">
        <f>'Form-Sb'!GDY94</f>
        <v>0</v>
      </c>
      <c r="GDV36" s="17">
        <f>'Form-Sb'!GDZ94</f>
        <v>0</v>
      </c>
      <c r="GDW36" s="17">
        <f>'Form-Sb'!GEA94</f>
        <v>0</v>
      </c>
      <c r="GDX36" s="17">
        <f>'Form-Sb'!GEB94</f>
        <v>0</v>
      </c>
      <c r="GDY36" s="17">
        <f>'Form-Sb'!GEC94</f>
        <v>0</v>
      </c>
      <c r="GDZ36" s="17">
        <f>'Form-Sb'!GED94</f>
        <v>0</v>
      </c>
      <c r="GEA36" s="17">
        <f>'Form-Sb'!GEE94</f>
        <v>0</v>
      </c>
      <c r="GEB36" s="17">
        <f>'Form-Sb'!GEF94</f>
        <v>0</v>
      </c>
      <c r="GEC36" s="17">
        <f>'Form-Sb'!GEG94</f>
        <v>0</v>
      </c>
      <c r="GED36" s="17">
        <f>'Form-Sb'!GEH94</f>
        <v>0</v>
      </c>
      <c r="GEE36" s="17">
        <f>'Form-Sb'!GEI94</f>
        <v>0</v>
      </c>
      <c r="GEF36" s="17">
        <f>'Form-Sb'!GEJ94</f>
        <v>0</v>
      </c>
      <c r="GEG36" s="17">
        <f>'Form-Sb'!GEK94</f>
        <v>0</v>
      </c>
      <c r="GEH36" s="17">
        <f>'Form-Sb'!GEL94</f>
        <v>0</v>
      </c>
      <c r="GEI36" s="17">
        <f>'Form-Sb'!GEM94</f>
        <v>0</v>
      </c>
      <c r="GEJ36" s="17">
        <f>'Form-Sb'!GEN94</f>
        <v>0</v>
      </c>
      <c r="GEK36" s="17">
        <f>'Form-Sb'!GEO94</f>
        <v>0</v>
      </c>
      <c r="GEL36" s="17">
        <f>'Form-Sb'!GEP94</f>
        <v>0</v>
      </c>
      <c r="GEM36" s="17">
        <f>'Form-Sb'!GEQ94</f>
        <v>0</v>
      </c>
      <c r="GEN36" s="17">
        <f>'Form-Sb'!GER94</f>
        <v>0</v>
      </c>
      <c r="GEO36" s="17">
        <f>'Form-Sb'!GES94</f>
        <v>0</v>
      </c>
      <c r="GEP36" s="17">
        <f>'Form-Sb'!GET94</f>
        <v>0</v>
      </c>
      <c r="GEQ36" s="17">
        <f>'Form-Sb'!GEU94</f>
        <v>0</v>
      </c>
      <c r="GER36" s="17">
        <f>'Form-Sb'!GEV94</f>
        <v>0</v>
      </c>
      <c r="GES36" s="17">
        <f>'Form-Sb'!GEW94</f>
        <v>0</v>
      </c>
      <c r="GET36" s="17">
        <f>'Form-Sb'!GEX94</f>
        <v>0</v>
      </c>
      <c r="GEU36" s="17">
        <f>'Form-Sb'!GEY94</f>
        <v>0</v>
      </c>
      <c r="GEV36" s="17">
        <f>'Form-Sb'!GEZ94</f>
        <v>0</v>
      </c>
      <c r="GEW36" s="17">
        <f>'Form-Sb'!GFA94</f>
        <v>0</v>
      </c>
      <c r="GEX36" s="17">
        <f>'Form-Sb'!GFB94</f>
        <v>0</v>
      </c>
      <c r="GEY36" s="17">
        <f>'Form-Sb'!GFC94</f>
        <v>0</v>
      </c>
      <c r="GEZ36" s="17">
        <f>'Form-Sb'!GFD94</f>
        <v>0</v>
      </c>
      <c r="GFA36" s="17">
        <f>'Form-Sb'!GFE94</f>
        <v>0</v>
      </c>
      <c r="GFB36" s="17">
        <f>'Form-Sb'!GFF94</f>
        <v>0</v>
      </c>
      <c r="GFC36" s="17">
        <f>'Form-Sb'!GFG94</f>
        <v>0</v>
      </c>
      <c r="GFD36" s="17">
        <f>'Form-Sb'!GFH94</f>
        <v>0</v>
      </c>
      <c r="GFE36" s="17">
        <f>'Form-Sb'!GFI94</f>
        <v>0</v>
      </c>
      <c r="GFF36" s="17">
        <f>'Form-Sb'!GFJ94</f>
        <v>0</v>
      </c>
      <c r="GFG36" s="17">
        <f>'Form-Sb'!GFK94</f>
        <v>0</v>
      </c>
      <c r="GFH36" s="17">
        <f>'Form-Sb'!GFL94</f>
        <v>0</v>
      </c>
      <c r="GFI36" s="17">
        <f>'Form-Sb'!GFM94</f>
        <v>0</v>
      </c>
      <c r="GFJ36" s="17">
        <f>'Form-Sb'!GFN94</f>
        <v>0</v>
      </c>
      <c r="GFK36" s="17">
        <f>'Form-Sb'!GFO94</f>
        <v>0</v>
      </c>
      <c r="GFL36" s="17">
        <f>'Form-Sb'!GFP94</f>
        <v>0</v>
      </c>
      <c r="GFM36" s="17">
        <f>'Form-Sb'!GFQ94</f>
        <v>0</v>
      </c>
      <c r="GFN36" s="17">
        <f>'Form-Sb'!GFR94</f>
        <v>0</v>
      </c>
      <c r="GFO36" s="17">
        <f>'Form-Sb'!GFS94</f>
        <v>0</v>
      </c>
      <c r="GFP36" s="17">
        <f>'Form-Sb'!GFT94</f>
        <v>0</v>
      </c>
      <c r="GFQ36" s="17">
        <f>'Form-Sb'!GFU94</f>
        <v>0</v>
      </c>
      <c r="GFR36" s="17">
        <f>'Form-Sb'!GFV94</f>
        <v>0</v>
      </c>
      <c r="GFS36" s="17">
        <f>'Form-Sb'!GFW94</f>
        <v>0</v>
      </c>
      <c r="GFT36" s="17">
        <f>'Form-Sb'!GFX94</f>
        <v>0</v>
      </c>
      <c r="GFU36" s="17">
        <f>'Form-Sb'!GFY94</f>
        <v>0</v>
      </c>
      <c r="GFV36" s="17">
        <f>'Form-Sb'!GFZ94</f>
        <v>0</v>
      </c>
      <c r="GFW36" s="17">
        <f>'Form-Sb'!GGA94</f>
        <v>0</v>
      </c>
      <c r="GFX36" s="17">
        <f>'Form-Sb'!GGB94</f>
        <v>0</v>
      </c>
      <c r="GFY36" s="17">
        <f>'Form-Sb'!GGC94</f>
        <v>0</v>
      </c>
      <c r="GFZ36" s="17">
        <f>'Form-Sb'!GGD94</f>
        <v>0</v>
      </c>
      <c r="GGA36" s="17">
        <f>'Form-Sb'!GGE94</f>
        <v>0</v>
      </c>
      <c r="GGB36" s="17">
        <f>'Form-Sb'!GGF94</f>
        <v>0</v>
      </c>
      <c r="GGC36" s="17">
        <f>'Form-Sb'!GGG94</f>
        <v>0</v>
      </c>
      <c r="GGD36" s="17">
        <f>'Form-Sb'!GGH94</f>
        <v>0</v>
      </c>
      <c r="GGE36" s="17">
        <f>'Form-Sb'!GGI94</f>
        <v>0</v>
      </c>
      <c r="GGF36" s="17">
        <f>'Form-Sb'!GGJ94</f>
        <v>0</v>
      </c>
      <c r="GGG36" s="17">
        <f>'Form-Sb'!GGK94</f>
        <v>0</v>
      </c>
      <c r="GGH36" s="17">
        <f>'Form-Sb'!GGL94</f>
        <v>0</v>
      </c>
      <c r="GGI36" s="17">
        <f>'Form-Sb'!GGM94</f>
        <v>0</v>
      </c>
      <c r="GGJ36" s="17">
        <f>'Form-Sb'!GGN94</f>
        <v>0</v>
      </c>
      <c r="GGK36" s="17">
        <f>'Form-Sb'!GGO94</f>
        <v>0</v>
      </c>
      <c r="GGL36" s="17">
        <f>'Form-Sb'!GGP94</f>
        <v>0</v>
      </c>
      <c r="GGM36" s="17">
        <f>'Form-Sb'!GGQ94</f>
        <v>0</v>
      </c>
      <c r="GGN36" s="17">
        <f>'Form-Sb'!GGR94</f>
        <v>0</v>
      </c>
      <c r="GGO36" s="17">
        <f>'Form-Sb'!GGS94</f>
        <v>0</v>
      </c>
      <c r="GGP36" s="17">
        <f>'Form-Sb'!GGT94</f>
        <v>0</v>
      </c>
      <c r="GGQ36" s="17">
        <f>'Form-Sb'!GGU94</f>
        <v>0</v>
      </c>
      <c r="GGR36" s="17">
        <f>'Form-Sb'!GGV94</f>
        <v>0</v>
      </c>
      <c r="GGS36" s="17">
        <f>'Form-Sb'!GGW94</f>
        <v>0</v>
      </c>
      <c r="GGT36" s="17">
        <f>'Form-Sb'!GGX94</f>
        <v>0</v>
      </c>
      <c r="GGU36" s="17">
        <f>'Form-Sb'!GGY94</f>
        <v>0</v>
      </c>
      <c r="GGV36" s="17">
        <f>'Form-Sb'!GGZ94</f>
        <v>0</v>
      </c>
      <c r="GGW36" s="17">
        <f>'Form-Sb'!GHA94</f>
        <v>0</v>
      </c>
      <c r="GGX36" s="17">
        <f>'Form-Sb'!GHB94</f>
        <v>0</v>
      </c>
      <c r="GGY36" s="17">
        <f>'Form-Sb'!GHC94</f>
        <v>0</v>
      </c>
      <c r="GGZ36" s="17">
        <f>'Form-Sb'!GHD94</f>
        <v>0</v>
      </c>
      <c r="GHA36" s="17">
        <f>'Form-Sb'!GHE94</f>
        <v>0</v>
      </c>
      <c r="GHB36" s="17">
        <f>'Form-Sb'!GHF94</f>
        <v>0</v>
      </c>
      <c r="GHC36" s="17">
        <f>'Form-Sb'!GHG94</f>
        <v>0</v>
      </c>
      <c r="GHD36" s="17">
        <f>'Form-Sb'!GHH94</f>
        <v>0</v>
      </c>
      <c r="GHE36" s="17">
        <f>'Form-Sb'!GHI94</f>
        <v>0</v>
      </c>
      <c r="GHF36" s="17">
        <f>'Form-Sb'!GHJ94</f>
        <v>0</v>
      </c>
      <c r="GHG36" s="17">
        <f>'Form-Sb'!GHK94</f>
        <v>0</v>
      </c>
      <c r="GHH36" s="17">
        <f>'Form-Sb'!GHL94</f>
        <v>0</v>
      </c>
      <c r="GHI36" s="17">
        <f>'Form-Sb'!GHM94</f>
        <v>0</v>
      </c>
      <c r="GHJ36" s="17">
        <f>'Form-Sb'!GHN94</f>
        <v>0</v>
      </c>
      <c r="GHK36" s="17">
        <f>'Form-Sb'!GHO94</f>
        <v>0</v>
      </c>
      <c r="GHL36" s="17">
        <f>'Form-Sb'!GHP94</f>
        <v>0</v>
      </c>
      <c r="GHM36" s="17">
        <f>'Form-Sb'!GHQ94</f>
        <v>0</v>
      </c>
      <c r="GHN36" s="17">
        <f>'Form-Sb'!GHR94</f>
        <v>0</v>
      </c>
      <c r="GHO36" s="17">
        <f>'Form-Sb'!GHS94</f>
        <v>0</v>
      </c>
      <c r="GHP36" s="17">
        <f>'Form-Sb'!GHT94</f>
        <v>0</v>
      </c>
      <c r="GHQ36" s="17">
        <f>'Form-Sb'!GHU94</f>
        <v>0</v>
      </c>
      <c r="GHR36" s="17">
        <f>'Form-Sb'!GHV94</f>
        <v>0</v>
      </c>
      <c r="GHS36" s="17">
        <f>'Form-Sb'!GHW94</f>
        <v>0</v>
      </c>
      <c r="GHT36" s="17">
        <f>'Form-Sb'!GHX94</f>
        <v>0</v>
      </c>
      <c r="GHU36" s="17">
        <f>'Form-Sb'!GHY94</f>
        <v>0</v>
      </c>
      <c r="GHV36" s="17">
        <f>'Form-Sb'!GHZ94</f>
        <v>0</v>
      </c>
      <c r="GHW36" s="17">
        <f>'Form-Sb'!GIA94</f>
        <v>0</v>
      </c>
      <c r="GHX36" s="17">
        <f>'Form-Sb'!GIB94</f>
        <v>0</v>
      </c>
      <c r="GHY36" s="17">
        <f>'Form-Sb'!GIC94</f>
        <v>0</v>
      </c>
      <c r="GHZ36" s="17">
        <f>'Form-Sb'!GID94</f>
        <v>0</v>
      </c>
      <c r="GIA36" s="17">
        <f>'Form-Sb'!GIE94</f>
        <v>0</v>
      </c>
      <c r="GIB36" s="17">
        <f>'Form-Sb'!GIF94</f>
        <v>0</v>
      </c>
      <c r="GIC36" s="17">
        <f>'Form-Sb'!GIG94</f>
        <v>0</v>
      </c>
      <c r="GID36" s="17">
        <f>'Form-Sb'!GIH94</f>
        <v>0</v>
      </c>
      <c r="GIE36" s="17">
        <f>'Form-Sb'!GII94</f>
        <v>0</v>
      </c>
      <c r="GIF36" s="17">
        <f>'Form-Sb'!GIJ94</f>
        <v>0</v>
      </c>
      <c r="GIG36" s="17">
        <f>'Form-Sb'!GIK94</f>
        <v>0</v>
      </c>
      <c r="GIH36" s="17">
        <f>'Form-Sb'!GIL94</f>
        <v>0</v>
      </c>
      <c r="GII36" s="17">
        <f>'Form-Sb'!GIM94</f>
        <v>0</v>
      </c>
      <c r="GIJ36" s="17">
        <f>'Form-Sb'!GIN94</f>
        <v>0</v>
      </c>
      <c r="GIK36" s="17">
        <f>'Form-Sb'!GIO94</f>
        <v>0</v>
      </c>
      <c r="GIL36" s="17">
        <f>'Form-Sb'!GIP94</f>
        <v>0</v>
      </c>
      <c r="GIM36" s="17">
        <f>'Form-Sb'!GIQ94</f>
        <v>0</v>
      </c>
      <c r="GIN36" s="17">
        <f>'Form-Sb'!GIR94</f>
        <v>0</v>
      </c>
      <c r="GIO36" s="17">
        <f>'Form-Sb'!GIS94</f>
        <v>0</v>
      </c>
      <c r="GIP36" s="17">
        <f>'Form-Sb'!GIT94</f>
        <v>0</v>
      </c>
      <c r="GIQ36" s="17">
        <f>'Form-Sb'!GIU94</f>
        <v>0</v>
      </c>
      <c r="GIR36" s="17">
        <f>'Form-Sb'!GIV94</f>
        <v>0</v>
      </c>
      <c r="GIS36" s="17">
        <f>'Form-Sb'!GIW94</f>
        <v>0</v>
      </c>
      <c r="GIT36" s="17">
        <f>'Form-Sb'!GIX94</f>
        <v>0</v>
      </c>
      <c r="GIU36" s="17">
        <f>'Form-Sb'!GIY94</f>
        <v>0</v>
      </c>
      <c r="GIV36" s="17">
        <f>'Form-Sb'!GIZ94</f>
        <v>0</v>
      </c>
      <c r="GIW36" s="17">
        <f>'Form-Sb'!GJA94</f>
        <v>0</v>
      </c>
      <c r="GIX36" s="17">
        <f>'Form-Sb'!GJB94</f>
        <v>0</v>
      </c>
      <c r="GIY36" s="17">
        <f>'Form-Sb'!GJC94</f>
        <v>0</v>
      </c>
      <c r="GIZ36" s="17">
        <f>'Form-Sb'!GJD94</f>
        <v>0</v>
      </c>
      <c r="GJA36" s="17">
        <f>'Form-Sb'!GJE94</f>
        <v>0</v>
      </c>
      <c r="GJB36" s="17">
        <f>'Form-Sb'!GJF94</f>
        <v>0</v>
      </c>
      <c r="GJC36" s="17">
        <f>'Form-Sb'!GJG94</f>
        <v>0</v>
      </c>
      <c r="GJD36" s="17">
        <f>'Form-Sb'!GJH94</f>
        <v>0</v>
      </c>
      <c r="GJE36" s="17">
        <f>'Form-Sb'!GJI94</f>
        <v>0</v>
      </c>
      <c r="GJF36" s="17">
        <f>'Form-Sb'!GJJ94</f>
        <v>0</v>
      </c>
      <c r="GJG36" s="17">
        <f>'Form-Sb'!GJK94</f>
        <v>0</v>
      </c>
      <c r="GJH36" s="17">
        <f>'Form-Sb'!GJL94</f>
        <v>0</v>
      </c>
      <c r="GJI36" s="17">
        <f>'Form-Sb'!GJM94</f>
        <v>0</v>
      </c>
      <c r="GJJ36" s="17">
        <f>'Form-Sb'!GJN94</f>
        <v>0</v>
      </c>
      <c r="GJK36" s="17">
        <f>'Form-Sb'!GJO94</f>
        <v>0</v>
      </c>
      <c r="GJL36" s="17">
        <f>'Form-Sb'!GJP94</f>
        <v>0</v>
      </c>
      <c r="GJM36" s="17">
        <f>'Form-Sb'!GJQ94</f>
        <v>0</v>
      </c>
      <c r="GJN36" s="17">
        <f>'Form-Sb'!GJR94</f>
        <v>0</v>
      </c>
      <c r="GJO36" s="17">
        <f>'Form-Sb'!GJS94</f>
        <v>0</v>
      </c>
      <c r="GJP36" s="17">
        <f>'Form-Sb'!GJT94</f>
        <v>0</v>
      </c>
      <c r="GJQ36" s="17">
        <f>'Form-Sb'!GJU94</f>
        <v>0</v>
      </c>
      <c r="GJR36" s="17">
        <f>'Form-Sb'!GJV94</f>
        <v>0</v>
      </c>
      <c r="GJS36" s="17">
        <f>'Form-Sb'!GJW94</f>
        <v>0</v>
      </c>
      <c r="GJT36" s="17">
        <f>'Form-Sb'!GJX94</f>
        <v>0</v>
      </c>
      <c r="GJU36" s="17">
        <f>'Form-Sb'!GJY94</f>
        <v>0</v>
      </c>
      <c r="GJV36" s="17">
        <f>'Form-Sb'!GJZ94</f>
        <v>0</v>
      </c>
      <c r="GJW36" s="17">
        <f>'Form-Sb'!GKA94</f>
        <v>0</v>
      </c>
      <c r="GJX36" s="17">
        <f>'Form-Sb'!GKB94</f>
        <v>0</v>
      </c>
      <c r="GJY36" s="17">
        <f>'Form-Sb'!GKC94</f>
        <v>0</v>
      </c>
      <c r="GJZ36" s="17">
        <f>'Form-Sb'!GKD94</f>
        <v>0</v>
      </c>
      <c r="GKA36" s="17">
        <f>'Form-Sb'!GKE94</f>
        <v>0</v>
      </c>
      <c r="GKB36" s="17">
        <f>'Form-Sb'!GKF94</f>
        <v>0</v>
      </c>
      <c r="GKC36" s="17">
        <f>'Form-Sb'!GKG94</f>
        <v>0</v>
      </c>
      <c r="GKD36" s="17">
        <f>'Form-Sb'!GKH94</f>
        <v>0</v>
      </c>
      <c r="GKE36" s="17">
        <f>'Form-Sb'!GKI94</f>
        <v>0</v>
      </c>
      <c r="GKF36" s="17">
        <f>'Form-Sb'!GKJ94</f>
        <v>0</v>
      </c>
      <c r="GKG36" s="17">
        <f>'Form-Sb'!GKK94</f>
        <v>0</v>
      </c>
      <c r="GKH36" s="17">
        <f>'Form-Sb'!GKL94</f>
        <v>0</v>
      </c>
      <c r="GKI36" s="17">
        <f>'Form-Sb'!GKM94</f>
        <v>0</v>
      </c>
      <c r="GKJ36" s="17">
        <f>'Form-Sb'!GKN94</f>
        <v>0</v>
      </c>
      <c r="GKK36" s="17">
        <f>'Form-Sb'!GKO94</f>
        <v>0</v>
      </c>
      <c r="GKL36" s="17">
        <f>'Form-Sb'!GKP94</f>
        <v>0</v>
      </c>
      <c r="GKM36" s="17">
        <f>'Form-Sb'!GKQ94</f>
        <v>0</v>
      </c>
      <c r="GKN36" s="17">
        <f>'Form-Sb'!GKR94</f>
        <v>0</v>
      </c>
      <c r="GKO36" s="17">
        <f>'Form-Sb'!GKS94</f>
        <v>0</v>
      </c>
      <c r="GKP36" s="17">
        <f>'Form-Sb'!GKT94</f>
        <v>0</v>
      </c>
      <c r="GKQ36" s="17">
        <f>'Form-Sb'!GKU94</f>
        <v>0</v>
      </c>
      <c r="GKR36" s="17">
        <f>'Form-Sb'!GKV94</f>
        <v>0</v>
      </c>
      <c r="GKS36" s="17">
        <f>'Form-Sb'!GKW94</f>
        <v>0</v>
      </c>
      <c r="GKT36" s="17">
        <f>'Form-Sb'!GKX94</f>
        <v>0</v>
      </c>
      <c r="GKU36" s="17">
        <f>'Form-Sb'!GKY94</f>
        <v>0</v>
      </c>
      <c r="GKV36" s="17">
        <f>'Form-Sb'!GKZ94</f>
        <v>0</v>
      </c>
      <c r="GKW36" s="17">
        <f>'Form-Sb'!GLA94</f>
        <v>0</v>
      </c>
      <c r="GKX36" s="17">
        <f>'Form-Sb'!GLB94</f>
        <v>0</v>
      </c>
      <c r="GKY36" s="17">
        <f>'Form-Sb'!GLC94</f>
        <v>0</v>
      </c>
      <c r="GKZ36" s="17">
        <f>'Form-Sb'!GLD94</f>
        <v>0</v>
      </c>
      <c r="GLA36" s="17">
        <f>'Form-Sb'!GLE94</f>
        <v>0</v>
      </c>
      <c r="GLB36" s="17">
        <f>'Form-Sb'!GLF94</f>
        <v>0</v>
      </c>
      <c r="GLC36" s="17">
        <f>'Form-Sb'!GLG94</f>
        <v>0</v>
      </c>
      <c r="GLD36" s="17">
        <f>'Form-Sb'!GLH94</f>
        <v>0</v>
      </c>
      <c r="GLE36" s="17">
        <f>'Form-Sb'!GLI94</f>
        <v>0</v>
      </c>
      <c r="GLF36" s="17">
        <f>'Form-Sb'!GLJ94</f>
        <v>0</v>
      </c>
      <c r="GLG36" s="17">
        <f>'Form-Sb'!GLK94</f>
        <v>0</v>
      </c>
      <c r="GLH36" s="17">
        <f>'Form-Sb'!GLL94</f>
        <v>0</v>
      </c>
      <c r="GLI36" s="17">
        <f>'Form-Sb'!GLM94</f>
        <v>0</v>
      </c>
      <c r="GLJ36" s="17">
        <f>'Form-Sb'!GLN94</f>
        <v>0</v>
      </c>
      <c r="GLK36" s="17">
        <f>'Form-Sb'!GLO94</f>
        <v>0</v>
      </c>
      <c r="GLL36" s="17">
        <f>'Form-Sb'!GLP94</f>
        <v>0</v>
      </c>
      <c r="GLM36" s="17">
        <f>'Form-Sb'!GLQ94</f>
        <v>0</v>
      </c>
      <c r="GLN36" s="17">
        <f>'Form-Sb'!GLR94</f>
        <v>0</v>
      </c>
      <c r="GLO36" s="17">
        <f>'Form-Sb'!GLS94</f>
        <v>0</v>
      </c>
      <c r="GLP36" s="17">
        <f>'Form-Sb'!GLT94</f>
        <v>0</v>
      </c>
      <c r="GLQ36" s="17">
        <f>'Form-Sb'!GLU94</f>
        <v>0</v>
      </c>
      <c r="GLR36" s="17">
        <f>'Form-Sb'!GLV94</f>
        <v>0</v>
      </c>
      <c r="GLS36" s="17">
        <f>'Form-Sb'!GLW94</f>
        <v>0</v>
      </c>
      <c r="GLT36" s="17">
        <f>'Form-Sb'!GLX94</f>
        <v>0</v>
      </c>
      <c r="GLU36" s="17">
        <f>'Form-Sb'!GLY94</f>
        <v>0</v>
      </c>
      <c r="GLV36" s="17">
        <f>'Form-Sb'!GLZ94</f>
        <v>0</v>
      </c>
      <c r="GLW36" s="17">
        <f>'Form-Sb'!GMA94</f>
        <v>0</v>
      </c>
      <c r="GLX36" s="17">
        <f>'Form-Sb'!GMB94</f>
        <v>0</v>
      </c>
      <c r="GLY36" s="17">
        <f>'Form-Sb'!GMC94</f>
        <v>0</v>
      </c>
      <c r="GLZ36" s="17">
        <f>'Form-Sb'!GMD94</f>
        <v>0</v>
      </c>
      <c r="GMA36" s="17">
        <f>'Form-Sb'!GME94</f>
        <v>0</v>
      </c>
      <c r="GMB36" s="17">
        <f>'Form-Sb'!GMF94</f>
        <v>0</v>
      </c>
      <c r="GMC36" s="17">
        <f>'Form-Sb'!GMG94</f>
        <v>0</v>
      </c>
      <c r="GMD36" s="17">
        <f>'Form-Sb'!GMH94</f>
        <v>0</v>
      </c>
      <c r="GME36" s="17">
        <f>'Form-Sb'!GMI94</f>
        <v>0</v>
      </c>
      <c r="GMF36" s="17">
        <f>'Form-Sb'!GMJ94</f>
        <v>0</v>
      </c>
      <c r="GMG36" s="17">
        <f>'Form-Sb'!GMK94</f>
        <v>0</v>
      </c>
      <c r="GMH36" s="17">
        <f>'Form-Sb'!GML94</f>
        <v>0</v>
      </c>
      <c r="GMI36" s="17">
        <f>'Form-Sb'!GMM94</f>
        <v>0</v>
      </c>
      <c r="GMJ36" s="17">
        <f>'Form-Sb'!GMN94</f>
        <v>0</v>
      </c>
      <c r="GMK36" s="17">
        <f>'Form-Sb'!GMO94</f>
        <v>0</v>
      </c>
      <c r="GML36" s="17">
        <f>'Form-Sb'!GMP94</f>
        <v>0</v>
      </c>
      <c r="GMM36" s="17">
        <f>'Form-Sb'!GMQ94</f>
        <v>0</v>
      </c>
      <c r="GMN36" s="17">
        <f>'Form-Sb'!GMR94</f>
        <v>0</v>
      </c>
      <c r="GMO36" s="17">
        <f>'Form-Sb'!GMS94</f>
        <v>0</v>
      </c>
      <c r="GMP36" s="17">
        <f>'Form-Sb'!GMT94</f>
        <v>0</v>
      </c>
      <c r="GMQ36" s="17">
        <f>'Form-Sb'!GMU94</f>
        <v>0</v>
      </c>
      <c r="GMR36" s="17">
        <f>'Form-Sb'!GMV94</f>
        <v>0</v>
      </c>
      <c r="GMS36" s="17">
        <f>'Form-Sb'!GMW94</f>
        <v>0</v>
      </c>
      <c r="GMT36" s="17">
        <f>'Form-Sb'!GMX94</f>
        <v>0</v>
      </c>
      <c r="GMU36" s="17">
        <f>'Form-Sb'!GMY94</f>
        <v>0</v>
      </c>
      <c r="GMV36" s="17">
        <f>'Form-Sb'!GMZ94</f>
        <v>0</v>
      </c>
      <c r="GMW36" s="17">
        <f>'Form-Sb'!GNA94</f>
        <v>0</v>
      </c>
      <c r="GMX36" s="17">
        <f>'Form-Sb'!GNB94</f>
        <v>0</v>
      </c>
      <c r="GMY36" s="17">
        <f>'Form-Sb'!GNC94</f>
        <v>0</v>
      </c>
      <c r="GMZ36" s="17">
        <f>'Form-Sb'!GND94</f>
        <v>0</v>
      </c>
      <c r="GNA36" s="17">
        <f>'Form-Sb'!GNE94</f>
        <v>0</v>
      </c>
      <c r="GNB36" s="17">
        <f>'Form-Sb'!GNF94</f>
        <v>0</v>
      </c>
      <c r="GNC36" s="17">
        <f>'Form-Sb'!GNG94</f>
        <v>0</v>
      </c>
      <c r="GND36" s="17">
        <f>'Form-Sb'!GNH94</f>
        <v>0</v>
      </c>
      <c r="GNE36" s="17">
        <f>'Form-Sb'!GNI94</f>
        <v>0</v>
      </c>
      <c r="GNF36" s="17">
        <f>'Form-Sb'!GNJ94</f>
        <v>0</v>
      </c>
      <c r="GNG36" s="17">
        <f>'Form-Sb'!GNK94</f>
        <v>0</v>
      </c>
      <c r="GNH36" s="17">
        <f>'Form-Sb'!GNL94</f>
        <v>0</v>
      </c>
      <c r="GNI36" s="17">
        <f>'Form-Sb'!GNM94</f>
        <v>0</v>
      </c>
      <c r="GNJ36" s="17">
        <f>'Form-Sb'!GNN94</f>
        <v>0</v>
      </c>
      <c r="GNK36" s="17">
        <f>'Form-Sb'!GNO94</f>
        <v>0</v>
      </c>
      <c r="GNL36" s="17">
        <f>'Form-Sb'!GNP94</f>
        <v>0</v>
      </c>
      <c r="GNM36" s="17">
        <f>'Form-Sb'!GNQ94</f>
        <v>0</v>
      </c>
      <c r="GNN36" s="17">
        <f>'Form-Sb'!GNR94</f>
        <v>0</v>
      </c>
      <c r="GNO36" s="17">
        <f>'Form-Sb'!GNS94</f>
        <v>0</v>
      </c>
      <c r="GNP36" s="17">
        <f>'Form-Sb'!GNT94</f>
        <v>0</v>
      </c>
      <c r="GNQ36" s="17">
        <f>'Form-Sb'!GNU94</f>
        <v>0</v>
      </c>
      <c r="GNR36" s="17">
        <f>'Form-Sb'!GNV94</f>
        <v>0</v>
      </c>
      <c r="GNS36" s="17">
        <f>'Form-Sb'!GNW94</f>
        <v>0</v>
      </c>
      <c r="GNT36" s="17">
        <f>'Form-Sb'!GNX94</f>
        <v>0</v>
      </c>
      <c r="GNU36" s="17">
        <f>'Form-Sb'!GNY94</f>
        <v>0</v>
      </c>
      <c r="GNV36" s="17">
        <f>'Form-Sb'!GNZ94</f>
        <v>0</v>
      </c>
      <c r="GNW36" s="17">
        <f>'Form-Sb'!GOA94</f>
        <v>0</v>
      </c>
      <c r="GNX36" s="17">
        <f>'Form-Sb'!GOB94</f>
        <v>0</v>
      </c>
      <c r="GNY36" s="17">
        <f>'Form-Sb'!GOC94</f>
        <v>0</v>
      </c>
      <c r="GNZ36" s="17">
        <f>'Form-Sb'!GOD94</f>
        <v>0</v>
      </c>
      <c r="GOA36" s="17">
        <f>'Form-Sb'!GOE94</f>
        <v>0</v>
      </c>
      <c r="GOB36" s="17">
        <f>'Form-Sb'!GOF94</f>
        <v>0</v>
      </c>
      <c r="GOC36" s="17">
        <f>'Form-Sb'!GOG94</f>
        <v>0</v>
      </c>
      <c r="GOD36" s="17">
        <f>'Form-Sb'!GOH94</f>
        <v>0</v>
      </c>
      <c r="GOE36" s="17">
        <f>'Form-Sb'!GOI94</f>
        <v>0</v>
      </c>
      <c r="GOF36" s="17">
        <f>'Form-Sb'!GOJ94</f>
        <v>0</v>
      </c>
      <c r="GOG36" s="17">
        <f>'Form-Sb'!GOK94</f>
        <v>0</v>
      </c>
      <c r="GOH36" s="17">
        <f>'Form-Sb'!GOL94</f>
        <v>0</v>
      </c>
      <c r="GOI36" s="17">
        <f>'Form-Sb'!GOM94</f>
        <v>0</v>
      </c>
      <c r="GOJ36" s="17">
        <f>'Form-Sb'!GON94</f>
        <v>0</v>
      </c>
      <c r="GOK36" s="17">
        <f>'Form-Sb'!GOO94</f>
        <v>0</v>
      </c>
      <c r="GOL36" s="17">
        <f>'Form-Sb'!GOP94</f>
        <v>0</v>
      </c>
      <c r="GOM36" s="17">
        <f>'Form-Sb'!GOQ94</f>
        <v>0</v>
      </c>
      <c r="GON36" s="17">
        <f>'Form-Sb'!GOR94</f>
        <v>0</v>
      </c>
      <c r="GOO36" s="17">
        <f>'Form-Sb'!GOS94</f>
        <v>0</v>
      </c>
      <c r="GOP36" s="17">
        <f>'Form-Sb'!GOT94</f>
        <v>0</v>
      </c>
      <c r="GOQ36" s="17">
        <f>'Form-Sb'!GOU94</f>
        <v>0</v>
      </c>
      <c r="GOR36" s="17">
        <f>'Form-Sb'!GOV94</f>
        <v>0</v>
      </c>
      <c r="GOS36" s="17">
        <f>'Form-Sb'!GOW94</f>
        <v>0</v>
      </c>
      <c r="GOT36" s="17">
        <f>'Form-Sb'!GOX94</f>
        <v>0</v>
      </c>
      <c r="GOU36" s="17">
        <f>'Form-Sb'!GOY94</f>
        <v>0</v>
      </c>
      <c r="GOV36" s="17">
        <f>'Form-Sb'!GOZ94</f>
        <v>0</v>
      </c>
      <c r="GOW36" s="17">
        <f>'Form-Sb'!GPA94</f>
        <v>0</v>
      </c>
      <c r="GOX36" s="17">
        <f>'Form-Sb'!GPB94</f>
        <v>0</v>
      </c>
      <c r="GOY36" s="17">
        <f>'Form-Sb'!GPC94</f>
        <v>0</v>
      </c>
      <c r="GOZ36" s="17">
        <f>'Form-Sb'!GPD94</f>
        <v>0</v>
      </c>
      <c r="GPA36" s="17">
        <f>'Form-Sb'!GPE94</f>
        <v>0</v>
      </c>
      <c r="GPB36" s="17">
        <f>'Form-Sb'!GPF94</f>
        <v>0</v>
      </c>
      <c r="GPC36" s="17">
        <f>'Form-Sb'!GPG94</f>
        <v>0</v>
      </c>
      <c r="GPD36" s="17">
        <f>'Form-Sb'!GPH94</f>
        <v>0</v>
      </c>
      <c r="GPE36" s="17">
        <f>'Form-Sb'!GPI94</f>
        <v>0</v>
      </c>
      <c r="GPF36" s="17">
        <f>'Form-Sb'!GPJ94</f>
        <v>0</v>
      </c>
      <c r="GPG36" s="17">
        <f>'Form-Sb'!GPK94</f>
        <v>0</v>
      </c>
      <c r="GPH36" s="17">
        <f>'Form-Sb'!GPL94</f>
        <v>0</v>
      </c>
      <c r="GPI36" s="17">
        <f>'Form-Sb'!GPM94</f>
        <v>0</v>
      </c>
      <c r="GPJ36" s="17">
        <f>'Form-Sb'!GPN94</f>
        <v>0</v>
      </c>
      <c r="GPK36" s="17">
        <f>'Form-Sb'!GPO94</f>
        <v>0</v>
      </c>
      <c r="GPL36" s="17">
        <f>'Form-Sb'!GPP94</f>
        <v>0</v>
      </c>
      <c r="GPM36" s="17">
        <f>'Form-Sb'!GPQ94</f>
        <v>0</v>
      </c>
      <c r="GPN36" s="17">
        <f>'Form-Sb'!GPR94</f>
        <v>0</v>
      </c>
      <c r="GPO36" s="17">
        <f>'Form-Sb'!GPS94</f>
        <v>0</v>
      </c>
      <c r="GPP36" s="17">
        <f>'Form-Sb'!GPT94</f>
        <v>0</v>
      </c>
      <c r="GPQ36" s="17">
        <f>'Form-Sb'!GPU94</f>
        <v>0</v>
      </c>
      <c r="GPR36" s="17">
        <f>'Form-Sb'!GPV94</f>
        <v>0</v>
      </c>
      <c r="GPS36" s="17">
        <f>'Form-Sb'!GPW94</f>
        <v>0</v>
      </c>
      <c r="GPT36" s="17">
        <f>'Form-Sb'!GPX94</f>
        <v>0</v>
      </c>
      <c r="GPU36" s="17">
        <f>'Form-Sb'!GPY94</f>
        <v>0</v>
      </c>
      <c r="GPV36" s="17">
        <f>'Form-Sb'!GPZ94</f>
        <v>0</v>
      </c>
      <c r="GPW36" s="17">
        <f>'Form-Sb'!GQA94</f>
        <v>0</v>
      </c>
      <c r="GPX36" s="17">
        <f>'Form-Sb'!GQB94</f>
        <v>0</v>
      </c>
      <c r="GPY36" s="17">
        <f>'Form-Sb'!GQC94</f>
        <v>0</v>
      </c>
      <c r="GPZ36" s="17">
        <f>'Form-Sb'!GQD94</f>
        <v>0</v>
      </c>
      <c r="GQA36" s="17">
        <f>'Form-Sb'!GQE94</f>
        <v>0</v>
      </c>
      <c r="GQB36" s="17">
        <f>'Form-Sb'!GQF94</f>
        <v>0</v>
      </c>
      <c r="GQC36" s="17">
        <f>'Form-Sb'!GQG94</f>
        <v>0</v>
      </c>
      <c r="GQD36" s="17">
        <f>'Form-Sb'!GQH94</f>
        <v>0</v>
      </c>
      <c r="GQE36" s="17">
        <f>'Form-Sb'!GQI94</f>
        <v>0</v>
      </c>
      <c r="GQF36" s="17">
        <f>'Form-Sb'!GQJ94</f>
        <v>0</v>
      </c>
      <c r="GQG36" s="17">
        <f>'Form-Sb'!GQK94</f>
        <v>0</v>
      </c>
      <c r="GQH36" s="17">
        <f>'Form-Sb'!GQL94</f>
        <v>0</v>
      </c>
      <c r="GQI36" s="17">
        <f>'Form-Sb'!GQM94</f>
        <v>0</v>
      </c>
      <c r="GQJ36" s="17">
        <f>'Form-Sb'!GQN94</f>
        <v>0</v>
      </c>
      <c r="GQK36" s="17">
        <f>'Form-Sb'!GQO94</f>
        <v>0</v>
      </c>
      <c r="GQL36" s="17">
        <f>'Form-Sb'!GQP94</f>
        <v>0</v>
      </c>
      <c r="GQM36" s="17">
        <f>'Form-Sb'!GQQ94</f>
        <v>0</v>
      </c>
      <c r="GQN36" s="17">
        <f>'Form-Sb'!GQR94</f>
        <v>0</v>
      </c>
      <c r="GQO36" s="17">
        <f>'Form-Sb'!GQS94</f>
        <v>0</v>
      </c>
      <c r="GQP36" s="17">
        <f>'Form-Sb'!GQT94</f>
        <v>0</v>
      </c>
      <c r="GQQ36" s="17">
        <f>'Form-Sb'!GQU94</f>
        <v>0</v>
      </c>
      <c r="GQR36" s="17">
        <f>'Form-Sb'!GQV94</f>
        <v>0</v>
      </c>
      <c r="GQS36" s="17">
        <f>'Form-Sb'!GQW94</f>
        <v>0</v>
      </c>
      <c r="GQT36" s="17">
        <f>'Form-Sb'!GQX94</f>
        <v>0</v>
      </c>
      <c r="GQU36" s="17">
        <f>'Form-Sb'!GQY94</f>
        <v>0</v>
      </c>
      <c r="GQV36" s="17">
        <f>'Form-Sb'!GQZ94</f>
        <v>0</v>
      </c>
      <c r="GQW36" s="17">
        <f>'Form-Sb'!GRA94</f>
        <v>0</v>
      </c>
      <c r="GQX36" s="17">
        <f>'Form-Sb'!GRB94</f>
        <v>0</v>
      </c>
      <c r="GQY36" s="17">
        <f>'Form-Sb'!GRC94</f>
        <v>0</v>
      </c>
      <c r="GQZ36" s="17">
        <f>'Form-Sb'!GRD94</f>
        <v>0</v>
      </c>
      <c r="GRA36" s="17">
        <f>'Form-Sb'!GRE94</f>
        <v>0</v>
      </c>
      <c r="GRB36" s="17">
        <f>'Form-Sb'!GRF94</f>
        <v>0</v>
      </c>
      <c r="GRC36" s="17">
        <f>'Form-Sb'!GRG94</f>
        <v>0</v>
      </c>
      <c r="GRD36" s="17">
        <f>'Form-Sb'!GRH94</f>
        <v>0</v>
      </c>
      <c r="GRE36" s="17">
        <f>'Form-Sb'!GRI94</f>
        <v>0</v>
      </c>
      <c r="GRF36" s="17">
        <f>'Form-Sb'!GRJ94</f>
        <v>0</v>
      </c>
      <c r="GRG36" s="17">
        <f>'Form-Sb'!GRK94</f>
        <v>0</v>
      </c>
      <c r="GRH36" s="17">
        <f>'Form-Sb'!GRL94</f>
        <v>0</v>
      </c>
      <c r="GRI36" s="17">
        <f>'Form-Sb'!GRM94</f>
        <v>0</v>
      </c>
      <c r="GRJ36" s="17">
        <f>'Form-Sb'!GRN94</f>
        <v>0</v>
      </c>
      <c r="GRK36" s="17">
        <f>'Form-Sb'!GRO94</f>
        <v>0</v>
      </c>
      <c r="GRL36" s="17">
        <f>'Form-Sb'!GRP94</f>
        <v>0</v>
      </c>
      <c r="GRM36" s="17">
        <f>'Form-Sb'!GRQ94</f>
        <v>0</v>
      </c>
      <c r="GRN36" s="17">
        <f>'Form-Sb'!GRR94</f>
        <v>0</v>
      </c>
      <c r="GRO36" s="17">
        <f>'Form-Sb'!GRS94</f>
        <v>0</v>
      </c>
      <c r="GRP36" s="17">
        <f>'Form-Sb'!GRT94</f>
        <v>0</v>
      </c>
      <c r="GRQ36" s="17">
        <f>'Form-Sb'!GRU94</f>
        <v>0</v>
      </c>
      <c r="GRR36" s="17">
        <f>'Form-Sb'!GRV94</f>
        <v>0</v>
      </c>
      <c r="GRS36" s="17">
        <f>'Form-Sb'!GRW94</f>
        <v>0</v>
      </c>
      <c r="GRT36" s="17">
        <f>'Form-Sb'!GRX94</f>
        <v>0</v>
      </c>
      <c r="GRU36" s="17">
        <f>'Form-Sb'!GRY94</f>
        <v>0</v>
      </c>
      <c r="GRV36" s="17">
        <f>'Form-Sb'!GRZ94</f>
        <v>0</v>
      </c>
      <c r="GRW36" s="17">
        <f>'Form-Sb'!GSA94</f>
        <v>0</v>
      </c>
      <c r="GRX36" s="17">
        <f>'Form-Sb'!GSB94</f>
        <v>0</v>
      </c>
      <c r="GRY36" s="17">
        <f>'Form-Sb'!GSC94</f>
        <v>0</v>
      </c>
      <c r="GRZ36" s="17">
        <f>'Form-Sb'!GSD94</f>
        <v>0</v>
      </c>
      <c r="GSA36" s="17">
        <f>'Form-Sb'!GSE94</f>
        <v>0</v>
      </c>
      <c r="GSB36" s="17">
        <f>'Form-Sb'!GSF94</f>
        <v>0</v>
      </c>
      <c r="GSC36" s="17">
        <f>'Form-Sb'!GSG94</f>
        <v>0</v>
      </c>
      <c r="GSD36" s="17">
        <f>'Form-Sb'!GSH94</f>
        <v>0</v>
      </c>
      <c r="GSE36" s="17">
        <f>'Form-Sb'!GSI94</f>
        <v>0</v>
      </c>
      <c r="GSF36" s="17">
        <f>'Form-Sb'!GSJ94</f>
        <v>0</v>
      </c>
      <c r="GSG36" s="17">
        <f>'Form-Sb'!GSK94</f>
        <v>0</v>
      </c>
      <c r="GSH36" s="17">
        <f>'Form-Sb'!GSL94</f>
        <v>0</v>
      </c>
      <c r="GSI36" s="17">
        <f>'Form-Sb'!GSM94</f>
        <v>0</v>
      </c>
      <c r="GSJ36" s="17">
        <f>'Form-Sb'!GSN94</f>
        <v>0</v>
      </c>
      <c r="GSK36" s="17">
        <f>'Form-Sb'!GSO94</f>
        <v>0</v>
      </c>
      <c r="GSL36" s="17">
        <f>'Form-Sb'!GSP94</f>
        <v>0</v>
      </c>
      <c r="GSM36" s="17">
        <f>'Form-Sb'!GSQ94</f>
        <v>0</v>
      </c>
      <c r="GSN36" s="17">
        <f>'Form-Sb'!GSR94</f>
        <v>0</v>
      </c>
      <c r="GSO36" s="17">
        <f>'Form-Sb'!GSS94</f>
        <v>0</v>
      </c>
      <c r="GSP36" s="17">
        <f>'Form-Sb'!GST94</f>
        <v>0</v>
      </c>
      <c r="GSQ36" s="17">
        <f>'Form-Sb'!GSU94</f>
        <v>0</v>
      </c>
      <c r="GSR36" s="17">
        <f>'Form-Sb'!GSV94</f>
        <v>0</v>
      </c>
      <c r="GSS36" s="17">
        <f>'Form-Sb'!GSW94</f>
        <v>0</v>
      </c>
      <c r="GST36" s="17">
        <f>'Form-Sb'!GSX94</f>
        <v>0</v>
      </c>
      <c r="GSU36" s="17">
        <f>'Form-Sb'!GSY94</f>
        <v>0</v>
      </c>
      <c r="GSV36" s="17">
        <f>'Form-Sb'!GSZ94</f>
        <v>0</v>
      </c>
      <c r="GSW36" s="17">
        <f>'Form-Sb'!GTA94</f>
        <v>0</v>
      </c>
      <c r="GSX36" s="17">
        <f>'Form-Sb'!GTB94</f>
        <v>0</v>
      </c>
      <c r="GSY36" s="17">
        <f>'Form-Sb'!GTC94</f>
        <v>0</v>
      </c>
      <c r="GSZ36" s="17">
        <f>'Form-Sb'!GTD94</f>
        <v>0</v>
      </c>
      <c r="GTA36" s="17">
        <f>'Form-Sb'!GTE94</f>
        <v>0</v>
      </c>
      <c r="GTB36" s="17">
        <f>'Form-Sb'!GTF94</f>
        <v>0</v>
      </c>
      <c r="GTC36" s="17">
        <f>'Form-Sb'!GTG94</f>
        <v>0</v>
      </c>
      <c r="GTD36" s="17">
        <f>'Form-Sb'!GTH94</f>
        <v>0</v>
      </c>
      <c r="GTE36" s="17">
        <f>'Form-Sb'!GTI94</f>
        <v>0</v>
      </c>
      <c r="GTF36" s="17">
        <f>'Form-Sb'!GTJ94</f>
        <v>0</v>
      </c>
      <c r="GTG36" s="17">
        <f>'Form-Sb'!GTK94</f>
        <v>0</v>
      </c>
      <c r="GTH36" s="17">
        <f>'Form-Sb'!GTL94</f>
        <v>0</v>
      </c>
      <c r="GTI36" s="17">
        <f>'Form-Sb'!GTM94</f>
        <v>0</v>
      </c>
      <c r="GTJ36" s="17">
        <f>'Form-Sb'!GTN94</f>
        <v>0</v>
      </c>
      <c r="GTK36" s="17">
        <f>'Form-Sb'!GTO94</f>
        <v>0</v>
      </c>
      <c r="GTL36" s="17">
        <f>'Form-Sb'!GTP94</f>
        <v>0</v>
      </c>
      <c r="GTM36" s="17">
        <f>'Form-Sb'!GTQ94</f>
        <v>0</v>
      </c>
      <c r="GTN36" s="17">
        <f>'Form-Sb'!GTR94</f>
        <v>0</v>
      </c>
      <c r="GTO36" s="17">
        <f>'Form-Sb'!GTS94</f>
        <v>0</v>
      </c>
      <c r="GTP36" s="17">
        <f>'Form-Sb'!GTT94</f>
        <v>0</v>
      </c>
      <c r="GTQ36" s="17">
        <f>'Form-Sb'!GTU94</f>
        <v>0</v>
      </c>
      <c r="GTR36" s="17">
        <f>'Form-Sb'!GTV94</f>
        <v>0</v>
      </c>
      <c r="GTS36" s="17">
        <f>'Form-Sb'!GTW94</f>
        <v>0</v>
      </c>
      <c r="GTT36" s="17">
        <f>'Form-Sb'!GTX94</f>
        <v>0</v>
      </c>
      <c r="GTU36" s="17">
        <f>'Form-Sb'!GTY94</f>
        <v>0</v>
      </c>
      <c r="GTV36" s="17">
        <f>'Form-Sb'!GTZ94</f>
        <v>0</v>
      </c>
      <c r="GTW36" s="17">
        <f>'Form-Sb'!GUA94</f>
        <v>0</v>
      </c>
      <c r="GTX36" s="17">
        <f>'Form-Sb'!GUB94</f>
        <v>0</v>
      </c>
      <c r="GTY36" s="17">
        <f>'Form-Sb'!GUC94</f>
        <v>0</v>
      </c>
      <c r="GTZ36" s="17">
        <f>'Form-Sb'!GUD94</f>
        <v>0</v>
      </c>
      <c r="GUA36" s="17">
        <f>'Form-Sb'!GUE94</f>
        <v>0</v>
      </c>
      <c r="GUB36" s="17">
        <f>'Form-Sb'!GUF94</f>
        <v>0</v>
      </c>
      <c r="GUC36" s="17">
        <f>'Form-Sb'!GUG94</f>
        <v>0</v>
      </c>
      <c r="GUD36" s="17">
        <f>'Form-Sb'!GUH94</f>
        <v>0</v>
      </c>
      <c r="GUE36" s="17">
        <f>'Form-Sb'!GUI94</f>
        <v>0</v>
      </c>
      <c r="GUF36" s="17">
        <f>'Form-Sb'!GUJ94</f>
        <v>0</v>
      </c>
      <c r="GUG36" s="17">
        <f>'Form-Sb'!GUK94</f>
        <v>0</v>
      </c>
      <c r="GUH36" s="17">
        <f>'Form-Sb'!GUL94</f>
        <v>0</v>
      </c>
      <c r="GUI36" s="17">
        <f>'Form-Sb'!GUM94</f>
        <v>0</v>
      </c>
      <c r="GUJ36" s="17">
        <f>'Form-Sb'!GUN94</f>
        <v>0</v>
      </c>
      <c r="GUK36" s="17">
        <f>'Form-Sb'!GUO94</f>
        <v>0</v>
      </c>
      <c r="GUL36" s="17">
        <f>'Form-Sb'!GUP94</f>
        <v>0</v>
      </c>
      <c r="GUM36" s="17">
        <f>'Form-Sb'!GUQ94</f>
        <v>0</v>
      </c>
      <c r="GUN36" s="17">
        <f>'Form-Sb'!GUR94</f>
        <v>0</v>
      </c>
      <c r="GUO36" s="17">
        <f>'Form-Sb'!GUS94</f>
        <v>0</v>
      </c>
      <c r="GUP36" s="17">
        <f>'Form-Sb'!GUT94</f>
        <v>0</v>
      </c>
      <c r="GUQ36" s="17">
        <f>'Form-Sb'!GUU94</f>
        <v>0</v>
      </c>
      <c r="GUR36" s="17">
        <f>'Form-Sb'!GUV94</f>
        <v>0</v>
      </c>
      <c r="GUS36" s="17">
        <f>'Form-Sb'!GUW94</f>
        <v>0</v>
      </c>
      <c r="GUT36" s="17">
        <f>'Form-Sb'!GUX94</f>
        <v>0</v>
      </c>
      <c r="GUU36" s="17">
        <f>'Form-Sb'!GUY94</f>
        <v>0</v>
      </c>
      <c r="GUV36" s="17">
        <f>'Form-Sb'!GUZ94</f>
        <v>0</v>
      </c>
      <c r="GUW36" s="17">
        <f>'Form-Sb'!GVA94</f>
        <v>0</v>
      </c>
      <c r="GUX36" s="17">
        <f>'Form-Sb'!GVB94</f>
        <v>0</v>
      </c>
      <c r="GUY36" s="17">
        <f>'Form-Sb'!GVC94</f>
        <v>0</v>
      </c>
      <c r="GUZ36" s="17">
        <f>'Form-Sb'!GVD94</f>
        <v>0</v>
      </c>
      <c r="GVA36" s="17">
        <f>'Form-Sb'!GVE94</f>
        <v>0</v>
      </c>
      <c r="GVB36" s="17">
        <f>'Form-Sb'!GVF94</f>
        <v>0</v>
      </c>
      <c r="GVC36" s="17">
        <f>'Form-Sb'!GVG94</f>
        <v>0</v>
      </c>
      <c r="GVD36" s="17">
        <f>'Form-Sb'!GVH94</f>
        <v>0</v>
      </c>
      <c r="GVE36" s="17">
        <f>'Form-Sb'!GVI94</f>
        <v>0</v>
      </c>
      <c r="GVF36" s="17">
        <f>'Form-Sb'!GVJ94</f>
        <v>0</v>
      </c>
      <c r="GVG36" s="17">
        <f>'Form-Sb'!GVK94</f>
        <v>0</v>
      </c>
      <c r="GVH36" s="17">
        <f>'Form-Sb'!GVL94</f>
        <v>0</v>
      </c>
      <c r="GVI36" s="17">
        <f>'Form-Sb'!GVM94</f>
        <v>0</v>
      </c>
      <c r="GVJ36" s="17">
        <f>'Form-Sb'!GVN94</f>
        <v>0</v>
      </c>
      <c r="GVK36" s="17">
        <f>'Form-Sb'!GVO94</f>
        <v>0</v>
      </c>
      <c r="GVL36" s="17">
        <f>'Form-Sb'!GVP94</f>
        <v>0</v>
      </c>
      <c r="GVM36" s="17">
        <f>'Form-Sb'!GVQ94</f>
        <v>0</v>
      </c>
      <c r="GVN36" s="17">
        <f>'Form-Sb'!GVR94</f>
        <v>0</v>
      </c>
      <c r="GVO36" s="17">
        <f>'Form-Sb'!GVS94</f>
        <v>0</v>
      </c>
      <c r="GVP36" s="17">
        <f>'Form-Sb'!GVT94</f>
        <v>0</v>
      </c>
      <c r="GVQ36" s="17">
        <f>'Form-Sb'!GVU94</f>
        <v>0</v>
      </c>
      <c r="GVR36" s="17">
        <f>'Form-Sb'!GVV94</f>
        <v>0</v>
      </c>
      <c r="GVS36" s="17">
        <f>'Form-Sb'!GVW94</f>
        <v>0</v>
      </c>
      <c r="GVT36" s="17">
        <f>'Form-Sb'!GVX94</f>
        <v>0</v>
      </c>
      <c r="GVU36" s="17">
        <f>'Form-Sb'!GVY94</f>
        <v>0</v>
      </c>
      <c r="GVV36" s="17">
        <f>'Form-Sb'!GVZ94</f>
        <v>0</v>
      </c>
      <c r="GVW36" s="17">
        <f>'Form-Sb'!GWA94</f>
        <v>0</v>
      </c>
      <c r="GVX36" s="17">
        <f>'Form-Sb'!GWB94</f>
        <v>0</v>
      </c>
      <c r="GVY36" s="17">
        <f>'Form-Sb'!GWC94</f>
        <v>0</v>
      </c>
      <c r="GVZ36" s="17">
        <f>'Form-Sb'!GWD94</f>
        <v>0</v>
      </c>
      <c r="GWA36" s="17">
        <f>'Form-Sb'!GWE94</f>
        <v>0</v>
      </c>
      <c r="GWB36" s="17">
        <f>'Form-Sb'!GWF94</f>
        <v>0</v>
      </c>
      <c r="GWC36" s="17">
        <f>'Form-Sb'!GWG94</f>
        <v>0</v>
      </c>
      <c r="GWD36" s="17">
        <f>'Form-Sb'!GWH94</f>
        <v>0</v>
      </c>
      <c r="GWE36" s="17">
        <f>'Form-Sb'!GWI94</f>
        <v>0</v>
      </c>
      <c r="GWF36" s="17">
        <f>'Form-Sb'!GWJ94</f>
        <v>0</v>
      </c>
      <c r="GWG36" s="17">
        <f>'Form-Sb'!GWK94</f>
        <v>0</v>
      </c>
      <c r="GWH36" s="17">
        <f>'Form-Sb'!GWL94</f>
        <v>0</v>
      </c>
      <c r="GWI36" s="17">
        <f>'Form-Sb'!GWM94</f>
        <v>0</v>
      </c>
      <c r="GWJ36" s="17">
        <f>'Form-Sb'!GWN94</f>
        <v>0</v>
      </c>
      <c r="GWK36" s="17">
        <f>'Form-Sb'!GWO94</f>
        <v>0</v>
      </c>
      <c r="GWL36" s="17">
        <f>'Form-Sb'!GWP94</f>
        <v>0</v>
      </c>
      <c r="GWM36" s="17">
        <f>'Form-Sb'!GWQ94</f>
        <v>0</v>
      </c>
      <c r="GWN36" s="17">
        <f>'Form-Sb'!GWR94</f>
        <v>0</v>
      </c>
      <c r="GWO36" s="17">
        <f>'Form-Sb'!GWS94</f>
        <v>0</v>
      </c>
      <c r="GWP36" s="17">
        <f>'Form-Sb'!GWT94</f>
        <v>0</v>
      </c>
      <c r="GWQ36" s="17">
        <f>'Form-Sb'!GWU94</f>
        <v>0</v>
      </c>
      <c r="GWR36" s="17">
        <f>'Form-Sb'!GWV94</f>
        <v>0</v>
      </c>
      <c r="GWS36" s="17">
        <f>'Form-Sb'!GWW94</f>
        <v>0</v>
      </c>
      <c r="GWT36" s="17">
        <f>'Form-Sb'!GWX94</f>
        <v>0</v>
      </c>
      <c r="GWU36" s="17">
        <f>'Form-Sb'!GWY94</f>
        <v>0</v>
      </c>
      <c r="GWV36" s="17">
        <f>'Form-Sb'!GWZ94</f>
        <v>0</v>
      </c>
      <c r="GWW36" s="17">
        <f>'Form-Sb'!GXA94</f>
        <v>0</v>
      </c>
      <c r="GWX36" s="17">
        <f>'Form-Sb'!GXB94</f>
        <v>0</v>
      </c>
      <c r="GWY36" s="17">
        <f>'Form-Sb'!GXC94</f>
        <v>0</v>
      </c>
      <c r="GWZ36" s="17">
        <f>'Form-Sb'!GXD94</f>
        <v>0</v>
      </c>
      <c r="GXA36" s="17">
        <f>'Form-Sb'!GXE94</f>
        <v>0</v>
      </c>
      <c r="GXB36" s="17">
        <f>'Form-Sb'!GXF94</f>
        <v>0</v>
      </c>
      <c r="GXC36" s="17">
        <f>'Form-Sb'!GXG94</f>
        <v>0</v>
      </c>
      <c r="GXD36" s="17">
        <f>'Form-Sb'!GXH94</f>
        <v>0</v>
      </c>
      <c r="GXE36" s="17">
        <f>'Form-Sb'!GXI94</f>
        <v>0</v>
      </c>
      <c r="GXF36" s="17">
        <f>'Form-Sb'!GXJ94</f>
        <v>0</v>
      </c>
      <c r="GXG36" s="17">
        <f>'Form-Sb'!GXK94</f>
        <v>0</v>
      </c>
      <c r="GXH36" s="17">
        <f>'Form-Sb'!GXL94</f>
        <v>0</v>
      </c>
      <c r="GXI36" s="17">
        <f>'Form-Sb'!GXM94</f>
        <v>0</v>
      </c>
      <c r="GXJ36" s="17">
        <f>'Form-Sb'!GXN94</f>
        <v>0</v>
      </c>
      <c r="GXK36" s="17">
        <f>'Form-Sb'!GXO94</f>
        <v>0</v>
      </c>
      <c r="GXL36" s="17">
        <f>'Form-Sb'!GXP94</f>
        <v>0</v>
      </c>
      <c r="GXM36" s="17">
        <f>'Form-Sb'!GXQ94</f>
        <v>0</v>
      </c>
      <c r="GXN36" s="17">
        <f>'Form-Sb'!GXR94</f>
        <v>0</v>
      </c>
      <c r="GXO36" s="17">
        <f>'Form-Sb'!GXS94</f>
        <v>0</v>
      </c>
      <c r="GXP36" s="17">
        <f>'Form-Sb'!GXT94</f>
        <v>0</v>
      </c>
      <c r="GXQ36" s="17">
        <f>'Form-Sb'!GXU94</f>
        <v>0</v>
      </c>
      <c r="GXR36" s="17">
        <f>'Form-Sb'!GXV94</f>
        <v>0</v>
      </c>
      <c r="GXS36" s="17">
        <f>'Form-Sb'!GXW94</f>
        <v>0</v>
      </c>
      <c r="GXT36" s="17">
        <f>'Form-Sb'!GXX94</f>
        <v>0</v>
      </c>
      <c r="GXU36" s="17">
        <f>'Form-Sb'!GXY94</f>
        <v>0</v>
      </c>
      <c r="GXV36" s="17">
        <f>'Form-Sb'!GXZ94</f>
        <v>0</v>
      </c>
      <c r="GXW36" s="17">
        <f>'Form-Sb'!GYA94</f>
        <v>0</v>
      </c>
      <c r="GXX36" s="17">
        <f>'Form-Sb'!GYB94</f>
        <v>0</v>
      </c>
      <c r="GXY36" s="17">
        <f>'Form-Sb'!GYC94</f>
        <v>0</v>
      </c>
      <c r="GXZ36" s="17">
        <f>'Form-Sb'!GYD94</f>
        <v>0</v>
      </c>
      <c r="GYA36" s="17">
        <f>'Form-Sb'!GYE94</f>
        <v>0</v>
      </c>
      <c r="GYB36" s="17">
        <f>'Form-Sb'!GYF94</f>
        <v>0</v>
      </c>
      <c r="GYC36" s="17">
        <f>'Form-Sb'!GYG94</f>
        <v>0</v>
      </c>
      <c r="GYD36" s="17">
        <f>'Form-Sb'!GYH94</f>
        <v>0</v>
      </c>
      <c r="GYE36" s="17">
        <f>'Form-Sb'!GYI94</f>
        <v>0</v>
      </c>
      <c r="GYF36" s="17">
        <f>'Form-Sb'!GYJ94</f>
        <v>0</v>
      </c>
      <c r="GYG36" s="17">
        <f>'Form-Sb'!GYK94</f>
        <v>0</v>
      </c>
      <c r="GYH36" s="17">
        <f>'Form-Sb'!GYL94</f>
        <v>0</v>
      </c>
      <c r="GYI36" s="17">
        <f>'Form-Sb'!GYM94</f>
        <v>0</v>
      </c>
      <c r="GYJ36" s="17">
        <f>'Form-Sb'!GYN94</f>
        <v>0</v>
      </c>
      <c r="GYK36" s="17">
        <f>'Form-Sb'!GYO94</f>
        <v>0</v>
      </c>
      <c r="GYL36" s="17">
        <f>'Form-Sb'!GYP94</f>
        <v>0</v>
      </c>
      <c r="GYM36" s="17">
        <f>'Form-Sb'!GYQ94</f>
        <v>0</v>
      </c>
      <c r="GYN36" s="17">
        <f>'Form-Sb'!GYR94</f>
        <v>0</v>
      </c>
      <c r="GYO36" s="17">
        <f>'Form-Sb'!GYS94</f>
        <v>0</v>
      </c>
      <c r="GYP36" s="17">
        <f>'Form-Sb'!GYT94</f>
        <v>0</v>
      </c>
      <c r="GYQ36" s="17">
        <f>'Form-Sb'!GYU94</f>
        <v>0</v>
      </c>
      <c r="GYR36" s="17">
        <f>'Form-Sb'!GYV94</f>
        <v>0</v>
      </c>
      <c r="GYS36" s="17">
        <f>'Form-Sb'!GYW94</f>
        <v>0</v>
      </c>
      <c r="GYT36" s="17">
        <f>'Form-Sb'!GYX94</f>
        <v>0</v>
      </c>
      <c r="GYU36" s="17">
        <f>'Form-Sb'!GYY94</f>
        <v>0</v>
      </c>
      <c r="GYV36" s="17">
        <f>'Form-Sb'!GYZ94</f>
        <v>0</v>
      </c>
      <c r="GYW36" s="17">
        <f>'Form-Sb'!GZA94</f>
        <v>0</v>
      </c>
      <c r="GYX36" s="17">
        <f>'Form-Sb'!GZB94</f>
        <v>0</v>
      </c>
      <c r="GYY36" s="17">
        <f>'Form-Sb'!GZC94</f>
        <v>0</v>
      </c>
      <c r="GYZ36" s="17">
        <f>'Form-Sb'!GZD94</f>
        <v>0</v>
      </c>
      <c r="GZA36" s="17">
        <f>'Form-Sb'!GZE94</f>
        <v>0</v>
      </c>
      <c r="GZB36" s="17">
        <f>'Form-Sb'!GZF94</f>
        <v>0</v>
      </c>
      <c r="GZC36" s="17">
        <f>'Form-Sb'!GZG94</f>
        <v>0</v>
      </c>
      <c r="GZD36" s="17">
        <f>'Form-Sb'!GZH94</f>
        <v>0</v>
      </c>
      <c r="GZE36" s="17">
        <f>'Form-Sb'!GZI94</f>
        <v>0</v>
      </c>
      <c r="GZF36" s="17">
        <f>'Form-Sb'!GZJ94</f>
        <v>0</v>
      </c>
      <c r="GZG36" s="17">
        <f>'Form-Sb'!GZK94</f>
        <v>0</v>
      </c>
      <c r="GZH36" s="17">
        <f>'Form-Sb'!GZL94</f>
        <v>0</v>
      </c>
      <c r="GZI36" s="17">
        <f>'Form-Sb'!GZM94</f>
        <v>0</v>
      </c>
      <c r="GZJ36" s="17">
        <f>'Form-Sb'!GZN94</f>
        <v>0</v>
      </c>
      <c r="GZK36" s="17">
        <f>'Form-Sb'!GZO94</f>
        <v>0</v>
      </c>
      <c r="GZL36" s="17">
        <f>'Form-Sb'!GZP94</f>
        <v>0</v>
      </c>
      <c r="GZM36" s="17">
        <f>'Form-Sb'!GZQ94</f>
        <v>0</v>
      </c>
      <c r="GZN36" s="17">
        <f>'Form-Sb'!GZR94</f>
        <v>0</v>
      </c>
      <c r="GZO36" s="17">
        <f>'Form-Sb'!GZS94</f>
        <v>0</v>
      </c>
      <c r="GZP36" s="17">
        <f>'Form-Sb'!GZT94</f>
        <v>0</v>
      </c>
      <c r="GZQ36" s="17">
        <f>'Form-Sb'!GZU94</f>
        <v>0</v>
      </c>
      <c r="GZR36" s="17">
        <f>'Form-Sb'!GZV94</f>
        <v>0</v>
      </c>
      <c r="GZS36" s="17">
        <f>'Form-Sb'!GZW94</f>
        <v>0</v>
      </c>
      <c r="GZT36" s="17">
        <f>'Form-Sb'!GZX94</f>
        <v>0</v>
      </c>
      <c r="GZU36" s="17">
        <f>'Form-Sb'!GZY94</f>
        <v>0</v>
      </c>
      <c r="GZV36" s="17">
        <f>'Form-Sb'!GZZ94</f>
        <v>0</v>
      </c>
      <c r="GZW36" s="17">
        <f>'Form-Sb'!HAA94</f>
        <v>0</v>
      </c>
      <c r="GZX36" s="17">
        <f>'Form-Sb'!HAB94</f>
        <v>0</v>
      </c>
      <c r="GZY36" s="17">
        <f>'Form-Sb'!HAC94</f>
        <v>0</v>
      </c>
      <c r="GZZ36" s="17">
        <f>'Form-Sb'!HAD94</f>
        <v>0</v>
      </c>
      <c r="HAA36" s="17">
        <f>'Form-Sb'!HAE94</f>
        <v>0</v>
      </c>
      <c r="HAB36" s="17">
        <f>'Form-Sb'!HAF94</f>
        <v>0</v>
      </c>
      <c r="HAC36" s="17">
        <f>'Form-Sb'!HAG94</f>
        <v>0</v>
      </c>
      <c r="HAD36" s="17">
        <f>'Form-Sb'!HAH94</f>
        <v>0</v>
      </c>
      <c r="HAE36" s="17">
        <f>'Form-Sb'!HAI94</f>
        <v>0</v>
      </c>
      <c r="HAF36" s="17">
        <f>'Form-Sb'!HAJ94</f>
        <v>0</v>
      </c>
      <c r="HAG36" s="17">
        <f>'Form-Sb'!HAK94</f>
        <v>0</v>
      </c>
      <c r="HAH36" s="17">
        <f>'Form-Sb'!HAL94</f>
        <v>0</v>
      </c>
      <c r="HAI36" s="17">
        <f>'Form-Sb'!HAM94</f>
        <v>0</v>
      </c>
      <c r="HAJ36" s="17">
        <f>'Form-Sb'!HAN94</f>
        <v>0</v>
      </c>
      <c r="HAK36" s="17">
        <f>'Form-Sb'!HAO94</f>
        <v>0</v>
      </c>
      <c r="HAL36" s="17">
        <f>'Form-Sb'!HAP94</f>
        <v>0</v>
      </c>
      <c r="HAM36" s="17">
        <f>'Form-Sb'!HAQ94</f>
        <v>0</v>
      </c>
      <c r="HAN36" s="17">
        <f>'Form-Sb'!HAR94</f>
        <v>0</v>
      </c>
      <c r="HAO36" s="17">
        <f>'Form-Sb'!HAS94</f>
        <v>0</v>
      </c>
      <c r="HAP36" s="17">
        <f>'Form-Sb'!HAT94</f>
        <v>0</v>
      </c>
      <c r="HAQ36" s="17">
        <f>'Form-Sb'!HAU94</f>
        <v>0</v>
      </c>
      <c r="HAR36" s="17">
        <f>'Form-Sb'!HAV94</f>
        <v>0</v>
      </c>
      <c r="HAS36" s="17">
        <f>'Form-Sb'!HAW94</f>
        <v>0</v>
      </c>
      <c r="HAT36" s="17">
        <f>'Form-Sb'!HAX94</f>
        <v>0</v>
      </c>
      <c r="HAU36" s="17">
        <f>'Form-Sb'!HAY94</f>
        <v>0</v>
      </c>
      <c r="HAV36" s="17">
        <f>'Form-Sb'!HAZ94</f>
        <v>0</v>
      </c>
      <c r="HAW36" s="17">
        <f>'Form-Sb'!HBA94</f>
        <v>0</v>
      </c>
      <c r="HAX36" s="17">
        <f>'Form-Sb'!HBB94</f>
        <v>0</v>
      </c>
      <c r="HAY36" s="17">
        <f>'Form-Sb'!HBC94</f>
        <v>0</v>
      </c>
      <c r="HAZ36" s="17">
        <f>'Form-Sb'!HBD94</f>
        <v>0</v>
      </c>
      <c r="HBA36" s="17">
        <f>'Form-Sb'!HBE94</f>
        <v>0</v>
      </c>
      <c r="HBB36" s="17">
        <f>'Form-Sb'!HBF94</f>
        <v>0</v>
      </c>
      <c r="HBC36" s="17">
        <f>'Form-Sb'!HBG94</f>
        <v>0</v>
      </c>
      <c r="HBD36" s="17">
        <f>'Form-Sb'!HBH94</f>
        <v>0</v>
      </c>
      <c r="HBE36" s="17">
        <f>'Form-Sb'!HBI94</f>
        <v>0</v>
      </c>
      <c r="HBF36" s="17">
        <f>'Form-Sb'!HBJ94</f>
        <v>0</v>
      </c>
      <c r="HBG36" s="17">
        <f>'Form-Sb'!HBK94</f>
        <v>0</v>
      </c>
      <c r="HBH36" s="17">
        <f>'Form-Sb'!HBL94</f>
        <v>0</v>
      </c>
      <c r="HBI36" s="17">
        <f>'Form-Sb'!HBM94</f>
        <v>0</v>
      </c>
      <c r="HBJ36" s="17">
        <f>'Form-Sb'!HBN94</f>
        <v>0</v>
      </c>
      <c r="HBK36" s="17">
        <f>'Form-Sb'!HBO94</f>
        <v>0</v>
      </c>
      <c r="HBL36" s="17">
        <f>'Form-Sb'!HBP94</f>
        <v>0</v>
      </c>
      <c r="HBM36" s="17">
        <f>'Form-Sb'!HBQ94</f>
        <v>0</v>
      </c>
      <c r="HBN36" s="17">
        <f>'Form-Sb'!HBR94</f>
        <v>0</v>
      </c>
      <c r="HBO36" s="17">
        <f>'Form-Sb'!HBS94</f>
        <v>0</v>
      </c>
      <c r="HBP36" s="17">
        <f>'Form-Sb'!HBT94</f>
        <v>0</v>
      </c>
      <c r="HBQ36" s="17">
        <f>'Form-Sb'!HBU94</f>
        <v>0</v>
      </c>
      <c r="HBR36" s="17">
        <f>'Form-Sb'!HBV94</f>
        <v>0</v>
      </c>
      <c r="HBS36" s="17">
        <f>'Form-Sb'!HBW94</f>
        <v>0</v>
      </c>
      <c r="HBT36" s="17">
        <f>'Form-Sb'!HBX94</f>
        <v>0</v>
      </c>
      <c r="HBU36" s="17">
        <f>'Form-Sb'!HBY94</f>
        <v>0</v>
      </c>
      <c r="HBV36" s="17">
        <f>'Form-Sb'!HBZ94</f>
        <v>0</v>
      </c>
      <c r="HBW36" s="17">
        <f>'Form-Sb'!HCA94</f>
        <v>0</v>
      </c>
      <c r="HBX36" s="17">
        <f>'Form-Sb'!HCB94</f>
        <v>0</v>
      </c>
      <c r="HBY36" s="17">
        <f>'Form-Sb'!HCC94</f>
        <v>0</v>
      </c>
      <c r="HBZ36" s="17">
        <f>'Form-Sb'!HCD94</f>
        <v>0</v>
      </c>
      <c r="HCA36" s="17">
        <f>'Form-Sb'!HCE94</f>
        <v>0</v>
      </c>
      <c r="HCB36" s="17">
        <f>'Form-Sb'!HCF94</f>
        <v>0</v>
      </c>
      <c r="HCC36" s="17">
        <f>'Form-Sb'!HCG94</f>
        <v>0</v>
      </c>
      <c r="HCD36" s="17">
        <f>'Form-Sb'!HCH94</f>
        <v>0</v>
      </c>
      <c r="HCE36" s="17">
        <f>'Form-Sb'!HCI94</f>
        <v>0</v>
      </c>
      <c r="HCF36" s="17">
        <f>'Form-Sb'!HCJ94</f>
        <v>0</v>
      </c>
      <c r="HCG36" s="17">
        <f>'Form-Sb'!HCK94</f>
        <v>0</v>
      </c>
      <c r="HCH36" s="17">
        <f>'Form-Sb'!HCL94</f>
        <v>0</v>
      </c>
      <c r="HCI36" s="17">
        <f>'Form-Sb'!HCM94</f>
        <v>0</v>
      </c>
      <c r="HCJ36" s="17">
        <f>'Form-Sb'!HCN94</f>
        <v>0</v>
      </c>
      <c r="HCK36" s="17">
        <f>'Form-Sb'!HCO94</f>
        <v>0</v>
      </c>
      <c r="HCL36" s="17">
        <f>'Form-Sb'!HCP94</f>
        <v>0</v>
      </c>
      <c r="HCM36" s="17">
        <f>'Form-Sb'!HCQ94</f>
        <v>0</v>
      </c>
      <c r="HCN36" s="17">
        <f>'Form-Sb'!HCR94</f>
        <v>0</v>
      </c>
      <c r="HCO36" s="17">
        <f>'Form-Sb'!HCS94</f>
        <v>0</v>
      </c>
      <c r="HCP36" s="17">
        <f>'Form-Sb'!HCT94</f>
        <v>0</v>
      </c>
      <c r="HCQ36" s="17">
        <f>'Form-Sb'!HCU94</f>
        <v>0</v>
      </c>
      <c r="HCR36" s="17">
        <f>'Form-Sb'!HCV94</f>
        <v>0</v>
      </c>
      <c r="HCS36" s="17">
        <f>'Form-Sb'!HCW94</f>
        <v>0</v>
      </c>
      <c r="HCT36" s="17">
        <f>'Form-Sb'!HCX94</f>
        <v>0</v>
      </c>
      <c r="HCU36" s="17">
        <f>'Form-Sb'!HCY94</f>
        <v>0</v>
      </c>
      <c r="HCV36" s="17">
        <f>'Form-Sb'!HCZ94</f>
        <v>0</v>
      </c>
      <c r="HCW36" s="17">
        <f>'Form-Sb'!HDA94</f>
        <v>0</v>
      </c>
      <c r="HCX36" s="17">
        <f>'Form-Sb'!HDB94</f>
        <v>0</v>
      </c>
      <c r="HCY36" s="17">
        <f>'Form-Sb'!HDC94</f>
        <v>0</v>
      </c>
      <c r="HCZ36" s="17">
        <f>'Form-Sb'!HDD94</f>
        <v>0</v>
      </c>
      <c r="HDA36" s="17">
        <f>'Form-Sb'!HDE94</f>
        <v>0</v>
      </c>
      <c r="HDB36" s="17">
        <f>'Form-Sb'!HDF94</f>
        <v>0</v>
      </c>
      <c r="HDC36" s="17">
        <f>'Form-Sb'!HDG94</f>
        <v>0</v>
      </c>
      <c r="HDD36" s="17">
        <f>'Form-Sb'!HDH94</f>
        <v>0</v>
      </c>
      <c r="HDE36" s="17">
        <f>'Form-Sb'!HDI94</f>
        <v>0</v>
      </c>
      <c r="HDF36" s="17">
        <f>'Form-Sb'!HDJ94</f>
        <v>0</v>
      </c>
      <c r="HDG36" s="17">
        <f>'Form-Sb'!HDK94</f>
        <v>0</v>
      </c>
      <c r="HDH36" s="17">
        <f>'Form-Sb'!HDL94</f>
        <v>0</v>
      </c>
      <c r="HDI36" s="17">
        <f>'Form-Sb'!HDM94</f>
        <v>0</v>
      </c>
      <c r="HDJ36" s="17">
        <f>'Form-Sb'!HDN94</f>
        <v>0</v>
      </c>
      <c r="HDK36" s="17">
        <f>'Form-Sb'!HDO94</f>
        <v>0</v>
      </c>
      <c r="HDL36" s="17">
        <f>'Form-Sb'!HDP94</f>
        <v>0</v>
      </c>
      <c r="HDM36" s="17">
        <f>'Form-Sb'!HDQ94</f>
        <v>0</v>
      </c>
      <c r="HDN36" s="17">
        <f>'Form-Sb'!HDR94</f>
        <v>0</v>
      </c>
      <c r="HDO36" s="17">
        <f>'Form-Sb'!HDS94</f>
        <v>0</v>
      </c>
      <c r="HDP36" s="17">
        <f>'Form-Sb'!HDT94</f>
        <v>0</v>
      </c>
      <c r="HDQ36" s="17">
        <f>'Form-Sb'!HDU94</f>
        <v>0</v>
      </c>
      <c r="HDR36" s="17">
        <f>'Form-Sb'!HDV94</f>
        <v>0</v>
      </c>
      <c r="HDS36" s="17">
        <f>'Form-Sb'!HDW94</f>
        <v>0</v>
      </c>
      <c r="HDT36" s="17">
        <f>'Form-Sb'!HDX94</f>
        <v>0</v>
      </c>
      <c r="HDU36" s="17">
        <f>'Form-Sb'!HDY94</f>
        <v>0</v>
      </c>
      <c r="HDV36" s="17">
        <f>'Form-Sb'!HDZ94</f>
        <v>0</v>
      </c>
      <c r="HDW36" s="17">
        <f>'Form-Sb'!HEA94</f>
        <v>0</v>
      </c>
      <c r="HDX36" s="17">
        <f>'Form-Sb'!HEB94</f>
        <v>0</v>
      </c>
      <c r="HDY36" s="17">
        <f>'Form-Sb'!HEC94</f>
        <v>0</v>
      </c>
      <c r="HDZ36" s="17">
        <f>'Form-Sb'!HED94</f>
        <v>0</v>
      </c>
      <c r="HEA36" s="17">
        <f>'Form-Sb'!HEE94</f>
        <v>0</v>
      </c>
      <c r="HEB36" s="17">
        <f>'Form-Sb'!HEF94</f>
        <v>0</v>
      </c>
      <c r="HEC36" s="17">
        <f>'Form-Sb'!HEG94</f>
        <v>0</v>
      </c>
      <c r="HED36" s="17">
        <f>'Form-Sb'!HEH94</f>
        <v>0</v>
      </c>
      <c r="HEE36" s="17">
        <f>'Form-Sb'!HEI94</f>
        <v>0</v>
      </c>
      <c r="HEF36" s="17">
        <f>'Form-Sb'!HEJ94</f>
        <v>0</v>
      </c>
      <c r="HEG36" s="17">
        <f>'Form-Sb'!HEK94</f>
        <v>0</v>
      </c>
      <c r="HEH36" s="17">
        <f>'Form-Sb'!HEL94</f>
        <v>0</v>
      </c>
      <c r="HEI36" s="17">
        <f>'Form-Sb'!HEM94</f>
        <v>0</v>
      </c>
      <c r="HEJ36" s="17">
        <f>'Form-Sb'!HEN94</f>
        <v>0</v>
      </c>
      <c r="HEK36" s="17">
        <f>'Form-Sb'!HEO94</f>
        <v>0</v>
      </c>
      <c r="HEL36" s="17">
        <f>'Form-Sb'!HEP94</f>
        <v>0</v>
      </c>
      <c r="HEM36" s="17">
        <f>'Form-Sb'!HEQ94</f>
        <v>0</v>
      </c>
      <c r="HEN36" s="17">
        <f>'Form-Sb'!HER94</f>
        <v>0</v>
      </c>
      <c r="HEO36" s="17">
        <f>'Form-Sb'!HES94</f>
        <v>0</v>
      </c>
      <c r="HEP36" s="17">
        <f>'Form-Sb'!HET94</f>
        <v>0</v>
      </c>
      <c r="HEQ36" s="17">
        <f>'Form-Sb'!HEU94</f>
        <v>0</v>
      </c>
      <c r="HER36" s="17">
        <f>'Form-Sb'!HEV94</f>
        <v>0</v>
      </c>
      <c r="HES36" s="17">
        <f>'Form-Sb'!HEW94</f>
        <v>0</v>
      </c>
      <c r="HET36" s="17">
        <f>'Form-Sb'!HEX94</f>
        <v>0</v>
      </c>
      <c r="HEU36" s="17">
        <f>'Form-Sb'!HEY94</f>
        <v>0</v>
      </c>
      <c r="HEV36" s="17">
        <f>'Form-Sb'!HEZ94</f>
        <v>0</v>
      </c>
      <c r="HEW36" s="17">
        <f>'Form-Sb'!HFA94</f>
        <v>0</v>
      </c>
      <c r="HEX36" s="17">
        <f>'Form-Sb'!HFB94</f>
        <v>0</v>
      </c>
      <c r="HEY36" s="17">
        <f>'Form-Sb'!HFC94</f>
        <v>0</v>
      </c>
      <c r="HEZ36" s="17">
        <f>'Form-Sb'!HFD94</f>
        <v>0</v>
      </c>
      <c r="HFA36" s="17">
        <f>'Form-Sb'!HFE94</f>
        <v>0</v>
      </c>
      <c r="HFB36" s="17">
        <f>'Form-Sb'!HFF94</f>
        <v>0</v>
      </c>
      <c r="HFC36" s="17">
        <f>'Form-Sb'!HFG94</f>
        <v>0</v>
      </c>
      <c r="HFD36" s="17">
        <f>'Form-Sb'!HFH94</f>
        <v>0</v>
      </c>
      <c r="HFE36" s="17">
        <f>'Form-Sb'!HFI94</f>
        <v>0</v>
      </c>
      <c r="HFF36" s="17">
        <f>'Form-Sb'!HFJ94</f>
        <v>0</v>
      </c>
      <c r="HFG36" s="17">
        <f>'Form-Sb'!HFK94</f>
        <v>0</v>
      </c>
      <c r="HFH36" s="17">
        <f>'Form-Sb'!HFL94</f>
        <v>0</v>
      </c>
      <c r="HFI36" s="17">
        <f>'Form-Sb'!HFM94</f>
        <v>0</v>
      </c>
      <c r="HFJ36" s="17">
        <f>'Form-Sb'!HFN94</f>
        <v>0</v>
      </c>
      <c r="HFK36" s="17">
        <f>'Form-Sb'!HFO94</f>
        <v>0</v>
      </c>
      <c r="HFL36" s="17">
        <f>'Form-Sb'!HFP94</f>
        <v>0</v>
      </c>
      <c r="HFM36" s="17">
        <f>'Form-Sb'!HFQ94</f>
        <v>0</v>
      </c>
      <c r="HFN36" s="17">
        <f>'Form-Sb'!HFR94</f>
        <v>0</v>
      </c>
      <c r="HFO36" s="17">
        <f>'Form-Sb'!HFS94</f>
        <v>0</v>
      </c>
      <c r="HFP36" s="17">
        <f>'Form-Sb'!HFT94</f>
        <v>0</v>
      </c>
      <c r="HFQ36" s="17">
        <f>'Form-Sb'!HFU94</f>
        <v>0</v>
      </c>
      <c r="HFR36" s="17">
        <f>'Form-Sb'!HFV94</f>
        <v>0</v>
      </c>
      <c r="HFS36" s="17">
        <f>'Form-Sb'!HFW94</f>
        <v>0</v>
      </c>
      <c r="HFT36" s="17">
        <f>'Form-Sb'!HFX94</f>
        <v>0</v>
      </c>
      <c r="HFU36" s="17">
        <f>'Form-Sb'!HFY94</f>
        <v>0</v>
      </c>
      <c r="HFV36" s="17">
        <f>'Form-Sb'!HFZ94</f>
        <v>0</v>
      </c>
      <c r="HFW36" s="17">
        <f>'Form-Sb'!HGA94</f>
        <v>0</v>
      </c>
      <c r="HFX36" s="17">
        <f>'Form-Sb'!HGB94</f>
        <v>0</v>
      </c>
      <c r="HFY36" s="17">
        <f>'Form-Sb'!HGC94</f>
        <v>0</v>
      </c>
      <c r="HFZ36" s="17">
        <f>'Form-Sb'!HGD94</f>
        <v>0</v>
      </c>
      <c r="HGA36" s="17">
        <f>'Form-Sb'!HGE94</f>
        <v>0</v>
      </c>
      <c r="HGB36" s="17">
        <f>'Form-Sb'!HGF94</f>
        <v>0</v>
      </c>
      <c r="HGC36" s="17">
        <f>'Form-Sb'!HGG94</f>
        <v>0</v>
      </c>
      <c r="HGD36" s="17">
        <f>'Form-Sb'!HGH94</f>
        <v>0</v>
      </c>
      <c r="HGE36" s="17">
        <f>'Form-Sb'!HGI94</f>
        <v>0</v>
      </c>
      <c r="HGF36" s="17">
        <f>'Form-Sb'!HGJ94</f>
        <v>0</v>
      </c>
      <c r="HGG36" s="17">
        <f>'Form-Sb'!HGK94</f>
        <v>0</v>
      </c>
      <c r="HGH36" s="17">
        <f>'Form-Sb'!HGL94</f>
        <v>0</v>
      </c>
      <c r="HGI36" s="17">
        <f>'Form-Sb'!HGM94</f>
        <v>0</v>
      </c>
      <c r="HGJ36" s="17">
        <f>'Form-Sb'!HGN94</f>
        <v>0</v>
      </c>
      <c r="HGK36" s="17">
        <f>'Form-Sb'!HGO94</f>
        <v>0</v>
      </c>
      <c r="HGL36" s="17">
        <f>'Form-Sb'!HGP94</f>
        <v>0</v>
      </c>
      <c r="HGM36" s="17">
        <f>'Form-Sb'!HGQ94</f>
        <v>0</v>
      </c>
      <c r="HGN36" s="17">
        <f>'Form-Sb'!HGR94</f>
        <v>0</v>
      </c>
      <c r="HGO36" s="17">
        <f>'Form-Sb'!HGS94</f>
        <v>0</v>
      </c>
      <c r="HGP36" s="17">
        <f>'Form-Sb'!HGT94</f>
        <v>0</v>
      </c>
      <c r="HGQ36" s="17">
        <f>'Form-Sb'!HGU94</f>
        <v>0</v>
      </c>
      <c r="HGR36" s="17">
        <f>'Form-Sb'!HGV94</f>
        <v>0</v>
      </c>
      <c r="HGS36" s="17">
        <f>'Form-Sb'!HGW94</f>
        <v>0</v>
      </c>
      <c r="HGT36" s="17">
        <f>'Form-Sb'!HGX94</f>
        <v>0</v>
      </c>
      <c r="HGU36" s="17">
        <f>'Form-Sb'!HGY94</f>
        <v>0</v>
      </c>
      <c r="HGV36" s="17">
        <f>'Form-Sb'!HGZ94</f>
        <v>0</v>
      </c>
      <c r="HGW36" s="17">
        <f>'Form-Sb'!HHA94</f>
        <v>0</v>
      </c>
      <c r="HGX36" s="17">
        <f>'Form-Sb'!HHB94</f>
        <v>0</v>
      </c>
      <c r="HGY36" s="17">
        <f>'Form-Sb'!HHC94</f>
        <v>0</v>
      </c>
      <c r="HGZ36" s="17">
        <f>'Form-Sb'!HHD94</f>
        <v>0</v>
      </c>
      <c r="HHA36" s="17">
        <f>'Form-Sb'!HHE94</f>
        <v>0</v>
      </c>
      <c r="HHB36" s="17">
        <f>'Form-Sb'!HHF94</f>
        <v>0</v>
      </c>
      <c r="HHC36" s="17">
        <f>'Form-Sb'!HHG94</f>
        <v>0</v>
      </c>
      <c r="HHD36" s="17">
        <f>'Form-Sb'!HHH94</f>
        <v>0</v>
      </c>
      <c r="HHE36" s="17">
        <f>'Form-Sb'!HHI94</f>
        <v>0</v>
      </c>
      <c r="HHF36" s="17">
        <f>'Form-Sb'!HHJ94</f>
        <v>0</v>
      </c>
      <c r="HHG36" s="17">
        <f>'Form-Sb'!HHK94</f>
        <v>0</v>
      </c>
      <c r="HHH36" s="17">
        <f>'Form-Sb'!HHL94</f>
        <v>0</v>
      </c>
      <c r="HHI36" s="17">
        <f>'Form-Sb'!HHM94</f>
        <v>0</v>
      </c>
      <c r="HHJ36" s="17">
        <f>'Form-Sb'!HHN94</f>
        <v>0</v>
      </c>
      <c r="HHK36" s="17">
        <f>'Form-Sb'!HHO94</f>
        <v>0</v>
      </c>
      <c r="HHL36" s="17">
        <f>'Form-Sb'!HHP94</f>
        <v>0</v>
      </c>
      <c r="HHM36" s="17">
        <f>'Form-Sb'!HHQ94</f>
        <v>0</v>
      </c>
      <c r="HHN36" s="17">
        <f>'Form-Sb'!HHR94</f>
        <v>0</v>
      </c>
      <c r="HHO36" s="17">
        <f>'Form-Sb'!HHS94</f>
        <v>0</v>
      </c>
      <c r="HHP36" s="17">
        <f>'Form-Sb'!HHT94</f>
        <v>0</v>
      </c>
      <c r="HHQ36" s="17">
        <f>'Form-Sb'!HHU94</f>
        <v>0</v>
      </c>
      <c r="HHR36" s="17">
        <f>'Form-Sb'!HHV94</f>
        <v>0</v>
      </c>
      <c r="HHS36" s="17">
        <f>'Form-Sb'!HHW94</f>
        <v>0</v>
      </c>
      <c r="HHT36" s="17">
        <f>'Form-Sb'!HHX94</f>
        <v>0</v>
      </c>
      <c r="HHU36" s="17">
        <f>'Form-Sb'!HHY94</f>
        <v>0</v>
      </c>
      <c r="HHV36" s="17">
        <f>'Form-Sb'!HHZ94</f>
        <v>0</v>
      </c>
      <c r="HHW36" s="17">
        <f>'Form-Sb'!HIA94</f>
        <v>0</v>
      </c>
      <c r="HHX36" s="17">
        <f>'Form-Sb'!HIB94</f>
        <v>0</v>
      </c>
      <c r="HHY36" s="17">
        <f>'Form-Sb'!HIC94</f>
        <v>0</v>
      </c>
      <c r="HHZ36" s="17">
        <f>'Form-Sb'!HID94</f>
        <v>0</v>
      </c>
      <c r="HIA36" s="17">
        <f>'Form-Sb'!HIE94</f>
        <v>0</v>
      </c>
      <c r="HIB36" s="17">
        <f>'Form-Sb'!HIF94</f>
        <v>0</v>
      </c>
      <c r="HIC36" s="17">
        <f>'Form-Sb'!HIG94</f>
        <v>0</v>
      </c>
      <c r="HID36" s="17">
        <f>'Form-Sb'!HIH94</f>
        <v>0</v>
      </c>
      <c r="HIE36" s="17">
        <f>'Form-Sb'!HII94</f>
        <v>0</v>
      </c>
      <c r="HIF36" s="17">
        <f>'Form-Sb'!HIJ94</f>
        <v>0</v>
      </c>
      <c r="HIG36" s="17">
        <f>'Form-Sb'!HIK94</f>
        <v>0</v>
      </c>
      <c r="HIH36" s="17">
        <f>'Form-Sb'!HIL94</f>
        <v>0</v>
      </c>
      <c r="HII36" s="17">
        <f>'Form-Sb'!HIM94</f>
        <v>0</v>
      </c>
      <c r="HIJ36" s="17">
        <f>'Form-Sb'!HIN94</f>
        <v>0</v>
      </c>
      <c r="HIK36" s="17">
        <f>'Form-Sb'!HIO94</f>
        <v>0</v>
      </c>
      <c r="HIL36" s="17">
        <f>'Form-Sb'!HIP94</f>
        <v>0</v>
      </c>
      <c r="HIM36" s="17">
        <f>'Form-Sb'!HIQ94</f>
        <v>0</v>
      </c>
      <c r="HIN36" s="17">
        <f>'Form-Sb'!HIR94</f>
        <v>0</v>
      </c>
      <c r="HIO36" s="17">
        <f>'Form-Sb'!HIS94</f>
        <v>0</v>
      </c>
      <c r="HIP36" s="17">
        <f>'Form-Sb'!HIT94</f>
        <v>0</v>
      </c>
      <c r="HIQ36" s="17">
        <f>'Form-Sb'!HIU94</f>
        <v>0</v>
      </c>
      <c r="HIR36" s="17">
        <f>'Form-Sb'!HIV94</f>
        <v>0</v>
      </c>
      <c r="HIS36" s="17">
        <f>'Form-Sb'!HIW94</f>
        <v>0</v>
      </c>
      <c r="HIT36" s="17">
        <f>'Form-Sb'!HIX94</f>
        <v>0</v>
      </c>
      <c r="HIU36" s="17">
        <f>'Form-Sb'!HIY94</f>
        <v>0</v>
      </c>
      <c r="HIV36" s="17">
        <f>'Form-Sb'!HIZ94</f>
        <v>0</v>
      </c>
      <c r="HIW36" s="17">
        <f>'Form-Sb'!HJA94</f>
        <v>0</v>
      </c>
      <c r="HIX36" s="17">
        <f>'Form-Sb'!HJB94</f>
        <v>0</v>
      </c>
      <c r="HIY36" s="17">
        <f>'Form-Sb'!HJC94</f>
        <v>0</v>
      </c>
      <c r="HIZ36" s="17">
        <f>'Form-Sb'!HJD94</f>
        <v>0</v>
      </c>
      <c r="HJA36" s="17">
        <f>'Form-Sb'!HJE94</f>
        <v>0</v>
      </c>
      <c r="HJB36" s="17">
        <f>'Form-Sb'!HJF94</f>
        <v>0</v>
      </c>
      <c r="HJC36" s="17">
        <f>'Form-Sb'!HJG94</f>
        <v>0</v>
      </c>
      <c r="HJD36" s="17">
        <f>'Form-Sb'!HJH94</f>
        <v>0</v>
      </c>
      <c r="HJE36" s="17">
        <f>'Form-Sb'!HJI94</f>
        <v>0</v>
      </c>
      <c r="HJF36" s="17">
        <f>'Form-Sb'!HJJ94</f>
        <v>0</v>
      </c>
      <c r="HJG36" s="17">
        <f>'Form-Sb'!HJK94</f>
        <v>0</v>
      </c>
      <c r="HJH36" s="17">
        <f>'Form-Sb'!HJL94</f>
        <v>0</v>
      </c>
      <c r="HJI36" s="17">
        <f>'Form-Sb'!HJM94</f>
        <v>0</v>
      </c>
      <c r="HJJ36" s="17">
        <f>'Form-Sb'!HJN94</f>
        <v>0</v>
      </c>
      <c r="HJK36" s="17">
        <f>'Form-Sb'!HJO94</f>
        <v>0</v>
      </c>
      <c r="HJL36" s="17">
        <f>'Form-Sb'!HJP94</f>
        <v>0</v>
      </c>
      <c r="HJM36" s="17">
        <f>'Form-Sb'!HJQ94</f>
        <v>0</v>
      </c>
      <c r="HJN36" s="17">
        <f>'Form-Sb'!HJR94</f>
        <v>0</v>
      </c>
      <c r="HJO36" s="17">
        <f>'Form-Sb'!HJS94</f>
        <v>0</v>
      </c>
      <c r="HJP36" s="17">
        <f>'Form-Sb'!HJT94</f>
        <v>0</v>
      </c>
      <c r="HJQ36" s="17">
        <f>'Form-Sb'!HJU94</f>
        <v>0</v>
      </c>
      <c r="HJR36" s="17">
        <f>'Form-Sb'!HJV94</f>
        <v>0</v>
      </c>
      <c r="HJS36" s="17">
        <f>'Form-Sb'!HJW94</f>
        <v>0</v>
      </c>
      <c r="HJT36" s="17">
        <f>'Form-Sb'!HJX94</f>
        <v>0</v>
      </c>
      <c r="HJU36" s="17">
        <f>'Form-Sb'!HJY94</f>
        <v>0</v>
      </c>
      <c r="HJV36" s="17">
        <f>'Form-Sb'!HJZ94</f>
        <v>0</v>
      </c>
      <c r="HJW36" s="17">
        <f>'Form-Sb'!HKA94</f>
        <v>0</v>
      </c>
      <c r="HJX36" s="17">
        <f>'Form-Sb'!HKB94</f>
        <v>0</v>
      </c>
      <c r="HJY36" s="17">
        <f>'Form-Sb'!HKC94</f>
        <v>0</v>
      </c>
      <c r="HJZ36" s="17">
        <f>'Form-Sb'!HKD94</f>
        <v>0</v>
      </c>
      <c r="HKA36" s="17">
        <f>'Form-Sb'!HKE94</f>
        <v>0</v>
      </c>
      <c r="HKB36" s="17">
        <f>'Form-Sb'!HKF94</f>
        <v>0</v>
      </c>
      <c r="HKC36" s="17">
        <f>'Form-Sb'!HKG94</f>
        <v>0</v>
      </c>
      <c r="HKD36" s="17">
        <f>'Form-Sb'!HKH94</f>
        <v>0</v>
      </c>
      <c r="HKE36" s="17">
        <f>'Form-Sb'!HKI94</f>
        <v>0</v>
      </c>
      <c r="HKF36" s="17">
        <f>'Form-Sb'!HKJ94</f>
        <v>0</v>
      </c>
      <c r="HKG36" s="17">
        <f>'Form-Sb'!HKK94</f>
        <v>0</v>
      </c>
      <c r="HKH36" s="17">
        <f>'Form-Sb'!HKL94</f>
        <v>0</v>
      </c>
      <c r="HKI36" s="17">
        <f>'Form-Sb'!HKM94</f>
        <v>0</v>
      </c>
      <c r="HKJ36" s="17">
        <f>'Form-Sb'!HKN94</f>
        <v>0</v>
      </c>
      <c r="HKK36" s="17">
        <f>'Form-Sb'!HKO94</f>
        <v>0</v>
      </c>
      <c r="HKL36" s="17">
        <f>'Form-Sb'!HKP94</f>
        <v>0</v>
      </c>
      <c r="HKM36" s="17">
        <f>'Form-Sb'!HKQ94</f>
        <v>0</v>
      </c>
      <c r="HKN36" s="17">
        <f>'Form-Sb'!HKR94</f>
        <v>0</v>
      </c>
      <c r="HKO36" s="17">
        <f>'Form-Sb'!HKS94</f>
        <v>0</v>
      </c>
      <c r="HKP36" s="17">
        <f>'Form-Sb'!HKT94</f>
        <v>0</v>
      </c>
      <c r="HKQ36" s="17">
        <f>'Form-Sb'!HKU94</f>
        <v>0</v>
      </c>
      <c r="HKR36" s="17">
        <f>'Form-Sb'!HKV94</f>
        <v>0</v>
      </c>
      <c r="HKS36" s="17">
        <f>'Form-Sb'!HKW94</f>
        <v>0</v>
      </c>
      <c r="HKT36" s="17">
        <f>'Form-Sb'!HKX94</f>
        <v>0</v>
      </c>
      <c r="HKU36" s="17">
        <f>'Form-Sb'!HKY94</f>
        <v>0</v>
      </c>
      <c r="HKV36" s="17">
        <f>'Form-Sb'!HKZ94</f>
        <v>0</v>
      </c>
      <c r="HKW36" s="17">
        <f>'Form-Sb'!HLA94</f>
        <v>0</v>
      </c>
      <c r="HKX36" s="17">
        <f>'Form-Sb'!HLB94</f>
        <v>0</v>
      </c>
      <c r="HKY36" s="17">
        <f>'Form-Sb'!HLC94</f>
        <v>0</v>
      </c>
      <c r="HKZ36" s="17">
        <f>'Form-Sb'!HLD94</f>
        <v>0</v>
      </c>
      <c r="HLA36" s="17">
        <f>'Form-Sb'!HLE94</f>
        <v>0</v>
      </c>
      <c r="HLB36" s="17">
        <f>'Form-Sb'!HLF94</f>
        <v>0</v>
      </c>
      <c r="HLC36" s="17">
        <f>'Form-Sb'!HLG94</f>
        <v>0</v>
      </c>
      <c r="HLD36" s="17">
        <f>'Form-Sb'!HLH94</f>
        <v>0</v>
      </c>
      <c r="HLE36" s="17">
        <f>'Form-Sb'!HLI94</f>
        <v>0</v>
      </c>
      <c r="HLF36" s="17">
        <f>'Form-Sb'!HLJ94</f>
        <v>0</v>
      </c>
      <c r="HLG36" s="17">
        <f>'Form-Sb'!HLK94</f>
        <v>0</v>
      </c>
      <c r="HLH36" s="17">
        <f>'Form-Sb'!HLL94</f>
        <v>0</v>
      </c>
      <c r="HLI36" s="17">
        <f>'Form-Sb'!HLM94</f>
        <v>0</v>
      </c>
      <c r="HLJ36" s="17">
        <f>'Form-Sb'!HLN94</f>
        <v>0</v>
      </c>
      <c r="HLK36" s="17">
        <f>'Form-Sb'!HLO94</f>
        <v>0</v>
      </c>
      <c r="HLL36" s="17">
        <f>'Form-Sb'!HLP94</f>
        <v>0</v>
      </c>
      <c r="HLM36" s="17">
        <f>'Form-Sb'!HLQ94</f>
        <v>0</v>
      </c>
      <c r="HLN36" s="17">
        <f>'Form-Sb'!HLR94</f>
        <v>0</v>
      </c>
      <c r="HLO36" s="17">
        <f>'Form-Sb'!HLS94</f>
        <v>0</v>
      </c>
      <c r="HLP36" s="17">
        <f>'Form-Sb'!HLT94</f>
        <v>0</v>
      </c>
      <c r="HLQ36" s="17">
        <f>'Form-Sb'!HLU94</f>
        <v>0</v>
      </c>
      <c r="HLR36" s="17">
        <f>'Form-Sb'!HLV94</f>
        <v>0</v>
      </c>
      <c r="HLS36" s="17">
        <f>'Form-Sb'!HLW94</f>
        <v>0</v>
      </c>
      <c r="HLT36" s="17">
        <f>'Form-Sb'!HLX94</f>
        <v>0</v>
      </c>
      <c r="HLU36" s="17">
        <f>'Form-Sb'!HLY94</f>
        <v>0</v>
      </c>
      <c r="HLV36" s="17">
        <f>'Form-Sb'!HLZ94</f>
        <v>0</v>
      </c>
      <c r="HLW36" s="17">
        <f>'Form-Sb'!HMA94</f>
        <v>0</v>
      </c>
      <c r="HLX36" s="17">
        <f>'Form-Sb'!HMB94</f>
        <v>0</v>
      </c>
      <c r="HLY36" s="17">
        <f>'Form-Sb'!HMC94</f>
        <v>0</v>
      </c>
      <c r="HLZ36" s="17">
        <f>'Form-Sb'!HMD94</f>
        <v>0</v>
      </c>
      <c r="HMA36" s="17">
        <f>'Form-Sb'!HME94</f>
        <v>0</v>
      </c>
      <c r="HMB36" s="17">
        <f>'Form-Sb'!HMF94</f>
        <v>0</v>
      </c>
      <c r="HMC36" s="17">
        <f>'Form-Sb'!HMG94</f>
        <v>0</v>
      </c>
      <c r="HMD36" s="17">
        <f>'Form-Sb'!HMH94</f>
        <v>0</v>
      </c>
      <c r="HME36" s="17">
        <f>'Form-Sb'!HMI94</f>
        <v>0</v>
      </c>
      <c r="HMF36" s="17">
        <f>'Form-Sb'!HMJ94</f>
        <v>0</v>
      </c>
      <c r="HMG36" s="17">
        <f>'Form-Sb'!HMK94</f>
        <v>0</v>
      </c>
      <c r="HMH36" s="17">
        <f>'Form-Sb'!HML94</f>
        <v>0</v>
      </c>
      <c r="HMI36" s="17">
        <f>'Form-Sb'!HMM94</f>
        <v>0</v>
      </c>
      <c r="HMJ36" s="17">
        <f>'Form-Sb'!HMN94</f>
        <v>0</v>
      </c>
      <c r="HMK36" s="17">
        <f>'Form-Sb'!HMO94</f>
        <v>0</v>
      </c>
      <c r="HML36" s="17">
        <f>'Form-Sb'!HMP94</f>
        <v>0</v>
      </c>
      <c r="HMM36" s="17">
        <f>'Form-Sb'!HMQ94</f>
        <v>0</v>
      </c>
      <c r="HMN36" s="17">
        <f>'Form-Sb'!HMR94</f>
        <v>0</v>
      </c>
      <c r="HMO36" s="17">
        <f>'Form-Sb'!HMS94</f>
        <v>0</v>
      </c>
      <c r="HMP36" s="17">
        <f>'Form-Sb'!HMT94</f>
        <v>0</v>
      </c>
      <c r="HMQ36" s="17">
        <f>'Form-Sb'!HMU94</f>
        <v>0</v>
      </c>
      <c r="HMR36" s="17">
        <f>'Form-Sb'!HMV94</f>
        <v>0</v>
      </c>
      <c r="HMS36" s="17">
        <f>'Form-Sb'!HMW94</f>
        <v>0</v>
      </c>
      <c r="HMT36" s="17">
        <f>'Form-Sb'!HMX94</f>
        <v>0</v>
      </c>
      <c r="HMU36" s="17">
        <f>'Form-Sb'!HMY94</f>
        <v>0</v>
      </c>
      <c r="HMV36" s="17">
        <f>'Form-Sb'!HMZ94</f>
        <v>0</v>
      </c>
      <c r="HMW36" s="17">
        <f>'Form-Sb'!HNA94</f>
        <v>0</v>
      </c>
      <c r="HMX36" s="17">
        <f>'Form-Sb'!HNB94</f>
        <v>0</v>
      </c>
      <c r="HMY36" s="17">
        <f>'Form-Sb'!HNC94</f>
        <v>0</v>
      </c>
      <c r="HMZ36" s="17">
        <f>'Form-Sb'!HND94</f>
        <v>0</v>
      </c>
      <c r="HNA36" s="17">
        <f>'Form-Sb'!HNE94</f>
        <v>0</v>
      </c>
      <c r="HNB36" s="17">
        <f>'Form-Sb'!HNF94</f>
        <v>0</v>
      </c>
      <c r="HNC36" s="17">
        <f>'Form-Sb'!HNG94</f>
        <v>0</v>
      </c>
      <c r="HND36" s="17">
        <f>'Form-Sb'!HNH94</f>
        <v>0</v>
      </c>
      <c r="HNE36" s="17">
        <f>'Form-Sb'!HNI94</f>
        <v>0</v>
      </c>
      <c r="HNF36" s="17">
        <f>'Form-Sb'!HNJ94</f>
        <v>0</v>
      </c>
      <c r="HNG36" s="17">
        <f>'Form-Sb'!HNK94</f>
        <v>0</v>
      </c>
      <c r="HNH36" s="17">
        <f>'Form-Sb'!HNL94</f>
        <v>0</v>
      </c>
      <c r="HNI36" s="17">
        <f>'Form-Sb'!HNM94</f>
        <v>0</v>
      </c>
      <c r="HNJ36" s="17">
        <f>'Form-Sb'!HNN94</f>
        <v>0</v>
      </c>
      <c r="HNK36" s="17">
        <f>'Form-Sb'!HNO94</f>
        <v>0</v>
      </c>
      <c r="HNL36" s="17">
        <f>'Form-Sb'!HNP94</f>
        <v>0</v>
      </c>
      <c r="HNM36" s="17">
        <f>'Form-Sb'!HNQ94</f>
        <v>0</v>
      </c>
      <c r="HNN36" s="17">
        <f>'Form-Sb'!HNR94</f>
        <v>0</v>
      </c>
      <c r="HNO36" s="17">
        <f>'Form-Sb'!HNS94</f>
        <v>0</v>
      </c>
      <c r="HNP36" s="17">
        <f>'Form-Sb'!HNT94</f>
        <v>0</v>
      </c>
      <c r="HNQ36" s="17">
        <f>'Form-Sb'!HNU94</f>
        <v>0</v>
      </c>
      <c r="HNR36" s="17">
        <f>'Form-Sb'!HNV94</f>
        <v>0</v>
      </c>
      <c r="HNS36" s="17">
        <f>'Form-Sb'!HNW94</f>
        <v>0</v>
      </c>
      <c r="HNT36" s="17">
        <f>'Form-Sb'!HNX94</f>
        <v>0</v>
      </c>
      <c r="HNU36" s="17">
        <f>'Form-Sb'!HNY94</f>
        <v>0</v>
      </c>
      <c r="HNV36" s="17">
        <f>'Form-Sb'!HNZ94</f>
        <v>0</v>
      </c>
      <c r="HNW36" s="17">
        <f>'Form-Sb'!HOA94</f>
        <v>0</v>
      </c>
      <c r="HNX36" s="17">
        <f>'Form-Sb'!HOB94</f>
        <v>0</v>
      </c>
      <c r="HNY36" s="17">
        <f>'Form-Sb'!HOC94</f>
        <v>0</v>
      </c>
      <c r="HNZ36" s="17">
        <f>'Form-Sb'!HOD94</f>
        <v>0</v>
      </c>
      <c r="HOA36" s="17">
        <f>'Form-Sb'!HOE94</f>
        <v>0</v>
      </c>
      <c r="HOB36" s="17">
        <f>'Form-Sb'!HOF94</f>
        <v>0</v>
      </c>
      <c r="HOC36" s="17">
        <f>'Form-Sb'!HOG94</f>
        <v>0</v>
      </c>
      <c r="HOD36" s="17">
        <f>'Form-Sb'!HOH94</f>
        <v>0</v>
      </c>
      <c r="HOE36" s="17">
        <f>'Form-Sb'!HOI94</f>
        <v>0</v>
      </c>
      <c r="HOF36" s="17">
        <f>'Form-Sb'!HOJ94</f>
        <v>0</v>
      </c>
      <c r="HOG36" s="17">
        <f>'Form-Sb'!HOK94</f>
        <v>0</v>
      </c>
      <c r="HOH36" s="17">
        <f>'Form-Sb'!HOL94</f>
        <v>0</v>
      </c>
      <c r="HOI36" s="17">
        <f>'Form-Sb'!HOM94</f>
        <v>0</v>
      </c>
      <c r="HOJ36" s="17">
        <f>'Form-Sb'!HON94</f>
        <v>0</v>
      </c>
      <c r="HOK36" s="17">
        <f>'Form-Sb'!HOO94</f>
        <v>0</v>
      </c>
      <c r="HOL36" s="17">
        <f>'Form-Sb'!HOP94</f>
        <v>0</v>
      </c>
      <c r="HOM36" s="17">
        <f>'Form-Sb'!HOQ94</f>
        <v>0</v>
      </c>
      <c r="HON36" s="17">
        <f>'Form-Sb'!HOR94</f>
        <v>0</v>
      </c>
      <c r="HOO36" s="17">
        <f>'Form-Sb'!HOS94</f>
        <v>0</v>
      </c>
      <c r="HOP36" s="17">
        <f>'Form-Sb'!HOT94</f>
        <v>0</v>
      </c>
      <c r="HOQ36" s="17">
        <f>'Form-Sb'!HOU94</f>
        <v>0</v>
      </c>
      <c r="HOR36" s="17">
        <f>'Form-Sb'!HOV94</f>
        <v>0</v>
      </c>
      <c r="HOS36" s="17">
        <f>'Form-Sb'!HOW94</f>
        <v>0</v>
      </c>
      <c r="HOT36" s="17">
        <f>'Form-Sb'!HOX94</f>
        <v>0</v>
      </c>
      <c r="HOU36" s="17">
        <f>'Form-Sb'!HOY94</f>
        <v>0</v>
      </c>
      <c r="HOV36" s="17">
        <f>'Form-Sb'!HOZ94</f>
        <v>0</v>
      </c>
      <c r="HOW36" s="17">
        <f>'Form-Sb'!HPA94</f>
        <v>0</v>
      </c>
      <c r="HOX36" s="17">
        <f>'Form-Sb'!HPB94</f>
        <v>0</v>
      </c>
      <c r="HOY36" s="17">
        <f>'Form-Sb'!HPC94</f>
        <v>0</v>
      </c>
      <c r="HOZ36" s="17">
        <f>'Form-Sb'!HPD94</f>
        <v>0</v>
      </c>
      <c r="HPA36" s="17">
        <f>'Form-Sb'!HPE94</f>
        <v>0</v>
      </c>
      <c r="HPB36" s="17">
        <f>'Form-Sb'!HPF94</f>
        <v>0</v>
      </c>
      <c r="HPC36" s="17">
        <f>'Form-Sb'!HPG94</f>
        <v>0</v>
      </c>
      <c r="HPD36" s="17">
        <f>'Form-Sb'!HPH94</f>
        <v>0</v>
      </c>
      <c r="HPE36" s="17">
        <f>'Form-Sb'!HPI94</f>
        <v>0</v>
      </c>
      <c r="HPF36" s="17">
        <f>'Form-Sb'!HPJ94</f>
        <v>0</v>
      </c>
      <c r="HPG36" s="17">
        <f>'Form-Sb'!HPK94</f>
        <v>0</v>
      </c>
      <c r="HPH36" s="17">
        <f>'Form-Sb'!HPL94</f>
        <v>0</v>
      </c>
      <c r="HPI36" s="17">
        <f>'Form-Sb'!HPM94</f>
        <v>0</v>
      </c>
      <c r="HPJ36" s="17">
        <f>'Form-Sb'!HPN94</f>
        <v>0</v>
      </c>
      <c r="HPK36" s="17">
        <f>'Form-Sb'!HPO94</f>
        <v>0</v>
      </c>
      <c r="HPL36" s="17">
        <f>'Form-Sb'!HPP94</f>
        <v>0</v>
      </c>
      <c r="HPM36" s="17">
        <f>'Form-Sb'!HPQ94</f>
        <v>0</v>
      </c>
      <c r="HPN36" s="17">
        <f>'Form-Sb'!HPR94</f>
        <v>0</v>
      </c>
      <c r="HPO36" s="17">
        <f>'Form-Sb'!HPS94</f>
        <v>0</v>
      </c>
      <c r="HPP36" s="17">
        <f>'Form-Sb'!HPT94</f>
        <v>0</v>
      </c>
      <c r="HPQ36" s="17">
        <f>'Form-Sb'!HPU94</f>
        <v>0</v>
      </c>
      <c r="HPR36" s="17">
        <f>'Form-Sb'!HPV94</f>
        <v>0</v>
      </c>
      <c r="HPS36" s="17">
        <f>'Form-Sb'!HPW94</f>
        <v>0</v>
      </c>
      <c r="HPT36" s="17">
        <f>'Form-Sb'!HPX94</f>
        <v>0</v>
      </c>
      <c r="HPU36" s="17">
        <f>'Form-Sb'!HPY94</f>
        <v>0</v>
      </c>
      <c r="HPV36" s="17">
        <f>'Form-Sb'!HPZ94</f>
        <v>0</v>
      </c>
      <c r="HPW36" s="17">
        <f>'Form-Sb'!HQA94</f>
        <v>0</v>
      </c>
      <c r="HPX36" s="17">
        <f>'Form-Sb'!HQB94</f>
        <v>0</v>
      </c>
      <c r="HPY36" s="17">
        <f>'Form-Sb'!HQC94</f>
        <v>0</v>
      </c>
      <c r="HPZ36" s="17">
        <f>'Form-Sb'!HQD94</f>
        <v>0</v>
      </c>
      <c r="HQA36" s="17">
        <f>'Form-Sb'!HQE94</f>
        <v>0</v>
      </c>
      <c r="HQB36" s="17">
        <f>'Form-Sb'!HQF94</f>
        <v>0</v>
      </c>
      <c r="HQC36" s="17">
        <f>'Form-Sb'!HQG94</f>
        <v>0</v>
      </c>
      <c r="HQD36" s="17">
        <f>'Form-Sb'!HQH94</f>
        <v>0</v>
      </c>
      <c r="HQE36" s="17">
        <f>'Form-Sb'!HQI94</f>
        <v>0</v>
      </c>
      <c r="HQF36" s="17">
        <f>'Form-Sb'!HQJ94</f>
        <v>0</v>
      </c>
      <c r="HQG36" s="17">
        <f>'Form-Sb'!HQK94</f>
        <v>0</v>
      </c>
      <c r="HQH36" s="17">
        <f>'Form-Sb'!HQL94</f>
        <v>0</v>
      </c>
      <c r="HQI36" s="17">
        <f>'Form-Sb'!HQM94</f>
        <v>0</v>
      </c>
      <c r="HQJ36" s="17">
        <f>'Form-Sb'!HQN94</f>
        <v>0</v>
      </c>
      <c r="HQK36" s="17">
        <f>'Form-Sb'!HQO94</f>
        <v>0</v>
      </c>
      <c r="HQL36" s="17">
        <f>'Form-Sb'!HQP94</f>
        <v>0</v>
      </c>
      <c r="HQM36" s="17">
        <f>'Form-Sb'!HQQ94</f>
        <v>0</v>
      </c>
      <c r="HQN36" s="17">
        <f>'Form-Sb'!HQR94</f>
        <v>0</v>
      </c>
      <c r="HQO36" s="17">
        <f>'Form-Sb'!HQS94</f>
        <v>0</v>
      </c>
      <c r="HQP36" s="17">
        <f>'Form-Sb'!HQT94</f>
        <v>0</v>
      </c>
      <c r="HQQ36" s="17">
        <f>'Form-Sb'!HQU94</f>
        <v>0</v>
      </c>
      <c r="HQR36" s="17">
        <f>'Form-Sb'!HQV94</f>
        <v>0</v>
      </c>
      <c r="HQS36" s="17">
        <f>'Form-Sb'!HQW94</f>
        <v>0</v>
      </c>
      <c r="HQT36" s="17">
        <f>'Form-Sb'!HQX94</f>
        <v>0</v>
      </c>
      <c r="HQU36" s="17">
        <f>'Form-Sb'!HQY94</f>
        <v>0</v>
      </c>
      <c r="HQV36" s="17">
        <f>'Form-Sb'!HQZ94</f>
        <v>0</v>
      </c>
      <c r="HQW36" s="17">
        <f>'Form-Sb'!HRA94</f>
        <v>0</v>
      </c>
      <c r="HQX36" s="17">
        <f>'Form-Sb'!HRB94</f>
        <v>0</v>
      </c>
      <c r="HQY36" s="17">
        <f>'Form-Sb'!HRC94</f>
        <v>0</v>
      </c>
      <c r="HQZ36" s="17">
        <f>'Form-Sb'!HRD94</f>
        <v>0</v>
      </c>
      <c r="HRA36" s="17">
        <f>'Form-Sb'!HRE94</f>
        <v>0</v>
      </c>
      <c r="HRB36" s="17">
        <f>'Form-Sb'!HRF94</f>
        <v>0</v>
      </c>
      <c r="HRC36" s="17">
        <f>'Form-Sb'!HRG94</f>
        <v>0</v>
      </c>
      <c r="HRD36" s="17">
        <f>'Form-Sb'!HRH94</f>
        <v>0</v>
      </c>
      <c r="HRE36" s="17">
        <f>'Form-Sb'!HRI94</f>
        <v>0</v>
      </c>
      <c r="HRF36" s="17">
        <f>'Form-Sb'!HRJ94</f>
        <v>0</v>
      </c>
      <c r="HRG36" s="17">
        <f>'Form-Sb'!HRK94</f>
        <v>0</v>
      </c>
      <c r="HRH36" s="17">
        <f>'Form-Sb'!HRL94</f>
        <v>0</v>
      </c>
      <c r="HRI36" s="17">
        <f>'Form-Sb'!HRM94</f>
        <v>0</v>
      </c>
      <c r="HRJ36" s="17">
        <f>'Form-Sb'!HRN94</f>
        <v>0</v>
      </c>
      <c r="HRK36" s="17">
        <f>'Form-Sb'!HRO94</f>
        <v>0</v>
      </c>
      <c r="HRL36" s="17">
        <f>'Form-Sb'!HRP94</f>
        <v>0</v>
      </c>
      <c r="HRM36" s="17">
        <f>'Form-Sb'!HRQ94</f>
        <v>0</v>
      </c>
      <c r="HRN36" s="17">
        <f>'Form-Sb'!HRR94</f>
        <v>0</v>
      </c>
      <c r="HRO36" s="17">
        <f>'Form-Sb'!HRS94</f>
        <v>0</v>
      </c>
      <c r="HRP36" s="17">
        <f>'Form-Sb'!HRT94</f>
        <v>0</v>
      </c>
      <c r="HRQ36" s="17">
        <f>'Form-Sb'!HRU94</f>
        <v>0</v>
      </c>
      <c r="HRR36" s="17">
        <f>'Form-Sb'!HRV94</f>
        <v>0</v>
      </c>
      <c r="HRS36" s="17">
        <f>'Form-Sb'!HRW94</f>
        <v>0</v>
      </c>
      <c r="HRT36" s="17">
        <f>'Form-Sb'!HRX94</f>
        <v>0</v>
      </c>
      <c r="HRU36" s="17">
        <f>'Form-Sb'!HRY94</f>
        <v>0</v>
      </c>
      <c r="HRV36" s="17">
        <f>'Form-Sb'!HRZ94</f>
        <v>0</v>
      </c>
      <c r="HRW36" s="17">
        <f>'Form-Sb'!HSA94</f>
        <v>0</v>
      </c>
      <c r="HRX36" s="17">
        <f>'Form-Sb'!HSB94</f>
        <v>0</v>
      </c>
      <c r="HRY36" s="17">
        <f>'Form-Sb'!HSC94</f>
        <v>0</v>
      </c>
      <c r="HRZ36" s="17">
        <f>'Form-Sb'!HSD94</f>
        <v>0</v>
      </c>
      <c r="HSA36" s="17">
        <f>'Form-Sb'!HSE94</f>
        <v>0</v>
      </c>
      <c r="HSB36" s="17">
        <f>'Form-Sb'!HSF94</f>
        <v>0</v>
      </c>
      <c r="HSC36" s="17">
        <f>'Form-Sb'!HSG94</f>
        <v>0</v>
      </c>
      <c r="HSD36" s="17">
        <f>'Form-Sb'!HSH94</f>
        <v>0</v>
      </c>
      <c r="HSE36" s="17">
        <f>'Form-Sb'!HSI94</f>
        <v>0</v>
      </c>
      <c r="HSF36" s="17">
        <f>'Form-Sb'!HSJ94</f>
        <v>0</v>
      </c>
      <c r="HSG36" s="17">
        <f>'Form-Sb'!HSK94</f>
        <v>0</v>
      </c>
      <c r="HSH36" s="17">
        <f>'Form-Sb'!HSL94</f>
        <v>0</v>
      </c>
      <c r="HSI36" s="17">
        <f>'Form-Sb'!HSM94</f>
        <v>0</v>
      </c>
      <c r="HSJ36" s="17">
        <f>'Form-Sb'!HSN94</f>
        <v>0</v>
      </c>
      <c r="HSK36" s="17">
        <f>'Form-Sb'!HSO94</f>
        <v>0</v>
      </c>
      <c r="HSL36" s="17">
        <f>'Form-Sb'!HSP94</f>
        <v>0</v>
      </c>
      <c r="HSM36" s="17">
        <f>'Form-Sb'!HSQ94</f>
        <v>0</v>
      </c>
      <c r="HSN36" s="17">
        <f>'Form-Sb'!HSR94</f>
        <v>0</v>
      </c>
      <c r="HSO36" s="17">
        <f>'Form-Sb'!HSS94</f>
        <v>0</v>
      </c>
      <c r="HSP36" s="17">
        <f>'Form-Sb'!HST94</f>
        <v>0</v>
      </c>
      <c r="HSQ36" s="17">
        <f>'Form-Sb'!HSU94</f>
        <v>0</v>
      </c>
      <c r="HSR36" s="17">
        <f>'Form-Sb'!HSV94</f>
        <v>0</v>
      </c>
      <c r="HSS36" s="17">
        <f>'Form-Sb'!HSW94</f>
        <v>0</v>
      </c>
      <c r="HST36" s="17">
        <f>'Form-Sb'!HSX94</f>
        <v>0</v>
      </c>
      <c r="HSU36" s="17">
        <f>'Form-Sb'!HSY94</f>
        <v>0</v>
      </c>
      <c r="HSV36" s="17">
        <f>'Form-Sb'!HSZ94</f>
        <v>0</v>
      </c>
      <c r="HSW36" s="17">
        <f>'Form-Sb'!HTA94</f>
        <v>0</v>
      </c>
      <c r="HSX36" s="17">
        <f>'Form-Sb'!HTB94</f>
        <v>0</v>
      </c>
      <c r="HSY36" s="17">
        <f>'Form-Sb'!HTC94</f>
        <v>0</v>
      </c>
      <c r="HSZ36" s="17">
        <f>'Form-Sb'!HTD94</f>
        <v>0</v>
      </c>
      <c r="HTA36" s="17">
        <f>'Form-Sb'!HTE94</f>
        <v>0</v>
      </c>
      <c r="HTB36" s="17">
        <f>'Form-Sb'!HTF94</f>
        <v>0</v>
      </c>
      <c r="HTC36" s="17">
        <f>'Form-Sb'!HTG94</f>
        <v>0</v>
      </c>
      <c r="HTD36" s="17">
        <f>'Form-Sb'!HTH94</f>
        <v>0</v>
      </c>
      <c r="HTE36" s="17">
        <f>'Form-Sb'!HTI94</f>
        <v>0</v>
      </c>
      <c r="HTF36" s="17">
        <f>'Form-Sb'!HTJ94</f>
        <v>0</v>
      </c>
      <c r="HTG36" s="17">
        <f>'Form-Sb'!HTK94</f>
        <v>0</v>
      </c>
      <c r="HTH36" s="17">
        <f>'Form-Sb'!HTL94</f>
        <v>0</v>
      </c>
      <c r="HTI36" s="17">
        <f>'Form-Sb'!HTM94</f>
        <v>0</v>
      </c>
      <c r="HTJ36" s="17">
        <f>'Form-Sb'!HTN94</f>
        <v>0</v>
      </c>
      <c r="HTK36" s="17">
        <f>'Form-Sb'!HTO94</f>
        <v>0</v>
      </c>
      <c r="HTL36" s="17">
        <f>'Form-Sb'!HTP94</f>
        <v>0</v>
      </c>
      <c r="HTM36" s="17">
        <f>'Form-Sb'!HTQ94</f>
        <v>0</v>
      </c>
      <c r="HTN36" s="17">
        <f>'Form-Sb'!HTR94</f>
        <v>0</v>
      </c>
      <c r="HTO36" s="17">
        <f>'Form-Sb'!HTS94</f>
        <v>0</v>
      </c>
      <c r="HTP36" s="17">
        <f>'Form-Sb'!HTT94</f>
        <v>0</v>
      </c>
      <c r="HTQ36" s="17">
        <f>'Form-Sb'!HTU94</f>
        <v>0</v>
      </c>
      <c r="HTR36" s="17">
        <f>'Form-Sb'!HTV94</f>
        <v>0</v>
      </c>
      <c r="HTS36" s="17">
        <f>'Form-Sb'!HTW94</f>
        <v>0</v>
      </c>
      <c r="HTT36" s="17">
        <f>'Form-Sb'!HTX94</f>
        <v>0</v>
      </c>
      <c r="HTU36" s="17">
        <f>'Form-Sb'!HTY94</f>
        <v>0</v>
      </c>
      <c r="HTV36" s="17">
        <f>'Form-Sb'!HTZ94</f>
        <v>0</v>
      </c>
      <c r="HTW36" s="17">
        <f>'Form-Sb'!HUA94</f>
        <v>0</v>
      </c>
      <c r="HTX36" s="17">
        <f>'Form-Sb'!HUB94</f>
        <v>0</v>
      </c>
      <c r="HTY36" s="17">
        <f>'Form-Sb'!HUC94</f>
        <v>0</v>
      </c>
      <c r="HTZ36" s="17">
        <f>'Form-Sb'!HUD94</f>
        <v>0</v>
      </c>
      <c r="HUA36" s="17">
        <f>'Form-Sb'!HUE94</f>
        <v>0</v>
      </c>
      <c r="HUB36" s="17">
        <f>'Form-Sb'!HUF94</f>
        <v>0</v>
      </c>
      <c r="HUC36" s="17">
        <f>'Form-Sb'!HUG94</f>
        <v>0</v>
      </c>
      <c r="HUD36" s="17">
        <f>'Form-Sb'!HUH94</f>
        <v>0</v>
      </c>
      <c r="HUE36" s="17">
        <f>'Form-Sb'!HUI94</f>
        <v>0</v>
      </c>
      <c r="HUF36" s="17">
        <f>'Form-Sb'!HUJ94</f>
        <v>0</v>
      </c>
      <c r="HUG36" s="17">
        <f>'Form-Sb'!HUK94</f>
        <v>0</v>
      </c>
      <c r="HUH36" s="17">
        <f>'Form-Sb'!HUL94</f>
        <v>0</v>
      </c>
      <c r="HUI36" s="17">
        <f>'Form-Sb'!HUM94</f>
        <v>0</v>
      </c>
      <c r="HUJ36" s="17">
        <f>'Form-Sb'!HUN94</f>
        <v>0</v>
      </c>
      <c r="HUK36" s="17">
        <f>'Form-Sb'!HUO94</f>
        <v>0</v>
      </c>
      <c r="HUL36" s="17">
        <f>'Form-Sb'!HUP94</f>
        <v>0</v>
      </c>
      <c r="HUM36" s="17">
        <f>'Form-Sb'!HUQ94</f>
        <v>0</v>
      </c>
      <c r="HUN36" s="17">
        <f>'Form-Sb'!HUR94</f>
        <v>0</v>
      </c>
      <c r="HUO36" s="17">
        <f>'Form-Sb'!HUS94</f>
        <v>0</v>
      </c>
      <c r="HUP36" s="17">
        <f>'Form-Sb'!HUT94</f>
        <v>0</v>
      </c>
      <c r="HUQ36" s="17">
        <f>'Form-Sb'!HUU94</f>
        <v>0</v>
      </c>
      <c r="HUR36" s="17">
        <f>'Form-Sb'!HUV94</f>
        <v>0</v>
      </c>
      <c r="HUS36" s="17">
        <f>'Form-Sb'!HUW94</f>
        <v>0</v>
      </c>
      <c r="HUT36" s="17">
        <f>'Form-Sb'!HUX94</f>
        <v>0</v>
      </c>
      <c r="HUU36" s="17">
        <f>'Form-Sb'!HUY94</f>
        <v>0</v>
      </c>
      <c r="HUV36" s="17">
        <f>'Form-Sb'!HUZ94</f>
        <v>0</v>
      </c>
      <c r="HUW36" s="17">
        <f>'Form-Sb'!HVA94</f>
        <v>0</v>
      </c>
      <c r="HUX36" s="17">
        <f>'Form-Sb'!HVB94</f>
        <v>0</v>
      </c>
      <c r="HUY36" s="17">
        <f>'Form-Sb'!HVC94</f>
        <v>0</v>
      </c>
      <c r="HUZ36" s="17">
        <f>'Form-Sb'!HVD94</f>
        <v>0</v>
      </c>
      <c r="HVA36" s="17">
        <f>'Form-Sb'!HVE94</f>
        <v>0</v>
      </c>
      <c r="HVB36" s="17">
        <f>'Form-Sb'!HVF94</f>
        <v>0</v>
      </c>
      <c r="HVC36" s="17">
        <f>'Form-Sb'!HVG94</f>
        <v>0</v>
      </c>
      <c r="HVD36" s="17">
        <f>'Form-Sb'!HVH94</f>
        <v>0</v>
      </c>
      <c r="HVE36" s="17">
        <f>'Form-Sb'!HVI94</f>
        <v>0</v>
      </c>
      <c r="HVF36" s="17">
        <f>'Form-Sb'!HVJ94</f>
        <v>0</v>
      </c>
      <c r="HVG36" s="17">
        <f>'Form-Sb'!HVK94</f>
        <v>0</v>
      </c>
      <c r="HVH36" s="17">
        <f>'Form-Sb'!HVL94</f>
        <v>0</v>
      </c>
      <c r="HVI36" s="17">
        <f>'Form-Sb'!HVM94</f>
        <v>0</v>
      </c>
      <c r="HVJ36" s="17">
        <f>'Form-Sb'!HVN94</f>
        <v>0</v>
      </c>
      <c r="HVK36" s="17">
        <f>'Form-Sb'!HVO94</f>
        <v>0</v>
      </c>
      <c r="HVL36" s="17">
        <f>'Form-Sb'!HVP94</f>
        <v>0</v>
      </c>
      <c r="HVM36" s="17">
        <f>'Form-Sb'!HVQ94</f>
        <v>0</v>
      </c>
      <c r="HVN36" s="17">
        <f>'Form-Sb'!HVR94</f>
        <v>0</v>
      </c>
      <c r="HVO36" s="17">
        <f>'Form-Sb'!HVS94</f>
        <v>0</v>
      </c>
      <c r="HVP36" s="17">
        <f>'Form-Sb'!HVT94</f>
        <v>0</v>
      </c>
      <c r="HVQ36" s="17">
        <f>'Form-Sb'!HVU94</f>
        <v>0</v>
      </c>
      <c r="HVR36" s="17">
        <f>'Form-Sb'!HVV94</f>
        <v>0</v>
      </c>
      <c r="HVS36" s="17">
        <f>'Form-Sb'!HVW94</f>
        <v>0</v>
      </c>
      <c r="HVT36" s="17">
        <f>'Form-Sb'!HVX94</f>
        <v>0</v>
      </c>
      <c r="HVU36" s="17">
        <f>'Form-Sb'!HVY94</f>
        <v>0</v>
      </c>
      <c r="HVV36" s="17">
        <f>'Form-Sb'!HVZ94</f>
        <v>0</v>
      </c>
      <c r="HVW36" s="17">
        <f>'Form-Sb'!HWA94</f>
        <v>0</v>
      </c>
      <c r="HVX36" s="17">
        <f>'Form-Sb'!HWB94</f>
        <v>0</v>
      </c>
      <c r="HVY36" s="17">
        <f>'Form-Sb'!HWC94</f>
        <v>0</v>
      </c>
      <c r="HVZ36" s="17">
        <f>'Form-Sb'!HWD94</f>
        <v>0</v>
      </c>
      <c r="HWA36" s="17">
        <f>'Form-Sb'!HWE94</f>
        <v>0</v>
      </c>
      <c r="HWB36" s="17">
        <f>'Form-Sb'!HWF94</f>
        <v>0</v>
      </c>
      <c r="HWC36" s="17">
        <f>'Form-Sb'!HWG94</f>
        <v>0</v>
      </c>
      <c r="HWD36" s="17">
        <f>'Form-Sb'!HWH94</f>
        <v>0</v>
      </c>
      <c r="HWE36" s="17">
        <f>'Form-Sb'!HWI94</f>
        <v>0</v>
      </c>
      <c r="HWF36" s="17">
        <f>'Form-Sb'!HWJ94</f>
        <v>0</v>
      </c>
      <c r="HWG36" s="17">
        <f>'Form-Sb'!HWK94</f>
        <v>0</v>
      </c>
      <c r="HWH36" s="17">
        <f>'Form-Sb'!HWL94</f>
        <v>0</v>
      </c>
      <c r="HWI36" s="17">
        <f>'Form-Sb'!HWM94</f>
        <v>0</v>
      </c>
      <c r="HWJ36" s="17">
        <f>'Form-Sb'!HWN94</f>
        <v>0</v>
      </c>
      <c r="HWK36" s="17">
        <f>'Form-Sb'!HWO94</f>
        <v>0</v>
      </c>
      <c r="HWL36" s="17">
        <f>'Form-Sb'!HWP94</f>
        <v>0</v>
      </c>
      <c r="HWM36" s="17">
        <f>'Form-Sb'!HWQ94</f>
        <v>0</v>
      </c>
      <c r="HWN36" s="17">
        <f>'Form-Sb'!HWR94</f>
        <v>0</v>
      </c>
      <c r="HWO36" s="17">
        <f>'Form-Sb'!HWS94</f>
        <v>0</v>
      </c>
      <c r="HWP36" s="17">
        <f>'Form-Sb'!HWT94</f>
        <v>0</v>
      </c>
      <c r="HWQ36" s="17">
        <f>'Form-Sb'!HWU94</f>
        <v>0</v>
      </c>
      <c r="HWR36" s="17">
        <f>'Form-Sb'!HWV94</f>
        <v>0</v>
      </c>
      <c r="HWS36" s="17">
        <f>'Form-Sb'!HWW94</f>
        <v>0</v>
      </c>
      <c r="HWT36" s="17">
        <f>'Form-Sb'!HWX94</f>
        <v>0</v>
      </c>
      <c r="HWU36" s="17">
        <f>'Form-Sb'!HWY94</f>
        <v>0</v>
      </c>
      <c r="HWV36" s="17">
        <f>'Form-Sb'!HWZ94</f>
        <v>0</v>
      </c>
      <c r="HWW36" s="17">
        <f>'Form-Sb'!HXA94</f>
        <v>0</v>
      </c>
      <c r="HWX36" s="17">
        <f>'Form-Sb'!HXB94</f>
        <v>0</v>
      </c>
      <c r="HWY36" s="17">
        <f>'Form-Sb'!HXC94</f>
        <v>0</v>
      </c>
      <c r="HWZ36" s="17">
        <f>'Form-Sb'!HXD94</f>
        <v>0</v>
      </c>
      <c r="HXA36" s="17">
        <f>'Form-Sb'!HXE94</f>
        <v>0</v>
      </c>
      <c r="HXB36" s="17">
        <f>'Form-Sb'!HXF94</f>
        <v>0</v>
      </c>
      <c r="HXC36" s="17">
        <f>'Form-Sb'!HXG94</f>
        <v>0</v>
      </c>
      <c r="HXD36" s="17">
        <f>'Form-Sb'!HXH94</f>
        <v>0</v>
      </c>
      <c r="HXE36" s="17">
        <f>'Form-Sb'!HXI94</f>
        <v>0</v>
      </c>
      <c r="HXF36" s="17">
        <f>'Form-Sb'!HXJ94</f>
        <v>0</v>
      </c>
      <c r="HXG36" s="17">
        <f>'Form-Sb'!HXK94</f>
        <v>0</v>
      </c>
      <c r="HXH36" s="17">
        <f>'Form-Sb'!HXL94</f>
        <v>0</v>
      </c>
      <c r="HXI36" s="17">
        <f>'Form-Sb'!HXM94</f>
        <v>0</v>
      </c>
      <c r="HXJ36" s="17">
        <f>'Form-Sb'!HXN94</f>
        <v>0</v>
      </c>
      <c r="HXK36" s="17">
        <f>'Form-Sb'!HXO94</f>
        <v>0</v>
      </c>
      <c r="HXL36" s="17">
        <f>'Form-Sb'!HXP94</f>
        <v>0</v>
      </c>
      <c r="HXM36" s="17">
        <f>'Form-Sb'!HXQ94</f>
        <v>0</v>
      </c>
      <c r="HXN36" s="17">
        <f>'Form-Sb'!HXR94</f>
        <v>0</v>
      </c>
      <c r="HXO36" s="17">
        <f>'Form-Sb'!HXS94</f>
        <v>0</v>
      </c>
      <c r="HXP36" s="17">
        <f>'Form-Sb'!HXT94</f>
        <v>0</v>
      </c>
      <c r="HXQ36" s="17">
        <f>'Form-Sb'!HXU94</f>
        <v>0</v>
      </c>
      <c r="HXR36" s="17">
        <f>'Form-Sb'!HXV94</f>
        <v>0</v>
      </c>
      <c r="HXS36" s="17">
        <f>'Form-Sb'!HXW94</f>
        <v>0</v>
      </c>
      <c r="HXT36" s="17">
        <f>'Form-Sb'!HXX94</f>
        <v>0</v>
      </c>
      <c r="HXU36" s="17">
        <f>'Form-Sb'!HXY94</f>
        <v>0</v>
      </c>
      <c r="HXV36" s="17">
        <f>'Form-Sb'!HXZ94</f>
        <v>0</v>
      </c>
      <c r="HXW36" s="17">
        <f>'Form-Sb'!HYA94</f>
        <v>0</v>
      </c>
      <c r="HXX36" s="17">
        <f>'Form-Sb'!HYB94</f>
        <v>0</v>
      </c>
      <c r="HXY36" s="17">
        <f>'Form-Sb'!HYC94</f>
        <v>0</v>
      </c>
      <c r="HXZ36" s="17">
        <f>'Form-Sb'!HYD94</f>
        <v>0</v>
      </c>
      <c r="HYA36" s="17">
        <f>'Form-Sb'!HYE94</f>
        <v>0</v>
      </c>
      <c r="HYB36" s="17">
        <f>'Form-Sb'!HYF94</f>
        <v>0</v>
      </c>
      <c r="HYC36" s="17">
        <f>'Form-Sb'!HYG94</f>
        <v>0</v>
      </c>
      <c r="HYD36" s="17">
        <f>'Form-Sb'!HYH94</f>
        <v>0</v>
      </c>
      <c r="HYE36" s="17">
        <f>'Form-Sb'!HYI94</f>
        <v>0</v>
      </c>
      <c r="HYF36" s="17">
        <f>'Form-Sb'!HYJ94</f>
        <v>0</v>
      </c>
      <c r="HYG36" s="17">
        <f>'Form-Sb'!HYK94</f>
        <v>0</v>
      </c>
      <c r="HYH36" s="17">
        <f>'Form-Sb'!HYL94</f>
        <v>0</v>
      </c>
      <c r="HYI36" s="17">
        <f>'Form-Sb'!HYM94</f>
        <v>0</v>
      </c>
      <c r="HYJ36" s="17">
        <f>'Form-Sb'!HYN94</f>
        <v>0</v>
      </c>
      <c r="HYK36" s="17">
        <f>'Form-Sb'!HYO94</f>
        <v>0</v>
      </c>
      <c r="HYL36" s="17">
        <f>'Form-Sb'!HYP94</f>
        <v>0</v>
      </c>
      <c r="HYM36" s="17">
        <f>'Form-Sb'!HYQ94</f>
        <v>0</v>
      </c>
      <c r="HYN36" s="17">
        <f>'Form-Sb'!HYR94</f>
        <v>0</v>
      </c>
      <c r="HYO36" s="17">
        <f>'Form-Sb'!HYS94</f>
        <v>0</v>
      </c>
      <c r="HYP36" s="17">
        <f>'Form-Sb'!HYT94</f>
        <v>0</v>
      </c>
      <c r="HYQ36" s="17">
        <f>'Form-Sb'!HYU94</f>
        <v>0</v>
      </c>
      <c r="HYR36" s="17">
        <f>'Form-Sb'!HYV94</f>
        <v>0</v>
      </c>
      <c r="HYS36" s="17">
        <f>'Form-Sb'!HYW94</f>
        <v>0</v>
      </c>
      <c r="HYT36" s="17">
        <f>'Form-Sb'!HYX94</f>
        <v>0</v>
      </c>
      <c r="HYU36" s="17">
        <f>'Form-Sb'!HYY94</f>
        <v>0</v>
      </c>
      <c r="HYV36" s="17">
        <f>'Form-Sb'!HYZ94</f>
        <v>0</v>
      </c>
      <c r="HYW36" s="17">
        <f>'Form-Sb'!HZA94</f>
        <v>0</v>
      </c>
      <c r="HYX36" s="17">
        <f>'Form-Sb'!HZB94</f>
        <v>0</v>
      </c>
      <c r="HYY36" s="17">
        <f>'Form-Sb'!HZC94</f>
        <v>0</v>
      </c>
      <c r="HYZ36" s="17">
        <f>'Form-Sb'!HZD94</f>
        <v>0</v>
      </c>
      <c r="HZA36" s="17">
        <f>'Form-Sb'!HZE94</f>
        <v>0</v>
      </c>
      <c r="HZB36" s="17">
        <f>'Form-Sb'!HZF94</f>
        <v>0</v>
      </c>
      <c r="HZC36" s="17">
        <f>'Form-Sb'!HZG94</f>
        <v>0</v>
      </c>
      <c r="HZD36" s="17">
        <f>'Form-Sb'!HZH94</f>
        <v>0</v>
      </c>
      <c r="HZE36" s="17">
        <f>'Form-Sb'!HZI94</f>
        <v>0</v>
      </c>
      <c r="HZF36" s="17">
        <f>'Form-Sb'!HZJ94</f>
        <v>0</v>
      </c>
      <c r="HZG36" s="17">
        <f>'Form-Sb'!HZK94</f>
        <v>0</v>
      </c>
      <c r="HZH36" s="17">
        <f>'Form-Sb'!HZL94</f>
        <v>0</v>
      </c>
      <c r="HZI36" s="17">
        <f>'Form-Sb'!HZM94</f>
        <v>0</v>
      </c>
      <c r="HZJ36" s="17">
        <f>'Form-Sb'!HZN94</f>
        <v>0</v>
      </c>
      <c r="HZK36" s="17">
        <f>'Form-Sb'!HZO94</f>
        <v>0</v>
      </c>
      <c r="HZL36" s="17">
        <f>'Form-Sb'!HZP94</f>
        <v>0</v>
      </c>
      <c r="HZM36" s="17">
        <f>'Form-Sb'!HZQ94</f>
        <v>0</v>
      </c>
      <c r="HZN36" s="17">
        <f>'Form-Sb'!HZR94</f>
        <v>0</v>
      </c>
      <c r="HZO36" s="17">
        <f>'Form-Sb'!HZS94</f>
        <v>0</v>
      </c>
      <c r="HZP36" s="17">
        <f>'Form-Sb'!HZT94</f>
        <v>0</v>
      </c>
      <c r="HZQ36" s="17">
        <f>'Form-Sb'!HZU94</f>
        <v>0</v>
      </c>
      <c r="HZR36" s="17">
        <f>'Form-Sb'!HZV94</f>
        <v>0</v>
      </c>
      <c r="HZS36" s="17">
        <f>'Form-Sb'!HZW94</f>
        <v>0</v>
      </c>
      <c r="HZT36" s="17">
        <f>'Form-Sb'!HZX94</f>
        <v>0</v>
      </c>
      <c r="HZU36" s="17">
        <f>'Form-Sb'!HZY94</f>
        <v>0</v>
      </c>
      <c r="HZV36" s="17">
        <f>'Form-Sb'!HZZ94</f>
        <v>0</v>
      </c>
      <c r="HZW36" s="17">
        <f>'Form-Sb'!IAA94</f>
        <v>0</v>
      </c>
      <c r="HZX36" s="17">
        <f>'Form-Sb'!IAB94</f>
        <v>0</v>
      </c>
      <c r="HZY36" s="17">
        <f>'Form-Sb'!IAC94</f>
        <v>0</v>
      </c>
      <c r="HZZ36" s="17">
        <f>'Form-Sb'!IAD94</f>
        <v>0</v>
      </c>
      <c r="IAA36" s="17">
        <f>'Form-Sb'!IAE94</f>
        <v>0</v>
      </c>
      <c r="IAB36" s="17">
        <f>'Form-Sb'!IAF94</f>
        <v>0</v>
      </c>
      <c r="IAC36" s="17">
        <f>'Form-Sb'!IAG94</f>
        <v>0</v>
      </c>
      <c r="IAD36" s="17">
        <f>'Form-Sb'!IAH94</f>
        <v>0</v>
      </c>
      <c r="IAE36" s="17">
        <f>'Form-Sb'!IAI94</f>
        <v>0</v>
      </c>
      <c r="IAF36" s="17">
        <f>'Form-Sb'!IAJ94</f>
        <v>0</v>
      </c>
      <c r="IAG36" s="17">
        <f>'Form-Sb'!IAK94</f>
        <v>0</v>
      </c>
      <c r="IAH36" s="17">
        <f>'Form-Sb'!IAL94</f>
        <v>0</v>
      </c>
      <c r="IAI36" s="17">
        <f>'Form-Sb'!IAM94</f>
        <v>0</v>
      </c>
      <c r="IAJ36" s="17">
        <f>'Form-Sb'!IAN94</f>
        <v>0</v>
      </c>
      <c r="IAK36" s="17">
        <f>'Form-Sb'!IAO94</f>
        <v>0</v>
      </c>
      <c r="IAL36" s="17">
        <f>'Form-Sb'!IAP94</f>
        <v>0</v>
      </c>
      <c r="IAM36" s="17">
        <f>'Form-Sb'!IAQ94</f>
        <v>0</v>
      </c>
      <c r="IAN36" s="17">
        <f>'Form-Sb'!IAR94</f>
        <v>0</v>
      </c>
      <c r="IAO36" s="17">
        <f>'Form-Sb'!IAS94</f>
        <v>0</v>
      </c>
      <c r="IAP36" s="17">
        <f>'Form-Sb'!IAT94</f>
        <v>0</v>
      </c>
      <c r="IAQ36" s="17">
        <f>'Form-Sb'!IAU94</f>
        <v>0</v>
      </c>
      <c r="IAR36" s="17">
        <f>'Form-Sb'!IAV94</f>
        <v>0</v>
      </c>
      <c r="IAS36" s="17">
        <f>'Form-Sb'!IAW94</f>
        <v>0</v>
      </c>
      <c r="IAT36" s="17">
        <f>'Form-Sb'!IAX94</f>
        <v>0</v>
      </c>
      <c r="IAU36" s="17">
        <f>'Form-Sb'!IAY94</f>
        <v>0</v>
      </c>
      <c r="IAV36" s="17">
        <f>'Form-Sb'!IAZ94</f>
        <v>0</v>
      </c>
      <c r="IAW36" s="17">
        <f>'Form-Sb'!IBA94</f>
        <v>0</v>
      </c>
      <c r="IAX36" s="17">
        <f>'Form-Sb'!IBB94</f>
        <v>0</v>
      </c>
      <c r="IAY36" s="17">
        <f>'Form-Sb'!IBC94</f>
        <v>0</v>
      </c>
      <c r="IAZ36" s="17">
        <f>'Form-Sb'!IBD94</f>
        <v>0</v>
      </c>
      <c r="IBA36" s="17">
        <f>'Form-Sb'!IBE94</f>
        <v>0</v>
      </c>
      <c r="IBB36" s="17">
        <f>'Form-Sb'!IBF94</f>
        <v>0</v>
      </c>
      <c r="IBC36" s="17">
        <f>'Form-Sb'!IBG94</f>
        <v>0</v>
      </c>
      <c r="IBD36" s="17">
        <f>'Form-Sb'!IBH94</f>
        <v>0</v>
      </c>
      <c r="IBE36" s="17">
        <f>'Form-Sb'!IBI94</f>
        <v>0</v>
      </c>
      <c r="IBF36" s="17">
        <f>'Form-Sb'!IBJ94</f>
        <v>0</v>
      </c>
      <c r="IBG36" s="17">
        <f>'Form-Sb'!IBK94</f>
        <v>0</v>
      </c>
      <c r="IBH36" s="17">
        <f>'Form-Sb'!IBL94</f>
        <v>0</v>
      </c>
      <c r="IBI36" s="17">
        <f>'Form-Sb'!IBM94</f>
        <v>0</v>
      </c>
      <c r="IBJ36" s="17">
        <f>'Form-Sb'!IBN94</f>
        <v>0</v>
      </c>
      <c r="IBK36" s="17">
        <f>'Form-Sb'!IBO94</f>
        <v>0</v>
      </c>
      <c r="IBL36" s="17">
        <f>'Form-Sb'!IBP94</f>
        <v>0</v>
      </c>
      <c r="IBM36" s="17">
        <f>'Form-Sb'!IBQ94</f>
        <v>0</v>
      </c>
      <c r="IBN36" s="17">
        <f>'Form-Sb'!IBR94</f>
        <v>0</v>
      </c>
      <c r="IBO36" s="17">
        <f>'Form-Sb'!IBS94</f>
        <v>0</v>
      </c>
      <c r="IBP36" s="17">
        <f>'Form-Sb'!IBT94</f>
        <v>0</v>
      </c>
      <c r="IBQ36" s="17">
        <f>'Form-Sb'!IBU94</f>
        <v>0</v>
      </c>
      <c r="IBR36" s="17">
        <f>'Form-Sb'!IBV94</f>
        <v>0</v>
      </c>
      <c r="IBS36" s="17">
        <f>'Form-Sb'!IBW94</f>
        <v>0</v>
      </c>
      <c r="IBT36" s="17">
        <f>'Form-Sb'!IBX94</f>
        <v>0</v>
      </c>
      <c r="IBU36" s="17">
        <f>'Form-Sb'!IBY94</f>
        <v>0</v>
      </c>
      <c r="IBV36" s="17">
        <f>'Form-Sb'!IBZ94</f>
        <v>0</v>
      </c>
      <c r="IBW36" s="17">
        <f>'Form-Sb'!ICA94</f>
        <v>0</v>
      </c>
      <c r="IBX36" s="17">
        <f>'Form-Sb'!ICB94</f>
        <v>0</v>
      </c>
      <c r="IBY36" s="17">
        <f>'Form-Sb'!ICC94</f>
        <v>0</v>
      </c>
      <c r="IBZ36" s="17">
        <f>'Form-Sb'!ICD94</f>
        <v>0</v>
      </c>
      <c r="ICA36" s="17">
        <f>'Form-Sb'!ICE94</f>
        <v>0</v>
      </c>
      <c r="ICB36" s="17">
        <f>'Form-Sb'!ICF94</f>
        <v>0</v>
      </c>
      <c r="ICC36" s="17">
        <f>'Form-Sb'!ICG94</f>
        <v>0</v>
      </c>
      <c r="ICD36" s="17">
        <f>'Form-Sb'!ICH94</f>
        <v>0</v>
      </c>
      <c r="ICE36" s="17">
        <f>'Form-Sb'!ICI94</f>
        <v>0</v>
      </c>
      <c r="ICF36" s="17">
        <f>'Form-Sb'!ICJ94</f>
        <v>0</v>
      </c>
      <c r="ICG36" s="17">
        <f>'Form-Sb'!ICK94</f>
        <v>0</v>
      </c>
      <c r="ICH36" s="17">
        <f>'Form-Sb'!ICL94</f>
        <v>0</v>
      </c>
      <c r="ICI36" s="17">
        <f>'Form-Sb'!ICM94</f>
        <v>0</v>
      </c>
      <c r="ICJ36" s="17">
        <f>'Form-Sb'!ICN94</f>
        <v>0</v>
      </c>
      <c r="ICK36" s="17">
        <f>'Form-Sb'!ICO94</f>
        <v>0</v>
      </c>
      <c r="ICL36" s="17">
        <f>'Form-Sb'!ICP94</f>
        <v>0</v>
      </c>
      <c r="ICM36" s="17">
        <f>'Form-Sb'!ICQ94</f>
        <v>0</v>
      </c>
      <c r="ICN36" s="17">
        <f>'Form-Sb'!ICR94</f>
        <v>0</v>
      </c>
      <c r="ICO36" s="17">
        <f>'Form-Sb'!ICS94</f>
        <v>0</v>
      </c>
      <c r="ICP36" s="17">
        <f>'Form-Sb'!ICT94</f>
        <v>0</v>
      </c>
      <c r="ICQ36" s="17">
        <f>'Form-Sb'!ICU94</f>
        <v>0</v>
      </c>
      <c r="ICR36" s="17">
        <f>'Form-Sb'!ICV94</f>
        <v>0</v>
      </c>
      <c r="ICS36" s="17">
        <f>'Form-Sb'!ICW94</f>
        <v>0</v>
      </c>
      <c r="ICT36" s="17">
        <f>'Form-Sb'!ICX94</f>
        <v>0</v>
      </c>
      <c r="ICU36" s="17">
        <f>'Form-Sb'!ICY94</f>
        <v>0</v>
      </c>
      <c r="ICV36" s="17">
        <f>'Form-Sb'!ICZ94</f>
        <v>0</v>
      </c>
      <c r="ICW36" s="17">
        <f>'Form-Sb'!IDA94</f>
        <v>0</v>
      </c>
      <c r="ICX36" s="17">
        <f>'Form-Sb'!IDB94</f>
        <v>0</v>
      </c>
      <c r="ICY36" s="17">
        <f>'Form-Sb'!IDC94</f>
        <v>0</v>
      </c>
      <c r="ICZ36" s="17">
        <f>'Form-Sb'!IDD94</f>
        <v>0</v>
      </c>
      <c r="IDA36" s="17">
        <f>'Form-Sb'!IDE94</f>
        <v>0</v>
      </c>
      <c r="IDB36" s="17">
        <f>'Form-Sb'!IDF94</f>
        <v>0</v>
      </c>
      <c r="IDC36" s="17">
        <f>'Form-Sb'!IDG94</f>
        <v>0</v>
      </c>
      <c r="IDD36" s="17">
        <f>'Form-Sb'!IDH94</f>
        <v>0</v>
      </c>
      <c r="IDE36" s="17">
        <f>'Form-Sb'!IDI94</f>
        <v>0</v>
      </c>
      <c r="IDF36" s="17">
        <f>'Form-Sb'!IDJ94</f>
        <v>0</v>
      </c>
      <c r="IDG36" s="17">
        <f>'Form-Sb'!IDK94</f>
        <v>0</v>
      </c>
      <c r="IDH36" s="17">
        <f>'Form-Sb'!IDL94</f>
        <v>0</v>
      </c>
      <c r="IDI36" s="17">
        <f>'Form-Sb'!IDM94</f>
        <v>0</v>
      </c>
      <c r="IDJ36" s="17">
        <f>'Form-Sb'!IDN94</f>
        <v>0</v>
      </c>
      <c r="IDK36" s="17">
        <f>'Form-Sb'!IDO94</f>
        <v>0</v>
      </c>
      <c r="IDL36" s="17">
        <f>'Form-Sb'!IDP94</f>
        <v>0</v>
      </c>
      <c r="IDM36" s="17">
        <f>'Form-Sb'!IDQ94</f>
        <v>0</v>
      </c>
      <c r="IDN36" s="17">
        <f>'Form-Sb'!IDR94</f>
        <v>0</v>
      </c>
      <c r="IDO36" s="17">
        <f>'Form-Sb'!IDS94</f>
        <v>0</v>
      </c>
      <c r="IDP36" s="17">
        <f>'Form-Sb'!IDT94</f>
        <v>0</v>
      </c>
      <c r="IDQ36" s="17">
        <f>'Form-Sb'!IDU94</f>
        <v>0</v>
      </c>
      <c r="IDR36" s="17">
        <f>'Form-Sb'!IDV94</f>
        <v>0</v>
      </c>
      <c r="IDS36" s="17">
        <f>'Form-Sb'!IDW94</f>
        <v>0</v>
      </c>
      <c r="IDT36" s="17">
        <f>'Form-Sb'!IDX94</f>
        <v>0</v>
      </c>
      <c r="IDU36" s="17">
        <f>'Form-Sb'!IDY94</f>
        <v>0</v>
      </c>
      <c r="IDV36" s="17">
        <f>'Form-Sb'!IDZ94</f>
        <v>0</v>
      </c>
      <c r="IDW36" s="17">
        <f>'Form-Sb'!IEA94</f>
        <v>0</v>
      </c>
      <c r="IDX36" s="17">
        <f>'Form-Sb'!IEB94</f>
        <v>0</v>
      </c>
      <c r="IDY36" s="17">
        <f>'Form-Sb'!IEC94</f>
        <v>0</v>
      </c>
      <c r="IDZ36" s="17">
        <f>'Form-Sb'!IED94</f>
        <v>0</v>
      </c>
      <c r="IEA36" s="17">
        <f>'Form-Sb'!IEE94</f>
        <v>0</v>
      </c>
      <c r="IEB36" s="17">
        <f>'Form-Sb'!IEF94</f>
        <v>0</v>
      </c>
      <c r="IEC36" s="17">
        <f>'Form-Sb'!IEG94</f>
        <v>0</v>
      </c>
      <c r="IED36" s="17">
        <f>'Form-Sb'!IEH94</f>
        <v>0</v>
      </c>
      <c r="IEE36" s="17">
        <f>'Form-Sb'!IEI94</f>
        <v>0</v>
      </c>
      <c r="IEF36" s="17">
        <f>'Form-Sb'!IEJ94</f>
        <v>0</v>
      </c>
      <c r="IEG36" s="17">
        <f>'Form-Sb'!IEK94</f>
        <v>0</v>
      </c>
      <c r="IEH36" s="17">
        <f>'Form-Sb'!IEL94</f>
        <v>0</v>
      </c>
      <c r="IEI36" s="17">
        <f>'Form-Sb'!IEM94</f>
        <v>0</v>
      </c>
      <c r="IEJ36" s="17">
        <f>'Form-Sb'!IEN94</f>
        <v>0</v>
      </c>
      <c r="IEK36" s="17">
        <f>'Form-Sb'!IEO94</f>
        <v>0</v>
      </c>
      <c r="IEL36" s="17">
        <f>'Form-Sb'!IEP94</f>
        <v>0</v>
      </c>
      <c r="IEM36" s="17">
        <f>'Form-Sb'!IEQ94</f>
        <v>0</v>
      </c>
      <c r="IEN36" s="17">
        <f>'Form-Sb'!IER94</f>
        <v>0</v>
      </c>
      <c r="IEO36" s="17">
        <f>'Form-Sb'!IES94</f>
        <v>0</v>
      </c>
      <c r="IEP36" s="17">
        <f>'Form-Sb'!IET94</f>
        <v>0</v>
      </c>
      <c r="IEQ36" s="17">
        <f>'Form-Sb'!IEU94</f>
        <v>0</v>
      </c>
      <c r="IER36" s="17">
        <f>'Form-Sb'!IEV94</f>
        <v>0</v>
      </c>
      <c r="IES36" s="17">
        <f>'Form-Sb'!IEW94</f>
        <v>0</v>
      </c>
      <c r="IET36" s="17">
        <f>'Form-Sb'!IEX94</f>
        <v>0</v>
      </c>
      <c r="IEU36" s="17">
        <f>'Form-Sb'!IEY94</f>
        <v>0</v>
      </c>
      <c r="IEV36" s="17">
        <f>'Form-Sb'!IEZ94</f>
        <v>0</v>
      </c>
      <c r="IEW36" s="17">
        <f>'Form-Sb'!IFA94</f>
        <v>0</v>
      </c>
      <c r="IEX36" s="17">
        <f>'Form-Sb'!IFB94</f>
        <v>0</v>
      </c>
      <c r="IEY36" s="17">
        <f>'Form-Sb'!IFC94</f>
        <v>0</v>
      </c>
      <c r="IEZ36" s="17">
        <f>'Form-Sb'!IFD94</f>
        <v>0</v>
      </c>
      <c r="IFA36" s="17">
        <f>'Form-Sb'!IFE94</f>
        <v>0</v>
      </c>
      <c r="IFB36" s="17">
        <f>'Form-Sb'!IFF94</f>
        <v>0</v>
      </c>
      <c r="IFC36" s="17">
        <f>'Form-Sb'!IFG94</f>
        <v>0</v>
      </c>
      <c r="IFD36" s="17">
        <f>'Form-Sb'!IFH94</f>
        <v>0</v>
      </c>
      <c r="IFE36" s="17">
        <f>'Form-Sb'!IFI94</f>
        <v>0</v>
      </c>
      <c r="IFF36" s="17">
        <f>'Form-Sb'!IFJ94</f>
        <v>0</v>
      </c>
      <c r="IFG36" s="17">
        <f>'Form-Sb'!IFK94</f>
        <v>0</v>
      </c>
      <c r="IFH36" s="17">
        <f>'Form-Sb'!IFL94</f>
        <v>0</v>
      </c>
      <c r="IFI36" s="17">
        <f>'Form-Sb'!IFM94</f>
        <v>0</v>
      </c>
      <c r="IFJ36" s="17">
        <f>'Form-Sb'!IFN94</f>
        <v>0</v>
      </c>
      <c r="IFK36" s="17">
        <f>'Form-Sb'!IFO94</f>
        <v>0</v>
      </c>
      <c r="IFL36" s="17">
        <f>'Form-Sb'!IFP94</f>
        <v>0</v>
      </c>
      <c r="IFM36" s="17">
        <f>'Form-Sb'!IFQ94</f>
        <v>0</v>
      </c>
      <c r="IFN36" s="17">
        <f>'Form-Sb'!IFR94</f>
        <v>0</v>
      </c>
      <c r="IFO36" s="17">
        <f>'Form-Sb'!IFS94</f>
        <v>0</v>
      </c>
      <c r="IFP36" s="17">
        <f>'Form-Sb'!IFT94</f>
        <v>0</v>
      </c>
      <c r="IFQ36" s="17">
        <f>'Form-Sb'!IFU94</f>
        <v>0</v>
      </c>
      <c r="IFR36" s="17">
        <f>'Form-Sb'!IFV94</f>
        <v>0</v>
      </c>
      <c r="IFS36" s="17">
        <f>'Form-Sb'!IFW94</f>
        <v>0</v>
      </c>
      <c r="IFT36" s="17">
        <f>'Form-Sb'!IFX94</f>
        <v>0</v>
      </c>
      <c r="IFU36" s="17">
        <f>'Form-Sb'!IFY94</f>
        <v>0</v>
      </c>
      <c r="IFV36" s="17">
        <f>'Form-Sb'!IFZ94</f>
        <v>0</v>
      </c>
      <c r="IFW36" s="17">
        <f>'Form-Sb'!IGA94</f>
        <v>0</v>
      </c>
      <c r="IFX36" s="17">
        <f>'Form-Sb'!IGB94</f>
        <v>0</v>
      </c>
      <c r="IFY36" s="17">
        <f>'Form-Sb'!IGC94</f>
        <v>0</v>
      </c>
      <c r="IFZ36" s="17">
        <f>'Form-Sb'!IGD94</f>
        <v>0</v>
      </c>
      <c r="IGA36" s="17">
        <f>'Form-Sb'!IGE94</f>
        <v>0</v>
      </c>
      <c r="IGB36" s="17">
        <f>'Form-Sb'!IGF94</f>
        <v>0</v>
      </c>
      <c r="IGC36" s="17">
        <f>'Form-Sb'!IGG94</f>
        <v>0</v>
      </c>
      <c r="IGD36" s="17">
        <f>'Form-Sb'!IGH94</f>
        <v>0</v>
      </c>
      <c r="IGE36" s="17">
        <f>'Form-Sb'!IGI94</f>
        <v>0</v>
      </c>
      <c r="IGF36" s="17">
        <f>'Form-Sb'!IGJ94</f>
        <v>0</v>
      </c>
      <c r="IGG36" s="17">
        <f>'Form-Sb'!IGK94</f>
        <v>0</v>
      </c>
      <c r="IGH36" s="17">
        <f>'Form-Sb'!IGL94</f>
        <v>0</v>
      </c>
      <c r="IGI36" s="17">
        <f>'Form-Sb'!IGM94</f>
        <v>0</v>
      </c>
      <c r="IGJ36" s="17">
        <f>'Form-Sb'!IGN94</f>
        <v>0</v>
      </c>
      <c r="IGK36" s="17">
        <f>'Form-Sb'!IGO94</f>
        <v>0</v>
      </c>
      <c r="IGL36" s="17">
        <f>'Form-Sb'!IGP94</f>
        <v>0</v>
      </c>
      <c r="IGM36" s="17">
        <f>'Form-Sb'!IGQ94</f>
        <v>0</v>
      </c>
      <c r="IGN36" s="17">
        <f>'Form-Sb'!IGR94</f>
        <v>0</v>
      </c>
      <c r="IGO36" s="17">
        <f>'Form-Sb'!IGS94</f>
        <v>0</v>
      </c>
      <c r="IGP36" s="17">
        <f>'Form-Sb'!IGT94</f>
        <v>0</v>
      </c>
      <c r="IGQ36" s="17">
        <f>'Form-Sb'!IGU94</f>
        <v>0</v>
      </c>
      <c r="IGR36" s="17">
        <f>'Form-Sb'!IGV94</f>
        <v>0</v>
      </c>
      <c r="IGS36" s="17">
        <f>'Form-Sb'!IGW94</f>
        <v>0</v>
      </c>
      <c r="IGT36" s="17">
        <f>'Form-Sb'!IGX94</f>
        <v>0</v>
      </c>
      <c r="IGU36" s="17">
        <f>'Form-Sb'!IGY94</f>
        <v>0</v>
      </c>
      <c r="IGV36" s="17">
        <f>'Form-Sb'!IGZ94</f>
        <v>0</v>
      </c>
      <c r="IGW36" s="17">
        <f>'Form-Sb'!IHA94</f>
        <v>0</v>
      </c>
      <c r="IGX36" s="17">
        <f>'Form-Sb'!IHB94</f>
        <v>0</v>
      </c>
      <c r="IGY36" s="17">
        <f>'Form-Sb'!IHC94</f>
        <v>0</v>
      </c>
      <c r="IGZ36" s="17">
        <f>'Form-Sb'!IHD94</f>
        <v>0</v>
      </c>
      <c r="IHA36" s="17">
        <f>'Form-Sb'!IHE94</f>
        <v>0</v>
      </c>
      <c r="IHB36" s="17">
        <f>'Form-Sb'!IHF94</f>
        <v>0</v>
      </c>
      <c r="IHC36" s="17">
        <f>'Form-Sb'!IHG94</f>
        <v>0</v>
      </c>
      <c r="IHD36" s="17">
        <f>'Form-Sb'!IHH94</f>
        <v>0</v>
      </c>
      <c r="IHE36" s="17">
        <f>'Form-Sb'!IHI94</f>
        <v>0</v>
      </c>
      <c r="IHF36" s="17">
        <f>'Form-Sb'!IHJ94</f>
        <v>0</v>
      </c>
      <c r="IHG36" s="17">
        <f>'Form-Sb'!IHK94</f>
        <v>0</v>
      </c>
      <c r="IHH36" s="17">
        <f>'Form-Sb'!IHL94</f>
        <v>0</v>
      </c>
      <c r="IHI36" s="17">
        <f>'Form-Sb'!IHM94</f>
        <v>0</v>
      </c>
      <c r="IHJ36" s="17">
        <f>'Form-Sb'!IHN94</f>
        <v>0</v>
      </c>
      <c r="IHK36" s="17">
        <f>'Form-Sb'!IHO94</f>
        <v>0</v>
      </c>
      <c r="IHL36" s="17">
        <f>'Form-Sb'!IHP94</f>
        <v>0</v>
      </c>
      <c r="IHM36" s="17">
        <f>'Form-Sb'!IHQ94</f>
        <v>0</v>
      </c>
      <c r="IHN36" s="17">
        <f>'Form-Sb'!IHR94</f>
        <v>0</v>
      </c>
      <c r="IHO36" s="17">
        <f>'Form-Sb'!IHS94</f>
        <v>0</v>
      </c>
      <c r="IHP36" s="17">
        <f>'Form-Sb'!IHT94</f>
        <v>0</v>
      </c>
      <c r="IHQ36" s="17">
        <f>'Form-Sb'!IHU94</f>
        <v>0</v>
      </c>
      <c r="IHR36" s="17">
        <f>'Form-Sb'!IHV94</f>
        <v>0</v>
      </c>
      <c r="IHS36" s="17">
        <f>'Form-Sb'!IHW94</f>
        <v>0</v>
      </c>
      <c r="IHT36" s="17">
        <f>'Form-Sb'!IHX94</f>
        <v>0</v>
      </c>
      <c r="IHU36" s="17">
        <f>'Form-Sb'!IHY94</f>
        <v>0</v>
      </c>
      <c r="IHV36" s="17">
        <f>'Form-Sb'!IHZ94</f>
        <v>0</v>
      </c>
      <c r="IHW36" s="17">
        <f>'Form-Sb'!IIA94</f>
        <v>0</v>
      </c>
      <c r="IHX36" s="17">
        <f>'Form-Sb'!IIB94</f>
        <v>0</v>
      </c>
      <c r="IHY36" s="17">
        <f>'Form-Sb'!IIC94</f>
        <v>0</v>
      </c>
      <c r="IHZ36" s="17">
        <f>'Form-Sb'!IID94</f>
        <v>0</v>
      </c>
      <c r="IIA36" s="17">
        <f>'Form-Sb'!IIE94</f>
        <v>0</v>
      </c>
      <c r="IIB36" s="17">
        <f>'Form-Sb'!IIF94</f>
        <v>0</v>
      </c>
      <c r="IIC36" s="17">
        <f>'Form-Sb'!IIG94</f>
        <v>0</v>
      </c>
      <c r="IID36" s="17">
        <f>'Form-Sb'!IIH94</f>
        <v>0</v>
      </c>
      <c r="IIE36" s="17">
        <f>'Form-Sb'!III94</f>
        <v>0</v>
      </c>
      <c r="IIF36" s="17">
        <f>'Form-Sb'!IIJ94</f>
        <v>0</v>
      </c>
      <c r="IIG36" s="17">
        <f>'Form-Sb'!IIK94</f>
        <v>0</v>
      </c>
      <c r="IIH36" s="17">
        <f>'Form-Sb'!IIL94</f>
        <v>0</v>
      </c>
      <c r="III36" s="17">
        <f>'Form-Sb'!IIM94</f>
        <v>0</v>
      </c>
      <c r="IIJ36" s="17">
        <f>'Form-Sb'!IIN94</f>
        <v>0</v>
      </c>
      <c r="IIK36" s="17">
        <f>'Form-Sb'!IIO94</f>
        <v>0</v>
      </c>
      <c r="IIL36" s="17">
        <f>'Form-Sb'!IIP94</f>
        <v>0</v>
      </c>
      <c r="IIM36" s="17">
        <f>'Form-Sb'!IIQ94</f>
        <v>0</v>
      </c>
      <c r="IIN36" s="17">
        <f>'Form-Sb'!IIR94</f>
        <v>0</v>
      </c>
      <c r="IIO36" s="17">
        <f>'Form-Sb'!IIS94</f>
        <v>0</v>
      </c>
      <c r="IIP36" s="17">
        <f>'Form-Sb'!IIT94</f>
        <v>0</v>
      </c>
      <c r="IIQ36" s="17">
        <f>'Form-Sb'!IIU94</f>
        <v>0</v>
      </c>
      <c r="IIR36" s="17">
        <f>'Form-Sb'!IIV94</f>
        <v>0</v>
      </c>
      <c r="IIS36" s="17">
        <f>'Form-Sb'!IIW94</f>
        <v>0</v>
      </c>
      <c r="IIT36" s="17">
        <f>'Form-Sb'!IIX94</f>
        <v>0</v>
      </c>
      <c r="IIU36" s="17">
        <f>'Form-Sb'!IIY94</f>
        <v>0</v>
      </c>
      <c r="IIV36" s="17">
        <f>'Form-Sb'!IIZ94</f>
        <v>0</v>
      </c>
      <c r="IIW36" s="17">
        <f>'Form-Sb'!IJA94</f>
        <v>0</v>
      </c>
      <c r="IIX36" s="17">
        <f>'Form-Sb'!IJB94</f>
        <v>0</v>
      </c>
      <c r="IIY36" s="17">
        <f>'Form-Sb'!IJC94</f>
        <v>0</v>
      </c>
      <c r="IIZ36" s="17">
        <f>'Form-Sb'!IJD94</f>
        <v>0</v>
      </c>
      <c r="IJA36" s="17">
        <f>'Form-Sb'!IJE94</f>
        <v>0</v>
      </c>
      <c r="IJB36" s="17">
        <f>'Form-Sb'!IJF94</f>
        <v>0</v>
      </c>
      <c r="IJC36" s="17">
        <f>'Form-Sb'!IJG94</f>
        <v>0</v>
      </c>
      <c r="IJD36" s="17">
        <f>'Form-Sb'!IJH94</f>
        <v>0</v>
      </c>
      <c r="IJE36" s="17">
        <f>'Form-Sb'!IJI94</f>
        <v>0</v>
      </c>
      <c r="IJF36" s="17">
        <f>'Form-Sb'!IJJ94</f>
        <v>0</v>
      </c>
      <c r="IJG36" s="17">
        <f>'Form-Sb'!IJK94</f>
        <v>0</v>
      </c>
      <c r="IJH36" s="17">
        <f>'Form-Sb'!IJL94</f>
        <v>0</v>
      </c>
      <c r="IJI36" s="17">
        <f>'Form-Sb'!IJM94</f>
        <v>0</v>
      </c>
      <c r="IJJ36" s="17">
        <f>'Form-Sb'!IJN94</f>
        <v>0</v>
      </c>
      <c r="IJK36" s="17">
        <f>'Form-Sb'!IJO94</f>
        <v>0</v>
      </c>
      <c r="IJL36" s="17">
        <f>'Form-Sb'!IJP94</f>
        <v>0</v>
      </c>
      <c r="IJM36" s="17">
        <f>'Form-Sb'!IJQ94</f>
        <v>0</v>
      </c>
      <c r="IJN36" s="17">
        <f>'Form-Sb'!IJR94</f>
        <v>0</v>
      </c>
      <c r="IJO36" s="17">
        <f>'Form-Sb'!IJS94</f>
        <v>0</v>
      </c>
      <c r="IJP36" s="17">
        <f>'Form-Sb'!IJT94</f>
        <v>0</v>
      </c>
      <c r="IJQ36" s="17">
        <f>'Form-Sb'!IJU94</f>
        <v>0</v>
      </c>
      <c r="IJR36" s="17">
        <f>'Form-Sb'!IJV94</f>
        <v>0</v>
      </c>
      <c r="IJS36" s="17">
        <f>'Form-Sb'!IJW94</f>
        <v>0</v>
      </c>
      <c r="IJT36" s="17">
        <f>'Form-Sb'!IJX94</f>
        <v>0</v>
      </c>
      <c r="IJU36" s="17">
        <f>'Form-Sb'!IJY94</f>
        <v>0</v>
      </c>
      <c r="IJV36" s="17">
        <f>'Form-Sb'!IJZ94</f>
        <v>0</v>
      </c>
      <c r="IJW36" s="17">
        <f>'Form-Sb'!IKA94</f>
        <v>0</v>
      </c>
      <c r="IJX36" s="17">
        <f>'Form-Sb'!IKB94</f>
        <v>0</v>
      </c>
      <c r="IJY36" s="17">
        <f>'Form-Sb'!IKC94</f>
        <v>0</v>
      </c>
      <c r="IJZ36" s="17">
        <f>'Form-Sb'!IKD94</f>
        <v>0</v>
      </c>
      <c r="IKA36" s="17">
        <f>'Form-Sb'!IKE94</f>
        <v>0</v>
      </c>
      <c r="IKB36" s="17">
        <f>'Form-Sb'!IKF94</f>
        <v>0</v>
      </c>
      <c r="IKC36" s="17">
        <f>'Form-Sb'!IKG94</f>
        <v>0</v>
      </c>
      <c r="IKD36" s="17">
        <f>'Form-Sb'!IKH94</f>
        <v>0</v>
      </c>
      <c r="IKE36" s="17">
        <f>'Form-Sb'!IKI94</f>
        <v>0</v>
      </c>
      <c r="IKF36" s="17">
        <f>'Form-Sb'!IKJ94</f>
        <v>0</v>
      </c>
      <c r="IKG36" s="17">
        <f>'Form-Sb'!IKK94</f>
        <v>0</v>
      </c>
      <c r="IKH36" s="17">
        <f>'Form-Sb'!IKL94</f>
        <v>0</v>
      </c>
      <c r="IKI36" s="17">
        <f>'Form-Sb'!IKM94</f>
        <v>0</v>
      </c>
      <c r="IKJ36" s="17">
        <f>'Form-Sb'!IKN94</f>
        <v>0</v>
      </c>
      <c r="IKK36" s="17">
        <f>'Form-Sb'!IKO94</f>
        <v>0</v>
      </c>
      <c r="IKL36" s="17">
        <f>'Form-Sb'!IKP94</f>
        <v>0</v>
      </c>
      <c r="IKM36" s="17">
        <f>'Form-Sb'!IKQ94</f>
        <v>0</v>
      </c>
      <c r="IKN36" s="17">
        <f>'Form-Sb'!IKR94</f>
        <v>0</v>
      </c>
      <c r="IKO36" s="17">
        <f>'Form-Sb'!IKS94</f>
        <v>0</v>
      </c>
      <c r="IKP36" s="17">
        <f>'Form-Sb'!IKT94</f>
        <v>0</v>
      </c>
      <c r="IKQ36" s="17">
        <f>'Form-Sb'!IKU94</f>
        <v>0</v>
      </c>
      <c r="IKR36" s="17">
        <f>'Form-Sb'!IKV94</f>
        <v>0</v>
      </c>
      <c r="IKS36" s="17">
        <f>'Form-Sb'!IKW94</f>
        <v>0</v>
      </c>
      <c r="IKT36" s="17">
        <f>'Form-Sb'!IKX94</f>
        <v>0</v>
      </c>
      <c r="IKU36" s="17">
        <f>'Form-Sb'!IKY94</f>
        <v>0</v>
      </c>
      <c r="IKV36" s="17">
        <f>'Form-Sb'!IKZ94</f>
        <v>0</v>
      </c>
      <c r="IKW36" s="17">
        <f>'Form-Sb'!ILA94</f>
        <v>0</v>
      </c>
      <c r="IKX36" s="17">
        <f>'Form-Sb'!ILB94</f>
        <v>0</v>
      </c>
      <c r="IKY36" s="17">
        <f>'Form-Sb'!ILC94</f>
        <v>0</v>
      </c>
      <c r="IKZ36" s="17">
        <f>'Form-Sb'!ILD94</f>
        <v>0</v>
      </c>
      <c r="ILA36" s="17">
        <f>'Form-Sb'!ILE94</f>
        <v>0</v>
      </c>
      <c r="ILB36" s="17">
        <f>'Form-Sb'!ILF94</f>
        <v>0</v>
      </c>
      <c r="ILC36" s="17">
        <f>'Form-Sb'!ILG94</f>
        <v>0</v>
      </c>
      <c r="ILD36" s="17">
        <f>'Form-Sb'!ILH94</f>
        <v>0</v>
      </c>
      <c r="ILE36" s="17">
        <f>'Form-Sb'!ILI94</f>
        <v>0</v>
      </c>
      <c r="ILF36" s="17">
        <f>'Form-Sb'!ILJ94</f>
        <v>0</v>
      </c>
      <c r="ILG36" s="17">
        <f>'Form-Sb'!ILK94</f>
        <v>0</v>
      </c>
      <c r="ILH36" s="17">
        <f>'Form-Sb'!ILL94</f>
        <v>0</v>
      </c>
      <c r="ILI36" s="17">
        <f>'Form-Sb'!ILM94</f>
        <v>0</v>
      </c>
      <c r="ILJ36" s="17">
        <f>'Form-Sb'!ILN94</f>
        <v>0</v>
      </c>
      <c r="ILK36" s="17">
        <f>'Form-Sb'!ILO94</f>
        <v>0</v>
      </c>
      <c r="ILL36" s="17">
        <f>'Form-Sb'!ILP94</f>
        <v>0</v>
      </c>
      <c r="ILM36" s="17">
        <f>'Form-Sb'!ILQ94</f>
        <v>0</v>
      </c>
      <c r="ILN36" s="17">
        <f>'Form-Sb'!ILR94</f>
        <v>0</v>
      </c>
      <c r="ILO36" s="17">
        <f>'Form-Sb'!ILS94</f>
        <v>0</v>
      </c>
      <c r="ILP36" s="17">
        <f>'Form-Sb'!ILT94</f>
        <v>0</v>
      </c>
      <c r="ILQ36" s="17">
        <f>'Form-Sb'!ILU94</f>
        <v>0</v>
      </c>
      <c r="ILR36" s="17">
        <f>'Form-Sb'!ILV94</f>
        <v>0</v>
      </c>
      <c r="ILS36" s="17">
        <f>'Form-Sb'!ILW94</f>
        <v>0</v>
      </c>
      <c r="ILT36" s="17">
        <f>'Form-Sb'!ILX94</f>
        <v>0</v>
      </c>
      <c r="ILU36" s="17">
        <f>'Form-Sb'!ILY94</f>
        <v>0</v>
      </c>
      <c r="ILV36" s="17">
        <f>'Form-Sb'!ILZ94</f>
        <v>0</v>
      </c>
      <c r="ILW36" s="17">
        <f>'Form-Sb'!IMA94</f>
        <v>0</v>
      </c>
      <c r="ILX36" s="17">
        <f>'Form-Sb'!IMB94</f>
        <v>0</v>
      </c>
      <c r="ILY36" s="17">
        <f>'Form-Sb'!IMC94</f>
        <v>0</v>
      </c>
      <c r="ILZ36" s="17">
        <f>'Form-Sb'!IMD94</f>
        <v>0</v>
      </c>
      <c r="IMA36" s="17">
        <f>'Form-Sb'!IME94</f>
        <v>0</v>
      </c>
      <c r="IMB36" s="17">
        <f>'Form-Sb'!IMF94</f>
        <v>0</v>
      </c>
      <c r="IMC36" s="17">
        <f>'Form-Sb'!IMG94</f>
        <v>0</v>
      </c>
      <c r="IMD36" s="17">
        <f>'Form-Sb'!IMH94</f>
        <v>0</v>
      </c>
      <c r="IME36" s="17">
        <f>'Form-Sb'!IMI94</f>
        <v>0</v>
      </c>
      <c r="IMF36" s="17">
        <f>'Form-Sb'!IMJ94</f>
        <v>0</v>
      </c>
      <c r="IMG36" s="17">
        <f>'Form-Sb'!IMK94</f>
        <v>0</v>
      </c>
      <c r="IMH36" s="17">
        <f>'Form-Sb'!IML94</f>
        <v>0</v>
      </c>
      <c r="IMI36" s="17">
        <f>'Form-Sb'!IMM94</f>
        <v>0</v>
      </c>
      <c r="IMJ36" s="17">
        <f>'Form-Sb'!IMN94</f>
        <v>0</v>
      </c>
      <c r="IMK36" s="17">
        <f>'Form-Sb'!IMO94</f>
        <v>0</v>
      </c>
      <c r="IML36" s="17">
        <f>'Form-Sb'!IMP94</f>
        <v>0</v>
      </c>
      <c r="IMM36" s="17">
        <f>'Form-Sb'!IMQ94</f>
        <v>0</v>
      </c>
      <c r="IMN36" s="17">
        <f>'Form-Sb'!IMR94</f>
        <v>0</v>
      </c>
      <c r="IMO36" s="17">
        <f>'Form-Sb'!IMS94</f>
        <v>0</v>
      </c>
      <c r="IMP36" s="17">
        <f>'Form-Sb'!IMT94</f>
        <v>0</v>
      </c>
      <c r="IMQ36" s="17">
        <f>'Form-Sb'!IMU94</f>
        <v>0</v>
      </c>
      <c r="IMR36" s="17">
        <f>'Form-Sb'!IMV94</f>
        <v>0</v>
      </c>
      <c r="IMS36" s="17">
        <f>'Form-Sb'!IMW94</f>
        <v>0</v>
      </c>
      <c r="IMT36" s="17">
        <f>'Form-Sb'!IMX94</f>
        <v>0</v>
      </c>
      <c r="IMU36" s="17">
        <f>'Form-Sb'!IMY94</f>
        <v>0</v>
      </c>
      <c r="IMV36" s="17">
        <f>'Form-Sb'!IMZ94</f>
        <v>0</v>
      </c>
      <c r="IMW36" s="17">
        <f>'Form-Sb'!INA94</f>
        <v>0</v>
      </c>
      <c r="IMX36" s="17">
        <f>'Form-Sb'!INB94</f>
        <v>0</v>
      </c>
      <c r="IMY36" s="17">
        <f>'Form-Sb'!INC94</f>
        <v>0</v>
      </c>
      <c r="IMZ36" s="17">
        <f>'Form-Sb'!IND94</f>
        <v>0</v>
      </c>
      <c r="INA36" s="17">
        <f>'Form-Sb'!INE94</f>
        <v>0</v>
      </c>
      <c r="INB36" s="17">
        <f>'Form-Sb'!INF94</f>
        <v>0</v>
      </c>
      <c r="INC36" s="17">
        <f>'Form-Sb'!ING94</f>
        <v>0</v>
      </c>
      <c r="IND36" s="17">
        <f>'Form-Sb'!INH94</f>
        <v>0</v>
      </c>
      <c r="INE36" s="17">
        <f>'Form-Sb'!INI94</f>
        <v>0</v>
      </c>
      <c r="INF36" s="17">
        <f>'Form-Sb'!INJ94</f>
        <v>0</v>
      </c>
      <c r="ING36" s="17">
        <f>'Form-Sb'!INK94</f>
        <v>0</v>
      </c>
      <c r="INH36" s="17">
        <f>'Form-Sb'!INL94</f>
        <v>0</v>
      </c>
      <c r="INI36" s="17">
        <f>'Form-Sb'!INM94</f>
        <v>0</v>
      </c>
      <c r="INJ36" s="17">
        <f>'Form-Sb'!INN94</f>
        <v>0</v>
      </c>
      <c r="INK36" s="17">
        <f>'Form-Sb'!INO94</f>
        <v>0</v>
      </c>
      <c r="INL36" s="17">
        <f>'Form-Sb'!INP94</f>
        <v>0</v>
      </c>
      <c r="INM36" s="17">
        <f>'Form-Sb'!INQ94</f>
        <v>0</v>
      </c>
      <c r="INN36" s="17">
        <f>'Form-Sb'!INR94</f>
        <v>0</v>
      </c>
      <c r="INO36" s="17">
        <f>'Form-Sb'!INS94</f>
        <v>0</v>
      </c>
      <c r="INP36" s="17">
        <f>'Form-Sb'!INT94</f>
        <v>0</v>
      </c>
      <c r="INQ36" s="17">
        <f>'Form-Sb'!INU94</f>
        <v>0</v>
      </c>
      <c r="INR36" s="17">
        <f>'Form-Sb'!INV94</f>
        <v>0</v>
      </c>
      <c r="INS36" s="17">
        <f>'Form-Sb'!INW94</f>
        <v>0</v>
      </c>
      <c r="INT36" s="17">
        <f>'Form-Sb'!INX94</f>
        <v>0</v>
      </c>
      <c r="INU36" s="17">
        <f>'Form-Sb'!INY94</f>
        <v>0</v>
      </c>
      <c r="INV36" s="17">
        <f>'Form-Sb'!INZ94</f>
        <v>0</v>
      </c>
      <c r="INW36" s="17">
        <f>'Form-Sb'!IOA94</f>
        <v>0</v>
      </c>
      <c r="INX36" s="17">
        <f>'Form-Sb'!IOB94</f>
        <v>0</v>
      </c>
      <c r="INY36" s="17">
        <f>'Form-Sb'!IOC94</f>
        <v>0</v>
      </c>
      <c r="INZ36" s="17">
        <f>'Form-Sb'!IOD94</f>
        <v>0</v>
      </c>
      <c r="IOA36" s="17">
        <f>'Form-Sb'!IOE94</f>
        <v>0</v>
      </c>
      <c r="IOB36" s="17">
        <f>'Form-Sb'!IOF94</f>
        <v>0</v>
      </c>
      <c r="IOC36" s="17">
        <f>'Form-Sb'!IOG94</f>
        <v>0</v>
      </c>
      <c r="IOD36" s="17">
        <f>'Form-Sb'!IOH94</f>
        <v>0</v>
      </c>
      <c r="IOE36" s="17">
        <f>'Form-Sb'!IOI94</f>
        <v>0</v>
      </c>
      <c r="IOF36" s="17">
        <f>'Form-Sb'!IOJ94</f>
        <v>0</v>
      </c>
      <c r="IOG36" s="17">
        <f>'Form-Sb'!IOK94</f>
        <v>0</v>
      </c>
      <c r="IOH36" s="17">
        <f>'Form-Sb'!IOL94</f>
        <v>0</v>
      </c>
      <c r="IOI36" s="17">
        <f>'Form-Sb'!IOM94</f>
        <v>0</v>
      </c>
      <c r="IOJ36" s="17">
        <f>'Form-Sb'!ION94</f>
        <v>0</v>
      </c>
      <c r="IOK36" s="17">
        <f>'Form-Sb'!IOO94</f>
        <v>0</v>
      </c>
      <c r="IOL36" s="17">
        <f>'Form-Sb'!IOP94</f>
        <v>0</v>
      </c>
      <c r="IOM36" s="17">
        <f>'Form-Sb'!IOQ94</f>
        <v>0</v>
      </c>
      <c r="ION36" s="17">
        <f>'Form-Sb'!IOR94</f>
        <v>0</v>
      </c>
      <c r="IOO36" s="17">
        <f>'Form-Sb'!IOS94</f>
        <v>0</v>
      </c>
      <c r="IOP36" s="17">
        <f>'Form-Sb'!IOT94</f>
        <v>0</v>
      </c>
      <c r="IOQ36" s="17">
        <f>'Form-Sb'!IOU94</f>
        <v>0</v>
      </c>
      <c r="IOR36" s="17">
        <f>'Form-Sb'!IOV94</f>
        <v>0</v>
      </c>
      <c r="IOS36" s="17">
        <f>'Form-Sb'!IOW94</f>
        <v>0</v>
      </c>
      <c r="IOT36" s="17">
        <f>'Form-Sb'!IOX94</f>
        <v>0</v>
      </c>
      <c r="IOU36" s="17">
        <f>'Form-Sb'!IOY94</f>
        <v>0</v>
      </c>
      <c r="IOV36" s="17">
        <f>'Form-Sb'!IOZ94</f>
        <v>0</v>
      </c>
      <c r="IOW36" s="17">
        <f>'Form-Sb'!IPA94</f>
        <v>0</v>
      </c>
      <c r="IOX36" s="17">
        <f>'Form-Sb'!IPB94</f>
        <v>0</v>
      </c>
      <c r="IOY36" s="17">
        <f>'Form-Sb'!IPC94</f>
        <v>0</v>
      </c>
      <c r="IOZ36" s="17">
        <f>'Form-Sb'!IPD94</f>
        <v>0</v>
      </c>
      <c r="IPA36" s="17">
        <f>'Form-Sb'!IPE94</f>
        <v>0</v>
      </c>
      <c r="IPB36" s="17">
        <f>'Form-Sb'!IPF94</f>
        <v>0</v>
      </c>
      <c r="IPC36" s="17">
        <f>'Form-Sb'!IPG94</f>
        <v>0</v>
      </c>
      <c r="IPD36" s="17">
        <f>'Form-Sb'!IPH94</f>
        <v>0</v>
      </c>
      <c r="IPE36" s="17">
        <f>'Form-Sb'!IPI94</f>
        <v>0</v>
      </c>
      <c r="IPF36" s="17">
        <f>'Form-Sb'!IPJ94</f>
        <v>0</v>
      </c>
      <c r="IPG36" s="17">
        <f>'Form-Sb'!IPK94</f>
        <v>0</v>
      </c>
      <c r="IPH36" s="17">
        <f>'Form-Sb'!IPL94</f>
        <v>0</v>
      </c>
      <c r="IPI36" s="17">
        <f>'Form-Sb'!IPM94</f>
        <v>0</v>
      </c>
      <c r="IPJ36" s="17">
        <f>'Form-Sb'!IPN94</f>
        <v>0</v>
      </c>
      <c r="IPK36" s="17">
        <f>'Form-Sb'!IPO94</f>
        <v>0</v>
      </c>
      <c r="IPL36" s="17">
        <f>'Form-Sb'!IPP94</f>
        <v>0</v>
      </c>
      <c r="IPM36" s="17">
        <f>'Form-Sb'!IPQ94</f>
        <v>0</v>
      </c>
      <c r="IPN36" s="17">
        <f>'Form-Sb'!IPR94</f>
        <v>0</v>
      </c>
      <c r="IPO36" s="17">
        <f>'Form-Sb'!IPS94</f>
        <v>0</v>
      </c>
      <c r="IPP36" s="17">
        <f>'Form-Sb'!IPT94</f>
        <v>0</v>
      </c>
      <c r="IPQ36" s="17">
        <f>'Form-Sb'!IPU94</f>
        <v>0</v>
      </c>
      <c r="IPR36" s="17">
        <f>'Form-Sb'!IPV94</f>
        <v>0</v>
      </c>
      <c r="IPS36" s="17">
        <f>'Form-Sb'!IPW94</f>
        <v>0</v>
      </c>
      <c r="IPT36" s="17">
        <f>'Form-Sb'!IPX94</f>
        <v>0</v>
      </c>
      <c r="IPU36" s="17">
        <f>'Form-Sb'!IPY94</f>
        <v>0</v>
      </c>
      <c r="IPV36" s="17">
        <f>'Form-Sb'!IPZ94</f>
        <v>0</v>
      </c>
      <c r="IPW36" s="17">
        <f>'Form-Sb'!IQA94</f>
        <v>0</v>
      </c>
      <c r="IPX36" s="17">
        <f>'Form-Sb'!IQB94</f>
        <v>0</v>
      </c>
      <c r="IPY36" s="17">
        <f>'Form-Sb'!IQC94</f>
        <v>0</v>
      </c>
      <c r="IPZ36" s="17">
        <f>'Form-Sb'!IQD94</f>
        <v>0</v>
      </c>
      <c r="IQA36" s="17">
        <f>'Form-Sb'!IQE94</f>
        <v>0</v>
      </c>
      <c r="IQB36" s="17">
        <f>'Form-Sb'!IQF94</f>
        <v>0</v>
      </c>
      <c r="IQC36" s="17">
        <f>'Form-Sb'!IQG94</f>
        <v>0</v>
      </c>
      <c r="IQD36" s="17">
        <f>'Form-Sb'!IQH94</f>
        <v>0</v>
      </c>
      <c r="IQE36" s="17">
        <f>'Form-Sb'!IQI94</f>
        <v>0</v>
      </c>
      <c r="IQF36" s="17">
        <f>'Form-Sb'!IQJ94</f>
        <v>0</v>
      </c>
      <c r="IQG36" s="17">
        <f>'Form-Sb'!IQK94</f>
        <v>0</v>
      </c>
      <c r="IQH36" s="17">
        <f>'Form-Sb'!IQL94</f>
        <v>0</v>
      </c>
      <c r="IQI36" s="17">
        <f>'Form-Sb'!IQM94</f>
        <v>0</v>
      </c>
      <c r="IQJ36" s="17">
        <f>'Form-Sb'!IQN94</f>
        <v>0</v>
      </c>
      <c r="IQK36" s="17">
        <f>'Form-Sb'!IQO94</f>
        <v>0</v>
      </c>
      <c r="IQL36" s="17">
        <f>'Form-Sb'!IQP94</f>
        <v>0</v>
      </c>
      <c r="IQM36" s="17">
        <f>'Form-Sb'!IQQ94</f>
        <v>0</v>
      </c>
      <c r="IQN36" s="17">
        <f>'Form-Sb'!IQR94</f>
        <v>0</v>
      </c>
      <c r="IQO36" s="17">
        <f>'Form-Sb'!IQS94</f>
        <v>0</v>
      </c>
      <c r="IQP36" s="17">
        <f>'Form-Sb'!IQT94</f>
        <v>0</v>
      </c>
      <c r="IQQ36" s="17">
        <f>'Form-Sb'!IQU94</f>
        <v>0</v>
      </c>
      <c r="IQR36" s="17">
        <f>'Form-Sb'!IQV94</f>
        <v>0</v>
      </c>
      <c r="IQS36" s="17">
        <f>'Form-Sb'!IQW94</f>
        <v>0</v>
      </c>
      <c r="IQT36" s="17">
        <f>'Form-Sb'!IQX94</f>
        <v>0</v>
      </c>
      <c r="IQU36" s="17">
        <f>'Form-Sb'!IQY94</f>
        <v>0</v>
      </c>
      <c r="IQV36" s="17">
        <f>'Form-Sb'!IQZ94</f>
        <v>0</v>
      </c>
      <c r="IQW36" s="17">
        <f>'Form-Sb'!IRA94</f>
        <v>0</v>
      </c>
      <c r="IQX36" s="17">
        <f>'Form-Sb'!IRB94</f>
        <v>0</v>
      </c>
      <c r="IQY36" s="17">
        <f>'Form-Sb'!IRC94</f>
        <v>0</v>
      </c>
      <c r="IQZ36" s="17">
        <f>'Form-Sb'!IRD94</f>
        <v>0</v>
      </c>
      <c r="IRA36" s="17">
        <f>'Form-Sb'!IRE94</f>
        <v>0</v>
      </c>
      <c r="IRB36" s="17">
        <f>'Form-Sb'!IRF94</f>
        <v>0</v>
      </c>
      <c r="IRC36" s="17">
        <f>'Form-Sb'!IRG94</f>
        <v>0</v>
      </c>
      <c r="IRD36" s="17">
        <f>'Form-Sb'!IRH94</f>
        <v>0</v>
      </c>
      <c r="IRE36" s="17">
        <f>'Form-Sb'!IRI94</f>
        <v>0</v>
      </c>
      <c r="IRF36" s="17">
        <f>'Form-Sb'!IRJ94</f>
        <v>0</v>
      </c>
      <c r="IRG36" s="17">
        <f>'Form-Sb'!IRK94</f>
        <v>0</v>
      </c>
      <c r="IRH36" s="17">
        <f>'Form-Sb'!IRL94</f>
        <v>0</v>
      </c>
      <c r="IRI36" s="17">
        <f>'Form-Sb'!IRM94</f>
        <v>0</v>
      </c>
      <c r="IRJ36" s="17">
        <f>'Form-Sb'!IRN94</f>
        <v>0</v>
      </c>
      <c r="IRK36" s="17">
        <f>'Form-Sb'!IRO94</f>
        <v>0</v>
      </c>
      <c r="IRL36" s="17">
        <f>'Form-Sb'!IRP94</f>
        <v>0</v>
      </c>
      <c r="IRM36" s="17">
        <f>'Form-Sb'!IRQ94</f>
        <v>0</v>
      </c>
      <c r="IRN36" s="17">
        <f>'Form-Sb'!IRR94</f>
        <v>0</v>
      </c>
      <c r="IRO36" s="17">
        <f>'Form-Sb'!IRS94</f>
        <v>0</v>
      </c>
      <c r="IRP36" s="17">
        <f>'Form-Sb'!IRT94</f>
        <v>0</v>
      </c>
      <c r="IRQ36" s="17">
        <f>'Form-Sb'!IRU94</f>
        <v>0</v>
      </c>
      <c r="IRR36" s="17">
        <f>'Form-Sb'!IRV94</f>
        <v>0</v>
      </c>
      <c r="IRS36" s="17">
        <f>'Form-Sb'!IRW94</f>
        <v>0</v>
      </c>
      <c r="IRT36" s="17">
        <f>'Form-Sb'!IRX94</f>
        <v>0</v>
      </c>
      <c r="IRU36" s="17">
        <f>'Form-Sb'!IRY94</f>
        <v>0</v>
      </c>
      <c r="IRV36" s="17">
        <f>'Form-Sb'!IRZ94</f>
        <v>0</v>
      </c>
      <c r="IRW36" s="17">
        <f>'Form-Sb'!ISA94</f>
        <v>0</v>
      </c>
      <c r="IRX36" s="17">
        <f>'Form-Sb'!ISB94</f>
        <v>0</v>
      </c>
      <c r="IRY36" s="17">
        <f>'Form-Sb'!ISC94</f>
        <v>0</v>
      </c>
      <c r="IRZ36" s="17">
        <f>'Form-Sb'!ISD94</f>
        <v>0</v>
      </c>
      <c r="ISA36" s="17">
        <f>'Form-Sb'!ISE94</f>
        <v>0</v>
      </c>
      <c r="ISB36" s="17">
        <f>'Form-Sb'!ISF94</f>
        <v>0</v>
      </c>
      <c r="ISC36" s="17">
        <f>'Form-Sb'!ISG94</f>
        <v>0</v>
      </c>
      <c r="ISD36" s="17">
        <f>'Form-Sb'!ISH94</f>
        <v>0</v>
      </c>
      <c r="ISE36" s="17">
        <f>'Form-Sb'!ISI94</f>
        <v>0</v>
      </c>
      <c r="ISF36" s="17">
        <f>'Form-Sb'!ISJ94</f>
        <v>0</v>
      </c>
      <c r="ISG36" s="17">
        <f>'Form-Sb'!ISK94</f>
        <v>0</v>
      </c>
      <c r="ISH36" s="17">
        <f>'Form-Sb'!ISL94</f>
        <v>0</v>
      </c>
      <c r="ISI36" s="17">
        <f>'Form-Sb'!ISM94</f>
        <v>0</v>
      </c>
      <c r="ISJ36" s="17">
        <f>'Form-Sb'!ISN94</f>
        <v>0</v>
      </c>
      <c r="ISK36" s="17">
        <f>'Form-Sb'!ISO94</f>
        <v>0</v>
      </c>
      <c r="ISL36" s="17">
        <f>'Form-Sb'!ISP94</f>
        <v>0</v>
      </c>
      <c r="ISM36" s="17">
        <f>'Form-Sb'!ISQ94</f>
        <v>0</v>
      </c>
      <c r="ISN36" s="17">
        <f>'Form-Sb'!ISR94</f>
        <v>0</v>
      </c>
      <c r="ISO36" s="17">
        <f>'Form-Sb'!ISS94</f>
        <v>0</v>
      </c>
      <c r="ISP36" s="17">
        <f>'Form-Sb'!IST94</f>
        <v>0</v>
      </c>
      <c r="ISQ36" s="17">
        <f>'Form-Sb'!ISU94</f>
        <v>0</v>
      </c>
      <c r="ISR36" s="17">
        <f>'Form-Sb'!ISV94</f>
        <v>0</v>
      </c>
      <c r="ISS36" s="17">
        <f>'Form-Sb'!ISW94</f>
        <v>0</v>
      </c>
      <c r="IST36" s="17">
        <f>'Form-Sb'!ISX94</f>
        <v>0</v>
      </c>
      <c r="ISU36" s="17">
        <f>'Form-Sb'!ISY94</f>
        <v>0</v>
      </c>
      <c r="ISV36" s="17">
        <f>'Form-Sb'!ISZ94</f>
        <v>0</v>
      </c>
      <c r="ISW36" s="17">
        <f>'Form-Sb'!ITA94</f>
        <v>0</v>
      </c>
      <c r="ISX36" s="17">
        <f>'Form-Sb'!ITB94</f>
        <v>0</v>
      </c>
      <c r="ISY36" s="17">
        <f>'Form-Sb'!ITC94</f>
        <v>0</v>
      </c>
      <c r="ISZ36" s="17">
        <f>'Form-Sb'!ITD94</f>
        <v>0</v>
      </c>
      <c r="ITA36" s="17">
        <f>'Form-Sb'!ITE94</f>
        <v>0</v>
      </c>
      <c r="ITB36" s="17">
        <f>'Form-Sb'!ITF94</f>
        <v>0</v>
      </c>
      <c r="ITC36" s="17">
        <f>'Form-Sb'!ITG94</f>
        <v>0</v>
      </c>
      <c r="ITD36" s="17">
        <f>'Form-Sb'!ITH94</f>
        <v>0</v>
      </c>
      <c r="ITE36" s="17">
        <f>'Form-Sb'!ITI94</f>
        <v>0</v>
      </c>
      <c r="ITF36" s="17">
        <f>'Form-Sb'!ITJ94</f>
        <v>0</v>
      </c>
      <c r="ITG36" s="17">
        <f>'Form-Sb'!ITK94</f>
        <v>0</v>
      </c>
      <c r="ITH36" s="17">
        <f>'Form-Sb'!ITL94</f>
        <v>0</v>
      </c>
      <c r="ITI36" s="17">
        <f>'Form-Sb'!ITM94</f>
        <v>0</v>
      </c>
      <c r="ITJ36" s="17">
        <f>'Form-Sb'!ITN94</f>
        <v>0</v>
      </c>
      <c r="ITK36" s="17">
        <f>'Form-Sb'!ITO94</f>
        <v>0</v>
      </c>
      <c r="ITL36" s="17">
        <f>'Form-Sb'!ITP94</f>
        <v>0</v>
      </c>
      <c r="ITM36" s="17">
        <f>'Form-Sb'!ITQ94</f>
        <v>0</v>
      </c>
      <c r="ITN36" s="17">
        <f>'Form-Sb'!ITR94</f>
        <v>0</v>
      </c>
      <c r="ITO36" s="17">
        <f>'Form-Sb'!ITS94</f>
        <v>0</v>
      </c>
      <c r="ITP36" s="17">
        <f>'Form-Sb'!ITT94</f>
        <v>0</v>
      </c>
      <c r="ITQ36" s="17">
        <f>'Form-Sb'!ITU94</f>
        <v>0</v>
      </c>
      <c r="ITR36" s="17">
        <f>'Form-Sb'!ITV94</f>
        <v>0</v>
      </c>
      <c r="ITS36" s="17">
        <f>'Form-Sb'!ITW94</f>
        <v>0</v>
      </c>
      <c r="ITT36" s="17">
        <f>'Form-Sb'!ITX94</f>
        <v>0</v>
      </c>
      <c r="ITU36" s="17">
        <f>'Form-Sb'!ITY94</f>
        <v>0</v>
      </c>
      <c r="ITV36" s="17">
        <f>'Form-Sb'!ITZ94</f>
        <v>0</v>
      </c>
      <c r="ITW36" s="17">
        <f>'Form-Sb'!IUA94</f>
        <v>0</v>
      </c>
      <c r="ITX36" s="17">
        <f>'Form-Sb'!IUB94</f>
        <v>0</v>
      </c>
      <c r="ITY36" s="17">
        <f>'Form-Sb'!IUC94</f>
        <v>0</v>
      </c>
      <c r="ITZ36" s="17">
        <f>'Form-Sb'!IUD94</f>
        <v>0</v>
      </c>
      <c r="IUA36" s="17">
        <f>'Form-Sb'!IUE94</f>
        <v>0</v>
      </c>
      <c r="IUB36" s="17">
        <f>'Form-Sb'!IUF94</f>
        <v>0</v>
      </c>
      <c r="IUC36" s="17">
        <f>'Form-Sb'!IUG94</f>
        <v>0</v>
      </c>
      <c r="IUD36" s="17">
        <f>'Form-Sb'!IUH94</f>
        <v>0</v>
      </c>
      <c r="IUE36" s="17">
        <f>'Form-Sb'!IUI94</f>
        <v>0</v>
      </c>
      <c r="IUF36" s="17">
        <f>'Form-Sb'!IUJ94</f>
        <v>0</v>
      </c>
      <c r="IUG36" s="17">
        <f>'Form-Sb'!IUK94</f>
        <v>0</v>
      </c>
      <c r="IUH36" s="17">
        <f>'Form-Sb'!IUL94</f>
        <v>0</v>
      </c>
      <c r="IUI36" s="17">
        <f>'Form-Sb'!IUM94</f>
        <v>0</v>
      </c>
      <c r="IUJ36" s="17">
        <f>'Form-Sb'!IUN94</f>
        <v>0</v>
      </c>
      <c r="IUK36" s="17">
        <f>'Form-Sb'!IUO94</f>
        <v>0</v>
      </c>
      <c r="IUL36" s="17">
        <f>'Form-Sb'!IUP94</f>
        <v>0</v>
      </c>
      <c r="IUM36" s="17">
        <f>'Form-Sb'!IUQ94</f>
        <v>0</v>
      </c>
      <c r="IUN36" s="17">
        <f>'Form-Sb'!IUR94</f>
        <v>0</v>
      </c>
      <c r="IUO36" s="17">
        <f>'Form-Sb'!IUS94</f>
        <v>0</v>
      </c>
      <c r="IUP36" s="17">
        <f>'Form-Sb'!IUT94</f>
        <v>0</v>
      </c>
      <c r="IUQ36" s="17">
        <f>'Form-Sb'!IUU94</f>
        <v>0</v>
      </c>
      <c r="IUR36" s="17">
        <f>'Form-Sb'!IUV94</f>
        <v>0</v>
      </c>
      <c r="IUS36" s="17">
        <f>'Form-Sb'!IUW94</f>
        <v>0</v>
      </c>
      <c r="IUT36" s="17">
        <f>'Form-Sb'!IUX94</f>
        <v>0</v>
      </c>
      <c r="IUU36" s="17">
        <f>'Form-Sb'!IUY94</f>
        <v>0</v>
      </c>
      <c r="IUV36" s="17">
        <f>'Form-Sb'!IUZ94</f>
        <v>0</v>
      </c>
      <c r="IUW36" s="17">
        <f>'Form-Sb'!IVA94</f>
        <v>0</v>
      </c>
      <c r="IUX36" s="17">
        <f>'Form-Sb'!IVB94</f>
        <v>0</v>
      </c>
      <c r="IUY36" s="17">
        <f>'Form-Sb'!IVC94</f>
        <v>0</v>
      </c>
      <c r="IUZ36" s="17">
        <f>'Form-Sb'!IVD94</f>
        <v>0</v>
      </c>
      <c r="IVA36" s="17">
        <f>'Form-Sb'!IVE94</f>
        <v>0</v>
      </c>
      <c r="IVB36" s="17">
        <f>'Form-Sb'!IVF94</f>
        <v>0</v>
      </c>
      <c r="IVC36" s="17">
        <f>'Form-Sb'!IVG94</f>
        <v>0</v>
      </c>
      <c r="IVD36" s="17">
        <f>'Form-Sb'!IVH94</f>
        <v>0</v>
      </c>
      <c r="IVE36" s="17">
        <f>'Form-Sb'!IVI94</f>
        <v>0</v>
      </c>
      <c r="IVF36" s="17">
        <f>'Form-Sb'!IVJ94</f>
        <v>0</v>
      </c>
      <c r="IVG36" s="17">
        <f>'Form-Sb'!IVK94</f>
        <v>0</v>
      </c>
      <c r="IVH36" s="17">
        <f>'Form-Sb'!IVL94</f>
        <v>0</v>
      </c>
      <c r="IVI36" s="17">
        <f>'Form-Sb'!IVM94</f>
        <v>0</v>
      </c>
      <c r="IVJ36" s="17">
        <f>'Form-Sb'!IVN94</f>
        <v>0</v>
      </c>
      <c r="IVK36" s="17">
        <f>'Form-Sb'!IVO94</f>
        <v>0</v>
      </c>
      <c r="IVL36" s="17">
        <f>'Form-Sb'!IVP94</f>
        <v>0</v>
      </c>
      <c r="IVM36" s="17">
        <f>'Form-Sb'!IVQ94</f>
        <v>0</v>
      </c>
      <c r="IVN36" s="17">
        <f>'Form-Sb'!IVR94</f>
        <v>0</v>
      </c>
      <c r="IVO36" s="17">
        <f>'Form-Sb'!IVS94</f>
        <v>0</v>
      </c>
      <c r="IVP36" s="17">
        <f>'Form-Sb'!IVT94</f>
        <v>0</v>
      </c>
      <c r="IVQ36" s="17">
        <f>'Form-Sb'!IVU94</f>
        <v>0</v>
      </c>
      <c r="IVR36" s="17">
        <f>'Form-Sb'!IVV94</f>
        <v>0</v>
      </c>
      <c r="IVS36" s="17">
        <f>'Form-Sb'!IVW94</f>
        <v>0</v>
      </c>
      <c r="IVT36" s="17">
        <f>'Form-Sb'!IVX94</f>
        <v>0</v>
      </c>
      <c r="IVU36" s="17">
        <f>'Form-Sb'!IVY94</f>
        <v>0</v>
      </c>
      <c r="IVV36" s="17">
        <f>'Form-Sb'!IVZ94</f>
        <v>0</v>
      </c>
      <c r="IVW36" s="17">
        <f>'Form-Sb'!IWA94</f>
        <v>0</v>
      </c>
      <c r="IVX36" s="17">
        <f>'Form-Sb'!IWB94</f>
        <v>0</v>
      </c>
      <c r="IVY36" s="17">
        <f>'Form-Sb'!IWC94</f>
        <v>0</v>
      </c>
      <c r="IVZ36" s="17">
        <f>'Form-Sb'!IWD94</f>
        <v>0</v>
      </c>
      <c r="IWA36" s="17">
        <f>'Form-Sb'!IWE94</f>
        <v>0</v>
      </c>
      <c r="IWB36" s="17">
        <f>'Form-Sb'!IWF94</f>
        <v>0</v>
      </c>
      <c r="IWC36" s="17">
        <f>'Form-Sb'!IWG94</f>
        <v>0</v>
      </c>
      <c r="IWD36" s="17">
        <f>'Form-Sb'!IWH94</f>
        <v>0</v>
      </c>
      <c r="IWE36" s="17">
        <f>'Form-Sb'!IWI94</f>
        <v>0</v>
      </c>
      <c r="IWF36" s="17">
        <f>'Form-Sb'!IWJ94</f>
        <v>0</v>
      </c>
      <c r="IWG36" s="17">
        <f>'Form-Sb'!IWK94</f>
        <v>0</v>
      </c>
      <c r="IWH36" s="17">
        <f>'Form-Sb'!IWL94</f>
        <v>0</v>
      </c>
      <c r="IWI36" s="17">
        <f>'Form-Sb'!IWM94</f>
        <v>0</v>
      </c>
      <c r="IWJ36" s="17">
        <f>'Form-Sb'!IWN94</f>
        <v>0</v>
      </c>
      <c r="IWK36" s="17">
        <f>'Form-Sb'!IWO94</f>
        <v>0</v>
      </c>
      <c r="IWL36" s="17">
        <f>'Form-Sb'!IWP94</f>
        <v>0</v>
      </c>
      <c r="IWM36" s="17">
        <f>'Form-Sb'!IWQ94</f>
        <v>0</v>
      </c>
      <c r="IWN36" s="17">
        <f>'Form-Sb'!IWR94</f>
        <v>0</v>
      </c>
      <c r="IWO36" s="17">
        <f>'Form-Sb'!IWS94</f>
        <v>0</v>
      </c>
      <c r="IWP36" s="17">
        <f>'Form-Sb'!IWT94</f>
        <v>0</v>
      </c>
      <c r="IWQ36" s="17">
        <f>'Form-Sb'!IWU94</f>
        <v>0</v>
      </c>
      <c r="IWR36" s="17">
        <f>'Form-Sb'!IWV94</f>
        <v>0</v>
      </c>
      <c r="IWS36" s="17">
        <f>'Form-Sb'!IWW94</f>
        <v>0</v>
      </c>
      <c r="IWT36" s="17">
        <f>'Form-Sb'!IWX94</f>
        <v>0</v>
      </c>
      <c r="IWU36" s="17">
        <f>'Form-Sb'!IWY94</f>
        <v>0</v>
      </c>
      <c r="IWV36" s="17">
        <f>'Form-Sb'!IWZ94</f>
        <v>0</v>
      </c>
      <c r="IWW36" s="17">
        <f>'Form-Sb'!IXA94</f>
        <v>0</v>
      </c>
      <c r="IWX36" s="17">
        <f>'Form-Sb'!IXB94</f>
        <v>0</v>
      </c>
      <c r="IWY36" s="17">
        <f>'Form-Sb'!IXC94</f>
        <v>0</v>
      </c>
      <c r="IWZ36" s="17">
        <f>'Form-Sb'!IXD94</f>
        <v>0</v>
      </c>
      <c r="IXA36" s="17">
        <f>'Form-Sb'!IXE94</f>
        <v>0</v>
      </c>
      <c r="IXB36" s="17">
        <f>'Form-Sb'!IXF94</f>
        <v>0</v>
      </c>
      <c r="IXC36" s="17">
        <f>'Form-Sb'!IXG94</f>
        <v>0</v>
      </c>
      <c r="IXD36" s="17">
        <f>'Form-Sb'!IXH94</f>
        <v>0</v>
      </c>
      <c r="IXE36" s="17">
        <f>'Form-Sb'!IXI94</f>
        <v>0</v>
      </c>
      <c r="IXF36" s="17">
        <f>'Form-Sb'!IXJ94</f>
        <v>0</v>
      </c>
      <c r="IXG36" s="17">
        <f>'Form-Sb'!IXK94</f>
        <v>0</v>
      </c>
      <c r="IXH36" s="17">
        <f>'Form-Sb'!IXL94</f>
        <v>0</v>
      </c>
      <c r="IXI36" s="17">
        <f>'Form-Sb'!IXM94</f>
        <v>0</v>
      </c>
      <c r="IXJ36" s="17">
        <f>'Form-Sb'!IXN94</f>
        <v>0</v>
      </c>
      <c r="IXK36" s="17">
        <f>'Form-Sb'!IXO94</f>
        <v>0</v>
      </c>
      <c r="IXL36" s="17">
        <f>'Form-Sb'!IXP94</f>
        <v>0</v>
      </c>
      <c r="IXM36" s="17">
        <f>'Form-Sb'!IXQ94</f>
        <v>0</v>
      </c>
      <c r="IXN36" s="17">
        <f>'Form-Sb'!IXR94</f>
        <v>0</v>
      </c>
      <c r="IXO36" s="17">
        <f>'Form-Sb'!IXS94</f>
        <v>0</v>
      </c>
      <c r="IXP36" s="17">
        <f>'Form-Sb'!IXT94</f>
        <v>0</v>
      </c>
      <c r="IXQ36" s="17">
        <f>'Form-Sb'!IXU94</f>
        <v>0</v>
      </c>
      <c r="IXR36" s="17">
        <f>'Form-Sb'!IXV94</f>
        <v>0</v>
      </c>
      <c r="IXS36" s="17">
        <f>'Form-Sb'!IXW94</f>
        <v>0</v>
      </c>
      <c r="IXT36" s="17">
        <f>'Form-Sb'!IXX94</f>
        <v>0</v>
      </c>
      <c r="IXU36" s="17">
        <f>'Form-Sb'!IXY94</f>
        <v>0</v>
      </c>
      <c r="IXV36" s="17">
        <f>'Form-Sb'!IXZ94</f>
        <v>0</v>
      </c>
      <c r="IXW36" s="17">
        <f>'Form-Sb'!IYA94</f>
        <v>0</v>
      </c>
      <c r="IXX36" s="17">
        <f>'Form-Sb'!IYB94</f>
        <v>0</v>
      </c>
      <c r="IXY36" s="17">
        <f>'Form-Sb'!IYC94</f>
        <v>0</v>
      </c>
      <c r="IXZ36" s="17">
        <f>'Form-Sb'!IYD94</f>
        <v>0</v>
      </c>
      <c r="IYA36" s="17">
        <f>'Form-Sb'!IYE94</f>
        <v>0</v>
      </c>
      <c r="IYB36" s="17">
        <f>'Form-Sb'!IYF94</f>
        <v>0</v>
      </c>
      <c r="IYC36" s="17">
        <f>'Form-Sb'!IYG94</f>
        <v>0</v>
      </c>
      <c r="IYD36" s="17">
        <f>'Form-Sb'!IYH94</f>
        <v>0</v>
      </c>
      <c r="IYE36" s="17">
        <f>'Form-Sb'!IYI94</f>
        <v>0</v>
      </c>
      <c r="IYF36" s="17">
        <f>'Form-Sb'!IYJ94</f>
        <v>0</v>
      </c>
      <c r="IYG36" s="17">
        <f>'Form-Sb'!IYK94</f>
        <v>0</v>
      </c>
      <c r="IYH36" s="17">
        <f>'Form-Sb'!IYL94</f>
        <v>0</v>
      </c>
      <c r="IYI36" s="17">
        <f>'Form-Sb'!IYM94</f>
        <v>0</v>
      </c>
      <c r="IYJ36" s="17">
        <f>'Form-Sb'!IYN94</f>
        <v>0</v>
      </c>
      <c r="IYK36" s="17">
        <f>'Form-Sb'!IYO94</f>
        <v>0</v>
      </c>
      <c r="IYL36" s="17">
        <f>'Form-Sb'!IYP94</f>
        <v>0</v>
      </c>
      <c r="IYM36" s="17">
        <f>'Form-Sb'!IYQ94</f>
        <v>0</v>
      </c>
      <c r="IYN36" s="17">
        <f>'Form-Sb'!IYR94</f>
        <v>0</v>
      </c>
      <c r="IYO36" s="17">
        <f>'Form-Sb'!IYS94</f>
        <v>0</v>
      </c>
      <c r="IYP36" s="17">
        <f>'Form-Sb'!IYT94</f>
        <v>0</v>
      </c>
      <c r="IYQ36" s="17">
        <f>'Form-Sb'!IYU94</f>
        <v>0</v>
      </c>
      <c r="IYR36" s="17">
        <f>'Form-Sb'!IYV94</f>
        <v>0</v>
      </c>
      <c r="IYS36" s="17">
        <f>'Form-Sb'!IYW94</f>
        <v>0</v>
      </c>
      <c r="IYT36" s="17">
        <f>'Form-Sb'!IYX94</f>
        <v>0</v>
      </c>
      <c r="IYU36" s="17">
        <f>'Form-Sb'!IYY94</f>
        <v>0</v>
      </c>
      <c r="IYV36" s="17">
        <f>'Form-Sb'!IYZ94</f>
        <v>0</v>
      </c>
      <c r="IYW36" s="17">
        <f>'Form-Sb'!IZA94</f>
        <v>0</v>
      </c>
      <c r="IYX36" s="17">
        <f>'Form-Sb'!IZB94</f>
        <v>0</v>
      </c>
      <c r="IYY36" s="17">
        <f>'Form-Sb'!IZC94</f>
        <v>0</v>
      </c>
      <c r="IYZ36" s="17">
        <f>'Form-Sb'!IZD94</f>
        <v>0</v>
      </c>
      <c r="IZA36" s="17">
        <f>'Form-Sb'!IZE94</f>
        <v>0</v>
      </c>
      <c r="IZB36" s="17">
        <f>'Form-Sb'!IZF94</f>
        <v>0</v>
      </c>
      <c r="IZC36" s="17">
        <f>'Form-Sb'!IZG94</f>
        <v>0</v>
      </c>
      <c r="IZD36" s="17">
        <f>'Form-Sb'!IZH94</f>
        <v>0</v>
      </c>
      <c r="IZE36" s="17">
        <f>'Form-Sb'!IZI94</f>
        <v>0</v>
      </c>
      <c r="IZF36" s="17">
        <f>'Form-Sb'!IZJ94</f>
        <v>0</v>
      </c>
      <c r="IZG36" s="17">
        <f>'Form-Sb'!IZK94</f>
        <v>0</v>
      </c>
      <c r="IZH36" s="17">
        <f>'Form-Sb'!IZL94</f>
        <v>0</v>
      </c>
      <c r="IZI36" s="17">
        <f>'Form-Sb'!IZM94</f>
        <v>0</v>
      </c>
      <c r="IZJ36" s="17">
        <f>'Form-Sb'!IZN94</f>
        <v>0</v>
      </c>
      <c r="IZK36" s="17">
        <f>'Form-Sb'!IZO94</f>
        <v>0</v>
      </c>
      <c r="IZL36" s="17">
        <f>'Form-Sb'!IZP94</f>
        <v>0</v>
      </c>
      <c r="IZM36" s="17">
        <f>'Form-Sb'!IZQ94</f>
        <v>0</v>
      </c>
      <c r="IZN36" s="17">
        <f>'Form-Sb'!IZR94</f>
        <v>0</v>
      </c>
      <c r="IZO36" s="17">
        <f>'Form-Sb'!IZS94</f>
        <v>0</v>
      </c>
      <c r="IZP36" s="17">
        <f>'Form-Sb'!IZT94</f>
        <v>0</v>
      </c>
      <c r="IZQ36" s="17">
        <f>'Form-Sb'!IZU94</f>
        <v>0</v>
      </c>
      <c r="IZR36" s="17">
        <f>'Form-Sb'!IZV94</f>
        <v>0</v>
      </c>
      <c r="IZS36" s="17">
        <f>'Form-Sb'!IZW94</f>
        <v>0</v>
      </c>
      <c r="IZT36" s="17">
        <f>'Form-Sb'!IZX94</f>
        <v>0</v>
      </c>
      <c r="IZU36" s="17">
        <f>'Form-Sb'!IZY94</f>
        <v>0</v>
      </c>
      <c r="IZV36" s="17">
        <f>'Form-Sb'!IZZ94</f>
        <v>0</v>
      </c>
      <c r="IZW36" s="17">
        <f>'Form-Sb'!JAA94</f>
        <v>0</v>
      </c>
      <c r="IZX36" s="17">
        <f>'Form-Sb'!JAB94</f>
        <v>0</v>
      </c>
      <c r="IZY36" s="17">
        <f>'Form-Sb'!JAC94</f>
        <v>0</v>
      </c>
      <c r="IZZ36" s="17">
        <f>'Form-Sb'!JAD94</f>
        <v>0</v>
      </c>
      <c r="JAA36" s="17">
        <f>'Form-Sb'!JAE94</f>
        <v>0</v>
      </c>
      <c r="JAB36" s="17">
        <f>'Form-Sb'!JAF94</f>
        <v>0</v>
      </c>
      <c r="JAC36" s="17">
        <f>'Form-Sb'!JAG94</f>
        <v>0</v>
      </c>
      <c r="JAD36" s="17">
        <f>'Form-Sb'!JAH94</f>
        <v>0</v>
      </c>
      <c r="JAE36" s="17">
        <f>'Form-Sb'!JAI94</f>
        <v>0</v>
      </c>
      <c r="JAF36" s="17">
        <f>'Form-Sb'!JAJ94</f>
        <v>0</v>
      </c>
      <c r="JAG36" s="17">
        <f>'Form-Sb'!JAK94</f>
        <v>0</v>
      </c>
      <c r="JAH36" s="17">
        <f>'Form-Sb'!JAL94</f>
        <v>0</v>
      </c>
      <c r="JAI36" s="17">
        <f>'Form-Sb'!JAM94</f>
        <v>0</v>
      </c>
      <c r="JAJ36" s="17">
        <f>'Form-Sb'!JAN94</f>
        <v>0</v>
      </c>
      <c r="JAK36" s="17">
        <f>'Form-Sb'!JAO94</f>
        <v>0</v>
      </c>
      <c r="JAL36" s="17">
        <f>'Form-Sb'!JAP94</f>
        <v>0</v>
      </c>
      <c r="JAM36" s="17">
        <f>'Form-Sb'!JAQ94</f>
        <v>0</v>
      </c>
      <c r="JAN36" s="17">
        <f>'Form-Sb'!JAR94</f>
        <v>0</v>
      </c>
      <c r="JAO36" s="17">
        <f>'Form-Sb'!JAS94</f>
        <v>0</v>
      </c>
      <c r="JAP36" s="17">
        <f>'Form-Sb'!JAT94</f>
        <v>0</v>
      </c>
      <c r="JAQ36" s="17">
        <f>'Form-Sb'!JAU94</f>
        <v>0</v>
      </c>
      <c r="JAR36" s="17">
        <f>'Form-Sb'!JAV94</f>
        <v>0</v>
      </c>
      <c r="JAS36" s="17">
        <f>'Form-Sb'!JAW94</f>
        <v>0</v>
      </c>
      <c r="JAT36" s="17">
        <f>'Form-Sb'!JAX94</f>
        <v>0</v>
      </c>
      <c r="JAU36" s="17">
        <f>'Form-Sb'!JAY94</f>
        <v>0</v>
      </c>
      <c r="JAV36" s="17">
        <f>'Form-Sb'!JAZ94</f>
        <v>0</v>
      </c>
      <c r="JAW36" s="17">
        <f>'Form-Sb'!JBA94</f>
        <v>0</v>
      </c>
      <c r="JAX36" s="17">
        <f>'Form-Sb'!JBB94</f>
        <v>0</v>
      </c>
      <c r="JAY36" s="17">
        <f>'Form-Sb'!JBC94</f>
        <v>0</v>
      </c>
      <c r="JAZ36" s="17">
        <f>'Form-Sb'!JBD94</f>
        <v>0</v>
      </c>
      <c r="JBA36" s="17">
        <f>'Form-Sb'!JBE94</f>
        <v>0</v>
      </c>
      <c r="JBB36" s="17">
        <f>'Form-Sb'!JBF94</f>
        <v>0</v>
      </c>
      <c r="JBC36" s="17">
        <f>'Form-Sb'!JBG94</f>
        <v>0</v>
      </c>
      <c r="JBD36" s="17">
        <f>'Form-Sb'!JBH94</f>
        <v>0</v>
      </c>
      <c r="JBE36" s="17">
        <f>'Form-Sb'!JBI94</f>
        <v>0</v>
      </c>
      <c r="JBF36" s="17">
        <f>'Form-Sb'!JBJ94</f>
        <v>0</v>
      </c>
      <c r="JBG36" s="17">
        <f>'Form-Sb'!JBK94</f>
        <v>0</v>
      </c>
      <c r="JBH36" s="17">
        <f>'Form-Sb'!JBL94</f>
        <v>0</v>
      </c>
      <c r="JBI36" s="17">
        <f>'Form-Sb'!JBM94</f>
        <v>0</v>
      </c>
      <c r="JBJ36" s="17">
        <f>'Form-Sb'!JBN94</f>
        <v>0</v>
      </c>
      <c r="JBK36" s="17">
        <f>'Form-Sb'!JBO94</f>
        <v>0</v>
      </c>
      <c r="JBL36" s="17">
        <f>'Form-Sb'!JBP94</f>
        <v>0</v>
      </c>
      <c r="JBM36" s="17">
        <f>'Form-Sb'!JBQ94</f>
        <v>0</v>
      </c>
      <c r="JBN36" s="17">
        <f>'Form-Sb'!JBR94</f>
        <v>0</v>
      </c>
      <c r="JBO36" s="17">
        <f>'Form-Sb'!JBS94</f>
        <v>0</v>
      </c>
      <c r="JBP36" s="17">
        <f>'Form-Sb'!JBT94</f>
        <v>0</v>
      </c>
      <c r="JBQ36" s="17">
        <f>'Form-Sb'!JBU94</f>
        <v>0</v>
      </c>
      <c r="JBR36" s="17">
        <f>'Form-Sb'!JBV94</f>
        <v>0</v>
      </c>
      <c r="JBS36" s="17">
        <f>'Form-Sb'!JBW94</f>
        <v>0</v>
      </c>
      <c r="JBT36" s="17">
        <f>'Form-Sb'!JBX94</f>
        <v>0</v>
      </c>
      <c r="JBU36" s="17">
        <f>'Form-Sb'!JBY94</f>
        <v>0</v>
      </c>
      <c r="JBV36" s="17">
        <f>'Form-Sb'!JBZ94</f>
        <v>0</v>
      </c>
      <c r="JBW36" s="17">
        <f>'Form-Sb'!JCA94</f>
        <v>0</v>
      </c>
      <c r="JBX36" s="17">
        <f>'Form-Sb'!JCB94</f>
        <v>0</v>
      </c>
      <c r="JBY36" s="17">
        <f>'Form-Sb'!JCC94</f>
        <v>0</v>
      </c>
      <c r="JBZ36" s="17">
        <f>'Form-Sb'!JCD94</f>
        <v>0</v>
      </c>
      <c r="JCA36" s="17">
        <f>'Form-Sb'!JCE94</f>
        <v>0</v>
      </c>
      <c r="JCB36" s="17">
        <f>'Form-Sb'!JCF94</f>
        <v>0</v>
      </c>
      <c r="JCC36" s="17">
        <f>'Form-Sb'!JCG94</f>
        <v>0</v>
      </c>
      <c r="JCD36" s="17">
        <f>'Form-Sb'!JCH94</f>
        <v>0</v>
      </c>
      <c r="JCE36" s="17">
        <f>'Form-Sb'!JCI94</f>
        <v>0</v>
      </c>
      <c r="JCF36" s="17">
        <f>'Form-Sb'!JCJ94</f>
        <v>0</v>
      </c>
      <c r="JCG36" s="17">
        <f>'Form-Sb'!JCK94</f>
        <v>0</v>
      </c>
      <c r="JCH36" s="17">
        <f>'Form-Sb'!JCL94</f>
        <v>0</v>
      </c>
      <c r="JCI36" s="17">
        <f>'Form-Sb'!JCM94</f>
        <v>0</v>
      </c>
      <c r="JCJ36" s="17">
        <f>'Form-Sb'!JCN94</f>
        <v>0</v>
      </c>
      <c r="JCK36" s="17">
        <f>'Form-Sb'!JCO94</f>
        <v>0</v>
      </c>
      <c r="JCL36" s="17">
        <f>'Form-Sb'!JCP94</f>
        <v>0</v>
      </c>
      <c r="JCM36" s="17">
        <f>'Form-Sb'!JCQ94</f>
        <v>0</v>
      </c>
      <c r="JCN36" s="17">
        <f>'Form-Sb'!JCR94</f>
        <v>0</v>
      </c>
      <c r="JCO36" s="17">
        <f>'Form-Sb'!JCS94</f>
        <v>0</v>
      </c>
      <c r="JCP36" s="17">
        <f>'Form-Sb'!JCT94</f>
        <v>0</v>
      </c>
      <c r="JCQ36" s="17">
        <f>'Form-Sb'!JCU94</f>
        <v>0</v>
      </c>
      <c r="JCR36" s="17">
        <f>'Form-Sb'!JCV94</f>
        <v>0</v>
      </c>
      <c r="JCS36" s="17">
        <f>'Form-Sb'!JCW94</f>
        <v>0</v>
      </c>
      <c r="JCT36" s="17">
        <f>'Form-Sb'!JCX94</f>
        <v>0</v>
      </c>
      <c r="JCU36" s="17">
        <f>'Form-Sb'!JCY94</f>
        <v>0</v>
      </c>
      <c r="JCV36" s="17">
        <f>'Form-Sb'!JCZ94</f>
        <v>0</v>
      </c>
      <c r="JCW36" s="17">
        <f>'Form-Sb'!JDA94</f>
        <v>0</v>
      </c>
      <c r="JCX36" s="17">
        <f>'Form-Sb'!JDB94</f>
        <v>0</v>
      </c>
      <c r="JCY36" s="17">
        <f>'Form-Sb'!JDC94</f>
        <v>0</v>
      </c>
      <c r="JCZ36" s="17">
        <f>'Form-Sb'!JDD94</f>
        <v>0</v>
      </c>
      <c r="JDA36" s="17">
        <f>'Form-Sb'!JDE94</f>
        <v>0</v>
      </c>
      <c r="JDB36" s="17">
        <f>'Form-Sb'!JDF94</f>
        <v>0</v>
      </c>
      <c r="JDC36" s="17">
        <f>'Form-Sb'!JDG94</f>
        <v>0</v>
      </c>
      <c r="JDD36" s="17">
        <f>'Form-Sb'!JDH94</f>
        <v>0</v>
      </c>
      <c r="JDE36" s="17">
        <f>'Form-Sb'!JDI94</f>
        <v>0</v>
      </c>
      <c r="JDF36" s="17">
        <f>'Form-Sb'!JDJ94</f>
        <v>0</v>
      </c>
      <c r="JDG36" s="17">
        <f>'Form-Sb'!JDK94</f>
        <v>0</v>
      </c>
      <c r="JDH36" s="17">
        <f>'Form-Sb'!JDL94</f>
        <v>0</v>
      </c>
      <c r="JDI36" s="17">
        <f>'Form-Sb'!JDM94</f>
        <v>0</v>
      </c>
      <c r="JDJ36" s="17">
        <f>'Form-Sb'!JDN94</f>
        <v>0</v>
      </c>
      <c r="JDK36" s="17">
        <f>'Form-Sb'!JDO94</f>
        <v>0</v>
      </c>
      <c r="JDL36" s="17">
        <f>'Form-Sb'!JDP94</f>
        <v>0</v>
      </c>
      <c r="JDM36" s="17">
        <f>'Form-Sb'!JDQ94</f>
        <v>0</v>
      </c>
      <c r="JDN36" s="17">
        <f>'Form-Sb'!JDR94</f>
        <v>0</v>
      </c>
      <c r="JDO36" s="17">
        <f>'Form-Sb'!JDS94</f>
        <v>0</v>
      </c>
      <c r="JDP36" s="17">
        <f>'Form-Sb'!JDT94</f>
        <v>0</v>
      </c>
      <c r="JDQ36" s="17">
        <f>'Form-Sb'!JDU94</f>
        <v>0</v>
      </c>
      <c r="JDR36" s="17">
        <f>'Form-Sb'!JDV94</f>
        <v>0</v>
      </c>
      <c r="JDS36" s="17">
        <f>'Form-Sb'!JDW94</f>
        <v>0</v>
      </c>
      <c r="JDT36" s="17">
        <f>'Form-Sb'!JDX94</f>
        <v>0</v>
      </c>
      <c r="JDU36" s="17">
        <f>'Form-Sb'!JDY94</f>
        <v>0</v>
      </c>
      <c r="JDV36" s="17">
        <f>'Form-Sb'!JDZ94</f>
        <v>0</v>
      </c>
      <c r="JDW36" s="17">
        <f>'Form-Sb'!JEA94</f>
        <v>0</v>
      </c>
      <c r="JDX36" s="17">
        <f>'Form-Sb'!JEB94</f>
        <v>0</v>
      </c>
      <c r="JDY36" s="17">
        <f>'Form-Sb'!JEC94</f>
        <v>0</v>
      </c>
      <c r="JDZ36" s="17">
        <f>'Form-Sb'!JED94</f>
        <v>0</v>
      </c>
      <c r="JEA36" s="17">
        <f>'Form-Sb'!JEE94</f>
        <v>0</v>
      </c>
      <c r="JEB36" s="17">
        <f>'Form-Sb'!JEF94</f>
        <v>0</v>
      </c>
      <c r="JEC36" s="17">
        <f>'Form-Sb'!JEG94</f>
        <v>0</v>
      </c>
      <c r="JED36" s="17">
        <f>'Form-Sb'!JEH94</f>
        <v>0</v>
      </c>
      <c r="JEE36" s="17">
        <f>'Form-Sb'!JEI94</f>
        <v>0</v>
      </c>
      <c r="JEF36" s="17">
        <f>'Form-Sb'!JEJ94</f>
        <v>0</v>
      </c>
      <c r="JEG36" s="17">
        <f>'Form-Sb'!JEK94</f>
        <v>0</v>
      </c>
      <c r="JEH36" s="17">
        <f>'Form-Sb'!JEL94</f>
        <v>0</v>
      </c>
      <c r="JEI36" s="17">
        <f>'Form-Sb'!JEM94</f>
        <v>0</v>
      </c>
      <c r="JEJ36" s="17">
        <f>'Form-Sb'!JEN94</f>
        <v>0</v>
      </c>
      <c r="JEK36" s="17">
        <f>'Form-Sb'!JEO94</f>
        <v>0</v>
      </c>
      <c r="JEL36" s="17">
        <f>'Form-Sb'!JEP94</f>
        <v>0</v>
      </c>
      <c r="JEM36" s="17">
        <f>'Form-Sb'!JEQ94</f>
        <v>0</v>
      </c>
      <c r="JEN36" s="17">
        <f>'Form-Sb'!JER94</f>
        <v>0</v>
      </c>
      <c r="JEO36" s="17">
        <f>'Form-Sb'!JES94</f>
        <v>0</v>
      </c>
      <c r="JEP36" s="17">
        <f>'Form-Sb'!JET94</f>
        <v>0</v>
      </c>
      <c r="JEQ36" s="17">
        <f>'Form-Sb'!JEU94</f>
        <v>0</v>
      </c>
      <c r="JER36" s="17">
        <f>'Form-Sb'!JEV94</f>
        <v>0</v>
      </c>
      <c r="JES36" s="17">
        <f>'Form-Sb'!JEW94</f>
        <v>0</v>
      </c>
      <c r="JET36" s="17">
        <f>'Form-Sb'!JEX94</f>
        <v>0</v>
      </c>
      <c r="JEU36" s="17">
        <f>'Form-Sb'!JEY94</f>
        <v>0</v>
      </c>
      <c r="JEV36" s="17">
        <f>'Form-Sb'!JEZ94</f>
        <v>0</v>
      </c>
      <c r="JEW36" s="17">
        <f>'Form-Sb'!JFA94</f>
        <v>0</v>
      </c>
      <c r="JEX36" s="17">
        <f>'Form-Sb'!JFB94</f>
        <v>0</v>
      </c>
      <c r="JEY36" s="17">
        <f>'Form-Sb'!JFC94</f>
        <v>0</v>
      </c>
      <c r="JEZ36" s="17">
        <f>'Form-Sb'!JFD94</f>
        <v>0</v>
      </c>
      <c r="JFA36" s="17">
        <f>'Form-Sb'!JFE94</f>
        <v>0</v>
      </c>
      <c r="JFB36" s="17">
        <f>'Form-Sb'!JFF94</f>
        <v>0</v>
      </c>
      <c r="JFC36" s="17">
        <f>'Form-Sb'!JFG94</f>
        <v>0</v>
      </c>
      <c r="JFD36" s="17">
        <f>'Form-Sb'!JFH94</f>
        <v>0</v>
      </c>
      <c r="JFE36" s="17">
        <f>'Form-Sb'!JFI94</f>
        <v>0</v>
      </c>
      <c r="JFF36" s="17">
        <f>'Form-Sb'!JFJ94</f>
        <v>0</v>
      </c>
      <c r="JFG36" s="17">
        <f>'Form-Sb'!JFK94</f>
        <v>0</v>
      </c>
      <c r="JFH36" s="17">
        <f>'Form-Sb'!JFL94</f>
        <v>0</v>
      </c>
      <c r="JFI36" s="17">
        <f>'Form-Sb'!JFM94</f>
        <v>0</v>
      </c>
      <c r="JFJ36" s="17">
        <f>'Form-Sb'!JFN94</f>
        <v>0</v>
      </c>
      <c r="JFK36" s="17">
        <f>'Form-Sb'!JFO94</f>
        <v>0</v>
      </c>
      <c r="JFL36" s="17">
        <f>'Form-Sb'!JFP94</f>
        <v>0</v>
      </c>
      <c r="JFM36" s="17">
        <f>'Form-Sb'!JFQ94</f>
        <v>0</v>
      </c>
      <c r="JFN36" s="17">
        <f>'Form-Sb'!JFR94</f>
        <v>0</v>
      </c>
      <c r="JFO36" s="17">
        <f>'Form-Sb'!JFS94</f>
        <v>0</v>
      </c>
      <c r="JFP36" s="17">
        <f>'Form-Sb'!JFT94</f>
        <v>0</v>
      </c>
      <c r="JFQ36" s="17">
        <f>'Form-Sb'!JFU94</f>
        <v>0</v>
      </c>
      <c r="JFR36" s="17">
        <f>'Form-Sb'!JFV94</f>
        <v>0</v>
      </c>
      <c r="JFS36" s="17">
        <f>'Form-Sb'!JFW94</f>
        <v>0</v>
      </c>
      <c r="JFT36" s="17">
        <f>'Form-Sb'!JFX94</f>
        <v>0</v>
      </c>
      <c r="JFU36" s="17">
        <f>'Form-Sb'!JFY94</f>
        <v>0</v>
      </c>
      <c r="JFV36" s="17">
        <f>'Form-Sb'!JFZ94</f>
        <v>0</v>
      </c>
      <c r="JFW36" s="17">
        <f>'Form-Sb'!JGA94</f>
        <v>0</v>
      </c>
      <c r="JFX36" s="17">
        <f>'Form-Sb'!JGB94</f>
        <v>0</v>
      </c>
      <c r="JFY36" s="17">
        <f>'Form-Sb'!JGC94</f>
        <v>0</v>
      </c>
      <c r="JFZ36" s="17">
        <f>'Form-Sb'!JGD94</f>
        <v>0</v>
      </c>
      <c r="JGA36" s="17">
        <f>'Form-Sb'!JGE94</f>
        <v>0</v>
      </c>
      <c r="JGB36" s="17">
        <f>'Form-Sb'!JGF94</f>
        <v>0</v>
      </c>
      <c r="JGC36" s="17">
        <f>'Form-Sb'!JGG94</f>
        <v>0</v>
      </c>
      <c r="JGD36" s="17">
        <f>'Form-Sb'!JGH94</f>
        <v>0</v>
      </c>
      <c r="JGE36" s="17">
        <f>'Form-Sb'!JGI94</f>
        <v>0</v>
      </c>
      <c r="JGF36" s="17">
        <f>'Form-Sb'!JGJ94</f>
        <v>0</v>
      </c>
      <c r="JGG36" s="17">
        <f>'Form-Sb'!JGK94</f>
        <v>0</v>
      </c>
      <c r="JGH36" s="17">
        <f>'Form-Sb'!JGL94</f>
        <v>0</v>
      </c>
      <c r="JGI36" s="17">
        <f>'Form-Sb'!JGM94</f>
        <v>0</v>
      </c>
      <c r="JGJ36" s="17">
        <f>'Form-Sb'!JGN94</f>
        <v>0</v>
      </c>
      <c r="JGK36" s="17">
        <f>'Form-Sb'!JGO94</f>
        <v>0</v>
      </c>
      <c r="JGL36" s="17">
        <f>'Form-Sb'!JGP94</f>
        <v>0</v>
      </c>
      <c r="JGM36" s="17">
        <f>'Form-Sb'!JGQ94</f>
        <v>0</v>
      </c>
      <c r="JGN36" s="17">
        <f>'Form-Sb'!JGR94</f>
        <v>0</v>
      </c>
      <c r="JGO36" s="17">
        <f>'Form-Sb'!JGS94</f>
        <v>0</v>
      </c>
      <c r="JGP36" s="17">
        <f>'Form-Sb'!JGT94</f>
        <v>0</v>
      </c>
      <c r="JGQ36" s="17">
        <f>'Form-Sb'!JGU94</f>
        <v>0</v>
      </c>
      <c r="JGR36" s="17">
        <f>'Form-Sb'!JGV94</f>
        <v>0</v>
      </c>
      <c r="JGS36" s="17">
        <f>'Form-Sb'!JGW94</f>
        <v>0</v>
      </c>
      <c r="JGT36" s="17">
        <f>'Form-Sb'!JGX94</f>
        <v>0</v>
      </c>
      <c r="JGU36" s="17">
        <f>'Form-Sb'!JGY94</f>
        <v>0</v>
      </c>
      <c r="JGV36" s="17">
        <f>'Form-Sb'!JGZ94</f>
        <v>0</v>
      </c>
      <c r="JGW36" s="17">
        <f>'Form-Sb'!JHA94</f>
        <v>0</v>
      </c>
      <c r="JGX36" s="17">
        <f>'Form-Sb'!JHB94</f>
        <v>0</v>
      </c>
      <c r="JGY36" s="17">
        <f>'Form-Sb'!JHC94</f>
        <v>0</v>
      </c>
      <c r="JGZ36" s="17">
        <f>'Form-Sb'!JHD94</f>
        <v>0</v>
      </c>
      <c r="JHA36" s="17">
        <f>'Form-Sb'!JHE94</f>
        <v>0</v>
      </c>
      <c r="JHB36" s="17">
        <f>'Form-Sb'!JHF94</f>
        <v>0</v>
      </c>
      <c r="JHC36" s="17">
        <f>'Form-Sb'!JHG94</f>
        <v>0</v>
      </c>
      <c r="JHD36" s="17">
        <f>'Form-Sb'!JHH94</f>
        <v>0</v>
      </c>
      <c r="JHE36" s="17">
        <f>'Form-Sb'!JHI94</f>
        <v>0</v>
      </c>
      <c r="JHF36" s="17">
        <f>'Form-Sb'!JHJ94</f>
        <v>0</v>
      </c>
      <c r="JHG36" s="17">
        <f>'Form-Sb'!JHK94</f>
        <v>0</v>
      </c>
      <c r="JHH36" s="17">
        <f>'Form-Sb'!JHL94</f>
        <v>0</v>
      </c>
      <c r="JHI36" s="17">
        <f>'Form-Sb'!JHM94</f>
        <v>0</v>
      </c>
      <c r="JHJ36" s="17">
        <f>'Form-Sb'!JHN94</f>
        <v>0</v>
      </c>
      <c r="JHK36" s="17">
        <f>'Form-Sb'!JHO94</f>
        <v>0</v>
      </c>
      <c r="JHL36" s="17">
        <f>'Form-Sb'!JHP94</f>
        <v>0</v>
      </c>
      <c r="JHM36" s="17">
        <f>'Form-Sb'!JHQ94</f>
        <v>0</v>
      </c>
      <c r="JHN36" s="17">
        <f>'Form-Sb'!JHR94</f>
        <v>0</v>
      </c>
      <c r="JHO36" s="17">
        <f>'Form-Sb'!JHS94</f>
        <v>0</v>
      </c>
      <c r="JHP36" s="17">
        <f>'Form-Sb'!JHT94</f>
        <v>0</v>
      </c>
      <c r="JHQ36" s="17">
        <f>'Form-Sb'!JHU94</f>
        <v>0</v>
      </c>
      <c r="JHR36" s="17">
        <f>'Form-Sb'!JHV94</f>
        <v>0</v>
      </c>
      <c r="JHS36" s="17">
        <f>'Form-Sb'!JHW94</f>
        <v>0</v>
      </c>
      <c r="JHT36" s="17">
        <f>'Form-Sb'!JHX94</f>
        <v>0</v>
      </c>
      <c r="JHU36" s="17">
        <f>'Form-Sb'!JHY94</f>
        <v>0</v>
      </c>
      <c r="JHV36" s="17">
        <f>'Form-Sb'!JHZ94</f>
        <v>0</v>
      </c>
      <c r="JHW36" s="17">
        <f>'Form-Sb'!JIA94</f>
        <v>0</v>
      </c>
      <c r="JHX36" s="17">
        <f>'Form-Sb'!JIB94</f>
        <v>0</v>
      </c>
      <c r="JHY36" s="17">
        <f>'Form-Sb'!JIC94</f>
        <v>0</v>
      </c>
      <c r="JHZ36" s="17">
        <f>'Form-Sb'!JID94</f>
        <v>0</v>
      </c>
      <c r="JIA36" s="17">
        <f>'Form-Sb'!JIE94</f>
        <v>0</v>
      </c>
      <c r="JIB36" s="17">
        <f>'Form-Sb'!JIF94</f>
        <v>0</v>
      </c>
      <c r="JIC36" s="17">
        <f>'Form-Sb'!JIG94</f>
        <v>0</v>
      </c>
      <c r="JID36" s="17">
        <f>'Form-Sb'!JIH94</f>
        <v>0</v>
      </c>
      <c r="JIE36" s="17">
        <f>'Form-Sb'!JII94</f>
        <v>0</v>
      </c>
      <c r="JIF36" s="17">
        <f>'Form-Sb'!JIJ94</f>
        <v>0</v>
      </c>
      <c r="JIG36" s="17">
        <f>'Form-Sb'!JIK94</f>
        <v>0</v>
      </c>
      <c r="JIH36" s="17">
        <f>'Form-Sb'!JIL94</f>
        <v>0</v>
      </c>
      <c r="JII36" s="17">
        <f>'Form-Sb'!JIM94</f>
        <v>0</v>
      </c>
      <c r="JIJ36" s="17">
        <f>'Form-Sb'!JIN94</f>
        <v>0</v>
      </c>
      <c r="JIK36" s="17">
        <f>'Form-Sb'!JIO94</f>
        <v>0</v>
      </c>
      <c r="JIL36" s="17">
        <f>'Form-Sb'!JIP94</f>
        <v>0</v>
      </c>
      <c r="JIM36" s="17">
        <f>'Form-Sb'!JIQ94</f>
        <v>0</v>
      </c>
      <c r="JIN36" s="17">
        <f>'Form-Sb'!JIR94</f>
        <v>0</v>
      </c>
      <c r="JIO36" s="17">
        <f>'Form-Sb'!JIS94</f>
        <v>0</v>
      </c>
      <c r="JIP36" s="17">
        <f>'Form-Sb'!JIT94</f>
        <v>0</v>
      </c>
      <c r="JIQ36" s="17">
        <f>'Form-Sb'!JIU94</f>
        <v>0</v>
      </c>
      <c r="JIR36" s="17">
        <f>'Form-Sb'!JIV94</f>
        <v>0</v>
      </c>
      <c r="JIS36" s="17">
        <f>'Form-Sb'!JIW94</f>
        <v>0</v>
      </c>
      <c r="JIT36" s="17">
        <f>'Form-Sb'!JIX94</f>
        <v>0</v>
      </c>
      <c r="JIU36" s="17">
        <f>'Form-Sb'!JIY94</f>
        <v>0</v>
      </c>
      <c r="JIV36" s="17">
        <f>'Form-Sb'!JIZ94</f>
        <v>0</v>
      </c>
      <c r="JIW36" s="17">
        <f>'Form-Sb'!JJA94</f>
        <v>0</v>
      </c>
      <c r="JIX36" s="17">
        <f>'Form-Sb'!JJB94</f>
        <v>0</v>
      </c>
      <c r="JIY36" s="17">
        <f>'Form-Sb'!JJC94</f>
        <v>0</v>
      </c>
      <c r="JIZ36" s="17">
        <f>'Form-Sb'!JJD94</f>
        <v>0</v>
      </c>
      <c r="JJA36" s="17">
        <f>'Form-Sb'!JJE94</f>
        <v>0</v>
      </c>
      <c r="JJB36" s="17">
        <f>'Form-Sb'!JJF94</f>
        <v>0</v>
      </c>
      <c r="JJC36" s="17">
        <f>'Form-Sb'!JJG94</f>
        <v>0</v>
      </c>
      <c r="JJD36" s="17">
        <f>'Form-Sb'!JJH94</f>
        <v>0</v>
      </c>
      <c r="JJE36" s="17">
        <f>'Form-Sb'!JJI94</f>
        <v>0</v>
      </c>
      <c r="JJF36" s="17">
        <f>'Form-Sb'!JJJ94</f>
        <v>0</v>
      </c>
      <c r="JJG36" s="17">
        <f>'Form-Sb'!JJK94</f>
        <v>0</v>
      </c>
      <c r="JJH36" s="17">
        <f>'Form-Sb'!JJL94</f>
        <v>0</v>
      </c>
      <c r="JJI36" s="17">
        <f>'Form-Sb'!JJM94</f>
        <v>0</v>
      </c>
      <c r="JJJ36" s="17">
        <f>'Form-Sb'!JJN94</f>
        <v>0</v>
      </c>
      <c r="JJK36" s="17">
        <f>'Form-Sb'!JJO94</f>
        <v>0</v>
      </c>
      <c r="JJL36" s="17">
        <f>'Form-Sb'!JJP94</f>
        <v>0</v>
      </c>
      <c r="JJM36" s="17">
        <f>'Form-Sb'!JJQ94</f>
        <v>0</v>
      </c>
      <c r="JJN36" s="17">
        <f>'Form-Sb'!JJR94</f>
        <v>0</v>
      </c>
      <c r="JJO36" s="17">
        <f>'Form-Sb'!JJS94</f>
        <v>0</v>
      </c>
      <c r="JJP36" s="17">
        <f>'Form-Sb'!JJT94</f>
        <v>0</v>
      </c>
      <c r="JJQ36" s="17">
        <f>'Form-Sb'!JJU94</f>
        <v>0</v>
      </c>
      <c r="JJR36" s="17">
        <f>'Form-Sb'!JJV94</f>
        <v>0</v>
      </c>
      <c r="JJS36" s="17">
        <f>'Form-Sb'!JJW94</f>
        <v>0</v>
      </c>
      <c r="JJT36" s="17">
        <f>'Form-Sb'!JJX94</f>
        <v>0</v>
      </c>
      <c r="JJU36" s="17">
        <f>'Form-Sb'!JJY94</f>
        <v>0</v>
      </c>
      <c r="JJV36" s="17">
        <f>'Form-Sb'!JJZ94</f>
        <v>0</v>
      </c>
      <c r="JJW36" s="17">
        <f>'Form-Sb'!JKA94</f>
        <v>0</v>
      </c>
      <c r="JJX36" s="17">
        <f>'Form-Sb'!JKB94</f>
        <v>0</v>
      </c>
      <c r="JJY36" s="17">
        <f>'Form-Sb'!JKC94</f>
        <v>0</v>
      </c>
      <c r="JJZ36" s="17">
        <f>'Form-Sb'!JKD94</f>
        <v>0</v>
      </c>
      <c r="JKA36" s="17">
        <f>'Form-Sb'!JKE94</f>
        <v>0</v>
      </c>
      <c r="JKB36" s="17">
        <f>'Form-Sb'!JKF94</f>
        <v>0</v>
      </c>
      <c r="JKC36" s="17">
        <f>'Form-Sb'!JKG94</f>
        <v>0</v>
      </c>
      <c r="JKD36" s="17">
        <f>'Form-Sb'!JKH94</f>
        <v>0</v>
      </c>
      <c r="JKE36" s="17">
        <f>'Form-Sb'!JKI94</f>
        <v>0</v>
      </c>
      <c r="JKF36" s="17">
        <f>'Form-Sb'!JKJ94</f>
        <v>0</v>
      </c>
      <c r="JKG36" s="17">
        <f>'Form-Sb'!JKK94</f>
        <v>0</v>
      </c>
      <c r="JKH36" s="17">
        <f>'Form-Sb'!JKL94</f>
        <v>0</v>
      </c>
      <c r="JKI36" s="17">
        <f>'Form-Sb'!JKM94</f>
        <v>0</v>
      </c>
      <c r="JKJ36" s="17">
        <f>'Form-Sb'!JKN94</f>
        <v>0</v>
      </c>
      <c r="JKK36" s="17">
        <f>'Form-Sb'!JKO94</f>
        <v>0</v>
      </c>
      <c r="JKL36" s="17">
        <f>'Form-Sb'!JKP94</f>
        <v>0</v>
      </c>
      <c r="JKM36" s="17">
        <f>'Form-Sb'!JKQ94</f>
        <v>0</v>
      </c>
      <c r="JKN36" s="17">
        <f>'Form-Sb'!JKR94</f>
        <v>0</v>
      </c>
      <c r="JKO36" s="17">
        <f>'Form-Sb'!JKS94</f>
        <v>0</v>
      </c>
      <c r="JKP36" s="17">
        <f>'Form-Sb'!JKT94</f>
        <v>0</v>
      </c>
      <c r="JKQ36" s="17">
        <f>'Form-Sb'!JKU94</f>
        <v>0</v>
      </c>
      <c r="JKR36" s="17">
        <f>'Form-Sb'!JKV94</f>
        <v>0</v>
      </c>
      <c r="JKS36" s="17">
        <f>'Form-Sb'!JKW94</f>
        <v>0</v>
      </c>
      <c r="JKT36" s="17">
        <f>'Form-Sb'!JKX94</f>
        <v>0</v>
      </c>
      <c r="JKU36" s="17">
        <f>'Form-Sb'!JKY94</f>
        <v>0</v>
      </c>
      <c r="JKV36" s="17">
        <f>'Form-Sb'!JKZ94</f>
        <v>0</v>
      </c>
      <c r="JKW36" s="17">
        <f>'Form-Sb'!JLA94</f>
        <v>0</v>
      </c>
      <c r="JKX36" s="17">
        <f>'Form-Sb'!JLB94</f>
        <v>0</v>
      </c>
      <c r="JKY36" s="17">
        <f>'Form-Sb'!JLC94</f>
        <v>0</v>
      </c>
      <c r="JKZ36" s="17">
        <f>'Form-Sb'!JLD94</f>
        <v>0</v>
      </c>
      <c r="JLA36" s="17">
        <f>'Form-Sb'!JLE94</f>
        <v>0</v>
      </c>
      <c r="JLB36" s="17">
        <f>'Form-Sb'!JLF94</f>
        <v>0</v>
      </c>
      <c r="JLC36" s="17">
        <f>'Form-Sb'!JLG94</f>
        <v>0</v>
      </c>
      <c r="JLD36" s="17">
        <f>'Form-Sb'!JLH94</f>
        <v>0</v>
      </c>
      <c r="JLE36" s="17">
        <f>'Form-Sb'!JLI94</f>
        <v>0</v>
      </c>
      <c r="JLF36" s="17">
        <f>'Form-Sb'!JLJ94</f>
        <v>0</v>
      </c>
      <c r="JLG36" s="17">
        <f>'Form-Sb'!JLK94</f>
        <v>0</v>
      </c>
      <c r="JLH36" s="17">
        <f>'Form-Sb'!JLL94</f>
        <v>0</v>
      </c>
      <c r="JLI36" s="17">
        <f>'Form-Sb'!JLM94</f>
        <v>0</v>
      </c>
      <c r="JLJ36" s="17">
        <f>'Form-Sb'!JLN94</f>
        <v>0</v>
      </c>
      <c r="JLK36" s="17">
        <f>'Form-Sb'!JLO94</f>
        <v>0</v>
      </c>
      <c r="JLL36" s="17">
        <f>'Form-Sb'!JLP94</f>
        <v>0</v>
      </c>
      <c r="JLM36" s="17">
        <f>'Form-Sb'!JLQ94</f>
        <v>0</v>
      </c>
      <c r="JLN36" s="17">
        <f>'Form-Sb'!JLR94</f>
        <v>0</v>
      </c>
      <c r="JLO36" s="17">
        <f>'Form-Sb'!JLS94</f>
        <v>0</v>
      </c>
      <c r="JLP36" s="17">
        <f>'Form-Sb'!JLT94</f>
        <v>0</v>
      </c>
      <c r="JLQ36" s="17">
        <f>'Form-Sb'!JLU94</f>
        <v>0</v>
      </c>
      <c r="JLR36" s="17">
        <f>'Form-Sb'!JLV94</f>
        <v>0</v>
      </c>
      <c r="JLS36" s="17">
        <f>'Form-Sb'!JLW94</f>
        <v>0</v>
      </c>
      <c r="JLT36" s="17">
        <f>'Form-Sb'!JLX94</f>
        <v>0</v>
      </c>
      <c r="JLU36" s="17">
        <f>'Form-Sb'!JLY94</f>
        <v>0</v>
      </c>
      <c r="JLV36" s="17">
        <f>'Form-Sb'!JLZ94</f>
        <v>0</v>
      </c>
      <c r="JLW36" s="17">
        <f>'Form-Sb'!JMA94</f>
        <v>0</v>
      </c>
      <c r="JLX36" s="17">
        <f>'Form-Sb'!JMB94</f>
        <v>0</v>
      </c>
      <c r="JLY36" s="17">
        <f>'Form-Sb'!JMC94</f>
        <v>0</v>
      </c>
      <c r="JLZ36" s="17">
        <f>'Form-Sb'!JMD94</f>
        <v>0</v>
      </c>
      <c r="JMA36" s="17">
        <f>'Form-Sb'!JME94</f>
        <v>0</v>
      </c>
      <c r="JMB36" s="17">
        <f>'Form-Sb'!JMF94</f>
        <v>0</v>
      </c>
      <c r="JMC36" s="17">
        <f>'Form-Sb'!JMG94</f>
        <v>0</v>
      </c>
      <c r="JMD36" s="17">
        <f>'Form-Sb'!JMH94</f>
        <v>0</v>
      </c>
      <c r="JME36" s="17">
        <f>'Form-Sb'!JMI94</f>
        <v>0</v>
      </c>
      <c r="JMF36" s="17">
        <f>'Form-Sb'!JMJ94</f>
        <v>0</v>
      </c>
      <c r="JMG36" s="17">
        <f>'Form-Sb'!JMK94</f>
        <v>0</v>
      </c>
      <c r="JMH36" s="17">
        <f>'Form-Sb'!JML94</f>
        <v>0</v>
      </c>
      <c r="JMI36" s="17">
        <f>'Form-Sb'!JMM94</f>
        <v>0</v>
      </c>
      <c r="JMJ36" s="17">
        <f>'Form-Sb'!JMN94</f>
        <v>0</v>
      </c>
      <c r="JMK36" s="17">
        <f>'Form-Sb'!JMO94</f>
        <v>0</v>
      </c>
      <c r="JML36" s="17">
        <f>'Form-Sb'!JMP94</f>
        <v>0</v>
      </c>
      <c r="JMM36" s="17">
        <f>'Form-Sb'!JMQ94</f>
        <v>0</v>
      </c>
      <c r="JMN36" s="17">
        <f>'Form-Sb'!JMR94</f>
        <v>0</v>
      </c>
      <c r="JMO36" s="17">
        <f>'Form-Sb'!JMS94</f>
        <v>0</v>
      </c>
      <c r="JMP36" s="17">
        <f>'Form-Sb'!JMT94</f>
        <v>0</v>
      </c>
      <c r="JMQ36" s="17">
        <f>'Form-Sb'!JMU94</f>
        <v>0</v>
      </c>
      <c r="JMR36" s="17">
        <f>'Form-Sb'!JMV94</f>
        <v>0</v>
      </c>
      <c r="JMS36" s="17">
        <f>'Form-Sb'!JMW94</f>
        <v>0</v>
      </c>
      <c r="JMT36" s="17">
        <f>'Form-Sb'!JMX94</f>
        <v>0</v>
      </c>
      <c r="JMU36" s="17">
        <f>'Form-Sb'!JMY94</f>
        <v>0</v>
      </c>
      <c r="JMV36" s="17">
        <f>'Form-Sb'!JMZ94</f>
        <v>0</v>
      </c>
      <c r="JMW36" s="17">
        <f>'Form-Sb'!JNA94</f>
        <v>0</v>
      </c>
      <c r="JMX36" s="17">
        <f>'Form-Sb'!JNB94</f>
        <v>0</v>
      </c>
      <c r="JMY36" s="17">
        <f>'Form-Sb'!JNC94</f>
        <v>0</v>
      </c>
      <c r="JMZ36" s="17">
        <f>'Form-Sb'!JND94</f>
        <v>0</v>
      </c>
      <c r="JNA36" s="17">
        <f>'Form-Sb'!JNE94</f>
        <v>0</v>
      </c>
      <c r="JNB36" s="17">
        <f>'Form-Sb'!JNF94</f>
        <v>0</v>
      </c>
      <c r="JNC36" s="17">
        <f>'Form-Sb'!JNG94</f>
        <v>0</v>
      </c>
      <c r="JND36" s="17">
        <f>'Form-Sb'!JNH94</f>
        <v>0</v>
      </c>
      <c r="JNE36" s="17">
        <f>'Form-Sb'!JNI94</f>
        <v>0</v>
      </c>
      <c r="JNF36" s="17">
        <f>'Form-Sb'!JNJ94</f>
        <v>0</v>
      </c>
      <c r="JNG36" s="17">
        <f>'Form-Sb'!JNK94</f>
        <v>0</v>
      </c>
      <c r="JNH36" s="17">
        <f>'Form-Sb'!JNL94</f>
        <v>0</v>
      </c>
      <c r="JNI36" s="17">
        <f>'Form-Sb'!JNM94</f>
        <v>0</v>
      </c>
      <c r="JNJ36" s="17">
        <f>'Form-Sb'!JNN94</f>
        <v>0</v>
      </c>
      <c r="JNK36" s="17">
        <f>'Form-Sb'!JNO94</f>
        <v>0</v>
      </c>
      <c r="JNL36" s="17">
        <f>'Form-Sb'!JNP94</f>
        <v>0</v>
      </c>
      <c r="JNM36" s="17">
        <f>'Form-Sb'!JNQ94</f>
        <v>0</v>
      </c>
      <c r="JNN36" s="17">
        <f>'Form-Sb'!JNR94</f>
        <v>0</v>
      </c>
      <c r="JNO36" s="17">
        <f>'Form-Sb'!JNS94</f>
        <v>0</v>
      </c>
      <c r="JNP36" s="17">
        <f>'Form-Sb'!JNT94</f>
        <v>0</v>
      </c>
      <c r="JNQ36" s="17">
        <f>'Form-Sb'!JNU94</f>
        <v>0</v>
      </c>
      <c r="JNR36" s="17">
        <f>'Form-Sb'!JNV94</f>
        <v>0</v>
      </c>
      <c r="JNS36" s="17">
        <f>'Form-Sb'!JNW94</f>
        <v>0</v>
      </c>
      <c r="JNT36" s="17">
        <f>'Form-Sb'!JNX94</f>
        <v>0</v>
      </c>
      <c r="JNU36" s="17">
        <f>'Form-Sb'!JNY94</f>
        <v>0</v>
      </c>
      <c r="JNV36" s="17">
        <f>'Form-Sb'!JNZ94</f>
        <v>0</v>
      </c>
      <c r="JNW36" s="17">
        <f>'Form-Sb'!JOA94</f>
        <v>0</v>
      </c>
      <c r="JNX36" s="17">
        <f>'Form-Sb'!JOB94</f>
        <v>0</v>
      </c>
      <c r="JNY36" s="17">
        <f>'Form-Sb'!JOC94</f>
        <v>0</v>
      </c>
      <c r="JNZ36" s="17">
        <f>'Form-Sb'!JOD94</f>
        <v>0</v>
      </c>
      <c r="JOA36" s="17">
        <f>'Form-Sb'!JOE94</f>
        <v>0</v>
      </c>
      <c r="JOB36" s="17">
        <f>'Form-Sb'!JOF94</f>
        <v>0</v>
      </c>
      <c r="JOC36" s="17">
        <f>'Form-Sb'!JOG94</f>
        <v>0</v>
      </c>
      <c r="JOD36" s="17">
        <f>'Form-Sb'!JOH94</f>
        <v>0</v>
      </c>
      <c r="JOE36" s="17">
        <f>'Form-Sb'!JOI94</f>
        <v>0</v>
      </c>
      <c r="JOF36" s="17">
        <f>'Form-Sb'!JOJ94</f>
        <v>0</v>
      </c>
      <c r="JOG36" s="17">
        <f>'Form-Sb'!JOK94</f>
        <v>0</v>
      </c>
      <c r="JOH36" s="17">
        <f>'Form-Sb'!JOL94</f>
        <v>0</v>
      </c>
      <c r="JOI36" s="17">
        <f>'Form-Sb'!JOM94</f>
        <v>0</v>
      </c>
      <c r="JOJ36" s="17">
        <f>'Form-Sb'!JON94</f>
        <v>0</v>
      </c>
      <c r="JOK36" s="17">
        <f>'Form-Sb'!JOO94</f>
        <v>0</v>
      </c>
      <c r="JOL36" s="17">
        <f>'Form-Sb'!JOP94</f>
        <v>0</v>
      </c>
      <c r="JOM36" s="17">
        <f>'Form-Sb'!JOQ94</f>
        <v>0</v>
      </c>
      <c r="JON36" s="17">
        <f>'Form-Sb'!JOR94</f>
        <v>0</v>
      </c>
      <c r="JOO36" s="17">
        <f>'Form-Sb'!JOS94</f>
        <v>0</v>
      </c>
      <c r="JOP36" s="17">
        <f>'Form-Sb'!JOT94</f>
        <v>0</v>
      </c>
      <c r="JOQ36" s="17">
        <f>'Form-Sb'!JOU94</f>
        <v>0</v>
      </c>
      <c r="JOR36" s="17">
        <f>'Form-Sb'!JOV94</f>
        <v>0</v>
      </c>
      <c r="JOS36" s="17">
        <f>'Form-Sb'!JOW94</f>
        <v>0</v>
      </c>
      <c r="JOT36" s="17">
        <f>'Form-Sb'!JOX94</f>
        <v>0</v>
      </c>
      <c r="JOU36" s="17">
        <f>'Form-Sb'!JOY94</f>
        <v>0</v>
      </c>
      <c r="JOV36" s="17">
        <f>'Form-Sb'!JOZ94</f>
        <v>0</v>
      </c>
      <c r="JOW36" s="17">
        <f>'Form-Sb'!JPA94</f>
        <v>0</v>
      </c>
      <c r="JOX36" s="17">
        <f>'Form-Sb'!JPB94</f>
        <v>0</v>
      </c>
      <c r="JOY36" s="17">
        <f>'Form-Sb'!JPC94</f>
        <v>0</v>
      </c>
      <c r="JOZ36" s="17">
        <f>'Form-Sb'!JPD94</f>
        <v>0</v>
      </c>
      <c r="JPA36" s="17">
        <f>'Form-Sb'!JPE94</f>
        <v>0</v>
      </c>
      <c r="JPB36" s="17">
        <f>'Form-Sb'!JPF94</f>
        <v>0</v>
      </c>
      <c r="JPC36" s="17">
        <f>'Form-Sb'!JPG94</f>
        <v>0</v>
      </c>
      <c r="JPD36" s="17">
        <f>'Form-Sb'!JPH94</f>
        <v>0</v>
      </c>
      <c r="JPE36" s="17">
        <f>'Form-Sb'!JPI94</f>
        <v>0</v>
      </c>
      <c r="JPF36" s="17">
        <f>'Form-Sb'!JPJ94</f>
        <v>0</v>
      </c>
      <c r="JPG36" s="17">
        <f>'Form-Sb'!JPK94</f>
        <v>0</v>
      </c>
      <c r="JPH36" s="17">
        <f>'Form-Sb'!JPL94</f>
        <v>0</v>
      </c>
      <c r="JPI36" s="17">
        <f>'Form-Sb'!JPM94</f>
        <v>0</v>
      </c>
      <c r="JPJ36" s="17">
        <f>'Form-Sb'!JPN94</f>
        <v>0</v>
      </c>
      <c r="JPK36" s="17">
        <f>'Form-Sb'!JPO94</f>
        <v>0</v>
      </c>
      <c r="JPL36" s="17">
        <f>'Form-Sb'!JPP94</f>
        <v>0</v>
      </c>
      <c r="JPM36" s="17">
        <f>'Form-Sb'!JPQ94</f>
        <v>0</v>
      </c>
      <c r="JPN36" s="17">
        <f>'Form-Sb'!JPR94</f>
        <v>0</v>
      </c>
      <c r="JPO36" s="17">
        <f>'Form-Sb'!JPS94</f>
        <v>0</v>
      </c>
      <c r="JPP36" s="17">
        <f>'Form-Sb'!JPT94</f>
        <v>0</v>
      </c>
      <c r="JPQ36" s="17">
        <f>'Form-Sb'!JPU94</f>
        <v>0</v>
      </c>
      <c r="JPR36" s="17">
        <f>'Form-Sb'!JPV94</f>
        <v>0</v>
      </c>
      <c r="JPS36" s="17">
        <f>'Form-Sb'!JPW94</f>
        <v>0</v>
      </c>
      <c r="JPT36" s="17">
        <f>'Form-Sb'!JPX94</f>
        <v>0</v>
      </c>
      <c r="JPU36" s="17">
        <f>'Form-Sb'!JPY94</f>
        <v>0</v>
      </c>
      <c r="JPV36" s="17">
        <f>'Form-Sb'!JPZ94</f>
        <v>0</v>
      </c>
      <c r="JPW36" s="17">
        <f>'Form-Sb'!JQA94</f>
        <v>0</v>
      </c>
      <c r="JPX36" s="17">
        <f>'Form-Sb'!JQB94</f>
        <v>0</v>
      </c>
      <c r="JPY36" s="17">
        <f>'Form-Sb'!JQC94</f>
        <v>0</v>
      </c>
      <c r="JPZ36" s="17">
        <f>'Form-Sb'!JQD94</f>
        <v>0</v>
      </c>
      <c r="JQA36" s="17">
        <f>'Form-Sb'!JQE94</f>
        <v>0</v>
      </c>
      <c r="JQB36" s="17">
        <f>'Form-Sb'!JQF94</f>
        <v>0</v>
      </c>
      <c r="JQC36" s="17">
        <f>'Form-Sb'!JQG94</f>
        <v>0</v>
      </c>
      <c r="JQD36" s="17">
        <f>'Form-Sb'!JQH94</f>
        <v>0</v>
      </c>
      <c r="JQE36" s="17">
        <f>'Form-Sb'!JQI94</f>
        <v>0</v>
      </c>
      <c r="JQF36" s="17">
        <f>'Form-Sb'!JQJ94</f>
        <v>0</v>
      </c>
      <c r="JQG36" s="17">
        <f>'Form-Sb'!JQK94</f>
        <v>0</v>
      </c>
      <c r="JQH36" s="17">
        <f>'Form-Sb'!JQL94</f>
        <v>0</v>
      </c>
      <c r="JQI36" s="17">
        <f>'Form-Sb'!JQM94</f>
        <v>0</v>
      </c>
      <c r="JQJ36" s="17">
        <f>'Form-Sb'!JQN94</f>
        <v>0</v>
      </c>
      <c r="JQK36" s="17">
        <f>'Form-Sb'!JQO94</f>
        <v>0</v>
      </c>
      <c r="JQL36" s="17">
        <f>'Form-Sb'!JQP94</f>
        <v>0</v>
      </c>
      <c r="JQM36" s="17">
        <f>'Form-Sb'!JQQ94</f>
        <v>0</v>
      </c>
      <c r="JQN36" s="17">
        <f>'Form-Sb'!JQR94</f>
        <v>0</v>
      </c>
      <c r="JQO36" s="17">
        <f>'Form-Sb'!JQS94</f>
        <v>0</v>
      </c>
      <c r="JQP36" s="17">
        <f>'Form-Sb'!JQT94</f>
        <v>0</v>
      </c>
      <c r="JQQ36" s="17">
        <f>'Form-Sb'!JQU94</f>
        <v>0</v>
      </c>
      <c r="JQR36" s="17">
        <f>'Form-Sb'!JQV94</f>
        <v>0</v>
      </c>
      <c r="JQS36" s="17">
        <f>'Form-Sb'!JQW94</f>
        <v>0</v>
      </c>
      <c r="JQT36" s="17">
        <f>'Form-Sb'!JQX94</f>
        <v>0</v>
      </c>
      <c r="JQU36" s="17">
        <f>'Form-Sb'!JQY94</f>
        <v>0</v>
      </c>
      <c r="JQV36" s="17">
        <f>'Form-Sb'!JQZ94</f>
        <v>0</v>
      </c>
      <c r="JQW36" s="17">
        <f>'Form-Sb'!JRA94</f>
        <v>0</v>
      </c>
      <c r="JQX36" s="17">
        <f>'Form-Sb'!JRB94</f>
        <v>0</v>
      </c>
      <c r="JQY36" s="17">
        <f>'Form-Sb'!JRC94</f>
        <v>0</v>
      </c>
      <c r="JQZ36" s="17">
        <f>'Form-Sb'!JRD94</f>
        <v>0</v>
      </c>
      <c r="JRA36" s="17">
        <f>'Form-Sb'!JRE94</f>
        <v>0</v>
      </c>
      <c r="JRB36" s="17">
        <f>'Form-Sb'!JRF94</f>
        <v>0</v>
      </c>
      <c r="JRC36" s="17">
        <f>'Form-Sb'!JRG94</f>
        <v>0</v>
      </c>
      <c r="JRD36" s="17">
        <f>'Form-Sb'!JRH94</f>
        <v>0</v>
      </c>
      <c r="JRE36" s="17">
        <f>'Form-Sb'!JRI94</f>
        <v>0</v>
      </c>
      <c r="JRF36" s="17">
        <f>'Form-Sb'!JRJ94</f>
        <v>0</v>
      </c>
      <c r="JRG36" s="17">
        <f>'Form-Sb'!JRK94</f>
        <v>0</v>
      </c>
      <c r="JRH36" s="17">
        <f>'Form-Sb'!JRL94</f>
        <v>0</v>
      </c>
      <c r="JRI36" s="17">
        <f>'Form-Sb'!JRM94</f>
        <v>0</v>
      </c>
      <c r="JRJ36" s="17">
        <f>'Form-Sb'!JRN94</f>
        <v>0</v>
      </c>
      <c r="JRK36" s="17">
        <f>'Form-Sb'!JRO94</f>
        <v>0</v>
      </c>
      <c r="JRL36" s="17">
        <f>'Form-Sb'!JRP94</f>
        <v>0</v>
      </c>
      <c r="JRM36" s="17">
        <f>'Form-Sb'!JRQ94</f>
        <v>0</v>
      </c>
      <c r="JRN36" s="17">
        <f>'Form-Sb'!JRR94</f>
        <v>0</v>
      </c>
      <c r="JRO36" s="17">
        <f>'Form-Sb'!JRS94</f>
        <v>0</v>
      </c>
      <c r="JRP36" s="17">
        <f>'Form-Sb'!JRT94</f>
        <v>0</v>
      </c>
      <c r="JRQ36" s="17">
        <f>'Form-Sb'!JRU94</f>
        <v>0</v>
      </c>
      <c r="JRR36" s="17">
        <f>'Form-Sb'!JRV94</f>
        <v>0</v>
      </c>
      <c r="JRS36" s="17">
        <f>'Form-Sb'!JRW94</f>
        <v>0</v>
      </c>
      <c r="JRT36" s="17">
        <f>'Form-Sb'!JRX94</f>
        <v>0</v>
      </c>
      <c r="JRU36" s="17">
        <f>'Form-Sb'!JRY94</f>
        <v>0</v>
      </c>
      <c r="JRV36" s="17">
        <f>'Form-Sb'!JRZ94</f>
        <v>0</v>
      </c>
      <c r="JRW36" s="17">
        <f>'Form-Sb'!JSA94</f>
        <v>0</v>
      </c>
      <c r="JRX36" s="17">
        <f>'Form-Sb'!JSB94</f>
        <v>0</v>
      </c>
      <c r="JRY36" s="17">
        <f>'Form-Sb'!JSC94</f>
        <v>0</v>
      </c>
      <c r="JRZ36" s="17">
        <f>'Form-Sb'!JSD94</f>
        <v>0</v>
      </c>
      <c r="JSA36" s="17">
        <f>'Form-Sb'!JSE94</f>
        <v>0</v>
      </c>
      <c r="JSB36" s="17">
        <f>'Form-Sb'!JSF94</f>
        <v>0</v>
      </c>
      <c r="JSC36" s="17">
        <f>'Form-Sb'!JSG94</f>
        <v>0</v>
      </c>
      <c r="JSD36" s="17">
        <f>'Form-Sb'!JSH94</f>
        <v>0</v>
      </c>
      <c r="JSE36" s="17">
        <f>'Form-Sb'!JSI94</f>
        <v>0</v>
      </c>
      <c r="JSF36" s="17">
        <f>'Form-Sb'!JSJ94</f>
        <v>0</v>
      </c>
      <c r="JSG36" s="17">
        <f>'Form-Sb'!JSK94</f>
        <v>0</v>
      </c>
      <c r="JSH36" s="17">
        <f>'Form-Sb'!JSL94</f>
        <v>0</v>
      </c>
      <c r="JSI36" s="17">
        <f>'Form-Sb'!JSM94</f>
        <v>0</v>
      </c>
      <c r="JSJ36" s="17">
        <f>'Form-Sb'!JSN94</f>
        <v>0</v>
      </c>
      <c r="JSK36" s="17">
        <f>'Form-Sb'!JSO94</f>
        <v>0</v>
      </c>
      <c r="JSL36" s="17">
        <f>'Form-Sb'!JSP94</f>
        <v>0</v>
      </c>
      <c r="JSM36" s="17">
        <f>'Form-Sb'!JSQ94</f>
        <v>0</v>
      </c>
      <c r="JSN36" s="17">
        <f>'Form-Sb'!JSR94</f>
        <v>0</v>
      </c>
      <c r="JSO36" s="17">
        <f>'Form-Sb'!JSS94</f>
        <v>0</v>
      </c>
      <c r="JSP36" s="17">
        <f>'Form-Sb'!JST94</f>
        <v>0</v>
      </c>
      <c r="JSQ36" s="17">
        <f>'Form-Sb'!JSU94</f>
        <v>0</v>
      </c>
      <c r="JSR36" s="17">
        <f>'Form-Sb'!JSV94</f>
        <v>0</v>
      </c>
      <c r="JSS36" s="17">
        <f>'Form-Sb'!JSW94</f>
        <v>0</v>
      </c>
      <c r="JST36" s="17">
        <f>'Form-Sb'!JSX94</f>
        <v>0</v>
      </c>
      <c r="JSU36" s="17">
        <f>'Form-Sb'!JSY94</f>
        <v>0</v>
      </c>
      <c r="JSV36" s="17">
        <f>'Form-Sb'!JSZ94</f>
        <v>0</v>
      </c>
      <c r="JSW36" s="17">
        <f>'Form-Sb'!JTA94</f>
        <v>0</v>
      </c>
      <c r="JSX36" s="17">
        <f>'Form-Sb'!JTB94</f>
        <v>0</v>
      </c>
      <c r="JSY36" s="17">
        <f>'Form-Sb'!JTC94</f>
        <v>0</v>
      </c>
      <c r="JSZ36" s="17">
        <f>'Form-Sb'!JTD94</f>
        <v>0</v>
      </c>
      <c r="JTA36" s="17">
        <f>'Form-Sb'!JTE94</f>
        <v>0</v>
      </c>
      <c r="JTB36" s="17">
        <f>'Form-Sb'!JTF94</f>
        <v>0</v>
      </c>
      <c r="JTC36" s="17">
        <f>'Form-Sb'!JTG94</f>
        <v>0</v>
      </c>
      <c r="JTD36" s="17">
        <f>'Form-Sb'!JTH94</f>
        <v>0</v>
      </c>
      <c r="JTE36" s="17">
        <f>'Form-Sb'!JTI94</f>
        <v>0</v>
      </c>
      <c r="JTF36" s="17">
        <f>'Form-Sb'!JTJ94</f>
        <v>0</v>
      </c>
      <c r="JTG36" s="17">
        <f>'Form-Sb'!JTK94</f>
        <v>0</v>
      </c>
      <c r="JTH36" s="17">
        <f>'Form-Sb'!JTL94</f>
        <v>0</v>
      </c>
      <c r="JTI36" s="17">
        <f>'Form-Sb'!JTM94</f>
        <v>0</v>
      </c>
      <c r="JTJ36" s="17">
        <f>'Form-Sb'!JTN94</f>
        <v>0</v>
      </c>
      <c r="JTK36" s="17">
        <f>'Form-Sb'!JTO94</f>
        <v>0</v>
      </c>
      <c r="JTL36" s="17">
        <f>'Form-Sb'!JTP94</f>
        <v>0</v>
      </c>
      <c r="JTM36" s="17">
        <f>'Form-Sb'!JTQ94</f>
        <v>0</v>
      </c>
      <c r="JTN36" s="17">
        <f>'Form-Sb'!JTR94</f>
        <v>0</v>
      </c>
      <c r="JTO36" s="17">
        <f>'Form-Sb'!JTS94</f>
        <v>0</v>
      </c>
      <c r="JTP36" s="17">
        <f>'Form-Sb'!JTT94</f>
        <v>0</v>
      </c>
      <c r="JTQ36" s="17">
        <f>'Form-Sb'!JTU94</f>
        <v>0</v>
      </c>
      <c r="JTR36" s="17">
        <f>'Form-Sb'!JTV94</f>
        <v>0</v>
      </c>
      <c r="JTS36" s="17">
        <f>'Form-Sb'!JTW94</f>
        <v>0</v>
      </c>
      <c r="JTT36" s="17">
        <f>'Form-Sb'!JTX94</f>
        <v>0</v>
      </c>
      <c r="JTU36" s="17">
        <f>'Form-Sb'!JTY94</f>
        <v>0</v>
      </c>
      <c r="JTV36" s="17">
        <f>'Form-Sb'!JTZ94</f>
        <v>0</v>
      </c>
      <c r="JTW36" s="17">
        <f>'Form-Sb'!JUA94</f>
        <v>0</v>
      </c>
      <c r="JTX36" s="17">
        <f>'Form-Sb'!JUB94</f>
        <v>0</v>
      </c>
      <c r="JTY36" s="17">
        <f>'Form-Sb'!JUC94</f>
        <v>0</v>
      </c>
      <c r="JTZ36" s="17">
        <f>'Form-Sb'!JUD94</f>
        <v>0</v>
      </c>
      <c r="JUA36" s="17">
        <f>'Form-Sb'!JUE94</f>
        <v>0</v>
      </c>
      <c r="JUB36" s="17">
        <f>'Form-Sb'!JUF94</f>
        <v>0</v>
      </c>
      <c r="JUC36" s="17">
        <f>'Form-Sb'!JUG94</f>
        <v>0</v>
      </c>
      <c r="JUD36" s="17">
        <f>'Form-Sb'!JUH94</f>
        <v>0</v>
      </c>
      <c r="JUE36" s="17">
        <f>'Form-Sb'!JUI94</f>
        <v>0</v>
      </c>
      <c r="JUF36" s="17">
        <f>'Form-Sb'!JUJ94</f>
        <v>0</v>
      </c>
      <c r="JUG36" s="17">
        <f>'Form-Sb'!JUK94</f>
        <v>0</v>
      </c>
      <c r="JUH36" s="17">
        <f>'Form-Sb'!JUL94</f>
        <v>0</v>
      </c>
      <c r="JUI36" s="17">
        <f>'Form-Sb'!JUM94</f>
        <v>0</v>
      </c>
      <c r="JUJ36" s="17">
        <f>'Form-Sb'!JUN94</f>
        <v>0</v>
      </c>
      <c r="JUK36" s="17">
        <f>'Form-Sb'!JUO94</f>
        <v>0</v>
      </c>
      <c r="JUL36" s="17">
        <f>'Form-Sb'!JUP94</f>
        <v>0</v>
      </c>
      <c r="JUM36" s="17">
        <f>'Form-Sb'!JUQ94</f>
        <v>0</v>
      </c>
      <c r="JUN36" s="17">
        <f>'Form-Sb'!JUR94</f>
        <v>0</v>
      </c>
      <c r="JUO36" s="17">
        <f>'Form-Sb'!JUS94</f>
        <v>0</v>
      </c>
      <c r="JUP36" s="17">
        <f>'Form-Sb'!JUT94</f>
        <v>0</v>
      </c>
      <c r="JUQ36" s="17">
        <f>'Form-Sb'!JUU94</f>
        <v>0</v>
      </c>
      <c r="JUR36" s="17">
        <f>'Form-Sb'!JUV94</f>
        <v>0</v>
      </c>
      <c r="JUS36" s="17">
        <f>'Form-Sb'!JUW94</f>
        <v>0</v>
      </c>
      <c r="JUT36" s="17">
        <f>'Form-Sb'!JUX94</f>
        <v>0</v>
      </c>
      <c r="JUU36" s="17">
        <f>'Form-Sb'!JUY94</f>
        <v>0</v>
      </c>
      <c r="JUV36" s="17">
        <f>'Form-Sb'!JUZ94</f>
        <v>0</v>
      </c>
      <c r="JUW36" s="17">
        <f>'Form-Sb'!JVA94</f>
        <v>0</v>
      </c>
      <c r="JUX36" s="17">
        <f>'Form-Sb'!JVB94</f>
        <v>0</v>
      </c>
      <c r="JUY36" s="17">
        <f>'Form-Sb'!JVC94</f>
        <v>0</v>
      </c>
      <c r="JUZ36" s="17">
        <f>'Form-Sb'!JVD94</f>
        <v>0</v>
      </c>
      <c r="JVA36" s="17">
        <f>'Form-Sb'!JVE94</f>
        <v>0</v>
      </c>
      <c r="JVB36" s="17">
        <f>'Form-Sb'!JVF94</f>
        <v>0</v>
      </c>
      <c r="JVC36" s="17">
        <f>'Form-Sb'!JVG94</f>
        <v>0</v>
      </c>
      <c r="JVD36" s="17">
        <f>'Form-Sb'!JVH94</f>
        <v>0</v>
      </c>
      <c r="JVE36" s="17">
        <f>'Form-Sb'!JVI94</f>
        <v>0</v>
      </c>
      <c r="JVF36" s="17">
        <f>'Form-Sb'!JVJ94</f>
        <v>0</v>
      </c>
      <c r="JVG36" s="17">
        <f>'Form-Sb'!JVK94</f>
        <v>0</v>
      </c>
      <c r="JVH36" s="17">
        <f>'Form-Sb'!JVL94</f>
        <v>0</v>
      </c>
      <c r="JVI36" s="17">
        <f>'Form-Sb'!JVM94</f>
        <v>0</v>
      </c>
      <c r="JVJ36" s="17">
        <f>'Form-Sb'!JVN94</f>
        <v>0</v>
      </c>
      <c r="JVK36" s="17">
        <f>'Form-Sb'!JVO94</f>
        <v>0</v>
      </c>
      <c r="JVL36" s="17">
        <f>'Form-Sb'!JVP94</f>
        <v>0</v>
      </c>
      <c r="JVM36" s="17">
        <f>'Form-Sb'!JVQ94</f>
        <v>0</v>
      </c>
      <c r="JVN36" s="17">
        <f>'Form-Sb'!JVR94</f>
        <v>0</v>
      </c>
      <c r="JVO36" s="17">
        <f>'Form-Sb'!JVS94</f>
        <v>0</v>
      </c>
      <c r="JVP36" s="17">
        <f>'Form-Sb'!JVT94</f>
        <v>0</v>
      </c>
      <c r="JVQ36" s="17">
        <f>'Form-Sb'!JVU94</f>
        <v>0</v>
      </c>
      <c r="JVR36" s="17">
        <f>'Form-Sb'!JVV94</f>
        <v>0</v>
      </c>
      <c r="JVS36" s="17">
        <f>'Form-Sb'!JVW94</f>
        <v>0</v>
      </c>
      <c r="JVT36" s="17">
        <f>'Form-Sb'!JVX94</f>
        <v>0</v>
      </c>
      <c r="JVU36" s="17">
        <f>'Form-Sb'!JVY94</f>
        <v>0</v>
      </c>
      <c r="JVV36" s="17">
        <f>'Form-Sb'!JVZ94</f>
        <v>0</v>
      </c>
      <c r="JVW36" s="17">
        <f>'Form-Sb'!JWA94</f>
        <v>0</v>
      </c>
      <c r="JVX36" s="17">
        <f>'Form-Sb'!JWB94</f>
        <v>0</v>
      </c>
      <c r="JVY36" s="17">
        <f>'Form-Sb'!JWC94</f>
        <v>0</v>
      </c>
      <c r="JVZ36" s="17">
        <f>'Form-Sb'!JWD94</f>
        <v>0</v>
      </c>
      <c r="JWA36" s="17">
        <f>'Form-Sb'!JWE94</f>
        <v>0</v>
      </c>
      <c r="JWB36" s="17">
        <f>'Form-Sb'!JWF94</f>
        <v>0</v>
      </c>
      <c r="JWC36" s="17">
        <f>'Form-Sb'!JWG94</f>
        <v>0</v>
      </c>
      <c r="JWD36" s="17">
        <f>'Form-Sb'!JWH94</f>
        <v>0</v>
      </c>
      <c r="JWE36" s="17">
        <f>'Form-Sb'!JWI94</f>
        <v>0</v>
      </c>
      <c r="JWF36" s="17">
        <f>'Form-Sb'!JWJ94</f>
        <v>0</v>
      </c>
      <c r="JWG36" s="17">
        <f>'Form-Sb'!JWK94</f>
        <v>0</v>
      </c>
      <c r="JWH36" s="17">
        <f>'Form-Sb'!JWL94</f>
        <v>0</v>
      </c>
      <c r="JWI36" s="17">
        <f>'Form-Sb'!JWM94</f>
        <v>0</v>
      </c>
      <c r="JWJ36" s="17">
        <f>'Form-Sb'!JWN94</f>
        <v>0</v>
      </c>
      <c r="JWK36" s="17">
        <f>'Form-Sb'!JWO94</f>
        <v>0</v>
      </c>
      <c r="JWL36" s="17">
        <f>'Form-Sb'!JWP94</f>
        <v>0</v>
      </c>
      <c r="JWM36" s="17">
        <f>'Form-Sb'!JWQ94</f>
        <v>0</v>
      </c>
      <c r="JWN36" s="17">
        <f>'Form-Sb'!JWR94</f>
        <v>0</v>
      </c>
      <c r="JWO36" s="17">
        <f>'Form-Sb'!JWS94</f>
        <v>0</v>
      </c>
      <c r="JWP36" s="17">
        <f>'Form-Sb'!JWT94</f>
        <v>0</v>
      </c>
      <c r="JWQ36" s="17">
        <f>'Form-Sb'!JWU94</f>
        <v>0</v>
      </c>
      <c r="JWR36" s="17">
        <f>'Form-Sb'!JWV94</f>
        <v>0</v>
      </c>
      <c r="JWS36" s="17">
        <f>'Form-Sb'!JWW94</f>
        <v>0</v>
      </c>
      <c r="JWT36" s="17">
        <f>'Form-Sb'!JWX94</f>
        <v>0</v>
      </c>
      <c r="JWU36" s="17">
        <f>'Form-Sb'!JWY94</f>
        <v>0</v>
      </c>
      <c r="JWV36" s="17">
        <f>'Form-Sb'!JWZ94</f>
        <v>0</v>
      </c>
      <c r="JWW36" s="17">
        <f>'Form-Sb'!JXA94</f>
        <v>0</v>
      </c>
      <c r="JWX36" s="17">
        <f>'Form-Sb'!JXB94</f>
        <v>0</v>
      </c>
      <c r="JWY36" s="17">
        <f>'Form-Sb'!JXC94</f>
        <v>0</v>
      </c>
      <c r="JWZ36" s="17">
        <f>'Form-Sb'!JXD94</f>
        <v>0</v>
      </c>
      <c r="JXA36" s="17">
        <f>'Form-Sb'!JXE94</f>
        <v>0</v>
      </c>
      <c r="JXB36" s="17">
        <f>'Form-Sb'!JXF94</f>
        <v>0</v>
      </c>
      <c r="JXC36" s="17">
        <f>'Form-Sb'!JXG94</f>
        <v>0</v>
      </c>
      <c r="JXD36" s="17">
        <f>'Form-Sb'!JXH94</f>
        <v>0</v>
      </c>
      <c r="JXE36" s="17">
        <f>'Form-Sb'!JXI94</f>
        <v>0</v>
      </c>
      <c r="JXF36" s="17">
        <f>'Form-Sb'!JXJ94</f>
        <v>0</v>
      </c>
      <c r="JXG36" s="17">
        <f>'Form-Sb'!JXK94</f>
        <v>0</v>
      </c>
      <c r="JXH36" s="17">
        <f>'Form-Sb'!JXL94</f>
        <v>0</v>
      </c>
      <c r="JXI36" s="17">
        <f>'Form-Sb'!JXM94</f>
        <v>0</v>
      </c>
      <c r="JXJ36" s="17">
        <f>'Form-Sb'!JXN94</f>
        <v>0</v>
      </c>
      <c r="JXK36" s="17">
        <f>'Form-Sb'!JXO94</f>
        <v>0</v>
      </c>
      <c r="JXL36" s="17">
        <f>'Form-Sb'!JXP94</f>
        <v>0</v>
      </c>
      <c r="JXM36" s="17">
        <f>'Form-Sb'!JXQ94</f>
        <v>0</v>
      </c>
      <c r="JXN36" s="17">
        <f>'Form-Sb'!JXR94</f>
        <v>0</v>
      </c>
      <c r="JXO36" s="17">
        <f>'Form-Sb'!JXS94</f>
        <v>0</v>
      </c>
      <c r="JXP36" s="17">
        <f>'Form-Sb'!JXT94</f>
        <v>0</v>
      </c>
      <c r="JXQ36" s="17">
        <f>'Form-Sb'!JXU94</f>
        <v>0</v>
      </c>
      <c r="JXR36" s="17">
        <f>'Form-Sb'!JXV94</f>
        <v>0</v>
      </c>
      <c r="JXS36" s="17">
        <f>'Form-Sb'!JXW94</f>
        <v>0</v>
      </c>
      <c r="JXT36" s="17">
        <f>'Form-Sb'!JXX94</f>
        <v>0</v>
      </c>
      <c r="JXU36" s="17">
        <f>'Form-Sb'!JXY94</f>
        <v>0</v>
      </c>
      <c r="JXV36" s="17">
        <f>'Form-Sb'!JXZ94</f>
        <v>0</v>
      </c>
      <c r="JXW36" s="17">
        <f>'Form-Sb'!JYA94</f>
        <v>0</v>
      </c>
      <c r="JXX36" s="17">
        <f>'Form-Sb'!JYB94</f>
        <v>0</v>
      </c>
      <c r="JXY36" s="17">
        <f>'Form-Sb'!JYC94</f>
        <v>0</v>
      </c>
      <c r="JXZ36" s="17">
        <f>'Form-Sb'!JYD94</f>
        <v>0</v>
      </c>
      <c r="JYA36" s="17">
        <f>'Form-Sb'!JYE94</f>
        <v>0</v>
      </c>
      <c r="JYB36" s="17">
        <f>'Form-Sb'!JYF94</f>
        <v>0</v>
      </c>
      <c r="JYC36" s="17">
        <f>'Form-Sb'!JYG94</f>
        <v>0</v>
      </c>
      <c r="JYD36" s="17">
        <f>'Form-Sb'!JYH94</f>
        <v>0</v>
      </c>
      <c r="JYE36" s="17">
        <f>'Form-Sb'!JYI94</f>
        <v>0</v>
      </c>
      <c r="JYF36" s="17">
        <f>'Form-Sb'!JYJ94</f>
        <v>0</v>
      </c>
      <c r="JYG36" s="17">
        <f>'Form-Sb'!JYK94</f>
        <v>0</v>
      </c>
      <c r="JYH36" s="17">
        <f>'Form-Sb'!JYL94</f>
        <v>0</v>
      </c>
      <c r="JYI36" s="17">
        <f>'Form-Sb'!JYM94</f>
        <v>0</v>
      </c>
      <c r="JYJ36" s="17">
        <f>'Form-Sb'!JYN94</f>
        <v>0</v>
      </c>
      <c r="JYK36" s="17">
        <f>'Form-Sb'!JYO94</f>
        <v>0</v>
      </c>
      <c r="JYL36" s="17">
        <f>'Form-Sb'!JYP94</f>
        <v>0</v>
      </c>
      <c r="JYM36" s="17">
        <f>'Form-Sb'!JYQ94</f>
        <v>0</v>
      </c>
      <c r="JYN36" s="17">
        <f>'Form-Sb'!JYR94</f>
        <v>0</v>
      </c>
      <c r="JYO36" s="17">
        <f>'Form-Sb'!JYS94</f>
        <v>0</v>
      </c>
      <c r="JYP36" s="17">
        <f>'Form-Sb'!JYT94</f>
        <v>0</v>
      </c>
      <c r="JYQ36" s="17">
        <f>'Form-Sb'!JYU94</f>
        <v>0</v>
      </c>
      <c r="JYR36" s="17">
        <f>'Form-Sb'!JYV94</f>
        <v>0</v>
      </c>
      <c r="JYS36" s="17">
        <f>'Form-Sb'!JYW94</f>
        <v>0</v>
      </c>
      <c r="JYT36" s="17">
        <f>'Form-Sb'!JYX94</f>
        <v>0</v>
      </c>
      <c r="JYU36" s="17">
        <f>'Form-Sb'!JYY94</f>
        <v>0</v>
      </c>
      <c r="JYV36" s="17">
        <f>'Form-Sb'!JYZ94</f>
        <v>0</v>
      </c>
      <c r="JYW36" s="17">
        <f>'Form-Sb'!JZA94</f>
        <v>0</v>
      </c>
      <c r="JYX36" s="17">
        <f>'Form-Sb'!JZB94</f>
        <v>0</v>
      </c>
      <c r="JYY36" s="17">
        <f>'Form-Sb'!JZC94</f>
        <v>0</v>
      </c>
      <c r="JYZ36" s="17">
        <f>'Form-Sb'!JZD94</f>
        <v>0</v>
      </c>
      <c r="JZA36" s="17">
        <f>'Form-Sb'!JZE94</f>
        <v>0</v>
      </c>
      <c r="JZB36" s="17">
        <f>'Form-Sb'!JZF94</f>
        <v>0</v>
      </c>
      <c r="JZC36" s="17">
        <f>'Form-Sb'!JZG94</f>
        <v>0</v>
      </c>
      <c r="JZD36" s="17">
        <f>'Form-Sb'!JZH94</f>
        <v>0</v>
      </c>
      <c r="JZE36" s="17">
        <f>'Form-Sb'!JZI94</f>
        <v>0</v>
      </c>
      <c r="JZF36" s="17">
        <f>'Form-Sb'!JZJ94</f>
        <v>0</v>
      </c>
      <c r="JZG36" s="17">
        <f>'Form-Sb'!JZK94</f>
        <v>0</v>
      </c>
      <c r="JZH36" s="17">
        <f>'Form-Sb'!JZL94</f>
        <v>0</v>
      </c>
      <c r="JZI36" s="17">
        <f>'Form-Sb'!JZM94</f>
        <v>0</v>
      </c>
      <c r="JZJ36" s="17">
        <f>'Form-Sb'!JZN94</f>
        <v>0</v>
      </c>
      <c r="JZK36" s="17">
        <f>'Form-Sb'!JZO94</f>
        <v>0</v>
      </c>
      <c r="JZL36" s="17">
        <f>'Form-Sb'!JZP94</f>
        <v>0</v>
      </c>
      <c r="JZM36" s="17">
        <f>'Form-Sb'!JZQ94</f>
        <v>0</v>
      </c>
      <c r="JZN36" s="17">
        <f>'Form-Sb'!JZR94</f>
        <v>0</v>
      </c>
      <c r="JZO36" s="17">
        <f>'Form-Sb'!JZS94</f>
        <v>0</v>
      </c>
      <c r="JZP36" s="17">
        <f>'Form-Sb'!JZT94</f>
        <v>0</v>
      </c>
      <c r="JZQ36" s="17">
        <f>'Form-Sb'!JZU94</f>
        <v>0</v>
      </c>
      <c r="JZR36" s="17">
        <f>'Form-Sb'!JZV94</f>
        <v>0</v>
      </c>
      <c r="JZS36" s="17">
        <f>'Form-Sb'!JZW94</f>
        <v>0</v>
      </c>
      <c r="JZT36" s="17">
        <f>'Form-Sb'!JZX94</f>
        <v>0</v>
      </c>
      <c r="JZU36" s="17">
        <f>'Form-Sb'!JZY94</f>
        <v>0</v>
      </c>
      <c r="JZV36" s="17">
        <f>'Form-Sb'!JZZ94</f>
        <v>0</v>
      </c>
      <c r="JZW36" s="17">
        <f>'Form-Sb'!KAA94</f>
        <v>0</v>
      </c>
      <c r="JZX36" s="17">
        <f>'Form-Sb'!KAB94</f>
        <v>0</v>
      </c>
      <c r="JZY36" s="17">
        <f>'Form-Sb'!KAC94</f>
        <v>0</v>
      </c>
      <c r="JZZ36" s="17">
        <f>'Form-Sb'!KAD94</f>
        <v>0</v>
      </c>
      <c r="KAA36" s="17">
        <f>'Form-Sb'!KAE94</f>
        <v>0</v>
      </c>
      <c r="KAB36" s="17">
        <f>'Form-Sb'!KAF94</f>
        <v>0</v>
      </c>
      <c r="KAC36" s="17">
        <f>'Form-Sb'!KAG94</f>
        <v>0</v>
      </c>
      <c r="KAD36" s="17">
        <f>'Form-Sb'!KAH94</f>
        <v>0</v>
      </c>
      <c r="KAE36" s="17">
        <f>'Form-Sb'!KAI94</f>
        <v>0</v>
      </c>
      <c r="KAF36" s="17">
        <f>'Form-Sb'!KAJ94</f>
        <v>0</v>
      </c>
      <c r="KAG36" s="17">
        <f>'Form-Sb'!KAK94</f>
        <v>0</v>
      </c>
      <c r="KAH36" s="17">
        <f>'Form-Sb'!KAL94</f>
        <v>0</v>
      </c>
      <c r="KAI36" s="17">
        <f>'Form-Sb'!KAM94</f>
        <v>0</v>
      </c>
      <c r="KAJ36" s="17">
        <f>'Form-Sb'!KAN94</f>
        <v>0</v>
      </c>
      <c r="KAK36" s="17">
        <f>'Form-Sb'!KAO94</f>
        <v>0</v>
      </c>
      <c r="KAL36" s="17">
        <f>'Form-Sb'!KAP94</f>
        <v>0</v>
      </c>
      <c r="KAM36" s="17">
        <f>'Form-Sb'!KAQ94</f>
        <v>0</v>
      </c>
      <c r="KAN36" s="17">
        <f>'Form-Sb'!KAR94</f>
        <v>0</v>
      </c>
      <c r="KAO36" s="17">
        <f>'Form-Sb'!KAS94</f>
        <v>0</v>
      </c>
      <c r="KAP36" s="17">
        <f>'Form-Sb'!KAT94</f>
        <v>0</v>
      </c>
      <c r="KAQ36" s="17">
        <f>'Form-Sb'!KAU94</f>
        <v>0</v>
      </c>
      <c r="KAR36" s="17">
        <f>'Form-Sb'!KAV94</f>
        <v>0</v>
      </c>
      <c r="KAS36" s="17">
        <f>'Form-Sb'!KAW94</f>
        <v>0</v>
      </c>
      <c r="KAT36" s="17">
        <f>'Form-Sb'!KAX94</f>
        <v>0</v>
      </c>
      <c r="KAU36" s="17">
        <f>'Form-Sb'!KAY94</f>
        <v>0</v>
      </c>
      <c r="KAV36" s="17">
        <f>'Form-Sb'!KAZ94</f>
        <v>0</v>
      </c>
      <c r="KAW36" s="17">
        <f>'Form-Sb'!KBA94</f>
        <v>0</v>
      </c>
      <c r="KAX36" s="17">
        <f>'Form-Sb'!KBB94</f>
        <v>0</v>
      </c>
      <c r="KAY36" s="17">
        <f>'Form-Sb'!KBC94</f>
        <v>0</v>
      </c>
      <c r="KAZ36" s="17">
        <f>'Form-Sb'!KBD94</f>
        <v>0</v>
      </c>
      <c r="KBA36" s="17">
        <f>'Form-Sb'!KBE94</f>
        <v>0</v>
      </c>
      <c r="KBB36" s="17">
        <f>'Form-Sb'!KBF94</f>
        <v>0</v>
      </c>
      <c r="KBC36" s="17">
        <f>'Form-Sb'!KBG94</f>
        <v>0</v>
      </c>
      <c r="KBD36" s="17">
        <f>'Form-Sb'!KBH94</f>
        <v>0</v>
      </c>
      <c r="KBE36" s="17">
        <f>'Form-Sb'!KBI94</f>
        <v>0</v>
      </c>
      <c r="KBF36" s="17">
        <f>'Form-Sb'!KBJ94</f>
        <v>0</v>
      </c>
      <c r="KBG36" s="17">
        <f>'Form-Sb'!KBK94</f>
        <v>0</v>
      </c>
      <c r="KBH36" s="17">
        <f>'Form-Sb'!KBL94</f>
        <v>0</v>
      </c>
      <c r="KBI36" s="17">
        <f>'Form-Sb'!KBM94</f>
        <v>0</v>
      </c>
      <c r="KBJ36" s="17">
        <f>'Form-Sb'!KBN94</f>
        <v>0</v>
      </c>
      <c r="KBK36" s="17">
        <f>'Form-Sb'!KBO94</f>
        <v>0</v>
      </c>
      <c r="KBL36" s="17">
        <f>'Form-Sb'!KBP94</f>
        <v>0</v>
      </c>
      <c r="KBM36" s="17">
        <f>'Form-Sb'!KBQ94</f>
        <v>0</v>
      </c>
      <c r="KBN36" s="17">
        <f>'Form-Sb'!KBR94</f>
        <v>0</v>
      </c>
      <c r="KBO36" s="17">
        <f>'Form-Sb'!KBS94</f>
        <v>0</v>
      </c>
      <c r="KBP36" s="17">
        <f>'Form-Sb'!KBT94</f>
        <v>0</v>
      </c>
      <c r="KBQ36" s="17">
        <f>'Form-Sb'!KBU94</f>
        <v>0</v>
      </c>
      <c r="KBR36" s="17">
        <f>'Form-Sb'!KBV94</f>
        <v>0</v>
      </c>
      <c r="KBS36" s="17">
        <f>'Form-Sb'!KBW94</f>
        <v>0</v>
      </c>
      <c r="KBT36" s="17">
        <f>'Form-Sb'!KBX94</f>
        <v>0</v>
      </c>
      <c r="KBU36" s="17">
        <f>'Form-Sb'!KBY94</f>
        <v>0</v>
      </c>
      <c r="KBV36" s="17">
        <f>'Form-Sb'!KBZ94</f>
        <v>0</v>
      </c>
      <c r="KBW36" s="17">
        <f>'Form-Sb'!KCA94</f>
        <v>0</v>
      </c>
      <c r="KBX36" s="17">
        <f>'Form-Sb'!KCB94</f>
        <v>0</v>
      </c>
      <c r="KBY36" s="17">
        <f>'Form-Sb'!KCC94</f>
        <v>0</v>
      </c>
      <c r="KBZ36" s="17">
        <f>'Form-Sb'!KCD94</f>
        <v>0</v>
      </c>
      <c r="KCA36" s="17">
        <f>'Form-Sb'!KCE94</f>
        <v>0</v>
      </c>
      <c r="KCB36" s="17">
        <f>'Form-Sb'!KCF94</f>
        <v>0</v>
      </c>
      <c r="KCC36" s="17">
        <f>'Form-Sb'!KCG94</f>
        <v>0</v>
      </c>
      <c r="KCD36" s="17">
        <f>'Form-Sb'!KCH94</f>
        <v>0</v>
      </c>
      <c r="KCE36" s="17">
        <f>'Form-Sb'!KCI94</f>
        <v>0</v>
      </c>
      <c r="KCF36" s="17">
        <f>'Form-Sb'!KCJ94</f>
        <v>0</v>
      </c>
      <c r="KCG36" s="17">
        <f>'Form-Sb'!KCK94</f>
        <v>0</v>
      </c>
      <c r="KCH36" s="17">
        <f>'Form-Sb'!KCL94</f>
        <v>0</v>
      </c>
      <c r="KCI36" s="17">
        <f>'Form-Sb'!KCM94</f>
        <v>0</v>
      </c>
      <c r="KCJ36" s="17">
        <f>'Form-Sb'!KCN94</f>
        <v>0</v>
      </c>
      <c r="KCK36" s="17">
        <f>'Form-Sb'!KCO94</f>
        <v>0</v>
      </c>
      <c r="KCL36" s="17">
        <f>'Form-Sb'!KCP94</f>
        <v>0</v>
      </c>
      <c r="KCM36" s="17">
        <f>'Form-Sb'!KCQ94</f>
        <v>0</v>
      </c>
      <c r="KCN36" s="17">
        <f>'Form-Sb'!KCR94</f>
        <v>0</v>
      </c>
      <c r="KCO36" s="17">
        <f>'Form-Sb'!KCS94</f>
        <v>0</v>
      </c>
      <c r="KCP36" s="17">
        <f>'Form-Sb'!KCT94</f>
        <v>0</v>
      </c>
      <c r="KCQ36" s="17">
        <f>'Form-Sb'!KCU94</f>
        <v>0</v>
      </c>
      <c r="KCR36" s="17">
        <f>'Form-Sb'!KCV94</f>
        <v>0</v>
      </c>
      <c r="KCS36" s="17">
        <f>'Form-Sb'!KCW94</f>
        <v>0</v>
      </c>
      <c r="KCT36" s="17">
        <f>'Form-Sb'!KCX94</f>
        <v>0</v>
      </c>
      <c r="KCU36" s="17">
        <f>'Form-Sb'!KCY94</f>
        <v>0</v>
      </c>
      <c r="KCV36" s="17">
        <f>'Form-Sb'!KCZ94</f>
        <v>0</v>
      </c>
      <c r="KCW36" s="17">
        <f>'Form-Sb'!KDA94</f>
        <v>0</v>
      </c>
      <c r="KCX36" s="17">
        <f>'Form-Sb'!KDB94</f>
        <v>0</v>
      </c>
      <c r="KCY36" s="17">
        <f>'Form-Sb'!KDC94</f>
        <v>0</v>
      </c>
      <c r="KCZ36" s="17">
        <f>'Form-Sb'!KDD94</f>
        <v>0</v>
      </c>
      <c r="KDA36" s="17">
        <f>'Form-Sb'!KDE94</f>
        <v>0</v>
      </c>
      <c r="KDB36" s="17">
        <f>'Form-Sb'!KDF94</f>
        <v>0</v>
      </c>
      <c r="KDC36" s="17">
        <f>'Form-Sb'!KDG94</f>
        <v>0</v>
      </c>
      <c r="KDD36" s="17">
        <f>'Form-Sb'!KDH94</f>
        <v>0</v>
      </c>
      <c r="KDE36" s="17">
        <f>'Form-Sb'!KDI94</f>
        <v>0</v>
      </c>
      <c r="KDF36" s="17">
        <f>'Form-Sb'!KDJ94</f>
        <v>0</v>
      </c>
      <c r="KDG36" s="17">
        <f>'Form-Sb'!KDK94</f>
        <v>0</v>
      </c>
      <c r="KDH36" s="17">
        <f>'Form-Sb'!KDL94</f>
        <v>0</v>
      </c>
      <c r="KDI36" s="17">
        <f>'Form-Sb'!KDM94</f>
        <v>0</v>
      </c>
      <c r="KDJ36" s="17">
        <f>'Form-Sb'!KDN94</f>
        <v>0</v>
      </c>
      <c r="KDK36" s="17">
        <f>'Form-Sb'!KDO94</f>
        <v>0</v>
      </c>
      <c r="KDL36" s="17">
        <f>'Form-Sb'!KDP94</f>
        <v>0</v>
      </c>
      <c r="KDM36" s="17">
        <f>'Form-Sb'!KDQ94</f>
        <v>0</v>
      </c>
      <c r="KDN36" s="17">
        <f>'Form-Sb'!KDR94</f>
        <v>0</v>
      </c>
      <c r="KDO36" s="17">
        <f>'Form-Sb'!KDS94</f>
        <v>0</v>
      </c>
      <c r="KDP36" s="17">
        <f>'Form-Sb'!KDT94</f>
        <v>0</v>
      </c>
      <c r="KDQ36" s="17">
        <f>'Form-Sb'!KDU94</f>
        <v>0</v>
      </c>
      <c r="KDR36" s="17">
        <f>'Form-Sb'!KDV94</f>
        <v>0</v>
      </c>
      <c r="KDS36" s="17">
        <f>'Form-Sb'!KDW94</f>
        <v>0</v>
      </c>
      <c r="KDT36" s="17">
        <f>'Form-Sb'!KDX94</f>
        <v>0</v>
      </c>
      <c r="KDU36" s="17">
        <f>'Form-Sb'!KDY94</f>
        <v>0</v>
      </c>
      <c r="KDV36" s="17">
        <f>'Form-Sb'!KDZ94</f>
        <v>0</v>
      </c>
      <c r="KDW36" s="17">
        <f>'Form-Sb'!KEA94</f>
        <v>0</v>
      </c>
      <c r="KDX36" s="17">
        <f>'Form-Sb'!KEB94</f>
        <v>0</v>
      </c>
      <c r="KDY36" s="17">
        <f>'Form-Sb'!KEC94</f>
        <v>0</v>
      </c>
      <c r="KDZ36" s="17">
        <f>'Form-Sb'!KED94</f>
        <v>0</v>
      </c>
      <c r="KEA36" s="17">
        <f>'Form-Sb'!KEE94</f>
        <v>0</v>
      </c>
      <c r="KEB36" s="17">
        <f>'Form-Sb'!KEF94</f>
        <v>0</v>
      </c>
      <c r="KEC36" s="17">
        <f>'Form-Sb'!KEG94</f>
        <v>0</v>
      </c>
      <c r="KED36" s="17">
        <f>'Form-Sb'!KEH94</f>
        <v>0</v>
      </c>
      <c r="KEE36" s="17">
        <f>'Form-Sb'!KEI94</f>
        <v>0</v>
      </c>
      <c r="KEF36" s="17">
        <f>'Form-Sb'!KEJ94</f>
        <v>0</v>
      </c>
      <c r="KEG36" s="17">
        <f>'Form-Sb'!KEK94</f>
        <v>0</v>
      </c>
      <c r="KEH36" s="17">
        <f>'Form-Sb'!KEL94</f>
        <v>0</v>
      </c>
      <c r="KEI36" s="17">
        <f>'Form-Sb'!KEM94</f>
        <v>0</v>
      </c>
      <c r="KEJ36" s="17">
        <f>'Form-Sb'!KEN94</f>
        <v>0</v>
      </c>
      <c r="KEK36" s="17">
        <f>'Form-Sb'!KEO94</f>
        <v>0</v>
      </c>
      <c r="KEL36" s="17">
        <f>'Form-Sb'!KEP94</f>
        <v>0</v>
      </c>
      <c r="KEM36" s="17">
        <f>'Form-Sb'!KEQ94</f>
        <v>0</v>
      </c>
      <c r="KEN36" s="17">
        <f>'Form-Sb'!KER94</f>
        <v>0</v>
      </c>
      <c r="KEO36" s="17">
        <f>'Form-Sb'!KES94</f>
        <v>0</v>
      </c>
      <c r="KEP36" s="17">
        <f>'Form-Sb'!KET94</f>
        <v>0</v>
      </c>
      <c r="KEQ36" s="17">
        <f>'Form-Sb'!KEU94</f>
        <v>0</v>
      </c>
      <c r="KER36" s="17">
        <f>'Form-Sb'!KEV94</f>
        <v>0</v>
      </c>
      <c r="KES36" s="17">
        <f>'Form-Sb'!KEW94</f>
        <v>0</v>
      </c>
      <c r="KET36" s="17">
        <f>'Form-Sb'!KEX94</f>
        <v>0</v>
      </c>
      <c r="KEU36" s="17">
        <f>'Form-Sb'!KEY94</f>
        <v>0</v>
      </c>
      <c r="KEV36" s="17">
        <f>'Form-Sb'!KEZ94</f>
        <v>0</v>
      </c>
      <c r="KEW36" s="17">
        <f>'Form-Sb'!KFA94</f>
        <v>0</v>
      </c>
      <c r="KEX36" s="17">
        <f>'Form-Sb'!KFB94</f>
        <v>0</v>
      </c>
      <c r="KEY36" s="17">
        <f>'Form-Sb'!KFC94</f>
        <v>0</v>
      </c>
      <c r="KEZ36" s="17">
        <f>'Form-Sb'!KFD94</f>
        <v>0</v>
      </c>
      <c r="KFA36" s="17">
        <f>'Form-Sb'!KFE94</f>
        <v>0</v>
      </c>
      <c r="KFB36" s="17">
        <f>'Form-Sb'!KFF94</f>
        <v>0</v>
      </c>
      <c r="KFC36" s="17">
        <f>'Form-Sb'!KFG94</f>
        <v>0</v>
      </c>
      <c r="KFD36" s="17">
        <f>'Form-Sb'!KFH94</f>
        <v>0</v>
      </c>
      <c r="KFE36" s="17">
        <f>'Form-Sb'!KFI94</f>
        <v>0</v>
      </c>
      <c r="KFF36" s="17">
        <f>'Form-Sb'!KFJ94</f>
        <v>0</v>
      </c>
      <c r="KFG36" s="17">
        <f>'Form-Sb'!KFK94</f>
        <v>0</v>
      </c>
      <c r="KFH36" s="17">
        <f>'Form-Sb'!KFL94</f>
        <v>0</v>
      </c>
      <c r="KFI36" s="17">
        <f>'Form-Sb'!KFM94</f>
        <v>0</v>
      </c>
      <c r="KFJ36" s="17">
        <f>'Form-Sb'!KFN94</f>
        <v>0</v>
      </c>
      <c r="KFK36" s="17">
        <f>'Form-Sb'!KFO94</f>
        <v>0</v>
      </c>
      <c r="KFL36" s="17">
        <f>'Form-Sb'!KFP94</f>
        <v>0</v>
      </c>
      <c r="KFM36" s="17">
        <f>'Form-Sb'!KFQ94</f>
        <v>0</v>
      </c>
      <c r="KFN36" s="17">
        <f>'Form-Sb'!KFR94</f>
        <v>0</v>
      </c>
      <c r="KFO36" s="17">
        <f>'Form-Sb'!KFS94</f>
        <v>0</v>
      </c>
      <c r="KFP36" s="17">
        <f>'Form-Sb'!KFT94</f>
        <v>0</v>
      </c>
      <c r="KFQ36" s="17">
        <f>'Form-Sb'!KFU94</f>
        <v>0</v>
      </c>
      <c r="KFR36" s="17">
        <f>'Form-Sb'!KFV94</f>
        <v>0</v>
      </c>
      <c r="KFS36" s="17">
        <f>'Form-Sb'!KFW94</f>
        <v>0</v>
      </c>
      <c r="KFT36" s="17">
        <f>'Form-Sb'!KFX94</f>
        <v>0</v>
      </c>
      <c r="KFU36" s="17">
        <f>'Form-Sb'!KFY94</f>
        <v>0</v>
      </c>
      <c r="KFV36" s="17">
        <f>'Form-Sb'!KFZ94</f>
        <v>0</v>
      </c>
      <c r="KFW36" s="17">
        <f>'Form-Sb'!KGA94</f>
        <v>0</v>
      </c>
      <c r="KFX36" s="17">
        <f>'Form-Sb'!KGB94</f>
        <v>0</v>
      </c>
      <c r="KFY36" s="17">
        <f>'Form-Sb'!KGC94</f>
        <v>0</v>
      </c>
      <c r="KFZ36" s="17">
        <f>'Form-Sb'!KGD94</f>
        <v>0</v>
      </c>
      <c r="KGA36" s="17">
        <f>'Form-Sb'!KGE94</f>
        <v>0</v>
      </c>
      <c r="KGB36" s="17">
        <f>'Form-Sb'!KGF94</f>
        <v>0</v>
      </c>
      <c r="KGC36" s="17">
        <f>'Form-Sb'!KGG94</f>
        <v>0</v>
      </c>
      <c r="KGD36" s="17">
        <f>'Form-Sb'!KGH94</f>
        <v>0</v>
      </c>
      <c r="KGE36" s="17">
        <f>'Form-Sb'!KGI94</f>
        <v>0</v>
      </c>
      <c r="KGF36" s="17">
        <f>'Form-Sb'!KGJ94</f>
        <v>0</v>
      </c>
      <c r="KGG36" s="17">
        <f>'Form-Sb'!KGK94</f>
        <v>0</v>
      </c>
      <c r="KGH36" s="17">
        <f>'Form-Sb'!KGL94</f>
        <v>0</v>
      </c>
      <c r="KGI36" s="17">
        <f>'Form-Sb'!KGM94</f>
        <v>0</v>
      </c>
      <c r="KGJ36" s="17">
        <f>'Form-Sb'!KGN94</f>
        <v>0</v>
      </c>
      <c r="KGK36" s="17">
        <f>'Form-Sb'!KGO94</f>
        <v>0</v>
      </c>
      <c r="KGL36" s="17">
        <f>'Form-Sb'!KGP94</f>
        <v>0</v>
      </c>
      <c r="KGM36" s="17">
        <f>'Form-Sb'!KGQ94</f>
        <v>0</v>
      </c>
      <c r="KGN36" s="17">
        <f>'Form-Sb'!KGR94</f>
        <v>0</v>
      </c>
      <c r="KGO36" s="17">
        <f>'Form-Sb'!KGS94</f>
        <v>0</v>
      </c>
      <c r="KGP36" s="17">
        <f>'Form-Sb'!KGT94</f>
        <v>0</v>
      </c>
      <c r="KGQ36" s="17">
        <f>'Form-Sb'!KGU94</f>
        <v>0</v>
      </c>
      <c r="KGR36" s="17">
        <f>'Form-Sb'!KGV94</f>
        <v>0</v>
      </c>
      <c r="KGS36" s="17">
        <f>'Form-Sb'!KGW94</f>
        <v>0</v>
      </c>
      <c r="KGT36" s="17">
        <f>'Form-Sb'!KGX94</f>
        <v>0</v>
      </c>
      <c r="KGU36" s="17">
        <f>'Form-Sb'!KGY94</f>
        <v>0</v>
      </c>
      <c r="KGV36" s="17">
        <f>'Form-Sb'!KGZ94</f>
        <v>0</v>
      </c>
      <c r="KGW36" s="17">
        <f>'Form-Sb'!KHA94</f>
        <v>0</v>
      </c>
      <c r="KGX36" s="17">
        <f>'Form-Sb'!KHB94</f>
        <v>0</v>
      </c>
      <c r="KGY36" s="17">
        <f>'Form-Sb'!KHC94</f>
        <v>0</v>
      </c>
      <c r="KGZ36" s="17">
        <f>'Form-Sb'!KHD94</f>
        <v>0</v>
      </c>
      <c r="KHA36" s="17">
        <f>'Form-Sb'!KHE94</f>
        <v>0</v>
      </c>
      <c r="KHB36" s="17">
        <f>'Form-Sb'!KHF94</f>
        <v>0</v>
      </c>
      <c r="KHC36" s="17">
        <f>'Form-Sb'!KHG94</f>
        <v>0</v>
      </c>
      <c r="KHD36" s="17">
        <f>'Form-Sb'!KHH94</f>
        <v>0</v>
      </c>
      <c r="KHE36" s="17">
        <f>'Form-Sb'!KHI94</f>
        <v>0</v>
      </c>
      <c r="KHF36" s="17">
        <f>'Form-Sb'!KHJ94</f>
        <v>0</v>
      </c>
      <c r="KHG36" s="17">
        <f>'Form-Sb'!KHK94</f>
        <v>0</v>
      </c>
      <c r="KHH36" s="17">
        <f>'Form-Sb'!KHL94</f>
        <v>0</v>
      </c>
      <c r="KHI36" s="17">
        <f>'Form-Sb'!KHM94</f>
        <v>0</v>
      </c>
      <c r="KHJ36" s="17">
        <f>'Form-Sb'!KHN94</f>
        <v>0</v>
      </c>
      <c r="KHK36" s="17">
        <f>'Form-Sb'!KHO94</f>
        <v>0</v>
      </c>
      <c r="KHL36" s="17">
        <f>'Form-Sb'!KHP94</f>
        <v>0</v>
      </c>
      <c r="KHM36" s="17">
        <f>'Form-Sb'!KHQ94</f>
        <v>0</v>
      </c>
      <c r="KHN36" s="17">
        <f>'Form-Sb'!KHR94</f>
        <v>0</v>
      </c>
      <c r="KHO36" s="17">
        <f>'Form-Sb'!KHS94</f>
        <v>0</v>
      </c>
      <c r="KHP36" s="17">
        <f>'Form-Sb'!KHT94</f>
        <v>0</v>
      </c>
      <c r="KHQ36" s="17">
        <f>'Form-Sb'!KHU94</f>
        <v>0</v>
      </c>
      <c r="KHR36" s="17">
        <f>'Form-Sb'!KHV94</f>
        <v>0</v>
      </c>
      <c r="KHS36" s="17">
        <f>'Form-Sb'!KHW94</f>
        <v>0</v>
      </c>
      <c r="KHT36" s="17">
        <f>'Form-Sb'!KHX94</f>
        <v>0</v>
      </c>
      <c r="KHU36" s="17">
        <f>'Form-Sb'!KHY94</f>
        <v>0</v>
      </c>
      <c r="KHV36" s="17">
        <f>'Form-Sb'!KHZ94</f>
        <v>0</v>
      </c>
      <c r="KHW36" s="17">
        <f>'Form-Sb'!KIA94</f>
        <v>0</v>
      </c>
      <c r="KHX36" s="17">
        <f>'Form-Sb'!KIB94</f>
        <v>0</v>
      </c>
      <c r="KHY36" s="17">
        <f>'Form-Sb'!KIC94</f>
        <v>0</v>
      </c>
      <c r="KHZ36" s="17">
        <f>'Form-Sb'!KID94</f>
        <v>0</v>
      </c>
      <c r="KIA36" s="17">
        <f>'Form-Sb'!KIE94</f>
        <v>0</v>
      </c>
      <c r="KIB36" s="17">
        <f>'Form-Sb'!KIF94</f>
        <v>0</v>
      </c>
      <c r="KIC36" s="17">
        <f>'Form-Sb'!KIG94</f>
        <v>0</v>
      </c>
      <c r="KID36" s="17">
        <f>'Form-Sb'!KIH94</f>
        <v>0</v>
      </c>
      <c r="KIE36" s="17">
        <f>'Form-Sb'!KII94</f>
        <v>0</v>
      </c>
      <c r="KIF36" s="17">
        <f>'Form-Sb'!KIJ94</f>
        <v>0</v>
      </c>
      <c r="KIG36" s="17">
        <f>'Form-Sb'!KIK94</f>
        <v>0</v>
      </c>
      <c r="KIH36" s="17">
        <f>'Form-Sb'!KIL94</f>
        <v>0</v>
      </c>
      <c r="KII36" s="17">
        <f>'Form-Sb'!KIM94</f>
        <v>0</v>
      </c>
      <c r="KIJ36" s="17">
        <f>'Form-Sb'!KIN94</f>
        <v>0</v>
      </c>
      <c r="KIK36" s="17">
        <f>'Form-Sb'!KIO94</f>
        <v>0</v>
      </c>
      <c r="KIL36" s="17">
        <f>'Form-Sb'!KIP94</f>
        <v>0</v>
      </c>
      <c r="KIM36" s="17">
        <f>'Form-Sb'!KIQ94</f>
        <v>0</v>
      </c>
      <c r="KIN36" s="17">
        <f>'Form-Sb'!KIR94</f>
        <v>0</v>
      </c>
      <c r="KIO36" s="17">
        <f>'Form-Sb'!KIS94</f>
        <v>0</v>
      </c>
      <c r="KIP36" s="17">
        <f>'Form-Sb'!KIT94</f>
        <v>0</v>
      </c>
      <c r="KIQ36" s="17">
        <f>'Form-Sb'!KIU94</f>
        <v>0</v>
      </c>
      <c r="KIR36" s="17">
        <f>'Form-Sb'!KIV94</f>
        <v>0</v>
      </c>
      <c r="KIS36" s="17">
        <f>'Form-Sb'!KIW94</f>
        <v>0</v>
      </c>
      <c r="KIT36" s="17">
        <f>'Form-Sb'!KIX94</f>
        <v>0</v>
      </c>
      <c r="KIU36" s="17">
        <f>'Form-Sb'!KIY94</f>
        <v>0</v>
      </c>
      <c r="KIV36" s="17">
        <f>'Form-Sb'!KIZ94</f>
        <v>0</v>
      </c>
      <c r="KIW36" s="17">
        <f>'Form-Sb'!KJA94</f>
        <v>0</v>
      </c>
      <c r="KIX36" s="17">
        <f>'Form-Sb'!KJB94</f>
        <v>0</v>
      </c>
      <c r="KIY36" s="17">
        <f>'Form-Sb'!KJC94</f>
        <v>0</v>
      </c>
      <c r="KIZ36" s="17">
        <f>'Form-Sb'!KJD94</f>
        <v>0</v>
      </c>
      <c r="KJA36" s="17">
        <f>'Form-Sb'!KJE94</f>
        <v>0</v>
      </c>
      <c r="KJB36" s="17">
        <f>'Form-Sb'!KJF94</f>
        <v>0</v>
      </c>
      <c r="KJC36" s="17">
        <f>'Form-Sb'!KJG94</f>
        <v>0</v>
      </c>
      <c r="KJD36" s="17">
        <f>'Form-Sb'!KJH94</f>
        <v>0</v>
      </c>
      <c r="KJE36" s="17">
        <f>'Form-Sb'!KJI94</f>
        <v>0</v>
      </c>
      <c r="KJF36" s="17">
        <f>'Form-Sb'!KJJ94</f>
        <v>0</v>
      </c>
      <c r="KJG36" s="17">
        <f>'Form-Sb'!KJK94</f>
        <v>0</v>
      </c>
      <c r="KJH36" s="17">
        <f>'Form-Sb'!KJL94</f>
        <v>0</v>
      </c>
      <c r="KJI36" s="17">
        <f>'Form-Sb'!KJM94</f>
        <v>0</v>
      </c>
      <c r="KJJ36" s="17">
        <f>'Form-Sb'!KJN94</f>
        <v>0</v>
      </c>
      <c r="KJK36" s="17">
        <f>'Form-Sb'!KJO94</f>
        <v>0</v>
      </c>
      <c r="KJL36" s="17">
        <f>'Form-Sb'!KJP94</f>
        <v>0</v>
      </c>
      <c r="KJM36" s="17">
        <f>'Form-Sb'!KJQ94</f>
        <v>0</v>
      </c>
      <c r="KJN36" s="17">
        <f>'Form-Sb'!KJR94</f>
        <v>0</v>
      </c>
      <c r="KJO36" s="17">
        <f>'Form-Sb'!KJS94</f>
        <v>0</v>
      </c>
      <c r="KJP36" s="17">
        <f>'Form-Sb'!KJT94</f>
        <v>0</v>
      </c>
      <c r="KJQ36" s="17">
        <f>'Form-Sb'!KJU94</f>
        <v>0</v>
      </c>
      <c r="KJR36" s="17">
        <f>'Form-Sb'!KJV94</f>
        <v>0</v>
      </c>
      <c r="KJS36" s="17">
        <f>'Form-Sb'!KJW94</f>
        <v>0</v>
      </c>
      <c r="KJT36" s="17">
        <f>'Form-Sb'!KJX94</f>
        <v>0</v>
      </c>
      <c r="KJU36" s="17">
        <f>'Form-Sb'!KJY94</f>
        <v>0</v>
      </c>
      <c r="KJV36" s="17">
        <f>'Form-Sb'!KJZ94</f>
        <v>0</v>
      </c>
      <c r="KJW36" s="17">
        <f>'Form-Sb'!KKA94</f>
        <v>0</v>
      </c>
      <c r="KJX36" s="17">
        <f>'Form-Sb'!KKB94</f>
        <v>0</v>
      </c>
      <c r="KJY36" s="17">
        <f>'Form-Sb'!KKC94</f>
        <v>0</v>
      </c>
      <c r="KJZ36" s="17">
        <f>'Form-Sb'!KKD94</f>
        <v>0</v>
      </c>
      <c r="KKA36" s="17">
        <f>'Form-Sb'!KKE94</f>
        <v>0</v>
      </c>
      <c r="KKB36" s="17">
        <f>'Form-Sb'!KKF94</f>
        <v>0</v>
      </c>
      <c r="KKC36" s="17">
        <f>'Form-Sb'!KKG94</f>
        <v>0</v>
      </c>
      <c r="KKD36" s="17">
        <f>'Form-Sb'!KKH94</f>
        <v>0</v>
      </c>
      <c r="KKE36" s="17">
        <f>'Form-Sb'!KKI94</f>
        <v>0</v>
      </c>
      <c r="KKF36" s="17">
        <f>'Form-Sb'!KKJ94</f>
        <v>0</v>
      </c>
      <c r="KKG36" s="17">
        <f>'Form-Sb'!KKK94</f>
        <v>0</v>
      </c>
      <c r="KKH36" s="17">
        <f>'Form-Sb'!KKL94</f>
        <v>0</v>
      </c>
      <c r="KKI36" s="17">
        <f>'Form-Sb'!KKM94</f>
        <v>0</v>
      </c>
      <c r="KKJ36" s="17">
        <f>'Form-Sb'!KKN94</f>
        <v>0</v>
      </c>
      <c r="KKK36" s="17">
        <f>'Form-Sb'!KKO94</f>
        <v>0</v>
      </c>
      <c r="KKL36" s="17">
        <f>'Form-Sb'!KKP94</f>
        <v>0</v>
      </c>
      <c r="KKM36" s="17">
        <f>'Form-Sb'!KKQ94</f>
        <v>0</v>
      </c>
      <c r="KKN36" s="17">
        <f>'Form-Sb'!KKR94</f>
        <v>0</v>
      </c>
      <c r="KKO36" s="17">
        <f>'Form-Sb'!KKS94</f>
        <v>0</v>
      </c>
      <c r="KKP36" s="17">
        <f>'Form-Sb'!KKT94</f>
        <v>0</v>
      </c>
      <c r="KKQ36" s="17">
        <f>'Form-Sb'!KKU94</f>
        <v>0</v>
      </c>
      <c r="KKR36" s="17">
        <f>'Form-Sb'!KKV94</f>
        <v>0</v>
      </c>
      <c r="KKS36" s="17">
        <f>'Form-Sb'!KKW94</f>
        <v>0</v>
      </c>
      <c r="KKT36" s="17">
        <f>'Form-Sb'!KKX94</f>
        <v>0</v>
      </c>
      <c r="KKU36" s="17">
        <f>'Form-Sb'!KKY94</f>
        <v>0</v>
      </c>
      <c r="KKV36" s="17">
        <f>'Form-Sb'!KKZ94</f>
        <v>0</v>
      </c>
      <c r="KKW36" s="17">
        <f>'Form-Sb'!KLA94</f>
        <v>0</v>
      </c>
      <c r="KKX36" s="17">
        <f>'Form-Sb'!KLB94</f>
        <v>0</v>
      </c>
      <c r="KKY36" s="17">
        <f>'Form-Sb'!KLC94</f>
        <v>0</v>
      </c>
      <c r="KKZ36" s="17">
        <f>'Form-Sb'!KLD94</f>
        <v>0</v>
      </c>
      <c r="KLA36" s="17">
        <f>'Form-Sb'!KLE94</f>
        <v>0</v>
      </c>
      <c r="KLB36" s="17">
        <f>'Form-Sb'!KLF94</f>
        <v>0</v>
      </c>
      <c r="KLC36" s="17">
        <f>'Form-Sb'!KLG94</f>
        <v>0</v>
      </c>
      <c r="KLD36" s="17">
        <f>'Form-Sb'!KLH94</f>
        <v>0</v>
      </c>
      <c r="KLE36" s="17">
        <f>'Form-Sb'!KLI94</f>
        <v>0</v>
      </c>
      <c r="KLF36" s="17">
        <f>'Form-Sb'!KLJ94</f>
        <v>0</v>
      </c>
      <c r="KLG36" s="17">
        <f>'Form-Sb'!KLK94</f>
        <v>0</v>
      </c>
      <c r="KLH36" s="17">
        <f>'Form-Sb'!KLL94</f>
        <v>0</v>
      </c>
      <c r="KLI36" s="17">
        <f>'Form-Sb'!KLM94</f>
        <v>0</v>
      </c>
      <c r="KLJ36" s="17">
        <f>'Form-Sb'!KLN94</f>
        <v>0</v>
      </c>
      <c r="KLK36" s="17">
        <f>'Form-Sb'!KLO94</f>
        <v>0</v>
      </c>
      <c r="KLL36" s="17">
        <f>'Form-Sb'!KLP94</f>
        <v>0</v>
      </c>
      <c r="KLM36" s="17">
        <f>'Form-Sb'!KLQ94</f>
        <v>0</v>
      </c>
      <c r="KLN36" s="17">
        <f>'Form-Sb'!KLR94</f>
        <v>0</v>
      </c>
      <c r="KLO36" s="17">
        <f>'Form-Sb'!KLS94</f>
        <v>0</v>
      </c>
      <c r="KLP36" s="17">
        <f>'Form-Sb'!KLT94</f>
        <v>0</v>
      </c>
      <c r="KLQ36" s="17">
        <f>'Form-Sb'!KLU94</f>
        <v>0</v>
      </c>
      <c r="KLR36" s="17">
        <f>'Form-Sb'!KLV94</f>
        <v>0</v>
      </c>
      <c r="KLS36" s="17">
        <f>'Form-Sb'!KLW94</f>
        <v>0</v>
      </c>
      <c r="KLT36" s="17">
        <f>'Form-Sb'!KLX94</f>
        <v>0</v>
      </c>
      <c r="KLU36" s="17">
        <f>'Form-Sb'!KLY94</f>
        <v>0</v>
      </c>
      <c r="KLV36" s="17">
        <f>'Form-Sb'!KLZ94</f>
        <v>0</v>
      </c>
      <c r="KLW36" s="17">
        <f>'Form-Sb'!KMA94</f>
        <v>0</v>
      </c>
      <c r="KLX36" s="17">
        <f>'Form-Sb'!KMB94</f>
        <v>0</v>
      </c>
      <c r="KLY36" s="17">
        <f>'Form-Sb'!KMC94</f>
        <v>0</v>
      </c>
      <c r="KLZ36" s="17">
        <f>'Form-Sb'!KMD94</f>
        <v>0</v>
      </c>
      <c r="KMA36" s="17">
        <f>'Form-Sb'!KME94</f>
        <v>0</v>
      </c>
      <c r="KMB36" s="17">
        <f>'Form-Sb'!KMF94</f>
        <v>0</v>
      </c>
      <c r="KMC36" s="17">
        <f>'Form-Sb'!KMG94</f>
        <v>0</v>
      </c>
      <c r="KMD36" s="17">
        <f>'Form-Sb'!KMH94</f>
        <v>0</v>
      </c>
      <c r="KME36" s="17">
        <f>'Form-Sb'!KMI94</f>
        <v>0</v>
      </c>
      <c r="KMF36" s="17">
        <f>'Form-Sb'!KMJ94</f>
        <v>0</v>
      </c>
      <c r="KMG36" s="17">
        <f>'Form-Sb'!KMK94</f>
        <v>0</v>
      </c>
      <c r="KMH36" s="17">
        <f>'Form-Sb'!KML94</f>
        <v>0</v>
      </c>
      <c r="KMI36" s="17">
        <f>'Form-Sb'!KMM94</f>
        <v>0</v>
      </c>
      <c r="KMJ36" s="17">
        <f>'Form-Sb'!KMN94</f>
        <v>0</v>
      </c>
      <c r="KMK36" s="17">
        <f>'Form-Sb'!KMO94</f>
        <v>0</v>
      </c>
      <c r="KML36" s="17">
        <f>'Form-Sb'!KMP94</f>
        <v>0</v>
      </c>
      <c r="KMM36" s="17">
        <f>'Form-Sb'!KMQ94</f>
        <v>0</v>
      </c>
      <c r="KMN36" s="17">
        <f>'Form-Sb'!KMR94</f>
        <v>0</v>
      </c>
      <c r="KMO36" s="17">
        <f>'Form-Sb'!KMS94</f>
        <v>0</v>
      </c>
      <c r="KMP36" s="17">
        <f>'Form-Sb'!KMT94</f>
        <v>0</v>
      </c>
      <c r="KMQ36" s="17">
        <f>'Form-Sb'!KMU94</f>
        <v>0</v>
      </c>
      <c r="KMR36" s="17">
        <f>'Form-Sb'!KMV94</f>
        <v>0</v>
      </c>
      <c r="KMS36" s="17">
        <f>'Form-Sb'!KMW94</f>
        <v>0</v>
      </c>
      <c r="KMT36" s="17">
        <f>'Form-Sb'!KMX94</f>
        <v>0</v>
      </c>
      <c r="KMU36" s="17">
        <f>'Form-Sb'!KMY94</f>
        <v>0</v>
      </c>
      <c r="KMV36" s="17">
        <f>'Form-Sb'!KMZ94</f>
        <v>0</v>
      </c>
      <c r="KMW36" s="17">
        <f>'Form-Sb'!KNA94</f>
        <v>0</v>
      </c>
      <c r="KMX36" s="17">
        <f>'Form-Sb'!KNB94</f>
        <v>0</v>
      </c>
      <c r="KMY36" s="17">
        <f>'Form-Sb'!KNC94</f>
        <v>0</v>
      </c>
      <c r="KMZ36" s="17">
        <f>'Form-Sb'!KND94</f>
        <v>0</v>
      </c>
      <c r="KNA36" s="17">
        <f>'Form-Sb'!KNE94</f>
        <v>0</v>
      </c>
      <c r="KNB36" s="17">
        <f>'Form-Sb'!KNF94</f>
        <v>0</v>
      </c>
      <c r="KNC36" s="17">
        <f>'Form-Sb'!KNG94</f>
        <v>0</v>
      </c>
      <c r="KND36" s="17">
        <f>'Form-Sb'!KNH94</f>
        <v>0</v>
      </c>
      <c r="KNE36" s="17">
        <f>'Form-Sb'!KNI94</f>
        <v>0</v>
      </c>
      <c r="KNF36" s="17">
        <f>'Form-Sb'!KNJ94</f>
        <v>0</v>
      </c>
      <c r="KNG36" s="17">
        <f>'Form-Sb'!KNK94</f>
        <v>0</v>
      </c>
      <c r="KNH36" s="17">
        <f>'Form-Sb'!KNL94</f>
        <v>0</v>
      </c>
      <c r="KNI36" s="17">
        <f>'Form-Sb'!KNM94</f>
        <v>0</v>
      </c>
      <c r="KNJ36" s="17">
        <f>'Form-Sb'!KNN94</f>
        <v>0</v>
      </c>
      <c r="KNK36" s="17">
        <f>'Form-Sb'!KNO94</f>
        <v>0</v>
      </c>
      <c r="KNL36" s="17">
        <f>'Form-Sb'!KNP94</f>
        <v>0</v>
      </c>
      <c r="KNM36" s="17">
        <f>'Form-Sb'!KNQ94</f>
        <v>0</v>
      </c>
      <c r="KNN36" s="17">
        <f>'Form-Sb'!KNR94</f>
        <v>0</v>
      </c>
      <c r="KNO36" s="17">
        <f>'Form-Sb'!KNS94</f>
        <v>0</v>
      </c>
      <c r="KNP36" s="17">
        <f>'Form-Sb'!KNT94</f>
        <v>0</v>
      </c>
      <c r="KNQ36" s="17">
        <f>'Form-Sb'!KNU94</f>
        <v>0</v>
      </c>
      <c r="KNR36" s="17">
        <f>'Form-Sb'!KNV94</f>
        <v>0</v>
      </c>
      <c r="KNS36" s="17">
        <f>'Form-Sb'!KNW94</f>
        <v>0</v>
      </c>
      <c r="KNT36" s="17">
        <f>'Form-Sb'!KNX94</f>
        <v>0</v>
      </c>
      <c r="KNU36" s="17">
        <f>'Form-Sb'!KNY94</f>
        <v>0</v>
      </c>
      <c r="KNV36" s="17">
        <f>'Form-Sb'!KNZ94</f>
        <v>0</v>
      </c>
      <c r="KNW36" s="17">
        <f>'Form-Sb'!KOA94</f>
        <v>0</v>
      </c>
      <c r="KNX36" s="17">
        <f>'Form-Sb'!KOB94</f>
        <v>0</v>
      </c>
      <c r="KNY36" s="17">
        <f>'Form-Sb'!KOC94</f>
        <v>0</v>
      </c>
      <c r="KNZ36" s="17">
        <f>'Form-Sb'!KOD94</f>
        <v>0</v>
      </c>
      <c r="KOA36" s="17">
        <f>'Form-Sb'!KOE94</f>
        <v>0</v>
      </c>
      <c r="KOB36" s="17">
        <f>'Form-Sb'!KOF94</f>
        <v>0</v>
      </c>
      <c r="KOC36" s="17">
        <f>'Form-Sb'!KOG94</f>
        <v>0</v>
      </c>
      <c r="KOD36" s="17">
        <f>'Form-Sb'!KOH94</f>
        <v>0</v>
      </c>
      <c r="KOE36" s="17">
        <f>'Form-Sb'!KOI94</f>
        <v>0</v>
      </c>
      <c r="KOF36" s="17">
        <f>'Form-Sb'!KOJ94</f>
        <v>0</v>
      </c>
      <c r="KOG36" s="17">
        <f>'Form-Sb'!KOK94</f>
        <v>0</v>
      </c>
      <c r="KOH36" s="17">
        <f>'Form-Sb'!KOL94</f>
        <v>0</v>
      </c>
      <c r="KOI36" s="17">
        <f>'Form-Sb'!KOM94</f>
        <v>0</v>
      </c>
      <c r="KOJ36" s="17">
        <f>'Form-Sb'!KON94</f>
        <v>0</v>
      </c>
      <c r="KOK36" s="17">
        <f>'Form-Sb'!KOO94</f>
        <v>0</v>
      </c>
      <c r="KOL36" s="17">
        <f>'Form-Sb'!KOP94</f>
        <v>0</v>
      </c>
      <c r="KOM36" s="17">
        <f>'Form-Sb'!KOQ94</f>
        <v>0</v>
      </c>
      <c r="KON36" s="17">
        <f>'Form-Sb'!KOR94</f>
        <v>0</v>
      </c>
      <c r="KOO36" s="17">
        <f>'Form-Sb'!KOS94</f>
        <v>0</v>
      </c>
      <c r="KOP36" s="17">
        <f>'Form-Sb'!KOT94</f>
        <v>0</v>
      </c>
      <c r="KOQ36" s="17">
        <f>'Form-Sb'!KOU94</f>
        <v>0</v>
      </c>
      <c r="KOR36" s="17">
        <f>'Form-Sb'!KOV94</f>
        <v>0</v>
      </c>
      <c r="KOS36" s="17">
        <f>'Form-Sb'!KOW94</f>
        <v>0</v>
      </c>
      <c r="KOT36" s="17">
        <f>'Form-Sb'!KOX94</f>
        <v>0</v>
      </c>
      <c r="KOU36" s="17">
        <f>'Form-Sb'!KOY94</f>
        <v>0</v>
      </c>
      <c r="KOV36" s="17">
        <f>'Form-Sb'!KOZ94</f>
        <v>0</v>
      </c>
      <c r="KOW36" s="17">
        <f>'Form-Sb'!KPA94</f>
        <v>0</v>
      </c>
      <c r="KOX36" s="17">
        <f>'Form-Sb'!KPB94</f>
        <v>0</v>
      </c>
      <c r="KOY36" s="17">
        <f>'Form-Sb'!KPC94</f>
        <v>0</v>
      </c>
      <c r="KOZ36" s="17">
        <f>'Form-Sb'!KPD94</f>
        <v>0</v>
      </c>
      <c r="KPA36" s="17">
        <f>'Form-Sb'!KPE94</f>
        <v>0</v>
      </c>
      <c r="KPB36" s="17">
        <f>'Form-Sb'!KPF94</f>
        <v>0</v>
      </c>
      <c r="KPC36" s="17">
        <f>'Form-Sb'!KPG94</f>
        <v>0</v>
      </c>
      <c r="KPD36" s="17">
        <f>'Form-Sb'!KPH94</f>
        <v>0</v>
      </c>
      <c r="KPE36" s="17">
        <f>'Form-Sb'!KPI94</f>
        <v>0</v>
      </c>
      <c r="KPF36" s="17">
        <f>'Form-Sb'!KPJ94</f>
        <v>0</v>
      </c>
      <c r="KPG36" s="17">
        <f>'Form-Sb'!KPK94</f>
        <v>0</v>
      </c>
      <c r="KPH36" s="17">
        <f>'Form-Sb'!KPL94</f>
        <v>0</v>
      </c>
      <c r="KPI36" s="17">
        <f>'Form-Sb'!KPM94</f>
        <v>0</v>
      </c>
      <c r="KPJ36" s="17">
        <f>'Form-Sb'!KPN94</f>
        <v>0</v>
      </c>
      <c r="KPK36" s="17">
        <f>'Form-Sb'!KPO94</f>
        <v>0</v>
      </c>
      <c r="KPL36" s="17">
        <f>'Form-Sb'!KPP94</f>
        <v>0</v>
      </c>
      <c r="KPM36" s="17">
        <f>'Form-Sb'!KPQ94</f>
        <v>0</v>
      </c>
      <c r="KPN36" s="17">
        <f>'Form-Sb'!KPR94</f>
        <v>0</v>
      </c>
      <c r="KPO36" s="17">
        <f>'Form-Sb'!KPS94</f>
        <v>0</v>
      </c>
      <c r="KPP36" s="17">
        <f>'Form-Sb'!KPT94</f>
        <v>0</v>
      </c>
      <c r="KPQ36" s="17">
        <f>'Form-Sb'!KPU94</f>
        <v>0</v>
      </c>
      <c r="KPR36" s="17">
        <f>'Form-Sb'!KPV94</f>
        <v>0</v>
      </c>
      <c r="KPS36" s="17">
        <f>'Form-Sb'!KPW94</f>
        <v>0</v>
      </c>
      <c r="KPT36" s="17">
        <f>'Form-Sb'!KPX94</f>
        <v>0</v>
      </c>
      <c r="KPU36" s="17">
        <f>'Form-Sb'!KPY94</f>
        <v>0</v>
      </c>
      <c r="KPV36" s="17">
        <f>'Form-Sb'!KPZ94</f>
        <v>0</v>
      </c>
      <c r="KPW36" s="17">
        <f>'Form-Sb'!KQA94</f>
        <v>0</v>
      </c>
      <c r="KPX36" s="17">
        <f>'Form-Sb'!KQB94</f>
        <v>0</v>
      </c>
      <c r="KPY36" s="17">
        <f>'Form-Sb'!KQC94</f>
        <v>0</v>
      </c>
      <c r="KPZ36" s="17">
        <f>'Form-Sb'!KQD94</f>
        <v>0</v>
      </c>
      <c r="KQA36" s="17">
        <f>'Form-Sb'!KQE94</f>
        <v>0</v>
      </c>
      <c r="KQB36" s="17">
        <f>'Form-Sb'!KQF94</f>
        <v>0</v>
      </c>
      <c r="KQC36" s="17">
        <f>'Form-Sb'!KQG94</f>
        <v>0</v>
      </c>
      <c r="KQD36" s="17">
        <f>'Form-Sb'!KQH94</f>
        <v>0</v>
      </c>
      <c r="KQE36" s="17">
        <f>'Form-Sb'!KQI94</f>
        <v>0</v>
      </c>
      <c r="KQF36" s="17">
        <f>'Form-Sb'!KQJ94</f>
        <v>0</v>
      </c>
      <c r="KQG36" s="17">
        <f>'Form-Sb'!KQK94</f>
        <v>0</v>
      </c>
      <c r="KQH36" s="17">
        <f>'Form-Sb'!KQL94</f>
        <v>0</v>
      </c>
      <c r="KQI36" s="17">
        <f>'Form-Sb'!KQM94</f>
        <v>0</v>
      </c>
      <c r="KQJ36" s="17">
        <f>'Form-Sb'!KQN94</f>
        <v>0</v>
      </c>
      <c r="KQK36" s="17">
        <f>'Form-Sb'!KQO94</f>
        <v>0</v>
      </c>
      <c r="KQL36" s="17">
        <f>'Form-Sb'!KQP94</f>
        <v>0</v>
      </c>
      <c r="KQM36" s="17">
        <f>'Form-Sb'!KQQ94</f>
        <v>0</v>
      </c>
      <c r="KQN36" s="17">
        <f>'Form-Sb'!KQR94</f>
        <v>0</v>
      </c>
      <c r="KQO36" s="17">
        <f>'Form-Sb'!KQS94</f>
        <v>0</v>
      </c>
      <c r="KQP36" s="17">
        <f>'Form-Sb'!KQT94</f>
        <v>0</v>
      </c>
      <c r="KQQ36" s="17">
        <f>'Form-Sb'!KQU94</f>
        <v>0</v>
      </c>
      <c r="KQR36" s="17">
        <f>'Form-Sb'!KQV94</f>
        <v>0</v>
      </c>
      <c r="KQS36" s="17">
        <f>'Form-Sb'!KQW94</f>
        <v>0</v>
      </c>
      <c r="KQT36" s="17">
        <f>'Form-Sb'!KQX94</f>
        <v>0</v>
      </c>
      <c r="KQU36" s="17">
        <f>'Form-Sb'!KQY94</f>
        <v>0</v>
      </c>
      <c r="KQV36" s="17">
        <f>'Form-Sb'!KQZ94</f>
        <v>0</v>
      </c>
      <c r="KQW36" s="17">
        <f>'Form-Sb'!KRA94</f>
        <v>0</v>
      </c>
      <c r="KQX36" s="17">
        <f>'Form-Sb'!KRB94</f>
        <v>0</v>
      </c>
      <c r="KQY36" s="17">
        <f>'Form-Sb'!KRC94</f>
        <v>0</v>
      </c>
      <c r="KQZ36" s="17">
        <f>'Form-Sb'!KRD94</f>
        <v>0</v>
      </c>
      <c r="KRA36" s="17">
        <f>'Form-Sb'!KRE94</f>
        <v>0</v>
      </c>
      <c r="KRB36" s="17">
        <f>'Form-Sb'!KRF94</f>
        <v>0</v>
      </c>
      <c r="KRC36" s="17">
        <f>'Form-Sb'!KRG94</f>
        <v>0</v>
      </c>
      <c r="KRD36" s="17">
        <f>'Form-Sb'!KRH94</f>
        <v>0</v>
      </c>
      <c r="KRE36" s="17">
        <f>'Form-Sb'!KRI94</f>
        <v>0</v>
      </c>
      <c r="KRF36" s="17">
        <f>'Form-Sb'!KRJ94</f>
        <v>0</v>
      </c>
      <c r="KRG36" s="17">
        <f>'Form-Sb'!KRK94</f>
        <v>0</v>
      </c>
      <c r="KRH36" s="17">
        <f>'Form-Sb'!KRL94</f>
        <v>0</v>
      </c>
      <c r="KRI36" s="17">
        <f>'Form-Sb'!KRM94</f>
        <v>0</v>
      </c>
      <c r="KRJ36" s="17">
        <f>'Form-Sb'!KRN94</f>
        <v>0</v>
      </c>
      <c r="KRK36" s="17">
        <f>'Form-Sb'!KRO94</f>
        <v>0</v>
      </c>
      <c r="KRL36" s="17">
        <f>'Form-Sb'!KRP94</f>
        <v>0</v>
      </c>
      <c r="KRM36" s="17">
        <f>'Form-Sb'!KRQ94</f>
        <v>0</v>
      </c>
      <c r="KRN36" s="17">
        <f>'Form-Sb'!KRR94</f>
        <v>0</v>
      </c>
      <c r="KRO36" s="17">
        <f>'Form-Sb'!KRS94</f>
        <v>0</v>
      </c>
      <c r="KRP36" s="17">
        <f>'Form-Sb'!KRT94</f>
        <v>0</v>
      </c>
      <c r="KRQ36" s="17">
        <f>'Form-Sb'!KRU94</f>
        <v>0</v>
      </c>
      <c r="KRR36" s="17">
        <f>'Form-Sb'!KRV94</f>
        <v>0</v>
      </c>
      <c r="KRS36" s="17">
        <f>'Form-Sb'!KRW94</f>
        <v>0</v>
      </c>
      <c r="KRT36" s="17">
        <f>'Form-Sb'!KRX94</f>
        <v>0</v>
      </c>
      <c r="KRU36" s="17">
        <f>'Form-Sb'!KRY94</f>
        <v>0</v>
      </c>
      <c r="KRV36" s="17">
        <f>'Form-Sb'!KRZ94</f>
        <v>0</v>
      </c>
      <c r="KRW36" s="17">
        <f>'Form-Sb'!KSA94</f>
        <v>0</v>
      </c>
      <c r="KRX36" s="17">
        <f>'Form-Sb'!KSB94</f>
        <v>0</v>
      </c>
      <c r="KRY36" s="17">
        <f>'Form-Sb'!KSC94</f>
        <v>0</v>
      </c>
      <c r="KRZ36" s="17">
        <f>'Form-Sb'!KSD94</f>
        <v>0</v>
      </c>
      <c r="KSA36" s="17">
        <f>'Form-Sb'!KSE94</f>
        <v>0</v>
      </c>
      <c r="KSB36" s="17">
        <f>'Form-Sb'!KSF94</f>
        <v>0</v>
      </c>
      <c r="KSC36" s="17">
        <f>'Form-Sb'!KSG94</f>
        <v>0</v>
      </c>
      <c r="KSD36" s="17">
        <f>'Form-Sb'!KSH94</f>
        <v>0</v>
      </c>
      <c r="KSE36" s="17">
        <f>'Form-Sb'!KSI94</f>
        <v>0</v>
      </c>
      <c r="KSF36" s="17">
        <f>'Form-Sb'!KSJ94</f>
        <v>0</v>
      </c>
      <c r="KSG36" s="17">
        <f>'Form-Sb'!KSK94</f>
        <v>0</v>
      </c>
      <c r="KSH36" s="17">
        <f>'Form-Sb'!KSL94</f>
        <v>0</v>
      </c>
      <c r="KSI36" s="17">
        <f>'Form-Sb'!KSM94</f>
        <v>0</v>
      </c>
      <c r="KSJ36" s="17">
        <f>'Form-Sb'!KSN94</f>
        <v>0</v>
      </c>
      <c r="KSK36" s="17">
        <f>'Form-Sb'!KSO94</f>
        <v>0</v>
      </c>
      <c r="KSL36" s="17">
        <f>'Form-Sb'!KSP94</f>
        <v>0</v>
      </c>
      <c r="KSM36" s="17">
        <f>'Form-Sb'!KSQ94</f>
        <v>0</v>
      </c>
      <c r="KSN36" s="17">
        <f>'Form-Sb'!KSR94</f>
        <v>0</v>
      </c>
      <c r="KSO36" s="17">
        <f>'Form-Sb'!KSS94</f>
        <v>0</v>
      </c>
      <c r="KSP36" s="17">
        <f>'Form-Sb'!KST94</f>
        <v>0</v>
      </c>
      <c r="KSQ36" s="17">
        <f>'Form-Sb'!KSU94</f>
        <v>0</v>
      </c>
      <c r="KSR36" s="17">
        <f>'Form-Sb'!KSV94</f>
        <v>0</v>
      </c>
      <c r="KSS36" s="17">
        <f>'Form-Sb'!KSW94</f>
        <v>0</v>
      </c>
      <c r="KST36" s="17">
        <f>'Form-Sb'!KSX94</f>
        <v>0</v>
      </c>
      <c r="KSU36" s="17">
        <f>'Form-Sb'!KSY94</f>
        <v>0</v>
      </c>
      <c r="KSV36" s="17">
        <f>'Form-Sb'!KSZ94</f>
        <v>0</v>
      </c>
      <c r="KSW36" s="17">
        <f>'Form-Sb'!KTA94</f>
        <v>0</v>
      </c>
      <c r="KSX36" s="17">
        <f>'Form-Sb'!KTB94</f>
        <v>0</v>
      </c>
      <c r="KSY36" s="17">
        <f>'Form-Sb'!KTC94</f>
        <v>0</v>
      </c>
      <c r="KSZ36" s="17">
        <f>'Form-Sb'!KTD94</f>
        <v>0</v>
      </c>
      <c r="KTA36" s="17">
        <f>'Form-Sb'!KTE94</f>
        <v>0</v>
      </c>
      <c r="KTB36" s="17">
        <f>'Form-Sb'!KTF94</f>
        <v>0</v>
      </c>
      <c r="KTC36" s="17">
        <f>'Form-Sb'!KTG94</f>
        <v>0</v>
      </c>
      <c r="KTD36" s="17">
        <f>'Form-Sb'!KTH94</f>
        <v>0</v>
      </c>
      <c r="KTE36" s="17">
        <f>'Form-Sb'!KTI94</f>
        <v>0</v>
      </c>
      <c r="KTF36" s="17">
        <f>'Form-Sb'!KTJ94</f>
        <v>0</v>
      </c>
      <c r="KTG36" s="17">
        <f>'Form-Sb'!KTK94</f>
        <v>0</v>
      </c>
      <c r="KTH36" s="17">
        <f>'Form-Sb'!KTL94</f>
        <v>0</v>
      </c>
      <c r="KTI36" s="17">
        <f>'Form-Sb'!KTM94</f>
        <v>0</v>
      </c>
      <c r="KTJ36" s="17">
        <f>'Form-Sb'!KTN94</f>
        <v>0</v>
      </c>
      <c r="KTK36" s="17">
        <f>'Form-Sb'!KTO94</f>
        <v>0</v>
      </c>
      <c r="KTL36" s="17">
        <f>'Form-Sb'!KTP94</f>
        <v>0</v>
      </c>
      <c r="KTM36" s="17">
        <f>'Form-Sb'!KTQ94</f>
        <v>0</v>
      </c>
      <c r="KTN36" s="17">
        <f>'Form-Sb'!KTR94</f>
        <v>0</v>
      </c>
      <c r="KTO36" s="17">
        <f>'Form-Sb'!KTS94</f>
        <v>0</v>
      </c>
      <c r="KTP36" s="17">
        <f>'Form-Sb'!KTT94</f>
        <v>0</v>
      </c>
      <c r="KTQ36" s="17">
        <f>'Form-Sb'!KTU94</f>
        <v>0</v>
      </c>
      <c r="KTR36" s="17">
        <f>'Form-Sb'!KTV94</f>
        <v>0</v>
      </c>
      <c r="KTS36" s="17">
        <f>'Form-Sb'!KTW94</f>
        <v>0</v>
      </c>
      <c r="KTT36" s="17">
        <f>'Form-Sb'!KTX94</f>
        <v>0</v>
      </c>
      <c r="KTU36" s="17">
        <f>'Form-Sb'!KTY94</f>
        <v>0</v>
      </c>
      <c r="KTV36" s="17">
        <f>'Form-Sb'!KTZ94</f>
        <v>0</v>
      </c>
      <c r="KTW36" s="17">
        <f>'Form-Sb'!KUA94</f>
        <v>0</v>
      </c>
      <c r="KTX36" s="17">
        <f>'Form-Sb'!KUB94</f>
        <v>0</v>
      </c>
      <c r="KTY36" s="17">
        <f>'Form-Sb'!KUC94</f>
        <v>0</v>
      </c>
      <c r="KTZ36" s="17">
        <f>'Form-Sb'!KUD94</f>
        <v>0</v>
      </c>
      <c r="KUA36" s="17">
        <f>'Form-Sb'!KUE94</f>
        <v>0</v>
      </c>
      <c r="KUB36" s="17">
        <f>'Form-Sb'!KUF94</f>
        <v>0</v>
      </c>
      <c r="KUC36" s="17">
        <f>'Form-Sb'!KUG94</f>
        <v>0</v>
      </c>
      <c r="KUD36" s="17">
        <f>'Form-Sb'!KUH94</f>
        <v>0</v>
      </c>
      <c r="KUE36" s="17">
        <f>'Form-Sb'!KUI94</f>
        <v>0</v>
      </c>
      <c r="KUF36" s="17">
        <f>'Form-Sb'!KUJ94</f>
        <v>0</v>
      </c>
      <c r="KUG36" s="17">
        <f>'Form-Sb'!KUK94</f>
        <v>0</v>
      </c>
      <c r="KUH36" s="17">
        <f>'Form-Sb'!KUL94</f>
        <v>0</v>
      </c>
      <c r="KUI36" s="17">
        <f>'Form-Sb'!KUM94</f>
        <v>0</v>
      </c>
      <c r="KUJ36" s="17">
        <f>'Form-Sb'!KUN94</f>
        <v>0</v>
      </c>
      <c r="KUK36" s="17">
        <f>'Form-Sb'!KUO94</f>
        <v>0</v>
      </c>
      <c r="KUL36" s="17">
        <f>'Form-Sb'!KUP94</f>
        <v>0</v>
      </c>
      <c r="KUM36" s="17">
        <f>'Form-Sb'!KUQ94</f>
        <v>0</v>
      </c>
      <c r="KUN36" s="17">
        <f>'Form-Sb'!KUR94</f>
        <v>0</v>
      </c>
      <c r="KUO36" s="17">
        <f>'Form-Sb'!KUS94</f>
        <v>0</v>
      </c>
      <c r="KUP36" s="17">
        <f>'Form-Sb'!KUT94</f>
        <v>0</v>
      </c>
      <c r="KUQ36" s="17">
        <f>'Form-Sb'!KUU94</f>
        <v>0</v>
      </c>
      <c r="KUR36" s="17">
        <f>'Form-Sb'!KUV94</f>
        <v>0</v>
      </c>
      <c r="KUS36" s="17">
        <f>'Form-Sb'!KUW94</f>
        <v>0</v>
      </c>
      <c r="KUT36" s="17">
        <f>'Form-Sb'!KUX94</f>
        <v>0</v>
      </c>
      <c r="KUU36" s="17">
        <f>'Form-Sb'!KUY94</f>
        <v>0</v>
      </c>
      <c r="KUV36" s="17">
        <f>'Form-Sb'!KUZ94</f>
        <v>0</v>
      </c>
      <c r="KUW36" s="17">
        <f>'Form-Sb'!KVA94</f>
        <v>0</v>
      </c>
      <c r="KUX36" s="17">
        <f>'Form-Sb'!KVB94</f>
        <v>0</v>
      </c>
      <c r="KUY36" s="17">
        <f>'Form-Sb'!KVC94</f>
        <v>0</v>
      </c>
      <c r="KUZ36" s="17">
        <f>'Form-Sb'!KVD94</f>
        <v>0</v>
      </c>
      <c r="KVA36" s="17">
        <f>'Form-Sb'!KVE94</f>
        <v>0</v>
      </c>
      <c r="KVB36" s="17">
        <f>'Form-Sb'!KVF94</f>
        <v>0</v>
      </c>
      <c r="KVC36" s="17">
        <f>'Form-Sb'!KVG94</f>
        <v>0</v>
      </c>
      <c r="KVD36" s="17">
        <f>'Form-Sb'!KVH94</f>
        <v>0</v>
      </c>
      <c r="KVE36" s="17">
        <f>'Form-Sb'!KVI94</f>
        <v>0</v>
      </c>
      <c r="KVF36" s="17">
        <f>'Form-Sb'!KVJ94</f>
        <v>0</v>
      </c>
      <c r="KVG36" s="17">
        <f>'Form-Sb'!KVK94</f>
        <v>0</v>
      </c>
      <c r="KVH36" s="17">
        <f>'Form-Sb'!KVL94</f>
        <v>0</v>
      </c>
      <c r="KVI36" s="17">
        <f>'Form-Sb'!KVM94</f>
        <v>0</v>
      </c>
      <c r="KVJ36" s="17">
        <f>'Form-Sb'!KVN94</f>
        <v>0</v>
      </c>
      <c r="KVK36" s="17">
        <f>'Form-Sb'!KVO94</f>
        <v>0</v>
      </c>
      <c r="KVL36" s="17">
        <f>'Form-Sb'!KVP94</f>
        <v>0</v>
      </c>
      <c r="KVM36" s="17">
        <f>'Form-Sb'!KVQ94</f>
        <v>0</v>
      </c>
      <c r="KVN36" s="17">
        <f>'Form-Sb'!KVR94</f>
        <v>0</v>
      </c>
      <c r="KVO36" s="17">
        <f>'Form-Sb'!KVS94</f>
        <v>0</v>
      </c>
      <c r="KVP36" s="17">
        <f>'Form-Sb'!KVT94</f>
        <v>0</v>
      </c>
      <c r="KVQ36" s="17">
        <f>'Form-Sb'!KVU94</f>
        <v>0</v>
      </c>
      <c r="KVR36" s="17">
        <f>'Form-Sb'!KVV94</f>
        <v>0</v>
      </c>
      <c r="KVS36" s="17">
        <f>'Form-Sb'!KVW94</f>
        <v>0</v>
      </c>
      <c r="KVT36" s="17">
        <f>'Form-Sb'!KVX94</f>
        <v>0</v>
      </c>
      <c r="KVU36" s="17">
        <f>'Form-Sb'!KVY94</f>
        <v>0</v>
      </c>
      <c r="KVV36" s="17">
        <f>'Form-Sb'!KVZ94</f>
        <v>0</v>
      </c>
      <c r="KVW36" s="17">
        <f>'Form-Sb'!KWA94</f>
        <v>0</v>
      </c>
      <c r="KVX36" s="17">
        <f>'Form-Sb'!KWB94</f>
        <v>0</v>
      </c>
      <c r="KVY36" s="17">
        <f>'Form-Sb'!KWC94</f>
        <v>0</v>
      </c>
      <c r="KVZ36" s="17">
        <f>'Form-Sb'!KWD94</f>
        <v>0</v>
      </c>
      <c r="KWA36" s="17">
        <f>'Form-Sb'!KWE94</f>
        <v>0</v>
      </c>
      <c r="KWB36" s="17">
        <f>'Form-Sb'!KWF94</f>
        <v>0</v>
      </c>
      <c r="KWC36" s="17">
        <f>'Form-Sb'!KWG94</f>
        <v>0</v>
      </c>
      <c r="KWD36" s="17">
        <f>'Form-Sb'!KWH94</f>
        <v>0</v>
      </c>
      <c r="KWE36" s="17">
        <f>'Form-Sb'!KWI94</f>
        <v>0</v>
      </c>
      <c r="KWF36" s="17">
        <f>'Form-Sb'!KWJ94</f>
        <v>0</v>
      </c>
      <c r="KWG36" s="17">
        <f>'Form-Sb'!KWK94</f>
        <v>0</v>
      </c>
      <c r="KWH36" s="17">
        <f>'Form-Sb'!KWL94</f>
        <v>0</v>
      </c>
      <c r="KWI36" s="17">
        <f>'Form-Sb'!KWM94</f>
        <v>0</v>
      </c>
      <c r="KWJ36" s="17">
        <f>'Form-Sb'!KWN94</f>
        <v>0</v>
      </c>
      <c r="KWK36" s="17">
        <f>'Form-Sb'!KWO94</f>
        <v>0</v>
      </c>
      <c r="KWL36" s="17">
        <f>'Form-Sb'!KWP94</f>
        <v>0</v>
      </c>
      <c r="KWM36" s="17">
        <f>'Form-Sb'!KWQ94</f>
        <v>0</v>
      </c>
      <c r="KWN36" s="17">
        <f>'Form-Sb'!KWR94</f>
        <v>0</v>
      </c>
      <c r="KWO36" s="17">
        <f>'Form-Sb'!KWS94</f>
        <v>0</v>
      </c>
      <c r="KWP36" s="17">
        <f>'Form-Sb'!KWT94</f>
        <v>0</v>
      </c>
      <c r="KWQ36" s="17">
        <f>'Form-Sb'!KWU94</f>
        <v>0</v>
      </c>
      <c r="KWR36" s="17">
        <f>'Form-Sb'!KWV94</f>
        <v>0</v>
      </c>
      <c r="KWS36" s="17">
        <f>'Form-Sb'!KWW94</f>
        <v>0</v>
      </c>
      <c r="KWT36" s="17">
        <f>'Form-Sb'!KWX94</f>
        <v>0</v>
      </c>
      <c r="KWU36" s="17">
        <f>'Form-Sb'!KWY94</f>
        <v>0</v>
      </c>
      <c r="KWV36" s="17">
        <f>'Form-Sb'!KWZ94</f>
        <v>0</v>
      </c>
      <c r="KWW36" s="17">
        <f>'Form-Sb'!KXA94</f>
        <v>0</v>
      </c>
      <c r="KWX36" s="17">
        <f>'Form-Sb'!KXB94</f>
        <v>0</v>
      </c>
      <c r="KWY36" s="17">
        <f>'Form-Sb'!KXC94</f>
        <v>0</v>
      </c>
      <c r="KWZ36" s="17">
        <f>'Form-Sb'!KXD94</f>
        <v>0</v>
      </c>
      <c r="KXA36" s="17">
        <f>'Form-Sb'!KXE94</f>
        <v>0</v>
      </c>
      <c r="KXB36" s="17">
        <f>'Form-Sb'!KXF94</f>
        <v>0</v>
      </c>
      <c r="KXC36" s="17">
        <f>'Form-Sb'!KXG94</f>
        <v>0</v>
      </c>
      <c r="KXD36" s="17">
        <f>'Form-Sb'!KXH94</f>
        <v>0</v>
      </c>
      <c r="KXE36" s="17">
        <f>'Form-Sb'!KXI94</f>
        <v>0</v>
      </c>
      <c r="KXF36" s="17">
        <f>'Form-Sb'!KXJ94</f>
        <v>0</v>
      </c>
      <c r="KXG36" s="17">
        <f>'Form-Sb'!KXK94</f>
        <v>0</v>
      </c>
      <c r="KXH36" s="17">
        <f>'Form-Sb'!KXL94</f>
        <v>0</v>
      </c>
      <c r="KXI36" s="17">
        <f>'Form-Sb'!KXM94</f>
        <v>0</v>
      </c>
      <c r="KXJ36" s="17">
        <f>'Form-Sb'!KXN94</f>
        <v>0</v>
      </c>
      <c r="KXK36" s="17">
        <f>'Form-Sb'!KXO94</f>
        <v>0</v>
      </c>
      <c r="KXL36" s="17">
        <f>'Form-Sb'!KXP94</f>
        <v>0</v>
      </c>
      <c r="KXM36" s="17">
        <f>'Form-Sb'!KXQ94</f>
        <v>0</v>
      </c>
      <c r="KXN36" s="17">
        <f>'Form-Sb'!KXR94</f>
        <v>0</v>
      </c>
      <c r="KXO36" s="17">
        <f>'Form-Sb'!KXS94</f>
        <v>0</v>
      </c>
      <c r="KXP36" s="17">
        <f>'Form-Sb'!KXT94</f>
        <v>0</v>
      </c>
      <c r="KXQ36" s="17">
        <f>'Form-Sb'!KXU94</f>
        <v>0</v>
      </c>
      <c r="KXR36" s="17">
        <f>'Form-Sb'!KXV94</f>
        <v>0</v>
      </c>
      <c r="KXS36" s="17">
        <f>'Form-Sb'!KXW94</f>
        <v>0</v>
      </c>
      <c r="KXT36" s="17">
        <f>'Form-Sb'!KXX94</f>
        <v>0</v>
      </c>
      <c r="KXU36" s="17">
        <f>'Form-Sb'!KXY94</f>
        <v>0</v>
      </c>
      <c r="KXV36" s="17">
        <f>'Form-Sb'!KXZ94</f>
        <v>0</v>
      </c>
      <c r="KXW36" s="17">
        <f>'Form-Sb'!KYA94</f>
        <v>0</v>
      </c>
      <c r="KXX36" s="17">
        <f>'Form-Sb'!KYB94</f>
        <v>0</v>
      </c>
      <c r="KXY36" s="17">
        <f>'Form-Sb'!KYC94</f>
        <v>0</v>
      </c>
      <c r="KXZ36" s="17">
        <f>'Form-Sb'!KYD94</f>
        <v>0</v>
      </c>
      <c r="KYA36" s="17">
        <f>'Form-Sb'!KYE94</f>
        <v>0</v>
      </c>
      <c r="KYB36" s="17">
        <f>'Form-Sb'!KYF94</f>
        <v>0</v>
      </c>
      <c r="KYC36" s="17">
        <f>'Form-Sb'!KYG94</f>
        <v>0</v>
      </c>
      <c r="KYD36" s="17">
        <f>'Form-Sb'!KYH94</f>
        <v>0</v>
      </c>
      <c r="KYE36" s="17">
        <f>'Form-Sb'!KYI94</f>
        <v>0</v>
      </c>
      <c r="KYF36" s="17">
        <f>'Form-Sb'!KYJ94</f>
        <v>0</v>
      </c>
      <c r="KYG36" s="17">
        <f>'Form-Sb'!KYK94</f>
        <v>0</v>
      </c>
      <c r="KYH36" s="17">
        <f>'Form-Sb'!KYL94</f>
        <v>0</v>
      </c>
      <c r="KYI36" s="17">
        <f>'Form-Sb'!KYM94</f>
        <v>0</v>
      </c>
      <c r="KYJ36" s="17">
        <f>'Form-Sb'!KYN94</f>
        <v>0</v>
      </c>
      <c r="KYK36" s="17">
        <f>'Form-Sb'!KYO94</f>
        <v>0</v>
      </c>
      <c r="KYL36" s="17">
        <f>'Form-Sb'!KYP94</f>
        <v>0</v>
      </c>
      <c r="KYM36" s="17">
        <f>'Form-Sb'!KYQ94</f>
        <v>0</v>
      </c>
      <c r="KYN36" s="17">
        <f>'Form-Sb'!KYR94</f>
        <v>0</v>
      </c>
      <c r="KYO36" s="17">
        <f>'Form-Sb'!KYS94</f>
        <v>0</v>
      </c>
      <c r="KYP36" s="17">
        <f>'Form-Sb'!KYT94</f>
        <v>0</v>
      </c>
      <c r="KYQ36" s="17">
        <f>'Form-Sb'!KYU94</f>
        <v>0</v>
      </c>
      <c r="KYR36" s="17">
        <f>'Form-Sb'!KYV94</f>
        <v>0</v>
      </c>
      <c r="KYS36" s="17">
        <f>'Form-Sb'!KYW94</f>
        <v>0</v>
      </c>
      <c r="KYT36" s="17">
        <f>'Form-Sb'!KYX94</f>
        <v>0</v>
      </c>
      <c r="KYU36" s="17">
        <f>'Form-Sb'!KYY94</f>
        <v>0</v>
      </c>
      <c r="KYV36" s="17">
        <f>'Form-Sb'!KYZ94</f>
        <v>0</v>
      </c>
      <c r="KYW36" s="17">
        <f>'Form-Sb'!KZA94</f>
        <v>0</v>
      </c>
      <c r="KYX36" s="17">
        <f>'Form-Sb'!KZB94</f>
        <v>0</v>
      </c>
      <c r="KYY36" s="17">
        <f>'Form-Sb'!KZC94</f>
        <v>0</v>
      </c>
      <c r="KYZ36" s="17">
        <f>'Form-Sb'!KZD94</f>
        <v>0</v>
      </c>
      <c r="KZA36" s="17">
        <f>'Form-Sb'!KZE94</f>
        <v>0</v>
      </c>
      <c r="KZB36" s="17">
        <f>'Form-Sb'!KZF94</f>
        <v>0</v>
      </c>
      <c r="KZC36" s="17">
        <f>'Form-Sb'!KZG94</f>
        <v>0</v>
      </c>
      <c r="KZD36" s="17">
        <f>'Form-Sb'!KZH94</f>
        <v>0</v>
      </c>
      <c r="KZE36" s="17">
        <f>'Form-Sb'!KZI94</f>
        <v>0</v>
      </c>
      <c r="KZF36" s="17">
        <f>'Form-Sb'!KZJ94</f>
        <v>0</v>
      </c>
      <c r="KZG36" s="17">
        <f>'Form-Sb'!KZK94</f>
        <v>0</v>
      </c>
      <c r="KZH36" s="17">
        <f>'Form-Sb'!KZL94</f>
        <v>0</v>
      </c>
      <c r="KZI36" s="17">
        <f>'Form-Sb'!KZM94</f>
        <v>0</v>
      </c>
      <c r="KZJ36" s="17">
        <f>'Form-Sb'!KZN94</f>
        <v>0</v>
      </c>
      <c r="KZK36" s="17">
        <f>'Form-Sb'!KZO94</f>
        <v>0</v>
      </c>
      <c r="KZL36" s="17">
        <f>'Form-Sb'!KZP94</f>
        <v>0</v>
      </c>
      <c r="KZM36" s="17">
        <f>'Form-Sb'!KZQ94</f>
        <v>0</v>
      </c>
      <c r="KZN36" s="17">
        <f>'Form-Sb'!KZR94</f>
        <v>0</v>
      </c>
      <c r="KZO36" s="17">
        <f>'Form-Sb'!KZS94</f>
        <v>0</v>
      </c>
      <c r="KZP36" s="17">
        <f>'Form-Sb'!KZT94</f>
        <v>0</v>
      </c>
      <c r="KZQ36" s="17">
        <f>'Form-Sb'!KZU94</f>
        <v>0</v>
      </c>
      <c r="KZR36" s="17">
        <f>'Form-Sb'!KZV94</f>
        <v>0</v>
      </c>
      <c r="KZS36" s="17">
        <f>'Form-Sb'!KZW94</f>
        <v>0</v>
      </c>
      <c r="KZT36" s="17">
        <f>'Form-Sb'!KZX94</f>
        <v>0</v>
      </c>
      <c r="KZU36" s="17">
        <f>'Form-Sb'!KZY94</f>
        <v>0</v>
      </c>
      <c r="KZV36" s="17">
        <f>'Form-Sb'!KZZ94</f>
        <v>0</v>
      </c>
      <c r="KZW36" s="17">
        <f>'Form-Sb'!LAA94</f>
        <v>0</v>
      </c>
      <c r="KZX36" s="17">
        <f>'Form-Sb'!LAB94</f>
        <v>0</v>
      </c>
      <c r="KZY36" s="17">
        <f>'Form-Sb'!LAC94</f>
        <v>0</v>
      </c>
      <c r="KZZ36" s="17">
        <f>'Form-Sb'!LAD94</f>
        <v>0</v>
      </c>
      <c r="LAA36" s="17">
        <f>'Form-Sb'!LAE94</f>
        <v>0</v>
      </c>
      <c r="LAB36" s="17">
        <f>'Form-Sb'!LAF94</f>
        <v>0</v>
      </c>
      <c r="LAC36" s="17">
        <f>'Form-Sb'!LAG94</f>
        <v>0</v>
      </c>
      <c r="LAD36" s="17">
        <f>'Form-Sb'!LAH94</f>
        <v>0</v>
      </c>
      <c r="LAE36" s="17">
        <f>'Form-Sb'!LAI94</f>
        <v>0</v>
      </c>
      <c r="LAF36" s="17">
        <f>'Form-Sb'!LAJ94</f>
        <v>0</v>
      </c>
      <c r="LAG36" s="17">
        <f>'Form-Sb'!LAK94</f>
        <v>0</v>
      </c>
      <c r="LAH36" s="17">
        <f>'Form-Sb'!LAL94</f>
        <v>0</v>
      </c>
      <c r="LAI36" s="17">
        <f>'Form-Sb'!LAM94</f>
        <v>0</v>
      </c>
      <c r="LAJ36" s="17">
        <f>'Form-Sb'!LAN94</f>
        <v>0</v>
      </c>
      <c r="LAK36" s="17">
        <f>'Form-Sb'!LAO94</f>
        <v>0</v>
      </c>
      <c r="LAL36" s="17">
        <f>'Form-Sb'!LAP94</f>
        <v>0</v>
      </c>
      <c r="LAM36" s="17">
        <f>'Form-Sb'!LAQ94</f>
        <v>0</v>
      </c>
      <c r="LAN36" s="17">
        <f>'Form-Sb'!LAR94</f>
        <v>0</v>
      </c>
      <c r="LAO36" s="17">
        <f>'Form-Sb'!LAS94</f>
        <v>0</v>
      </c>
      <c r="LAP36" s="17">
        <f>'Form-Sb'!LAT94</f>
        <v>0</v>
      </c>
      <c r="LAQ36" s="17">
        <f>'Form-Sb'!LAU94</f>
        <v>0</v>
      </c>
      <c r="LAR36" s="17">
        <f>'Form-Sb'!LAV94</f>
        <v>0</v>
      </c>
      <c r="LAS36" s="17">
        <f>'Form-Sb'!LAW94</f>
        <v>0</v>
      </c>
      <c r="LAT36" s="17">
        <f>'Form-Sb'!LAX94</f>
        <v>0</v>
      </c>
      <c r="LAU36" s="17">
        <f>'Form-Sb'!LAY94</f>
        <v>0</v>
      </c>
      <c r="LAV36" s="17">
        <f>'Form-Sb'!LAZ94</f>
        <v>0</v>
      </c>
      <c r="LAW36" s="17">
        <f>'Form-Sb'!LBA94</f>
        <v>0</v>
      </c>
      <c r="LAX36" s="17">
        <f>'Form-Sb'!LBB94</f>
        <v>0</v>
      </c>
      <c r="LAY36" s="17">
        <f>'Form-Sb'!LBC94</f>
        <v>0</v>
      </c>
      <c r="LAZ36" s="17">
        <f>'Form-Sb'!LBD94</f>
        <v>0</v>
      </c>
      <c r="LBA36" s="17">
        <f>'Form-Sb'!LBE94</f>
        <v>0</v>
      </c>
      <c r="LBB36" s="17">
        <f>'Form-Sb'!LBF94</f>
        <v>0</v>
      </c>
      <c r="LBC36" s="17">
        <f>'Form-Sb'!LBG94</f>
        <v>0</v>
      </c>
      <c r="LBD36" s="17">
        <f>'Form-Sb'!LBH94</f>
        <v>0</v>
      </c>
      <c r="LBE36" s="17">
        <f>'Form-Sb'!LBI94</f>
        <v>0</v>
      </c>
      <c r="LBF36" s="17">
        <f>'Form-Sb'!LBJ94</f>
        <v>0</v>
      </c>
      <c r="LBG36" s="17">
        <f>'Form-Sb'!LBK94</f>
        <v>0</v>
      </c>
      <c r="LBH36" s="17">
        <f>'Form-Sb'!LBL94</f>
        <v>0</v>
      </c>
      <c r="LBI36" s="17">
        <f>'Form-Sb'!LBM94</f>
        <v>0</v>
      </c>
      <c r="LBJ36" s="17">
        <f>'Form-Sb'!LBN94</f>
        <v>0</v>
      </c>
      <c r="LBK36" s="17">
        <f>'Form-Sb'!LBO94</f>
        <v>0</v>
      </c>
      <c r="LBL36" s="17">
        <f>'Form-Sb'!LBP94</f>
        <v>0</v>
      </c>
      <c r="LBM36" s="17">
        <f>'Form-Sb'!LBQ94</f>
        <v>0</v>
      </c>
      <c r="LBN36" s="17">
        <f>'Form-Sb'!LBR94</f>
        <v>0</v>
      </c>
      <c r="LBO36" s="17">
        <f>'Form-Sb'!LBS94</f>
        <v>0</v>
      </c>
      <c r="LBP36" s="17">
        <f>'Form-Sb'!LBT94</f>
        <v>0</v>
      </c>
      <c r="LBQ36" s="17">
        <f>'Form-Sb'!LBU94</f>
        <v>0</v>
      </c>
      <c r="LBR36" s="17">
        <f>'Form-Sb'!LBV94</f>
        <v>0</v>
      </c>
      <c r="LBS36" s="17">
        <f>'Form-Sb'!LBW94</f>
        <v>0</v>
      </c>
      <c r="LBT36" s="17">
        <f>'Form-Sb'!LBX94</f>
        <v>0</v>
      </c>
      <c r="LBU36" s="17">
        <f>'Form-Sb'!LBY94</f>
        <v>0</v>
      </c>
      <c r="LBV36" s="17">
        <f>'Form-Sb'!LBZ94</f>
        <v>0</v>
      </c>
      <c r="LBW36" s="17">
        <f>'Form-Sb'!LCA94</f>
        <v>0</v>
      </c>
      <c r="LBX36" s="17">
        <f>'Form-Sb'!LCB94</f>
        <v>0</v>
      </c>
      <c r="LBY36" s="17">
        <f>'Form-Sb'!LCC94</f>
        <v>0</v>
      </c>
      <c r="LBZ36" s="17">
        <f>'Form-Sb'!LCD94</f>
        <v>0</v>
      </c>
      <c r="LCA36" s="17">
        <f>'Form-Sb'!LCE94</f>
        <v>0</v>
      </c>
      <c r="LCB36" s="17">
        <f>'Form-Sb'!LCF94</f>
        <v>0</v>
      </c>
      <c r="LCC36" s="17">
        <f>'Form-Sb'!LCG94</f>
        <v>0</v>
      </c>
      <c r="LCD36" s="17">
        <f>'Form-Sb'!LCH94</f>
        <v>0</v>
      </c>
      <c r="LCE36" s="17">
        <f>'Form-Sb'!LCI94</f>
        <v>0</v>
      </c>
      <c r="LCF36" s="17">
        <f>'Form-Sb'!LCJ94</f>
        <v>0</v>
      </c>
      <c r="LCG36" s="17">
        <f>'Form-Sb'!LCK94</f>
        <v>0</v>
      </c>
      <c r="LCH36" s="17">
        <f>'Form-Sb'!LCL94</f>
        <v>0</v>
      </c>
      <c r="LCI36" s="17">
        <f>'Form-Sb'!LCM94</f>
        <v>0</v>
      </c>
      <c r="LCJ36" s="17">
        <f>'Form-Sb'!LCN94</f>
        <v>0</v>
      </c>
      <c r="LCK36" s="17">
        <f>'Form-Sb'!LCO94</f>
        <v>0</v>
      </c>
      <c r="LCL36" s="17">
        <f>'Form-Sb'!LCP94</f>
        <v>0</v>
      </c>
      <c r="LCM36" s="17">
        <f>'Form-Sb'!LCQ94</f>
        <v>0</v>
      </c>
      <c r="LCN36" s="17">
        <f>'Form-Sb'!LCR94</f>
        <v>0</v>
      </c>
      <c r="LCO36" s="17">
        <f>'Form-Sb'!LCS94</f>
        <v>0</v>
      </c>
      <c r="LCP36" s="17">
        <f>'Form-Sb'!LCT94</f>
        <v>0</v>
      </c>
      <c r="LCQ36" s="17">
        <f>'Form-Sb'!LCU94</f>
        <v>0</v>
      </c>
      <c r="LCR36" s="17">
        <f>'Form-Sb'!LCV94</f>
        <v>0</v>
      </c>
      <c r="LCS36" s="17">
        <f>'Form-Sb'!LCW94</f>
        <v>0</v>
      </c>
      <c r="LCT36" s="17">
        <f>'Form-Sb'!LCX94</f>
        <v>0</v>
      </c>
      <c r="LCU36" s="17">
        <f>'Form-Sb'!LCY94</f>
        <v>0</v>
      </c>
      <c r="LCV36" s="17">
        <f>'Form-Sb'!LCZ94</f>
        <v>0</v>
      </c>
      <c r="LCW36" s="17">
        <f>'Form-Sb'!LDA94</f>
        <v>0</v>
      </c>
      <c r="LCX36" s="17">
        <f>'Form-Sb'!LDB94</f>
        <v>0</v>
      </c>
      <c r="LCY36" s="17">
        <f>'Form-Sb'!LDC94</f>
        <v>0</v>
      </c>
      <c r="LCZ36" s="17">
        <f>'Form-Sb'!LDD94</f>
        <v>0</v>
      </c>
      <c r="LDA36" s="17">
        <f>'Form-Sb'!LDE94</f>
        <v>0</v>
      </c>
      <c r="LDB36" s="17">
        <f>'Form-Sb'!LDF94</f>
        <v>0</v>
      </c>
      <c r="LDC36" s="17">
        <f>'Form-Sb'!LDG94</f>
        <v>0</v>
      </c>
      <c r="LDD36" s="17">
        <f>'Form-Sb'!LDH94</f>
        <v>0</v>
      </c>
      <c r="LDE36" s="17">
        <f>'Form-Sb'!LDI94</f>
        <v>0</v>
      </c>
      <c r="LDF36" s="17">
        <f>'Form-Sb'!LDJ94</f>
        <v>0</v>
      </c>
      <c r="LDG36" s="17">
        <f>'Form-Sb'!LDK94</f>
        <v>0</v>
      </c>
      <c r="LDH36" s="17">
        <f>'Form-Sb'!LDL94</f>
        <v>0</v>
      </c>
      <c r="LDI36" s="17">
        <f>'Form-Sb'!LDM94</f>
        <v>0</v>
      </c>
      <c r="LDJ36" s="17">
        <f>'Form-Sb'!LDN94</f>
        <v>0</v>
      </c>
      <c r="LDK36" s="17">
        <f>'Form-Sb'!LDO94</f>
        <v>0</v>
      </c>
      <c r="LDL36" s="17">
        <f>'Form-Sb'!LDP94</f>
        <v>0</v>
      </c>
      <c r="LDM36" s="17">
        <f>'Form-Sb'!LDQ94</f>
        <v>0</v>
      </c>
      <c r="LDN36" s="17">
        <f>'Form-Sb'!LDR94</f>
        <v>0</v>
      </c>
      <c r="LDO36" s="17">
        <f>'Form-Sb'!LDS94</f>
        <v>0</v>
      </c>
      <c r="LDP36" s="17">
        <f>'Form-Sb'!LDT94</f>
        <v>0</v>
      </c>
      <c r="LDQ36" s="17">
        <f>'Form-Sb'!LDU94</f>
        <v>0</v>
      </c>
      <c r="LDR36" s="17">
        <f>'Form-Sb'!LDV94</f>
        <v>0</v>
      </c>
      <c r="LDS36" s="17">
        <f>'Form-Sb'!LDW94</f>
        <v>0</v>
      </c>
      <c r="LDT36" s="17">
        <f>'Form-Sb'!LDX94</f>
        <v>0</v>
      </c>
      <c r="LDU36" s="17">
        <f>'Form-Sb'!LDY94</f>
        <v>0</v>
      </c>
      <c r="LDV36" s="17">
        <f>'Form-Sb'!LDZ94</f>
        <v>0</v>
      </c>
      <c r="LDW36" s="17">
        <f>'Form-Sb'!LEA94</f>
        <v>0</v>
      </c>
      <c r="LDX36" s="17">
        <f>'Form-Sb'!LEB94</f>
        <v>0</v>
      </c>
      <c r="LDY36" s="17">
        <f>'Form-Sb'!LEC94</f>
        <v>0</v>
      </c>
      <c r="LDZ36" s="17">
        <f>'Form-Sb'!LED94</f>
        <v>0</v>
      </c>
      <c r="LEA36" s="17">
        <f>'Form-Sb'!LEE94</f>
        <v>0</v>
      </c>
      <c r="LEB36" s="17">
        <f>'Form-Sb'!LEF94</f>
        <v>0</v>
      </c>
      <c r="LEC36" s="17">
        <f>'Form-Sb'!LEG94</f>
        <v>0</v>
      </c>
      <c r="LED36" s="17">
        <f>'Form-Sb'!LEH94</f>
        <v>0</v>
      </c>
      <c r="LEE36" s="17">
        <f>'Form-Sb'!LEI94</f>
        <v>0</v>
      </c>
      <c r="LEF36" s="17">
        <f>'Form-Sb'!LEJ94</f>
        <v>0</v>
      </c>
      <c r="LEG36" s="17">
        <f>'Form-Sb'!LEK94</f>
        <v>0</v>
      </c>
      <c r="LEH36" s="17">
        <f>'Form-Sb'!LEL94</f>
        <v>0</v>
      </c>
      <c r="LEI36" s="17">
        <f>'Form-Sb'!LEM94</f>
        <v>0</v>
      </c>
      <c r="LEJ36" s="17">
        <f>'Form-Sb'!LEN94</f>
        <v>0</v>
      </c>
      <c r="LEK36" s="17">
        <f>'Form-Sb'!LEO94</f>
        <v>0</v>
      </c>
      <c r="LEL36" s="17">
        <f>'Form-Sb'!LEP94</f>
        <v>0</v>
      </c>
      <c r="LEM36" s="17">
        <f>'Form-Sb'!LEQ94</f>
        <v>0</v>
      </c>
      <c r="LEN36" s="17">
        <f>'Form-Sb'!LER94</f>
        <v>0</v>
      </c>
      <c r="LEO36" s="17">
        <f>'Form-Sb'!LES94</f>
        <v>0</v>
      </c>
      <c r="LEP36" s="17">
        <f>'Form-Sb'!LET94</f>
        <v>0</v>
      </c>
      <c r="LEQ36" s="17">
        <f>'Form-Sb'!LEU94</f>
        <v>0</v>
      </c>
      <c r="LER36" s="17">
        <f>'Form-Sb'!LEV94</f>
        <v>0</v>
      </c>
      <c r="LES36" s="17">
        <f>'Form-Sb'!LEW94</f>
        <v>0</v>
      </c>
      <c r="LET36" s="17">
        <f>'Form-Sb'!LEX94</f>
        <v>0</v>
      </c>
      <c r="LEU36" s="17">
        <f>'Form-Sb'!LEY94</f>
        <v>0</v>
      </c>
      <c r="LEV36" s="17">
        <f>'Form-Sb'!LEZ94</f>
        <v>0</v>
      </c>
      <c r="LEW36" s="17">
        <f>'Form-Sb'!LFA94</f>
        <v>0</v>
      </c>
      <c r="LEX36" s="17">
        <f>'Form-Sb'!LFB94</f>
        <v>0</v>
      </c>
      <c r="LEY36" s="17">
        <f>'Form-Sb'!LFC94</f>
        <v>0</v>
      </c>
      <c r="LEZ36" s="17">
        <f>'Form-Sb'!LFD94</f>
        <v>0</v>
      </c>
      <c r="LFA36" s="17">
        <f>'Form-Sb'!LFE94</f>
        <v>0</v>
      </c>
      <c r="LFB36" s="17">
        <f>'Form-Sb'!LFF94</f>
        <v>0</v>
      </c>
      <c r="LFC36" s="17">
        <f>'Form-Sb'!LFG94</f>
        <v>0</v>
      </c>
      <c r="LFD36" s="17">
        <f>'Form-Sb'!LFH94</f>
        <v>0</v>
      </c>
      <c r="LFE36" s="17">
        <f>'Form-Sb'!LFI94</f>
        <v>0</v>
      </c>
      <c r="LFF36" s="17">
        <f>'Form-Sb'!LFJ94</f>
        <v>0</v>
      </c>
      <c r="LFG36" s="17">
        <f>'Form-Sb'!LFK94</f>
        <v>0</v>
      </c>
      <c r="LFH36" s="17">
        <f>'Form-Sb'!LFL94</f>
        <v>0</v>
      </c>
      <c r="LFI36" s="17">
        <f>'Form-Sb'!LFM94</f>
        <v>0</v>
      </c>
      <c r="LFJ36" s="17">
        <f>'Form-Sb'!LFN94</f>
        <v>0</v>
      </c>
      <c r="LFK36" s="17">
        <f>'Form-Sb'!LFO94</f>
        <v>0</v>
      </c>
      <c r="LFL36" s="17">
        <f>'Form-Sb'!LFP94</f>
        <v>0</v>
      </c>
      <c r="LFM36" s="17">
        <f>'Form-Sb'!LFQ94</f>
        <v>0</v>
      </c>
      <c r="LFN36" s="17">
        <f>'Form-Sb'!LFR94</f>
        <v>0</v>
      </c>
      <c r="LFO36" s="17">
        <f>'Form-Sb'!LFS94</f>
        <v>0</v>
      </c>
      <c r="LFP36" s="17">
        <f>'Form-Sb'!LFT94</f>
        <v>0</v>
      </c>
      <c r="LFQ36" s="17">
        <f>'Form-Sb'!LFU94</f>
        <v>0</v>
      </c>
      <c r="LFR36" s="17">
        <f>'Form-Sb'!LFV94</f>
        <v>0</v>
      </c>
      <c r="LFS36" s="17">
        <f>'Form-Sb'!LFW94</f>
        <v>0</v>
      </c>
      <c r="LFT36" s="17">
        <f>'Form-Sb'!LFX94</f>
        <v>0</v>
      </c>
      <c r="LFU36" s="17">
        <f>'Form-Sb'!LFY94</f>
        <v>0</v>
      </c>
      <c r="LFV36" s="17">
        <f>'Form-Sb'!LFZ94</f>
        <v>0</v>
      </c>
      <c r="LFW36" s="17">
        <f>'Form-Sb'!LGA94</f>
        <v>0</v>
      </c>
      <c r="LFX36" s="17">
        <f>'Form-Sb'!LGB94</f>
        <v>0</v>
      </c>
      <c r="LFY36" s="17">
        <f>'Form-Sb'!LGC94</f>
        <v>0</v>
      </c>
      <c r="LFZ36" s="17">
        <f>'Form-Sb'!LGD94</f>
        <v>0</v>
      </c>
      <c r="LGA36" s="17">
        <f>'Form-Sb'!LGE94</f>
        <v>0</v>
      </c>
      <c r="LGB36" s="17">
        <f>'Form-Sb'!LGF94</f>
        <v>0</v>
      </c>
      <c r="LGC36" s="17">
        <f>'Form-Sb'!LGG94</f>
        <v>0</v>
      </c>
      <c r="LGD36" s="17">
        <f>'Form-Sb'!LGH94</f>
        <v>0</v>
      </c>
      <c r="LGE36" s="17">
        <f>'Form-Sb'!LGI94</f>
        <v>0</v>
      </c>
      <c r="LGF36" s="17">
        <f>'Form-Sb'!LGJ94</f>
        <v>0</v>
      </c>
      <c r="LGG36" s="17">
        <f>'Form-Sb'!LGK94</f>
        <v>0</v>
      </c>
      <c r="LGH36" s="17">
        <f>'Form-Sb'!LGL94</f>
        <v>0</v>
      </c>
      <c r="LGI36" s="17">
        <f>'Form-Sb'!LGM94</f>
        <v>0</v>
      </c>
      <c r="LGJ36" s="17">
        <f>'Form-Sb'!LGN94</f>
        <v>0</v>
      </c>
      <c r="LGK36" s="17">
        <f>'Form-Sb'!LGO94</f>
        <v>0</v>
      </c>
      <c r="LGL36" s="17">
        <f>'Form-Sb'!LGP94</f>
        <v>0</v>
      </c>
      <c r="LGM36" s="17">
        <f>'Form-Sb'!LGQ94</f>
        <v>0</v>
      </c>
      <c r="LGN36" s="17">
        <f>'Form-Sb'!LGR94</f>
        <v>0</v>
      </c>
      <c r="LGO36" s="17">
        <f>'Form-Sb'!LGS94</f>
        <v>0</v>
      </c>
      <c r="LGP36" s="17">
        <f>'Form-Sb'!LGT94</f>
        <v>0</v>
      </c>
      <c r="LGQ36" s="17">
        <f>'Form-Sb'!LGU94</f>
        <v>0</v>
      </c>
      <c r="LGR36" s="17">
        <f>'Form-Sb'!LGV94</f>
        <v>0</v>
      </c>
      <c r="LGS36" s="17">
        <f>'Form-Sb'!LGW94</f>
        <v>0</v>
      </c>
      <c r="LGT36" s="17">
        <f>'Form-Sb'!LGX94</f>
        <v>0</v>
      </c>
      <c r="LGU36" s="17">
        <f>'Form-Sb'!LGY94</f>
        <v>0</v>
      </c>
      <c r="LGV36" s="17">
        <f>'Form-Sb'!LGZ94</f>
        <v>0</v>
      </c>
      <c r="LGW36" s="17">
        <f>'Form-Sb'!LHA94</f>
        <v>0</v>
      </c>
      <c r="LGX36" s="17">
        <f>'Form-Sb'!LHB94</f>
        <v>0</v>
      </c>
      <c r="LGY36" s="17">
        <f>'Form-Sb'!LHC94</f>
        <v>0</v>
      </c>
      <c r="LGZ36" s="17">
        <f>'Form-Sb'!LHD94</f>
        <v>0</v>
      </c>
      <c r="LHA36" s="17">
        <f>'Form-Sb'!LHE94</f>
        <v>0</v>
      </c>
      <c r="LHB36" s="17">
        <f>'Form-Sb'!LHF94</f>
        <v>0</v>
      </c>
      <c r="LHC36" s="17">
        <f>'Form-Sb'!LHG94</f>
        <v>0</v>
      </c>
      <c r="LHD36" s="17">
        <f>'Form-Sb'!LHH94</f>
        <v>0</v>
      </c>
      <c r="LHE36" s="17">
        <f>'Form-Sb'!LHI94</f>
        <v>0</v>
      </c>
      <c r="LHF36" s="17">
        <f>'Form-Sb'!LHJ94</f>
        <v>0</v>
      </c>
      <c r="LHG36" s="17">
        <f>'Form-Sb'!LHK94</f>
        <v>0</v>
      </c>
      <c r="LHH36" s="17">
        <f>'Form-Sb'!LHL94</f>
        <v>0</v>
      </c>
      <c r="LHI36" s="17">
        <f>'Form-Sb'!LHM94</f>
        <v>0</v>
      </c>
      <c r="LHJ36" s="17">
        <f>'Form-Sb'!LHN94</f>
        <v>0</v>
      </c>
      <c r="LHK36" s="17">
        <f>'Form-Sb'!LHO94</f>
        <v>0</v>
      </c>
      <c r="LHL36" s="17">
        <f>'Form-Sb'!LHP94</f>
        <v>0</v>
      </c>
      <c r="LHM36" s="17">
        <f>'Form-Sb'!LHQ94</f>
        <v>0</v>
      </c>
      <c r="LHN36" s="17">
        <f>'Form-Sb'!LHR94</f>
        <v>0</v>
      </c>
      <c r="LHO36" s="17">
        <f>'Form-Sb'!LHS94</f>
        <v>0</v>
      </c>
      <c r="LHP36" s="17">
        <f>'Form-Sb'!LHT94</f>
        <v>0</v>
      </c>
      <c r="LHQ36" s="17">
        <f>'Form-Sb'!LHU94</f>
        <v>0</v>
      </c>
      <c r="LHR36" s="17">
        <f>'Form-Sb'!LHV94</f>
        <v>0</v>
      </c>
      <c r="LHS36" s="17">
        <f>'Form-Sb'!LHW94</f>
        <v>0</v>
      </c>
      <c r="LHT36" s="17">
        <f>'Form-Sb'!LHX94</f>
        <v>0</v>
      </c>
      <c r="LHU36" s="17">
        <f>'Form-Sb'!LHY94</f>
        <v>0</v>
      </c>
      <c r="LHV36" s="17">
        <f>'Form-Sb'!LHZ94</f>
        <v>0</v>
      </c>
      <c r="LHW36" s="17">
        <f>'Form-Sb'!LIA94</f>
        <v>0</v>
      </c>
      <c r="LHX36" s="17">
        <f>'Form-Sb'!LIB94</f>
        <v>0</v>
      </c>
      <c r="LHY36" s="17">
        <f>'Form-Sb'!LIC94</f>
        <v>0</v>
      </c>
      <c r="LHZ36" s="17">
        <f>'Form-Sb'!LID94</f>
        <v>0</v>
      </c>
      <c r="LIA36" s="17">
        <f>'Form-Sb'!LIE94</f>
        <v>0</v>
      </c>
      <c r="LIB36" s="17">
        <f>'Form-Sb'!LIF94</f>
        <v>0</v>
      </c>
      <c r="LIC36" s="17">
        <f>'Form-Sb'!LIG94</f>
        <v>0</v>
      </c>
      <c r="LID36" s="17">
        <f>'Form-Sb'!LIH94</f>
        <v>0</v>
      </c>
      <c r="LIE36" s="17">
        <f>'Form-Sb'!LII94</f>
        <v>0</v>
      </c>
      <c r="LIF36" s="17">
        <f>'Form-Sb'!LIJ94</f>
        <v>0</v>
      </c>
      <c r="LIG36" s="17">
        <f>'Form-Sb'!LIK94</f>
        <v>0</v>
      </c>
      <c r="LIH36" s="17">
        <f>'Form-Sb'!LIL94</f>
        <v>0</v>
      </c>
      <c r="LII36" s="17">
        <f>'Form-Sb'!LIM94</f>
        <v>0</v>
      </c>
      <c r="LIJ36" s="17">
        <f>'Form-Sb'!LIN94</f>
        <v>0</v>
      </c>
      <c r="LIK36" s="17">
        <f>'Form-Sb'!LIO94</f>
        <v>0</v>
      </c>
      <c r="LIL36" s="17">
        <f>'Form-Sb'!LIP94</f>
        <v>0</v>
      </c>
      <c r="LIM36" s="17">
        <f>'Form-Sb'!LIQ94</f>
        <v>0</v>
      </c>
      <c r="LIN36" s="17">
        <f>'Form-Sb'!LIR94</f>
        <v>0</v>
      </c>
      <c r="LIO36" s="17">
        <f>'Form-Sb'!LIS94</f>
        <v>0</v>
      </c>
      <c r="LIP36" s="17">
        <f>'Form-Sb'!LIT94</f>
        <v>0</v>
      </c>
      <c r="LIQ36" s="17">
        <f>'Form-Sb'!LIU94</f>
        <v>0</v>
      </c>
      <c r="LIR36" s="17">
        <f>'Form-Sb'!LIV94</f>
        <v>0</v>
      </c>
      <c r="LIS36" s="17">
        <f>'Form-Sb'!LIW94</f>
        <v>0</v>
      </c>
      <c r="LIT36" s="17">
        <f>'Form-Sb'!LIX94</f>
        <v>0</v>
      </c>
      <c r="LIU36" s="17">
        <f>'Form-Sb'!LIY94</f>
        <v>0</v>
      </c>
      <c r="LIV36" s="17">
        <f>'Form-Sb'!LIZ94</f>
        <v>0</v>
      </c>
      <c r="LIW36" s="17">
        <f>'Form-Sb'!LJA94</f>
        <v>0</v>
      </c>
      <c r="LIX36" s="17">
        <f>'Form-Sb'!LJB94</f>
        <v>0</v>
      </c>
      <c r="LIY36" s="17">
        <f>'Form-Sb'!LJC94</f>
        <v>0</v>
      </c>
      <c r="LIZ36" s="17">
        <f>'Form-Sb'!LJD94</f>
        <v>0</v>
      </c>
      <c r="LJA36" s="17">
        <f>'Form-Sb'!LJE94</f>
        <v>0</v>
      </c>
      <c r="LJB36" s="17">
        <f>'Form-Sb'!LJF94</f>
        <v>0</v>
      </c>
      <c r="LJC36" s="17">
        <f>'Form-Sb'!LJG94</f>
        <v>0</v>
      </c>
      <c r="LJD36" s="17">
        <f>'Form-Sb'!LJH94</f>
        <v>0</v>
      </c>
      <c r="LJE36" s="17">
        <f>'Form-Sb'!LJI94</f>
        <v>0</v>
      </c>
      <c r="LJF36" s="17">
        <f>'Form-Sb'!LJJ94</f>
        <v>0</v>
      </c>
      <c r="LJG36" s="17">
        <f>'Form-Sb'!LJK94</f>
        <v>0</v>
      </c>
      <c r="LJH36" s="17">
        <f>'Form-Sb'!LJL94</f>
        <v>0</v>
      </c>
      <c r="LJI36" s="17">
        <f>'Form-Sb'!LJM94</f>
        <v>0</v>
      </c>
      <c r="LJJ36" s="17">
        <f>'Form-Sb'!LJN94</f>
        <v>0</v>
      </c>
      <c r="LJK36" s="17">
        <f>'Form-Sb'!LJO94</f>
        <v>0</v>
      </c>
      <c r="LJL36" s="17">
        <f>'Form-Sb'!LJP94</f>
        <v>0</v>
      </c>
      <c r="LJM36" s="17">
        <f>'Form-Sb'!LJQ94</f>
        <v>0</v>
      </c>
      <c r="LJN36" s="17">
        <f>'Form-Sb'!LJR94</f>
        <v>0</v>
      </c>
      <c r="LJO36" s="17">
        <f>'Form-Sb'!LJS94</f>
        <v>0</v>
      </c>
      <c r="LJP36" s="17">
        <f>'Form-Sb'!LJT94</f>
        <v>0</v>
      </c>
      <c r="LJQ36" s="17">
        <f>'Form-Sb'!LJU94</f>
        <v>0</v>
      </c>
      <c r="LJR36" s="17">
        <f>'Form-Sb'!LJV94</f>
        <v>0</v>
      </c>
      <c r="LJS36" s="17">
        <f>'Form-Sb'!LJW94</f>
        <v>0</v>
      </c>
      <c r="LJT36" s="17">
        <f>'Form-Sb'!LJX94</f>
        <v>0</v>
      </c>
      <c r="LJU36" s="17">
        <f>'Form-Sb'!LJY94</f>
        <v>0</v>
      </c>
      <c r="LJV36" s="17">
        <f>'Form-Sb'!LJZ94</f>
        <v>0</v>
      </c>
      <c r="LJW36" s="17">
        <f>'Form-Sb'!LKA94</f>
        <v>0</v>
      </c>
      <c r="LJX36" s="17">
        <f>'Form-Sb'!LKB94</f>
        <v>0</v>
      </c>
      <c r="LJY36" s="17">
        <f>'Form-Sb'!LKC94</f>
        <v>0</v>
      </c>
      <c r="LJZ36" s="17">
        <f>'Form-Sb'!LKD94</f>
        <v>0</v>
      </c>
      <c r="LKA36" s="17">
        <f>'Form-Sb'!LKE94</f>
        <v>0</v>
      </c>
      <c r="LKB36" s="17">
        <f>'Form-Sb'!LKF94</f>
        <v>0</v>
      </c>
      <c r="LKC36" s="17">
        <f>'Form-Sb'!LKG94</f>
        <v>0</v>
      </c>
      <c r="LKD36" s="17">
        <f>'Form-Sb'!LKH94</f>
        <v>0</v>
      </c>
      <c r="LKE36" s="17">
        <f>'Form-Sb'!LKI94</f>
        <v>0</v>
      </c>
      <c r="LKF36" s="17">
        <f>'Form-Sb'!LKJ94</f>
        <v>0</v>
      </c>
      <c r="LKG36" s="17">
        <f>'Form-Sb'!LKK94</f>
        <v>0</v>
      </c>
      <c r="LKH36" s="17">
        <f>'Form-Sb'!LKL94</f>
        <v>0</v>
      </c>
      <c r="LKI36" s="17">
        <f>'Form-Sb'!LKM94</f>
        <v>0</v>
      </c>
      <c r="LKJ36" s="17">
        <f>'Form-Sb'!LKN94</f>
        <v>0</v>
      </c>
      <c r="LKK36" s="17">
        <f>'Form-Sb'!LKO94</f>
        <v>0</v>
      </c>
      <c r="LKL36" s="17">
        <f>'Form-Sb'!LKP94</f>
        <v>0</v>
      </c>
      <c r="LKM36" s="17">
        <f>'Form-Sb'!LKQ94</f>
        <v>0</v>
      </c>
      <c r="LKN36" s="17">
        <f>'Form-Sb'!LKR94</f>
        <v>0</v>
      </c>
      <c r="LKO36" s="17">
        <f>'Form-Sb'!LKS94</f>
        <v>0</v>
      </c>
      <c r="LKP36" s="17">
        <f>'Form-Sb'!LKT94</f>
        <v>0</v>
      </c>
      <c r="LKQ36" s="17">
        <f>'Form-Sb'!LKU94</f>
        <v>0</v>
      </c>
      <c r="LKR36" s="17">
        <f>'Form-Sb'!LKV94</f>
        <v>0</v>
      </c>
      <c r="LKS36" s="17">
        <f>'Form-Sb'!LKW94</f>
        <v>0</v>
      </c>
      <c r="LKT36" s="17">
        <f>'Form-Sb'!LKX94</f>
        <v>0</v>
      </c>
      <c r="LKU36" s="17">
        <f>'Form-Sb'!LKY94</f>
        <v>0</v>
      </c>
      <c r="LKV36" s="17">
        <f>'Form-Sb'!LKZ94</f>
        <v>0</v>
      </c>
      <c r="LKW36" s="17">
        <f>'Form-Sb'!LLA94</f>
        <v>0</v>
      </c>
      <c r="LKX36" s="17">
        <f>'Form-Sb'!LLB94</f>
        <v>0</v>
      </c>
      <c r="LKY36" s="17">
        <f>'Form-Sb'!LLC94</f>
        <v>0</v>
      </c>
      <c r="LKZ36" s="17">
        <f>'Form-Sb'!LLD94</f>
        <v>0</v>
      </c>
      <c r="LLA36" s="17">
        <f>'Form-Sb'!LLE94</f>
        <v>0</v>
      </c>
      <c r="LLB36" s="17">
        <f>'Form-Sb'!LLF94</f>
        <v>0</v>
      </c>
      <c r="LLC36" s="17">
        <f>'Form-Sb'!LLG94</f>
        <v>0</v>
      </c>
      <c r="LLD36" s="17">
        <f>'Form-Sb'!LLH94</f>
        <v>0</v>
      </c>
      <c r="LLE36" s="17">
        <f>'Form-Sb'!LLI94</f>
        <v>0</v>
      </c>
      <c r="LLF36" s="17">
        <f>'Form-Sb'!LLJ94</f>
        <v>0</v>
      </c>
      <c r="LLG36" s="17">
        <f>'Form-Sb'!LLK94</f>
        <v>0</v>
      </c>
      <c r="LLH36" s="17">
        <f>'Form-Sb'!LLL94</f>
        <v>0</v>
      </c>
      <c r="LLI36" s="17">
        <f>'Form-Sb'!LLM94</f>
        <v>0</v>
      </c>
      <c r="LLJ36" s="17">
        <f>'Form-Sb'!LLN94</f>
        <v>0</v>
      </c>
      <c r="LLK36" s="17">
        <f>'Form-Sb'!LLO94</f>
        <v>0</v>
      </c>
      <c r="LLL36" s="17">
        <f>'Form-Sb'!LLP94</f>
        <v>0</v>
      </c>
      <c r="LLM36" s="17">
        <f>'Form-Sb'!LLQ94</f>
        <v>0</v>
      </c>
      <c r="LLN36" s="17">
        <f>'Form-Sb'!LLR94</f>
        <v>0</v>
      </c>
      <c r="LLO36" s="17">
        <f>'Form-Sb'!LLS94</f>
        <v>0</v>
      </c>
      <c r="LLP36" s="17">
        <f>'Form-Sb'!LLT94</f>
        <v>0</v>
      </c>
      <c r="LLQ36" s="17">
        <f>'Form-Sb'!LLU94</f>
        <v>0</v>
      </c>
      <c r="LLR36" s="17">
        <f>'Form-Sb'!LLV94</f>
        <v>0</v>
      </c>
      <c r="LLS36" s="17">
        <f>'Form-Sb'!LLW94</f>
        <v>0</v>
      </c>
      <c r="LLT36" s="17">
        <f>'Form-Sb'!LLX94</f>
        <v>0</v>
      </c>
      <c r="LLU36" s="17">
        <f>'Form-Sb'!LLY94</f>
        <v>0</v>
      </c>
      <c r="LLV36" s="17">
        <f>'Form-Sb'!LLZ94</f>
        <v>0</v>
      </c>
      <c r="LLW36" s="17">
        <f>'Form-Sb'!LMA94</f>
        <v>0</v>
      </c>
      <c r="LLX36" s="17">
        <f>'Form-Sb'!LMB94</f>
        <v>0</v>
      </c>
      <c r="LLY36" s="17">
        <f>'Form-Sb'!LMC94</f>
        <v>0</v>
      </c>
      <c r="LLZ36" s="17">
        <f>'Form-Sb'!LMD94</f>
        <v>0</v>
      </c>
      <c r="LMA36" s="17">
        <f>'Form-Sb'!LME94</f>
        <v>0</v>
      </c>
      <c r="LMB36" s="17">
        <f>'Form-Sb'!LMF94</f>
        <v>0</v>
      </c>
      <c r="LMC36" s="17">
        <f>'Form-Sb'!LMG94</f>
        <v>0</v>
      </c>
      <c r="LMD36" s="17">
        <f>'Form-Sb'!LMH94</f>
        <v>0</v>
      </c>
      <c r="LME36" s="17">
        <f>'Form-Sb'!LMI94</f>
        <v>0</v>
      </c>
      <c r="LMF36" s="17">
        <f>'Form-Sb'!LMJ94</f>
        <v>0</v>
      </c>
      <c r="LMG36" s="17">
        <f>'Form-Sb'!LMK94</f>
        <v>0</v>
      </c>
      <c r="LMH36" s="17">
        <f>'Form-Sb'!LML94</f>
        <v>0</v>
      </c>
      <c r="LMI36" s="17">
        <f>'Form-Sb'!LMM94</f>
        <v>0</v>
      </c>
      <c r="LMJ36" s="17">
        <f>'Form-Sb'!LMN94</f>
        <v>0</v>
      </c>
      <c r="LMK36" s="17">
        <f>'Form-Sb'!LMO94</f>
        <v>0</v>
      </c>
      <c r="LML36" s="17">
        <f>'Form-Sb'!LMP94</f>
        <v>0</v>
      </c>
      <c r="LMM36" s="17">
        <f>'Form-Sb'!LMQ94</f>
        <v>0</v>
      </c>
      <c r="LMN36" s="17">
        <f>'Form-Sb'!LMR94</f>
        <v>0</v>
      </c>
      <c r="LMO36" s="17">
        <f>'Form-Sb'!LMS94</f>
        <v>0</v>
      </c>
      <c r="LMP36" s="17">
        <f>'Form-Sb'!LMT94</f>
        <v>0</v>
      </c>
      <c r="LMQ36" s="17">
        <f>'Form-Sb'!LMU94</f>
        <v>0</v>
      </c>
      <c r="LMR36" s="17">
        <f>'Form-Sb'!LMV94</f>
        <v>0</v>
      </c>
      <c r="LMS36" s="17">
        <f>'Form-Sb'!LMW94</f>
        <v>0</v>
      </c>
      <c r="LMT36" s="17">
        <f>'Form-Sb'!LMX94</f>
        <v>0</v>
      </c>
      <c r="LMU36" s="17">
        <f>'Form-Sb'!LMY94</f>
        <v>0</v>
      </c>
      <c r="LMV36" s="17">
        <f>'Form-Sb'!LMZ94</f>
        <v>0</v>
      </c>
      <c r="LMW36" s="17">
        <f>'Form-Sb'!LNA94</f>
        <v>0</v>
      </c>
      <c r="LMX36" s="17">
        <f>'Form-Sb'!LNB94</f>
        <v>0</v>
      </c>
      <c r="LMY36" s="17">
        <f>'Form-Sb'!LNC94</f>
        <v>0</v>
      </c>
      <c r="LMZ36" s="17">
        <f>'Form-Sb'!LND94</f>
        <v>0</v>
      </c>
      <c r="LNA36" s="17">
        <f>'Form-Sb'!LNE94</f>
        <v>0</v>
      </c>
      <c r="LNB36" s="17">
        <f>'Form-Sb'!LNF94</f>
        <v>0</v>
      </c>
      <c r="LNC36" s="17">
        <f>'Form-Sb'!LNG94</f>
        <v>0</v>
      </c>
      <c r="LND36" s="17">
        <f>'Form-Sb'!LNH94</f>
        <v>0</v>
      </c>
      <c r="LNE36" s="17">
        <f>'Form-Sb'!LNI94</f>
        <v>0</v>
      </c>
      <c r="LNF36" s="17">
        <f>'Form-Sb'!LNJ94</f>
        <v>0</v>
      </c>
      <c r="LNG36" s="17">
        <f>'Form-Sb'!LNK94</f>
        <v>0</v>
      </c>
      <c r="LNH36" s="17">
        <f>'Form-Sb'!LNL94</f>
        <v>0</v>
      </c>
      <c r="LNI36" s="17">
        <f>'Form-Sb'!LNM94</f>
        <v>0</v>
      </c>
      <c r="LNJ36" s="17">
        <f>'Form-Sb'!LNN94</f>
        <v>0</v>
      </c>
      <c r="LNK36" s="17">
        <f>'Form-Sb'!LNO94</f>
        <v>0</v>
      </c>
      <c r="LNL36" s="17">
        <f>'Form-Sb'!LNP94</f>
        <v>0</v>
      </c>
      <c r="LNM36" s="17">
        <f>'Form-Sb'!LNQ94</f>
        <v>0</v>
      </c>
      <c r="LNN36" s="17">
        <f>'Form-Sb'!LNR94</f>
        <v>0</v>
      </c>
      <c r="LNO36" s="17">
        <f>'Form-Sb'!LNS94</f>
        <v>0</v>
      </c>
      <c r="LNP36" s="17">
        <f>'Form-Sb'!LNT94</f>
        <v>0</v>
      </c>
      <c r="LNQ36" s="17">
        <f>'Form-Sb'!LNU94</f>
        <v>0</v>
      </c>
      <c r="LNR36" s="17">
        <f>'Form-Sb'!LNV94</f>
        <v>0</v>
      </c>
      <c r="LNS36" s="17">
        <f>'Form-Sb'!LNW94</f>
        <v>0</v>
      </c>
      <c r="LNT36" s="17">
        <f>'Form-Sb'!LNX94</f>
        <v>0</v>
      </c>
      <c r="LNU36" s="17">
        <f>'Form-Sb'!LNY94</f>
        <v>0</v>
      </c>
      <c r="LNV36" s="17">
        <f>'Form-Sb'!LNZ94</f>
        <v>0</v>
      </c>
      <c r="LNW36" s="17">
        <f>'Form-Sb'!LOA94</f>
        <v>0</v>
      </c>
      <c r="LNX36" s="17">
        <f>'Form-Sb'!LOB94</f>
        <v>0</v>
      </c>
      <c r="LNY36" s="17">
        <f>'Form-Sb'!LOC94</f>
        <v>0</v>
      </c>
      <c r="LNZ36" s="17">
        <f>'Form-Sb'!LOD94</f>
        <v>0</v>
      </c>
      <c r="LOA36" s="17">
        <f>'Form-Sb'!LOE94</f>
        <v>0</v>
      </c>
      <c r="LOB36" s="17">
        <f>'Form-Sb'!LOF94</f>
        <v>0</v>
      </c>
      <c r="LOC36" s="17">
        <f>'Form-Sb'!LOG94</f>
        <v>0</v>
      </c>
      <c r="LOD36" s="17">
        <f>'Form-Sb'!LOH94</f>
        <v>0</v>
      </c>
      <c r="LOE36" s="17">
        <f>'Form-Sb'!LOI94</f>
        <v>0</v>
      </c>
      <c r="LOF36" s="17">
        <f>'Form-Sb'!LOJ94</f>
        <v>0</v>
      </c>
      <c r="LOG36" s="17">
        <f>'Form-Sb'!LOK94</f>
        <v>0</v>
      </c>
      <c r="LOH36" s="17">
        <f>'Form-Sb'!LOL94</f>
        <v>0</v>
      </c>
      <c r="LOI36" s="17">
        <f>'Form-Sb'!LOM94</f>
        <v>0</v>
      </c>
      <c r="LOJ36" s="17">
        <f>'Form-Sb'!LON94</f>
        <v>0</v>
      </c>
      <c r="LOK36" s="17">
        <f>'Form-Sb'!LOO94</f>
        <v>0</v>
      </c>
      <c r="LOL36" s="17">
        <f>'Form-Sb'!LOP94</f>
        <v>0</v>
      </c>
      <c r="LOM36" s="17">
        <f>'Form-Sb'!LOQ94</f>
        <v>0</v>
      </c>
      <c r="LON36" s="17">
        <f>'Form-Sb'!LOR94</f>
        <v>0</v>
      </c>
      <c r="LOO36" s="17">
        <f>'Form-Sb'!LOS94</f>
        <v>0</v>
      </c>
      <c r="LOP36" s="17">
        <f>'Form-Sb'!LOT94</f>
        <v>0</v>
      </c>
      <c r="LOQ36" s="17">
        <f>'Form-Sb'!LOU94</f>
        <v>0</v>
      </c>
      <c r="LOR36" s="17">
        <f>'Form-Sb'!LOV94</f>
        <v>0</v>
      </c>
      <c r="LOS36" s="17">
        <f>'Form-Sb'!LOW94</f>
        <v>0</v>
      </c>
      <c r="LOT36" s="17">
        <f>'Form-Sb'!LOX94</f>
        <v>0</v>
      </c>
      <c r="LOU36" s="17">
        <f>'Form-Sb'!LOY94</f>
        <v>0</v>
      </c>
      <c r="LOV36" s="17">
        <f>'Form-Sb'!LOZ94</f>
        <v>0</v>
      </c>
      <c r="LOW36" s="17">
        <f>'Form-Sb'!LPA94</f>
        <v>0</v>
      </c>
      <c r="LOX36" s="17">
        <f>'Form-Sb'!LPB94</f>
        <v>0</v>
      </c>
      <c r="LOY36" s="17">
        <f>'Form-Sb'!LPC94</f>
        <v>0</v>
      </c>
      <c r="LOZ36" s="17">
        <f>'Form-Sb'!LPD94</f>
        <v>0</v>
      </c>
      <c r="LPA36" s="17">
        <f>'Form-Sb'!LPE94</f>
        <v>0</v>
      </c>
      <c r="LPB36" s="17">
        <f>'Form-Sb'!LPF94</f>
        <v>0</v>
      </c>
      <c r="LPC36" s="17">
        <f>'Form-Sb'!LPG94</f>
        <v>0</v>
      </c>
      <c r="LPD36" s="17">
        <f>'Form-Sb'!LPH94</f>
        <v>0</v>
      </c>
      <c r="LPE36" s="17">
        <f>'Form-Sb'!LPI94</f>
        <v>0</v>
      </c>
      <c r="LPF36" s="17">
        <f>'Form-Sb'!LPJ94</f>
        <v>0</v>
      </c>
      <c r="LPG36" s="17">
        <f>'Form-Sb'!LPK94</f>
        <v>0</v>
      </c>
      <c r="LPH36" s="17">
        <f>'Form-Sb'!LPL94</f>
        <v>0</v>
      </c>
      <c r="LPI36" s="17">
        <f>'Form-Sb'!LPM94</f>
        <v>0</v>
      </c>
      <c r="LPJ36" s="17">
        <f>'Form-Sb'!LPN94</f>
        <v>0</v>
      </c>
      <c r="LPK36" s="17">
        <f>'Form-Sb'!LPO94</f>
        <v>0</v>
      </c>
      <c r="LPL36" s="17">
        <f>'Form-Sb'!LPP94</f>
        <v>0</v>
      </c>
      <c r="LPM36" s="17">
        <f>'Form-Sb'!LPQ94</f>
        <v>0</v>
      </c>
      <c r="LPN36" s="17">
        <f>'Form-Sb'!LPR94</f>
        <v>0</v>
      </c>
      <c r="LPO36" s="17">
        <f>'Form-Sb'!LPS94</f>
        <v>0</v>
      </c>
      <c r="LPP36" s="17">
        <f>'Form-Sb'!LPT94</f>
        <v>0</v>
      </c>
      <c r="LPQ36" s="17">
        <f>'Form-Sb'!LPU94</f>
        <v>0</v>
      </c>
      <c r="LPR36" s="17">
        <f>'Form-Sb'!LPV94</f>
        <v>0</v>
      </c>
      <c r="LPS36" s="17">
        <f>'Form-Sb'!LPW94</f>
        <v>0</v>
      </c>
      <c r="LPT36" s="17">
        <f>'Form-Sb'!LPX94</f>
        <v>0</v>
      </c>
      <c r="LPU36" s="17">
        <f>'Form-Sb'!LPY94</f>
        <v>0</v>
      </c>
      <c r="LPV36" s="17">
        <f>'Form-Sb'!LPZ94</f>
        <v>0</v>
      </c>
      <c r="LPW36" s="17">
        <f>'Form-Sb'!LQA94</f>
        <v>0</v>
      </c>
      <c r="LPX36" s="17">
        <f>'Form-Sb'!LQB94</f>
        <v>0</v>
      </c>
      <c r="LPY36" s="17">
        <f>'Form-Sb'!LQC94</f>
        <v>0</v>
      </c>
      <c r="LPZ36" s="17">
        <f>'Form-Sb'!LQD94</f>
        <v>0</v>
      </c>
      <c r="LQA36" s="17">
        <f>'Form-Sb'!LQE94</f>
        <v>0</v>
      </c>
      <c r="LQB36" s="17">
        <f>'Form-Sb'!LQF94</f>
        <v>0</v>
      </c>
      <c r="LQC36" s="17">
        <f>'Form-Sb'!LQG94</f>
        <v>0</v>
      </c>
      <c r="LQD36" s="17">
        <f>'Form-Sb'!LQH94</f>
        <v>0</v>
      </c>
      <c r="LQE36" s="17">
        <f>'Form-Sb'!LQI94</f>
        <v>0</v>
      </c>
      <c r="LQF36" s="17">
        <f>'Form-Sb'!LQJ94</f>
        <v>0</v>
      </c>
      <c r="LQG36" s="17">
        <f>'Form-Sb'!LQK94</f>
        <v>0</v>
      </c>
      <c r="LQH36" s="17">
        <f>'Form-Sb'!LQL94</f>
        <v>0</v>
      </c>
      <c r="LQI36" s="17">
        <f>'Form-Sb'!LQM94</f>
        <v>0</v>
      </c>
      <c r="LQJ36" s="17">
        <f>'Form-Sb'!LQN94</f>
        <v>0</v>
      </c>
      <c r="LQK36" s="17">
        <f>'Form-Sb'!LQO94</f>
        <v>0</v>
      </c>
      <c r="LQL36" s="17">
        <f>'Form-Sb'!LQP94</f>
        <v>0</v>
      </c>
      <c r="LQM36" s="17">
        <f>'Form-Sb'!LQQ94</f>
        <v>0</v>
      </c>
      <c r="LQN36" s="17">
        <f>'Form-Sb'!LQR94</f>
        <v>0</v>
      </c>
      <c r="LQO36" s="17">
        <f>'Form-Sb'!LQS94</f>
        <v>0</v>
      </c>
      <c r="LQP36" s="17">
        <f>'Form-Sb'!LQT94</f>
        <v>0</v>
      </c>
      <c r="LQQ36" s="17">
        <f>'Form-Sb'!LQU94</f>
        <v>0</v>
      </c>
      <c r="LQR36" s="17">
        <f>'Form-Sb'!LQV94</f>
        <v>0</v>
      </c>
      <c r="LQS36" s="17">
        <f>'Form-Sb'!LQW94</f>
        <v>0</v>
      </c>
      <c r="LQT36" s="17">
        <f>'Form-Sb'!LQX94</f>
        <v>0</v>
      </c>
      <c r="LQU36" s="17">
        <f>'Form-Sb'!LQY94</f>
        <v>0</v>
      </c>
      <c r="LQV36" s="17">
        <f>'Form-Sb'!LQZ94</f>
        <v>0</v>
      </c>
      <c r="LQW36" s="17">
        <f>'Form-Sb'!LRA94</f>
        <v>0</v>
      </c>
      <c r="LQX36" s="17">
        <f>'Form-Sb'!LRB94</f>
        <v>0</v>
      </c>
      <c r="LQY36" s="17">
        <f>'Form-Sb'!LRC94</f>
        <v>0</v>
      </c>
      <c r="LQZ36" s="17">
        <f>'Form-Sb'!LRD94</f>
        <v>0</v>
      </c>
      <c r="LRA36" s="17">
        <f>'Form-Sb'!LRE94</f>
        <v>0</v>
      </c>
      <c r="LRB36" s="17">
        <f>'Form-Sb'!LRF94</f>
        <v>0</v>
      </c>
      <c r="LRC36" s="17">
        <f>'Form-Sb'!LRG94</f>
        <v>0</v>
      </c>
      <c r="LRD36" s="17">
        <f>'Form-Sb'!LRH94</f>
        <v>0</v>
      </c>
      <c r="LRE36" s="17">
        <f>'Form-Sb'!LRI94</f>
        <v>0</v>
      </c>
      <c r="LRF36" s="17">
        <f>'Form-Sb'!LRJ94</f>
        <v>0</v>
      </c>
      <c r="LRG36" s="17">
        <f>'Form-Sb'!LRK94</f>
        <v>0</v>
      </c>
      <c r="LRH36" s="17">
        <f>'Form-Sb'!LRL94</f>
        <v>0</v>
      </c>
      <c r="LRI36" s="17">
        <f>'Form-Sb'!LRM94</f>
        <v>0</v>
      </c>
      <c r="LRJ36" s="17">
        <f>'Form-Sb'!LRN94</f>
        <v>0</v>
      </c>
      <c r="LRK36" s="17">
        <f>'Form-Sb'!LRO94</f>
        <v>0</v>
      </c>
      <c r="LRL36" s="17">
        <f>'Form-Sb'!LRP94</f>
        <v>0</v>
      </c>
      <c r="LRM36" s="17">
        <f>'Form-Sb'!LRQ94</f>
        <v>0</v>
      </c>
      <c r="LRN36" s="17">
        <f>'Form-Sb'!LRR94</f>
        <v>0</v>
      </c>
      <c r="LRO36" s="17">
        <f>'Form-Sb'!LRS94</f>
        <v>0</v>
      </c>
      <c r="LRP36" s="17">
        <f>'Form-Sb'!LRT94</f>
        <v>0</v>
      </c>
      <c r="LRQ36" s="17">
        <f>'Form-Sb'!LRU94</f>
        <v>0</v>
      </c>
      <c r="LRR36" s="17">
        <f>'Form-Sb'!LRV94</f>
        <v>0</v>
      </c>
      <c r="LRS36" s="17">
        <f>'Form-Sb'!LRW94</f>
        <v>0</v>
      </c>
      <c r="LRT36" s="17">
        <f>'Form-Sb'!LRX94</f>
        <v>0</v>
      </c>
      <c r="LRU36" s="17">
        <f>'Form-Sb'!LRY94</f>
        <v>0</v>
      </c>
      <c r="LRV36" s="17">
        <f>'Form-Sb'!LRZ94</f>
        <v>0</v>
      </c>
      <c r="LRW36" s="17">
        <f>'Form-Sb'!LSA94</f>
        <v>0</v>
      </c>
      <c r="LRX36" s="17">
        <f>'Form-Sb'!LSB94</f>
        <v>0</v>
      </c>
      <c r="LRY36" s="17">
        <f>'Form-Sb'!LSC94</f>
        <v>0</v>
      </c>
      <c r="LRZ36" s="17">
        <f>'Form-Sb'!LSD94</f>
        <v>0</v>
      </c>
      <c r="LSA36" s="17">
        <f>'Form-Sb'!LSE94</f>
        <v>0</v>
      </c>
      <c r="LSB36" s="17">
        <f>'Form-Sb'!LSF94</f>
        <v>0</v>
      </c>
      <c r="LSC36" s="17">
        <f>'Form-Sb'!LSG94</f>
        <v>0</v>
      </c>
      <c r="LSD36" s="17">
        <f>'Form-Sb'!LSH94</f>
        <v>0</v>
      </c>
      <c r="LSE36" s="17">
        <f>'Form-Sb'!LSI94</f>
        <v>0</v>
      </c>
      <c r="LSF36" s="17">
        <f>'Form-Sb'!LSJ94</f>
        <v>0</v>
      </c>
      <c r="LSG36" s="17">
        <f>'Form-Sb'!LSK94</f>
        <v>0</v>
      </c>
      <c r="LSH36" s="17">
        <f>'Form-Sb'!LSL94</f>
        <v>0</v>
      </c>
      <c r="LSI36" s="17">
        <f>'Form-Sb'!LSM94</f>
        <v>0</v>
      </c>
      <c r="LSJ36" s="17">
        <f>'Form-Sb'!LSN94</f>
        <v>0</v>
      </c>
      <c r="LSK36" s="17">
        <f>'Form-Sb'!LSO94</f>
        <v>0</v>
      </c>
      <c r="LSL36" s="17">
        <f>'Form-Sb'!LSP94</f>
        <v>0</v>
      </c>
      <c r="LSM36" s="17">
        <f>'Form-Sb'!LSQ94</f>
        <v>0</v>
      </c>
      <c r="LSN36" s="17">
        <f>'Form-Sb'!LSR94</f>
        <v>0</v>
      </c>
      <c r="LSO36" s="17">
        <f>'Form-Sb'!LSS94</f>
        <v>0</v>
      </c>
      <c r="LSP36" s="17">
        <f>'Form-Sb'!LST94</f>
        <v>0</v>
      </c>
      <c r="LSQ36" s="17">
        <f>'Form-Sb'!LSU94</f>
        <v>0</v>
      </c>
      <c r="LSR36" s="17">
        <f>'Form-Sb'!LSV94</f>
        <v>0</v>
      </c>
      <c r="LSS36" s="17">
        <f>'Form-Sb'!LSW94</f>
        <v>0</v>
      </c>
      <c r="LST36" s="17">
        <f>'Form-Sb'!LSX94</f>
        <v>0</v>
      </c>
      <c r="LSU36" s="17">
        <f>'Form-Sb'!LSY94</f>
        <v>0</v>
      </c>
      <c r="LSV36" s="17">
        <f>'Form-Sb'!LSZ94</f>
        <v>0</v>
      </c>
      <c r="LSW36" s="17">
        <f>'Form-Sb'!LTA94</f>
        <v>0</v>
      </c>
      <c r="LSX36" s="17">
        <f>'Form-Sb'!LTB94</f>
        <v>0</v>
      </c>
      <c r="LSY36" s="17">
        <f>'Form-Sb'!LTC94</f>
        <v>0</v>
      </c>
      <c r="LSZ36" s="17">
        <f>'Form-Sb'!LTD94</f>
        <v>0</v>
      </c>
      <c r="LTA36" s="17">
        <f>'Form-Sb'!LTE94</f>
        <v>0</v>
      </c>
      <c r="LTB36" s="17">
        <f>'Form-Sb'!LTF94</f>
        <v>0</v>
      </c>
      <c r="LTC36" s="17">
        <f>'Form-Sb'!LTG94</f>
        <v>0</v>
      </c>
      <c r="LTD36" s="17">
        <f>'Form-Sb'!LTH94</f>
        <v>0</v>
      </c>
      <c r="LTE36" s="17">
        <f>'Form-Sb'!LTI94</f>
        <v>0</v>
      </c>
      <c r="LTF36" s="17">
        <f>'Form-Sb'!LTJ94</f>
        <v>0</v>
      </c>
      <c r="LTG36" s="17">
        <f>'Form-Sb'!LTK94</f>
        <v>0</v>
      </c>
      <c r="LTH36" s="17">
        <f>'Form-Sb'!LTL94</f>
        <v>0</v>
      </c>
      <c r="LTI36" s="17">
        <f>'Form-Sb'!LTM94</f>
        <v>0</v>
      </c>
      <c r="LTJ36" s="17">
        <f>'Form-Sb'!LTN94</f>
        <v>0</v>
      </c>
      <c r="LTK36" s="17">
        <f>'Form-Sb'!LTO94</f>
        <v>0</v>
      </c>
      <c r="LTL36" s="17">
        <f>'Form-Sb'!LTP94</f>
        <v>0</v>
      </c>
      <c r="LTM36" s="17">
        <f>'Form-Sb'!LTQ94</f>
        <v>0</v>
      </c>
      <c r="LTN36" s="17">
        <f>'Form-Sb'!LTR94</f>
        <v>0</v>
      </c>
      <c r="LTO36" s="17">
        <f>'Form-Sb'!LTS94</f>
        <v>0</v>
      </c>
      <c r="LTP36" s="17">
        <f>'Form-Sb'!LTT94</f>
        <v>0</v>
      </c>
      <c r="LTQ36" s="17">
        <f>'Form-Sb'!LTU94</f>
        <v>0</v>
      </c>
      <c r="LTR36" s="17">
        <f>'Form-Sb'!LTV94</f>
        <v>0</v>
      </c>
      <c r="LTS36" s="17">
        <f>'Form-Sb'!LTW94</f>
        <v>0</v>
      </c>
      <c r="LTT36" s="17">
        <f>'Form-Sb'!LTX94</f>
        <v>0</v>
      </c>
      <c r="LTU36" s="17">
        <f>'Form-Sb'!LTY94</f>
        <v>0</v>
      </c>
      <c r="LTV36" s="17">
        <f>'Form-Sb'!LTZ94</f>
        <v>0</v>
      </c>
      <c r="LTW36" s="17">
        <f>'Form-Sb'!LUA94</f>
        <v>0</v>
      </c>
      <c r="LTX36" s="17">
        <f>'Form-Sb'!LUB94</f>
        <v>0</v>
      </c>
      <c r="LTY36" s="17">
        <f>'Form-Sb'!LUC94</f>
        <v>0</v>
      </c>
      <c r="LTZ36" s="17">
        <f>'Form-Sb'!LUD94</f>
        <v>0</v>
      </c>
      <c r="LUA36" s="17">
        <f>'Form-Sb'!LUE94</f>
        <v>0</v>
      </c>
      <c r="LUB36" s="17">
        <f>'Form-Sb'!LUF94</f>
        <v>0</v>
      </c>
      <c r="LUC36" s="17">
        <f>'Form-Sb'!LUG94</f>
        <v>0</v>
      </c>
      <c r="LUD36" s="17">
        <f>'Form-Sb'!LUH94</f>
        <v>0</v>
      </c>
      <c r="LUE36" s="17">
        <f>'Form-Sb'!LUI94</f>
        <v>0</v>
      </c>
      <c r="LUF36" s="17">
        <f>'Form-Sb'!LUJ94</f>
        <v>0</v>
      </c>
      <c r="LUG36" s="17">
        <f>'Form-Sb'!LUK94</f>
        <v>0</v>
      </c>
      <c r="LUH36" s="17">
        <f>'Form-Sb'!LUL94</f>
        <v>0</v>
      </c>
      <c r="LUI36" s="17">
        <f>'Form-Sb'!LUM94</f>
        <v>0</v>
      </c>
      <c r="LUJ36" s="17">
        <f>'Form-Sb'!LUN94</f>
        <v>0</v>
      </c>
      <c r="LUK36" s="17">
        <f>'Form-Sb'!LUO94</f>
        <v>0</v>
      </c>
      <c r="LUL36" s="17">
        <f>'Form-Sb'!LUP94</f>
        <v>0</v>
      </c>
      <c r="LUM36" s="17">
        <f>'Form-Sb'!LUQ94</f>
        <v>0</v>
      </c>
      <c r="LUN36" s="17">
        <f>'Form-Sb'!LUR94</f>
        <v>0</v>
      </c>
      <c r="LUO36" s="17">
        <f>'Form-Sb'!LUS94</f>
        <v>0</v>
      </c>
      <c r="LUP36" s="17">
        <f>'Form-Sb'!LUT94</f>
        <v>0</v>
      </c>
      <c r="LUQ36" s="17">
        <f>'Form-Sb'!LUU94</f>
        <v>0</v>
      </c>
      <c r="LUR36" s="17">
        <f>'Form-Sb'!LUV94</f>
        <v>0</v>
      </c>
      <c r="LUS36" s="17">
        <f>'Form-Sb'!LUW94</f>
        <v>0</v>
      </c>
      <c r="LUT36" s="17">
        <f>'Form-Sb'!LUX94</f>
        <v>0</v>
      </c>
      <c r="LUU36" s="17">
        <f>'Form-Sb'!LUY94</f>
        <v>0</v>
      </c>
      <c r="LUV36" s="17">
        <f>'Form-Sb'!LUZ94</f>
        <v>0</v>
      </c>
      <c r="LUW36" s="17">
        <f>'Form-Sb'!LVA94</f>
        <v>0</v>
      </c>
      <c r="LUX36" s="17">
        <f>'Form-Sb'!LVB94</f>
        <v>0</v>
      </c>
      <c r="LUY36" s="17">
        <f>'Form-Sb'!LVC94</f>
        <v>0</v>
      </c>
      <c r="LUZ36" s="17">
        <f>'Form-Sb'!LVD94</f>
        <v>0</v>
      </c>
      <c r="LVA36" s="17">
        <f>'Form-Sb'!LVE94</f>
        <v>0</v>
      </c>
      <c r="LVB36" s="17">
        <f>'Form-Sb'!LVF94</f>
        <v>0</v>
      </c>
      <c r="LVC36" s="17">
        <f>'Form-Sb'!LVG94</f>
        <v>0</v>
      </c>
      <c r="LVD36" s="17">
        <f>'Form-Sb'!LVH94</f>
        <v>0</v>
      </c>
      <c r="LVE36" s="17">
        <f>'Form-Sb'!LVI94</f>
        <v>0</v>
      </c>
      <c r="LVF36" s="17">
        <f>'Form-Sb'!LVJ94</f>
        <v>0</v>
      </c>
      <c r="LVG36" s="17">
        <f>'Form-Sb'!LVK94</f>
        <v>0</v>
      </c>
      <c r="LVH36" s="17">
        <f>'Form-Sb'!LVL94</f>
        <v>0</v>
      </c>
      <c r="LVI36" s="17">
        <f>'Form-Sb'!LVM94</f>
        <v>0</v>
      </c>
      <c r="LVJ36" s="17">
        <f>'Form-Sb'!LVN94</f>
        <v>0</v>
      </c>
      <c r="LVK36" s="17">
        <f>'Form-Sb'!LVO94</f>
        <v>0</v>
      </c>
      <c r="LVL36" s="17">
        <f>'Form-Sb'!LVP94</f>
        <v>0</v>
      </c>
      <c r="LVM36" s="17">
        <f>'Form-Sb'!LVQ94</f>
        <v>0</v>
      </c>
      <c r="LVN36" s="17">
        <f>'Form-Sb'!LVR94</f>
        <v>0</v>
      </c>
      <c r="LVO36" s="17">
        <f>'Form-Sb'!LVS94</f>
        <v>0</v>
      </c>
      <c r="LVP36" s="17">
        <f>'Form-Sb'!LVT94</f>
        <v>0</v>
      </c>
      <c r="LVQ36" s="17">
        <f>'Form-Sb'!LVU94</f>
        <v>0</v>
      </c>
      <c r="LVR36" s="17">
        <f>'Form-Sb'!LVV94</f>
        <v>0</v>
      </c>
      <c r="LVS36" s="17">
        <f>'Form-Sb'!LVW94</f>
        <v>0</v>
      </c>
      <c r="LVT36" s="17">
        <f>'Form-Sb'!LVX94</f>
        <v>0</v>
      </c>
      <c r="LVU36" s="17">
        <f>'Form-Sb'!LVY94</f>
        <v>0</v>
      </c>
      <c r="LVV36" s="17">
        <f>'Form-Sb'!LVZ94</f>
        <v>0</v>
      </c>
      <c r="LVW36" s="17">
        <f>'Form-Sb'!LWA94</f>
        <v>0</v>
      </c>
      <c r="LVX36" s="17">
        <f>'Form-Sb'!LWB94</f>
        <v>0</v>
      </c>
      <c r="LVY36" s="17">
        <f>'Form-Sb'!LWC94</f>
        <v>0</v>
      </c>
      <c r="LVZ36" s="17">
        <f>'Form-Sb'!LWD94</f>
        <v>0</v>
      </c>
      <c r="LWA36" s="17">
        <f>'Form-Sb'!LWE94</f>
        <v>0</v>
      </c>
      <c r="LWB36" s="17">
        <f>'Form-Sb'!LWF94</f>
        <v>0</v>
      </c>
      <c r="LWC36" s="17">
        <f>'Form-Sb'!LWG94</f>
        <v>0</v>
      </c>
      <c r="LWD36" s="17">
        <f>'Form-Sb'!LWH94</f>
        <v>0</v>
      </c>
      <c r="LWE36" s="17">
        <f>'Form-Sb'!LWI94</f>
        <v>0</v>
      </c>
      <c r="LWF36" s="17">
        <f>'Form-Sb'!LWJ94</f>
        <v>0</v>
      </c>
      <c r="LWG36" s="17">
        <f>'Form-Sb'!LWK94</f>
        <v>0</v>
      </c>
      <c r="LWH36" s="17">
        <f>'Form-Sb'!LWL94</f>
        <v>0</v>
      </c>
      <c r="LWI36" s="17">
        <f>'Form-Sb'!LWM94</f>
        <v>0</v>
      </c>
      <c r="LWJ36" s="17">
        <f>'Form-Sb'!LWN94</f>
        <v>0</v>
      </c>
      <c r="LWK36" s="17">
        <f>'Form-Sb'!LWO94</f>
        <v>0</v>
      </c>
      <c r="LWL36" s="17">
        <f>'Form-Sb'!LWP94</f>
        <v>0</v>
      </c>
      <c r="LWM36" s="17">
        <f>'Form-Sb'!LWQ94</f>
        <v>0</v>
      </c>
      <c r="LWN36" s="17">
        <f>'Form-Sb'!LWR94</f>
        <v>0</v>
      </c>
      <c r="LWO36" s="17">
        <f>'Form-Sb'!LWS94</f>
        <v>0</v>
      </c>
      <c r="LWP36" s="17">
        <f>'Form-Sb'!LWT94</f>
        <v>0</v>
      </c>
      <c r="LWQ36" s="17">
        <f>'Form-Sb'!LWU94</f>
        <v>0</v>
      </c>
      <c r="LWR36" s="17">
        <f>'Form-Sb'!LWV94</f>
        <v>0</v>
      </c>
      <c r="LWS36" s="17">
        <f>'Form-Sb'!LWW94</f>
        <v>0</v>
      </c>
      <c r="LWT36" s="17">
        <f>'Form-Sb'!LWX94</f>
        <v>0</v>
      </c>
      <c r="LWU36" s="17">
        <f>'Form-Sb'!LWY94</f>
        <v>0</v>
      </c>
      <c r="LWV36" s="17">
        <f>'Form-Sb'!LWZ94</f>
        <v>0</v>
      </c>
      <c r="LWW36" s="17">
        <f>'Form-Sb'!LXA94</f>
        <v>0</v>
      </c>
      <c r="LWX36" s="17">
        <f>'Form-Sb'!LXB94</f>
        <v>0</v>
      </c>
      <c r="LWY36" s="17">
        <f>'Form-Sb'!LXC94</f>
        <v>0</v>
      </c>
      <c r="LWZ36" s="17">
        <f>'Form-Sb'!LXD94</f>
        <v>0</v>
      </c>
      <c r="LXA36" s="17">
        <f>'Form-Sb'!LXE94</f>
        <v>0</v>
      </c>
      <c r="LXB36" s="17">
        <f>'Form-Sb'!LXF94</f>
        <v>0</v>
      </c>
      <c r="LXC36" s="17">
        <f>'Form-Sb'!LXG94</f>
        <v>0</v>
      </c>
      <c r="LXD36" s="17">
        <f>'Form-Sb'!LXH94</f>
        <v>0</v>
      </c>
      <c r="LXE36" s="17">
        <f>'Form-Sb'!LXI94</f>
        <v>0</v>
      </c>
      <c r="LXF36" s="17">
        <f>'Form-Sb'!LXJ94</f>
        <v>0</v>
      </c>
      <c r="LXG36" s="17">
        <f>'Form-Sb'!LXK94</f>
        <v>0</v>
      </c>
      <c r="LXH36" s="17">
        <f>'Form-Sb'!LXL94</f>
        <v>0</v>
      </c>
      <c r="LXI36" s="17">
        <f>'Form-Sb'!LXM94</f>
        <v>0</v>
      </c>
      <c r="LXJ36" s="17">
        <f>'Form-Sb'!LXN94</f>
        <v>0</v>
      </c>
      <c r="LXK36" s="17">
        <f>'Form-Sb'!LXO94</f>
        <v>0</v>
      </c>
      <c r="LXL36" s="17">
        <f>'Form-Sb'!LXP94</f>
        <v>0</v>
      </c>
      <c r="LXM36" s="17">
        <f>'Form-Sb'!LXQ94</f>
        <v>0</v>
      </c>
      <c r="LXN36" s="17">
        <f>'Form-Sb'!LXR94</f>
        <v>0</v>
      </c>
      <c r="LXO36" s="17">
        <f>'Form-Sb'!LXS94</f>
        <v>0</v>
      </c>
      <c r="LXP36" s="17">
        <f>'Form-Sb'!LXT94</f>
        <v>0</v>
      </c>
      <c r="LXQ36" s="17">
        <f>'Form-Sb'!LXU94</f>
        <v>0</v>
      </c>
      <c r="LXR36" s="17">
        <f>'Form-Sb'!LXV94</f>
        <v>0</v>
      </c>
      <c r="LXS36" s="17">
        <f>'Form-Sb'!LXW94</f>
        <v>0</v>
      </c>
      <c r="LXT36" s="17">
        <f>'Form-Sb'!LXX94</f>
        <v>0</v>
      </c>
      <c r="LXU36" s="17">
        <f>'Form-Sb'!LXY94</f>
        <v>0</v>
      </c>
      <c r="LXV36" s="17">
        <f>'Form-Sb'!LXZ94</f>
        <v>0</v>
      </c>
      <c r="LXW36" s="17">
        <f>'Form-Sb'!LYA94</f>
        <v>0</v>
      </c>
      <c r="LXX36" s="17">
        <f>'Form-Sb'!LYB94</f>
        <v>0</v>
      </c>
      <c r="LXY36" s="17">
        <f>'Form-Sb'!LYC94</f>
        <v>0</v>
      </c>
      <c r="LXZ36" s="17">
        <f>'Form-Sb'!LYD94</f>
        <v>0</v>
      </c>
      <c r="LYA36" s="17">
        <f>'Form-Sb'!LYE94</f>
        <v>0</v>
      </c>
      <c r="LYB36" s="17">
        <f>'Form-Sb'!LYF94</f>
        <v>0</v>
      </c>
      <c r="LYC36" s="17">
        <f>'Form-Sb'!LYG94</f>
        <v>0</v>
      </c>
      <c r="LYD36" s="17">
        <f>'Form-Sb'!LYH94</f>
        <v>0</v>
      </c>
      <c r="LYE36" s="17">
        <f>'Form-Sb'!LYI94</f>
        <v>0</v>
      </c>
      <c r="LYF36" s="17">
        <f>'Form-Sb'!LYJ94</f>
        <v>0</v>
      </c>
      <c r="LYG36" s="17">
        <f>'Form-Sb'!LYK94</f>
        <v>0</v>
      </c>
      <c r="LYH36" s="17">
        <f>'Form-Sb'!LYL94</f>
        <v>0</v>
      </c>
      <c r="LYI36" s="17">
        <f>'Form-Sb'!LYM94</f>
        <v>0</v>
      </c>
      <c r="LYJ36" s="17">
        <f>'Form-Sb'!LYN94</f>
        <v>0</v>
      </c>
      <c r="LYK36" s="17">
        <f>'Form-Sb'!LYO94</f>
        <v>0</v>
      </c>
      <c r="LYL36" s="17">
        <f>'Form-Sb'!LYP94</f>
        <v>0</v>
      </c>
      <c r="LYM36" s="17">
        <f>'Form-Sb'!LYQ94</f>
        <v>0</v>
      </c>
      <c r="LYN36" s="17">
        <f>'Form-Sb'!LYR94</f>
        <v>0</v>
      </c>
      <c r="LYO36" s="17">
        <f>'Form-Sb'!LYS94</f>
        <v>0</v>
      </c>
      <c r="LYP36" s="17">
        <f>'Form-Sb'!LYT94</f>
        <v>0</v>
      </c>
      <c r="LYQ36" s="17">
        <f>'Form-Sb'!LYU94</f>
        <v>0</v>
      </c>
      <c r="LYR36" s="17">
        <f>'Form-Sb'!LYV94</f>
        <v>0</v>
      </c>
      <c r="LYS36" s="17">
        <f>'Form-Sb'!LYW94</f>
        <v>0</v>
      </c>
      <c r="LYT36" s="17">
        <f>'Form-Sb'!LYX94</f>
        <v>0</v>
      </c>
      <c r="LYU36" s="17">
        <f>'Form-Sb'!LYY94</f>
        <v>0</v>
      </c>
      <c r="LYV36" s="17">
        <f>'Form-Sb'!LYZ94</f>
        <v>0</v>
      </c>
      <c r="LYW36" s="17">
        <f>'Form-Sb'!LZA94</f>
        <v>0</v>
      </c>
      <c r="LYX36" s="17">
        <f>'Form-Sb'!LZB94</f>
        <v>0</v>
      </c>
      <c r="LYY36" s="17">
        <f>'Form-Sb'!LZC94</f>
        <v>0</v>
      </c>
      <c r="LYZ36" s="17">
        <f>'Form-Sb'!LZD94</f>
        <v>0</v>
      </c>
      <c r="LZA36" s="17">
        <f>'Form-Sb'!LZE94</f>
        <v>0</v>
      </c>
      <c r="LZB36" s="17">
        <f>'Form-Sb'!LZF94</f>
        <v>0</v>
      </c>
      <c r="LZC36" s="17">
        <f>'Form-Sb'!LZG94</f>
        <v>0</v>
      </c>
      <c r="LZD36" s="17">
        <f>'Form-Sb'!LZH94</f>
        <v>0</v>
      </c>
      <c r="LZE36" s="17">
        <f>'Form-Sb'!LZI94</f>
        <v>0</v>
      </c>
      <c r="LZF36" s="17">
        <f>'Form-Sb'!LZJ94</f>
        <v>0</v>
      </c>
      <c r="LZG36" s="17">
        <f>'Form-Sb'!LZK94</f>
        <v>0</v>
      </c>
      <c r="LZH36" s="17">
        <f>'Form-Sb'!LZL94</f>
        <v>0</v>
      </c>
      <c r="LZI36" s="17">
        <f>'Form-Sb'!LZM94</f>
        <v>0</v>
      </c>
      <c r="LZJ36" s="17">
        <f>'Form-Sb'!LZN94</f>
        <v>0</v>
      </c>
      <c r="LZK36" s="17">
        <f>'Form-Sb'!LZO94</f>
        <v>0</v>
      </c>
      <c r="LZL36" s="17">
        <f>'Form-Sb'!LZP94</f>
        <v>0</v>
      </c>
      <c r="LZM36" s="17">
        <f>'Form-Sb'!LZQ94</f>
        <v>0</v>
      </c>
      <c r="LZN36" s="17">
        <f>'Form-Sb'!LZR94</f>
        <v>0</v>
      </c>
      <c r="LZO36" s="17">
        <f>'Form-Sb'!LZS94</f>
        <v>0</v>
      </c>
      <c r="LZP36" s="17">
        <f>'Form-Sb'!LZT94</f>
        <v>0</v>
      </c>
      <c r="LZQ36" s="17">
        <f>'Form-Sb'!LZU94</f>
        <v>0</v>
      </c>
      <c r="LZR36" s="17">
        <f>'Form-Sb'!LZV94</f>
        <v>0</v>
      </c>
      <c r="LZS36" s="17">
        <f>'Form-Sb'!LZW94</f>
        <v>0</v>
      </c>
      <c r="LZT36" s="17">
        <f>'Form-Sb'!LZX94</f>
        <v>0</v>
      </c>
      <c r="LZU36" s="17">
        <f>'Form-Sb'!LZY94</f>
        <v>0</v>
      </c>
      <c r="LZV36" s="17">
        <f>'Form-Sb'!LZZ94</f>
        <v>0</v>
      </c>
      <c r="LZW36" s="17">
        <f>'Form-Sb'!MAA94</f>
        <v>0</v>
      </c>
      <c r="LZX36" s="17">
        <f>'Form-Sb'!MAB94</f>
        <v>0</v>
      </c>
      <c r="LZY36" s="17">
        <f>'Form-Sb'!MAC94</f>
        <v>0</v>
      </c>
      <c r="LZZ36" s="17">
        <f>'Form-Sb'!MAD94</f>
        <v>0</v>
      </c>
      <c r="MAA36" s="17">
        <f>'Form-Sb'!MAE94</f>
        <v>0</v>
      </c>
      <c r="MAB36" s="17">
        <f>'Form-Sb'!MAF94</f>
        <v>0</v>
      </c>
      <c r="MAC36" s="17">
        <f>'Form-Sb'!MAG94</f>
        <v>0</v>
      </c>
      <c r="MAD36" s="17">
        <f>'Form-Sb'!MAH94</f>
        <v>0</v>
      </c>
      <c r="MAE36" s="17">
        <f>'Form-Sb'!MAI94</f>
        <v>0</v>
      </c>
      <c r="MAF36" s="17">
        <f>'Form-Sb'!MAJ94</f>
        <v>0</v>
      </c>
      <c r="MAG36" s="17">
        <f>'Form-Sb'!MAK94</f>
        <v>0</v>
      </c>
      <c r="MAH36" s="17">
        <f>'Form-Sb'!MAL94</f>
        <v>0</v>
      </c>
      <c r="MAI36" s="17">
        <f>'Form-Sb'!MAM94</f>
        <v>0</v>
      </c>
      <c r="MAJ36" s="17">
        <f>'Form-Sb'!MAN94</f>
        <v>0</v>
      </c>
      <c r="MAK36" s="17">
        <f>'Form-Sb'!MAO94</f>
        <v>0</v>
      </c>
      <c r="MAL36" s="17">
        <f>'Form-Sb'!MAP94</f>
        <v>0</v>
      </c>
      <c r="MAM36" s="17">
        <f>'Form-Sb'!MAQ94</f>
        <v>0</v>
      </c>
      <c r="MAN36" s="17">
        <f>'Form-Sb'!MAR94</f>
        <v>0</v>
      </c>
      <c r="MAO36" s="17">
        <f>'Form-Sb'!MAS94</f>
        <v>0</v>
      </c>
      <c r="MAP36" s="17">
        <f>'Form-Sb'!MAT94</f>
        <v>0</v>
      </c>
      <c r="MAQ36" s="17">
        <f>'Form-Sb'!MAU94</f>
        <v>0</v>
      </c>
      <c r="MAR36" s="17">
        <f>'Form-Sb'!MAV94</f>
        <v>0</v>
      </c>
      <c r="MAS36" s="17">
        <f>'Form-Sb'!MAW94</f>
        <v>0</v>
      </c>
      <c r="MAT36" s="17">
        <f>'Form-Sb'!MAX94</f>
        <v>0</v>
      </c>
      <c r="MAU36" s="17">
        <f>'Form-Sb'!MAY94</f>
        <v>0</v>
      </c>
      <c r="MAV36" s="17">
        <f>'Form-Sb'!MAZ94</f>
        <v>0</v>
      </c>
      <c r="MAW36" s="17">
        <f>'Form-Sb'!MBA94</f>
        <v>0</v>
      </c>
      <c r="MAX36" s="17">
        <f>'Form-Sb'!MBB94</f>
        <v>0</v>
      </c>
      <c r="MAY36" s="17">
        <f>'Form-Sb'!MBC94</f>
        <v>0</v>
      </c>
      <c r="MAZ36" s="17">
        <f>'Form-Sb'!MBD94</f>
        <v>0</v>
      </c>
      <c r="MBA36" s="17">
        <f>'Form-Sb'!MBE94</f>
        <v>0</v>
      </c>
      <c r="MBB36" s="17">
        <f>'Form-Sb'!MBF94</f>
        <v>0</v>
      </c>
      <c r="MBC36" s="17">
        <f>'Form-Sb'!MBG94</f>
        <v>0</v>
      </c>
      <c r="MBD36" s="17">
        <f>'Form-Sb'!MBH94</f>
        <v>0</v>
      </c>
      <c r="MBE36" s="17">
        <f>'Form-Sb'!MBI94</f>
        <v>0</v>
      </c>
      <c r="MBF36" s="17">
        <f>'Form-Sb'!MBJ94</f>
        <v>0</v>
      </c>
      <c r="MBG36" s="17">
        <f>'Form-Sb'!MBK94</f>
        <v>0</v>
      </c>
      <c r="MBH36" s="17">
        <f>'Form-Sb'!MBL94</f>
        <v>0</v>
      </c>
      <c r="MBI36" s="17">
        <f>'Form-Sb'!MBM94</f>
        <v>0</v>
      </c>
      <c r="MBJ36" s="17">
        <f>'Form-Sb'!MBN94</f>
        <v>0</v>
      </c>
      <c r="MBK36" s="17">
        <f>'Form-Sb'!MBO94</f>
        <v>0</v>
      </c>
      <c r="MBL36" s="17">
        <f>'Form-Sb'!MBP94</f>
        <v>0</v>
      </c>
      <c r="MBM36" s="17">
        <f>'Form-Sb'!MBQ94</f>
        <v>0</v>
      </c>
      <c r="MBN36" s="17">
        <f>'Form-Sb'!MBR94</f>
        <v>0</v>
      </c>
      <c r="MBO36" s="17">
        <f>'Form-Sb'!MBS94</f>
        <v>0</v>
      </c>
      <c r="MBP36" s="17">
        <f>'Form-Sb'!MBT94</f>
        <v>0</v>
      </c>
      <c r="MBQ36" s="17">
        <f>'Form-Sb'!MBU94</f>
        <v>0</v>
      </c>
      <c r="MBR36" s="17">
        <f>'Form-Sb'!MBV94</f>
        <v>0</v>
      </c>
      <c r="MBS36" s="17">
        <f>'Form-Sb'!MBW94</f>
        <v>0</v>
      </c>
      <c r="MBT36" s="17">
        <f>'Form-Sb'!MBX94</f>
        <v>0</v>
      </c>
      <c r="MBU36" s="17">
        <f>'Form-Sb'!MBY94</f>
        <v>0</v>
      </c>
      <c r="MBV36" s="17">
        <f>'Form-Sb'!MBZ94</f>
        <v>0</v>
      </c>
      <c r="MBW36" s="17">
        <f>'Form-Sb'!MCA94</f>
        <v>0</v>
      </c>
      <c r="MBX36" s="17">
        <f>'Form-Sb'!MCB94</f>
        <v>0</v>
      </c>
      <c r="MBY36" s="17">
        <f>'Form-Sb'!MCC94</f>
        <v>0</v>
      </c>
      <c r="MBZ36" s="17">
        <f>'Form-Sb'!MCD94</f>
        <v>0</v>
      </c>
      <c r="MCA36" s="17">
        <f>'Form-Sb'!MCE94</f>
        <v>0</v>
      </c>
      <c r="MCB36" s="17">
        <f>'Form-Sb'!MCF94</f>
        <v>0</v>
      </c>
      <c r="MCC36" s="17">
        <f>'Form-Sb'!MCG94</f>
        <v>0</v>
      </c>
      <c r="MCD36" s="17">
        <f>'Form-Sb'!MCH94</f>
        <v>0</v>
      </c>
      <c r="MCE36" s="17">
        <f>'Form-Sb'!MCI94</f>
        <v>0</v>
      </c>
      <c r="MCF36" s="17">
        <f>'Form-Sb'!MCJ94</f>
        <v>0</v>
      </c>
      <c r="MCG36" s="17">
        <f>'Form-Sb'!MCK94</f>
        <v>0</v>
      </c>
      <c r="MCH36" s="17">
        <f>'Form-Sb'!MCL94</f>
        <v>0</v>
      </c>
      <c r="MCI36" s="17">
        <f>'Form-Sb'!MCM94</f>
        <v>0</v>
      </c>
      <c r="MCJ36" s="17">
        <f>'Form-Sb'!MCN94</f>
        <v>0</v>
      </c>
      <c r="MCK36" s="17">
        <f>'Form-Sb'!MCO94</f>
        <v>0</v>
      </c>
      <c r="MCL36" s="17">
        <f>'Form-Sb'!MCP94</f>
        <v>0</v>
      </c>
      <c r="MCM36" s="17">
        <f>'Form-Sb'!MCQ94</f>
        <v>0</v>
      </c>
      <c r="MCN36" s="17">
        <f>'Form-Sb'!MCR94</f>
        <v>0</v>
      </c>
      <c r="MCO36" s="17">
        <f>'Form-Sb'!MCS94</f>
        <v>0</v>
      </c>
      <c r="MCP36" s="17">
        <f>'Form-Sb'!MCT94</f>
        <v>0</v>
      </c>
      <c r="MCQ36" s="17">
        <f>'Form-Sb'!MCU94</f>
        <v>0</v>
      </c>
      <c r="MCR36" s="17">
        <f>'Form-Sb'!MCV94</f>
        <v>0</v>
      </c>
      <c r="MCS36" s="17">
        <f>'Form-Sb'!MCW94</f>
        <v>0</v>
      </c>
      <c r="MCT36" s="17">
        <f>'Form-Sb'!MCX94</f>
        <v>0</v>
      </c>
      <c r="MCU36" s="17">
        <f>'Form-Sb'!MCY94</f>
        <v>0</v>
      </c>
      <c r="MCV36" s="17">
        <f>'Form-Sb'!MCZ94</f>
        <v>0</v>
      </c>
      <c r="MCW36" s="17">
        <f>'Form-Sb'!MDA94</f>
        <v>0</v>
      </c>
      <c r="MCX36" s="17">
        <f>'Form-Sb'!MDB94</f>
        <v>0</v>
      </c>
      <c r="MCY36" s="17">
        <f>'Form-Sb'!MDC94</f>
        <v>0</v>
      </c>
      <c r="MCZ36" s="17">
        <f>'Form-Sb'!MDD94</f>
        <v>0</v>
      </c>
      <c r="MDA36" s="17">
        <f>'Form-Sb'!MDE94</f>
        <v>0</v>
      </c>
      <c r="MDB36" s="17">
        <f>'Form-Sb'!MDF94</f>
        <v>0</v>
      </c>
      <c r="MDC36" s="17">
        <f>'Form-Sb'!MDG94</f>
        <v>0</v>
      </c>
      <c r="MDD36" s="17">
        <f>'Form-Sb'!MDH94</f>
        <v>0</v>
      </c>
      <c r="MDE36" s="17">
        <f>'Form-Sb'!MDI94</f>
        <v>0</v>
      </c>
      <c r="MDF36" s="17">
        <f>'Form-Sb'!MDJ94</f>
        <v>0</v>
      </c>
      <c r="MDG36" s="17">
        <f>'Form-Sb'!MDK94</f>
        <v>0</v>
      </c>
      <c r="MDH36" s="17">
        <f>'Form-Sb'!MDL94</f>
        <v>0</v>
      </c>
      <c r="MDI36" s="17">
        <f>'Form-Sb'!MDM94</f>
        <v>0</v>
      </c>
      <c r="MDJ36" s="17">
        <f>'Form-Sb'!MDN94</f>
        <v>0</v>
      </c>
      <c r="MDK36" s="17">
        <f>'Form-Sb'!MDO94</f>
        <v>0</v>
      </c>
      <c r="MDL36" s="17">
        <f>'Form-Sb'!MDP94</f>
        <v>0</v>
      </c>
      <c r="MDM36" s="17">
        <f>'Form-Sb'!MDQ94</f>
        <v>0</v>
      </c>
      <c r="MDN36" s="17">
        <f>'Form-Sb'!MDR94</f>
        <v>0</v>
      </c>
      <c r="MDO36" s="17">
        <f>'Form-Sb'!MDS94</f>
        <v>0</v>
      </c>
      <c r="MDP36" s="17">
        <f>'Form-Sb'!MDT94</f>
        <v>0</v>
      </c>
      <c r="MDQ36" s="17">
        <f>'Form-Sb'!MDU94</f>
        <v>0</v>
      </c>
      <c r="MDR36" s="17">
        <f>'Form-Sb'!MDV94</f>
        <v>0</v>
      </c>
      <c r="MDS36" s="17">
        <f>'Form-Sb'!MDW94</f>
        <v>0</v>
      </c>
      <c r="MDT36" s="17">
        <f>'Form-Sb'!MDX94</f>
        <v>0</v>
      </c>
      <c r="MDU36" s="17">
        <f>'Form-Sb'!MDY94</f>
        <v>0</v>
      </c>
      <c r="MDV36" s="17">
        <f>'Form-Sb'!MDZ94</f>
        <v>0</v>
      </c>
      <c r="MDW36" s="17">
        <f>'Form-Sb'!MEA94</f>
        <v>0</v>
      </c>
      <c r="MDX36" s="17">
        <f>'Form-Sb'!MEB94</f>
        <v>0</v>
      </c>
      <c r="MDY36" s="17">
        <f>'Form-Sb'!MEC94</f>
        <v>0</v>
      </c>
      <c r="MDZ36" s="17">
        <f>'Form-Sb'!MED94</f>
        <v>0</v>
      </c>
      <c r="MEA36" s="17">
        <f>'Form-Sb'!MEE94</f>
        <v>0</v>
      </c>
      <c r="MEB36" s="17">
        <f>'Form-Sb'!MEF94</f>
        <v>0</v>
      </c>
      <c r="MEC36" s="17">
        <f>'Form-Sb'!MEG94</f>
        <v>0</v>
      </c>
      <c r="MED36" s="17">
        <f>'Form-Sb'!MEH94</f>
        <v>0</v>
      </c>
      <c r="MEE36" s="17">
        <f>'Form-Sb'!MEI94</f>
        <v>0</v>
      </c>
      <c r="MEF36" s="17">
        <f>'Form-Sb'!MEJ94</f>
        <v>0</v>
      </c>
      <c r="MEG36" s="17">
        <f>'Form-Sb'!MEK94</f>
        <v>0</v>
      </c>
      <c r="MEH36" s="17">
        <f>'Form-Sb'!MEL94</f>
        <v>0</v>
      </c>
      <c r="MEI36" s="17">
        <f>'Form-Sb'!MEM94</f>
        <v>0</v>
      </c>
      <c r="MEJ36" s="17">
        <f>'Form-Sb'!MEN94</f>
        <v>0</v>
      </c>
      <c r="MEK36" s="17">
        <f>'Form-Sb'!MEO94</f>
        <v>0</v>
      </c>
      <c r="MEL36" s="17">
        <f>'Form-Sb'!MEP94</f>
        <v>0</v>
      </c>
      <c r="MEM36" s="17">
        <f>'Form-Sb'!MEQ94</f>
        <v>0</v>
      </c>
      <c r="MEN36" s="17">
        <f>'Form-Sb'!MER94</f>
        <v>0</v>
      </c>
      <c r="MEO36" s="17">
        <f>'Form-Sb'!MES94</f>
        <v>0</v>
      </c>
      <c r="MEP36" s="17">
        <f>'Form-Sb'!MET94</f>
        <v>0</v>
      </c>
      <c r="MEQ36" s="17">
        <f>'Form-Sb'!MEU94</f>
        <v>0</v>
      </c>
      <c r="MER36" s="17">
        <f>'Form-Sb'!MEV94</f>
        <v>0</v>
      </c>
      <c r="MES36" s="17">
        <f>'Form-Sb'!MEW94</f>
        <v>0</v>
      </c>
      <c r="MET36" s="17">
        <f>'Form-Sb'!MEX94</f>
        <v>0</v>
      </c>
      <c r="MEU36" s="17">
        <f>'Form-Sb'!MEY94</f>
        <v>0</v>
      </c>
      <c r="MEV36" s="17">
        <f>'Form-Sb'!MEZ94</f>
        <v>0</v>
      </c>
      <c r="MEW36" s="17">
        <f>'Form-Sb'!MFA94</f>
        <v>0</v>
      </c>
      <c r="MEX36" s="17">
        <f>'Form-Sb'!MFB94</f>
        <v>0</v>
      </c>
      <c r="MEY36" s="17">
        <f>'Form-Sb'!MFC94</f>
        <v>0</v>
      </c>
      <c r="MEZ36" s="17">
        <f>'Form-Sb'!MFD94</f>
        <v>0</v>
      </c>
      <c r="MFA36" s="17">
        <f>'Form-Sb'!MFE94</f>
        <v>0</v>
      </c>
      <c r="MFB36" s="17">
        <f>'Form-Sb'!MFF94</f>
        <v>0</v>
      </c>
      <c r="MFC36" s="17">
        <f>'Form-Sb'!MFG94</f>
        <v>0</v>
      </c>
      <c r="MFD36" s="17">
        <f>'Form-Sb'!MFH94</f>
        <v>0</v>
      </c>
      <c r="MFE36" s="17">
        <f>'Form-Sb'!MFI94</f>
        <v>0</v>
      </c>
      <c r="MFF36" s="17">
        <f>'Form-Sb'!MFJ94</f>
        <v>0</v>
      </c>
      <c r="MFG36" s="17">
        <f>'Form-Sb'!MFK94</f>
        <v>0</v>
      </c>
      <c r="MFH36" s="17">
        <f>'Form-Sb'!MFL94</f>
        <v>0</v>
      </c>
      <c r="MFI36" s="17">
        <f>'Form-Sb'!MFM94</f>
        <v>0</v>
      </c>
      <c r="MFJ36" s="17">
        <f>'Form-Sb'!MFN94</f>
        <v>0</v>
      </c>
      <c r="MFK36" s="17">
        <f>'Form-Sb'!MFO94</f>
        <v>0</v>
      </c>
      <c r="MFL36" s="17">
        <f>'Form-Sb'!MFP94</f>
        <v>0</v>
      </c>
      <c r="MFM36" s="17">
        <f>'Form-Sb'!MFQ94</f>
        <v>0</v>
      </c>
      <c r="MFN36" s="17">
        <f>'Form-Sb'!MFR94</f>
        <v>0</v>
      </c>
      <c r="MFO36" s="17">
        <f>'Form-Sb'!MFS94</f>
        <v>0</v>
      </c>
      <c r="MFP36" s="17">
        <f>'Form-Sb'!MFT94</f>
        <v>0</v>
      </c>
      <c r="MFQ36" s="17">
        <f>'Form-Sb'!MFU94</f>
        <v>0</v>
      </c>
      <c r="MFR36" s="17">
        <f>'Form-Sb'!MFV94</f>
        <v>0</v>
      </c>
      <c r="MFS36" s="17">
        <f>'Form-Sb'!MFW94</f>
        <v>0</v>
      </c>
      <c r="MFT36" s="17">
        <f>'Form-Sb'!MFX94</f>
        <v>0</v>
      </c>
      <c r="MFU36" s="17">
        <f>'Form-Sb'!MFY94</f>
        <v>0</v>
      </c>
      <c r="MFV36" s="17">
        <f>'Form-Sb'!MFZ94</f>
        <v>0</v>
      </c>
      <c r="MFW36" s="17">
        <f>'Form-Sb'!MGA94</f>
        <v>0</v>
      </c>
      <c r="MFX36" s="17">
        <f>'Form-Sb'!MGB94</f>
        <v>0</v>
      </c>
      <c r="MFY36" s="17">
        <f>'Form-Sb'!MGC94</f>
        <v>0</v>
      </c>
      <c r="MFZ36" s="17">
        <f>'Form-Sb'!MGD94</f>
        <v>0</v>
      </c>
      <c r="MGA36" s="17">
        <f>'Form-Sb'!MGE94</f>
        <v>0</v>
      </c>
      <c r="MGB36" s="17">
        <f>'Form-Sb'!MGF94</f>
        <v>0</v>
      </c>
      <c r="MGC36" s="17">
        <f>'Form-Sb'!MGG94</f>
        <v>0</v>
      </c>
      <c r="MGD36" s="17">
        <f>'Form-Sb'!MGH94</f>
        <v>0</v>
      </c>
      <c r="MGE36" s="17">
        <f>'Form-Sb'!MGI94</f>
        <v>0</v>
      </c>
      <c r="MGF36" s="17">
        <f>'Form-Sb'!MGJ94</f>
        <v>0</v>
      </c>
      <c r="MGG36" s="17">
        <f>'Form-Sb'!MGK94</f>
        <v>0</v>
      </c>
      <c r="MGH36" s="17">
        <f>'Form-Sb'!MGL94</f>
        <v>0</v>
      </c>
      <c r="MGI36" s="17">
        <f>'Form-Sb'!MGM94</f>
        <v>0</v>
      </c>
      <c r="MGJ36" s="17">
        <f>'Form-Sb'!MGN94</f>
        <v>0</v>
      </c>
      <c r="MGK36" s="17">
        <f>'Form-Sb'!MGO94</f>
        <v>0</v>
      </c>
      <c r="MGL36" s="17">
        <f>'Form-Sb'!MGP94</f>
        <v>0</v>
      </c>
      <c r="MGM36" s="17">
        <f>'Form-Sb'!MGQ94</f>
        <v>0</v>
      </c>
      <c r="MGN36" s="17">
        <f>'Form-Sb'!MGR94</f>
        <v>0</v>
      </c>
      <c r="MGO36" s="17">
        <f>'Form-Sb'!MGS94</f>
        <v>0</v>
      </c>
      <c r="MGP36" s="17">
        <f>'Form-Sb'!MGT94</f>
        <v>0</v>
      </c>
      <c r="MGQ36" s="17">
        <f>'Form-Sb'!MGU94</f>
        <v>0</v>
      </c>
      <c r="MGR36" s="17">
        <f>'Form-Sb'!MGV94</f>
        <v>0</v>
      </c>
      <c r="MGS36" s="17">
        <f>'Form-Sb'!MGW94</f>
        <v>0</v>
      </c>
      <c r="MGT36" s="17">
        <f>'Form-Sb'!MGX94</f>
        <v>0</v>
      </c>
      <c r="MGU36" s="17">
        <f>'Form-Sb'!MGY94</f>
        <v>0</v>
      </c>
      <c r="MGV36" s="17">
        <f>'Form-Sb'!MGZ94</f>
        <v>0</v>
      </c>
      <c r="MGW36" s="17">
        <f>'Form-Sb'!MHA94</f>
        <v>0</v>
      </c>
      <c r="MGX36" s="17">
        <f>'Form-Sb'!MHB94</f>
        <v>0</v>
      </c>
      <c r="MGY36" s="17">
        <f>'Form-Sb'!MHC94</f>
        <v>0</v>
      </c>
      <c r="MGZ36" s="17">
        <f>'Form-Sb'!MHD94</f>
        <v>0</v>
      </c>
      <c r="MHA36" s="17">
        <f>'Form-Sb'!MHE94</f>
        <v>0</v>
      </c>
      <c r="MHB36" s="17">
        <f>'Form-Sb'!MHF94</f>
        <v>0</v>
      </c>
      <c r="MHC36" s="17">
        <f>'Form-Sb'!MHG94</f>
        <v>0</v>
      </c>
      <c r="MHD36" s="17">
        <f>'Form-Sb'!MHH94</f>
        <v>0</v>
      </c>
      <c r="MHE36" s="17">
        <f>'Form-Sb'!MHI94</f>
        <v>0</v>
      </c>
      <c r="MHF36" s="17">
        <f>'Form-Sb'!MHJ94</f>
        <v>0</v>
      </c>
      <c r="MHG36" s="17">
        <f>'Form-Sb'!MHK94</f>
        <v>0</v>
      </c>
      <c r="MHH36" s="17">
        <f>'Form-Sb'!MHL94</f>
        <v>0</v>
      </c>
      <c r="MHI36" s="17">
        <f>'Form-Sb'!MHM94</f>
        <v>0</v>
      </c>
      <c r="MHJ36" s="17">
        <f>'Form-Sb'!MHN94</f>
        <v>0</v>
      </c>
      <c r="MHK36" s="17">
        <f>'Form-Sb'!MHO94</f>
        <v>0</v>
      </c>
      <c r="MHL36" s="17">
        <f>'Form-Sb'!MHP94</f>
        <v>0</v>
      </c>
      <c r="MHM36" s="17">
        <f>'Form-Sb'!MHQ94</f>
        <v>0</v>
      </c>
      <c r="MHN36" s="17">
        <f>'Form-Sb'!MHR94</f>
        <v>0</v>
      </c>
      <c r="MHO36" s="17">
        <f>'Form-Sb'!MHS94</f>
        <v>0</v>
      </c>
      <c r="MHP36" s="17">
        <f>'Form-Sb'!MHT94</f>
        <v>0</v>
      </c>
      <c r="MHQ36" s="17">
        <f>'Form-Sb'!MHU94</f>
        <v>0</v>
      </c>
      <c r="MHR36" s="17">
        <f>'Form-Sb'!MHV94</f>
        <v>0</v>
      </c>
      <c r="MHS36" s="17">
        <f>'Form-Sb'!MHW94</f>
        <v>0</v>
      </c>
      <c r="MHT36" s="17">
        <f>'Form-Sb'!MHX94</f>
        <v>0</v>
      </c>
      <c r="MHU36" s="17">
        <f>'Form-Sb'!MHY94</f>
        <v>0</v>
      </c>
      <c r="MHV36" s="17">
        <f>'Form-Sb'!MHZ94</f>
        <v>0</v>
      </c>
      <c r="MHW36" s="17">
        <f>'Form-Sb'!MIA94</f>
        <v>0</v>
      </c>
      <c r="MHX36" s="17">
        <f>'Form-Sb'!MIB94</f>
        <v>0</v>
      </c>
      <c r="MHY36" s="17">
        <f>'Form-Sb'!MIC94</f>
        <v>0</v>
      </c>
      <c r="MHZ36" s="17">
        <f>'Form-Sb'!MID94</f>
        <v>0</v>
      </c>
      <c r="MIA36" s="17">
        <f>'Form-Sb'!MIE94</f>
        <v>0</v>
      </c>
      <c r="MIB36" s="17">
        <f>'Form-Sb'!MIF94</f>
        <v>0</v>
      </c>
      <c r="MIC36" s="17">
        <f>'Form-Sb'!MIG94</f>
        <v>0</v>
      </c>
      <c r="MID36" s="17">
        <f>'Form-Sb'!MIH94</f>
        <v>0</v>
      </c>
      <c r="MIE36" s="17">
        <f>'Form-Sb'!MII94</f>
        <v>0</v>
      </c>
      <c r="MIF36" s="17">
        <f>'Form-Sb'!MIJ94</f>
        <v>0</v>
      </c>
      <c r="MIG36" s="17">
        <f>'Form-Sb'!MIK94</f>
        <v>0</v>
      </c>
      <c r="MIH36" s="17">
        <f>'Form-Sb'!MIL94</f>
        <v>0</v>
      </c>
      <c r="MII36" s="17">
        <f>'Form-Sb'!MIM94</f>
        <v>0</v>
      </c>
      <c r="MIJ36" s="17">
        <f>'Form-Sb'!MIN94</f>
        <v>0</v>
      </c>
      <c r="MIK36" s="17">
        <f>'Form-Sb'!MIO94</f>
        <v>0</v>
      </c>
      <c r="MIL36" s="17">
        <f>'Form-Sb'!MIP94</f>
        <v>0</v>
      </c>
      <c r="MIM36" s="17">
        <f>'Form-Sb'!MIQ94</f>
        <v>0</v>
      </c>
      <c r="MIN36" s="17">
        <f>'Form-Sb'!MIR94</f>
        <v>0</v>
      </c>
      <c r="MIO36" s="17">
        <f>'Form-Sb'!MIS94</f>
        <v>0</v>
      </c>
      <c r="MIP36" s="17">
        <f>'Form-Sb'!MIT94</f>
        <v>0</v>
      </c>
      <c r="MIQ36" s="17">
        <f>'Form-Sb'!MIU94</f>
        <v>0</v>
      </c>
      <c r="MIR36" s="17">
        <f>'Form-Sb'!MIV94</f>
        <v>0</v>
      </c>
      <c r="MIS36" s="17">
        <f>'Form-Sb'!MIW94</f>
        <v>0</v>
      </c>
      <c r="MIT36" s="17">
        <f>'Form-Sb'!MIX94</f>
        <v>0</v>
      </c>
      <c r="MIU36" s="17">
        <f>'Form-Sb'!MIY94</f>
        <v>0</v>
      </c>
      <c r="MIV36" s="17">
        <f>'Form-Sb'!MIZ94</f>
        <v>0</v>
      </c>
      <c r="MIW36" s="17">
        <f>'Form-Sb'!MJA94</f>
        <v>0</v>
      </c>
      <c r="MIX36" s="17">
        <f>'Form-Sb'!MJB94</f>
        <v>0</v>
      </c>
      <c r="MIY36" s="17">
        <f>'Form-Sb'!MJC94</f>
        <v>0</v>
      </c>
      <c r="MIZ36" s="17">
        <f>'Form-Sb'!MJD94</f>
        <v>0</v>
      </c>
      <c r="MJA36" s="17">
        <f>'Form-Sb'!MJE94</f>
        <v>0</v>
      </c>
      <c r="MJB36" s="17">
        <f>'Form-Sb'!MJF94</f>
        <v>0</v>
      </c>
      <c r="MJC36" s="17">
        <f>'Form-Sb'!MJG94</f>
        <v>0</v>
      </c>
      <c r="MJD36" s="17">
        <f>'Form-Sb'!MJH94</f>
        <v>0</v>
      </c>
      <c r="MJE36" s="17">
        <f>'Form-Sb'!MJI94</f>
        <v>0</v>
      </c>
      <c r="MJF36" s="17">
        <f>'Form-Sb'!MJJ94</f>
        <v>0</v>
      </c>
      <c r="MJG36" s="17">
        <f>'Form-Sb'!MJK94</f>
        <v>0</v>
      </c>
      <c r="MJH36" s="17">
        <f>'Form-Sb'!MJL94</f>
        <v>0</v>
      </c>
      <c r="MJI36" s="17">
        <f>'Form-Sb'!MJM94</f>
        <v>0</v>
      </c>
      <c r="MJJ36" s="17">
        <f>'Form-Sb'!MJN94</f>
        <v>0</v>
      </c>
      <c r="MJK36" s="17">
        <f>'Form-Sb'!MJO94</f>
        <v>0</v>
      </c>
      <c r="MJL36" s="17">
        <f>'Form-Sb'!MJP94</f>
        <v>0</v>
      </c>
      <c r="MJM36" s="17">
        <f>'Form-Sb'!MJQ94</f>
        <v>0</v>
      </c>
      <c r="MJN36" s="17">
        <f>'Form-Sb'!MJR94</f>
        <v>0</v>
      </c>
      <c r="MJO36" s="17">
        <f>'Form-Sb'!MJS94</f>
        <v>0</v>
      </c>
      <c r="MJP36" s="17">
        <f>'Form-Sb'!MJT94</f>
        <v>0</v>
      </c>
      <c r="MJQ36" s="17">
        <f>'Form-Sb'!MJU94</f>
        <v>0</v>
      </c>
      <c r="MJR36" s="17">
        <f>'Form-Sb'!MJV94</f>
        <v>0</v>
      </c>
      <c r="MJS36" s="17">
        <f>'Form-Sb'!MJW94</f>
        <v>0</v>
      </c>
      <c r="MJT36" s="17">
        <f>'Form-Sb'!MJX94</f>
        <v>0</v>
      </c>
      <c r="MJU36" s="17">
        <f>'Form-Sb'!MJY94</f>
        <v>0</v>
      </c>
      <c r="MJV36" s="17">
        <f>'Form-Sb'!MJZ94</f>
        <v>0</v>
      </c>
      <c r="MJW36" s="17">
        <f>'Form-Sb'!MKA94</f>
        <v>0</v>
      </c>
      <c r="MJX36" s="17">
        <f>'Form-Sb'!MKB94</f>
        <v>0</v>
      </c>
      <c r="MJY36" s="17">
        <f>'Form-Sb'!MKC94</f>
        <v>0</v>
      </c>
      <c r="MJZ36" s="17">
        <f>'Form-Sb'!MKD94</f>
        <v>0</v>
      </c>
      <c r="MKA36" s="17">
        <f>'Form-Sb'!MKE94</f>
        <v>0</v>
      </c>
      <c r="MKB36" s="17">
        <f>'Form-Sb'!MKF94</f>
        <v>0</v>
      </c>
      <c r="MKC36" s="17">
        <f>'Form-Sb'!MKG94</f>
        <v>0</v>
      </c>
      <c r="MKD36" s="17">
        <f>'Form-Sb'!MKH94</f>
        <v>0</v>
      </c>
      <c r="MKE36" s="17">
        <f>'Form-Sb'!MKI94</f>
        <v>0</v>
      </c>
      <c r="MKF36" s="17">
        <f>'Form-Sb'!MKJ94</f>
        <v>0</v>
      </c>
      <c r="MKG36" s="17">
        <f>'Form-Sb'!MKK94</f>
        <v>0</v>
      </c>
      <c r="MKH36" s="17">
        <f>'Form-Sb'!MKL94</f>
        <v>0</v>
      </c>
      <c r="MKI36" s="17">
        <f>'Form-Sb'!MKM94</f>
        <v>0</v>
      </c>
      <c r="MKJ36" s="17">
        <f>'Form-Sb'!MKN94</f>
        <v>0</v>
      </c>
      <c r="MKK36" s="17">
        <f>'Form-Sb'!MKO94</f>
        <v>0</v>
      </c>
      <c r="MKL36" s="17">
        <f>'Form-Sb'!MKP94</f>
        <v>0</v>
      </c>
      <c r="MKM36" s="17">
        <f>'Form-Sb'!MKQ94</f>
        <v>0</v>
      </c>
      <c r="MKN36" s="17">
        <f>'Form-Sb'!MKR94</f>
        <v>0</v>
      </c>
      <c r="MKO36" s="17">
        <f>'Form-Sb'!MKS94</f>
        <v>0</v>
      </c>
      <c r="MKP36" s="17">
        <f>'Form-Sb'!MKT94</f>
        <v>0</v>
      </c>
      <c r="MKQ36" s="17">
        <f>'Form-Sb'!MKU94</f>
        <v>0</v>
      </c>
      <c r="MKR36" s="17">
        <f>'Form-Sb'!MKV94</f>
        <v>0</v>
      </c>
      <c r="MKS36" s="17">
        <f>'Form-Sb'!MKW94</f>
        <v>0</v>
      </c>
      <c r="MKT36" s="17">
        <f>'Form-Sb'!MKX94</f>
        <v>0</v>
      </c>
      <c r="MKU36" s="17">
        <f>'Form-Sb'!MKY94</f>
        <v>0</v>
      </c>
      <c r="MKV36" s="17">
        <f>'Form-Sb'!MKZ94</f>
        <v>0</v>
      </c>
      <c r="MKW36" s="17">
        <f>'Form-Sb'!MLA94</f>
        <v>0</v>
      </c>
      <c r="MKX36" s="17">
        <f>'Form-Sb'!MLB94</f>
        <v>0</v>
      </c>
      <c r="MKY36" s="17">
        <f>'Form-Sb'!MLC94</f>
        <v>0</v>
      </c>
      <c r="MKZ36" s="17">
        <f>'Form-Sb'!MLD94</f>
        <v>0</v>
      </c>
      <c r="MLA36" s="17">
        <f>'Form-Sb'!MLE94</f>
        <v>0</v>
      </c>
      <c r="MLB36" s="17">
        <f>'Form-Sb'!MLF94</f>
        <v>0</v>
      </c>
      <c r="MLC36" s="17">
        <f>'Form-Sb'!MLG94</f>
        <v>0</v>
      </c>
      <c r="MLD36" s="17">
        <f>'Form-Sb'!MLH94</f>
        <v>0</v>
      </c>
      <c r="MLE36" s="17">
        <f>'Form-Sb'!MLI94</f>
        <v>0</v>
      </c>
      <c r="MLF36" s="17">
        <f>'Form-Sb'!MLJ94</f>
        <v>0</v>
      </c>
      <c r="MLG36" s="17">
        <f>'Form-Sb'!MLK94</f>
        <v>0</v>
      </c>
      <c r="MLH36" s="17">
        <f>'Form-Sb'!MLL94</f>
        <v>0</v>
      </c>
      <c r="MLI36" s="17">
        <f>'Form-Sb'!MLM94</f>
        <v>0</v>
      </c>
      <c r="MLJ36" s="17">
        <f>'Form-Sb'!MLN94</f>
        <v>0</v>
      </c>
      <c r="MLK36" s="17">
        <f>'Form-Sb'!MLO94</f>
        <v>0</v>
      </c>
      <c r="MLL36" s="17">
        <f>'Form-Sb'!MLP94</f>
        <v>0</v>
      </c>
      <c r="MLM36" s="17">
        <f>'Form-Sb'!MLQ94</f>
        <v>0</v>
      </c>
      <c r="MLN36" s="17">
        <f>'Form-Sb'!MLR94</f>
        <v>0</v>
      </c>
      <c r="MLO36" s="17">
        <f>'Form-Sb'!MLS94</f>
        <v>0</v>
      </c>
      <c r="MLP36" s="17">
        <f>'Form-Sb'!MLT94</f>
        <v>0</v>
      </c>
      <c r="MLQ36" s="17">
        <f>'Form-Sb'!MLU94</f>
        <v>0</v>
      </c>
      <c r="MLR36" s="17">
        <f>'Form-Sb'!MLV94</f>
        <v>0</v>
      </c>
      <c r="MLS36" s="17">
        <f>'Form-Sb'!MLW94</f>
        <v>0</v>
      </c>
      <c r="MLT36" s="17">
        <f>'Form-Sb'!MLX94</f>
        <v>0</v>
      </c>
      <c r="MLU36" s="17">
        <f>'Form-Sb'!MLY94</f>
        <v>0</v>
      </c>
      <c r="MLV36" s="17">
        <f>'Form-Sb'!MLZ94</f>
        <v>0</v>
      </c>
      <c r="MLW36" s="17">
        <f>'Form-Sb'!MMA94</f>
        <v>0</v>
      </c>
      <c r="MLX36" s="17">
        <f>'Form-Sb'!MMB94</f>
        <v>0</v>
      </c>
      <c r="MLY36" s="17">
        <f>'Form-Sb'!MMC94</f>
        <v>0</v>
      </c>
      <c r="MLZ36" s="17">
        <f>'Form-Sb'!MMD94</f>
        <v>0</v>
      </c>
      <c r="MMA36" s="17">
        <f>'Form-Sb'!MME94</f>
        <v>0</v>
      </c>
      <c r="MMB36" s="17">
        <f>'Form-Sb'!MMF94</f>
        <v>0</v>
      </c>
      <c r="MMC36" s="17">
        <f>'Form-Sb'!MMG94</f>
        <v>0</v>
      </c>
      <c r="MMD36" s="17">
        <f>'Form-Sb'!MMH94</f>
        <v>0</v>
      </c>
      <c r="MME36" s="17">
        <f>'Form-Sb'!MMI94</f>
        <v>0</v>
      </c>
      <c r="MMF36" s="17">
        <f>'Form-Sb'!MMJ94</f>
        <v>0</v>
      </c>
      <c r="MMG36" s="17">
        <f>'Form-Sb'!MMK94</f>
        <v>0</v>
      </c>
      <c r="MMH36" s="17">
        <f>'Form-Sb'!MML94</f>
        <v>0</v>
      </c>
      <c r="MMI36" s="17">
        <f>'Form-Sb'!MMM94</f>
        <v>0</v>
      </c>
      <c r="MMJ36" s="17">
        <f>'Form-Sb'!MMN94</f>
        <v>0</v>
      </c>
      <c r="MMK36" s="17">
        <f>'Form-Sb'!MMO94</f>
        <v>0</v>
      </c>
      <c r="MML36" s="17">
        <f>'Form-Sb'!MMP94</f>
        <v>0</v>
      </c>
      <c r="MMM36" s="17">
        <f>'Form-Sb'!MMQ94</f>
        <v>0</v>
      </c>
      <c r="MMN36" s="17">
        <f>'Form-Sb'!MMR94</f>
        <v>0</v>
      </c>
      <c r="MMO36" s="17">
        <f>'Form-Sb'!MMS94</f>
        <v>0</v>
      </c>
      <c r="MMP36" s="17">
        <f>'Form-Sb'!MMT94</f>
        <v>0</v>
      </c>
      <c r="MMQ36" s="17">
        <f>'Form-Sb'!MMU94</f>
        <v>0</v>
      </c>
      <c r="MMR36" s="17">
        <f>'Form-Sb'!MMV94</f>
        <v>0</v>
      </c>
      <c r="MMS36" s="17">
        <f>'Form-Sb'!MMW94</f>
        <v>0</v>
      </c>
      <c r="MMT36" s="17">
        <f>'Form-Sb'!MMX94</f>
        <v>0</v>
      </c>
      <c r="MMU36" s="17">
        <f>'Form-Sb'!MMY94</f>
        <v>0</v>
      </c>
      <c r="MMV36" s="17">
        <f>'Form-Sb'!MMZ94</f>
        <v>0</v>
      </c>
      <c r="MMW36" s="17">
        <f>'Form-Sb'!MNA94</f>
        <v>0</v>
      </c>
      <c r="MMX36" s="17">
        <f>'Form-Sb'!MNB94</f>
        <v>0</v>
      </c>
      <c r="MMY36" s="17">
        <f>'Form-Sb'!MNC94</f>
        <v>0</v>
      </c>
      <c r="MMZ36" s="17">
        <f>'Form-Sb'!MND94</f>
        <v>0</v>
      </c>
      <c r="MNA36" s="17">
        <f>'Form-Sb'!MNE94</f>
        <v>0</v>
      </c>
      <c r="MNB36" s="17">
        <f>'Form-Sb'!MNF94</f>
        <v>0</v>
      </c>
      <c r="MNC36" s="17">
        <f>'Form-Sb'!MNG94</f>
        <v>0</v>
      </c>
      <c r="MND36" s="17">
        <f>'Form-Sb'!MNH94</f>
        <v>0</v>
      </c>
      <c r="MNE36" s="17">
        <f>'Form-Sb'!MNI94</f>
        <v>0</v>
      </c>
      <c r="MNF36" s="17">
        <f>'Form-Sb'!MNJ94</f>
        <v>0</v>
      </c>
      <c r="MNG36" s="17">
        <f>'Form-Sb'!MNK94</f>
        <v>0</v>
      </c>
      <c r="MNH36" s="17">
        <f>'Form-Sb'!MNL94</f>
        <v>0</v>
      </c>
      <c r="MNI36" s="17">
        <f>'Form-Sb'!MNM94</f>
        <v>0</v>
      </c>
      <c r="MNJ36" s="17">
        <f>'Form-Sb'!MNN94</f>
        <v>0</v>
      </c>
      <c r="MNK36" s="17">
        <f>'Form-Sb'!MNO94</f>
        <v>0</v>
      </c>
      <c r="MNL36" s="17">
        <f>'Form-Sb'!MNP94</f>
        <v>0</v>
      </c>
      <c r="MNM36" s="17">
        <f>'Form-Sb'!MNQ94</f>
        <v>0</v>
      </c>
      <c r="MNN36" s="17">
        <f>'Form-Sb'!MNR94</f>
        <v>0</v>
      </c>
      <c r="MNO36" s="17">
        <f>'Form-Sb'!MNS94</f>
        <v>0</v>
      </c>
      <c r="MNP36" s="17">
        <f>'Form-Sb'!MNT94</f>
        <v>0</v>
      </c>
      <c r="MNQ36" s="17">
        <f>'Form-Sb'!MNU94</f>
        <v>0</v>
      </c>
      <c r="MNR36" s="17">
        <f>'Form-Sb'!MNV94</f>
        <v>0</v>
      </c>
      <c r="MNS36" s="17">
        <f>'Form-Sb'!MNW94</f>
        <v>0</v>
      </c>
      <c r="MNT36" s="17">
        <f>'Form-Sb'!MNX94</f>
        <v>0</v>
      </c>
      <c r="MNU36" s="17">
        <f>'Form-Sb'!MNY94</f>
        <v>0</v>
      </c>
      <c r="MNV36" s="17">
        <f>'Form-Sb'!MNZ94</f>
        <v>0</v>
      </c>
      <c r="MNW36" s="17">
        <f>'Form-Sb'!MOA94</f>
        <v>0</v>
      </c>
      <c r="MNX36" s="17">
        <f>'Form-Sb'!MOB94</f>
        <v>0</v>
      </c>
      <c r="MNY36" s="17">
        <f>'Form-Sb'!MOC94</f>
        <v>0</v>
      </c>
      <c r="MNZ36" s="17">
        <f>'Form-Sb'!MOD94</f>
        <v>0</v>
      </c>
      <c r="MOA36" s="17">
        <f>'Form-Sb'!MOE94</f>
        <v>0</v>
      </c>
      <c r="MOB36" s="17">
        <f>'Form-Sb'!MOF94</f>
        <v>0</v>
      </c>
      <c r="MOC36" s="17">
        <f>'Form-Sb'!MOG94</f>
        <v>0</v>
      </c>
      <c r="MOD36" s="17">
        <f>'Form-Sb'!MOH94</f>
        <v>0</v>
      </c>
      <c r="MOE36" s="17">
        <f>'Form-Sb'!MOI94</f>
        <v>0</v>
      </c>
      <c r="MOF36" s="17">
        <f>'Form-Sb'!MOJ94</f>
        <v>0</v>
      </c>
      <c r="MOG36" s="17">
        <f>'Form-Sb'!MOK94</f>
        <v>0</v>
      </c>
      <c r="MOH36" s="17">
        <f>'Form-Sb'!MOL94</f>
        <v>0</v>
      </c>
      <c r="MOI36" s="17">
        <f>'Form-Sb'!MOM94</f>
        <v>0</v>
      </c>
      <c r="MOJ36" s="17">
        <f>'Form-Sb'!MON94</f>
        <v>0</v>
      </c>
      <c r="MOK36" s="17">
        <f>'Form-Sb'!MOO94</f>
        <v>0</v>
      </c>
      <c r="MOL36" s="17">
        <f>'Form-Sb'!MOP94</f>
        <v>0</v>
      </c>
      <c r="MOM36" s="17">
        <f>'Form-Sb'!MOQ94</f>
        <v>0</v>
      </c>
      <c r="MON36" s="17">
        <f>'Form-Sb'!MOR94</f>
        <v>0</v>
      </c>
      <c r="MOO36" s="17">
        <f>'Form-Sb'!MOS94</f>
        <v>0</v>
      </c>
      <c r="MOP36" s="17">
        <f>'Form-Sb'!MOT94</f>
        <v>0</v>
      </c>
      <c r="MOQ36" s="17">
        <f>'Form-Sb'!MOU94</f>
        <v>0</v>
      </c>
      <c r="MOR36" s="17">
        <f>'Form-Sb'!MOV94</f>
        <v>0</v>
      </c>
      <c r="MOS36" s="17">
        <f>'Form-Sb'!MOW94</f>
        <v>0</v>
      </c>
      <c r="MOT36" s="17">
        <f>'Form-Sb'!MOX94</f>
        <v>0</v>
      </c>
      <c r="MOU36" s="17">
        <f>'Form-Sb'!MOY94</f>
        <v>0</v>
      </c>
      <c r="MOV36" s="17">
        <f>'Form-Sb'!MOZ94</f>
        <v>0</v>
      </c>
      <c r="MOW36" s="17">
        <f>'Form-Sb'!MPA94</f>
        <v>0</v>
      </c>
      <c r="MOX36" s="17">
        <f>'Form-Sb'!MPB94</f>
        <v>0</v>
      </c>
      <c r="MOY36" s="17">
        <f>'Form-Sb'!MPC94</f>
        <v>0</v>
      </c>
      <c r="MOZ36" s="17">
        <f>'Form-Sb'!MPD94</f>
        <v>0</v>
      </c>
      <c r="MPA36" s="17">
        <f>'Form-Sb'!MPE94</f>
        <v>0</v>
      </c>
      <c r="MPB36" s="17">
        <f>'Form-Sb'!MPF94</f>
        <v>0</v>
      </c>
      <c r="MPC36" s="17">
        <f>'Form-Sb'!MPG94</f>
        <v>0</v>
      </c>
      <c r="MPD36" s="17">
        <f>'Form-Sb'!MPH94</f>
        <v>0</v>
      </c>
      <c r="MPE36" s="17">
        <f>'Form-Sb'!MPI94</f>
        <v>0</v>
      </c>
      <c r="MPF36" s="17">
        <f>'Form-Sb'!MPJ94</f>
        <v>0</v>
      </c>
      <c r="MPG36" s="17">
        <f>'Form-Sb'!MPK94</f>
        <v>0</v>
      </c>
      <c r="MPH36" s="17">
        <f>'Form-Sb'!MPL94</f>
        <v>0</v>
      </c>
      <c r="MPI36" s="17">
        <f>'Form-Sb'!MPM94</f>
        <v>0</v>
      </c>
      <c r="MPJ36" s="17">
        <f>'Form-Sb'!MPN94</f>
        <v>0</v>
      </c>
      <c r="MPK36" s="17">
        <f>'Form-Sb'!MPO94</f>
        <v>0</v>
      </c>
      <c r="MPL36" s="17">
        <f>'Form-Sb'!MPP94</f>
        <v>0</v>
      </c>
      <c r="MPM36" s="17">
        <f>'Form-Sb'!MPQ94</f>
        <v>0</v>
      </c>
      <c r="MPN36" s="17">
        <f>'Form-Sb'!MPR94</f>
        <v>0</v>
      </c>
      <c r="MPO36" s="17">
        <f>'Form-Sb'!MPS94</f>
        <v>0</v>
      </c>
      <c r="MPP36" s="17">
        <f>'Form-Sb'!MPT94</f>
        <v>0</v>
      </c>
      <c r="MPQ36" s="17">
        <f>'Form-Sb'!MPU94</f>
        <v>0</v>
      </c>
      <c r="MPR36" s="17">
        <f>'Form-Sb'!MPV94</f>
        <v>0</v>
      </c>
      <c r="MPS36" s="17">
        <f>'Form-Sb'!MPW94</f>
        <v>0</v>
      </c>
      <c r="MPT36" s="17">
        <f>'Form-Sb'!MPX94</f>
        <v>0</v>
      </c>
      <c r="MPU36" s="17">
        <f>'Form-Sb'!MPY94</f>
        <v>0</v>
      </c>
      <c r="MPV36" s="17">
        <f>'Form-Sb'!MPZ94</f>
        <v>0</v>
      </c>
      <c r="MPW36" s="17">
        <f>'Form-Sb'!MQA94</f>
        <v>0</v>
      </c>
      <c r="MPX36" s="17">
        <f>'Form-Sb'!MQB94</f>
        <v>0</v>
      </c>
      <c r="MPY36" s="17">
        <f>'Form-Sb'!MQC94</f>
        <v>0</v>
      </c>
      <c r="MPZ36" s="17">
        <f>'Form-Sb'!MQD94</f>
        <v>0</v>
      </c>
      <c r="MQA36" s="17">
        <f>'Form-Sb'!MQE94</f>
        <v>0</v>
      </c>
      <c r="MQB36" s="17">
        <f>'Form-Sb'!MQF94</f>
        <v>0</v>
      </c>
      <c r="MQC36" s="17">
        <f>'Form-Sb'!MQG94</f>
        <v>0</v>
      </c>
      <c r="MQD36" s="17">
        <f>'Form-Sb'!MQH94</f>
        <v>0</v>
      </c>
      <c r="MQE36" s="17">
        <f>'Form-Sb'!MQI94</f>
        <v>0</v>
      </c>
      <c r="MQF36" s="17">
        <f>'Form-Sb'!MQJ94</f>
        <v>0</v>
      </c>
      <c r="MQG36" s="17">
        <f>'Form-Sb'!MQK94</f>
        <v>0</v>
      </c>
      <c r="MQH36" s="17">
        <f>'Form-Sb'!MQL94</f>
        <v>0</v>
      </c>
      <c r="MQI36" s="17">
        <f>'Form-Sb'!MQM94</f>
        <v>0</v>
      </c>
      <c r="MQJ36" s="17">
        <f>'Form-Sb'!MQN94</f>
        <v>0</v>
      </c>
      <c r="MQK36" s="17">
        <f>'Form-Sb'!MQO94</f>
        <v>0</v>
      </c>
      <c r="MQL36" s="17">
        <f>'Form-Sb'!MQP94</f>
        <v>0</v>
      </c>
      <c r="MQM36" s="17">
        <f>'Form-Sb'!MQQ94</f>
        <v>0</v>
      </c>
      <c r="MQN36" s="17">
        <f>'Form-Sb'!MQR94</f>
        <v>0</v>
      </c>
      <c r="MQO36" s="17">
        <f>'Form-Sb'!MQS94</f>
        <v>0</v>
      </c>
      <c r="MQP36" s="17">
        <f>'Form-Sb'!MQT94</f>
        <v>0</v>
      </c>
      <c r="MQQ36" s="17">
        <f>'Form-Sb'!MQU94</f>
        <v>0</v>
      </c>
      <c r="MQR36" s="17">
        <f>'Form-Sb'!MQV94</f>
        <v>0</v>
      </c>
      <c r="MQS36" s="17">
        <f>'Form-Sb'!MQW94</f>
        <v>0</v>
      </c>
      <c r="MQT36" s="17">
        <f>'Form-Sb'!MQX94</f>
        <v>0</v>
      </c>
      <c r="MQU36" s="17">
        <f>'Form-Sb'!MQY94</f>
        <v>0</v>
      </c>
      <c r="MQV36" s="17">
        <f>'Form-Sb'!MQZ94</f>
        <v>0</v>
      </c>
      <c r="MQW36" s="17">
        <f>'Form-Sb'!MRA94</f>
        <v>0</v>
      </c>
      <c r="MQX36" s="17">
        <f>'Form-Sb'!MRB94</f>
        <v>0</v>
      </c>
      <c r="MQY36" s="17">
        <f>'Form-Sb'!MRC94</f>
        <v>0</v>
      </c>
      <c r="MQZ36" s="17">
        <f>'Form-Sb'!MRD94</f>
        <v>0</v>
      </c>
      <c r="MRA36" s="17">
        <f>'Form-Sb'!MRE94</f>
        <v>0</v>
      </c>
      <c r="MRB36" s="17">
        <f>'Form-Sb'!MRF94</f>
        <v>0</v>
      </c>
      <c r="MRC36" s="17">
        <f>'Form-Sb'!MRG94</f>
        <v>0</v>
      </c>
      <c r="MRD36" s="17">
        <f>'Form-Sb'!MRH94</f>
        <v>0</v>
      </c>
      <c r="MRE36" s="17">
        <f>'Form-Sb'!MRI94</f>
        <v>0</v>
      </c>
      <c r="MRF36" s="17">
        <f>'Form-Sb'!MRJ94</f>
        <v>0</v>
      </c>
      <c r="MRG36" s="17">
        <f>'Form-Sb'!MRK94</f>
        <v>0</v>
      </c>
      <c r="MRH36" s="17">
        <f>'Form-Sb'!MRL94</f>
        <v>0</v>
      </c>
      <c r="MRI36" s="17">
        <f>'Form-Sb'!MRM94</f>
        <v>0</v>
      </c>
      <c r="MRJ36" s="17">
        <f>'Form-Sb'!MRN94</f>
        <v>0</v>
      </c>
      <c r="MRK36" s="17">
        <f>'Form-Sb'!MRO94</f>
        <v>0</v>
      </c>
      <c r="MRL36" s="17">
        <f>'Form-Sb'!MRP94</f>
        <v>0</v>
      </c>
      <c r="MRM36" s="17">
        <f>'Form-Sb'!MRQ94</f>
        <v>0</v>
      </c>
      <c r="MRN36" s="17">
        <f>'Form-Sb'!MRR94</f>
        <v>0</v>
      </c>
      <c r="MRO36" s="17">
        <f>'Form-Sb'!MRS94</f>
        <v>0</v>
      </c>
      <c r="MRP36" s="17">
        <f>'Form-Sb'!MRT94</f>
        <v>0</v>
      </c>
      <c r="MRQ36" s="17">
        <f>'Form-Sb'!MRU94</f>
        <v>0</v>
      </c>
      <c r="MRR36" s="17">
        <f>'Form-Sb'!MRV94</f>
        <v>0</v>
      </c>
      <c r="MRS36" s="17">
        <f>'Form-Sb'!MRW94</f>
        <v>0</v>
      </c>
      <c r="MRT36" s="17">
        <f>'Form-Sb'!MRX94</f>
        <v>0</v>
      </c>
      <c r="MRU36" s="17">
        <f>'Form-Sb'!MRY94</f>
        <v>0</v>
      </c>
      <c r="MRV36" s="17">
        <f>'Form-Sb'!MRZ94</f>
        <v>0</v>
      </c>
      <c r="MRW36" s="17">
        <f>'Form-Sb'!MSA94</f>
        <v>0</v>
      </c>
      <c r="MRX36" s="17">
        <f>'Form-Sb'!MSB94</f>
        <v>0</v>
      </c>
      <c r="MRY36" s="17">
        <f>'Form-Sb'!MSC94</f>
        <v>0</v>
      </c>
      <c r="MRZ36" s="17">
        <f>'Form-Sb'!MSD94</f>
        <v>0</v>
      </c>
      <c r="MSA36" s="17">
        <f>'Form-Sb'!MSE94</f>
        <v>0</v>
      </c>
      <c r="MSB36" s="17">
        <f>'Form-Sb'!MSF94</f>
        <v>0</v>
      </c>
      <c r="MSC36" s="17">
        <f>'Form-Sb'!MSG94</f>
        <v>0</v>
      </c>
      <c r="MSD36" s="17">
        <f>'Form-Sb'!MSH94</f>
        <v>0</v>
      </c>
      <c r="MSE36" s="17">
        <f>'Form-Sb'!MSI94</f>
        <v>0</v>
      </c>
      <c r="MSF36" s="17">
        <f>'Form-Sb'!MSJ94</f>
        <v>0</v>
      </c>
      <c r="MSG36" s="17">
        <f>'Form-Sb'!MSK94</f>
        <v>0</v>
      </c>
      <c r="MSH36" s="17">
        <f>'Form-Sb'!MSL94</f>
        <v>0</v>
      </c>
      <c r="MSI36" s="17">
        <f>'Form-Sb'!MSM94</f>
        <v>0</v>
      </c>
      <c r="MSJ36" s="17">
        <f>'Form-Sb'!MSN94</f>
        <v>0</v>
      </c>
      <c r="MSK36" s="17">
        <f>'Form-Sb'!MSO94</f>
        <v>0</v>
      </c>
      <c r="MSL36" s="17">
        <f>'Form-Sb'!MSP94</f>
        <v>0</v>
      </c>
      <c r="MSM36" s="17">
        <f>'Form-Sb'!MSQ94</f>
        <v>0</v>
      </c>
      <c r="MSN36" s="17">
        <f>'Form-Sb'!MSR94</f>
        <v>0</v>
      </c>
      <c r="MSO36" s="17">
        <f>'Form-Sb'!MSS94</f>
        <v>0</v>
      </c>
      <c r="MSP36" s="17">
        <f>'Form-Sb'!MST94</f>
        <v>0</v>
      </c>
      <c r="MSQ36" s="17">
        <f>'Form-Sb'!MSU94</f>
        <v>0</v>
      </c>
      <c r="MSR36" s="17">
        <f>'Form-Sb'!MSV94</f>
        <v>0</v>
      </c>
      <c r="MSS36" s="17">
        <f>'Form-Sb'!MSW94</f>
        <v>0</v>
      </c>
      <c r="MST36" s="17">
        <f>'Form-Sb'!MSX94</f>
        <v>0</v>
      </c>
      <c r="MSU36" s="17">
        <f>'Form-Sb'!MSY94</f>
        <v>0</v>
      </c>
      <c r="MSV36" s="17">
        <f>'Form-Sb'!MSZ94</f>
        <v>0</v>
      </c>
      <c r="MSW36" s="17">
        <f>'Form-Sb'!MTA94</f>
        <v>0</v>
      </c>
      <c r="MSX36" s="17">
        <f>'Form-Sb'!MTB94</f>
        <v>0</v>
      </c>
      <c r="MSY36" s="17">
        <f>'Form-Sb'!MTC94</f>
        <v>0</v>
      </c>
      <c r="MSZ36" s="17">
        <f>'Form-Sb'!MTD94</f>
        <v>0</v>
      </c>
      <c r="MTA36" s="17">
        <f>'Form-Sb'!MTE94</f>
        <v>0</v>
      </c>
      <c r="MTB36" s="17">
        <f>'Form-Sb'!MTF94</f>
        <v>0</v>
      </c>
      <c r="MTC36" s="17">
        <f>'Form-Sb'!MTG94</f>
        <v>0</v>
      </c>
      <c r="MTD36" s="17">
        <f>'Form-Sb'!MTH94</f>
        <v>0</v>
      </c>
      <c r="MTE36" s="17">
        <f>'Form-Sb'!MTI94</f>
        <v>0</v>
      </c>
      <c r="MTF36" s="17">
        <f>'Form-Sb'!MTJ94</f>
        <v>0</v>
      </c>
      <c r="MTG36" s="17">
        <f>'Form-Sb'!MTK94</f>
        <v>0</v>
      </c>
      <c r="MTH36" s="17">
        <f>'Form-Sb'!MTL94</f>
        <v>0</v>
      </c>
      <c r="MTI36" s="17">
        <f>'Form-Sb'!MTM94</f>
        <v>0</v>
      </c>
      <c r="MTJ36" s="17">
        <f>'Form-Sb'!MTN94</f>
        <v>0</v>
      </c>
      <c r="MTK36" s="17">
        <f>'Form-Sb'!MTO94</f>
        <v>0</v>
      </c>
      <c r="MTL36" s="17">
        <f>'Form-Sb'!MTP94</f>
        <v>0</v>
      </c>
      <c r="MTM36" s="17">
        <f>'Form-Sb'!MTQ94</f>
        <v>0</v>
      </c>
      <c r="MTN36" s="17">
        <f>'Form-Sb'!MTR94</f>
        <v>0</v>
      </c>
      <c r="MTO36" s="17">
        <f>'Form-Sb'!MTS94</f>
        <v>0</v>
      </c>
      <c r="MTP36" s="17">
        <f>'Form-Sb'!MTT94</f>
        <v>0</v>
      </c>
      <c r="MTQ36" s="17">
        <f>'Form-Sb'!MTU94</f>
        <v>0</v>
      </c>
      <c r="MTR36" s="17">
        <f>'Form-Sb'!MTV94</f>
        <v>0</v>
      </c>
      <c r="MTS36" s="17">
        <f>'Form-Sb'!MTW94</f>
        <v>0</v>
      </c>
      <c r="MTT36" s="17">
        <f>'Form-Sb'!MTX94</f>
        <v>0</v>
      </c>
      <c r="MTU36" s="17">
        <f>'Form-Sb'!MTY94</f>
        <v>0</v>
      </c>
      <c r="MTV36" s="17">
        <f>'Form-Sb'!MTZ94</f>
        <v>0</v>
      </c>
      <c r="MTW36" s="17">
        <f>'Form-Sb'!MUA94</f>
        <v>0</v>
      </c>
      <c r="MTX36" s="17">
        <f>'Form-Sb'!MUB94</f>
        <v>0</v>
      </c>
      <c r="MTY36" s="17">
        <f>'Form-Sb'!MUC94</f>
        <v>0</v>
      </c>
      <c r="MTZ36" s="17">
        <f>'Form-Sb'!MUD94</f>
        <v>0</v>
      </c>
      <c r="MUA36" s="17">
        <f>'Form-Sb'!MUE94</f>
        <v>0</v>
      </c>
      <c r="MUB36" s="17">
        <f>'Form-Sb'!MUF94</f>
        <v>0</v>
      </c>
      <c r="MUC36" s="17">
        <f>'Form-Sb'!MUG94</f>
        <v>0</v>
      </c>
      <c r="MUD36" s="17">
        <f>'Form-Sb'!MUH94</f>
        <v>0</v>
      </c>
      <c r="MUE36" s="17">
        <f>'Form-Sb'!MUI94</f>
        <v>0</v>
      </c>
      <c r="MUF36" s="17">
        <f>'Form-Sb'!MUJ94</f>
        <v>0</v>
      </c>
      <c r="MUG36" s="17">
        <f>'Form-Sb'!MUK94</f>
        <v>0</v>
      </c>
      <c r="MUH36" s="17">
        <f>'Form-Sb'!MUL94</f>
        <v>0</v>
      </c>
      <c r="MUI36" s="17">
        <f>'Form-Sb'!MUM94</f>
        <v>0</v>
      </c>
      <c r="MUJ36" s="17">
        <f>'Form-Sb'!MUN94</f>
        <v>0</v>
      </c>
      <c r="MUK36" s="17">
        <f>'Form-Sb'!MUO94</f>
        <v>0</v>
      </c>
      <c r="MUL36" s="17">
        <f>'Form-Sb'!MUP94</f>
        <v>0</v>
      </c>
      <c r="MUM36" s="17">
        <f>'Form-Sb'!MUQ94</f>
        <v>0</v>
      </c>
      <c r="MUN36" s="17">
        <f>'Form-Sb'!MUR94</f>
        <v>0</v>
      </c>
      <c r="MUO36" s="17">
        <f>'Form-Sb'!MUS94</f>
        <v>0</v>
      </c>
      <c r="MUP36" s="17">
        <f>'Form-Sb'!MUT94</f>
        <v>0</v>
      </c>
      <c r="MUQ36" s="17">
        <f>'Form-Sb'!MUU94</f>
        <v>0</v>
      </c>
      <c r="MUR36" s="17">
        <f>'Form-Sb'!MUV94</f>
        <v>0</v>
      </c>
      <c r="MUS36" s="17">
        <f>'Form-Sb'!MUW94</f>
        <v>0</v>
      </c>
      <c r="MUT36" s="17">
        <f>'Form-Sb'!MUX94</f>
        <v>0</v>
      </c>
      <c r="MUU36" s="17">
        <f>'Form-Sb'!MUY94</f>
        <v>0</v>
      </c>
      <c r="MUV36" s="17">
        <f>'Form-Sb'!MUZ94</f>
        <v>0</v>
      </c>
      <c r="MUW36" s="17">
        <f>'Form-Sb'!MVA94</f>
        <v>0</v>
      </c>
      <c r="MUX36" s="17">
        <f>'Form-Sb'!MVB94</f>
        <v>0</v>
      </c>
      <c r="MUY36" s="17">
        <f>'Form-Sb'!MVC94</f>
        <v>0</v>
      </c>
      <c r="MUZ36" s="17">
        <f>'Form-Sb'!MVD94</f>
        <v>0</v>
      </c>
      <c r="MVA36" s="17">
        <f>'Form-Sb'!MVE94</f>
        <v>0</v>
      </c>
      <c r="MVB36" s="17">
        <f>'Form-Sb'!MVF94</f>
        <v>0</v>
      </c>
      <c r="MVC36" s="17">
        <f>'Form-Sb'!MVG94</f>
        <v>0</v>
      </c>
      <c r="MVD36" s="17">
        <f>'Form-Sb'!MVH94</f>
        <v>0</v>
      </c>
      <c r="MVE36" s="17">
        <f>'Form-Sb'!MVI94</f>
        <v>0</v>
      </c>
      <c r="MVF36" s="17">
        <f>'Form-Sb'!MVJ94</f>
        <v>0</v>
      </c>
      <c r="MVG36" s="17">
        <f>'Form-Sb'!MVK94</f>
        <v>0</v>
      </c>
      <c r="MVH36" s="17">
        <f>'Form-Sb'!MVL94</f>
        <v>0</v>
      </c>
      <c r="MVI36" s="17">
        <f>'Form-Sb'!MVM94</f>
        <v>0</v>
      </c>
      <c r="MVJ36" s="17">
        <f>'Form-Sb'!MVN94</f>
        <v>0</v>
      </c>
      <c r="MVK36" s="17">
        <f>'Form-Sb'!MVO94</f>
        <v>0</v>
      </c>
      <c r="MVL36" s="17">
        <f>'Form-Sb'!MVP94</f>
        <v>0</v>
      </c>
      <c r="MVM36" s="17">
        <f>'Form-Sb'!MVQ94</f>
        <v>0</v>
      </c>
      <c r="MVN36" s="17">
        <f>'Form-Sb'!MVR94</f>
        <v>0</v>
      </c>
      <c r="MVO36" s="17">
        <f>'Form-Sb'!MVS94</f>
        <v>0</v>
      </c>
      <c r="MVP36" s="17">
        <f>'Form-Sb'!MVT94</f>
        <v>0</v>
      </c>
      <c r="MVQ36" s="17">
        <f>'Form-Sb'!MVU94</f>
        <v>0</v>
      </c>
      <c r="MVR36" s="17">
        <f>'Form-Sb'!MVV94</f>
        <v>0</v>
      </c>
      <c r="MVS36" s="17">
        <f>'Form-Sb'!MVW94</f>
        <v>0</v>
      </c>
      <c r="MVT36" s="17">
        <f>'Form-Sb'!MVX94</f>
        <v>0</v>
      </c>
      <c r="MVU36" s="17">
        <f>'Form-Sb'!MVY94</f>
        <v>0</v>
      </c>
      <c r="MVV36" s="17">
        <f>'Form-Sb'!MVZ94</f>
        <v>0</v>
      </c>
      <c r="MVW36" s="17">
        <f>'Form-Sb'!MWA94</f>
        <v>0</v>
      </c>
      <c r="MVX36" s="17">
        <f>'Form-Sb'!MWB94</f>
        <v>0</v>
      </c>
      <c r="MVY36" s="17">
        <f>'Form-Sb'!MWC94</f>
        <v>0</v>
      </c>
      <c r="MVZ36" s="17">
        <f>'Form-Sb'!MWD94</f>
        <v>0</v>
      </c>
      <c r="MWA36" s="17">
        <f>'Form-Sb'!MWE94</f>
        <v>0</v>
      </c>
      <c r="MWB36" s="17">
        <f>'Form-Sb'!MWF94</f>
        <v>0</v>
      </c>
      <c r="MWC36" s="17">
        <f>'Form-Sb'!MWG94</f>
        <v>0</v>
      </c>
      <c r="MWD36" s="17">
        <f>'Form-Sb'!MWH94</f>
        <v>0</v>
      </c>
      <c r="MWE36" s="17">
        <f>'Form-Sb'!MWI94</f>
        <v>0</v>
      </c>
      <c r="MWF36" s="17">
        <f>'Form-Sb'!MWJ94</f>
        <v>0</v>
      </c>
      <c r="MWG36" s="17">
        <f>'Form-Sb'!MWK94</f>
        <v>0</v>
      </c>
      <c r="MWH36" s="17">
        <f>'Form-Sb'!MWL94</f>
        <v>0</v>
      </c>
      <c r="MWI36" s="17">
        <f>'Form-Sb'!MWM94</f>
        <v>0</v>
      </c>
      <c r="MWJ36" s="17">
        <f>'Form-Sb'!MWN94</f>
        <v>0</v>
      </c>
      <c r="MWK36" s="17">
        <f>'Form-Sb'!MWO94</f>
        <v>0</v>
      </c>
      <c r="MWL36" s="17">
        <f>'Form-Sb'!MWP94</f>
        <v>0</v>
      </c>
      <c r="MWM36" s="17">
        <f>'Form-Sb'!MWQ94</f>
        <v>0</v>
      </c>
      <c r="MWN36" s="17">
        <f>'Form-Sb'!MWR94</f>
        <v>0</v>
      </c>
      <c r="MWO36" s="17">
        <f>'Form-Sb'!MWS94</f>
        <v>0</v>
      </c>
      <c r="MWP36" s="17">
        <f>'Form-Sb'!MWT94</f>
        <v>0</v>
      </c>
      <c r="MWQ36" s="17">
        <f>'Form-Sb'!MWU94</f>
        <v>0</v>
      </c>
      <c r="MWR36" s="17">
        <f>'Form-Sb'!MWV94</f>
        <v>0</v>
      </c>
      <c r="MWS36" s="17">
        <f>'Form-Sb'!MWW94</f>
        <v>0</v>
      </c>
      <c r="MWT36" s="17">
        <f>'Form-Sb'!MWX94</f>
        <v>0</v>
      </c>
      <c r="MWU36" s="17">
        <f>'Form-Sb'!MWY94</f>
        <v>0</v>
      </c>
      <c r="MWV36" s="17">
        <f>'Form-Sb'!MWZ94</f>
        <v>0</v>
      </c>
      <c r="MWW36" s="17">
        <f>'Form-Sb'!MXA94</f>
        <v>0</v>
      </c>
      <c r="MWX36" s="17">
        <f>'Form-Sb'!MXB94</f>
        <v>0</v>
      </c>
      <c r="MWY36" s="17">
        <f>'Form-Sb'!MXC94</f>
        <v>0</v>
      </c>
      <c r="MWZ36" s="17">
        <f>'Form-Sb'!MXD94</f>
        <v>0</v>
      </c>
      <c r="MXA36" s="17">
        <f>'Form-Sb'!MXE94</f>
        <v>0</v>
      </c>
      <c r="MXB36" s="17">
        <f>'Form-Sb'!MXF94</f>
        <v>0</v>
      </c>
      <c r="MXC36" s="17">
        <f>'Form-Sb'!MXG94</f>
        <v>0</v>
      </c>
      <c r="MXD36" s="17">
        <f>'Form-Sb'!MXH94</f>
        <v>0</v>
      </c>
      <c r="MXE36" s="17">
        <f>'Form-Sb'!MXI94</f>
        <v>0</v>
      </c>
      <c r="MXF36" s="17">
        <f>'Form-Sb'!MXJ94</f>
        <v>0</v>
      </c>
      <c r="MXG36" s="17">
        <f>'Form-Sb'!MXK94</f>
        <v>0</v>
      </c>
      <c r="MXH36" s="17">
        <f>'Form-Sb'!MXL94</f>
        <v>0</v>
      </c>
      <c r="MXI36" s="17">
        <f>'Form-Sb'!MXM94</f>
        <v>0</v>
      </c>
      <c r="MXJ36" s="17">
        <f>'Form-Sb'!MXN94</f>
        <v>0</v>
      </c>
      <c r="MXK36" s="17">
        <f>'Form-Sb'!MXO94</f>
        <v>0</v>
      </c>
      <c r="MXL36" s="17">
        <f>'Form-Sb'!MXP94</f>
        <v>0</v>
      </c>
      <c r="MXM36" s="17">
        <f>'Form-Sb'!MXQ94</f>
        <v>0</v>
      </c>
      <c r="MXN36" s="17">
        <f>'Form-Sb'!MXR94</f>
        <v>0</v>
      </c>
      <c r="MXO36" s="17">
        <f>'Form-Sb'!MXS94</f>
        <v>0</v>
      </c>
      <c r="MXP36" s="17">
        <f>'Form-Sb'!MXT94</f>
        <v>0</v>
      </c>
      <c r="MXQ36" s="17">
        <f>'Form-Sb'!MXU94</f>
        <v>0</v>
      </c>
      <c r="MXR36" s="17">
        <f>'Form-Sb'!MXV94</f>
        <v>0</v>
      </c>
      <c r="MXS36" s="17">
        <f>'Form-Sb'!MXW94</f>
        <v>0</v>
      </c>
      <c r="MXT36" s="17">
        <f>'Form-Sb'!MXX94</f>
        <v>0</v>
      </c>
      <c r="MXU36" s="17">
        <f>'Form-Sb'!MXY94</f>
        <v>0</v>
      </c>
      <c r="MXV36" s="17">
        <f>'Form-Sb'!MXZ94</f>
        <v>0</v>
      </c>
      <c r="MXW36" s="17">
        <f>'Form-Sb'!MYA94</f>
        <v>0</v>
      </c>
      <c r="MXX36" s="17">
        <f>'Form-Sb'!MYB94</f>
        <v>0</v>
      </c>
      <c r="MXY36" s="17">
        <f>'Form-Sb'!MYC94</f>
        <v>0</v>
      </c>
      <c r="MXZ36" s="17">
        <f>'Form-Sb'!MYD94</f>
        <v>0</v>
      </c>
      <c r="MYA36" s="17">
        <f>'Form-Sb'!MYE94</f>
        <v>0</v>
      </c>
      <c r="MYB36" s="17">
        <f>'Form-Sb'!MYF94</f>
        <v>0</v>
      </c>
      <c r="MYC36" s="17">
        <f>'Form-Sb'!MYG94</f>
        <v>0</v>
      </c>
      <c r="MYD36" s="17">
        <f>'Form-Sb'!MYH94</f>
        <v>0</v>
      </c>
      <c r="MYE36" s="17">
        <f>'Form-Sb'!MYI94</f>
        <v>0</v>
      </c>
      <c r="MYF36" s="17">
        <f>'Form-Sb'!MYJ94</f>
        <v>0</v>
      </c>
      <c r="MYG36" s="17">
        <f>'Form-Sb'!MYK94</f>
        <v>0</v>
      </c>
      <c r="MYH36" s="17">
        <f>'Form-Sb'!MYL94</f>
        <v>0</v>
      </c>
      <c r="MYI36" s="17">
        <f>'Form-Sb'!MYM94</f>
        <v>0</v>
      </c>
      <c r="MYJ36" s="17">
        <f>'Form-Sb'!MYN94</f>
        <v>0</v>
      </c>
      <c r="MYK36" s="17">
        <f>'Form-Sb'!MYO94</f>
        <v>0</v>
      </c>
      <c r="MYL36" s="17">
        <f>'Form-Sb'!MYP94</f>
        <v>0</v>
      </c>
      <c r="MYM36" s="17">
        <f>'Form-Sb'!MYQ94</f>
        <v>0</v>
      </c>
      <c r="MYN36" s="17">
        <f>'Form-Sb'!MYR94</f>
        <v>0</v>
      </c>
      <c r="MYO36" s="17">
        <f>'Form-Sb'!MYS94</f>
        <v>0</v>
      </c>
      <c r="MYP36" s="17">
        <f>'Form-Sb'!MYT94</f>
        <v>0</v>
      </c>
      <c r="MYQ36" s="17">
        <f>'Form-Sb'!MYU94</f>
        <v>0</v>
      </c>
      <c r="MYR36" s="17">
        <f>'Form-Sb'!MYV94</f>
        <v>0</v>
      </c>
      <c r="MYS36" s="17">
        <f>'Form-Sb'!MYW94</f>
        <v>0</v>
      </c>
      <c r="MYT36" s="17">
        <f>'Form-Sb'!MYX94</f>
        <v>0</v>
      </c>
      <c r="MYU36" s="17">
        <f>'Form-Sb'!MYY94</f>
        <v>0</v>
      </c>
      <c r="MYV36" s="17">
        <f>'Form-Sb'!MYZ94</f>
        <v>0</v>
      </c>
      <c r="MYW36" s="17">
        <f>'Form-Sb'!MZA94</f>
        <v>0</v>
      </c>
      <c r="MYX36" s="17">
        <f>'Form-Sb'!MZB94</f>
        <v>0</v>
      </c>
      <c r="MYY36" s="17">
        <f>'Form-Sb'!MZC94</f>
        <v>0</v>
      </c>
      <c r="MYZ36" s="17">
        <f>'Form-Sb'!MZD94</f>
        <v>0</v>
      </c>
      <c r="MZA36" s="17">
        <f>'Form-Sb'!MZE94</f>
        <v>0</v>
      </c>
      <c r="MZB36" s="17">
        <f>'Form-Sb'!MZF94</f>
        <v>0</v>
      </c>
      <c r="MZC36" s="17">
        <f>'Form-Sb'!MZG94</f>
        <v>0</v>
      </c>
      <c r="MZD36" s="17">
        <f>'Form-Sb'!MZH94</f>
        <v>0</v>
      </c>
      <c r="MZE36" s="17">
        <f>'Form-Sb'!MZI94</f>
        <v>0</v>
      </c>
      <c r="MZF36" s="17">
        <f>'Form-Sb'!MZJ94</f>
        <v>0</v>
      </c>
      <c r="MZG36" s="17">
        <f>'Form-Sb'!MZK94</f>
        <v>0</v>
      </c>
      <c r="MZH36" s="17">
        <f>'Form-Sb'!MZL94</f>
        <v>0</v>
      </c>
      <c r="MZI36" s="17">
        <f>'Form-Sb'!MZM94</f>
        <v>0</v>
      </c>
      <c r="MZJ36" s="17">
        <f>'Form-Sb'!MZN94</f>
        <v>0</v>
      </c>
      <c r="MZK36" s="17">
        <f>'Form-Sb'!MZO94</f>
        <v>0</v>
      </c>
      <c r="MZL36" s="17">
        <f>'Form-Sb'!MZP94</f>
        <v>0</v>
      </c>
      <c r="MZM36" s="17">
        <f>'Form-Sb'!MZQ94</f>
        <v>0</v>
      </c>
      <c r="MZN36" s="17">
        <f>'Form-Sb'!MZR94</f>
        <v>0</v>
      </c>
      <c r="MZO36" s="17">
        <f>'Form-Sb'!MZS94</f>
        <v>0</v>
      </c>
      <c r="MZP36" s="17">
        <f>'Form-Sb'!MZT94</f>
        <v>0</v>
      </c>
      <c r="MZQ36" s="17">
        <f>'Form-Sb'!MZU94</f>
        <v>0</v>
      </c>
      <c r="MZR36" s="17">
        <f>'Form-Sb'!MZV94</f>
        <v>0</v>
      </c>
      <c r="MZS36" s="17">
        <f>'Form-Sb'!MZW94</f>
        <v>0</v>
      </c>
      <c r="MZT36" s="17">
        <f>'Form-Sb'!MZX94</f>
        <v>0</v>
      </c>
      <c r="MZU36" s="17">
        <f>'Form-Sb'!MZY94</f>
        <v>0</v>
      </c>
      <c r="MZV36" s="17">
        <f>'Form-Sb'!MZZ94</f>
        <v>0</v>
      </c>
      <c r="MZW36" s="17">
        <f>'Form-Sb'!NAA94</f>
        <v>0</v>
      </c>
      <c r="MZX36" s="17">
        <f>'Form-Sb'!NAB94</f>
        <v>0</v>
      </c>
      <c r="MZY36" s="17">
        <f>'Form-Sb'!NAC94</f>
        <v>0</v>
      </c>
      <c r="MZZ36" s="17">
        <f>'Form-Sb'!NAD94</f>
        <v>0</v>
      </c>
      <c r="NAA36" s="17">
        <f>'Form-Sb'!NAE94</f>
        <v>0</v>
      </c>
      <c r="NAB36" s="17">
        <f>'Form-Sb'!NAF94</f>
        <v>0</v>
      </c>
      <c r="NAC36" s="17">
        <f>'Form-Sb'!NAG94</f>
        <v>0</v>
      </c>
      <c r="NAD36" s="17">
        <f>'Form-Sb'!NAH94</f>
        <v>0</v>
      </c>
      <c r="NAE36" s="17">
        <f>'Form-Sb'!NAI94</f>
        <v>0</v>
      </c>
      <c r="NAF36" s="17">
        <f>'Form-Sb'!NAJ94</f>
        <v>0</v>
      </c>
      <c r="NAG36" s="17">
        <f>'Form-Sb'!NAK94</f>
        <v>0</v>
      </c>
      <c r="NAH36" s="17">
        <f>'Form-Sb'!NAL94</f>
        <v>0</v>
      </c>
      <c r="NAI36" s="17">
        <f>'Form-Sb'!NAM94</f>
        <v>0</v>
      </c>
      <c r="NAJ36" s="17">
        <f>'Form-Sb'!NAN94</f>
        <v>0</v>
      </c>
      <c r="NAK36" s="17">
        <f>'Form-Sb'!NAO94</f>
        <v>0</v>
      </c>
      <c r="NAL36" s="17">
        <f>'Form-Sb'!NAP94</f>
        <v>0</v>
      </c>
      <c r="NAM36" s="17">
        <f>'Form-Sb'!NAQ94</f>
        <v>0</v>
      </c>
      <c r="NAN36" s="17">
        <f>'Form-Sb'!NAR94</f>
        <v>0</v>
      </c>
      <c r="NAO36" s="17">
        <f>'Form-Sb'!NAS94</f>
        <v>0</v>
      </c>
      <c r="NAP36" s="17">
        <f>'Form-Sb'!NAT94</f>
        <v>0</v>
      </c>
      <c r="NAQ36" s="17">
        <f>'Form-Sb'!NAU94</f>
        <v>0</v>
      </c>
      <c r="NAR36" s="17">
        <f>'Form-Sb'!NAV94</f>
        <v>0</v>
      </c>
      <c r="NAS36" s="17">
        <f>'Form-Sb'!NAW94</f>
        <v>0</v>
      </c>
      <c r="NAT36" s="17">
        <f>'Form-Sb'!NAX94</f>
        <v>0</v>
      </c>
      <c r="NAU36" s="17">
        <f>'Form-Sb'!NAY94</f>
        <v>0</v>
      </c>
      <c r="NAV36" s="17">
        <f>'Form-Sb'!NAZ94</f>
        <v>0</v>
      </c>
      <c r="NAW36" s="17">
        <f>'Form-Sb'!NBA94</f>
        <v>0</v>
      </c>
      <c r="NAX36" s="17">
        <f>'Form-Sb'!NBB94</f>
        <v>0</v>
      </c>
      <c r="NAY36" s="17">
        <f>'Form-Sb'!NBC94</f>
        <v>0</v>
      </c>
      <c r="NAZ36" s="17">
        <f>'Form-Sb'!NBD94</f>
        <v>0</v>
      </c>
      <c r="NBA36" s="17">
        <f>'Form-Sb'!NBE94</f>
        <v>0</v>
      </c>
      <c r="NBB36" s="17">
        <f>'Form-Sb'!NBF94</f>
        <v>0</v>
      </c>
      <c r="NBC36" s="17">
        <f>'Form-Sb'!NBG94</f>
        <v>0</v>
      </c>
      <c r="NBD36" s="17">
        <f>'Form-Sb'!NBH94</f>
        <v>0</v>
      </c>
      <c r="NBE36" s="17">
        <f>'Form-Sb'!NBI94</f>
        <v>0</v>
      </c>
      <c r="NBF36" s="17">
        <f>'Form-Sb'!NBJ94</f>
        <v>0</v>
      </c>
      <c r="NBG36" s="17">
        <f>'Form-Sb'!NBK94</f>
        <v>0</v>
      </c>
      <c r="NBH36" s="17">
        <f>'Form-Sb'!NBL94</f>
        <v>0</v>
      </c>
      <c r="NBI36" s="17">
        <f>'Form-Sb'!NBM94</f>
        <v>0</v>
      </c>
      <c r="NBJ36" s="17">
        <f>'Form-Sb'!NBN94</f>
        <v>0</v>
      </c>
      <c r="NBK36" s="17">
        <f>'Form-Sb'!NBO94</f>
        <v>0</v>
      </c>
      <c r="NBL36" s="17">
        <f>'Form-Sb'!NBP94</f>
        <v>0</v>
      </c>
      <c r="NBM36" s="17">
        <f>'Form-Sb'!NBQ94</f>
        <v>0</v>
      </c>
      <c r="NBN36" s="17">
        <f>'Form-Sb'!NBR94</f>
        <v>0</v>
      </c>
      <c r="NBO36" s="17">
        <f>'Form-Sb'!NBS94</f>
        <v>0</v>
      </c>
      <c r="NBP36" s="17">
        <f>'Form-Sb'!NBT94</f>
        <v>0</v>
      </c>
      <c r="NBQ36" s="17">
        <f>'Form-Sb'!NBU94</f>
        <v>0</v>
      </c>
      <c r="NBR36" s="17">
        <f>'Form-Sb'!NBV94</f>
        <v>0</v>
      </c>
      <c r="NBS36" s="17">
        <f>'Form-Sb'!NBW94</f>
        <v>0</v>
      </c>
      <c r="NBT36" s="17">
        <f>'Form-Sb'!NBX94</f>
        <v>0</v>
      </c>
      <c r="NBU36" s="17">
        <f>'Form-Sb'!NBY94</f>
        <v>0</v>
      </c>
      <c r="NBV36" s="17">
        <f>'Form-Sb'!NBZ94</f>
        <v>0</v>
      </c>
      <c r="NBW36" s="17">
        <f>'Form-Sb'!NCA94</f>
        <v>0</v>
      </c>
      <c r="NBX36" s="17">
        <f>'Form-Sb'!NCB94</f>
        <v>0</v>
      </c>
      <c r="NBY36" s="17">
        <f>'Form-Sb'!NCC94</f>
        <v>0</v>
      </c>
      <c r="NBZ36" s="17">
        <f>'Form-Sb'!NCD94</f>
        <v>0</v>
      </c>
      <c r="NCA36" s="17">
        <f>'Form-Sb'!NCE94</f>
        <v>0</v>
      </c>
      <c r="NCB36" s="17">
        <f>'Form-Sb'!NCF94</f>
        <v>0</v>
      </c>
      <c r="NCC36" s="17">
        <f>'Form-Sb'!NCG94</f>
        <v>0</v>
      </c>
      <c r="NCD36" s="17">
        <f>'Form-Sb'!NCH94</f>
        <v>0</v>
      </c>
      <c r="NCE36" s="17">
        <f>'Form-Sb'!NCI94</f>
        <v>0</v>
      </c>
      <c r="NCF36" s="17">
        <f>'Form-Sb'!NCJ94</f>
        <v>0</v>
      </c>
      <c r="NCG36" s="17">
        <f>'Form-Sb'!NCK94</f>
        <v>0</v>
      </c>
      <c r="NCH36" s="17">
        <f>'Form-Sb'!NCL94</f>
        <v>0</v>
      </c>
      <c r="NCI36" s="17">
        <f>'Form-Sb'!NCM94</f>
        <v>0</v>
      </c>
      <c r="NCJ36" s="17">
        <f>'Form-Sb'!NCN94</f>
        <v>0</v>
      </c>
      <c r="NCK36" s="17">
        <f>'Form-Sb'!NCO94</f>
        <v>0</v>
      </c>
      <c r="NCL36" s="17">
        <f>'Form-Sb'!NCP94</f>
        <v>0</v>
      </c>
      <c r="NCM36" s="17">
        <f>'Form-Sb'!NCQ94</f>
        <v>0</v>
      </c>
      <c r="NCN36" s="17">
        <f>'Form-Sb'!NCR94</f>
        <v>0</v>
      </c>
      <c r="NCO36" s="17">
        <f>'Form-Sb'!NCS94</f>
        <v>0</v>
      </c>
      <c r="NCP36" s="17">
        <f>'Form-Sb'!NCT94</f>
        <v>0</v>
      </c>
      <c r="NCQ36" s="17">
        <f>'Form-Sb'!NCU94</f>
        <v>0</v>
      </c>
      <c r="NCR36" s="17">
        <f>'Form-Sb'!NCV94</f>
        <v>0</v>
      </c>
      <c r="NCS36" s="17">
        <f>'Form-Sb'!NCW94</f>
        <v>0</v>
      </c>
      <c r="NCT36" s="17">
        <f>'Form-Sb'!NCX94</f>
        <v>0</v>
      </c>
      <c r="NCU36" s="17">
        <f>'Form-Sb'!NCY94</f>
        <v>0</v>
      </c>
      <c r="NCV36" s="17">
        <f>'Form-Sb'!NCZ94</f>
        <v>0</v>
      </c>
      <c r="NCW36" s="17">
        <f>'Form-Sb'!NDA94</f>
        <v>0</v>
      </c>
      <c r="NCX36" s="17">
        <f>'Form-Sb'!NDB94</f>
        <v>0</v>
      </c>
      <c r="NCY36" s="17">
        <f>'Form-Sb'!NDC94</f>
        <v>0</v>
      </c>
      <c r="NCZ36" s="17">
        <f>'Form-Sb'!NDD94</f>
        <v>0</v>
      </c>
      <c r="NDA36" s="17">
        <f>'Form-Sb'!NDE94</f>
        <v>0</v>
      </c>
      <c r="NDB36" s="17">
        <f>'Form-Sb'!NDF94</f>
        <v>0</v>
      </c>
      <c r="NDC36" s="17">
        <f>'Form-Sb'!NDG94</f>
        <v>0</v>
      </c>
      <c r="NDD36" s="17">
        <f>'Form-Sb'!NDH94</f>
        <v>0</v>
      </c>
      <c r="NDE36" s="17">
        <f>'Form-Sb'!NDI94</f>
        <v>0</v>
      </c>
      <c r="NDF36" s="17">
        <f>'Form-Sb'!NDJ94</f>
        <v>0</v>
      </c>
      <c r="NDG36" s="17">
        <f>'Form-Sb'!NDK94</f>
        <v>0</v>
      </c>
      <c r="NDH36" s="17">
        <f>'Form-Sb'!NDL94</f>
        <v>0</v>
      </c>
      <c r="NDI36" s="17">
        <f>'Form-Sb'!NDM94</f>
        <v>0</v>
      </c>
      <c r="NDJ36" s="17">
        <f>'Form-Sb'!NDN94</f>
        <v>0</v>
      </c>
      <c r="NDK36" s="17">
        <f>'Form-Sb'!NDO94</f>
        <v>0</v>
      </c>
      <c r="NDL36" s="17">
        <f>'Form-Sb'!NDP94</f>
        <v>0</v>
      </c>
      <c r="NDM36" s="17">
        <f>'Form-Sb'!NDQ94</f>
        <v>0</v>
      </c>
      <c r="NDN36" s="17">
        <f>'Form-Sb'!NDR94</f>
        <v>0</v>
      </c>
      <c r="NDO36" s="17">
        <f>'Form-Sb'!NDS94</f>
        <v>0</v>
      </c>
      <c r="NDP36" s="17">
        <f>'Form-Sb'!NDT94</f>
        <v>0</v>
      </c>
      <c r="NDQ36" s="17">
        <f>'Form-Sb'!NDU94</f>
        <v>0</v>
      </c>
      <c r="NDR36" s="17">
        <f>'Form-Sb'!NDV94</f>
        <v>0</v>
      </c>
      <c r="NDS36" s="17">
        <f>'Form-Sb'!NDW94</f>
        <v>0</v>
      </c>
      <c r="NDT36" s="17">
        <f>'Form-Sb'!NDX94</f>
        <v>0</v>
      </c>
      <c r="NDU36" s="17">
        <f>'Form-Sb'!NDY94</f>
        <v>0</v>
      </c>
      <c r="NDV36" s="17">
        <f>'Form-Sb'!NDZ94</f>
        <v>0</v>
      </c>
      <c r="NDW36" s="17">
        <f>'Form-Sb'!NEA94</f>
        <v>0</v>
      </c>
      <c r="NDX36" s="17">
        <f>'Form-Sb'!NEB94</f>
        <v>0</v>
      </c>
      <c r="NDY36" s="17">
        <f>'Form-Sb'!NEC94</f>
        <v>0</v>
      </c>
      <c r="NDZ36" s="17">
        <f>'Form-Sb'!NED94</f>
        <v>0</v>
      </c>
      <c r="NEA36" s="17">
        <f>'Form-Sb'!NEE94</f>
        <v>0</v>
      </c>
      <c r="NEB36" s="17">
        <f>'Form-Sb'!NEF94</f>
        <v>0</v>
      </c>
      <c r="NEC36" s="17">
        <f>'Form-Sb'!NEG94</f>
        <v>0</v>
      </c>
      <c r="NED36" s="17">
        <f>'Form-Sb'!NEH94</f>
        <v>0</v>
      </c>
      <c r="NEE36" s="17">
        <f>'Form-Sb'!NEI94</f>
        <v>0</v>
      </c>
      <c r="NEF36" s="17">
        <f>'Form-Sb'!NEJ94</f>
        <v>0</v>
      </c>
      <c r="NEG36" s="17">
        <f>'Form-Sb'!NEK94</f>
        <v>0</v>
      </c>
      <c r="NEH36" s="17">
        <f>'Form-Sb'!NEL94</f>
        <v>0</v>
      </c>
      <c r="NEI36" s="17">
        <f>'Form-Sb'!NEM94</f>
        <v>0</v>
      </c>
      <c r="NEJ36" s="17">
        <f>'Form-Sb'!NEN94</f>
        <v>0</v>
      </c>
      <c r="NEK36" s="17">
        <f>'Form-Sb'!NEO94</f>
        <v>0</v>
      </c>
      <c r="NEL36" s="17">
        <f>'Form-Sb'!NEP94</f>
        <v>0</v>
      </c>
      <c r="NEM36" s="17">
        <f>'Form-Sb'!NEQ94</f>
        <v>0</v>
      </c>
      <c r="NEN36" s="17">
        <f>'Form-Sb'!NER94</f>
        <v>0</v>
      </c>
      <c r="NEO36" s="17">
        <f>'Form-Sb'!NES94</f>
        <v>0</v>
      </c>
      <c r="NEP36" s="17">
        <f>'Form-Sb'!NET94</f>
        <v>0</v>
      </c>
      <c r="NEQ36" s="17">
        <f>'Form-Sb'!NEU94</f>
        <v>0</v>
      </c>
      <c r="NER36" s="17">
        <f>'Form-Sb'!NEV94</f>
        <v>0</v>
      </c>
      <c r="NES36" s="17">
        <f>'Form-Sb'!NEW94</f>
        <v>0</v>
      </c>
      <c r="NET36" s="17">
        <f>'Form-Sb'!NEX94</f>
        <v>0</v>
      </c>
      <c r="NEU36" s="17">
        <f>'Form-Sb'!NEY94</f>
        <v>0</v>
      </c>
      <c r="NEV36" s="17">
        <f>'Form-Sb'!NEZ94</f>
        <v>0</v>
      </c>
      <c r="NEW36" s="17">
        <f>'Form-Sb'!NFA94</f>
        <v>0</v>
      </c>
      <c r="NEX36" s="17">
        <f>'Form-Sb'!NFB94</f>
        <v>0</v>
      </c>
      <c r="NEY36" s="17">
        <f>'Form-Sb'!NFC94</f>
        <v>0</v>
      </c>
      <c r="NEZ36" s="17">
        <f>'Form-Sb'!NFD94</f>
        <v>0</v>
      </c>
      <c r="NFA36" s="17">
        <f>'Form-Sb'!NFE94</f>
        <v>0</v>
      </c>
      <c r="NFB36" s="17">
        <f>'Form-Sb'!NFF94</f>
        <v>0</v>
      </c>
      <c r="NFC36" s="17">
        <f>'Form-Sb'!NFG94</f>
        <v>0</v>
      </c>
      <c r="NFD36" s="17">
        <f>'Form-Sb'!NFH94</f>
        <v>0</v>
      </c>
      <c r="NFE36" s="17">
        <f>'Form-Sb'!NFI94</f>
        <v>0</v>
      </c>
      <c r="NFF36" s="17">
        <f>'Form-Sb'!NFJ94</f>
        <v>0</v>
      </c>
      <c r="NFG36" s="17">
        <f>'Form-Sb'!NFK94</f>
        <v>0</v>
      </c>
      <c r="NFH36" s="17">
        <f>'Form-Sb'!NFL94</f>
        <v>0</v>
      </c>
      <c r="NFI36" s="17">
        <f>'Form-Sb'!NFM94</f>
        <v>0</v>
      </c>
      <c r="NFJ36" s="17">
        <f>'Form-Sb'!NFN94</f>
        <v>0</v>
      </c>
      <c r="NFK36" s="17">
        <f>'Form-Sb'!NFO94</f>
        <v>0</v>
      </c>
      <c r="NFL36" s="17">
        <f>'Form-Sb'!NFP94</f>
        <v>0</v>
      </c>
      <c r="NFM36" s="17">
        <f>'Form-Sb'!NFQ94</f>
        <v>0</v>
      </c>
      <c r="NFN36" s="17">
        <f>'Form-Sb'!NFR94</f>
        <v>0</v>
      </c>
      <c r="NFO36" s="17">
        <f>'Form-Sb'!NFS94</f>
        <v>0</v>
      </c>
      <c r="NFP36" s="17">
        <f>'Form-Sb'!NFT94</f>
        <v>0</v>
      </c>
      <c r="NFQ36" s="17">
        <f>'Form-Sb'!NFU94</f>
        <v>0</v>
      </c>
      <c r="NFR36" s="17">
        <f>'Form-Sb'!NFV94</f>
        <v>0</v>
      </c>
      <c r="NFS36" s="17">
        <f>'Form-Sb'!NFW94</f>
        <v>0</v>
      </c>
      <c r="NFT36" s="17">
        <f>'Form-Sb'!NFX94</f>
        <v>0</v>
      </c>
      <c r="NFU36" s="17">
        <f>'Form-Sb'!NFY94</f>
        <v>0</v>
      </c>
      <c r="NFV36" s="17">
        <f>'Form-Sb'!NFZ94</f>
        <v>0</v>
      </c>
      <c r="NFW36" s="17">
        <f>'Form-Sb'!NGA94</f>
        <v>0</v>
      </c>
      <c r="NFX36" s="17">
        <f>'Form-Sb'!NGB94</f>
        <v>0</v>
      </c>
      <c r="NFY36" s="17">
        <f>'Form-Sb'!NGC94</f>
        <v>0</v>
      </c>
      <c r="NFZ36" s="17">
        <f>'Form-Sb'!NGD94</f>
        <v>0</v>
      </c>
      <c r="NGA36" s="17">
        <f>'Form-Sb'!NGE94</f>
        <v>0</v>
      </c>
      <c r="NGB36" s="17">
        <f>'Form-Sb'!NGF94</f>
        <v>0</v>
      </c>
      <c r="NGC36" s="17">
        <f>'Form-Sb'!NGG94</f>
        <v>0</v>
      </c>
      <c r="NGD36" s="17">
        <f>'Form-Sb'!NGH94</f>
        <v>0</v>
      </c>
      <c r="NGE36" s="17">
        <f>'Form-Sb'!NGI94</f>
        <v>0</v>
      </c>
      <c r="NGF36" s="17">
        <f>'Form-Sb'!NGJ94</f>
        <v>0</v>
      </c>
      <c r="NGG36" s="17">
        <f>'Form-Sb'!NGK94</f>
        <v>0</v>
      </c>
      <c r="NGH36" s="17">
        <f>'Form-Sb'!NGL94</f>
        <v>0</v>
      </c>
      <c r="NGI36" s="17">
        <f>'Form-Sb'!NGM94</f>
        <v>0</v>
      </c>
      <c r="NGJ36" s="17">
        <f>'Form-Sb'!NGN94</f>
        <v>0</v>
      </c>
      <c r="NGK36" s="17">
        <f>'Form-Sb'!NGO94</f>
        <v>0</v>
      </c>
      <c r="NGL36" s="17">
        <f>'Form-Sb'!NGP94</f>
        <v>0</v>
      </c>
      <c r="NGM36" s="17">
        <f>'Form-Sb'!NGQ94</f>
        <v>0</v>
      </c>
      <c r="NGN36" s="17">
        <f>'Form-Sb'!NGR94</f>
        <v>0</v>
      </c>
      <c r="NGO36" s="17">
        <f>'Form-Sb'!NGS94</f>
        <v>0</v>
      </c>
      <c r="NGP36" s="17">
        <f>'Form-Sb'!NGT94</f>
        <v>0</v>
      </c>
      <c r="NGQ36" s="17">
        <f>'Form-Sb'!NGU94</f>
        <v>0</v>
      </c>
      <c r="NGR36" s="17">
        <f>'Form-Sb'!NGV94</f>
        <v>0</v>
      </c>
      <c r="NGS36" s="17">
        <f>'Form-Sb'!NGW94</f>
        <v>0</v>
      </c>
      <c r="NGT36" s="17">
        <f>'Form-Sb'!NGX94</f>
        <v>0</v>
      </c>
      <c r="NGU36" s="17">
        <f>'Form-Sb'!NGY94</f>
        <v>0</v>
      </c>
      <c r="NGV36" s="17">
        <f>'Form-Sb'!NGZ94</f>
        <v>0</v>
      </c>
      <c r="NGW36" s="17">
        <f>'Form-Sb'!NHA94</f>
        <v>0</v>
      </c>
      <c r="NGX36" s="17">
        <f>'Form-Sb'!NHB94</f>
        <v>0</v>
      </c>
      <c r="NGY36" s="17">
        <f>'Form-Sb'!NHC94</f>
        <v>0</v>
      </c>
      <c r="NGZ36" s="17">
        <f>'Form-Sb'!NHD94</f>
        <v>0</v>
      </c>
      <c r="NHA36" s="17">
        <f>'Form-Sb'!NHE94</f>
        <v>0</v>
      </c>
      <c r="NHB36" s="17">
        <f>'Form-Sb'!NHF94</f>
        <v>0</v>
      </c>
      <c r="NHC36" s="17">
        <f>'Form-Sb'!NHG94</f>
        <v>0</v>
      </c>
      <c r="NHD36" s="17">
        <f>'Form-Sb'!NHH94</f>
        <v>0</v>
      </c>
      <c r="NHE36" s="17">
        <f>'Form-Sb'!NHI94</f>
        <v>0</v>
      </c>
      <c r="NHF36" s="17">
        <f>'Form-Sb'!NHJ94</f>
        <v>0</v>
      </c>
      <c r="NHG36" s="17">
        <f>'Form-Sb'!NHK94</f>
        <v>0</v>
      </c>
      <c r="NHH36" s="17">
        <f>'Form-Sb'!NHL94</f>
        <v>0</v>
      </c>
      <c r="NHI36" s="17">
        <f>'Form-Sb'!NHM94</f>
        <v>0</v>
      </c>
      <c r="NHJ36" s="17">
        <f>'Form-Sb'!NHN94</f>
        <v>0</v>
      </c>
      <c r="NHK36" s="17">
        <f>'Form-Sb'!NHO94</f>
        <v>0</v>
      </c>
      <c r="NHL36" s="17">
        <f>'Form-Sb'!NHP94</f>
        <v>0</v>
      </c>
      <c r="NHM36" s="17">
        <f>'Form-Sb'!NHQ94</f>
        <v>0</v>
      </c>
      <c r="NHN36" s="17">
        <f>'Form-Sb'!NHR94</f>
        <v>0</v>
      </c>
      <c r="NHO36" s="17">
        <f>'Form-Sb'!NHS94</f>
        <v>0</v>
      </c>
      <c r="NHP36" s="17">
        <f>'Form-Sb'!NHT94</f>
        <v>0</v>
      </c>
      <c r="NHQ36" s="17">
        <f>'Form-Sb'!NHU94</f>
        <v>0</v>
      </c>
      <c r="NHR36" s="17">
        <f>'Form-Sb'!NHV94</f>
        <v>0</v>
      </c>
      <c r="NHS36" s="17">
        <f>'Form-Sb'!NHW94</f>
        <v>0</v>
      </c>
      <c r="NHT36" s="17">
        <f>'Form-Sb'!NHX94</f>
        <v>0</v>
      </c>
      <c r="NHU36" s="17">
        <f>'Form-Sb'!NHY94</f>
        <v>0</v>
      </c>
      <c r="NHV36" s="17">
        <f>'Form-Sb'!NHZ94</f>
        <v>0</v>
      </c>
      <c r="NHW36" s="17">
        <f>'Form-Sb'!NIA94</f>
        <v>0</v>
      </c>
      <c r="NHX36" s="17">
        <f>'Form-Sb'!NIB94</f>
        <v>0</v>
      </c>
      <c r="NHY36" s="17">
        <f>'Form-Sb'!NIC94</f>
        <v>0</v>
      </c>
      <c r="NHZ36" s="17">
        <f>'Form-Sb'!NID94</f>
        <v>0</v>
      </c>
      <c r="NIA36" s="17">
        <f>'Form-Sb'!NIE94</f>
        <v>0</v>
      </c>
      <c r="NIB36" s="17">
        <f>'Form-Sb'!NIF94</f>
        <v>0</v>
      </c>
      <c r="NIC36" s="17">
        <f>'Form-Sb'!NIG94</f>
        <v>0</v>
      </c>
      <c r="NID36" s="17">
        <f>'Form-Sb'!NIH94</f>
        <v>0</v>
      </c>
      <c r="NIE36" s="17">
        <f>'Form-Sb'!NII94</f>
        <v>0</v>
      </c>
      <c r="NIF36" s="17">
        <f>'Form-Sb'!NIJ94</f>
        <v>0</v>
      </c>
      <c r="NIG36" s="17">
        <f>'Form-Sb'!NIK94</f>
        <v>0</v>
      </c>
      <c r="NIH36" s="17">
        <f>'Form-Sb'!NIL94</f>
        <v>0</v>
      </c>
      <c r="NII36" s="17">
        <f>'Form-Sb'!NIM94</f>
        <v>0</v>
      </c>
      <c r="NIJ36" s="17">
        <f>'Form-Sb'!NIN94</f>
        <v>0</v>
      </c>
      <c r="NIK36" s="17">
        <f>'Form-Sb'!NIO94</f>
        <v>0</v>
      </c>
      <c r="NIL36" s="17">
        <f>'Form-Sb'!NIP94</f>
        <v>0</v>
      </c>
      <c r="NIM36" s="17">
        <f>'Form-Sb'!NIQ94</f>
        <v>0</v>
      </c>
      <c r="NIN36" s="17">
        <f>'Form-Sb'!NIR94</f>
        <v>0</v>
      </c>
      <c r="NIO36" s="17">
        <f>'Form-Sb'!NIS94</f>
        <v>0</v>
      </c>
      <c r="NIP36" s="17">
        <f>'Form-Sb'!NIT94</f>
        <v>0</v>
      </c>
      <c r="NIQ36" s="17">
        <f>'Form-Sb'!NIU94</f>
        <v>0</v>
      </c>
      <c r="NIR36" s="17">
        <f>'Form-Sb'!NIV94</f>
        <v>0</v>
      </c>
      <c r="NIS36" s="17">
        <f>'Form-Sb'!NIW94</f>
        <v>0</v>
      </c>
      <c r="NIT36" s="17">
        <f>'Form-Sb'!NIX94</f>
        <v>0</v>
      </c>
      <c r="NIU36" s="17">
        <f>'Form-Sb'!NIY94</f>
        <v>0</v>
      </c>
      <c r="NIV36" s="17">
        <f>'Form-Sb'!NIZ94</f>
        <v>0</v>
      </c>
      <c r="NIW36" s="17">
        <f>'Form-Sb'!NJA94</f>
        <v>0</v>
      </c>
      <c r="NIX36" s="17">
        <f>'Form-Sb'!NJB94</f>
        <v>0</v>
      </c>
      <c r="NIY36" s="17">
        <f>'Form-Sb'!NJC94</f>
        <v>0</v>
      </c>
      <c r="NIZ36" s="17">
        <f>'Form-Sb'!NJD94</f>
        <v>0</v>
      </c>
      <c r="NJA36" s="17">
        <f>'Form-Sb'!NJE94</f>
        <v>0</v>
      </c>
      <c r="NJB36" s="17">
        <f>'Form-Sb'!NJF94</f>
        <v>0</v>
      </c>
      <c r="NJC36" s="17">
        <f>'Form-Sb'!NJG94</f>
        <v>0</v>
      </c>
      <c r="NJD36" s="17">
        <f>'Form-Sb'!NJH94</f>
        <v>0</v>
      </c>
      <c r="NJE36" s="17">
        <f>'Form-Sb'!NJI94</f>
        <v>0</v>
      </c>
      <c r="NJF36" s="17">
        <f>'Form-Sb'!NJJ94</f>
        <v>0</v>
      </c>
      <c r="NJG36" s="17">
        <f>'Form-Sb'!NJK94</f>
        <v>0</v>
      </c>
      <c r="NJH36" s="17">
        <f>'Form-Sb'!NJL94</f>
        <v>0</v>
      </c>
      <c r="NJI36" s="17">
        <f>'Form-Sb'!NJM94</f>
        <v>0</v>
      </c>
      <c r="NJJ36" s="17">
        <f>'Form-Sb'!NJN94</f>
        <v>0</v>
      </c>
      <c r="NJK36" s="17">
        <f>'Form-Sb'!NJO94</f>
        <v>0</v>
      </c>
      <c r="NJL36" s="17">
        <f>'Form-Sb'!NJP94</f>
        <v>0</v>
      </c>
      <c r="NJM36" s="17">
        <f>'Form-Sb'!NJQ94</f>
        <v>0</v>
      </c>
      <c r="NJN36" s="17">
        <f>'Form-Sb'!NJR94</f>
        <v>0</v>
      </c>
      <c r="NJO36" s="17">
        <f>'Form-Sb'!NJS94</f>
        <v>0</v>
      </c>
      <c r="NJP36" s="17">
        <f>'Form-Sb'!NJT94</f>
        <v>0</v>
      </c>
      <c r="NJQ36" s="17">
        <f>'Form-Sb'!NJU94</f>
        <v>0</v>
      </c>
      <c r="NJR36" s="17">
        <f>'Form-Sb'!NJV94</f>
        <v>0</v>
      </c>
      <c r="NJS36" s="17">
        <f>'Form-Sb'!NJW94</f>
        <v>0</v>
      </c>
      <c r="NJT36" s="17">
        <f>'Form-Sb'!NJX94</f>
        <v>0</v>
      </c>
      <c r="NJU36" s="17">
        <f>'Form-Sb'!NJY94</f>
        <v>0</v>
      </c>
      <c r="NJV36" s="17">
        <f>'Form-Sb'!NJZ94</f>
        <v>0</v>
      </c>
      <c r="NJW36" s="17">
        <f>'Form-Sb'!NKA94</f>
        <v>0</v>
      </c>
      <c r="NJX36" s="17">
        <f>'Form-Sb'!NKB94</f>
        <v>0</v>
      </c>
      <c r="NJY36" s="17">
        <f>'Form-Sb'!NKC94</f>
        <v>0</v>
      </c>
      <c r="NJZ36" s="17">
        <f>'Form-Sb'!NKD94</f>
        <v>0</v>
      </c>
      <c r="NKA36" s="17">
        <f>'Form-Sb'!NKE94</f>
        <v>0</v>
      </c>
      <c r="NKB36" s="17">
        <f>'Form-Sb'!NKF94</f>
        <v>0</v>
      </c>
      <c r="NKC36" s="17">
        <f>'Form-Sb'!NKG94</f>
        <v>0</v>
      </c>
      <c r="NKD36" s="17">
        <f>'Form-Sb'!NKH94</f>
        <v>0</v>
      </c>
      <c r="NKE36" s="17">
        <f>'Form-Sb'!NKI94</f>
        <v>0</v>
      </c>
      <c r="NKF36" s="17">
        <f>'Form-Sb'!NKJ94</f>
        <v>0</v>
      </c>
      <c r="NKG36" s="17">
        <f>'Form-Sb'!NKK94</f>
        <v>0</v>
      </c>
      <c r="NKH36" s="17">
        <f>'Form-Sb'!NKL94</f>
        <v>0</v>
      </c>
      <c r="NKI36" s="17">
        <f>'Form-Sb'!NKM94</f>
        <v>0</v>
      </c>
      <c r="NKJ36" s="17">
        <f>'Form-Sb'!NKN94</f>
        <v>0</v>
      </c>
      <c r="NKK36" s="17">
        <f>'Form-Sb'!NKO94</f>
        <v>0</v>
      </c>
      <c r="NKL36" s="17">
        <f>'Form-Sb'!NKP94</f>
        <v>0</v>
      </c>
      <c r="NKM36" s="17">
        <f>'Form-Sb'!NKQ94</f>
        <v>0</v>
      </c>
      <c r="NKN36" s="17">
        <f>'Form-Sb'!NKR94</f>
        <v>0</v>
      </c>
      <c r="NKO36" s="17">
        <f>'Form-Sb'!NKS94</f>
        <v>0</v>
      </c>
      <c r="NKP36" s="17">
        <f>'Form-Sb'!NKT94</f>
        <v>0</v>
      </c>
      <c r="NKQ36" s="17">
        <f>'Form-Sb'!NKU94</f>
        <v>0</v>
      </c>
      <c r="NKR36" s="17">
        <f>'Form-Sb'!NKV94</f>
        <v>0</v>
      </c>
      <c r="NKS36" s="17">
        <f>'Form-Sb'!NKW94</f>
        <v>0</v>
      </c>
      <c r="NKT36" s="17">
        <f>'Form-Sb'!NKX94</f>
        <v>0</v>
      </c>
      <c r="NKU36" s="17">
        <f>'Form-Sb'!NKY94</f>
        <v>0</v>
      </c>
      <c r="NKV36" s="17">
        <f>'Form-Sb'!NKZ94</f>
        <v>0</v>
      </c>
      <c r="NKW36" s="17">
        <f>'Form-Sb'!NLA94</f>
        <v>0</v>
      </c>
      <c r="NKX36" s="17">
        <f>'Form-Sb'!NLB94</f>
        <v>0</v>
      </c>
      <c r="NKY36" s="17">
        <f>'Form-Sb'!NLC94</f>
        <v>0</v>
      </c>
      <c r="NKZ36" s="17">
        <f>'Form-Sb'!NLD94</f>
        <v>0</v>
      </c>
      <c r="NLA36" s="17">
        <f>'Form-Sb'!NLE94</f>
        <v>0</v>
      </c>
      <c r="NLB36" s="17">
        <f>'Form-Sb'!NLF94</f>
        <v>0</v>
      </c>
      <c r="NLC36" s="17">
        <f>'Form-Sb'!NLG94</f>
        <v>0</v>
      </c>
      <c r="NLD36" s="17">
        <f>'Form-Sb'!NLH94</f>
        <v>0</v>
      </c>
      <c r="NLE36" s="17">
        <f>'Form-Sb'!NLI94</f>
        <v>0</v>
      </c>
      <c r="NLF36" s="17">
        <f>'Form-Sb'!NLJ94</f>
        <v>0</v>
      </c>
      <c r="NLG36" s="17">
        <f>'Form-Sb'!NLK94</f>
        <v>0</v>
      </c>
      <c r="NLH36" s="17">
        <f>'Form-Sb'!NLL94</f>
        <v>0</v>
      </c>
      <c r="NLI36" s="17">
        <f>'Form-Sb'!NLM94</f>
        <v>0</v>
      </c>
      <c r="NLJ36" s="17">
        <f>'Form-Sb'!NLN94</f>
        <v>0</v>
      </c>
      <c r="NLK36" s="17">
        <f>'Form-Sb'!NLO94</f>
        <v>0</v>
      </c>
      <c r="NLL36" s="17">
        <f>'Form-Sb'!NLP94</f>
        <v>0</v>
      </c>
      <c r="NLM36" s="17">
        <f>'Form-Sb'!NLQ94</f>
        <v>0</v>
      </c>
      <c r="NLN36" s="17">
        <f>'Form-Sb'!NLR94</f>
        <v>0</v>
      </c>
      <c r="NLO36" s="17">
        <f>'Form-Sb'!NLS94</f>
        <v>0</v>
      </c>
      <c r="NLP36" s="17">
        <f>'Form-Sb'!NLT94</f>
        <v>0</v>
      </c>
      <c r="NLQ36" s="17">
        <f>'Form-Sb'!NLU94</f>
        <v>0</v>
      </c>
      <c r="NLR36" s="17">
        <f>'Form-Sb'!NLV94</f>
        <v>0</v>
      </c>
      <c r="NLS36" s="17">
        <f>'Form-Sb'!NLW94</f>
        <v>0</v>
      </c>
      <c r="NLT36" s="17">
        <f>'Form-Sb'!NLX94</f>
        <v>0</v>
      </c>
      <c r="NLU36" s="17">
        <f>'Form-Sb'!NLY94</f>
        <v>0</v>
      </c>
      <c r="NLV36" s="17">
        <f>'Form-Sb'!NLZ94</f>
        <v>0</v>
      </c>
      <c r="NLW36" s="17">
        <f>'Form-Sb'!NMA94</f>
        <v>0</v>
      </c>
      <c r="NLX36" s="17">
        <f>'Form-Sb'!NMB94</f>
        <v>0</v>
      </c>
      <c r="NLY36" s="17">
        <f>'Form-Sb'!NMC94</f>
        <v>0</v>
      </c>
      <c r="NLZ36" s="17">
        <f>'Form-Sb'!NMD94</f>
        <v>0</v>
      </c>
      <c r="NMA36" s="17">
        <f>'Form-Sb'!NME94</f>
        <v>0</v>
      </c>
      <c r="NMB36" s="17">
        <f>'Form-Sb'!NMF94</f>
        <v>0</v>
      </c>
      <c r="NMC36" s="17">
        <f>'Form-Sb'!NMG94</f>
        <v>0</v>
      </c>
      <c r="NMD36" s="17">
        <f>'Form-Sb'!NMH94</f>
        <v>0</v>
      </c>
      <c r="NME36" s="17">
        <f>'Form-Sb'!NMI94</f>
        <v>0</v>
      </c>
      <c r="NMF36" s="17">
        <f>'Form-Sb'!NMJ94</f>
        <v>0</v>
      </c>
      <c r="NMG36" s="17">
        <f>'Form-Sb'!NMK94</f>
        <v>0</v>
      </c>
      <c r="NMH36" s="17">
        <f>'Form-Sb'!NML94</f>
        <v>0</v>
      </c>
      <c r="NMI36" s="17">
        <f>'Form-Sb'!NMM94</f>
        <v>0</v>
      </c>
      <c r="NMJ36" s="17">
        <f>'Form-Sb'!NMN94</f>
        <v>0</v>
      </c>
      <c r="NMK36" s="17">
        <f>'Form-Sb'!NMO94</f>
        <v>0</v>
      </c>
      <c r="NML36" s="17">
        <f>'Form-Sb'!NMP94</f>
        <v>0</v>
      </c>
      <c r="NMM36" s="17">
        <f>'Form-Sb'!NMQ94</f>
        <v>0</v>
      </c>
      <c r="NMN36" s="17">
        <f>'Form-Sb'!NMR94</f>
        <v>0</v>
      </c>
      <c r="NMO36" s="17">
        <f>'Form-Sb'!NMS94</f>
        <v>0</v>
      </c>
      <c r="NMP36" s="17">
        <f>'Form-Sb'!NMT94</f>
        <v>0</v>
      </c>
      <c r="NMQ36" s="17">
        <f>'Form-Sb'!NMU94</f>
        <v>0</v>
      </c>
      <c r="NMR36" s="17">
        <f>'Form-Sb'!NMV94</f>
        <v>0</v>
      </c>
      <c r="NMS36" s="17">
        <f>'Form-Sb'!NMW94</f>
        <v>0</v>
      </c>
      <c r="NMT36" s="17">
        <f>'Form-Sb'!NMX94</f>
        <v>0</v>
      </c>
      <c r="NMU36" s="17">
        <f>'Form-Sb'!NMY94</f>
        <v>0</v>
      </c>
      <c r="NMV36" s="17">
        <f>'Form-Sb'!NMZ94</f>
        <v>0</v>
      </c>
      <c r="NMW36" s="17">
        <f>'Form-Sb'!NNA94</f>
        <v>0</v>
      </c>
      <c r="NMX36" s="17">
        <f>'Form-Sb'!NNB94</f>
        <v>0</v>
      </c>
      <c r="NMY36" s="17">
        <f>'Form-Sb'!NNC94</f>
        <v>0</v>
      </c>
      <c r="NMZ36" s="17">
        <f>'Form-Sb'!NND94</f>
        <v>0</v>
      </c>
      <c r="NNA36" s="17">
        <f>'Form-Sb'!NNE94</f>
        <v>0</v>
      </c>
      <c r="NNB36" s="17">
        <f>'Form-Sb'!NNF94</f>
        <v>0</v>
      </c>
      <c r="NNC36" s="17">
        <f>'Form-Sb'!NNG94</f>
        <v>0</v>
      </c>
      <c r="NND36" s="17">
        <f>'Form-Sb'!NNH94</f>
        <v>0</v>
      </c>
      <c r="NNE36" s="17">
        <f>'Form-Sb'!NNI94</f>
        <v>0</v>
      </c>
      <c r="NNF36" s="17">
        <f>'Form-Sb'!NNJ94</f>
        <v>0</v>
      </c>
      <c r="NNG36" s="17">
        <f>'Form-Sb'!NNK94</f>
        <v>0</v>
      </c>
      <c r="NNH36" s="17">
        <f>'Form-Sb'!NNL94</f>
        <v>0</v>
      </c>
      <c r="NNI36" s="17">
        <f>'Form-Sb'!NNM94</f>
        <v>0</v>
      </c>
      <c r="NNJ36" s="17">
        <f>'Form-Sb'!NNN94</f>
        <v>0</v>
      </c>
      <c r="NNK36" s="17">
        <f>'Form-Sb'!NNO94</f>
        <v>0</v>
      </c>
      <c r="NNL36" s="17">
        <f>'Form-Sb'!NNP94</f>
        <v>0</v>
      </c>
      <c r="NNM36" s="17">
        <f>'Form-Sb'!NNQ94</f>
        <v>0</v>
      </c>
      <c r="NNN36" s="17">
        <f>'Form-Sb'!NNR94</f>
        <v>0</v>
      </c>
      <c r="NNO36" s="17">
        <f>'Form-Sb'!NNS94</f>
        <v>0</v>
      </c>
      <c r="NNP36" s="17">
        <f>'Form-Sb'!NNT94</f>
        <v>0</v>
      </c>
      <c r="NNQ36" s="17">
        <f>'Form-Sb'!NNU94</f>
        <v>0</v>
      </c>
      <c r="NNR36" s="17">
        <f>'Form-Sb'!NNV94</f>
        <v>0</v>
      </c>
      <c r="NNS36" s="17">
        <f>'Form-Sb'!NNW94</f>
        <v>0</v>
      </c>
      <c r="NNT36" s="17">
        <f>'Form-Sb'!NNX94</f>
        <v>0</v>
      </c>
      <c r="NNU36" s="17">
        <f>'Form-Sb'!NNY94</f>
        <v>0</v>
      </c>
      <c r="NNV36" s="17">
        <f>'Form-Sb'!NNZ94</f>
        <v>0</v>
      </c>
      <c r="NNW36" s="17">
        <f>'Form-Sb'!NOA94</f>
        <v>0</v>
      </c>
      <c r="NNX36" s="17">
        <f>'Form-Sb'!NOB94</f>
        <v>0</v>
      </c>
      <c r="NNY36" s="17">
        <f>'Form-Sb'!NOC94</f>
        <v>0</v>
      </c>
      <c r="NNZ36" s="17">
        <f>'Form-Sb'!NOD94</f>
        <v>0</v>
      </c>
      <c r="NOA36" s="17">
        <f>'Form-Sb'!NOE94</f>
        <v>0</v>
      </c>
      <c r="NOB36" s="17">
        <f>'Form-Sb'!NOF94</f>
        <v>0</v>
      </c>
      <c r="NOC36" s="17">
        <f>'Form-Sb'!NOG94</f>
        <v>0</v>
      </c>
      <c r="NOD36" s="17">
        <f>'Form-Sb'!NOH94</f>
        <v>0</v>
      </c>
      <c r="NOE36" s="17">
        <f>'Form-Sb'!NOI94</f>
        <v>0</v>
      </c>
      <c r="NOF36" s="17">
        <f>'Form-Sb'!NOJ94</f>
        <v>0</v>
      </c>
      <c r="NOG36" s="17">
        <f>'Form-Sb'!NOK94</f>
        <v>0</v>
      </c>
      <c r="NOH36" s="17">
        <f>'Form-Sb'!NOL94</f>
        <v>0</v>
      </c>
      <c r="NOI36" s="17">
        <f>'Form-Sb'!NOM94</f>
        <v>0</v>
      </c>
      <c r="NOJ36" s="17">
        <f>'Form-Sb'!NON94</f>
        <v>0</v>
      </c>
      <c r="NOK36" s="17">
        <f>'Form-Sb'!NOO94</f>
        <v>0</v>
      </c>
      <c r="NOL36" s="17">
        <f>'Form-Sb'!NOP94</f>
        <v>0</v>
      </c>
      <c r="NOM36" s="17">
        <f>'Form-Sb'!NOQ94</f>
        <v>0</v>
      </c>
      <c r="NON36" s="17">
        <f>'Form-Sb'!NOR94</f>
        <v>0</v>
      </c>
      <c r="NOO36" s="17">
        <f>'Form-Sb'!NOS94</f>
        <v>0</v>
      </c>
      <c r="NOP36" s="17">
        <f>'Form-Sb'!NOT94</f>
        <v>0</v>
      </c>
      <c r="NOQ36" s="17">
        <f>'Form-Sb'!NOU94</f>
        <v>0</v>
      </c>
      <c r="NOR36" s="17">
        <f>'Form-Sb'!NOV94</f>
        <v>0</v>
      </c>
      <c r="NOS36" s="17">
        <f>'Form-Sb'!NOW94</f>
        <v>0</v>
      </c>
      <c r="NOT36" s="17">
        <f>'Form-Sb'!NOX94</f>
        <v>0</v>
      </c>
      <c r="NOU36" s="17">
        <f>'Form-Sb'!NOY94</f>
        <v>0</v>
      </c>
      <c r="NOV36" s="17">
        <f>'Form-Sb'!NOZ94</f>
        <v>0</v>
      </c>
      <c r="NOW36" s="17">
        <f>'Form-Sb'!NPA94</f>
        <v>0</v>
      </c>
      <c r="NOX36" s="17">
        <f>'Form-Sb'!NPB94</f>
        <v>0</v>
      </c>
      <c r="NOY36" s="17">
        <f>'Form-Sb'!NPC94</f>
        <v>0</v>
      </c>
      <c r="NOZ36" s="17">
        <f>'Form-Sb'!NPD94</f>
        <v>0</v>
      </c>
      <c r="NPA36" s="17">
        <f>'Form-Sb'!NPE94</f>
        <v>0</v>
      </c>
      <c r="NPB36" s="17">
        <f>'Form-Sb'!NPF94</f>
        <v>0</v>
      </c>
      <c r="NPC36" s="17">
        <f>'Form-Sb'!NPG94</f>
        <v>0</v>
      </c>
      <c r="NPD36" s="17">
        <f>'Form-Sb'!NPH94</f>
        <v>0</v>
      </c>
      <c r="NPE36" s="17">
        <f>'Form-Sb'!NPI94</f>
        <v>0</v>
      </c>
      <c r="NPF36" s="17">
        <f>'Form-Sb'!NPJ94</f>
        <v>0</v>
      </c>
      <c r="NPG36" s="17">
        <f>'Form-Sb'!NPK94</f>
        <v>0</v>
      </c>
      <c r="NPH36" s="17">
        <f>'Form-Sb'!NPL94</f>
        <v>0</v>
      </c>
      <c r="NPI36" s="17">
        <f>'Form-Sb'!NPM94</f>
        <v>0</v>
      </c>
      <c r="NPJ36" s="17">
        <f>'Form-Sb'!NPN94</f>
        <v>0</v>
      </c>
      <c r="NPK36" s="17">
        <f>'Form-Sb'!NPO94</f>
        <v>0</v>
      </c>
      <c r="NPL36" s="17">
        <f>'Form-Sb'!NPP94</f>
        <v>0</v>
      </c>
      <c r="NPM36" s="17">
        <f>'Form-Sb'!NPQ94</f>
        <v>0</v>
      </c>
      <c r="NPN36" s="17">
        <f>'Form-Sb'!NPR94</f>
        <v>0</v>
      </c>
      <c r="NPO36" s="17">
        <f>'Form-Sb'!NPS94</f>
        <v>0</v>
      </c>
      <c r="NPP36" s="17">
        <f>'Form-Sb'!NPT94</f>
        <v>0</v>
      </c>
      <c r="NPQ36" s="17">
        <f>'Form-Sb'!NPU94</f>
        <v>0</v>
      </c>
      <c r="NPR36" s="17">
        <f>'Form-Sb'!NPV94</f>
        <v>0</v>
      </c>
      <c r="NPS36" s="17">
        <f>'Form-Sb'!NPW94</f>
        <v>0</v>
      </c>
      <c r="NPT36" s="17">
        <f>'Form-Sb'!NPX94</f>
        <v>0</v>
      </c>
      <c r="NPU36" s="17">
        <f>'Form-Sb'!NPY94</f>
        <v>0</v>
      </c>
      <c r="NPV36" s="17">
        <f>'Form-Sb'!NPZ94</f>
        <v>0</v>
      </c>
      <c r="NPW36" s="17">
        <f>'Form-Sb'!NQA94</f>
        <v>0</v>
      </c>
      <c r="NPX36" s="17">
        <f>'Form-Sb'!NQB94</f>
        <v>0</v>
      </c>
      <c r="NPY36" s="17">
        <f>'Form-Sb'!NQC94</f>
        <v>0</v>
      </c>
      <c r="NPZ36" s="17">
        <f>'Form-Sb'!NQD94</f>
        <v>0</v>
      </c>
      <c r="NQA36" s="17">
        <f>'Form-Sb'!NQE94</f>
        <v>0</v>
      </c>
      <c r="NQB36" s="17">
        <f>'Form-Sb'!NQF94</f>
        <v>0</v>
      </c>
      <c r="NQC36" s="17">
        <f>'Form-Sb'!NQG94</f>
        <v>0</v>
      </c>
      <c r="NQD36" s="17">
        <f>'Form-Sb'!NQH94</f>
        <v>0</v>
      </c>
      <c r="NQE36" s="17">
        <f>'Form-Sb'!NQI94</f>
        <v>0</v>
      </c>
      <c r="NQF36" s="17">
        <f>'Form-Sb'!NQJ94</f>
        <v>0</v>
      </c>
      <c r="NQG36" s="17">
        <f>'Form-Sb'!NQK94</f>
        <v>0</v>
      </c>
      <c r="NQH36" s="17">
        <f>'Form-Sb'!NQL94</f>
        <v>0</v>
      </c>
      <c r="NQI36" s="17">
        <f>'Form-Sb'!NQM94</f>
        <v>0</v>
      </c>
      <c r="NQJ36" s="17">
        <f>'Form-Sb'!NQN94</f>
        <v>0</v>
      </c>
      <c r="NQK36" s="17">
        <f>'Form-Sb'!NQO94</f>
        <v>0</v>
      </c>
      <c r="NQL36" s="17">
        <f>'Form-Sb'!NQP94</f>
        <v>0</v>
      </c>
      <c r="NQM36" s="17">
        <f>'Form-Sb'!NQQ94</f>
        <v>0</v>
      </c>
      <c r="NQN36" s="17">
        <f>'Form-Sb'!NQR94</f>
        <v>0</v>
      </c>
      <c r="NQO36" s="17">
        <f>'Form-Sb'!NQS94</f>
        <v>0</v>
      </c>
      <c r="NQP36" s="17">
        <f>'Form-Sb'!NQT94</f>
        <v>0</v>
      </c>
      <c r="NQQ36" s="17">
        <f>'Form-Sb'!NQU94</f>
        <v>0</v>
      </c>
      <c r="NQR36" s="17">
        <f>'Form-Sb'!NQV94</f>
        <v>0</v>
      </c>
      <c r="NQS36" s="17">
        <f>'Form-Sb'!NQW94</f>
        <v>0</v>
      </c>
      <c r="NQT36" s="17">
        <f>'Form-Sb'!NQX94</f>
        <v>0</v>
      </c>
      <c r="NQU36" s="17">
        <f>'Form-Sb'!NQY94</f>
        <v>0</v>
      </c>
      <c r="NQV36" s="17">
        <f>'Form-Sb'!NQZ94</f>
        <v>0</v>
      </c>
      <c r="NQW36" s="17">
        <f>'Form-Sb'!NRA94</f>
        <v>0</v>
      </c>
      <c r="NQX36" s="17">
        <f>'Form-Sb'!NRB94</f>
        <v>0</v>
      </c>
      <c r="NQY36" s="17">
        <f>'Form-Sb'!NRC94</f>
        <v>0</v>
      </c>
      <c r="NQZ36" s="17">
        <f>'Form-Sb'!NRD94</f>
        <v>0</v>
      </c>
      <c r="NRA36" s="17">
        <f>'Form-Sb'!NRE94</f>
        <v>0</v>
      </c>
      <c r="NRB36" s="17">
        <f>'Form-Sb'!NRF94</f>
        <v>0</v>
      </c>
      <c r="NRC36" s="17">
        <f>'Form-Sb'!NRG94</f>
        <v>0</v>
      </c>
      <c r="NRD36" s="17">
        <f>'Form-Sb'!NRH94</f>
        <v>0</v>
      </c>
      <c r="NRE36" s="17">
        <f>'Form-Sb'!NRI94</f>
        <v>0</v>
      </c>
      <c r="NRF36" s="17">
        <f>'Form-Sb'!NRJ94</f>
        <v>0</v>
      </c>
      <c r="NRG36" s="17">
        <f>'Form-Sb'!NRK94</f>
        <v>0</v>
      </c>
      <c r="NRH36" s="17">
        <f>'Form-Sb'!NRL94</f>
        <v>0</v>
      </c>
      <c r="NRI36" s="17">
        <f>'Form-Sb'!NRM94</f>
        <v>0</v>
      </c>
      <c r="NRJ36" s="17">
        <f>'Form-Sb'!NRN94</f>
        <v>0</v>
      </c>
      <c r="NRK36" s="17">
        <f>'Form-Sb'!NRO94</f>
        <v>0</v>
      </c>
      <c r="NRL36" s="17">
        <f>'Form-Sb'!NRP94</f>
        <v>0</v>
      </c>
      <c r="NRM36" s="17">
        <f>'Form-Sb'!NRQ94</f>
        <v>0</v>
      </c>
      <c r="NRN36" s="17">
        <f>'Form-Sb'!NRR94</f>
        <v>0</v>
      </c>
      <c r="NRO36" s="17">
        <f>'Form-Sb'!NRS94</f>
        <v>0</v>
      </c>
      <c r="NRP36" s="17">
        <f>'Form-Sb'!NRT94</f>
        <v>0</v>
      </c>
      <c r="NRQ36" s="17">
        <f>'Form-Sb'!NRU94</f>
        <v>0</v>
      </c>
      <c r="NRR36" s="17">
        <f>'Form-Sb'!NRV94</f>
        <v>0</v>
      </c>
      <c r="NRS36" s="17">
        <f>'Form-Sb'!NRW94</f>
        <v>0</v>
      </c>
      <c r="NRT36" s="17">
        <f>'Form-Sb'!NRX94</f>
        <v>0</v>
      </c>
      <c r="NRU36" s="17">
        <f>'Form-Sb'!NRY94</f>
        <v>0</v>
      </c>
      <c r="NRV36" s="17">
        <f>'Form-Sb'!NRZ94</f>
        <v>0</v>
      </c>
      <c r="NRW36" s="17">
        <f>'Form-Sb'!NSA94</f>
        <v>0</v>
      </c>
      <c r="NRX36" s="17">
        <f>'Form-Sb'!NSB94</f>
        <v>0</v>
      </c>
      <c r="NRY36" s="17">
        <f>'Form-Sb'!NSC94</f>
        <v>0</v>
      </c>
      <c r="NRZ36" s="17">
        <f>'Form-Sb'!NSD94</f>
        <v>0</v>
      </c>
      <c r="NSA36" s="17">
        <f>'Form-Sb'!NSE94</f>
        <v>0</v>
      </c>
      <c r="NSB36" s="17">
        <f>'Form-Sb'!NSF94</f>
        <v>0</v>
      </c>
      <c r="NSC36" s="17">
        <f>'Form-Sb'!NSG94</f>
        <v>0</v>
      </c>
      <c r="NSD36" s="17">
        <f>'Form-Sb'!NSH94</f>
        <v>0</v>
      </c>
      <c r="NSE36" s="17">
        <f>'Form-Sb'!NSI94</f>
        <v>0</v>
      </c>
      <c r="NSF36" s="17">
        <f>'Form-Sb'!NSJ94</f>
        <v>0</v>
      </c>
      <c r="NSG36" s="17">
        <f>'Form-Sb'!NSK94</f>
        <v>0</v>
      </c>
      <c r="NSH36" s="17">
        <f>'Form-Sb'!NSL94</f>
        <v>0</v>
      </c>
      <c r="NSI36" s="17">
        <f>'Form-Sb'!NSM94</f>
        <v>0</v>
      </c>
      <c r="NSJ36" s="17">
        <f>'Form-Sb'!NSN94</f>
        <v>0</v>
      </c>
      <c r="NSK36" s="17">
        <f>'Form-Sb'!NSO94</f>
        <v>0</v>
      </c>
      <c r="NSL36" s="17">
        <f>'Form-Sb'!NSP94</f>
        <v>0</v>
      </c>
      <c r="NSM36" s="17">
        <f>'Form-Sb'!NSQ94</f>
        <v>0</v>
      </c>
      <c r="NSN36" s="17">
        <f>'Form-Sb'!NSR94</f>
        <v>0</v>
      </c>
      <c r="NSO36" s="17">
        <f>'Form-Sb'!NSS94</f>
        <v>0</v>
      </c>
      <c r="NSP36" s="17">
        <f>'Form-Sb'!NST94</f>
        <v>0</v>
      </c>
      <c r="NSQ36" s="17">
        <f>'Form-Sb'!NSU94</f>
        <v>0</v>
      </c>
      <c r="NSR36" s="17">
        <f>'Form-Sb'!NSV94</f>
        <v>0</v>
      </c>
      <c r="NSS36" s="17">
        <f>'Form-Sb'!NSW94</f>
        <v>0</v>
      </c>
      <c r="NST36" s="17">
        <f>'Form-Sb'!NSX94</f>
        <v>0</v>
      </c>
      <c r="NSU36" s="17">
        <f>'Form-Sb'!NSY94</f>
        <v>0</v>
      </c>
      <c r="NSV36" s="17">
        <f>'Form-Sb'!NSZ94</f>
        <v>0</v>
      </c>
      <c r="NSW36" s="17">
        <f>'Form-Sb'!NTA94</f>
        <v>0</v>
      </c>
      <c r="NSX36" s="17">
        <f>'Form-Sb'!NTB94</f>
        <v>0</v>
      </c>
      <c r="NSY36" s="17">
        <f>'Form-Sb'!NTC94</f>
        <v>0</v>
      </c>
      <c r="NSZ36" s="17">
        <f>'Form-Sb'!NTD94</f>
        <v>0</v>
      </c>
      <c r="NTA36" s="17">
        <f>'Form-Sb'!NTE94</f>
        <v>0</v>
      </c>
      <c r="NTB36" s="17">
        <f>'Form-Sb'!NTF94</f>
        <v>0</v>
      </c>
      <c r="NTC36" s="17">
        <f>'Form-Sb'!NTG94</f>
        <v>0</v>
      </c>
      <c r="NTD36" s="17">
        <f>'Form-Sb'!NTH94</f>
        <v>0</v>
      </c>
      <c r="NTE36" s="17">
        <f>'Form-Sb'!NTI94</f>
        <v>0</v>
      </c>
      <c r="NTF36" s="17">
        <f>'Form-Sb'!NTJ94</f>
        <v>0</v>
      </c>
      <c r="NTG36" s="17">
        <f>'Form-Sb'!NTK94</f>
        <v>0</v>
      </c>
      <c r="NTH36" s="17">
        <f>'Form-Sb'!NTL94</f>
        <v>0</v>
      </c>
      <c r="NTI36" s="17">
        <f>'Form-Sb'!NTM94</f>
        <v>0</v>
      </c>
      <c r="NTJ36" s="17">
        <f>'Form-Sb'!NTN94</f>
        <v>0</v>
      </c>
      <c r="NTK36" s="17">
        <f>'Form-Sb'!NTO94</f>
        <v>0</v>
      </c>
      <c r="NTL36" s="17">
        <f>'Form-Sb'!NTP94</f>
        <v>0</v>
      </c>
      <c r="NTM36" s="17">
        <f>'Form-Sb'!NTQ94</f>
        <v>0</v>
      </c>
      <c r="NTN36" s="17">
        <f>'Form-Sb'!NTR94</f>
        <v>0</v>
      </c>
      <c r="NTO36" s="17">
        <f>'Form-Sb'!NTS94</f>
        <v>0</v>
      </c>
      <c r="NTP36" s="17">
        <f>'Form-Sb'!NTT94</f>
        <v>0</v>
      </c>
      <c r="NTQ36" s="17">
        <f>'Form-Sb'!NTU94</f>
        <v>0</v>
      </c>
      <c r="NTR36" s="17">
        <f>'Form-Sb'!NTV94</f>
        <v>0</v>
      </c>
      <c r="NTS36" s="17">
        <f>'Form-Sb'!NTW94</f>
        <v>0</v>
      </c>
      <c r="NTT36" s="17">
        <f>'Form-Sb'!NTX94</f>
        <v>0</v>
      </c>
      <c r="NTU36" s="17">
        <f>'Form-Sb'!NTY94</f>
        <v>0</v>
      </c>
      <c r="NTV36" s="17">
        <f>'Form-Sb'!NTZ94</f>
        <v>0</v>
      </c>
      <c r="NTW36" s="17">
        <f>'Form-Sb'!NUA94</f>
        <v>0</v>
      </c>
      <c r="NTX36" s="17">
        <f>'Form-Sb'!NUB94</f>
        <v>0</v>
      </c>
      <c r="NTY36" s="17">
        <f>'Form-Sb'!NUC94</f>
        <v>0</v>
      </c>
      <c r="NTZ36" s="17">
        <f>'Form-Sb'!NUD94</f>
        <v>0</v>
      </c>
      <c r="NUA36" s="17">
        <f>'Form-Sb'!NUE94</f>
        <v>0</v>
      </c>
      <c r="NUB36" s="17">
        <f>'Form-Sb'!NUF94</f>
        <v>0</v>
      </c>
      <c r="NUC36" s="17">
        <f>'Form-Sb'!NUG94</f>
        <v>0</v>
      </c>
      <c r="NUD36" s="17">
        <f>'Form-Sb'!NUH94</f>
        <v>0</v>
      </c>
      <c r="NUE36" s="17">
        <f>'Form-Sb'!NUI94</f>
        <v>0</v>
      </c>
      <c r="NUF36" s="17">
        <f>'Form-Sb'!NUJ94</f>
        <v>0</v>
      </c>
      <c r="NUG36" s="17">
        <f>'Form-Sb'!NUK94</f>
        <v>0</v>
      </c>
      <c r="NUH36" s="17">
        <f>'Form-Sb'!NUL94</f>
        <v>0</v>
      </c>
      <c r="NUI36" s="17">
        <f>'Form-Sb'!NUM94</f>
        <v>0</v>
      </c>
      <c r="NUJ36" s="17">
        <f>'Form-Sb'!NUN94</f>
        <v>0</v>
      </c>
      <c r="NUK36" s="17">
        <f>'Form-Sb'!NUO94</f>
        <v>0</v>
      </c>
      <c r="NUL36" s="17">
        <f>'Form-Sb'!NUP94</f>
        <v>0</v>
      </c>
      <c r="NUM36" s="17">
        <f>'Form-Sb'!NUQ94</f>
        <v>0</v>
      </c>
      <c r="NUN36" s="17">
        <f>'Form-Sb'!NUR94</f>
        <v>0</v>
      </c>
      <c r="NUO36" s="17">
        <f>'Form-Sb'!NUS94</f>
        <v>0</v>
      </c>
      <c r="NUP36" s="17">
        <f>'Form-Sb'!NUT94</f>
        <v>0</v>
      </c>
      <c r="NUQ36" s="17">
        <f>'Form-Sb'!NUU94</f>
        <v>0</v>
      </c>
      <c r="NUR36" s="17">
        <f>'Form-Sb'!NUV94</f>
        <v>0</v>
      </c>
      <c r="NUS36" s="17">
        <f>'Form-Sb'!NUW94</f>
        <v>0</v>
      </c>
      <c r="NUT36" s="17">
        <f>'Form-Sb'!NUX94</f>
        <v>0</v>
      </c>
      <c r="NUU36" s="17">
        <f>'Form-Sb'!NUY94</f>
        <v>0</v>
      </c>
      <c r="NUV36" s="17">
        <f>'Form-Sb'!NUZ94</f>
        <v>0</v>
      </c>
      <c r="NUW36" s="17">
        <f>'Form-Sb'!NVA94</f>
        <v>0</v>
      </c>
      <c r="NUX36" s="17">
        <f>'Form-Sb'!NVB94</f>
        <v>0</v>
      </c>
      <c r="NUY36" s="17">
        <f>'Form-Sb'!NVC94</f>
        <v>0</v>
      </c>
      <c r="NUZ36" s="17">
        <f>'Form-Sb'!NVD94</f>
        <v>0</v>
      </c>
      <c r="NVA36" s="17">
        <f>'Form-Sb'!NVE94</f>
        <v>0</v>
      </c>
      <c r="NVB36" s="17">
        <f>'Form-Sb'!NVF94</f>
        <v>0</v>
      </c>
      <c r="NVC36" s="17">
        <f>'Form-Sb'!NVG94</f>
        <v>0</v>
      </c>
      <c r="NVD36" s="17">
        <f>'Form-Sb'!NVH94</f>
        <v>0</v>
      </c>
      <c r="NVE36" s="17">
        <f>'Form-Sb'!NVI94</f>
        <v>0</v>
      </c>
      <c r="NVF36" s="17">
        <f>'Form-Sb'!NVJ94</f>
        <v>0</v>
      </c>
      <c r="NVG36" s="17">
        <f>'Form-Sb'!NVK94</f>
        <v>0</v>
      </c>
      <c r="NVH36" s="17">
        <f>'Form-Sb'!NVL94</f>
        <v>0</v>
      </c>
      <c r="NVI36" s="17">
        <f>'Form-Sb'!NVM94</f>
        <v>0</v>
      </c>
      <c r="NVJ36" s="17">
        <f>'Form-Sb'!NVN94</f>
        <v>0</v>
      </c>
      <c r="NVK36" s="17">
        <f>'Form-Sb'!NVO94</f>
        <v>0</v>
      </c>
      <c r="NVL36" s="17">
        <f>'Form-Sb'!NVP94</f>
        <v>0</v>
      </c>
      <c r="NVM36" s="17">
        <f>'Form-Sb'!NVQ94</f>
        <v>0</v>
      </c>
      <c r="NVN36" s="17">
        <f>'Form-Sb'!NVR94</f>
        <v>0</v>
      </c>
      <c r="NVO36" s="17">
        <f>'Form-Sb'!NVS94</f>
        <v>0</v>
      </c>
      <c r="NVP36" s="17">
        <f>'Form-Sb'!NVT94</f>
        <v>0</v>
      </c>
      <c r="NVQ36" s="17">
        <f>'Form-Sb'!NVU94</f>
        <v>0</v>
      </c>
      <c r="NVR36" s="17">
        <f>'Form-Sb'!NVV94</f>
        <v>0</v>
      </c>
      <c r="NVS36" s="17">
        <f>'Form-Sb'!NVW94</f>
        <v>0</v>
      </c>
      <c r="NVT36" s="17">
        <f>'Form-Sb'!NVX94</f>
        <v>0</v>
      </c>
      <c r="NVU36" s="17">
        <f>'Form-Sb'!NVY94</f>
        <v>0</v>
      </c>
      <c r="NVV36" s="17">
        <f>'Form-Sb'!NVZ94</f>
        <v>0</v>
      </c>
      <c r="NVW36" s="17">
        <f>'Form-Sb'!NWA94</f>
        <v>0</v>
      </c>
      <c r="NVX36" s="17">
        <f>'Form-Sb'!NWB94</f>
        <v>0</v>
      </c>
      <c r="NVY36" s="17">
        <f>'Form-Sb'!NWC94</f>
        <v>0</v>
      </c>
      <c r="NVZ36" s="17">
        <f>'Form-Sb'!NWD94</f>
        <v>0</v>
      </c>
      <c r="NWA36" s="17">
        <f>'Form-Sb'!NWE94</f>
        <v>0</v>
      </c>
      <c r="NWB36" s="17">
        <f>'Form-Sb'!NWF94</f>
        <v>0</v>
      </c>
      <c r="NWC36" s="17">
        <f>'Form-Sb'!NWG94</f>
        <v>0</v>
      </c>
      <c r="NWD36" s="17">
        <f>'Form-Sb'!NWH94</f>
        <v>0</v>
      </c>
      <c r="NWE36" s="17">
        <f>'Form-Sb'!NWI94</f>
        <v>0</v>
      </c>
      <c r="NWF36" s="17">
        <f>'Form-Sb'!NWJ94</f>
        <v>0</v>
      </c>
      <c r="NWG36" s="17">
        <f>'Form-Sb'!NWK94</f>
        <v>0</v>
      </c>
      <c r="NWH36" s="17">
        <f>'Form-Sb'!NWL94</f>
        <v>0</v>
      </c>
      <c r="NWI36" s="17">
        <f>'Form-Sb'!NWM94</f>
        <v>0</v>
      </c>
      <c r="NWJ36" s="17">
        <f>'Form-Sb'!NWN94</f>
        <v>0</v>
      </c>
      <c r="NWK36" s="17">
        <f>'Form-Sb'!NWO94</f>
        <v>0</v>
      </c>
      <c r="NWL36" s="17">
        <f>'Form-Sb'!NWP94</f>
        <v>0</v>
      </c>
      <c r="NWM36" s="17">
        <f>'Form-Sb'!NWQ94</f>
        <v>0</v>
      </c>
      <c r="NWN36" s="17">
        <f>'Form-Sb'!NWR94</f>
        <v>0</v>
      </c>
      <c r="NWO36" s="17">
        <f>'Form-Sb'!NWS94</f>
        <v>0</v>
      </c>
      <c r="NWP36" s="17">
        <f>'Form-Sb'!NWT94</f>
        <v>0</v>
      </c>
      <c r="NWQ36" s="17">
        <f>'Form-Sb'!NWU94</f>
        <v>0</v>
      </c>
      <c r="NWR36" s="17">
        <f>'Form-Sb'!NWV94</f>
        <v>0</v>
      </c>
      <c r="NWS36" s="17">
        <f>'Form-Sb'!NWW94</f>
        <v>0</v>
      </c>
      <c r="NWT36" s="17">
        <f>'Form-Sb'!NWX94</f>
        <v>0</v>
      </c>
      <c r="NWU36" s="17">
        <f>'Form-Sb'!NWY94</f>
        <v>0</v>
      </c>
      <c r="NWV36" s="17">
        <f>'Form-Sb'!NWZ94</f>
        <v>0</v>
      </c>
      <c r="NWW36" s="17">
        <f>'Form-Sb'!NXA94</f>
        <v>0</v>
      </c>
      <c r="NWX36" s="17">
        <f>'Form-Sb'!NXB94</f>
        <v>0</v>
      </c>
      <c r="NWY36" s="17">
        <f>'Form-Sb'!NXC94</f>
        <v>0</v>
      </c>
      <c r="NWZ36" s="17">
        <f>'Form-Sb'!NXD94</f>
        <v>0</v>
      </c>
      <c r="NXA36" s="17">
        <f>'Form-Sb'!NXE94</f>
        <v>0</v>
      </c>
      <c r="NXB36" s="17">
        <f>'Form-Sb'!NXF94</f>
        <v>0</v>
      </c>
      <c r="NXC36" s="17">
        <f>'Form-Sb'!NXG94</f>
        <v>0</v>
      </c>
      <c r="NXD36" s="17">
        <f>'Form-Sb'!NXH94</f>
        <v>0</v>
      </c>
      <c r="NXE36" s="17">
        <f>'Form-Sb'!NXI94</f>
        <v>0</v>
      </c>
      <c r="NXF36" s="17">
        <f>'Form-Sb'!NXJ94</f>
        <v>0</v>
      </c>
      <c r="NXG36" s="17">
        <f>'Form-Sb'!NXK94</f>
        <v>0</v>
      </c>
      <c r="NXH36" s="17">
        <f>'Form-Sb'!NXL94</f>
        <v>0</v>
      </c>
      <c r="NXI36" s="17">
        <f>'Form-Sb'!NXM94</f>
        <v>0</v>
      </c>
      <c r="NXJ36" s="17">
        <f>'Form-Sb'!NXN94</f>
        <v>0</v>
      </c>
      <c r="NXK36" s="17">
        <f>'Form-Sb'!NXO94</f>
        <v>0</v>
      </c>
      <c r="NXL36" s="17">
        <f>'Form-Sb'!NXP94</f>
        <v>0</v>
      </c>
      <c r="NXM36" s="17">
        <f>'Form-Sb'!NXQ94</f>
        <v>0</v>
      </c>
      <c r="NXN36" s="17">
        <f>'Form-Sb'!NXR94</f>
        <v>0</v>
      </c>
      <c r="NXO36" s="17">
        <f>'Form-Sb'!NXS94</f>
        <v>0</v>
      </c>
      <c r="NXP36" s="17">
        <f>'Form-Sb'!NXT94</f>
        <v>0</v>
      </c>
      <c r="NXQ36" s="17">
        <f>'Form-Sb'!NXU94</f>
        <v>0</v>
      </c>
      <c r="NXR36" s="17">
        <f>'Form-Sb'!NXV94</f>
        <v>0</v>
      </c>
      <c r="NXS36" s="17">
        <f>'Form-Sb'!NXW94</f>
        <v>0</v>
      </c>
      <c r="NXT36" s="17">
        <f>'Form-Sb'!NXX94</f>
        <v>0</v>
      </c>
      <c r="NXU36" s="17">
        <f>'Form-Sb'!NXY94</f>
        <v>0</v>
      </c>
      <c r="NXV36" s="17">
        <f>'Form-Sb'!NXZ94</f>
        <v>0</v>
      </c>
      <c r="NXW36" s="17">
        <f>'Form-Sb'!NYA94</f>
        <v>0</v>
      </c>
      <c r="NXX36" s="17">
        <f>'Form-Sb'!NYB94</f>
        <v>0</v>
      </c>
      <c r="NXY36" s="17">
        <f>'Form-Sb'!NYC94</f>
        <v>0</v>
      </c>
      <c r="NXZ36" s="17">
        <f>'Form-Sb'!NYD94</f>
        <v>0</v>
      </c>
      <c r="NYA36" s="17">
        <f>'Form-Sb'!NYE94</f>
        <v>0</v>
      </c>
      <c r="NYB36" s="17">
        <f>'Form-Sb'!NYF94</f>
        <v>0</v>
      </c>
      <c r="NYC36" s="17">
        <f>'Form-Sb'!NYG94</f>
        <v>0</v>
      </c>
      <c r="NYD36" s="17">
        <f>'Form-Sb'!NYH94</f>
        <v>0</v>
      </c>
      <c r="NYE36" s="17">
        <f>'Form-Sb'!NYI94</f>
        <v>0</v>
      </c>
      <c r="NYF36" s="17">
        <f>'Form-Sb'!NYJ94</f>
        <v>0</v>
      </c>
      <c r="NYG36" s="17">
        <f>'Form-Sb'!NYK94</f>
        <v>0</v>
      </c>
      <c r="NYH36" s="17">
        <f>'Form-Sb'!NYL94</f>
        <v>0</v>
      </c>
      <c r="NYI36" s="17">
        <f>'Form-Sb'!NYM94</f>
        <v>0</v>
      </c>
      <c r="NYJ36" s="17">
        <f>'Form-Sb'!NYN94</f>
        <v>0</v>
      </c>
      <c r="NYK36" s="17">
        <f>'Form-Sb'!NYO94</f>
        <v>0</v>
      </c>
      <c r="NYL36" s="17">
        <f>'Form-Sb'!NYP94</f>
        <v>0</v>
      </c>
      <c r="NYM36" s="17">
        <f>'Form-Sb'!NYQ94</f>
        <v>0</v>
      </c>
      <c r="NYN36" s="17">
        <f>'Form-Sb'!NYR94</f>
        <v>0</v>
      </c>
      <c r="NYO36" s="17">
        <f>'Form-Sb'!NYS94</f>
        <v>0</v>
      </c>
      <c r="NYP36" s="17">
        <f>'Form-Sb'!NYT94</f>
        <v>0</v>
      </c>
      <c r="NYQ36" s="17">
        <f>'Form-Sb'!NYU94</f>
        <v>0</v>
      </c>
      <c r="NYR36" s="17">
        <f>'Form-Sb'!NYV94</f>
        <v>0</v>
      </c>
      <c r="NYS36" s="17">
        <f>'Form-Sb'!NYW94</f>
        <v>0</v>
      </c>
      <c r="NYT36" s="17">
        <f>'Form-Sb'!NYX94</f>
        <v>0</v>
      </c>
      <c r="NYU36" s="17">
        <f>'Form-Sb'!NYY94</f>
        <v>0</v>
      </c>
      <c r="NYV36" s="17">
        <f>'Form-Sb'!NYZ94</f>
        <v>0</v>
      </c>
      <c r="NYW36" s="17">
        <f>'Form-Sb'!NZA94</f>
        <v>0</v>
      </c>
      <c r="NYX36" s="17">
        <f>'Form-Sb'!NZB94</f>
        <v>0</v>
      </c>
      <c r="NYY36" s="17">
        <f>'Form-Sb'!NZC94</f>
        <v>0</v>
      </c>
      <c r="NYZ36" s="17">
        <f>'Form-Sb'!NZD94</f>
        <v>0</v>
      </c>
      <c r="NZA36" s="17">
        <f>'Form-Sb'!NZE94</f>
        <v>0</v>
      </c>
      <c r="NZB36" s="17">
        <f>'Form-Sb'!NZF94</f>
        <v>0</v>
      </c>
      <c r="NZC36" s="17">
        <f>'Form-Sb'!NZG94</f>
        <v>0</v>
      </c>
      <c r="NZD36" s="17">
        <f>'Form-Sb'!NZH94</f>
        <v>0</v>
      </c>
      <c r="NZE36" s="17">
        <f>'Form-Sb'!NZI94</f>
        <v>0</v>
      </c>
      <c r="NZF36" s="17">
        <f>'Form-Sb'!NZJ94</f>
        <v>0</v>
      </c>
      <c r="NZG36" s="17">
        <f>'Form-Sb'!NZK94</f>
        <v>0</v>
      </c>
      <c r="NZH36" s="17">
        <f>'Form-Sb'!NZL94</f>
        <v>0</v>
      </c>
      <c r="NZI36" s="17">
        <f>'Form-Sb'!NZM94</f>
        <v>0</v>
      </c>
      <c r="NZJ36" s="17">
        <f>'Form-Sb'!NZN94</f>
        <v>0</v>
      </c>
      <c r="NZK36" s="17">
        <f>'Form-Sb'!NZO94</f>
        <v>0</v>
      </c>
      <c r="NZL36" s="17">
        <f>'Form-Sb'!NZP94</f>
        <v>0</v>
      </c>
      <c r="NZM36" s="17">
        <f>'Form-Sb'!NZQ94</f>
        <v>0</v>
      </c>
      <c r="NZN36" s="17">
        <f>'Form-Sb'!NZR94</f>
        <v>0</v>
      </c>
      <c r="NZO36" s="17">
        <f>'Form-Sb'!NZS94</f>
        <v>0</v>
      </c>
      <c r="NZP36" s="17">
        <f>'Form-Sb'!NZT94</f>
        <v>0</v>
      </c>
      <c r="NZQ36" s="17">
        <f>'Form-Sb'!NZU94</f>
        <v>0</v>
      </c>
      <c r="NZR36" s="17">
        <f>'Form-Sb'!NZV94</f>
        <v>0</v>
      </c>
      <c r="NZS36" s="17">
        <f>'Form-Sb'!NZW94</f>
        <v>0</v>
      </c>
      <c r="NZT36" s="17">
        <f>'Form-Sb'!NZX94</f>
        <v>0</v>
      </c>
      <c r="NZU36" s="17">
        <f>'Form-Sb'!NZY94</f>
        <v>0</v>
      </c>
      <c r="NZV36" s="17">
        <f>'Form-Sb'!NZZ94</f>
        <v>0</v>
      </c>
      <c r="NZW36" s="17">
        <f>'Form-Sb'!OAA94</f>
        <v>0</v>
      </c>
      <c r="NZX36" s="17">
        <f>'Form-Sb'!OAB94</f>
        <v>0</v>
      </c>
      <c r="NZY36" s="17">
        <f>'Form-Sb'!OAC94</f>
        <v>0</v>
      </c>
      <c r="NZZ36" s="17">
        <f>'Form-Sb'!OAD94</f>
        <v>0</v>
      </c>
      <c r="OAA36" s="17">
        <f>'Form-Sb'!OAE94</f>
        <v>0</v>
      </c>
      <c r="OAB36" s="17">
        <f>'Form-Sb'!OAF94</f>
        <v>0</v>
      </c>
      <c r="OAC36" s="17">
        <f>'Form-Sb'!OAG94</f>
        <v>0</v>
      </c>
      <c r="OAD36" s="17">
        <f>'Form-Sb'!OAH94</f>
        <v>0</v>
      </c>
      <c r="OAE36" s="17">
        <f>'Form-Sb'!OAI94</f>
        <v>0</v>
      </c>
      <c r="OAF36" s="17">
        <f>'Form-Sb'!OAJ94</f>
        <v>0</v>
      </c>
      <c r="OAG36" s="17">
        <f>'Form-Sb'!OAK94</f>
        <v>0</v>
      </c>
      <c r="OAH36" s="17">
        <f>'Form-Sb'!OAL94</f>
        <v>0</v>
      </c>
      <c r="OAI36" s="17">
        <f>'Form-Sb'!OAM94</f>
        <v>0</v>
      </c>
      <c r="OAJ36" s="17">
        <f>'Form-Sb'!OAN94</f>
        <v>0</v>
      </c>
      <c r="OAK36" s="17">
        <f>'Form-Sb'!OAO94</f>
        <v>0</v>
      </c>
      <c r="OAL36" s="17">
        <f>'Form-Sb'!OAP94</f>
        <v>0</v>
      </c>
      <c r="OAM36" s="17">
        <f>'Form-Sb'!OAQ94</f>
        <v>0</v>
      </c>
      <c r="OAN36" s="17">
        <f>'Form-Sb'!OAR94</f>
        <v>0</v>
      </c>
      <c r="OAO36" s="17">
        <f>'Form-Sb'!OAS94</f>
        <v>0</v>
      </c>
      <c r="OAP36" s="17">
        <f>'Form-Sb'!OAT94</f>
        <v>0</v>
      </c>
      <c r="OAQ36" s="17">
        <f>'Form-Sb'!OAU94</f>
        <v>0</v>
      </c>
      <c r="OAR36" s="17">
        <f>'Form-Sb'!OAV94</f>
        <v>0</v>
      </c>
      <c r="OAS36" s="17">
        <f>'Form-Sb'!OAW94</f>
        <v>0</v>
      </c>
      <c r="OAT36" s="17">
        <f>'Form-Sb'!OAX94</f>
        <v>0</v>
      </c>
      <c r="OAU36" s="17">
        <f>'Form-Sb'!OAY94</f>
        <v>0</v>
      </c>
      <c r="OAV36" s="17">
        <f>'Form-Sb'!OAZ94</f>
        <v>0</v>
      </c>
      <c r="OAW36" s="17">
        <f>'Form-Sb'!OBA94</f>
        <v>0</v>
      </c>
      <c r="OAX36" s="17">
        <f>'Form-Sb'!OBB94</f>
        <v>0</v>
      </c>
      <c r="OAY36" s="17">
        <f>'Form-Sb'!OBC94</f>
        <v>0</v>
      </c>
      <c r="OAZ36" s="17">
        <f>'Form-Sb'!OBD94</f>
        <v>0</v>
      </c>
      <c r="OBA36" s="17">
        <f>'Form-Sb'!OBE94</f>
        <v>0</v>
      </c>
      <c r="OBB36" s="17">
        <f>'Form-Sb'!OBF94</f>
        <v>0</v>
      </c>
      <c r="OBC36" s="17">
        <f>'Form-Sb'!OBG94</f>
        <v>0</v>
      </c>
      <c r="OBD36" s="17">
        <f>'Form-Sb'!OBH94</f>
        <v>0</v>
      </c>
      <c r="OBE36" s="17">
        <f>'Form-Sb'!OBI94</f>
        <v>0</v>
      </c>
      <c r="OBF36" s="17">
        <f>'Form-Sb'!OBJ94</f>
        <v>0</v>
      </c>
      <c r="OBG36" s="17">
        <f>'Form-Sb'!OBK94</f>
        <v>0</v>
      </c>
      <c r="OBH36" s="17">
        <f>'Form-Sb'!OBL94</f>
        <v>0</v>
      </c>
      <c r="OBI36" s="17">
        <f>'Form-Sb'!OBM94</f>
        <v>0</v>
      </c>
      <c r="OBJ36" s="17">
        <f>'Form-Sb'!OBN94</f>
        <v>0</v>
      </c>
      <c r="OBK36" s="17">
        <f>'Form-Sb'!OBO94</f>
        <v>0</v>
      </c>
      <c r="OBL36" s="17">
        <f>'Form-Sb'!OBP94</f>
        <v>0</v>
      </c>
      <c r="OBM36" s="17">
        <f>'Form-Sb'!OBQ94</f>
        <v>0</v>
      </c>
      <c r="OBN36" s="17">
        <f>'Form-Sb'!OBR94</f>
        <v>0</v>
      </c>
      <c r="OBO36" s="17">
        <f>'Form-Sb'!OBS94</f>
        <v>0</v>
      </c>
      <c r="OBP36" s="17">
        <f>'Form-Sb'!OBT94</f>
        <v>0</v>
      </c>
      <c r="OBQ36" s="17">
        <f>'Form-Sb'!OBU94</f>
        <v>0</v>
      </c>
      <c r="OBR36" s="17">
        <f>'Form-Sb'!OBV94</f>
        <v>0</v>
      </c>
      <c r="OBS36" s="17">
        <f>'Form-Sb'!OBW94</f>
        <v>0</v>
      </c>
      <c r="OBT36" s="17">
        <f>'Form-Sb'!OBX94</f>
        <v>0</v>
      </c>
      <c r="OBU36" s="17">
        <f>'Form-Sb'!OBY94</f>
        <v>0</v>
      </c>
      <c r="OBV36" s="17">
        <f>'Form-Sb'!OBZ94</f>
        <v>0</v>
      </c>
      <c r="OBW36" s="17">
        <f>'Form-Sb'!OCA94</f>
        <v>0</v>
      </c>
      <c r="OBX36" s="17">
        <f>'Form-Sb'!OCB94</f>
        <v>0</v>
      </c>
      <c r="OBY36" s="17">
        <f>'Form-Sb'!OCC94</f>
        <v>0</v>
      </c>
      <c r="OBZ36" s="17">
        <f>'Form-Sb'!OCD94</f>
        <v>0</v>
      </c>
      <c r="OCA36" s="17">
        <f>'Form-Sb'!OCE94</f>
        <v>0</v>
      </c>
      <c r="OCB36" s="17">
        <f>'Form-Sb'!OCF94</f>
        <v>0</v>
      </c>
      <c r="OCC36" s="17">
        <f>'Form-Sb'!OCG94</f>
        <v>0</v>
      </c>
      <c r="OCD36" s="17">
        <f>'Form-Sb'!OCH94</f>
        <v>0</v>
      </c>
      <c r="OCE36" s="17">
        <f>'Form-Sb'!OCI94</f>
        <v>0</v>
      </c>
      <c r="OCF36" s="17">
        <f>'Form-Sb'!OCJ94</f>
        <v>0</v>
      </c>
      <c r="OCG36" s="17">
        <f>'Form-Sb'!OCK94</f>
        <v>0</v>
      </c>
      <c r="OCH36" s="17">
        <f>'Form-Sb'!OCL94</f>
        <v>0</v>
      </c>
      <c r="OCI36" s="17">
        <f>'Form-Sb'!OCM94</f>
        <v>0</v>
      </c>
      <c r="OCJ36" s="17">
        <f>'Form-Sb'!OCN94</f>
        <v>0</v>
      </c>
      <c r="OCK36" s="17">
        <f>'Form-Sb'!OCO94</f>
        <v>0</v>
      </c>
      <c r="OCL36" s="17">
        <f>'Form-Sb'!OCP94</f>
        <v>0</v>
      </c>
      <c r="OCM36" s="17">
        <f>'Form-Sb'!OCQ94</f>
        <v>0</v>
      </c>
      <c r="OCN36" s="17">
        <f>'Form-Sb'!OCR94</f>
        <v>0</v>
      </c>
      <c r="OCO36" s="17">
        <f>'Form-Sb'!OCS94</f>
        <v>0</v>
      </c>
      <c r="OCP36" s="17">
        <f>'Form-Sb'!OCT94</f>
        <v>0</v>
      </c>
      <c r="OCQ36" s="17">
        <f>'Form-Sb'!OCU94</f>
        <v>0</v>
      </c>
      <c r="OCR36" s="17">
        <f>'Form-Sb'!OCV94</f>
        <v>0</v>
      </c>
      <c r="OCS36" s="17">
        <f>'Form-Sb'!OCW94</f>
        <v>0</v>
      </c>
      <c r="OCT36" s="17">
        <f>'Form-Sb'!OCX94</f>
        <v>0</v>
      </c>
      <c r="OCU36" s="17">
        <f>'Form-Sb'!OCY94</f>
        <v>0</v>
      </c>
      <c r="OCV36" s="17">
        <f>'Form-Sb'!OCZ94</f>
        <v>0</v>
      </c>
      <c r="OCW36" s="17">
        <f>'Form-Sb'!ODA94</f>
        <v>0</v>
      </c>
      <c r="OCX36" s="17">
        <f>'Form-Sb'!ODB94</f>
        <v>0</v>
      </c>
      <c r="OCY36" s="17">
        <f>'Form-Sb'!ODC94</f>
        <v>0</v>
      </c>
      <c r="OCZ36" s="17">
        <f>'Form-Sb'!ODD94</f>
        <v>0</v>
      </c>
      <c r="ODA36" s="17">
        <f>'Form-Sb'!ODE94</f>
        <v>0</v>
      </c>
      <c r="ODB36" s="17">
        <f>'Form-Sb'!ODF94</f>
        <v>0</v>
      </c>
      <c r="ODC36" s="17">
        <f>'Form-Sb'!ODG94</f>
        <v>0</v>
      </c>
      <c r="ODD36" s="17">
        <f>'Form-Sb'!ODH94</f>
        <v>0</v>
      </c>
      <c r="ODE36" s="17">
        <f>'Form-Sb'!ODI94</f>
        <v>0</v>
      </c>
      <c r="ODF36" s="17">
        <f>'Form-Sb'!ODJ94</f>
        <v>0</v>
      </c>
      <c r="ODG36" s="17">
        <f>'Form-Sb'!ODK94</f>
        <v>0</v>
      </c>
      <c r="ODH36" s="17">
        <f>'Form-Sb'!ODL94</f>
        <v>0</v>
      </c>
      <c r="ODI36" s="17">
        <f>'Form-Sb'!ODM94</f>
        <v>0</v>
      </c>
      <c r="ODJ36" s="17">
        <f>'Form-Sb'!ODN94</f>
        <v>0</v>
      </c>
      <c r="ODK36" s="17">
        <f>'Form-Sb'!ODO94</f>
        <v>0</v>
      </c>
      <c r="ODL36" s="17">
        <f>'Form-Sb'!ODP94</f>
        <v>0</v>
      </c>
      <c r="ODM36" s="17">
        <f>'Form-Sb'!ODQ94</f>
        <v>0</v>
      </c>
      <c r="ODN36" s="17">
        <f>'Form-Sb'!ODR94</f>
        <v>0</v>
      </c>
      <c r="ODO36" s="17">
        <f>'Form-Sb'!ODS94</f>
        <v>0</v>
      </c>
      <c r="ODP36" s="17">
        <f>'Form-Sb'!ODT94</f>
        <v>0</v>
      </c>
      <c r="ODQ36" s="17">
        <f>'Form-Sb'!ODU94</f>
        <v>0</v>
      </c>
      <c r="ODR36" s="17">
        <f>'Form-Sb'!ODV94</f>
        <v>0</v>
      </c>
      <c r="ODS36" s="17">
        <f>'Form-Sb'!ODW94</f>
        <v>0</v>
      </c>
      <c r="ODT36" s="17">
        <f>'Form-Sb'!ODX94</f>
        <v>0</v>
      </c>
      <c r="ODU36" s="17">
        <f>'Form-Sb'!ODY94</f>
        <v>0</v>
      </c>
      <c r="ODV36" s="17">
        <f>'Form-Sb'!ODZ94</f>
        <v>0</v>
      </c>
      <c r="ODW36" s="17">
        <f>'Form-Sb'!OEA94</f>
        <v>0</v>
      </c>
      <c r="ODX36" s="17">
        <f>'Form-Sb'!OEB94</f>
        <v>0</v>
      </c>
      <c r="ODY36" s="17">
        <f>'Form-Sb'!OEC94</f>
        <v>0</v>
      </c>
      <c r="ODZ36" s="17">
        <f>'Form-Sb'!OED94</f>
        <v>0</v>
      </c>
      <c r="OEA36" s="17">
        <f>'Form-Sb'!OEE94</f>
        <v>0</v>
      </c>
      <c r="OEB36" s="17">
        <f>'Form-Sb'!OEF94</f>
        <v>0</v>
      </c>
      <c r="OEC36" s="17">
        <f>'Form-Sb'!OEG94</f>
        <v>0</v>
      </c>
      <c r="OED36" s="17">
        <f>'Form-Sb'!OEH94</f>
        <v>0</v>
      </c>
      <c r="OEE36" s="17">
        <f>'Form-Sb'!OEI94</f>
        <v>0</v>
      </c>
      <c r="OEF36" s="17">
        <f>'Form-Sb'!OEJ94</f>
        <v>0</v>
      </c>
      <c r="OEG36" s="17">
        <f>'Form-Sb'!OEK94</f>
        <v>0</v>
      </c>
      <c r="OEH36" s="17">
        <f>'Form-Sb'!OEL94</f>
        <v>0</v>
      </c>
      <c r="OEI36" s="17">
        <f>'Form-Sb'!OEM94</f>
        <v>0</v>
      </c>
      <c r="OEJ36" s="17">
        <f>'Form-Sb'!OEN94</f>
        <v>0</v>
      </c>
      <c r="OEK36" s="17">
        <f>'Form-Sb'!OEO94</f>
        <v>0</v>
      </c>
      <c r="OEL36" s="17">
        <f>'Form-Sb'!OEP94</f>
        <v>0</v>
      </c>
      <c r="OEM36" s="17">
        <f>'Form-Sb'!OEQ94</f>
        <v>0</v>
      </c>
      <c r="OEN36" s="17">
        <f>'Form-Sb'!OER94</f>
        <v>0</v>
      </c>
      <c r="OEO36" s="17">
        <f>'Form-Sb'!OES94</f>
        <v>0</v>
      </c>
      <c r="OEP36" s="17">
        <f>'Form-Sb'!OET94</f>
        <v>0</v>
      </c>
      <c r="OEQ36" s="17">
        <f>'Form-Sb'!OEU94</f>
        <v>0</v>
      </c>
      <c r="OER36" s="17">
        <f>'Form-Sb'!OEV94</f>
        <v>0</v>
      </c>
      <c r="OES36" s="17">
        <f>'Form-Sb'!OEW94</f>
        <v>0</v>
      </c>
      <c r="OET36" s="17">
        <f>'Form-Sb'!OEX94</f>
        <v>0</v>
      </c>
      <c r="OEU36" s="17">
        <f>'Form-Sb'!OEY94</f>
        <v>0</v>
      </c>
      <c r="OEV36" s="17">
        <f>'Form-Sb'!OEZ94</f>
        <v>0</v>
      </c>
      <c r="OEW36" s="17">
        <f>'Form-Sb'!OFA94</f>
        <v>0</v>
      </c>
      <c r="OEX36" s="17">
        <f>'Form-Sb'!OFB94</f>
        <v>0</v>
      </c>
      <c r="OEY36" s="17">
        <f>'Form-Sb'!OFC94</f>
        <v>0</v>
      </c>
      <c r="OEZ36" s="17">
        <f>'Form-Sb'!OFD94</f>
        <v>0</v>
      </c>
      <c r="OFA36" s="17">
        <f>'Form-Sb'!OFE94</f>
        <v>0</v>
      </c>
      <c r="OFB36" s="17">
        <f>'Form-Sb'!OFF94</f>
        <v>0</v>
      </c>
      <c r="OFC36" s="17">
        <f>'Form-Sb'!OFG94</f>
        <v>0</v>
      </c>
      <c r="OFD36" s="17">
        <f>'Form-Sb'!OFH94</f>
        <v>0</v>
      </c>
      <c r="OFE36" s="17">
        <f>'Form-Sb'!OFI94</f>
        <v>0</v>
      </c>
      <c r="OFF36" s="17">
        <f>'Form-Sb'!OFJ94</f>
        <v>0</v>
      </c>
      <c r="OFG36" s="17">
        <f>'Form-Sb'!OFK94</f>
        <v>0</v>
      </c>
      <c r="OFH36" s="17">
        <f>'Form-Sb'!OFL94</f>
        <v>0</v>
      </c>
      <c r="OFI36" s="17">
        <f>'Form-Sb'!OFM94</f>
        <v>0</v>
      </c>
      <c r="OFJ36" s="17">
        <f>'Form-Sb'!OFN94</f>
        <v>0</v>
      </c>
      <c r="OFK36" s="17">
        <f>'Form-Sb'!OFO94</f>
        <v>0</v>
      </c>
      <c r="OFL36" s="17">
        <f>'Form-Sb'!OFP94</f>
        <v>0</v>
      </c>
      <c r="OFM36" s="17">
        <f>'Form-Sb'!OFQ94</f>
        <v>0</v>
      </c>
      <c r="OFN36" s="17">
        <f>'Form-Sb'!OFR94</f>
        <v>0</v>
      </c>
      <c r="OFO36" s="17">
        <f>'Form-Sb'!OFS94</f>
        <v>0</v>
      </c>
      <c r="OFP36" s="17">
        <f>'Form-Sb'!OFT94</f>
        <v>0</v>
      </c>
      <c r="OFQ36" s="17">
        <f>'Form-Sb'!OFU94</f>
        <v>0</v>
      </c>
      <c r="OFR36" s="17">
        <f>'Form-Sb'!OFV94</f>
        <v>0</v>
      </c>
      <c r="OFS36" s="17">
        <f>'Form-Sb'!OFW94</f>
        <v>0</v>
      </c>
      <c r="OFT36" s="17">
        <f>'Form-Sb'!OFX94</f>
        <v>0</v>
      </c>
      <c r="OFU36" s="17">
        <f>'Form-Sb'!OFY94</f>
        <v>0</v>
      </c>
      <c r="OFV36" s="17">
        <f>'Form-Sb'!OFZ94</f>
        <v>0</v>
      </c>
      <c r="OFW36" s="17">
        <f>'Form-Sb'!OGA94</f>
        <v>0</v>
      </c>
      <c r="OFX36" s="17">
        <f>'Form-Sb'!OGB94</f>
        <v>0</v>
      </c>
      <c r="OFY36" s="17">
        <f>'Form-Sb'!OGC94</f>
        <v>0</v>
      </c>
      <c r="OFZ36" s="17">
        <f>'Form-Sb'!OGD94</f>
        <v>0</v>
      </c>
      <c r="OGA36" s="17">
        <f>'Form-Sb'!OGE94</f>
        <v>0</v>
      </c>
      <c r="OGB36" s="17">
        <f>'Form-Sb'!OGF94</f>
        <v>0</v>
      </c>
      <c r="OGC36" s="17">
        <f>'Form-Sb'!OGG94</f>
        <v>0</v>
      </c>
      <c r="OGD36" s="17">
        <f>'Form-Sb'!OGH94</f>
        <v>0</v>
      </c>
      <c r="OGE36" s="17">
        <f>'Form-Sb'!OGI94</f>
        <v>0</v>
      </c>
      <c r="OGF36" s="17">
        <f>'Form-Sb'!OGJ94</f>
        <v>0</v>
      </c>
      <c r="OGG36" s="17">
        <f>'Form-Sb'!OGK94</f>
        <v>0</v>
      </c>
      <c r="OGH36" s="17">
        <f>'Form-Sb'!OGL94</f>
        <v>0</v>
      </c>
      <c r="OGI36" s="17">
        <f>'Form-Sb'!OGM94</f>
        <v>0</v>
      </c>
      <c r="OGJ36" s="17">
        <f>'Form-Sb'!OGN94</f>
        <v>0</v>
      </c>
      <c r="OGK36" s="17">
        <f>'Form-Sb'!OGO94</f>
        <v>0</v>
      </c>
      <c r="OGL36" s="17">
        <f>'Form-Sb'!OGP94</f>
        <v>0</v>
      </c>
      <c r="OGM36" s="17">
        <f>'Form-Sb'!OGQ94</f>
        <v>0</v>
      </c>
      <c r="OGN36" s="17">
        <f>'Form-Sb'!OGR94</f>
        <v>0</v>
      </c>
      <c r="OGO36" s="17">
        <f>'Form-Sb'!OGS94</f>
        <v>0</v>
      </c>
      <c r="OGP36" s="17">
        <f>'Form-Sb'!OGT94</f>
        <v>0</v>
      </c>
      <c r="OGQ36" s="17">
        <f>'Form-Sb'!OGU94</f>
        <v>0</v>
      </c>
      <c r="OGR36" s="17">
        <f>'Form-Sb'!OGV94</f>
        <v>0</v>
      </c>
      <c r="OGS36" s="17">
        <f>'Form-Sb'!OGW94</f>
        <v>0</v>
      </c>
      <c r="OGT36" s="17">
        <f>'Form-Sb'!OGX94</f>
        <v>0</v>
      </c>
      <c r="OGU36" s="17">
        <f>'Form-Sb'!OGY94</f>
        <v>0</v>
      </c>
      <c r="OGV36" s="17">
        <f>'Form-Sb'!OGZ94</f>
        <v>0</v>
      </c>
      <c r="OGW36" s="17">
        <f>'Form-Sb'!OHA94</f>
        <v>0</v>
      </c>
      <c r="OGX36" s="17">
        <f>'Form-Sb'!OHB94</f>
        <v>0</v>
      </c>
      <c r="OGY36" s="17">
        <f>'Form-Sb'!OHC94</f>
        <v>0</v>
      </c>
      <c r="OGZ36" s="17">
        <f>'Form-Sb'!OHD94</f>
        <v>0</v>
      </c>
      <c r="OHA36" s="17">
        <f>'Form-Sb'!OHE94</f>
        <v>0</v>
      </c>
      <c r="OHB36" s="17">
        <f>'Form-Sb'!OHF94</f>
        <v>0</v>
      </c>
      <c r="OHC36" s="17">
        <f>'Form-Sb'!OHG94</f>
        <v>0</v>
      </c>
      <c r="OHD36" s="17">
        <f>'Form-Sb'!OHH94</f>
        <v>0</v>
      </c>
      <c r="OHE36" s="17">
        <f>'Form-Sb'!OHI94</f>
        <v>0</v>
      </c>
      <c r="OHF36" s="17">
        <f>'Form-Sb'!OHJ94</f>
        <v>0</v>
      </c>
      <c r="OHG36" s="17">
        <f>'Form-Sb'!OHK94</f>
        <v>0</v>
      </c>
      <c r="OHH36" s="17">
        <f>'Form-Sb'!OHL94</f>
        <v>0</v>
      </c>
      <c r="OHI36" s="17">
        <f>'Form-Sb'!OHM94</f>
        <v>0</v>
      </c>
      <c r="OHJ36" s="17">
        <f>'Form-Sb'!OHN94</f>
        <v>0</v>
      </c>
      <c r="OHK36" s="17">
        <f>'Form-Sb'!OHO94</f>
        <v>0</v>
      </c>
      <c r="OHL36" s="17">
        <f>'Form-Sb'!OHP94</f>
        <v>0</v>
      </c>
      <c r="OHM36" s="17">
        <f>'Form-Sb'!OHQ94</f>
        <v>0</v>
      </c>
      <c r="OHN36" s="17">
        <f>'Form-Sb'!OHR94</f>
        <v>0</v>
      </c>
      <c r="OHO36" s="17">
        <f>'Form-Sb'!OHS94</f>
        <v>0</v>
      </c>
      <c r="OHP36" s="17">
        <f>'Form-Sb'!OHT94</f>
        <v>0</v>
      </c>
      <c r="OHQ36" s="17">
        <f>'Form-Sb'!OHU94</f>
        <v>0</v>
      </c>
      <c r="OHR36" s="17">
        <f>'Form-Sb'!OHV94</f>
        <v>0</v>
      </c>
      <c r="OHS36" s="17">
        <f>'Form-Sb'!OHW94</f>
        <v>0</v>
      </c>
      <c r="OHT36" s="17">
        <f>'Form-Sb'!OHX94</f>
        <v>0</v>
      </c>
      <c r="OHU36" s="17">
        <f>'Form-Sb'!OHY94</f>
        <v>0</v>
      </c>
      <c r="OHV36" s="17">
        <f>'Form-Sb'!OHZ94</f>
        <v>0</v>
      </c>
      <c r="OHW36" s="17">
        <f>'Form-Sb'!OIA94</f>
        <v>0</v>
      </c>
      <c r="OHX36" s="17">
        <f>'Form-Sb'!OIB94</f>
        <v>0</v>
      </c>
      <c r="OHY36" s="17">
        <f>'Form-Sb'!OIC94</f>
        <v>0</v>
      </c>
      <c r="OHZ36" s="17">
        <f>'Form-Sb'!OID94</f>
        <v>0</v>
      </c>
      <c r="OIA36" s="17">
        <f>'Form-Sb'!OIE94</f>
        <v>0</v>
      </c>
      <c r="OIB36" s="17">
        <f>'Form-Sb'!OIF94</f>
        <v>0</v>
      </c>
      <c r="OIC36" s="17">
        <f>'Form-Sb'!OIG94</f>
        <v>0</v>
      </c>
      <c r="OID36" s="17">
        <f>'Form-Sb'!OIH94</f>
        <v>0</v>
      </c>
      <c r="OIE36" s="17">
        <f>'Form-Sb'!OII94</f>
        <v>0</v>
      </c>
      <c r="OIF36" s="17">
        <f>'Form-Sb'!OIJ94</f>
        <v>0</v>
      </c>
      <c r="OIG36" s="17">
        <f>'Form-Sb'!OIK94</f>
        <v>0</v>
      </c>
      <c r="OIH36" s="17">
        <f>'Form-Sb'!OIL94</f>
        <v>0</v>
      </c>
      <c r="OII36" s="17">
        <f>'Form-Sb'!OIM94</f>
        <v>0</v>
      </c>
      <c r="OIJ36" s="17">
        <f>'Form-Sb'!OIN94</f>
        <v>0</v>
      </c>
      <c r="OIK36" s="17">
        <f>'Form-Sb'!OIO94</f>
        <v>0</v>
      </c>
      <c r="OIL36" s="17">
        <f>'Form-Sb'!OIP94</f>
        <v>0</v>
      </c>
      <c r="OIM36" s="17">
        <f>'Form-Sb'!OIQ94</f>
        <v>0</v>
      </c>
      <c r="OIN36" s="17">
        <f>'Form-Sb'!OIR94</f>
        <v>0</v>
      </c>
      <c r="OIO36" s="17">
        <f>'Form-Sb'!OIS94</f>
        <v>0</v>
      </c>
      <c r="OIP36" s="17">
        <f>'Form-Sb'!OIT94</f>
        <v>0</v>
      </c>
      <c r="OIQ36" s="17">
        <f>'Form-Sb'!OIU94</f>
        <v>0</v>
      </c>
      <c r="OIR36" s="17">
        <f>'Form-Sb'!OIV94</f>
        <v>0</v>
      </c>
      <c r="OIS36" s="17">
        <f>'Form-Sb'!OIW94</f>
        <v>0</v>
      </c>
      <c r="OIT36" s="17">
        <f>'Form-Sb'!OIX94</f>
        <v>0</v>
      </c>
      <c r="OIU36" s="17">
        <f>'Form-Sb'!OIY94</f>
        <v>0</v>
      </c>
      <c r="OIV36" s="17">
        <f>'Form-Sb'!OIZ94</f>
        <v>0</v>
      </c>
      <c r="OIW36" s="17">
        <f>'Form-Sb'!OJA94</f>
        <v>0</v>
      </c>
      <c r="OIX36" s="17">
        <f>'Form-Sb'!OJB94</f>
        <v>0</v>
      </c>
      <c r="OIY36" s="17">
        <f>'Form-Sb'!OJC94</f>
        <v>0</v>
      </c>
      <c r="OIZ36" s="17">
        <f>'Form-Sb'!OJD94</f>
        <v>0</v>
      </c>
      <c r="OJA36" s="17">
        <f>'Form-Sb'!OJE94</f>
        <v>0</v>
      </c>
      <c r="OJB36" s="17">
        <f>'Form-Sb'!OJF94</f>
        <v>0</v>
      </c>
      <c r="OJC36" s="17">
        <f>'Form-Sb'!OJG94</f>
        <v>0</v>
      </c>
      <c r="OJD36" s="17">
        <f>'Form-Sb'!OJH94</f>
        <v>0</v>
      </c>
      <c r="OJE36" s="17">
        <f>'Form-Sb'!OJI94</f>
        <v>0</v>
      </c>
      <c r="OJF36" s="17">
        <f>'Form-Sb'!OJJ94</f>
        <v>0</v>
      </c>
      <c r="OJG36" s="17">
        <f>'Form-Sb'!OJK94</f>
        <v>0</v>
      </c>
      <c r="OJH36" s="17">
        <f>'Form-Sb'!OJL94</f>
        <v>0</v>
      </c>
      <c r="OJI36" s="17">
        <f>'Form-Sb'!OJM94</f>
        <v>0</v>
      </c>
      <c r="OJJ36" s="17">
        <f>'Form-Sb'!OJN94</f>
        <v>0</v>
      </c>
      <c r="OJK36" s="17">
        <f>'Form-Sb'!OJO94</f>
        <v>0</v>
      </c>
      <c r="OJL36" s="17">
        <f>'Form-Sb'!OJP94</f>
        <v>0</v>
      </c>
      <c r="OJM36" s="17">
        <f>'Form-Sb'!OJQ94</f>
        <v>0</v>
      </c>
      <c r="OJN36" s="17">
        <f>'Form-Sb'!OJR94</f>
        <v>0</v>
      </c>
      <c r="OJO36" s="17">
        <f>'Form-Sb'!OJS94</f>
        <v>0</v>
      </c>
      <c r="OJP36" s="17">
        <f>'Form-Sb'!OJT94</f>
        <v>0</v>
      </c>
      <c r="OJQ36" s="17">
        <f>'Form-Sb'!OJU94</f>
        <v>0</v>
      </c>
      <c r="OJR36" s="17">
        <f>'Form-Sb'!OJV94</f>
        <v>0</v>
      </c>
      <c r="OJS36" s="17">
        <f>'Form-Sb'!OJW94</f>
        <v>0</v>
      </c>
      <c r="OJT36" s="17">
        <f>'Form-Sb'!OJX94</f>
        <v>0</v>
      </c>
      <c r="OJU36" s="17">
        <f>'Form-Sb'!OJY94</f>
        <v>0</v>
      </c>
      <c r="OJV36" s="17">
        <f>'Form-Sb'!OJZ94</f>
        <v>0</v>
      </c>
      <c r="OJW36" s="17">
        <f>'Form-Sb'!OKA94</f>
        <v>0</v>
      </c>
      <c r="OJX36" s="17">
        <f>'Form-Sb'!OKB94</f>
        <v>0</v>
      </c>
      <c r="OJY36" s="17">
        <f>'Form-Sb'!OKC94</f>
        <v>0</v>
      </c>
      <c r="OJZ36" s="17">
        <f>'Form-Sb'!OKD94</f>
        <v>0</v>
      </c>
      <c r="OKA36" s="17">
        <f>'Form-Sb'!OKE94</f>
        <v>0</v>
      </c>
      <c r="OKB36" s="17">
        <f>'Form-Sb'!OKF94</f>
        <v>0</v>
      </c>
      <c r="OKC36" s="17">
        <f>'Form-Sb'!OKG94</f>
        <v>0</v>
      </c>
      <c r="OKD36" s="17">
        <f>'Form-Sb'!OKH94</f>
        <v>0</v>
      </c>
      <c r="OKE36" s="17">
        <f>'Form-Sb'!OKI94</f>
        <v>0</v>
      </c>
      <c r="OKF36" s="17">
        <f>'Form-Sb'!OKJ94</f>
        <v>0</v>
      </c>
      <c r="OKG36" s="17">
        <f>'Form-Sb'!OKK94</f>
        <v>0</v>
      </c>
      <c r="OKH36" s="17">
        <f>'Form-Sb'!OKL94</f>
        <v>0</v>
      </c>
      <c r="OKI36" s="17">
        <f>'Form-Sb'!OKM94</f>
        <v>0</v>
      </c>
      <c r="OKJ36" s="17">
        <f>'Form-Sb'!OKN94</f>
        <v>0</v>
      </c>
      <c r="OKK36" s="17">
        <f>'Form-Sb'!OKO94</f>
        <v>0</v>
      </c>
      <c r="OKL36" s="17">
        <f>'Form-Sb'!OKP94</f>
        <v>0</v>
      </c>
      <c r="OKM36" s="17">
        <f>'Form-Sb'!OKQ94</f>
        <v>0</v>
      </c>
      <c r="OKN36" s="17">
        <f>'Form-Sb'!OKR94</f>
        <v>0</v>
      </c>
      <c r="OKO36" s="17">
        <f>'Form-Sb'!OKS94</f>
        <v>0</v>
      </c>
      <c r="OKP36" s="17">
        <f>'Form-Sb'!OKT94</f>
        <v>0</v>
      </c>
      <c r="OKQ36" s="17">
        <f>'Form-Sb'!OKU94</f>
        <v>0</v>
      </c>
      <c r="OKR36" s="17">
        <f>'Form-Sb'!OKV94</f>
        <v>0</v>
      </c>
      <c r="OKS36" s="17">
        <f>'Form-Sb'!OKW94</f>
        <v>0</v>
      </c>
      <c r="OKT36" s="17">
        <f>'Form-Sb'!OKX94</f>
        <v>0</v>
      </c>
      <c r="OKU36" s="17">
        <f>'Form-Sb'!OKY94</f>
        <v>0</v>
      </c>
      <c r="OKV36" s="17">
        <f>'Form-Sb'!OKZ94</f>
        <v>0</v>
      </c>
      <c r="OKW36" s="17">
        <f>'Form-Sb'!OLA94</f>
        <v>0</v>
      </c>
      <c r="OKX36" s="17">
        <f>'Form-Sb'!OLB94</f>
        <v>0</v>
      </c>
      <c r="OKY36" s="17">
        <f>'Form-Sb'!OLC94</f>
        <v>0</v>
      </c>
      <c r="OKZ36" s="17">
        <f>'Form-Sb'!OLD94</f>
        <v>0</v>
      </c>
      <c r="OLA36" s="17">
        <f>'Form-Sb'!OLE94</f>
        <v>0</v>
      </c>
      <c r="OLB36" s="17">
        <f>'Form-Sb'!OLF94</f>
        <v>0</v>
      </c>
      <c r="OLC36" s="17">
        <f>'Form-Sb'!OLG94</f>
        <v>0</v>
      </c>
      <c r="OLD36" s="17">
        <f>'Form-Sb'!OLH94</f>
        <v>0</v>
      </c>
      <c r="OLE36" s="17">
        <f>'Form-Sb'!OLI94</f>
        <v>0</v>
      </c>
      <c r="OLF36" s="17">
        <f>'Form-Sb'!OLJ94</f>
        <v>0</v>
      </c>
      <c r="OLG36" s="17">
        <f>'Form-Sb'!OLK94</f>
        <v>0</v>
      </c>
      <c r="OLH36" s="17">
        <f>'Form-Sb'!OLL94</f>
        <v>0</v>
      </c>
      <c r="OLI36" s="17">
        <f>'Form-Sb'!OLM94</f>
        <v>0</v>
      </c>
      <c r="OLJ36" s="17">
        <f>'Form-Sb'!OLN94</f>
        <v>0</v>
      </c>
      <c r="OLK36" s="17">
        <f>'Form-Sb'!OLO94</f>
        <v>0</v>
      </c>
      <c r="OLL36" s="17">
        <f>'Form-Sb'!OLP94</f>
        <v>0</v>
      </c>
      <c r="OLM36" s="17">
        <f>'Form-Sb'!OLQ94</f>
        <v>0</v>
      </c>
      <c r="OLN36" s="17">
        <f>'Form-Sb'!OLR94</f>
        <v>0</v>
      </c>
      <c r="OLO36" s="17">
        <f>'Form-Sb'!OLS94</f>
        <v>0</v>
      </c>
      <c r="OLP36" s="17">
        <f>'Form-Sb'!OLT94</f>
        <v>0</v>
      </c>
      <c r="OLQ36" s="17">
        <f>'Form-Sb'!OLU94</f>
        <v>0</v>
      </c>
      <c r="OLR36" s="17">
        <f>'Form-Sb'!OLV94</f>
        <v>0</v>
      </c>
      <c r="OLS36" s="17">
        <f>'Form-Sb'!OLW94</f>
        <v>0</v>
      </c>
      <c r="OLT36" s="17">
        <f>'Form-Sb'!OLX94</f>
        <v>0</v>
      </c>
      <c r="OLU36" s="17">
        <f>'Form-Sb'!OLY94</f>
        <v>0</v>
      </c>
      <c r="OLV36" s="17">
        <f>'Form-Sb'!OLZ94</f>
        <v>0</v>
      </c>
      <c r="OLW36" s="17">
        <f>'Form-Sb'!OMA94</f>
        <v>0</v>
      </c>
      <c r="OLX36" s="17">
        <f>'Form-Sb'!OMB94</f>
        <v>0</v>
      </c>
      <c r="OLY36" s="17">
        <f>'Form-Sb'!OMC94</f>
        <v>0</v>
      </c>
      <c r="OLZ36" s="17">
        <f>'Form-Sb'!OMD94</f>
        <v>0</v>
      </c>
      <c r="OMA36" s="17">
        <f>'Form-Sb'!OME94</f>
        <v>0</v>
      </c>
      <c r="OMB36" s="17">
        <f>'Form-Sb'!OMF94</f>
        <v>0</v>
      </c>
      <c r="OMC36" s="17">
        <f>'Form-Sb'!OMG94</f>
        <v>0</v>
      </c>
      <c r="OMD36" s="17">
        <f>'Form-Sb'!OMH94</f>
        <v>0</v>
      </c>
      <c r="OME36" s="17">
        <f>'Form-Sb'!OMI94</f>
        <v>0</v>
      </c>
      <c r="OMF36" s="17">
        <f>'Form-Sb'!OMJ94</f>
        <v>0</v>
      </c>
      <c r="OMG36" s="17">
        <f>'Form-Sb'!OMK94</f>
        <v>0</v>
      </c>
      <c r="OMH36" s="17">
        <f>'Form-Sb'!OML94</f>
        <v>0</v>
      </c>
      <c r="OMI36" s="17">
        <f>'Form-Sb'!OMM94</f>
        <v>0</v>
      </c>
      <c r="OMJ36" s="17">
        <f>'Form-Sb'!OMN94</f>
        <v>0</v>
      </c>
      <c r="OMK36" s="17">
        <f>'Form-Sb'!OMO94</f>
        <v>0</v>
      </c>
      <c r="OML36" s="17">
        <f>'Form-Sb'!OMP94</f>
        <v>0</v>
      </c>
      <c r="OMM36" s="17">
        <f>'Form-Sb'!OMQ94</f>
        <v>0</v>
      </c>
      <c r="OMN36" s="17">
        <f>'Form-Sb'!OMR94</f>
        <v>0</v>
      </c>
      <c r="OMO36" s="17">
        <f>'Form-Sb'!OMS94</f>
        <v>0</v>
      </c>
      <c r="OMP36" s="17">
        <f>'Form-Sb'!OMT94</f>
        <v>0</v>
      </c>
      <c r="OMQ36" s="17">
        <f>'Form-Sb'!OMU94</f>
        <v>0</v>
      </c>
      <c r="OMR36" s="17">
        <f>'Form-Sb'!OMV94</f>
        <v>0</v>
      </c>
      <c r="OMS36" s="17">
        <f>'Form-Sb'!OMW94</f>
        <v>0</v>
      </c>
      <c r="OMT36" s="17">
        <f>'Form-Sb'!OMX94</f>
        <v>0</v>
      </c>
      <c r="OMU36" s="17">
        <f>'Form-Sb'!OMY94</f>
        <v>0</v>
      </c>
      <c r="OMV36" s="17">
        <f>'Form-Sb'!OMZ94</f>
        <v>0</v>
      </c>
      <c r="OMW36" s="17">
        <f>'Form-Sb'!ONA94</f>
        <v>0</v>
      </c>
      <c r="OMX36" s="17">
        <f>'Form-Sb'!ONB94</f>
        <v>0</v>
      </c>
      <c r="OMY36" s="17">
        <f>'Form-Sb'!ONC94</f>
        <v>0</v>
      </c>
      <c r="OMZ36" s="17">
        <f>'Form-Sb'!OND94</f>
        <v>0</v>
      </c>
      <c r="ONA36" s="17">
        <f>'Form-Sb'!ONE94</f>
        <v>0</v>
      </c>
      <c r="ONB36" s="17">
        <f>'Form-Sb'!ONF94</f>
        <v>0</v>
      </c>
      <c r="ONC36" s="17">
        <f>'Form-Sb'!ONG94</f>
        <v>0</v>
      </c>
      <c r="OND36" s="17">
        <f>'Form-Sb'!ONH94</f>
        <v>0</v>
      </c>
      <c r="ONE36" s="17">
        <f>'Form-Sb'!ONI94</f>
        <v>0</v>
      </c>
      <c r="ONF36" s="17">
        <f>'Form-Sb'!ONJ94</f>
        <v>0</v>
      </c>
      <c r="ONG36" s="17">
        <f>'Form-Sb'!ONK94</f>
        <v>0</v>
      </c>
      <c r="ONH36" s="17">
        <f>'Form-Sb'!ONL94</f>
        <v>0</v>
      </c>
      <c r="ONI36" s="17">
        <f>'Form-Sb'!ONM94</f>
        <v>0</v>
      </c>
      <c r="ONJ36" s="17">
        <f>'Form-Sb'!ONN94</f>
        <v>0</v>
      </c>
      <c r="ONK36" s="17">
        <f>'Form-Sb'!ONO94</f>
        <v>0</v>
      </c>
      <c r="ONL36" s="17">
        <f>'Form-Sb'!ONP94</f>
        <v>0</v>
      </c>
      <c r="ONM36" s="17">
        <f>'Form-Sb'!ONQ94</f>
        <v>0</v>
      </c>
      <c r="ONN36" s="17">
        <f>'Form-Sb'!ONR94</f>
        <v>0</v>
      </c>
      <c r="ONO36" s="17">
        <f>'Form-Sb'!ONS94</f>
        <v>0</v>
      </c>
      <c r="ONP36" s="17">
        <f>'Form-Sb'!ONT94</f>
        <v>0</v>
      </c>
      <c r="ONQ36" s="17">
        <f>'Form-Sb'!ONU94</f>
        <v>0</v>
      </c>
      <c r="ONR36" s="17">
        <f>'Form-Sb'!ONV94</f>
        <v>0</v>
      </c>
      <c r="ONS36" s="17">
        <f>'Form-Sb'!ONW94</f>
        <v>0</v>
      </c>
      <c r="ONT36" s="17">
        <f>'Form-Sb'!ONX94</f>
        <v>0</v>
      </c>
      <c r="ONU36" s="17">
        <f>'Form-Sb'!ONY94</f>
        <v>0</v>
      </c>
      <c r="ONV36" s="17">
        <f>'Form-Sb'!ONZ94</f>
        <v>0</v>
      </c>
      <c r="ONW36" s="17">
        <f>'Form-Sb'!OOA94</f>
        <v>0</v>
      </c>
      <c r="ONX36" s="17">
        <f>'Form-Sb'!OOB94</f>
        <v>0</v>
      </c>
      <c r="ONY36" s="17">
        <f>'Form-Sb'!OOC94</f>
        <v>0</v>
      </c>
      <c r="ONZ36" s="17">
        <f>'Form-Sb'!OOD94</f>
        <v>0</v>
      </c>
      <c r="OOA36" s="17">
        <f>'Form-Sb'!OOE94</f>
        <v>0</v>
      </c>
      <c r="OOB36" s="17">
        <f>'Form-Sb'!OOF94</f>
        <v>0</v>
      </c>
      <c r="OOC36" s="17">
        <f>'Form-Sb'!OOG94</f>
        <v>0</v>
      </c>
      <c r="OOD36" s="17">
        <f>'Form-Sb'!OOH94</f>
        <v>0</v>
      </c>
      <c r="OOE36" s="17">
        <f>'Form-Sb'!OOI94</f>
        <v>0</v>
      </c>
      <c r="OOF36" s="17">
        <f>'Form-Sb'!OOJ94</f>
        <v>0</v>
      </c>
      <c r="OOG36" s="17">
        <f>'Form-Sb'!OOK94</f>
        <v>0</v>
      </c>
      <c r="OOH36" s="17">
        <f>'Form-Sb'!OOL94</f>
        <v>0</v>
      </c>
      <c r="OOI36" s="17">
        <f>'Form-Sb'!OOM94</f>
        <v>0</v>
      </c>
      <c r="OOJ36" s="17">
        <f>'Form-Sb'!OON94</f>
        <v>0</v>
      </c>
      <c r="OOK36" s="17">
        <f>'Form-Sb'!OOO94</f>
        <v>0</v>
      </c>
      <c r="OOL36" s="17">
        <f>'Form-Sb'!OOP94</f>
        <v>0</v>
      </c>
      <c r="OOM36" s="17">
        <f>'Form-Sb'!OOQ94</f>
        <v>0</v>
      </c>
      <c r="OON36" s="17">
        <f>'Form-Sb'!OOR94</f>
        <v>0</v>
      </c>
      <c r="OOO36" s="17">
        <f>'Form-Sb'!OOS94</f>
        <v>0</v>
      </c>
      <c r="OOP36" s="17">
        <f>'Form-Sb'!OOT94</f>
        <v>0</v>
      </c>
      <c r="OOQ36" s="17">
        <f>'Form-Sb'!OOU94</f>
        <v>0</v>
      </c>
      <c r="OOR36" s="17">
        <f>'Form-Sb'!OOV94</f>
        <v>0</v>
      </c>
      <c r="OOS36" s="17">
        <f>'Form-Sb'!OOW94</f>
        <v>0</v>
      </c>
      <c r="OOT36" s="17">
        <f>'Form-Sb'!OOX94</f>
        <v>0</v>
      </c>
      <c r="OOU36" s="17">
        <f>'Form-Sb'!OOY94</f>
        <v>0</v>
      </c>
      <c r="OOV36" s="17">
        <f>'Form-Sb'!OOZ94</f>
        <v>0</v>
      </c>
      <c r="OOW36" s="17">
        <f>'Form-Sb'!OPA94</f>
        <v>0</v>
      </c>
      <c r="OOX36" s="17">
        <f>'Form-Sb'!OPB94</f>
        <v>0</v>
      </c>
      <c r="OOY36" s="17">
        <f>'Form-Sb'!OPC94</f>
        <v>0</v>
      </c>
      <c r="OOZ36" s="17">
        <f>'Form-Sb'!OPD94</f>
        <v>0</v>
      </c>
      <c r="OPA36" s="17">
        <f>'Form-Sb'!OPE94</f>
        <v>0</v>
      </c>
      <c r="OPB36" s="17">
        <f>'Form-Sb'!OPF94</f>
        <v>0</v>
      </c>
      <c r="OPC36" s="17">
        <f>'Form-Sb'!OPG94</f>
        <v>0</v>
      </c>
      <c r="OPD36" s="17">
        <f>'Form-Sb'!OPH94</f>
        <v>0</v>
      </c>
      <c r="OPE36" s="17">
        <f>'Form-Sb'!OPI94</f>
        <v>0</v>
      </c>
      <c r="OPF36" s="17">
        <f>'Form-Sb'!OPJ94</f>
        <v>0</v>
      </c>
      <c r="OPG36" s="17">
        <f>'Form-Sb'!OPK94</f>
        <v>0</v>
      </c>
      <c r="OPH36" s="17">
        <f>'Form-Sb'!OPL94</f>
        <v>0</v>
      </c>
      <c r="OPI36" s="17">
        <f>'Form-Sb'!OPM94</f>
        <v>0</v>
      </c>
      <c r="OPJ36" s="17">
        <f>'Form-Sb'!OPN94</f>
        <v>0</v>
      </c>
      <c r="OPK36" s="17">
        <f>'Form-Sb'!OPO94</f>
        <v>0</v>
      </c>
      <c r="OPL36" s="17">
        <f>'Form-Sb'!OPP94</f>
        <v>0</v>
      </c>
      <c r="OPM36" s="17">
        <f>'Form-Sb'!OPQ94</f>
        <v>0</v>
      </c>
      <c r="OPN36" s="17">
        <f>'Form-Sb'!OPR94</f>
        <v>0</v>
      </c>
      <c r="OPO36" s="17">
        <f>'Form-Sb'!OPS94</f>
        <v>0</v>
      </c>
      <c r="OPP36" s="17">
        <f>'Form-Sb'!OPT94</f>
        <v>0</v>
      </c>
      <c r="OPQ36" s="17">
        <f>'Form-Sb'!OPU94</f>
        <v>0</v>
      </c>
      <c r="OPR36" s="17">
        <f>'Form-Sb'!OPV94</f>
        <v>0</v>
      </c>
      <c r="OPS36" s="17">
        <f>'Form-Sb'!OPW94</f>
        <v>0</v>
      </c>
      <c r="OPT36" s="17">
        <f>'Form-Sb'!OPX94</f>
        <v>0</v>
      </c>
      <c r="OPU36" s="17">
        <f>'Form-Sb'!OPY94</f>
        <v>0</v>
      </c>
      <c r="OPV36" s="17">
        <f>'Form-Sb'!OPZ94</f>
        <v>0</v>
      </c>
      <c r="OPW36" s="17">
        <f>'Form-Sb'!OQA94</f>
        <v>0</v>
      </c>
      <c r="OPX36" s="17">
        <f>'Form-Sb'!OQB94</f>
        <v>0</v>
      </c>
      <c r="OPY36" s="17">
        <f>'Form-Sb'!OQC94</f>
        <v>0</v>
      </c>
      <c r="OPZ36" s="17">
        <f>'Form-Sb'!OQD94</f>
        <v>0</v>
      </c>
      <c r="OQA36" s="17">
        <f>'Form-Sb'!OQE94</f>
        <v>0</v>
      </c>
      <c r="OQB36" s="17">
        <f>'Form-Sb'!OQF94</f>
        <v>0</v>
      </c>
      <c r="OQC36" s="17">
        <f>'Form-Sb'!OQG94</f>
        <v>0</v>
      </c>
      <c r="OQD36" s="17">
        <f>'Form-Sb'!OQH94</f>
        <v>0</v>
      </c>
      <c r="OQE36" s="17">
        <f>'Form-Sb'!OQI94</f>
        <v>0</v>
      </c>
      <c r="OQF36" s="17">
        <f>'Form-Sb'!OQJ94</f>
        <v>0</v>
      </c>
      <c r="OQG36" s="17">
        <f>'Form-Sb'!OQK94</f>
        <v>0</v>
      </c>
      <c r="OQH36" s="17">
        <f>'Form-Sb'!OQL94</f>
        <v>0</v>
      </c>
      <c r="OQI36" s="17">
        <f>'Form-Sb'!OQM94</f>
        <v>0</v>
      </c>
      <c r="OQJ36" s="17">
        <f>'Form-Sb'!OQN94</f>
        <v>0</v>
      </c>
      <c r="OQK36" s="17">
        <f>'Form-Sb'!OQO94</f>
        <v>0</v>
      </c>
      <c r="OQL36" s="17">
        <f>'Form-Sb'!OQP94</f>
        <v>0</v>
      </c>
      <c r="OQM36" s="17">
        <f>'Form-Sb'!OQQ94</f>
        <v>0</v>
      </c>
      <c r="OQN36" s="17">
        <f>'Form-Sb'!OQR94</f>
        <v>0</v>
      </c>
      <c r="OQO36" s="17">
        <f>'Form-Sb'!OQS94</f>
        <v>0</v>
      </c>
      <c r="OQP36" s="17">
        <f>'Form-Sb'!OQT94</f>
        <v>0</v>
      </c>
      <c r="OQQ36" s="17">
        <f>'Form-Sb'!OQU94</f>
        <v>0</v>
      </c>
      <c r="OQR36" s="17">
        <f>'Form-Sb'!OQV94</f>
        <v>0</v>
      </c>
      <c r="OQS36" s="17">
        <f>'Form-Sb'!OQW94</f>
        <v>0</v>
      </c>
      <c r="OQT36" s="17">
        <f>'Form-Sb'!OQX94</f>
        <v>0</v>
      </c>
      <c r="OQU36" s="17">
        <f>'Form-Sb'!OQY94</f>
        <v>0</v>
      </c>
      <c r="OQV36" s="17">
        <f>'Form-Sb'!OQZ94</f>
        <v>0</v>
      </c>
      <c r="OQW36" s="17">
        <f>'Form-Sb'!ORA94</f>
        <v>0</v>
      </c>
      <c r="OQX36" s="17">
        <f>'Form-Sb'!ORB94</f>
        <v>0</v>
      </c>
      <c r="OQY36" s="17">
        <f>'Form-Sb'!ORC94</f>
        <v>0</v>
      </c>
      <c r="OQZ36" s="17">
        <f>'Form-Sb'!ORD94</f>
        <v>0</v>
      </c>
      <c r="ORA36" s="17">
        <f>'Form-Sb'!ORE94</f>
        <v>0</v>
      </c>
      <c r="ORB36" s="17">
        <f>'Form-Sb'!ORF94</f>
        <v>0</v>
      </c>
      <c r="ORC36" s="17">
        <f>'Form-Sb'!ORG94</f>
        <v>0</v>
      </c>
      <c r="ORD36" s="17">
        <f>'Form-Sb'!ORH94</f>
        <v>0</v>
      </c>
      <c r="ORE36" s="17">
        <f>'Form-Sb'!ORI94</f>
        <v>0</v>
      </c>
      <c r="ORF36" s="17">
        <f>'Form-Sb'!ORJ94</f>
        <v>0</v>
      </c>
      <c r="ORG36" s="17">
        <f>'Form-Sb'!ORK94</f>
        <v>0</v>
      </c>
      <c r="ORH36" s="17">
        <f>'Form-Sb'!ORL94</f>
        <v>0</v>
      </c>
      <c r="ORI36" s="17">
        <f>'Form-Sb'!ORM94</f>
        <v>0</v>
      </c>
      <c r="ORJ36" s="17">
        <f>'Form-Sb'!ORN94</f>
        <v>0</v>
      </c>
      <c r="ORK36" s="17">
        <f>'Form-Sb'!ORO94</f>
        <v>0</v>
      </c>
      <c r="ORL36" s="17">
        <f>'Form-Sb'!ORP94</f>
        <v>0</v>
      </c>
      <c r="ORM36" s="17">
        <f>'Form-Sb'!ORQ94</f>
        <v>0</v>
      </c>
      <c r="ORN36" s="17">
        <f>'Form-Sb'!ORR94</f>
        <v>0</v>
      </c>
      <c r="ORO36" s="17">
        <f>'Form-Sb'!ORS94</f>
        <v>0</v>
      </c>
      <c r="ORP36" s="17">
        <f>'Form-Sb'!ORT94</f>
        <v>0</v>
      </c>
      <c r="ORQ36" s="17">
        <f>'Form-Sb'!ORU94</f>
        <v>0</v>
      </c>
      <c r="ORR36" s="17">
        <f>'Form-Sb'!ORV94</f>
        <v>0</v>
      </c>
      <c r="ORS36" s="17">
        <f>'Form-Sb'!ORW94</f>
        <v>0</v>
      </c>
      <c r="ORT36" s="17">
        <f>'Form-Sb'!ORX94</f>
        <v>0</v>
      </c>
      <c r="ORU36" s="17">
        <f>'Form-Sb'!ORY94</f>
        <v>0</v>
      </c>
      <c r="ORV36" s="17">
        <f>'Form-Sb'!ORZ94</f>
        <v>0</v>
      </c>
      <c r="ORW36" s="17">
        <f>'Form-Sb'!OSA94</f>
        <v>0</v>
      </c>
      <c r="ORX36" s="17">
        <f>'Form-Sb'!OSB94</f>
        <v>0</v>
      </c>
      <c r="ORY36" s="17">
        <f>'Form-Sb'!OSC94</f>
        <v>0</v>
      </c>
      <c r="ORZ36" s="17">
        <f>'Form-Sb'!OSD94</f>
        <v>0</v>
      </c>
      <c r="OSA36" s="17">
        <f>'Form-Sb'!OSE94</f>
        <v>0</v>
      </c>
      <c r="OSB36" s="17">
        <f>'Form-Sb'!OSF94</f>
        <v>0</v>
      </c>
      <c r="OSC36" s="17">
        <f>'Form-Sb'!OSG94</f>
        <v>0</v>
      </c>
      <c r="OSD36" s="17">
        <f>'Form-Sb'!OSH94</f>
        <v>0</v>
      </c>
      <c r="OSE36" s="17">
        <f>'Form-Sb'!OSI94</f>
        <v>0</v>
      </c>
      <c r="OSF36" s="17">
        <f>'Form-Sb'!OSJ94</f>
        <v>0</v>
      </c>
      <c r="OSG36" s="17">
        <f>'Form-Sb'!OSK94</f>
        <v>0</v>
      </c>
      <c r="OSH36" s="17">
        <f>'Form-Sb'!OSL94</f>
        <v>0</v>
      </c>
      <c r="OSI36" s="17">
        <f>'Form-Sb'!OSM94</f>
        <v>0</v>
      </c>
      <c r="OSJ36" s="17">
        <f>'Form-Sb'!OSN94</f>
        <v>0</v>
      </c>
      <c r="OSK36" s="17">
        <f>'Form-Sb'!OSO94</f>
        <v>0</v>
      </c>
      <c r="OSL36" s="17">
        <f>'Form-Sb'!OSP94</f>
        <v>0</v>
      </c>
      <c r="OSM36" s="17">
        <f>'Form-Sb'!OSQ94</f>
        <v>0</v>
      </c>
      <c r="OSN36" s="17">
        <f>'Form-Sb'!OSR94</f>
        <v>0</v>
      </c>
      <c r="OSO36" s="17">
        <f>'Form-Sb'!OSS94</f>
        <v>0</v>
      </c>
      <c r="OSP36" s="17">
        <f>'Form-Sb'!OST94</f>
        <v>0</v>
      </c>
      <c r="OSQ36" s="17">
        <f>'Form-Sb'!OSU94</f>
        <v>0</v>
      </c>
      <c r="OSR36" s="17">
        <f>'Form-Sb'!OSV94</f>
        <v>0</v>
      </c>
      <c r="OSS36" s="17">
        <f>'Form-Sb'!OSW94</f>
        <v>0</v>
      </c>
      <c r="OST36" s="17">
        <f>'Form-Sb'!OSX94</f>
        <v>0</v>
      </c>
      <c r="OSU36" s="17">
        <f>'Form-Sb'!OSY94</f>
        <v>0</v>
      </c>
      <c r="OSV36" s="17">
        <f>'Form-Sb'!OSZ94</f>
        <v>0</v>
      </c>
      <c r="OSW36" s="17">
        <f>'Form-Sb'!OTA94</f>
        <v>0</v>
      </c>
      <c r="OSX36" s="17">
        <f>'Form-Sb'!OTB94</f>
        <v>0</v>
      </c>
      <c r="OSY36" s="17">
        <f>'Form-Sb'!OTC94</f>
        <v>0</v>
      </c>
      <c r="OSZ36" s="17">
        <f>'Form-Sb'!OTD94</f>
        <v>0</v>
      </c>
      <c r="OTA36" s="17">
        <f>'Form-Sb'!OTE94</f>
        <v>0</v>
      </c>
      <c r="OTB36" s="17">
        <f>'Form-Sb'!OTF94</f>
        <v>0</v>
      </c>
      <c r="OTC36" s="17">
        <f>'Form-Sb'!OTG94</f>
        <v>0</v>
      </c>
      <c r="OTD36" s="17">
        <f>'Form-Sb'!OTH94</f>
        <v>0</v>
      </c>
      <c r="OTE36" s="17">
        <f>'Form-Sb'!OTI94</f>
        <v>0</v>
      </c>
      <c r="OTF36" s="17">
        <f>'Form-Sb'!OTJ94</f>
        <v>0</v>
      </c>
      <c r="OTG36" s="17">
        <f>'Form-Sb'!OTK94</f>
        <v>0</v>
      </c>
      <c r="OTH36" s="17">
        <f>'Form-Sb'!OTL94</f>
        <v>0</v>
      </c>
      <c r="OTI36" s="17">
        <f>'Form-Sb'!OTM94</f>
        <v>0</v>
      </c>
      <c r="OTJ36" s="17">
        <f>'Form-Sb'!OTN94</f>
        <v>0</v>
      </c>
      <c r="OTK36" s="17">
        <f>'Form-Sb'!OTO94</f>
        <v>0</v>
      </c>
      <c r="OTL36" s="17">
        <f>'Form-Sb'!OTP94</f>
        <v>0</v>
      </c>
      <c r="OTM36" s="17">
        <f>'Form-Sb'!OTQ94</f>
        <v>0</v>
      </c>
      <c r="OTN36" s="17">
        <f>'Form-Sb'!OTR94</f>
        <v>0</v>
      </c>
      <c r="OTO36" s="17">
        <f>'Form-Sb'!OTS94</f>
        <v>0</v>
      </c>
      <c r="OTP36" s="17">
        <f>'Form-Sb'!OTT94</f>
        <v>0</v>
      </c>
      <c r="OTQ36" s="17">
        <f>'Form-Sb'!OTU94</f>
        <v>0</v>
      </c>
      <c r="OTR36" s="17">
        <f>'Form-Sb'!OTV94</f>
        <v>0</v>
      </c>
      <c r="OTS36" s="17">
        <f>'Form-Sb'!OTW94</f>
        <v>0</v>
      </c>
      <c r="OTT36" s="17">
        <f>'Form-Sb'!OTX94</f>
        <v>0</v>
      </c>
      <c r="OTU36" s="17">
        <f>'Form-Sb'!OTY94</f>
        <v>0</v>
      </c>
      <c r="OTV36" s="17">
        <f>'Form-Sb'!OTZ94</f>
        <v>0</v>
      </c>
      <c r="OTW36" s="17">
        <f>'Form-Sb'!OUA94</f>
        <v>0</v>
      </c>
      <c r="OTX36" s="17">
        <f>'Form-Sb'!OUB94</f>
        <v>0</v>
      </c>
      <c r="OTY36" s="17">
        <f>'Form-Sb'!OUC94</f>
        <v>0</v>
      </c>
      <c r="OTZ36" s="17">
        <f>'Form-Sb'!OUD94</f>
        <v>0</v>
      </c>
      <c r="OUA36" s="17">
        <f>'Form-Sb'!OUE94</f>
        <v>0</v>
      </c>
      <c r="OUB36" s="17">
        <f>'Form-Sb'!OUF94</f>
        <v>0</v>
      </c>
      <c r="OUC36" s="17">
        <f>'Form-Sb'!OUG94</f>
        <v>0</v>
      </c>
      <c r="OUD36" s="17">
        <f>'Form-Sb'!OUH94</f>
        <v>0</v>
      </c>
      <c r="OUE36" s="17">
        <f>'Form-Sb'!OUI94</f>
        <v>0</v>
      </c>
      <c r="OUF36" s="17">
        <f>'Form-Sb'!OUJ94</f>
        <v>0</v>
      </c>
      <c r="OUG36" s="17">
        <f>'Form-Sb'!OUK94</f>
        <v>0</v>
      </c>
      <c r="OUH36" s="17">
        <f>'Form-Sb'!OUL94</f>
        <v>0</v>
      </c>
      <c r="OUI36" s="17">
        <f>'Form-Sb'!OUM94</f>
        <v>0</v>
      </c>
      <c r="OUJ36" s="17">
        <f>'Form-Sb'!OUN94</f>
        <v>0</v>
      </c>
      <c r="OUK36" s="17">
        <f>'Form-Sb'!OUO94</f>
        <v>0</v>
      </c>
      <c r="OUL36" s="17">
        <f>'Form-Sb'!OUP94</f>
        <v>0</v>
      </c>
      <c r="OUM36" s="17">
        <f>'Form-Sb'!OUQ94</f>
        <v>0</v>
      </c>
      <c r="OUN36" s="17">
        <f>'Form-Sb'!OUR94</f>
        <v>0</v>
      </c>
      <c r="OUO36" s="17">
        <f>'Form-Sb'!OUS94</f>
        <v>0</v>
      </c>
      <c r="OUP36" s="17">
        <f>'Form-Sb'!OUT94</f>
        <v>0</v>
      </c>
      <c r="OUQ36" s="17">
        <f>'Form-Sb'!OUU94</f>
        <v>0</v>
      </c>
      <c r="OUR36" s="17">
        <f>'Form-Sb'!OUV94</f>
        <v>0</v>
      </c>
      <c r="OUS36" s="17">
        <f>'Form-Sb'!OUW94</f>
        <v>0</v>
      </c>
      <c r="OUT36" s="17">
        <f>'Form-Sb'!OUX94</f>
        <v>0</v>
      </c>
      <c r="OUU36" s="17">
        <f>'Form-Sb'!OUY94</f>
        <v>0</v>
      </c>
      <c r="OUV36" s="17">
        <f>'Form-Sb'!OUZ94</f>
        <v>0</v>
      </c>
      <c r="OUW36" s="17">
        <f>'Form-Sb'!OVA94</f>
        <v>0</v>
      </c>
      <c r="OUX36" s="17">
        <f>'Form-Sb'!OVB94</f>
        <v>0</v>
      </c>
      <c r="OUY36" s="17">
        <f>'Form-Sb'!OVC94</f>
        <v>0</v>
      </c>
      <c r="OUZ36" s="17">
        <f>'Form-Sb'!OVD94</f>
        <v>0</v>
      </c>
      <c r="OVA36" s="17">
        <f>'Form-Sb'!OVE94</f>
        <v>0</v>
      </c>
      <c r="OVB36" s="17">
        <f>'Form-Sb'!OVF94</f>
        <v>0</v>
      </c>
      <c r="OVC36" s="17">
        <f>'Form-Sb'!OVG94</f>
        <v>0</v>
      </c>
      <c r="OVD36" s="17">
        <f>'Form-Sb'!OVH94</f>
        <v>0</v>
      </c>
      <c r="OVE36" s="17">
        <f>'Form-Sb'!OVI94</f>
        <v>0</v>
      </c>
      <c r="OVF36" s="17">
        <f>'Form-Sb'!OVJ94</f>
        <v>0</v>
      </c>
      <c r="OVG36" s="17">
        <f>'Form-Sb'!OVK94</f>
        <v>0</v>
      </c>
      <c r="OVH36" s="17">
        <f>'Form-Sb'!OVL94</f>
        <v>0</v>
      </c>
      <c r="OVI36" s="17">
        <f>'Form-Sb'!OVM94</f>
        <v>0</v>
      </c>
      <c r="OVJ36" s="17">
        <f>'Form-Sb'!OVN94</f>
        <v>0</v>
      </c>
      <c r="OVK36" s="17">
        <f>'Form-Sb'!OVO94</f>
        <v>0</v>
      </c>
      <c r="OVL36" s="17">
        <f>'Form-Sb'!OVP94</f>
        <v>0</v>
      </c>
      <c r="OVM36" s="17">
        <f>'Form-Sb'!OVQ94</f>
        <v>0</v>
      </c>
      <c r="OVN36" s="17">
        <f>'Form-Sb'!OVR94</f>
        <v>0</v>
      </c>
      <c r="OVO36" s="17">
        <f>'Form-Sb'!OVS94</f>
        <v>0</v>
      </c>
      <c r="OVP36" s="17">
        <f>'Form-Sb'!OVT94</f>
        <v>0</v>
      </c>
      <c r="OVQ36" s="17">
        <f>'Form-Sb'!OVU94</f>
        <v>0</v>
      </c>
      <c r="OVR36" s="17">
        <f>'Form-Sb'!OVV94</f>
        <v>0</v>
      </c>
      <c r="OVS36" s="17">
        <f>'Form-Sb'!OVW94</f>
        <v>0</v>
      </c>
      <c r="OVT36" s="17">
        <f>'Form-Sb'!OVX94</f>
        <v>0</v>
      </c>
      <c r="OVU36" s="17">
        <f>'Form-Sb'!OVY94</f>
        <v>0</v>
      </c>
      <c r="OVV36" s="17">
        <f>'Form-Sb'!OVZ94</f>
        <v>0</v>
      </c>
      <c r="OVW36" s="17">
        <f>'Form-Sb'!OWA94</f>
        <v>0</v>
      </c>
      <c r="OVX36" s="17">
        <f>'Form-Sb'!OWB94</f>
        <v>0</v>
      </c>
      <c r="OVY36" s="17">
        <f>'Form-Sb'!OWC94</f>
        <v>0</v>
      </c>
      <c r="OVZ36" s="17">
        <f>'Form-Sb'!OWD94</f>
        <v>0</v>
      </c>
      <c r="OWA36" s="17">
        <f>'Form-Sb'!OWE94</f>
        <v>0</v>
      </c>
      <c r="OWB36" s="17">
        <f>'Form-Sb'!OWF94</f>
        <v>0</v>
      </c>
      <c r="OWC36" s="17">
        <f>'Form-Sb'!OWG94</f>
        <v>0</v>
      </c>
      <c r="OWD36" s="17">
        <f>'Form-Sb'!OWH94</f>
        <v>0</v>
      </c>
      <c r="OWE36" s="17">
        <f>'Form-Sb'!OWI94</f>
        <v>0</v>
      </c>
      <c r="OWF36" s="17">
        <f>'Form-Sb'!OWJ94</f>
        <v>0</v>
      </c>
      <c r="OWG36" s="17">
        <f>'Form-Sb'!OWK94</f>
        <v>0</v>
      </c>
      <c r="OWH36" s="17">
        <f>'Form-Sb'!OWL94</f>
        <v>0</v>
      </c>
      <c r="OWI36" s="17">
        <f>'Form-Sb'!OWM94</f>
        <v>0</v>
      </c>
      <c r="OWJ36" s="17">
        <f>'Form-Sb'!OWN94</f>
        <v>0</v>
      </c>
      <c r="OWK36" s="17">
        <f>'Form-Sb'!OWO94</f>
        <v>0</v>
      </c>
      <c r="OWL36" s="17">
        <f>'Form-Sb'!OWP94</f>
        <v>0</v>
      </c>
      <c r="OWM36" s="17">
        <f>'Form-Sb'!OWQ94</f>
        <v>0</v>
      </c>
      <c r="OWN36" s="17">
        <f>'Form-Sb'!OWR94</f>
        <v>0</v>
      </c>
      <c r="OWO36" s="17">
        <f>'Form-Sb'!OWS94</f>
        <v>0</v>
      </c>
      <c r="OWP36" s="17">
        <f>'Form-Sb'!OWT94</f>
        <v>0</v>
      </c>
      <c r="OWQ36" s="17">
        <f>'Form-Sb'!OWU94</f>
        <v>0</v>
      </c>
      <c r="OWR36" s="17">
        <f>'Form-Sb'!OWV94</f>
        <v>0</v>
      </c>
      <c r="OWS36" s="17">
        <f>'Form-Sb'!OWW94</f>
        <v>0</v>
      </c>
      <c r="OWT36" s="17">
        <f>'Form-Sb'!OWX94</f>
        <v>0</v>
      </c>
      <c r="OWU36" s="17">
        <f>'Form-Sb'!OWY94</f>
        <v>0</v>
      </c>
      <c r="OWV36" s="17">
        <f>'Form-Sb'!OWZ94</f>
        <v>0</v>
      </c>
      <c r="OWW36" s="17">
        <f>'Form-Sb'!OXA94</f>
        <v>0</v>
      </c>
      <c r="OWX36" s="17">
        <f>'Form-Sb'!OXB94</f>
        <v>0</v>
      </c>
      <c r="OWY36" s="17">
        <f>'Form-Sb'!OXC94</f>
        <v>0</v>
      </c>
      <c r="OWZ36" s="17">
        <f>'Form-Sb'!OXD94</f>
        <v>0</v>
      </c>
      <c r="OXA36" s="17">
        <f>'Form-Sb'!OXE94</f>
        <v>0</v>
      </c>
      <c r="OXB36" s="17">
        <f>'Form-Sb'!OXF94</f>
        <v>0</v>
      </c>
      <c r="OXC36" s="17">
        <f>'Form-Sb'!OXG94</f>
        <v>0</v>
      </c>
      <c r="OXD36" s="17">
        <f>'Form-Sb'!OXH94</f>
        <v>0</v>
      </c>
      <c r="OXE36" s="17">
        <f>'Form-Sb'!OXI94</f>
        <v>0</v>
      </c>
      <c r="OXF36" s="17">
        <f>'Form-Sb'!OXJ94</f>
        <v>0</v>
      </c>
      <c r="OXG36" s="17">
        <f>'Form-Sb'!OXK94</f>
        <v>0</v>
      </c>
      <c r="OXH36" s="17">
        <f>'Form-Sb'!OXL94</f>
        <v>0</v>
      </c>
      <c r="OXI36" s="17">
        <f>'Form-Sb'!OXM94</f>
        <v>0</v>
      </c>
      <c r="OXJ36" s="17">
        <f>'Form-Sb'!OXN94</f>
        <v>0</v>
      </c>
      <c r="OXK36" s="17">
        <f>'Form-Sb'!OXO94</f>
        <v>0</v>
      </c>
      <c r="OXL36" s="17">
        <f>'Form-Sb'!OXP94</f>
        <v>0</v>
      </c>
      <c r="OXM36" s="17">
        <f>'Form-Sb'!OXQ94</f>
        <v>0</v>
      </c>
      <c r="OXN36" s="17">
        <f>'Form-Sb'!OXR94</f>
        <v>0</v>
      </c>
      <c r="OXO36" s="17">
        <f>'Form-Sb'!OXS94</f>
        <v>0</v>
      </c>
      <c r="OXP36" s="17">
        <f>'Form-Sb'!OXT94</f>
        <v>0</v>
      </c>
      <c r="OXQ36" s="17">
        <f>'Form-Sb'!OXU94</f>
        <v>0</v>
      </c>
      <c r="OXR36" s="17">
        <f>'Form-Sb'!OXV94</f>
        <v>0</v>
      </c>
      <c r="OXS36" s="17">
        <f>'Form-Sb'!OXW94</f>
        <v>0</v>
      </c>
      <c r="OXT36" s="17">
        <f>'Form-Sb'!OXX94</f>
        <v>0</v>
      </c>
      <c r="OXU36" s="17">
        <f>'Form-Sb'!OXY94</f>
        <v>0</v>
      </c>
      <c r="OXV36" s="17">
        <f>'Form-Sb'!OXZ94</f>
        <v>0</v>
      </c>
      <c r="OXW36" s="17">
        <f>'Form-Sb'!OYA94</f>
        <v>0</v>
      </c>
      <c r="OXX36" s="17">
        <f>'Form-Sb'!OYB94</f>
        <v>0</v>
      </c>
      <c r="OXY36" s="17">
        <f>'Form-Sb'!OYC94</f>
        <v>0</v>
      </c>
      <c r="OXZ36" s="17">
        <f>'Form-Sb'!OYD94</f>
        <v>0</v>
      </c>
      <c r="OYA36" s="17">
        <f>'Form-Sb'!OYE94</f>
        <v>0</v>
      </c>
      <c r="OYB36" s="17">
        <f>'Form-Sb'!OYF94</f>
        <v>0</v>
      </c>
      <c r="OYC36" s="17">
        <f>'Form-Sb'!OYG94</f>
        <v>0</v>
      </c>
      <c r="OYD36" s="17">
        <f>'Form-Sb'!OYH94</f>
        <v>0</v>
      </c>
      <c r="OYE36" s="17">
        <f>'Form-Sb'!OYI94</f>
        <v>0</v>
      </c>
      <c r="OYF36" s="17">
        <f>'Form-Sb'!OYJ94</f>
        <v>0</v>
      </c>
      <c r="OYG36" s="17">
        <f>'Form-Sb'!OYK94</f>
        <v>0</v>
      </c>
      <c r="OYH36" s="17">
        <f>'Form-Sb'!OYL94</f>
        <v>0</v>
      </c>
      <c r="OYI36" s="17">
        <f>'Form-Sb'!OYM94</f>
        <v>0</v>
      </c>
      <c r="OYJ36" s="17">
        <f>'Form-Sb'!OYN94</f>
        <v>0</v>
      </c>
      <c r="OYK36" s="17">
        <f>'Form-Sb'!OYO94</f>
        <v>0</v>
      </c>
      <c r="OYL36" s="17">
        <f>'Form-Sb'!OYP94</f>
        <v>0</v>
      </c>
      <c r="OYM36" s="17">
        <f>'Form-Sb'!OYQ94</f>
        <v>0</v>
      </c>
      <c r="OYN36" s="17">
        <f>'Form-Sb'!OYR94</f>
        <v>0</v>
      </c>
      <c r="OYO36" s="17">
        <f>'Form-Sb'!OYS94</f>
        <v>0</v>
      </c>
      <c r="OYP36" s="17">
        <f>'Form-Sb'!OYT94</f>
        <v>0</v>
      </c>
      <c r="OYQ36" s="17">
        <f>'Form-Sb'!OYU94</f>
        <v>0</v>
      </c>
      <c r="OYR36" s="17">
        <f>'Form-Sb'!OYV94</f>
        <v>0</v>
      </c>
      <c r="OYS36" s="17">
        <f>'Form-Sb'!OYW94</f>
        <v>0</v>
      </c>
      <c r="OYT36" s="17">
        <f>'Form-Sb'!OYX94</f>
        <v>0</v>
      </c>
      <c r="OYU36" s="17">
        <f>'Form-Sb'!OYY94</f>
        <v>0</v>
      </c>
      <c r="OYV36" s="17">
        <f>'Form-Sb'!OYZ94</f>
        <v>0</v>
      </c>
      <c r="OYW36" s="17">
        <f>'Form-Sb'!OZA94</f>
        <v>0</v>
      </c>
      <c r="OYX36" s="17">
        <f>'Form-Sb'!OZB94</f>
        <v>0</v>
      </c>
      <c r="OYY36" s="17">
        <f>'Form-Sb'!OZC94</f>
        <v>0</v>
      </c>
      <c r="OYZ36" s="17">
        <f>'Form-Sb'!OZD94</f>
        <v>0</v>
      </c>
      <c r="OZA36" s="17">
        <f>'Form-Sb'!OZE94</f>
        <v>0</v>
      </c>
      <c r="OZB36" s="17">
        <f>'Form-Sb'!OZF94</f>
        <v>0</v>
      </c>
      <c r="OZC36" s="17">
        <f>'Form-Sb'!OZG94</f>
        <v>0</v>
      </c>
      <c r="OZD36" s="17">
        <f>'Form-Sb'!OZH94</f>
        <v>0</v>
      </c>
      <c r="OZE36" s="17">
        <f>'Form-Sb'!OZI94</f>
        <v>0</v>
      </c>
      <c r="OZF36" s="17">
        <f>'Form-Sb'!OZJ94</f>
        <v>0</v>
      </c>
      <c r="OZG36" s="17">
        <f>'Form-Sb'!OZK94</f>
        <v>0</v>
      </c>
      <c r="OZH36" s="17">
        <f>'Form-Sb'!OZL94</f>
        <v>0</v>
      </c>
      <c r="OZI36" s="17">
        <f>'Form-Sb'!OZM94</f>
        <v>0</v>
      </c>
      <c r="OZJ36" s="17">
        <f>'Form-Sb'!OZN94</f>
        <v>0</v>
      </c>
      <c r="OZK36" s="17">
        <f>'Form-Sb'!OZO94</f>
        <v>0</v>
      </c>
      <c r="OZL36" s="17">
        <f>'Form-Sb'!OZP94</f>
        <v>0</v>
      </c>
      <c r="OZM36" s="17">
        <f>'Form-Sb'!OZQ94</f>
        <v>0</v>
      </c>
      <c r="OZN36" s="17">
        <f>'Form-Sb'!OZR94</f>
        <v>0</v>
      </c>
      <c r="OZO36" s="17">
        <f>'Form-Sb'!OZS94</f>
        <v>0</v>
      </c>
      <c r="OZP36" s="17">
        <f>'Form-Sb'!OZT94</f>
        <v>0</v>
      </c>
      <c r="OZQ36" s="17">
        <f>'Form-Sb'!OZU94</f>
        <v>0</v>
      </c>
      <c r="OZR36" s="17">
        <f>'Form-Sb'!OZV94</f>
        <v>0</v>
      </c>
      <c r="OZS36" s="17">
        <f>'Form-Sb'!OZW94</f>
        <v>0</v>
      </c>
      <c r="OZT36" s="17">
        <f>'Form-Sb'!OZX94</f>
        <v>0</v>
      </c>
      <c r="OZU36" s="17">
        <f>'Form-Sb'!OZY94</f>
        <v>0</v>
      </c>
      <c r="OZV36" s="17">
        <f>'Form-Sb'!OZZ94</f>
        <v>0</v>
      </c>
      <c r="OZW36" s="17">
        <f>'Form-Sb'!PAA94</f>
        <v>0</v>
      </c>
      <c r="OZX36" s="17">
        <f>'Form-Sb'!PAB94</f>
        <v>0</v>
      </c>
      <c r="OZY36" s="17">
        <f>'Form-Sb'!PAC94</f>
        <v>0</v>
      </c>
      <c r="OZZ36" s="17">
        <f>'Form-Sb'!PAD94</f>
        <v>0</v>
      </c>
      <c r="PAA36" s="17">
        <f>'Form-Sb'!PAE94</f>
        <v>0</v>
      </c>
      <c r="PAB36" s="17">
        <f>'Form-Sb'!PAF94</f>
        <v>0</v>
      </c>
      <c r="PAC36" s="17">
        <f>'Form-Sb'!PAG94</f>
        <v>0</v>
      </c>
      <c r="PAD36" s="17">
        <f>'Form-Sb'!PAH94</f>
        <v>0</v>
      </c>
      <c r="PAE36" s="17">
        <f>'Form-Sb'!PAI94</f>
        <v>0</v>
      </c>
      <c r="PAF36" s="17">
        <f>'Form-Sb'!PAJ94</f>
        <v>0</v>
      </c>
      <c r="PAG36" s="17">
        <f>'Form-Sb'!PAK94</f>
        <v>0</v>
      </c>
      <c r="PAH36" s="17">
        <f>'Form-Sb'!PAL94</f>
        <v>0</v>
      </c>
      <c r="PAI36" s="17">
        <f>'Form-Sb'!PAM94</f>
        <v>0</v>
      </c>
      <c r="PAJ36" s="17">
        <f>'Form-Sb'!PAN94</f>
        <v>0</v>
      </c>
      <c r="PAK36" s="17">
        <f>'Form-Sb'!PAO94</f>
        <v>0</v>
      </c>
      <c r="PAL36" s="17">
        <f>'Form-Sb'!PAP94</f>
        <v>0</v>
      </c>
      <c r="PAM36" s="17">
        <f>'Form-Sb'!PAQ94</f>
        <v>0</v>
      </c>
      <c r="PAN36" s="17">
        <f>'Form-Sb'!PAR94</f>
        <v>0</v>
      </c>
      <c r="PAO36" s="17">
        <f>'Form-Sb'!PAS94</f>
        <v>0</v>
      </c>
      <c r="PAP36" s="17">
        <f>'Form-Sb'!PAT94</f>
        <v>0</v>
      </c>
      <c r="PAQ36" s="17">
        <f>'Form-Sb'!PAU94</f>
        <v>0</v>
      </c>
      <c r="PAR36" s="17">
        <f>'Form-Sb'!PAV94</f>
        <v>0</v>
      </c>
      <c r="PAS36" s="17">
        <f>'Form-Sb'!PAW94</f>
        <v>0</v>
      </c>
      <c r="PAT36" s="17">
        <f>'Form-Sb'!PAX94</f>
        <v>0</v>
      </c>
      <c r="PAU36" s="17">
        <f>'Form-Sb'!PAY94</f>
        <v>0</v>
      </c>
      <c r="PAV36" s="17">
        <f>'Form-Sb'!PAZ94</f>
        <v>0</v>
      </c>
      <c r="PAW36" s="17">
        <f>'Form-Sb'!PBA94</f>
        <v>0</v>
      </c>
      <c r="PAX36" s="17">
        <f>'Form-Sb'!PBB94</f>
        <v>0</v>
      </c>
      <c r="PAY36" s="17">
        <f>'Form-Sb'!PBC94</f>
        <v>0</v>
      </c>
      <c r="PAZ36" s="17">
        <f>'Form-Sb'!PBD94</f>
        <v>0</v>
      </c>
      <c r="PBA36" s="17">
        <f>'Form-Sb'!PBE94</f>
        <v>0</v>
      </c>
      <c r="PBB36" s="17">
        <f>'Form-Sb'!PBF94</f>
        <v>0</v>
      </c>
      <c r="PBC36" s="17">
        <f>'Form-Sb'!PBG94</f>
        <v>0</v>
      </c>
      <c r="PBD36" s="17">
        <f>'Form-Sb'!PBH94</f>
        <v>0</v>
      </c>
      <c r="PBE36" s="17">
        <f>'Form-Sb'!PBI94</f>
        <v>0</v>
      </c>
      <c r="PBF36" s="17">
        <f>'Form-Sb'!PBJ94</f>
        <v>0</v>
      </c>
      <c r="PBG36" s="17">
        <f>'Form-Sb'!PBK94</f>
        <v>0</v>
      </c>
      <c r="PBH36" s="17">
        <f>'Form-Sb'!PBL94</f>
        <v>0</v>
      </c>
      <c r="PBI36" s="17">
        <f>'Form-Sb'!PBM94</f>
        <v>0</v>
      </c>
      <c r="PBJ36" s="17">
        <f>'Form-Sb'!PBN94</f>
        <v>0</v>
      </c>
      <c r="PBK36" s="17">
        <f>'Form-Sb'!PBO94</f>
        <v>0</v>
      </c>
      <c r="PBL36" s="17">
        <f>'Form-Sb'!PBP94</f>
        <v>0</v>
      </c>
      <c r="PBM36" s="17">
        <f>'Form-Sb'!PBQ94</f>
        <v>0</v>
      </c>
      <c r="PBN36" s="17">
        <f>'Form-Sb'!PBR94</f>
        <v>0</v>
      </c>
      <c r="PBO36" s="17">
        <f>'Form-Sb'!PBS94</f>
        <v>0</v>
      </c>
      <c r="PBP36" s="17">
        <f>'Form-Sb'!PBT94</f>
        <v>0</v>
      </c>
      <c r="PBQ36" s="17">
        <f>'Form-Sb'!PBU94</f>
        <v>0</v>
      </c>
      <c r="PBR36" s="17">
        <f>'Form-Sb'!PBV94</f>
        <v>0</v>
      </c>
      <c r="PBS36" s="17">
        <f>'Form-Sb'!PBW94</f>
        <v>0</v>
      </c>
      <c r="PBT36" s="17">
        <f>'Form-Sb'!PBX94</f>
        <v>0</v>
      </c>
      <c r="PBU36" s="17">
        <f>'Form-Sb'!PBY94</f>
        <v>0</v>
      </c>
      <c r="PBV36" s="17">
        <f>'Form-Sb'!PBZ94</f>
        <v>0</v>
      </c>
      <c r="PBW36" s="17">
        <f>'Form-Sb'!PCA94</f>
        <v>0</v>
      </c>
      <c r="PBX36" s="17">
        <f>'Form-Sb'!PCB94</f>
        <v>0</v>
      </c>
      <c r="PBY36" s="17">
        <f>'Form-Sb'!PCC94</f>
        <v>0</v>
      </c>
      <c r="PBZ36" s="17">
        <f>'Form-Sb'!PCD94</f>
        <v>0</v>
      </c>
      <c r="PCA36" s="17">
        <f>'Form-Sb'!PCE94</f>
        <v>0</v>
      </c>
      <c r="PCB36" s="17">
        <f>'Form-Sb'!PCF94</f>
        <v>0</v>
      </c>
      <c r="PCC36" s="17">
        <f>'Form-Sb'!PCG94</f>
        <v>0</v>
      </c>
      <c r="PCD36" s="17">
        <f>'Form-Sb'!PCH94</f>
        <v>0</v>
      </c>
      <c r="PCE36" s="17">
        <f>'Form-Sb'!PCI94</f>
        <v>0</v>
      </c>
      <c r="PCF36" s="17">
        <f>'Form-Sb'!PCJ94</f>
        <v>0</v>
      </c>
      <c r="PCG36" s="17">
        <f>'Form-Sb'!PCK94</f>
        <v>0</v>
      </c>
      <c r="PCH36" s="17">
        <f>'Form-Sb'!PCL94</f>
        <v>0</v>
      </c>
      <c r="PCI36" s="17">
        <f>'Form-Sb'!PCM94</f>
        <v>0</v>
      </c>
      <c r="PCJ36" s="17">
        <f>'Form-Sb'!PCN94</f>
        <v>0</v>
      </c>
      <c r="PCK36" s="17">
        <f>'Form-Sb'!PCO94</f>
        <v>0</v>
      </c>
      <c r="PCL36" s="17">
        <f>'Form-Sb'!PCP94</f>
        <v>0</v>
      </c>
      <c r="PCM36" s="17">
        <f>'Form-Sb'!PCQ94</f>
        <v>0</v>
      </c>
      <c r="PCN36" s="17">
        <f>'Form-Sb'!PCR94</f>
        <v>0</v>
      </c>
      <c r="PCO36" s="17">
        <f>'Form-Sb'!PCS94</f>
        <v>0</v>
      </c>
      <c r="PCP36" s="17">
        <f>'Form-Sb'!PCT94</f>
        <v>0</v>
      </c>
      <c r="PCQ36" s="17">
        <f>'Form-Sb'!PCU94</f>
        <v>0</v>
      </c>
      <c r="PCR36" s="17">
        <f>'Form-Sb'!PCV94</f>
        <v>0</v>
      </c>
      <c r="PCS36" s="17">
        <f>'Form-Sb'!PCW94</f>
        <v>0</v>
      </c>
      <c r="PCT36" s="17">
        <f>'Form-Sb'!PCX94</f>
        <v>0</v>
      </c>
      <c r="PCU36" s="17">
        <f>'Form-Sb'!PCY94</f>
        <v>0</v>
      </c>
      <c r="PCV36" s="17">
        <f>'Form-Sb'!PCZ94</f>
        <v>0</v>
      </c>
      <c r="PCW36" s="17">
        <f>'Form-Sb'!PDA94</f>
        <v>0</v>
      </c>
      <c r="PCX36" s="17">
        <f>'Form-Sb'!PDB94</f>
        <v>0</v>
      </c>
      <c r="PCY36" s="17">
        <f>'Form-Sb'!PDC94</f>
        <v>0</v>
      </c>
      <c r="PCZ36" s="17">
        <f>'Form-Sb'!PDD94</f>
        <v>0</v>
      </c>
      <c r="PDA36" s="17">
        <f>'Form-Sb'!PDE94</f>
        <v>0</v>
      </c>
      <c r="PDB36" s="17">
        <f>'Form-Sb'!PDF94</f>
        <v>0</v>
      </c>
      <c r="PDC36" s="17">
        <f>'Form-Sb'!PDG94</f>
        <v>0</v>
      </c>
      <c r="PDD36" s="17">
        <f>'Form-Sb'!PDH94</f>
        <v>0</v>
      </c>
      <c r="PDE36" s="17">
        <f>'Form-Sb'!PDI94</f>
        <v>0</v>
      </c>
      <c r="PDF36" s="17">
        <f>'Form-Sb'!PDJ94</f>
        <v>0</v>
      </c>
      <c r="PDG36" s="17">
        <f>'Form-Sb'!PDK94</f>
        <v>0</v>
      </c>
      <c r="PDH36" s="17">
        <f>'Form-Sb'!PDL94</f>
        <v>0</v>
      </c>
      <c r="PDI36" s="17">
        <f>'Form-Sb'!PDM94</f>
        <v>0</v>
      </c>
      <c r="PDJ36" s="17">
        <f>'Form-Sb'!PDN94</f>
        <v>0</v>
      </c>
      <c r="PDK36" s="17">
        <f>'Form-Sb'!PDO94</f>
        <v>0</v>
      </c>
      <c r="PDL36" s="17">
        <f>'Form-Sb'!PDP94</f>
        <v>0</v>
      </c>
      <c r="PDM36" s="17">
        <f>'Form-Sb'!PDQ94</f>
        <v>0</v>
      </c>
      <c r="PDN36" s="17">
        <f>'Form-Sb'!PDR94</f>
        <v>0</v>
      </c>
      <c r="PDO36" s="17">
        <f>'Form-Sb'!PDS94</f>
        <v>0</v>
      </c>
      <c r="PDP36" s="17">
        <f>'Form-Sb'!PDT94</f>
        <v>0</v>
      </c>
      <c r="PDQ36" s="17">
        <f>'Form-Sb'!PDU94</f>
        <v>0</v>
      </c>
      <c r="PDR36" s="17">
        <f>'Form-Sb'!PDV94</f>
        <v>0</v>
      </c>
      <c r="PDS36" s="17">
        <f>'Form-Sb'!PDW94</f>
        <v>0</v>
      </c>
      <c r="PDT36" s="17">
        <f>'Form-Sb'!PDX94</f>
        <v>0</v>
      </c>
      <c r="PDU36" s="17">
        <f>'Form-Sb'!PDY94</f>
        <v>0</v>
      </c>
      <c r="PDV36" s="17">
        <f>'Form-Sb'!PDZ94</f>
        <v>0</v>
      </c>
      <c r="PDW36" s="17">
        <f>'Form-Sb'!PEA94</f>
        <v>0</v>
      </c>
      <c r="PDX36" s="17">
        <f>'Form-Sb'!PEB94</f>
        <v>0</v>
      </c>
      <c r="PDY36" s="17">
        <f>'Form-Sb'!PEC94</f>
        <v>0</v>
      </c>
      <c r="PDZ36" s="17">
        <f>'Form-Sb'!PED94</f>
        <v>0</v>
      </c>
      <c r="PEA36" s="17">
        <f>'Form-Sb'!PEE94</f>
        <v>0</v>
      </c>
      <c r="PEB36" s="17">
        <f>'Form-Sb'!PEF94</f>
        <v>0</v>
      </c>
      <c r="PEC36" s="17">
        <f>'Form-Sb'!PEG94</f>
        <v>0</v>
      </c>
      <c r="PED36" s="17">
        <f>'Form-Sb'!PEH94</f>
        <v>0</v>
      </c>
      <c r="PEE36" s="17">
        <f>'Form-Sb'!PEI94</f>
        <v>0</v>
      </c>
      <c r="PEF36" s="17">
        <f>'Form-Sb'!PEJ94</f>
        <v>0</v>
      </c>
      <c r="PEG36" s="17">
        <f>'Form-Sb'!PEK94</f>
        <v>0</v>
      </c>
      <c r="PEH36" s="17">
        <f>'Form-Sb'!PEL94</f>
        <v>0</v>
      </c>
      <c r="PEI36" s="17">
        <f>'Form-Sb'!PEM94</f>
        <v>0</v>
      </c>
      <c r="PEJ36" s="17">
        <f>'Form-Sb'!PEN94</f>
        <v>0</v>
      </c>
      <c r="PEK36" s="17">
        <f>'Form-Sb'!PEO94</f>
        <v>0</v>
      </c>
      <c r="PEL36" s="17">
        <f>'Form-Sb'!PEP94</f>
        <v>0</v>
      </c>
      <c r="PEM36" s="17">
        <f>'Form-Sb'!PEQ94</f>
        <v>0</v>
      </c>
      <c r="PEN36" s="17">
        <f>'Form-Sb'!PER94</f>
        <v>0</v>
      </c>
      <c r="PEO36" s="17">
        <f>'Form-Sb'!PES94</f>
        <v>0</v>
      </c>
      <c r="PEP36" s="17">
        <f>'Form-Sb'!PET94</f>
        <v>0</v>
      </c>
      <c r="PEQ36" s="17">
        <f>'Form-Sb'!PEU94</f>
        <v>0</v>
      </c>
      <c r="PER36" s="17">
        <f>'Form-Sb'!PEV94</f>
        <v>0</v>
      </c>
      <c r="PES36" s="17">
        <f>'Form-Sb'!PEW94</f>
        <v>0</v>
      </c>
      <c r="PET36" s="17">
        <f>'Form-Sb'!PEX94</f>
        <v>0</v>
      </c>
      <c r="PEU36" s="17">
        <f>'Form-Sb'!PEY94</f>
        <v>0</v>
      </c>
      <c r="PEV36" s="17">
        <f>'Form-Sb'!PEZ94</f>
        <v>0</v>
      </c>
      <c r="PEW36" s="17">
        <f>'Form-Sb'!PFA94</f>
        <v>0</v>
      </c>
      <c r="PEX36" s="17">
        <f>'Form-Sb'!PFB94</f>
        <v>0</v>
      </c>
      <c r="PEY36" s="17">
        <f>'Form-Sb'!PFC94</f>
        <v>0</v>
      </c>
      <c r="PEZ36" s="17">
        <f>'Form-Sb'!PFD94</f>
        <v>0</v>
      </c>
      <c r="PFA36" s="17">
        <f>'Form-Sb'!PFE94</f>
        <v>0</v>
      </c>
      <c r="PFB36" s="17">
        <f>'Form-Sb'!PFF94</f>
        <v>0</v>
      </c>
      <c r="PFC36" s="17">
        <f>'Form-Sb'!PFG94</f>
        <v>0</v>
      </c>
      <c r="PFD36" s="17">
        <f>'Form-Sb'!PFH94</f>
        <v>0</v>
      </c>
      <c r="PFE36" s="17">
        <f>'Form-Sb'!PFI94</f>
        <v>0</v>
      </c>
      <c r="PFF36" s="17">
        <f>'Form-Sb'!PFJ94</f>
        <v>0</v>
      </c>
      <c r="PFG36" s="17">
        <f>'Form-Sb'!PFK94</f>
        <v>0</v>
      </c>
      <c r="PFH36" s="17">
        <f>'Form-Sb'!PFL94</f>
        <v>0</v>
      </c>
      <c r="PFI36" s="17">
        <f>'Form-Sb'!PFM94</f>
        <v>0</v>
      </c>
      <c r="PFJ36" s="17">
        <f>'Form-Sb'!PFN94</f>
        <v>0</v>
      </c>
      <c r="PFK36" s="17">
        <f>'Form-Sb'!PFO94</f>
        <v>0</v>
      </c>
      <c r="PFL36" s="17">
        <f>'Form-Sb'!PFP94</f>
        <v>0</v>
      </c>
      <c r="PFM36" s="17">
        <f>'Form-Sb'!PFQ94</f>
        <v>0</v>
      </c>
      <c r="PFN36" s="17">
        <f>'Form-Sb'!PFR94</f>
        <v>0</v>
      </c>
      <c r="PFO36" s="17">
        <f>'Form-Sb'!PFS94</f>
        <v>0</v>
      </c>
      <c r="PFP36" s="17">
        <f>'Form-Sb'!PFT94</f>
        <v>0</v>
      </c>
      <c r="PFQ36" s="17">
        <f>'Form-Sb'!PFU94</f>
        <v>0</v>
      </c>
      <c r="PFR36" s="17">
        <f>'Form-Sb'!PFV94</f>
        <v>0</v>
      </c>
      <c r="PFS36" s="17">
        <f>'Form-Sb'!PFW94</f>
        <v>0</v>
      </c>
      <c r="PFT36" s="17">
        <f>'Form-Sb'!PFX94</f>
        <v>0</v>
      </c>
      <c r="PFU36" s="17">
        <f>'Form-Sb'!PFY94</f>
        <v>0</v>
      </c>
      <c r="PFV36" s="17">
        <f>'Form-Sb'!PFZ94</f>
        <v>0</v>
      </c>
      <c r="PFW36" s="17">
        <f>'Form-Sb'!PGA94</f>
        <v>0</v>
      </c>
      <c r="PFX36" s="17">
        <f>'Form-Sb'!PGB94</f>
        <v>0</v>
      </c>
      <c r="PFY36" s="17">
        <f>'Form-Sb'!PGC94</f>
        <v>0</v>
      </c>
      <c r="PFZ36" s="17">
        <f>'Form-Sb'!PGD94</f>
        <v>0</v>
      </c>
      <c r="PGA36" s="17">
        <f>'Form-Sb'!PGE94</f>
        <v>0</v>
      </c>
      <c r="PGB36" s="17">
        <f>'Form-Sb'!PGF94</f>
        <v>0</v>
      </c>
      <c r="PGC36" s="17">
        <f>'Form-Sb'!PGG94</f>
        <v>0</v>
      </c>
      <c r="PGD36" s="17">
        <f>'Form-Sb'!PGH94</f>
        <v>0</v>
      </c>
      <c r="PGE36" s="17">
        <f>'Form-Sb'!PGI94</f>
        <v>0</v>
      </c>
      <c r="PGF36" s="17">
        <f>'Form-Sb'!PGJ94</f>
        <v>0</v>
      </c>
      <c r="PGG36" s="17">
        <f>'Form-Sb'!PGK94</f>
        <v>0</v>
      </c>
      <c r="PGH36" s="17">
        <f>'Form-Sb'!PGL94</f>
        <v>0</v>
      </c>
      <c r="PGI36" s="17">
        <f>'Form-Sb'!PGM94</f>
        <v>0</v>
      </c>
      <c r="PGJ36" s="17">
        <f>'Form-Sb'!PGN94</f>
        <v>0</v>
      </c>
      <c r="PGK36" s="17">
        <f>'Form-Sb'!PGO94</f>
        <v>0</v>
      </c>
      <c r="PGL36" s="17">
        <f>'Form-Sb'!PGP94</f>
        <v>0</v>
      </c>
      <c r="PGM36" s="17">
        <f>'Form-Sb'!PGQ94</f>
        <v>0</v>
      </c>
      <c r="PGN36" s="17">
        <f>'Form-Sb'!PGR94</f>
        <v>0</v>
      </c>
      <c r="PGO36" s="17">
        <f>'Form-Sb'!PGS94</f>
        <v>0</v>
      </c>
      <c r="PGP36" s="17">
        <f>'Form-Sb'!PGT94</f>
        <v>0</v>
      </c>
      <c r="PGQ36" s="17">
        <f>'Form-Sb'!PGU94</f>
        <v>0</v>
      </c>
      <c r="PGR36" s="17">
        <f>'Form-Sb'!PGV94</f>
        <v>0</v>
      </c>
      <c r="PGS36" s="17">
        <f>'Form-Sb'!PGW94</f>
        <v>0</v>
      </c>
      <c r="PGT36" s="17">
        <f>'Form-Sb'!PGX94</f>
        <v>0</v>
      </c>
      <c r="PGU36" s="17">
        <f>'Form-Sb'!PGY94</f>
        <v>0</v>
      </c>
      <c r="PGV36" s="17">
        <f>'Form-Sb'!PGZ94</f>
        <v>0</v>
      </c>
      <c r="PGW36" s="17">
        <f>'Form-Sb'!PHA94</f>
        <v>0</v>
      </c>
      <c r="PGX36" s="17">
        <f>'Form-Sb'!PHB94</f>
        <v>0</v>
      </c>
      <c r="PGY36" s="17">
        <f>'Form-Sb'!PHC94</f>
        <v>0</v>
      </c>
      <c r="PGZ36" s="17">
        <f>'Form-Sb'!PHD94</f>
        <v>0</v>
      </c>
      <c r="PHA36" s="17">
        <f>'Form-Sb'!PHE94</f>
        <v>0</v>
      </c>
      <c r="PHB36" s="17">
        <f>'Form-Sb'!PHF94</f>
        <v>0</v>
      </c>
      <c r="PHC36" s="17">
        <f>'Form-Sb'!PHG94</f>
        <v>0</v>
      </c>
      <c r="PHD36" s="17">
        <f>'Form-Sb'!PHH94</f>
        <v>0</v>
      </c>
      <c r="PHE36" s="17">
        <f>'Form-Sb'!PHI94</f>
        <v>0</v>
      </c>
      <c r="PHF36" s="17">
        <f>'Form-Sb'!PHJ94</f>
        <v>0</v>
      </c>
      <c r="PHG36" s="17">
        <f>'Form-Sb'!PHK94</f>
        <v>0</v>
      </c>
      <c r="PHH36" s="17">
        <f>'Form-Sb'!PHL94</f>
        <v>0</v>
      </c>
      <c r="PHI36" s="17">
        <f>'Form-Sb'!PHM94</f>
        <v>0</v>
      </c>
      <c r="PHJ36" s="17">
        <f>'Form-Sb'!PHN94</f>
        <v>0</v>
      </c>
      <c r="PHK36" s="17">
        <f>'Form-Sb'!PHO94</f>
        <v>0</v>
      </c>
      <c r="PHL36" s="17">
        <f>'Form-Sb'!PHP94</f>
        <v>0</v>
      </c>
      <c r="PHM36" s="17">
        <f>'Form-Sb'!PHQ94</f>
        <v>0</v>
      </c>
      <c r="PHN36" s="17">
        <f>'Form-Sb'!PHR94</f>
        <v>0</v>
      </c>
      <c r="PHO36" s="17">
        <f>'Form-Sb'!PHS94</f>
        <v>0</v>
      </c>
      <c r="PHP36" s="17">
        <f>'Form-Sb'!PHT94</f>
        <v>0</v>
      </c>
      <c r="PHQ36" s="17">
        <f>'Form-Sb'!PHU94</f>
        <v>0</v>
      </c>
      <c r="PHR36" s="17">
        <f>'Form-Sb'!PHV94</f>
        <v>0</v>
      </c>
      <c r="PHS36" s="17">
        <f>'Form-Sb'!PHW94</f>
        <v>0</v>
      </c>
      <c r="PHT36" s="17">
        <f>'Form-Sb'!PHX94</f>
        <v>0</v>
      </c>
      <c r="PHU36" s="17">
        <f>'Form-Sb'!PHY94</f>
        <v>0</v>
      </c>
      <c r="PHV36" s="17">
        <f>'Form-Sb'!PHZ94</f>
        <v>0</v>
      </c>
      <c r="PHW36" s="17">
        <f>'Form-Sb'!PIA94</f>
        <v>0</v>
      </c>
      <c r="PHX36" s="17">
        <f>'Form-Sb'!PIB94</f>
        <v>0</v>
      </c>
      <c r="PHY36" s="17">
        <f>'Form-Sb'!PIC94</f>
        <v>0</v>
      </c>
      <c r="PHZ36" s="17">
        <f>'Form-Sb'!PID94</f>
        <v>0</v>
      </c>
      <c r="PIA36" s="17">
        <f>'Form-Sb'!PIE94</f>
        <v>0</v>
      </c>
      <c r="PIB36" s="17">
        <f>'Form-Sb'!PIF94</f>
        <v>0</v>
      </c>
      <c r="PIC36" s="17">
        <f>'Form-Sb'!PIG94</f>
        <v>0</v>
      </c>
      <c r="PID36" s="17">
        <f>'Form-Sb'!PIH94</f>
        <v>0</v>
      </c>
      <c r="PIE36" s="17">
        <f>'Form-Sb'!PII94</f>
        <v>0</v>
      </c>
      <c r="PIF36" s="17">
        <f>'Form-Sb'!PIJ94</f>
        <v>0</v>
      </c>
      <c r="PIG36" s="17">
        <f>'Form-Sb'!PIK94</f>
        <v>0</v>
      </c>
      <c r="PIH36" s="17">
        <f>'Form-Sb'!PIL94</f>
        <v>0</v>
      </c>
      <c r="PII36" s="17">
        <f>'Form-Sb'!PIM94</f>
        <v>0</v>
      </c>
      <c r="PIJ36" s="17">
        <f>'Form-Sb'!PIN94</f>
        <v>0</v>
      </c>
      <c r="PIK36" s="17">
        <f>'Form-Sb'!PIO94</f>
        <v>0</v>
      </c>
      <c r="PIL36" s="17">
        <f>'Form-Sb'!PIP94</f>
        <v>0</v>
      </c>
      <c r="PIM36" s="17">
        <f>'Form-Sb'!PIQ94</f>
        <v>0</v>
      </c>
      <c r="PIN36" s="17">
        <f>'Form-Sb'!PIR94</f>
        <v>0</v>
      </c>
      <c r="PIO36" s="17">
        <f>'Form-Sb'!PIS94</f>
        <v>0</v>
      </c>
      <c r="PIP36" s="17">
        <f>'Form-Sb'!PIT94</f>
        <v>0</v>
      </c>
      <c r="PIQ36" s="17">
        <f>'Form-Sb'!PIU94</f>
        <v>0</v>
      </c>
      <c r="PIR36" s="17">
        <f>'Form-Sb'!PIV94</f>
        <v>0</v>
      </c>
      <c r="PIS36" s="17">
        <f>'Form-Sb'!PIW94</f>
        <v>0</v>
      </c>
      <c r="PIT36" s="17">
        <f>'Form-Sb'!PIX94</f>
        <v>0</v>
      </c>
      <c r="PIU36" s="17">
        <f>'Form-Sb'!PIY94</f>
        <v>0</v>
      </c>
      <c r="PIV36" s="17">
        <f>'Form-Sb'!PIZ94</f>
        <v>0</v>
      </c>
      <c r="PIW36" s="17">
        <f>'Form-Sb'!PJA94</f>
        <v>0</v>
      </c>
      <c r="PIX36" s="17">
        <f>'Form-Sb'!PJB94</f>
        <v>0</v>
      </c>
      <c r="PIY36" s="17">
        <f>'Form-Sb'!PJC94</f>
        <v>0</v>
      </c>
      <c r="PIZ36" s="17">
        <f>'Form-Sb'!PJD94</f>
        <v>0</v>
      </c>
      <c r="PJA36" s="17">
        <f>'Form-Sb'!PJE94</f>
        <v>0</v>
      </c>
      <c r="PJB36" s="17">
        <f>'Form-Sb'!PJF94</f>
        <v>0</v>
      </c>
      <c r="PJC36" s="17">
        <f>'Form-Sb'!PJG94</f>
        <v>0</v>
      </c>
      <c r="PJD36" s="17">
        <f>'Form-Sb'!PJH94</f>
        <v>0</v>
      </c>
      <c r="PJE36" s="17">
        <f>'Form-Sb'!PJI94</f>
        <v>0</v>
      </c>
      <c r="PJF36" s="17">
        <f>'Form-Sb'!PJJ94</f>
        <v>0</v>
      </c>
      <c r="PJG36" s="17">
        <f>'Form-Sb'!PJK94</f>
        <v>0</v>
      </c>
      <c r="PJH36" s="17">
        <f>'Form-Sb'!PJL94</f>
        <v>0</v>
      </c>
      <c r="PJI36" s="17">
        <f>'Form-Sb'!PJM94</f>
        <v>0</v>
      </c>
      <c r="PJJ36" s="17">
        <f>'Form-Sb'!PJN94</f>
        <v>0</v>
      </c>
      <c r="PJK36" s="17">
        <f>'Form-Sb'!PJO94</f>
        <v>0</v>
      </c>
      <c r="PJL36" s="17">
        <f>'Form-Sb'!PJP94</f>
        <v>0</v>
      </c>
      <c r="PJM36" s="17">
        <f>'Form-Sb'!PJQ94</f>
        <v>0</v>
      </c>
      <c r="PJN36" s="17">
        <f>'Form-Sb'!PJR94</f>
        <v>0</v>
      </c>
      <c r="PJO36" s="17">
        <f>'Form-Sb'!PJS94</f>
        <v>0</v>
      </c>
      <c r="PJP36" s="17">
        <f>'Form-Sb'!PJT94</f>
        <v>0</v>
      </c>
      <c r="PJQ36" s="17">
        <f>'Form-Sb'!PJU94</f>
        <v>0</v>
      </c>
      <c r="PJR36" s="17">
        <f>'Form-Sb'!PJV94</f>
        <v>0</v>
      </c>
      <c r="PJS36" s="17">
        <f>'Form-Sb'!PJW94</f>
        <v>0</v>
      </c>
      <c r="PJT36" s="17">
        <f>'Form-Sb'!PJX94</f>
        <v>0</v>
      </c>
      <c r="PJU36" s="17">
        <f>'Form-Sb'!PJY94</f>
        <v>0</v>
      </c>
      <c r="PJV36" s="17">
        <f>'Form-Sb'!PJZ94</f>
        <v>0</v>
      </c>
      <c r="PJW36" s="17">
        <f>'Form-Sb'!PKA94</f>
        <v>0</v>
      </c>
      <c r="PJX36" s="17">
        <f>'Form-Sb'!PKB94</f>
        <v>0</v>
      </c>
      <c r="PJY36" s="17">
        <f>'Form-Sb'!PKC94</f>
        <v>0</v>
      </c>
      <c r="PJZ36" s="17">
        <f>'Form-Sb'!PKD94</f>
        <v>0</v>
      </c>
      <c r="PKA36" s="17">
        <f>'Form-Sb'!PKE94</f>
        <v>0</v>
      </c>
      <c r="PKB36" s="17">
        <f>'Form-Sb'!PKF94</f>
        <v>0</v>
      </c>
      <c r="PKC36" s="17">
        <f>'Form-Sb'!PKG94</f>
        <v>0</v>
      </c>
      <c r="PKD36" s="17">
        <f>'Form-Sb'!PKH94</f>
        <v>0</v>
      </c>
      <c r="PKE36" s="17">
        <f>'Form-Sb'!PKI94</f>
        <v>0</v>
      </c>
      <c r="PKF36" s="17">
        <f>'Form-Sb'!PKJ94</f>
        <v>0</v>
      </c>
      <c r="PKG36" s="17">
        <f>'Form-Sb'!PKK94</f>
        <v>0</v>
      </c>
      <c r="PKH36" s="17">
        <f>'Form-Sb'!PKL94</f>
        <v>0</v>
      </c>
      <c r="PKI36" s="17">
        <f>'Form-Sb'!PKM94</f>
        <v>0</v>
      </c>
      <c r="PKJ36" s="17">
        <f>'Form-Sb'!PKN94</f>
        <v>0</v>
      </c>
      <c r="PKK36" s="17">
        <f>'Form-Sb'!PKO94</f>
        <v>0</v>
      </c>
      <c r="PKL36" s="17">
        <f>'Form-Sb'!PKP94</f>
        <v>0</v>
      </c>
      <c r="PKM36" s="17">
        <f>'Form-Sb'!PKQ94</f>
        <v>0</v>
      </c>
      <c r="PKN36" s="17">
        <f>'Form-Sb'!PKR94</f>
        <v>0</v>
      </c>
      <c r="PKO36" s="17">
        <f>'Form-Sb'!PKS94</f>
        <v>0</v>
      </c>
      <c r="PKP36" s="17">
        <f>'Form-Sb'!PKT94</f>
        <v>0</v>
      </c>
      <c r="PKQ36" s="17">
        <f>'Form-Sb'!PKU94</f>
        <v>0</v>
      </c>
      <c r="PKR36" s="17">
        <f>'Form-Sb'!PKV94</f>
        <v>0</v>
      </c>
      <c r="PKS36" s="17">
        <f>'Form-Sb'!PKW94</f>
        <v>0</v>
      </c>
      <c r="PKT36" s="17">
        <f>'Form-Sb'!PKX94</f>
        <v>0</v>
      </c>
      <c r="PKU36" s="17">
        <f>'Form-Sb'!PKY94</f>
        <v>0</v>
      </c>
      <c r="PKV36" s="17">
        <f>'Form-Sb'!PKZ94</f>
        <v>0</v>
      </c>
      <c r="PKW36" s="17">
        <f>'Form-Sb'!PLA94</f>
        <v>0</v>
      </c>
      <c r="PKX36" s="17">
        <f>'Form-Sb'!PLB94</f>
        <v>0</v>
      </c>
      <c r="PKY36" s="17">
        <f>'Form-Sb'!PLC94</f>
        <v>0</v>
      </c>
      <c r="PKZ36" s="17">
        <f>'Form-Sb'!PLD94</f>
        <v>0</v>
      </c>
      <c r="PLA36" s="17">
        <f>'Form-Sb'!PLE94</f>
        <v>0</v>
      </c>
      <c r="PLB36" s="17">
        <f>'Form-Sb'!PLF94</f>
        <v>0</v>
      </c>
      <c r="PLC36" s="17">
        <f>'Form-Sb'!PLG94</f>
        <v>0</v>
      </c>
      <c r="PLD36" s="17">
        <f>'Form-Sb'!PLH94</f>
        <v>0</v>
      </c>
      <c r="PLE36" s="17">
        <f>'Form-Sb'!PLI94</f>
        <v>0</v>
      </c>
      <c r="PLF36" s="17">
        <f>'Form-Sb'!PLJ94</f>
        <v>0</v>
      </c>
      <c r="PLG36" s="17">
        <f>'Form-Sb'!PLK94</f>
        <v>0</v>
      </c>
      <c r="PLH36" s="17">
        <f>'Form-Sb'!PLL94</f>
        <v>0</v>
      </c>
      <c r="PLI36" s="17">
        <f>'Form-Sb'!PLM94</f>
        <v>0</v>
      </c>
      <c r="PLJ36" s="17">
        <f>'Form-Sb'!PLN94</f>
        <v>0</v>
      </c>
      <c r="PLK36" s="17">
        <f>'Form-Sb'!PLO94</f>
        <v>0</v>
      </c>
      <c r="PLL36" s="17">
        <f>'Form-Sb'!PLP94</f>
        <v>0</v>
      </c>
      <c r="PLM36" s="17">
        <f>'Form-Sb'!PLQ94</f>
        <v>0</v>
      </c>
      <c r="PLN36" s="17">
        <f>'Form-Sb'!PLR94</f>
        <v>0</v>
      </c>
      <c r="PLO36" s="17">
        <f>'Form-Sb'!PLS94</f>
        <v>0</v>
      </c>
      <c r="PLP36" s="17">
        <f>'Form-Sb'!PLT94</f>
        <v>0</v>
      </c>
      <c r="PLQ36" s="17">
        <f>'Form-Sb'!PLU94</f>
        <v>0</v>
      </c>
      <c r="PLR36" s="17">
        <f>'Form-Sb'!PLV94</f>
        <v>0</v>
      </c>
      <c r="PLS36" s="17">
        <f>'Form-Sb'!PLW94</f>
        <v>0</v>
      </c>
      <c r="PLT36" s="17">
        <f>'Form-Sb'!PLX94</f>
        <v>0</v>
      </c>
      <c r="PLU36" s="17">
        <f>'Form-Sb'!PLY94</f>
        <v>0</v>
      </c>
      <c r="PLV36" s="17">
        <f>'Form-Sb'!PLZ94</f>
        <v>0</v>
      </c>
      <c r="PLW36" s="17">
        <f>'Form-Sb'!PMA94</f>
        <v>0</v>
      </c>
      <c r="PLX36" s="17">
        <f>'Form-Sb'!PMB94</f>
        <v>0</v>
      </c>
      <c r="PLY36" s="17">
        <f>'Form-Sb'!PMC94</f>
        <v>0</v>
      </c>
      <c r="PLZ36" s="17">
        <f>'Form-Sb'!PMD94</f>
        <v>0</v>
      </c>
      <c r="PMA36" s="17">
        <f>'Form-Sb'!PME94</f>
        <v>0</v>
      </c>
      <c r="PMB36" s="17">
        <f>'Form-Sb'!PMF94</f>
        <v>0</v>
      </c>
      <c r="PMC36" s="17">
        <f>'Form-Sb'!PMG94</f>
        <v>0</v>
      </c>
      <c r="PMD36" s="17">
        <f>'Form-Sb'!PMH94</f>
        <v>0</v>
      </c>
      <c r="PME36" s="17">
        <f>'Form-Sb'!PMI94</f>
        <v>0</v>
      </c>
      <c r="PMF36" s="17">
        <f>'Form-Sb'!PMJ94</f>
        <v>0</v>
      </c>
      <c r="PMG36" s="17">
        <f>'Form-Sb'!PMK94</f>
        <v>0</v>
      </c>
      <c r="PMH36" s="17">
        <f>'Form-Sb'!PML94</f>
        <v>0</v>
      </c>
      <c r="PMI36" s="17">
        <f>'Form-Sb'!PMM94</f>
        <v>0</v>
      </c>
      <c r="PMJ36" s="17">
        <f>'Form-Sb'!PMN94</f>
        <v>0</v>
      </c>
      <c r="PMK36" s="17">
        <f>'Form-Sb'!PMO94</f>
        <v>0</v>
      </c>
      <c r="PML36" s="17">
        <f>'Form-Sb'!PMP94</f>
        <v>0</v>
      </c>
      <c r="PMM36" s="17">
        <f>'Form-Sb'!PMQ94</f>
        <v>0</v>
      </c>
      <c r="PMN36" s="17">
        <f>'Form-Sb'!PMR94</f>
        <v>0</v>
      </c>
      <c r="PMO36" s="17">
        <f>'Form-Sb'!PMS94</f>
        <v>0</v>
      </c>
      <c r="PMP36" s="17">
        <f>'Form-Sb'!PMT94</f>
        <v>0</v>
      </c>
      <c r="PMQ36" s="17">
        <f>'Form-Sb'!PMU94</f>
        <v>0</v>
      </c>
      <c r="PMR36" s="17">
        <f>'Form-Sb'!PMV94</f>
        <v>0</v>
      </c>
      <c r="PMS36" s="17">
        <f>'Form-Sb'!PMW94</f>
        <v>0</v>
      </c>
      <c r="PMT36" s="17">
        <f>'Form-Sb'!PMX94</f>
        <v>0</v>
      </c>
      <c r="PMU36" s="17">
        <f>'Form-Sb'!PMY94</f>
        <v>0</v>
      </c>
      <c r="PMV36" s="17">
        <f>'Form-Sb'!PMZ94</f>
        <v>0</v>
      </c>
      <c r="PMW36" s="17">
        <f>'Form-Sb'!PNA94</f>
        <v>0</v>
      </c>
      <c r="PMX36" s="17">
        <f>'Form-Sb'!PNB94</f>
        <v>0</v>
      </c>
      <c r="PMY36" s="17">
        <f>'Form-Sb'!PNC94</f>
        <v>0</v>
      </c>
      <c r="PMZ36" s="17">
        <f>'Form-Sb'!PND94</f>
        <v>0</v>
      </c>
      <c r="PNA36" s="17">
        <f>'Form-Sb'!PNE94</f>
        <v>0</v>
      </c>
      <c r="PNB36" s="17">
        <f>'Form-Sb'!PNF94</f>
        <v>0</v>
      </c>
      <c r="PNC36" s="17">
        <f>'Form-Sb'!PNG94</f>
        <v>0</v>
      </c>
      <c r="PND36" s="17">
        <f>'Form-Sb'!PNH94</f>
        <v>0</v>
      </c>
      <c r="PNE36" s="17">
        <f>'Form-Sb'!PNI94</f>
        <v>0</v>
      </c>
      <c r="PNF36" s="17">
        <f>'Form-Sb'!PNJ94</f>
        <v>0</v>
      </c>
      <c r="PNG36" s="17">
        <f>'Form-Sb'!PNK94</f>
        <v>0</v>
      </c>
      <c r="PNH36" s="17">
        <f>'Form-Sb'!PNL94</f>
        <v>0</v>
      </c>
      <c r="PNI36" s="17">
        <f>'Form-Sb'!PNM94</f>
        <v>0</v>
      </c>
      <c r="PNJ36" s="17">
        <f>'Form-Sb'!PNN94</f>
        <v>0</v>
      </c>
      <c r="PNK36" s="17">
        <f>'Form-Sb'!PNO94</f>
        <v>0</v>
      </c>
      <c r="PNL36" s="17">
        <f>'Form-Sb'!PNP94</f>
        <v>0</v>
      </c>
      <c r="PNM36" s="17">
        <f>'Form-Sb'!PNQ94</f>
        <v>0</v>
      </c>
      <c r="PNN36" s="17">
        <f>'Form-Sb'!PNR94</f>
        <v>0</v>
      </c>
      <c r="PNO36" s="17">
        <f>'Form-Sb'!PNS94</f>
        <v>0</v>
      </c>
      <c r="PNP36" s="17">
        <f>'Form-Sb'!PNT94</f>
        <v>0</v>
      </c>
      <c r="PNQ36" s="17">
        <f>'Form-Sb'!PNU94</f>
        <v>0</v>
      </c>
      <c r="PNR36" s="17">
        <f>'Form-Sb'!PNV94</f>
        <v>0</v>
      </c>
      <c r="PNS36" s="17">
        <f>'Form-Sb'!PNW94</f>
        <v>0</v>
      </c>
      <c r="PNT36" s="17">
        <f>'Form-Sb'!PNX94</f>
        <v>0</v>
      </c>
      <c r="PNU36" s="17">
        <f>'Form-Sb'!PNY94</f>
        <v>0</v>
      </c>
      <c r="PNV36" s="17">
        <f>'Form-Sb'!PNZ94</f>
        <v>0</v>
      </c>
      <c r="PNW36" s="17">
        <f>'Form-Sb'!POA94</f>
        <v>0</v>
      </c>
      <c r="PNX36" s="17">
        <f>'Form-Sb'!POB94</f>
        <v>0</v>
      </c>
      <c r="PNY36" s="17">
        <f>'Form-Sb'!POC94</f>
        <v>0</v>
      </c>
      <c r="PNZ36" s="17">
        <f>'Form-Sb'!POD94</f>
        <v>0</v>
      </c>
      <c r="POA36" s="17">
        <f>'Form-Sb'!POE94</f>
        <v>0</v>
      </c>
      <c r="POB36" s="17">
        <f>'Form-Sb'!POF94</f>
        <v>0</v>
      </c>
      <c r="POC36" s="17">
        <f>'Form-Sb'!POG94</f>
        <v>0</v>
      </c>
      <c r="POD36" s="17">
        <f>'Form-Sb'!POH94</f>
        <v>0</v>
      </c>
      <c r="POE36" s="17">
        <f>'Form-Sb'!POI94</f>
        <v>0</v>
      </c>
      <c r="POF36" s="17">
        <f>'Form-Sb'!POJ94</f>
        <v>0</v>
      </c>
      <c r="POG36" s="17">
        <f>'Form-Sb'!POK94</f>
        <v>0</v>
      </c>
      <c r="POH36" s="17">
        <f>'Form-Sb'!POL94</f>
        <v>0</v>
      </c>
      <c r="POI36" s="17">
        <f>'Form-Sb'!POM94</f>
        <v>0</v>
      </c>
      <c r="POJ36" s="17">
        <f>'Form-Sb'!PON94</f>
        <v>0</v>
      </c>
      <c r="POK36" s="17">
        <f>'Form-Sb'!POO94</f>
        <v>0</v>
      </c>
      <c r="POL36" s="17">
        <f>'Form-Sb'!POP94</f>
        <v>0</v>
      </c>
      <c r="POM36" s="17">
        <f>'Form-Sb'!POQ94</f>
        <v>0</v>
      </c>
      <c r="PON36" s="17">
        <f>'Form-Sb'!POR94</f>
        <v>0</v>
      </c>
      <c r="POO36" s="17">
        <f>'Form-Sb'!POS94</f>
        <v>0</v>
      </c>
      <c r="POP36" s="17">
        <f>'Form-Sb'!POT94</f>
        <v>0</v>
      </c>
      <c r="POQ36" s="17">
        <f>'Form-Sb'!POU94</f>
        <v>0</v>
      </c>
      <c r="POR36" s="17">
        <f>'Form-Sb'!POV94</f>
        <v>0</v>
      </c>
      <c r="POS36" s="17">
        <f>'Form-Sb'!POW94</f>
        <v>0</v>
      </c>
      <c r="POT36" s="17">
        <f>'Form-Sb'!POX94</f>
        <v>0</v>
      </c>
      <c r="POU36" s="17">
        <f>'Form-Sb'!POY94</f>
        <v>0</v>
      </c>
      <c r="POV36" s="17">
        <f>'Form-Sb'!POZ94</f>
        <v>0</v>
      </c>
      <c r="POW36" s="17">
        <f>'Form-Sb'!PPA94</f>
        <v>0</v>
      </c>
      <c r="POX36" s="17">
        <f>'Form-Sb'!PPB94</f>
        <v>0</v>
      </c>
      <c r="POY36" s="17">
        <f>'Form-Sb'!PPC94</f>
        <v>0</v>
      </c>
      <c r="POZ36" s="17">
        <f>'Form-Sb'!PPD94</f>
        <v>0</v>
      </c>
      <c r="PPA36" s="17">
        <f>'Form-Sb'!PPE94</f>
        <v>0</v>
      </c>
      <c r="PPB36" s="17">
        <f>'Form-Sb'!PPF94</f>
        <v>0</v>
      </c>
      <c r="PPC36" s="17">
        <f>'Form-Sb'!PPG94</f>
        <v>0</v>
      </c>
      <c r="PPD36" s="17">
        <f>'Form-Sb'!PPH94</f>
        <v>0</v>
      </c>
      <c r="PPE36" s="17">
        <f>'Form-Sb'!PPI94</f>
        <v>0</v>
      </c>
      <c r="PPF36" s="17">
        <f>'Form-Sb'!PPJ94</f>
        <v>0</v>
      </c>
      <c r="PPG36" s="17">
        <f>'Form-Sb'!PPK94</f>
        <v>0</v>
      </c>
      <c r="PPH36" s="17">
        <f>'Form-Sb'!PPL94</f>
        <v>0</v>
      </c>
      <c r="PPI36" s="17">
        <f>'Form-Sb'!PPM94</f>
        <v>0</v>
      </c>
      <c r="PPJ36" s="17">
        <f>'Form-Sb'!PPN94</f>
        <v>0</v>
      </c>
      <c r="PPK36" s="17">
        <f>'Form-Sb'!PPO94</f>
        <v>0</v>
      </c>
      <c r="PPL36" s="17">
        <f>'Form-Sb'!PPP94</f>
        <v>0</v>
      </c>
      <c r="PPM36" s="17">
        <f>'Form-Sb'!PPQ94</f>
        <v>0</v>
      </c>
      <c r="PPN36" s="17">
        <f>'Form-Sb'!PPR94</f>
        <v>0</v>
      </c>
      <c r="PPO36" s="17">
        <f>'Form-Sb'!PPS94</f>
        <v>0</v>
      </c>
      <c r="PPP36" s="17">
        <f>'Form-Sb'!PPT94</f>
        <v>0</v>
      </c>
      <c r="PPQ36" s="17">
        <f>'Form-Sb'!PPU94</f>
        <v>0</v>
      </c>
      <c r="PPR36" s="17">
        <f>'Form-Sb'!PPV94</f>
        <v>0</v>
      </c>
      <c r="PPS36" s="17">
        <f>'Form-Sb'!PPW94</f>
        <v>0</v>
      </c>
      <c r="PPT36" s="17">
        <f>'Form-Sb'!PPX94</f>
        <v>0</v>
      </c>
      <c r="PPU36" s="17">
        <f>'Form-Sb'!PPY94</f>
        <v>0</v>
      </c>
      <c r="PPV36" s="17">
        <f>'Form-Sb'!PPZ94</f>
        <v>0</v>
      </c>
      <c r="PPW36" s="17">
        <f>'Form-Sb'!PQA94</f>
        <v>0</v>
      </c>
      <c r="PPX36" s="17">
        <f>'Form-Sb'!PQB94</f>
        <v>0</v>
      </c>
      <c r="PPY36" s="17">
        <f>'Form-Sb'!PQC94</f>
        <v>0</v>
      </c>
      <c r="PPZ36" s="17">
        <f>'Form-Sb'!PQD94</f>
        <v>0</v>
      </c>
      <c r="PQA36" s="17">
        <f>'Form-Sb'!PQE94</f>
        <v>0</v>
      </c>
      <c r="PQB36" s="17">
        <f>'Form-Sb'!PQF94</f>
        <v>0</v>
      </c>
      <c r="PQC36" s="17">
        <f>'Form-Sb'!PQG94</f>
        <v>0</v>
      </c>
      <c r="PQD36" s="17">
        <f>'Form-Sb'!PQH94</f>
        <v>0</v>
      </c>
      <c r="PQE36" s="17">
        <f>'Form-Sb'!PQI94</f>
        <v>0</v>
      </c>
      <c r="PQF36" s="17">
        <f>'Form-Sb'!PQJ94</f>
        <v>0</v>
      </c>
      <c r="PQG36" s="17">
        <f>'Form-Sb'!PQK94</f>
        <v>0</v>
      </c>
      <c r="PQH36" s="17">
        <f>'Form-Sb'!PQL94</f>
        <v>0</v>
      </c>
      <c r="PQI36" s="17">
        <f>'Form-Sb'!PQM94</f>
        <v>0</v>
      </c>
      <c r="PQJ36" s="17">
        <f>'Form-Sb'!PQN94</f>
        <v>0</v>
      </c>
      <c r="PQK36" s="17">
        <f>'Form-Sb'!PQO94</f>
        <v>0</v>
      </c>
      <c r="PQL36" s="17">
        <f>'Form-Sb'!PQP94</f>
        <v>0</v>
      </c>
      <c r="PQM36" s="17">
        <f>'Form-Sb'!PQQ94</f>
        <v>0</v>
      </c>
      <c r="PQN36" s="17">
        <f>'Form-Sb'!PQR94</f>
        <v>0</v>
      </c>
      <c r="PQO36" s="17">
        <f>'Form-Sb'!PQS94</f>
        <v>0</v>
      </c>
      <c r="PQP36" s="17">
        <f>'Form-Sb'!PQT94</f>
        <v>0</v>
      </c>
      <c r="PQQ36" s="17">
        <f>'Form-Sb'!PQU94</f>
        <v>0</v>
      </c>
      <c r="PQR36" s="17">
        <f>'Form-Sb'!PQV94</f>
        <v>0</v>
      </c>
      <c r="PQS36" s="17">
        <f>'Form-Sb'!PQW94</f>
        <v>0</v>
      </c>
      <c r="PQT36" s="17">
        <f>'Form-Sb'!PQX94</f>
        <v>0</v>
      </c>
      <c r="PQU36" s="17">
        <f>'Form-Sb'!PQY94</f>
        <v>0</v>
      </c>
      <c r="PQV36" s="17">
        <f>'Form-Sb'!PQZ94</f>
        <v>0</v>
      </c>
      <c r="PQW36" s="17">
        <f>'Form-Sb'!PRA94</f>
        <v>0</v>
      </c>
      <c r="PQX36" s="17">
        <f>'Form-Sb'!PRB94</f>
        <v>0</v>
      </c>
      <c r="PQY36" s="17">
        <f>'Form-Sb'!PRC94</f>
        <v>0</v>
      </c>
      <c r="PQZ36" s="17">
        <f>'Form-Sb'!PRD94</f>
        <v>0</v>
      </c>
      <c r="PRA36" s="17">
        <f>'Form-Sb'!PRE94</f>
        <v>0</v>
      </c>
      <c r="PRB36" s="17">
        <f>'Form-Sb'!PRF94</f>
        <v>0</v>
      </c>
      <c r="PRC36" s="17">
        <f>'Form-Sb'!PRG94</f>
        <v>0</v>
      </c>
      <c r="PRD36" s="17">
        <f>'Form-Sb'!PRH94</f>
        <v>0</v>
      </c>
      <c r="PRE36" s="17">
        <f>'Form-Sb'!PRI94</f>
        <v>0</v>
      </c>
      <c r="PRF36" s="17">
        <f>'Form-Sb'!PRJ94</f>
        <v>0</v>
      </c>
      <c r="PRG36" s="17">
        <f>'Form-Sb'!PRK94</f>
        <v>0</v>
      </c>
      <c r="PRH36" s="17">
        <f>'Form-Sb'!PRL94</f>
        <v>0</v>
      </c>
      <c r="PRI36" s="17">
        <f>'Form-Sb'!PRM94</f>
        <v>0</v>
      </c>
      <c r="PRJ36" s="17">
        <f>'Form-Sb'!PRN94</f>
        <v>0</v>
      </c>
      <c r="PRK36" s="17">
        <f>'Form-Sb'!PRO94</f>
        <v>0</v>
      </c>
      <c r="PRL36" s="17">
        <f>'Form-Sb'!PRP94</f>
        <v>0</v>
      </c>
      <c r="PRM36" s="17">
        <f>'Form-Sb'!PRQ94</f>
        <v>0</v>
      </c>
      <c r="PRN36" s="17">
        <f>'Form-Sb'!PRR94</f>
        <v>0</v>
      </c>
      <c r="PRO36" s="17">
        <f>'Form-Sb'!PRS94</f>
        <v>0</v>
      </c>
      <c r="PRP36" s="17">
        <f>'Form-Sb'!PRT94</f>
        <v>0</v>
      </c>
      <c r="PRQ36" s="17">
        <f>'Form-Sb'!PRU94</f>
        <v>0</v>
      </c>
      <c r="PRR36" s="17">
        <f>'Form-Sb'!PRV94</f>
        <v>0</v>
      </c>
      <c r="PRS36" s="17">
        <f>'Form-Sb'!PRW94</f>
        <v>0</v>
      </c>
      <c r="PRT36" s="17">
        <f>'Form-Sb'!PRX94</f>
        <v>0</v>
      </c>
      <c r="PRU36" s="17">
        <f>'Form-Sb'!PRY94</f>
        <v>0</v>
      </c>
      <c r="PRV36" s="17">
        <f>'Form-Sb'!PRZ94</f>
        <v>0</v>
      </c>
      <c r="PRW36" s="17">
        <f>'Form-Sb'!PSA94</f>
        <v>0</v>
      </c>
      <c r="PRX36" s="17">
        <f>'Form-Sb'!PSB94</f>
        <v>0</v>
      </c>
      <c r="PRY36" s="17">
        <f>'Form-Sb'!PSC94</f>
        <v>0</v>
      </c>
      <c r="PRZ36" s="17">
        <f>'Form-Sb'!PSD94</f>
        <v>0</v>
      </c>
      <c r="PSA36" s="17">
        <f>'Form-Sb'!PSE94</f>
        <v>0</v>
      </c>
      <c r="PSB36" s="17">
        <f>'Form-Sb'!PSF94</f>
        <v>0</v>
      </c>
      <c r="PSC36" s="17">
        <f>'Form-Sb'!PSG94</f>
        <v>0</v>
      </c>
      <c r="PSD36" s="17">
        <f>'Form-Sb'!PSH94</f>
        <v>0</v>
      </c>
      <c r="PSE36" s="17">
        <f>'Form-Sb'!PSI94</f>
        <v>0</v>
      </c>
      <c r="PSF36" s="17">
        <f>'Form-Sb'!PSJ94</f>
        <v>0</v>
      </c>
      <c r="PSG36" s="17">
        <f>'Form-Sb'!PSK94</f>
        <v>0</v>
      </c>
      <c r="PSH36" s="17">
        <f>'Form-Sb'!PSL94</f>
        <v>0</v>
      </c>
      <c r="PSI36" s="17">
        <f>'Form-Sb'!PSM94</f>
        <v>0</v>
      </c>
      <c r="PSJ36" s="17">
        <f>'Form-Sb'!PSN94</f>
        <v>0</v>
      </c>
      <c r="PSK36" s="17">
        <f>'Form-Sb'!PSO94</f>
        <v>0</v>
      </c>
      <c r="PSL36" s="17">
        <f>'Form-Sb'!PSP94</f>
        <v>0</v>
      </c>
      <c r="PSM36" s="17">
        <f>'Form-Sb'!PSQ94</f>
        <v>0</v>
      </c>
      <c r="PSN36" s="17">
        <f>'Form-Sb'!PSR94</f>
        <v>0</v>
      </c>
      <c r="PSO36" s="17">
        <f>'Form-Sb'!PSS94</f>
        <v>0</v>
      </c>
      <c r="PSP36" s="17">
        <f>'Form-Sb'!PST94</f>
        <v>0</v>
      </c>
      <c r="PSQ36" s="17">
        <f>'Form-Sb'!PSU94</f>
        <v>0</v>
      </c>
      <c r="PSR36" s="17">
        <f>'Form-Sb'!PSV94</f>
        <v>0</v>
      </c>
      <c r="PSS36" s="17">
        <f>'Form-Sb'!PSW94</f>
        <v>0</v>
      </c>
      <c r="PST36" s="17">
        <f>'Form-Sb'!PSX94</f>
        <v>0</v>
      </c>
      <c r="PSU36" s="17">
        <f>'Form-Sb'!PSY94</f>
        <v>0</v>
      </c>
      <c r="PSV36" s="17">
        <f>'Form-Sb'!PSZ94</f>
        <v>0</v>
      </c>
      <c r="PSW36" s="17">
        <f>'Form-Sb'!PTA94</f>
        <v>0</v>
      </c>
      <c r="PSX36" s="17">
        <f>'Form-Sb'!PTB94</f>
        <v>0</v>
      </c>
      <c r="PSY36" s="17">
        <f>'Form-Sb'!PTC94</f>
        <v>0</v>
      </c>
      <c r="PSZ36" s="17">
        <f>'Form-Sb'!PTD94</f>
        <v>0</v>
      </c>
      <c r="PTA36" s="17">
        <f>'Form-Sb'!PTE94</f>
        <v>0</v>
      </c>
      <c r="PTB36" s="17">
        <f>'Form-Sb'!PTF94</f>
        <v>0</v>
      </c>
      <c r="PTC36" s="17">
        <f>'Form-Sb'!PTG94</f>
        <v>0</v>
      </c>
      <c r="PTD36" s="17">
        <f>'Form-Sb'!PTH94</f>
        <v>0</v>
      </c>
      <c r="PTE36" s="17">
        <f>'Form-Sb'!PTI94</f>
        <v>0</v>
      </c>
      <c r="PTF36" s="17">
        <f>'Form-Sb'!PTJ94</f>
        <v>0</v>
      </c>
      <c r="PTG36" s="17">
        <f>'Form-Sb'!PTK94</f>
        <v>0</v>
      </c>
      <c r="PTH36" s="17">
        <f>'Form-Sb'!PTL94</f>
        <v>0</v>
      </c>
      <c r="PTI36" s="17">
        <f>'Form-Sb'!PTM94</f>
        <v>0</v>
      </c>
      <c r="PTJ36" s="17">
        <f>'Form-Sb'!PTN94</f>
        <v>0</v>
      </c>
      <c r="PTK36" s="17">
        <f>'Form-Sb'!PTO94</f>
        <v>0</v>
      </c>
      <c r="PTL36" s="17">
        <f>'Form-Sb'!PTP94</f>
        <v>0</v>
      </c>
      <c r="PTM36" s="17">
        <f>'Form-Sb'!PTQ94</f>
        <v>0</v>
      </c>
      <c r="PTN36" s="17">
        <f>'Form-Sb'!PTR94</f>
        <v>0</v>
      </c>
      <c r="PTO36" s="17">
        <f>'Form-Sb'!PTS94</f>
        <v>0</v>
      </c>
      <c r="PTP36" s="17">
        <f>'Form-Sb'!PTT94</f>
        <v>0</v>
      </c>
      <c r="PTQ36" s="17">
        <f>'Form-Sb'!PTU94</f>
        <v>0</v>
      </c>
      <c r="PTR36" s="17">
        <f>'Form-Sb'!PTV94</f>
        <v>0</v>
      </c>
      <c r="PTS36" s="17">
        <f>'Form-Sb'!PTW94</f>
        <v>0</v>
      </c>
      <c r="PTT36" s="17">
        <f>'Form-Sb'!PTX94</f>
        <v>0</v>
      </c>
      <c r="PTU36" s="17">
        <f>'Form-Sb'!PTY94</f>
        <v>0</v>
      </c>
      <c r="PTV36" s="17">
        <f>'Form-Sb'!PTZ94</f>
        <v>0</v>
      </c>
      <c r="PTW36" s="17">
        <f>'Form-Sb'!PUA94</f>
        <v>0</v>
      </c>
      <c r="PTX36" s="17">
        <f>'Form-Sb'!PUB94</f>
        <v>0</v>
      </c>
      <c r="PTY36" s="17">
        <f>'Form-Sb'!PUC94</f>
        <v>0</v>
      </c>
      <c r="PTZ36" s="17">
        <f>'Form-Sb'!PUD94</f>
        <v>0</v>
      </c>
      <c r="PUA36" s="17">
        <f>'Form-Sb'!PUE94</f>
        <v>0</v>
      </c>
      <c r="PUB36" s="17">
        <f>'Form-Sb'!PUF94</f>
        <v>0</v>
      </c>
      <c r="PUC36" s="17">
        <f>'Form-Sb'!PUG94</f>
        <v>0</v>
      </c>
      <c r="PUD36" s="17">
        <f>'Form-Sb'!PUH94</f>
        <v>0</v>
      </c>
      <c r="PUE36" s="17">
        <f>'Form-Sb'!PUI94</f>
        <v>0</v>
      </c>
      <c r="PUF36" s="17">
        <f>'Form-Sb'!PUJ94</f>
        <v>0</v>
      </c>
      <c r="PUG36" s="17">
        <f>'Form-Sb'!PUK94</f>
        <v>0</v>
      </c>
      <c r="PUH36" s="17">
        <f>'Form-Sb'!PUL94</f>
        <v>0</v>
      </c>
      <c r="PUI36" s="17">
        <f>'Form-Sb'!PUM94</f>
        <v>0</v>
      </c>
      <c r="PUJ36" s="17">
        <f>'Form-Sb'!PUN94</f>
        <v>0</v>
      </c>
      <c r="PUK36" s="17">
        <f>'Form-Sb'!PUO94</f>
        <v>0</v>
      </c>
      <c r="PUL36" s="17">
        <f>'Form-Sb'!PUP94</f>
        <v>0</v>
      </c>
      <c r="PUM36" s="17">
        <f>'Form-Sb'!PUQ94</f>
        <v>0</v>
      </c>
      <c r="PUN36" s="17">
        <f>'Form-Sb'!PUR94</f>
        <v>0</v>
      </c>
      <c r="PUO36" s="17">
        <f>'Form-Sb'!PUS94</f>
        <v>0</v>
      </c>
      <c r="PUP36" s="17">
        <f>'Form-Sb'!PUT94</f>
        <v>0</v>
      </c>
      <c r="PUQ36" s="17">
        <f>'Form-Sb'!PUU94</f>
        <v>0</v>
      </c>
      <c r="PUR36" s="17">
        <f>'Form-Sb'!PUV94</f>
        <v>0</v>
      </c>
      <c r="PUS36" s="17">
        <f>'Form-Sb'!PUW94</f>
        <v>0</v>
      </c>
      <c r="PUT36" s="17">
        <f>'Form-Sb'!PUX94</f>
        <v>0</v>
      </c>
      <c r="PUU36" s="17">
        <f>'Form-Sb'!PUY94</f>
        <v>0</v>
      </c>
      <c r="PUV36" s="17">
        <f>'Form-Sb'!PUZ94</f>
        <v>0</v>
      </c>
      <c r="PUW36" s="17">
        <f>'Form-Sb'!PVA94</f>
        <v>0</v>
      </c>
      <c r="PUX36" s="17">
        <f>'Form-Sb'!PVB94</f>
        <v>0</v>
      </c>
      <c r="PUY36" s="17">
        <f>'Form-Sb'!PVC94</f>
        <v>0</v>
      </c>
      <c r="PUZ36" s="17">
        <f>'Form-Sb'!PVD94</f>
        <v>0</v>
      </c>
      <c r="PVA36" s="17">
        <f>'Form-Sb'!PVE94</f>
        <v>0</v>
      </c>
      <c r="PVB36" s="17">
        <f>'Form-Sb'!PVF94</f>
        <v>0</v>
      </c>
      <c r="PVC36" s="17">
        <f>'Form-Sb'!PVG94</f>
        <v>0</v>
      </c>
      <c r="PVD36" s="17">
        <f>'Form-Sb'!PVH94</f>
        <v>0</v>
      </c>
      <c r="PVE36" s="17">
        <f>'Form-Sb'!PVI94</f>
        <v>0</v>
      </c>
      <c r="PVF36" s="17">
        <f>'Form-Sb'!PVJ94</f>
        <v>0</v>
      </c>
      <c r="PVG36" s="17">
        <f>'Form-Sb'!PVK94</f>
        <v>0</v>
      </c>
      <c r="PVH36" s="17">
        <f>'Form-Sb'!PVL94</f>
        <v>0</v>
      </c>
      <c r="PVI36" s="17">
        <f>'Form-Sb'!PVM94</f>
        <v>0</v>
      </c>
      <c r="PVJ36" s="17">
        <f>'Form-Sb'!PVN94</f>
        <v>0</v>
      </c>
      <c r="PVK36" s="17">
        <f>'Form-Sb'!PVO94</f>
        <v>0</v>
      </c>
      <c r="PVL36" s="17">
        <f>'Form-Sb'!PVP94</f>
        <v>0</v>
      </c>
      <c r="PVM36" s="17">
        <f>'Form-Sb'!PVQ94</f>
        <v>0</v>
      </c>
      <c r="PVN36" s="17">
        <f>'Form-Sb'!PVR94</f>
        <v>0</v>
      </c>
      <c r="PVO36" s="17">
        <f>'Form-Sb'!PVS94</f>
        <v>0</v>
      </c>
      <c r="PVP36" s="17">
        <f>'Form-Sb'!PVT94</f>
        <v>0</v>
      </c>
      <c r="PVQ36" s="17">
        <f>'Form-Sb'!PVU94</f>
        <v>0</v>
      </c>
      <c r="PVR36" s="17">
        <f>'Form-Sb'!PVV94</f>
        <v>0</v>
      </c>
      <c r="PVS36" s="17">
        <f>'Form-Sb'!PVW94</f>
        <v>0</v>
      </c>
      <c r="PVT36" s="17">
        <f>'Form-Sb'!PVX94</f>
        <v>0</v>
      </c>
      <c r="PVU36" s="17">
        <f>'Form-Sb'!PVY94</f>
        <v>0</v>
      </c>
      <c r="PVV36" s="17">
        <f>'Form-Sb'!PVZ94</f>
        <v>0</v>
      </c>
      <c r="PVW36" s="17">
        <f>'Form-Sb'!PWA94</f>
        <v>0</v>
      </c>
      <c r="PVX36" s="17">
        <f>'Form-Sb'!PWB94</f>
        <v>0</v>
      </c>
      <c r="PVY36" s="17">
        <f>'Form-Sb'!PWC94</f>
        <v>0</v>
      </c>
      <c r="PVZ36" s="17">
        <f>'Form-Sb'!PWD94</f>
        <v>0</v>
      </c>
      <c r="PWA36" s="17">
        <f>'Form-Sb'!PWE94</f>
        <v>0</v>
      </c>
      <c r="PWB36" s="17">
        <f>'Form-Sb'!PWF94</f>
        <v>0</v>
      </c>
      <c r="PWC36" s="17">
        <f>'Form-Sb'!PWG94</f>
        <v>0</v>
      </c>
      <c r="PWD36" s="17">
        <f>'Form-Sb'!PWH94</f>
        <v>0</v>
      </c>
      <c r="PWE36" s="17">
        <f>'Form-Sb'!PWI94</f>
        <v>0</v>
      </c>
      <c r="PWF36" s="17">
        <f>'Form-Sb'!PWJ94</f>
        <v>0</v>
      </c>
      <c r="PWG36" s="17">
        <f>'Form-Sb'!PWK94</f>
        <v>0</v>
      </c>
      <c r="PWH36" s="17">
        <f>'Form-Sb'!PWL94</f>
        <v>0</v>
      </c>
      <c r="PWI36" s="17">
        <f>'Form-Sb'!PWM94</f>
        <v>0</v>
      </c>
      <c r="PWJ36" s="17">
        <f>'Form-Sb'!PWN94</f>
        <v>0</v>
      </c>
      <c r="PWK36" s="17">
        <f>'Form-Sb'!PWO94</f>
        <v>0</v>
      </c>
      <c r="PWL36" s="17">
        <f>'Form-Sb'!PWP94</f>
        <v>0</v>
      </c>
      <c r="PWM36" s="17">
        <f>'Form-Sb'!PWQ94</f>
        <v>0</v>
      </c>
      <c r="PWN36" s="17">
        <f>'Form-Sb'!PWR94</f>
        <v>0</v>
      </c>
      <c r="PWO36" s="17">
        <f>'Form-Sb'!PWS94</f>
        <v>0</v>
      </c>
      <c r="PWP36" s="17">
        <f>'Form-Sb'!PWT94</f>
        <v>0</v>
      </c>
      <c r="PWQ36" s="17">
        <f>'Form-Sb'!PWU94</f>
        <v>0</v>
      </c>
      <c r="PWR36" s="17">
        <f>'Form-Sb'!PWV94</f>
        <v>0</v>
      </c>
      <c r="PWS36" s="17">
        <f>'Form-Sb'!PWW94</f>
        <v>0</v>
      </c>
      <c r="PWT36" s="17">
        <f>'Form-Sb'!PWX94</f>
        <v>0</v>
      </c>
      <c r="PWU36" s="17">
        <f>'Form-Sb'!PWY94</f>
        <v>0</v>
      </c>
      <c r="PWV36" s="17">
        <f>'Form-Sb'!PWZ94</f>
        <v>0</v>
      </c>
      <c r="PWW36" s="17">
        <f>'Form-Sb'!PXA94</f>
        <v>0</v>
      </c>
      <c r="PWX36" s="17">
        <f>'Form-Sb'!PXB94</f>
        <v>0</v>
      </c>
      <c r="PWY36" s="17">
        <f>'Form-Sb'!PXC94</f>
        <v>0</v>
      </c>
      <c r="PWZ36" s="17">
        <f>'Form-Sb'!PXD94</f>
        <v>0</v>
      </c>
      <c r="PXA36" s="17">
        <f>'Form-Sb'!PXE94</f>
        <v>0</v>
      </c>
      <c r="PXB36" s="17">
        <f>'Form-Sb'!PXF94</f>
        <v>0</v>
      </c>
      <c r="PXC36" s="17">
        <f>'Form-Sb'!PXG94</f>
        <v>0</v>
      </c>
      <c r="PXD36" s="17">
        <f>'Form-Sb'!PXH94</f>
        <v>0</v>
      </c>
      <c r="PXE36" s="17">
        <f>'Form-Sb'!PXI94</f>
        <v>0</v>
      </c>
      <c r="PXF36" s="17">
        <f>'Form-Sb'!PXJ94</f>
        <v>0</v>
      </c>
      <c r="PXG36" s="17">
        <f>'Form-Sb'!PXK94</f>
        <v>0</v>
      </c>
      <c r="PXH36" s="17">
        <f>'Form-Sb'!PXL94</f>
        <v>0</v>
      </c>
      <c r="PXI36" s="17">
        <f>'Form-Sb'!PXM94</f>
        <v>0</v>
      </c>
      <c r="PXJ36" s="17">
        <f>'Form-Sb'!PXN94</f>
        <v>0</v>
      </c>
      <c r="PXK36" s="17">
        <f>'Form-Sb'!PXO94</f>
        <v>0</v>
      </c>
      <c r="PXL36" s="17">
        <f>'Form-Sb'!PXP94</f>
        <v>0</v>
      </c>
      <c r="PXM36" s="17">
        <f>'Form-Sb'!PXQ94</f>
        <v>0</v>
      </c>
      <c r="PXN36" s="17">
        <f>'Form-Sb'!PXR94</f>
        <v>0</v>
      </c>
      <c r="PXO36" s="17">
        <f>'Form-Sb'!PXS94</f>
        <v>0</v>
      </c>
      <c r="PXP36" s="17">
        <f>'Form-Sb'!PXT94</f>
        <v>0</v>
      </c>
      <c r="PXQ36" s="17">
        <f>'Form-Sb'!PXU94</f>
        <v>0</v>
      </c>
      <c r="PXR36" s="17">
        <f>'Form-Sb'!PXV94</f>
        <v>0</v>
      </c>
      <c r="PXS36" s="17">
        <f>'Form-Sb'!PXW94</f>
        <v>0</v>
      </c>
      <c r="PXT36" s="17">
        <f>'Form-Sb'!PXX94</f>
        <v>0</v>
      </c>
      <c r="PXU36" s="17">
        <f>'Form-Sb'!PXY94</f>
        <v>0</v>
      </c>
      <c r="PXV36" s="17">
        <f>'Form-Sb'!PXZ94</f>
        <v>0</v>
      </c>
      <c r="PXW36" s="17">
        <f>'Form-Sb'!PYA94</f>
        <v>0</v>
      </c>
      <c r="PXX36" s="17">
        <f>'Form-Sb'!PYB94</f>
        <v>0</v>
      </c>
      <c r="PXY36" s="17">
        <f>'Form-Sb'!PYC94</f>
        <v>0</v>
      </c>
      <c r="PXZ36" s="17">
        <f>'Form-Sb'!PYD94</f>
        <v>0</v>
      </c>
      <c r="PYA36" s="17">
        <f>'Form-Sb'!PYE94</f>
        <v>0</v>
      </c>
      <c r="PYB36" s="17">
        <f>'Form-Sb'!PYF94</f>
        <v>0</v>
      </c>
      <c r="PYC36" s="17">
        <f>'Form-Sb'!PYG94</f>
        <v>0</v>
      </c>
      <c r="PYD36" s="17">
        <f>'Form-Sb'!PYH94</f>
        <v>0</v>
      </c>
      <c r="PYE36" s="17">
        <f>'Form-Sb'!PYI94</f>
        <v>0</v>
      </c>
      <c r="PYF36" s="17">
        <f>'Form-Sb'!PYJ94</f>
        <v>0</v>
      </c>
      <c r="PYG36" s="17">
        <f>'Form-Sb'!PYK94</f>
        <v>0</v>
      </c>
      <c r="PYH36" s="17">
        <f>'Form-Sb'!PYL94</f>
        <v>0</v>
      </c>
      <c r="PYI36" s="17">
        <f>'Form-Sb'!PYM94</f>
        <v>0</v>
      </c>
      <c r="PYJ36" s="17">
        <f>'Form-Sb'!PYN94</f>
        <v>0</v>
      </c>
      <c r="PYK36" s="17">
        <f>'Form-Sb'!PYO94</f>
        <v>0</v>
      </c>
      <c r="PYL36" s="17">
        <f>'Form-Sb'!PYP94</f>
        <v>0</v>
      </c>
      <c r="PYM36" s="17">
        <f>'Form-Sb'!PYQ94</f>
        <v>0</v>
      </c>
      <c r="PYN36" s="17">
        <f>'Form-Sb'!PYR94</f>
        <v>0</v>
      </c>
      <c r="PYO36" s="17">
        <f>'Form-Sb'!PYS94</f>
        <v>0</v>
      </c>
      <c r="PYP36" s="17">
        <f>'Form-Sb'!PYT94</f>
        <v>0</v>
      </c>
      <c r="PYQ36" s="17">
        <f>'Form-Sb'!PYU94</f>
        <v>0</v>
      </c>
      <c r="PYR36" s="17">
        <f>'Form-Sb'!PYV94</f>
        <v>0</v>
      </c>
      <c r="PYS36" s="17">
        <f>'Form-Sb'!PYW94</f>
        <v>0</v>
      </c>
      <c r="PYT36" s="17">
        <f>'Form-Sb'!PYX94</f>
        <v>0</v>
      </c>
      <c r="PYU36" s="17">
        <f>'Form-Sb'!PYY94</f>
        <v>0</v>
      </c>
      <c r="PYV36" s="17">
        <f>'Form-Sb'!PYZ94</f>
        <v>0</v>
      </c>
      <c r="PYW36" s="17">
        <f>'Form-Sb'!PZA94</f>
        <v>0</v>
      </c>
      <c r="PYX36" s="17">
        <f>'Form-Sb'!PZB94</f>
        <v>0</v>
      </c>
      <c r="PYY36" s="17">
        <f>'Form-Sb'!PZC94</f>
        <v>0</v>
      </c>
      <c r="PYZ36" s="17">
        <f>'Form-Sb'!PZD94</f>
        <v>0</v>
      </c>
      <c r="PZA36" s="17">
        <f>'Form-Sb'!PZE94</f>
        <v>0</v>
      </c>
      <c r="PZB36" s="17">
        <f>'Form-Sb'!PZF94</f>
        <v>0</v>
      </c>
      <c r="PZC36" s="17">
        <f>'Form-Sb'!PZG94</f>
        <v>0</v>
      </c>
      <c r="PZD36" s="17">
        <f>'Form-Sb'!PZH94</f>
        <v>0</v>
      </c>
      <c r="PZE36" s="17">
        <f>'Form-Sb'!PZI94</f>
        <v>0</v>
      </c>
      <c r="PZF36" s="17">
        <f>'Form-Sb'!PZJ94</f>
        <v>0</v>
      </c>
      <c r="PZG36" s="17">
        <f>'Form-Sb'!PZK94</f>
        <v>0</v>
      </c>
      <c r="PZH36" s="17">
        <f>'Form-Sb'!PZL94</f>
        <v>0</v>
      </c>
      <c r="PZI36" s="17">
        <f>'Form-Sb'!PZM94</f>
        <v>0</v>
      </c>
      <c r="PZJ36" s="17">
        <f>'Form-Sb'!PZN94</f>
        <v>0</v>
      </c>
      <c r="PZK36" s="17">
        <f>'Form-Sb'!PZO94</f>
        <v>0</v>
      </c>
      <c r="PZL36" s="17">
        <f>'Form-Sb'!PZP94</f>
        <v>0</v>
      </c>
      <c r="PZM36" s="17">
        <f>'Form-Sb'!PZQ94</f>
        <v>0</v>
      </c>
      <c r="PZN36" s="17">
        <f>'Form-Sb'!PZR94</f>
        <v>0</v>
      </c>
      <c r="PZO36" s="17">
        <f>'Form-Sb'!PZS94</f>
        <v>0</v>
      </c>
      <c r="PZP36" s="17">
        <f>'Form-Sb'!PZT94</f>
        <v>0</v>
      </c>
      <c r="PZQ36" s="17">
        <f>'Form-Sb'!PZU94</f>
        <v>0</v>
      </c>
      <c r="PZR36" s="17">
        <f>'Form-Sb'!PZV94</f>
        <v>0</v>
      </c>
      <c r="PZS36" s="17">
        <f>'Form-Sb'!PZW94</f>
        <v>0</v>
      </c>
      <c r="PZT36" s="17">
        <f>'Form-Sb'!PZX94</f>
        <v>0</v>
      </c>
      <c r="PZU36" s="17">
        <f>'Form-Sb'!PZY94</f>
        <v>0</v>
      </c>
      <c r="PZV36" s="17">
        <f>'Form-Sb'!PZZ94</f>
        <v>0</v>
      </c>
      <c r="PZW36" s="17">
        <f>'Form-Sb'!QAA94</f>
        <v>0</v>
      </c>
      <c r="PZX36" s="17">
        <f>'Form-Sb'!QAB94</f>
        <v>0</v>
      </c>
      <c r="PZY36" s="17">
        <f>'Form-Sb'!QAC94</f>
        <v>0</v>
      </c>
      <c r="PZZ36" s="17">
        <f>'Form-Sb'!QAD94</f>
        <v>0</v>
      </c>
      <c r="QAA36" s="17">
        <f>'Form-Sb'!QAE94</f>
        <v>0</v>
      </c>
      <c r="QAB36" s="17">
        <f>'Form-Sb'!QAF94</f>
        <v>0</v>
      </c>
      <c r="QAC36" s="17">
        <f>'Form-Sb'!QAG94</f>
        <v>0</v>
      </c>
      <c r="QAD36" s="17">
        <f>'Form-Sb'!QAH94</f>
        <v>0</v>
      </c>
      <c r="QAE36" s="17">
        <f>'Form-Sb'!QAI94</f>
        <v>0</v>
      </c>
      <c r="QAF36" s="17">
        <f>'Form-Sb'!QAJ94</f>
        <v>0</v>
      </c>
      <c r="QAG36" s="17">
        <f>'Form-Sb'!QAK94</f>
        <v>0</v>
      </c>
      <c r="QAH36" s="17">
        <f>'Form-Sb'!QAL94</f>
        <v>0</v>
      </c>
      <c r="QAI36" s="17">
        <f>'Form-Sb'!QAM94</f>
        <v>0</v>
      </c>
      <c r="QAJ36" s="17">
        <f>'Form-Sb'!QAN94</f>
        <v>0</v>
      </c>
      <c r="QAK36" s="17">
        <f>'Form-Sb'!QAO94</f>
        <v>0</v>
      </c>
      <c r="QAL36" s="17">
        <f>'Form-Sb'!QAP94</f>
        <v>0</v>
      </c>
      <c r="QAM36" s="17">
        <f>'Form-Sb'!QAQ94</f>
        <v>0</v>
      </c>
      <c r="QAN36" s="17">
        <f>'Form-Sb'!QAR94</f>
        <v>0</v>
      </c>
      <c r="QAO36" s="17">
        <f>'Form-Sb'!QAS94</f>
        <v>0</v>
      </c>
      <c r="QAP36" s="17">
        <f>'Form-Sb'!QAT94</f>
        <v>0</v>
      </c>
      <c r="QAQ36" s="17">
        <f>'Form-Sb'!QAU94</f>
        <v>0</v>
      </c>
      <c r="QAR36" s="17">
        <f>'Form-Sb'!QAV94</f>
        <v>0</v>
      </c>
      <c r="QAS36" s="17">
        <f>'Form-Sb'!QAW94</f>
        <v>0</v>
      </c>
      <c r="QAT36" s="17">
        <f>'Form-Sb'!QAX94</f>
        <v>0</v>
      </c>
      <c r="QAU36" s="17">
        <f>'Form-Sb'!QAY94</f>
        <v>0</v>
      </c>
      <c r="QAV36" s="17">
        <f>'Form-Sb'!QAZ94</f>
        <v>0</v>
      </c>
      <c r="QAW36" s="17">
        <f>'Form-Sb'!QBA94</f>
        <v>0</v>
      </c>
      <c r="QAX36" s="17">
        <f>'Form-Sb'!QBB94</f>
        <v>0</v>
      </c>
      <c r="QAY36" s="17">
        <f>'Form-Sb'!QBC94</f>
        <v>0</v>
      </c>
      <c r="QAZ36" s="17">
        <f>'Form-Sb'!QBD94</f>
        <v>0</v>
      </c>
      <c r="QBA36" s="17">
        <f>'Form-Sb'!QBE94</f>
        <v>0</v>
      </c>
      <c r="QBB36" s="17">
        <f>'Form-Sb'!QBF94</f>
        <v>0</v>
      </c>
      <c r="QBC36" s="17">
        <f>'Form-Sb'!QBG94</f>
        <v>0</v>
      </c>
      <c r="QBD36" s="17">
        <f>'Form-Sb'!QBH94</f>
        <v>0</v>
      </c>
      <c r="QBE36" s="17">
        <f>'Form-Sb'!QBI94</f>
        <v>0</v>
      </c>
      <c r="QBF36" s="17">
        <f>'Form-Sb'!QBJ94</f>
        <v>0</v>
      </c>
      <c r="QBG36" s="17">
        <f>'Form-Sb'!QBK94</f>
        <v>0</v>
      </c>
      <c r="QBH36" s="17">
        <f>'Form-Sb'!QBL94</f>
        <v>0</v>
      </c>
      <c r="QBI36" s="17">
        <f>'Form-Sb'!QBM94</f>
        <v>0</v>
      </c>
      <c r="QBJ36" s="17">
        <f>'Form-Sb'!QBN94</f>
        <v>0</v>
      </c>
      <c r="QBK36" s="17">
        <f>'Form-Sb'!QBO94</f>
        <v>0</v>
      </c>
      <c r="QBL36" s="17">
        <f>'Form-Sb'!QBP94</f>
        <v>0</v>
      </c>
      <c r="QBM36" s="17">
        <f>'Form-Sb'!QBQ94</f>
        <v>0</v>
      </c>
      <c r="QBN36" s="17">
        <f>'Form-Sb'!QBR94</f>
        <v>0</v>
      </c>
      <c r="QBO36" s="17">
        <f>'Form-Sb'!QBS94</f>
        <v>0</v>
      </c>
      <c r="QBP36" s="17">
        <f>'Form-Sb'!QBT94</f>
        <v>0</v>
      </c>
      <c r="QBQ36" s="17">
        <f>'Form-Sb'!QBU94</f>
        <v>0</v>
      </c>
      <c r="QBR36" s="17">
        <f>'Form-Sb'!QBV94</f>
        <v>0</v>
      </c>
      <c r="QBS36" s="17">
        <f>'Form-Sb'!QBW94</f>
        <v>0</v>
      </c>
      <c r="QBT36" s="17">
        <f>'Form-Sb'!QBX94</f>
        <v>0</v>
      </c>
      <c r="QBU36" s="17">
        <f>'Form-Sb'!QBY94</f>
        <v>0</v>
      </c>
      <c r="QBV36" s="17">
        <f>'Form-Sb'!QBZ94</f>
        <v>0</v>
      </c>
      <c r="QBW36" s="17">
        <f>'Form-Sb'!QCA94</f>
        <v>0</v>
      </c>
      <c r="QBX36" s="17">
        <f>'Form-Sb'!QCB94</f>
        <v>0</v>
      </c>
      <c r="QBY36" s="17">
        <f>'Form-Sb'!QCC94</f>
        <v>0</v>
      </c>
      <c r="QBZ36" s="17">
        <f>'Form-Sb'!QCD94</f>
        <v>0</v>
      </c>
      <c r="QCA36" s="17">
        <f>'Form-Sb'!QCE94</f>
        <v>0</v>
      </c>
      <c r="QCB36" s="17">
        <f>'Form-Sb'!QCF94</f>
        <v>0</v>
      </c>
      <c r="QCC36" s="17">
        <f>'Form-Sb'!QCG94</f>
        <v>0</v>
      </c>
      <c r="QCD36" s="17">
        <f>'Form-Sb'!QCH94</f>
        <v>0</v>
      </c>
      <c r="QCE36" s="17">
        <f>'Form-Sb'!QCI94</f>
        <v>0</v>
      </c>
      <c r="QCF36" s="17">
        <f>'Form-Sb'!QCJ94</f>
        <v>0</v>
      </c>
      <c r="QCG36" s="17">
        <f>'Form-Sb'!QCK94</f>
        <v>0</v>
      </c>
      <c r="QCH36" s="17">
        <f>'Form-Sb'!QCL94</f>
        <v>0</v>
      </c>
      <c r="QCI36" s="17">
        <f>'Form-Sb'!QCM94</f>
        <v>0</v>
      </c>
      <c r="QCJ36" s="17">
        <f>'Form-Sb'!QCN94</f>
        <v>0</v>
      </c>
      <c r="QCK36" s="17">
        <f>'Form-Sb'!QCO94</f>
        <v>0</v>
      </c>
      <c r="QCL36" s="17">
        <f>'Form-Sb'!QCP94</f>
        <v>0</v>
      </c>
      <c r="QCM36" s="17">
        <f>'Form-Sb'!QCQ94</f>
        <v>0</v>
      </c>
      <c r="QCN36" s="17">
        <f>'Form-Sb'!QCR94</f>
        <v>0</v>
      </c>
      <c r="QCO36" s="17">
        <f>'Form-Sb'!QCS94</f>
        <v>0</v>
      </c>
      <c r="QCP36" s="17">
        <f>'Form-Sb'!QCT94</f>
        <v>0</v>
      </c>
      <c r="QCQ36" s="17">
        <f>'Form-Sb'!QCU94</f>
        <v>0</v>
      </c>
      <c r="QCR36" s="17">
        <f>'Form-Sb'!QCV94</f>
        <v>0</v>
      </c>
      <c r="QCS36" s="17">
        <f>'Form-Sb'!QCW94</f>
        <v>0</v>
      </c>
      <c r="QCT36" s="17">
        <f>'Form-Sb'!QCX94</f>
        <v>0</v>
      </c>
      <c r="QCU36" s="17">
        <f>'Form-Sb'!QCY94</f>
        <v>0</v>
      </c>
      <c r="QCV36" s="17">
        <f>'Form-Sb'!QCZ94</f>
        <v>0</v>
      </c>
      <c r="QCW36" s="17">
        <f>'Form-Sb'!QDA94</f>
        <v>0</v>
      </c>
      <c r="QCX36" s="17">
        <f>'Form-Sb'!QDB94</f>
        <v>0</v>
      </c>
      <c r="QCY36" s="17">
        <f>'Form-Sb'!QDC94</f>
        <v>0</v>
      </c>
      <c r="QCZ36" s="17">
        <f>'Form-Sb'!QDD94</f>
        <v>0</v>
      </c>
      <c r="QDA36" s="17">
        <f>'Form-Sb'!QDE94</f>
        <v>0</v>
      </c>
      <c r="QDB36" s="17">
        <f>'Form-Sb'!QDF94</f>
        <v>0</v>
      </c>
      <c r="QDC36" s="17">
        <f>'Form-Sb'!QDG94</f>
        <v>0</v>
      </c>
      <c r="QDD36" s="17">
        <f>'Form-Sb'!QDH94</f>
        <v>0</v>
      </c>
      <c r="QDE36" s="17">
        <f>'Form-Sb'!QDI94</f>
        <v>0</v>
      </c>
      <c r="QDF36" s="17">
        <f>'Form-Sb'!QDJ94</f>
        <v>0</v>
      </c>
      <c r="QDG36" s="17">
        <f>'Form-Sb'!QDK94</f>
        <v>0</v>
      </c>
      <c r="QDH36" s="17">
        <f>'Form-Sb'!QDL94</f>
        <v>0</v>
      </c>
      <c r="QDI36" s="17">
        <f>'Form-Sb'!QDM94</f>
        <v>0</v>
      </c>
      <c r="QDJ36" s="17">
        <f>'Form-Sb'!QDN94</f>
        <v>0</v>
      </c>
      <c r="QDK36" s="17">
        <f>'Form-Sb'!QDO94</f>
        <v>0</v>
      </c>
      <c r="QDL36" s="17">
        <f>'Form-Sb'!QDP94</f>
        <v>0</v>
      </c>
      <c r="QDM36" s="17">
        <f>'Form-Sb'!QDQ94</f>
        <v>0</v>
      </c>
      <c r="QDN36" s="17">
        <f>'Form-Sb'!QDR94</f>
        <v>0</v>
      </c>
      <c r="QDO36" s="17">
        <f>'Form-Sb'!QDS94</f>
        <v>0</v>
      </c>
      <c r="QDP36" s="17">
        <f>'Form-Sb'!QDT94</f>
        <v>0</v>
      </c>
      <c r="QDQ36" s="17">
        <f>'Form-Sb'!QDU94</f>
        <v>0</v>
      </c>
      <c r="QDR36" s="17">
        <f>'Form-Sb'!QDV94</f>
        <v>0</v>
      </c>
      <c r="QDS36" s="17">
        <f>'Form-Sb'!QDW94</f>
        <v>0</v>
      </c>
      <c r="QDT36" s="17">
        <f>'Form-Sb'!QDX94</f>
        <v>0</v>
      </c>
      <c r="QDU36" s="17">
        <f>'Form-Sb'!QDY94</f>
        <v>0</v>
      </c>
      <c r="QDV36" s="17">
        <f>'Form-Sb'!QDZ94</f>
        <v>0</v>
      </c>
      <c r="QDW36" s="17">
        <f>'Form-Sb'!QEA94</f>
        <v>0</v>
      </c>
      <c r="QDX36" s="17">
        <f>'Form-Sb'!QEB94</f>
        <v>0</v>
      </c>
      <c r="QDY36" s="17">
        <f>'Form-Sb'!QEC94</f>
        <v>0</v>
      </c>
      <c r="QDZ36" s="17">
        <f>'Form-Sb'!QED94</f>
        <v>0</v>
      </c>
      <c r="QEA36" s="17">
        <f>'Form-Sb'!QEE94</f>
        <v>0</v>
      </c>
      <c r="QEB36" s="17">
        <f>'Form-Sb'!QEF94</f>
        <v>0</v>
      </c>
      <c r="QEC36" s="17">
        <f>'Form-Sb'!QEG94</f>
        <v>0</v>
      </c>
      <c r="QED36" s="17">
        <f>'Form-Sb'!QEH94</f>
        <v>0</v>
      </c>
      <c r="QEE36" s="17">
        <f>'Form-Sb'!QEI94</f>
        <v>0</v>
      </c>
      <c r="QEF36" s="17">
        <f>'Form-Sb'!QEJ94</f>
        <v>0</v>
      </c>
      <c r="QEG36" s="17">
        <f>'Form-Sb'!QEK94</f>
        <v>0</v>
      </c>
      <c r="QEH36" s="17">
        <f>'Form-Sb'!QEL94</f>
        <v>0</v>
      </c>
      <c r="QEI36" s="17">
        <f>'Form-Sb'!QEM94</f>
        <v>0</v>
      </c>
      <c r="QEJ36" s="17">
        <f>'Form-Sb'!QEN94</f>
        <v>0</v>
      </c>
      <c r="QEK36" s="17">
        <f>'Form-Sb'!QEO94</f>
        <v>0</v>
      </c>
      <c r="QEL36" s="17">
        <f>'Form-Sb'!QEP94</f>
        <v>0</v>
      </c>
      <c r="QEM36" s="17">
        <f>'Form-Sb'!QEQ94</f>
        <v>0</v>
      </c>
      <c r="QEN36" s="17">
        <f>'Form-Sb'!QER94</f>
        <v>0</v>
      </c>
      <c r="QEO36" s="17">
        <f>'Form-Sb'!QES94</f>
        <v>0</v>
      </c>
      <c r="QEP36" s="17">
        <f>'Form-Sb'!QET94</f>
        <v>0</v>
      </c>
      <c r="QEQ36" s="17">
        <f>'Form-Sb'!QEU94</f>
        <v>0</v>
      </c>
      <c r="QER36" s="17">
        <f>'Form-Sb'!QEV94</f>
        <v>0</v>
      </c>
      <c r="QES36" s="17">
        <f>'Form-Sb'!QEW94</f>
        <v>0</v>
      </c>
      <c r="QET36" s="17">
        <f>'Form-Sb'!QEX94</f>
        <v>0</v>
      </c>
      <c r="QEU36" s="17">
        <f>'Form-Sb'!QEY94</f>
        <v>0</v>
      </c>
      <c r="QEV36" s="17">
        <f>'Form-Sb'!QEZ94</f>
        <v>0</v>
      </c>
      <c r="QEW36" s="17">
        <f>'Form-Sb'!QFA94</f>
        <v>0</v>
      </c>
      <c r="QEX36" s="17">
        <f>'Form-Sb'!QFB94</f>
        <v>0</v>
      </c>
      <c r="QEY36" s="17">
        <f>'Form-Sb'!QFC94</f>
        <v>0</v>
      </c>
      <c r="QEZ36" s="17">
        <f>'Form-Sb'!QFD94</f>
        <v>0</v>
      </c>
      <c r="QFA36" s="17">
        <f>'Form-Sb'!QFE94</f>
        <v>0</v>
      </c>
      <c r="QFB36" s="17">
        <f>'Form-Sb'!QFF94</f>
        <v>0</v>
      </c>
      <c r="QFC36" s="17">
        <f>'Form-Sb'!QFG94</f>
        <v>0</v>
      </c>
      <c r="QFD36" s="17">
        <f>'Form-Sb'!QFH94</f>
        <v>0</v>
      </c>
      <c r="QFE36" s="17">
        <f>'Form-Sb'!QFI94</f>
        <v>0</v>
      </c>
      <c r="QFF36" s="17">
        <f>'Form-Sb'!QFJ94</f>
        <v>0</v>
      </c>
      <c r="QFG36" s="17">
        <f>'Form-Sb'!QFK94</f>
        <v>0</v>
      </c>
      <c r="QFH36" s="17">
        <f>'Form-Sb'!QFL94</f>
        <v>0</v>
      </c>
      <c r="QFI36" s="17">
        <f>'Form-Sb'!QFM94</f>
        <v>0</v>
      </c>
      <c r="QFJ36" s="17">
        <f>'Form-Sb'!QFN94</f>
        <v>0</v>
      </c>
      <c r="QFK36" s="17">
        <f>'Form-Sb'!QFO94</f>
        <v>0</v>
      </c>
      <c r="QFL36" s="17">
        <f>'Form-Sb'!QFP94</f>
        <v>0</v>
      </c>
      <c r="QFM36" s="17">
        <f>'Form-Sb'!QFQ94</f>
        <v>0</v>
      </c>
      <c r="QFN36" s="17">
        <f>'Form-Sb'!QFR94</f>
        <v>0</v>
      </c>
      <c r="QFO36" s="17">
        <f>'Form-Sb'!QFS94</f>
        <v>0</v>
      </c>
      <c r="QFP36" s="17">
        <f>'Form-Sb'!QFT94</f>
        <v>0</v>
      </c>
      <c r="QFQ36" s="17">
        <f>'Form-Sb'!QFU94</f>
        <v>0</v>
      </c>
      <c r="QFR36" s="17">
        <f>'Form-Sb'!QFV94</f>
        <v>0</v>
      </c>
      <c r="QFS36" s="17">
        <f>'Form-Sb'!QFW94</f>
        <v>0</v>
      </c>
      <c r="QFT36" s="17">
        <f>'Form-Sb'!QFX94</f>
        <v>0</v>
      </c>
      <c r="QFU36" s="17">
        <f>'Form-Sb'!QFY94</f>
        <v>0</v>
      </c>
      <c r="QFV36" s="17">
        <f>'Form-Sb'!QFZ94</f>
        <v>0</v>
      </c>
      <c r="QFW36" s="17">
        <f>'Form-Sb'!QGA94</f>
        <v>0</v>
      </c>
      <c r="QFX36" s="17">
        <f>'Form-Sb'!QGB94</f>
        <v>0</v>
      </c>
      <c r="QFY36" s="17">
        <f>'Form-Sb'!QGC94</f>
        <v>0</v>
      </c>
      <c r="QFZ36" s="17">
        <f>'Form-Sb'!QGD94</f>
        <v>0</v>
      </c>
      <c r="QGA36" s="17">
        <f>'Form-Sb'!QGE94</f>
        <v>0</v>
      </c>
      <c r="QGB36" s="17">
        <f>'Form-Sb'!QGF94</f>
        <v>0</v>
      </c>
      <c r="QGC36" s="17">
        <f>'Form-Sb'!QGG94</f>
        <v>0</v>
      </c>
      <c r="QGD36" s="17">
        <f>'Form-Sb'!QGH94</f>
        <v>0</v>
      </c>
      <c r="QGE36" s="17">
        <f>'Form-Sb'!QGI94</f>
        <v>0</v>
      </c>
      <c r="QGF36" s="17">
        <f>'Form-Sb'!QGJ94</f>
        <v>0</v>
      </c>
      <c r="QGG36" s="17">
        <f>'Form-Sb'!QGK94</f>
        <v>0</v>
      </c>
      <c r="QGH36" s="17">
        <f>'Form-Sb'!QGL94</f>
        <v>0</v>
      </c>
      <c r="QGI36" s="17">
        <f>'Form-Sb'!QGM94</f>
        <v>0</v>
      </c>
      <c r="QGJ36" s="17">
        <f>'Form-Sb'!QGN94</f>
        <v>0</v>
      </c>
      <c r="QGK36" s="17">
        <f>'Form-Sb'!QGO94</f>
        <v>0</v>
      </c>
      <c r="QGL36" s="17">
        <f>'Form-Sb'!QGP94</f>
        <v>0</v>
      </c>
      <c r="QGM36" s="17">
        <f>'Form-Sb'!QGQ94</f>
        <v>0</v>
      </c>
      <c r="QGN36" s="17">
        <f>'Form-Sb'!QGR94</f>
        <v>0</v>
      </c>
      <c r="QGO36" s="17">
        <f>'Form-Sb'!QGS94</f>
        <v>0</v>
      </c>
      <c r="QGP36" s="17">
        <f>'Form-Sb'!QGT94</f>
        <v>0</v>
      </c>
      <c r="QGQ36" s="17">
        <f>'Form-Sb'!QGU94</f>
        <v>0</v>
      </c>
      <c r="QGR36" s="17">
        <f>'Form-Sb'!QGV94</f>
        <v>0</v>
      </c>
      <c r="QGS36" s="17">
        <f>'Form-Sb'!QGW94</f>
        <v>0</v>
      </c>
      <c r="QGT36" s="17">
        <f>'Form-Sb'!QGX94</f>
        <v>0</v>
      </c>
      <c r="QGU36" s="17">
        <f>'Form-Sb'!QGY94</f>
        <v>0</v>
      </c>
      <c r="QGV36" s="17">
        <f>'Form-Sb'!QGZ94</f>
        <v>0</v>
      </c>
      <c r="QGW36" s="17">
        <f>'Form-Sb'!QHA94</f>
        <v>0</v>
      </c>
      <c r="QGX36" s="17">
        <f>'Form-Sb'!QHB94</f>
        <v>0</v>
      </c>
      <c r="QGY36" s="17">
        <f>'Form-Sb'!QHC94</f>
        <v>0</v>
      </c>
      <c r="QGZ36" s="17">
        <f>'Form-Sb'!QHD94</f>
        <v>0</v>
      </c>
      <c r="QHA36" s="17">
        <f>'Form-Sb'!QHE94</f>
        <v>0</v>
      </c>
      <c r="QHB36" s="17">
        <f>'Form-Sb'!QHF94</f>
        <v>0</v>
      </c>
      <c r="QHC36" s="17">
        <f>'Form-Sb'!QHG94</f>
        <v>0</v>
      </c>
      <c r="QHD36" s="17">
        <f>'Form-Sb'!QHH94</f>
        <v>0</v>
      </c>
      <c r="QHE36" s="17">
        <f>'Form-Sb'!QHI94</f>
        <v>0</v>
      </c>
      <c r="QHF36" s="17">
        <f>'Form-Sb'!QHJ94</f>
        <v>0</v>
      </c>
      <c r="QHG36" s="17">
        <f>'Form-Sb'!QHK94</f>
        <v>0</v>
      </c>
      <c r="QHH36" s="17">
        <f>'Form-Sb'!QHL94</f>
        <v>0</v>
      </c>
      <c r="QHI36" s="17">
        <f>'Form-Sb'!QHM94</f>
        <v>0</v>
      </c>
      <c r="QHJ36" s="17">
        <f>'Form-Sb'!QHN94</f>
        <v>0</v>
      </c>
      <c r="QHK36" s="17">
        <f>'Form-Sb'!QHO94</f>
        <v>0</v>
      </c>
      <c r="QHL36" s="17">
        <f>'Form-Sb'!QHP94</f>
        <v>0</v>
      </c>
      <c r="QHM36" s="17">
        <f>'Form-Sb'!QHQ94</f>
        <v>0</v>
      </c>
      <c r="QHN36" s="17">
        <f>'Form-Sb'!QHR94</f>
        <v>0</v>
      </c>
      <c r="QHO36" s="17">
        <f>'Form-Sb'!QHS94</f>
        <v>0</v>
      </c>
      <c r="QHP36" s="17">
        <f>'Form-Sb'!QHT94</f>
        <v>0</v>
      </c>
      <c r="QHQ36" s="17">
        <f>'Form-Sb'!QHU94</f>
        <v>0</v>
      </c>
      <c r="QHR36" s="17">
        <f>'Form-Sb'!QHV94</f>
        <v>0</v>
      </c>
      <c r="QHS36" s="17">
        <f>'Form-Sb'!QHW94</f>
        <v>0</v>
      </c>
      <c r="QHT36" s="17">
        <f>'Form-Sb'!QHX94</f>
        <v>0</v>
      </c>
      <c r="QHU36" s="17">
        <f>'Form-Sb'!QHY94</f>
        <v>0</v>
      </c>
      <c r="QHV36" s="17">
        <f>'Form-Sb'!QHZ94</f>
        <v>0</v>
      </c>
      <c r="QHW36" s="17">
        <f>'Form-Sb'!QIA94</f>
        <v>0</v>
      </c>
      <c r="QHX36" s="17">
        <f>'Form-Sb'!QIB94</f>
        <v>0</v>
      </c>
      <c r="QHY36" s="17">
        <f>'Form-Sb'!QIC94</f>
        <v>0</v>
      </c>
      <c r="QHZ36" s="17">
        <f>'Form-Sb'!QID94</f>
        <v>0</v>
      </c>
      <c r="QIA36" s="17">
        <f>'Form-Sb'!QIE94</f>
        <v>0</v>
      </c>
      <c r="QIB36" s="17">
        <f>'Form-Sb'!QIF94</f>
        <v>0</v>
      </c>
      <c r="QIC36" s="17">
        <f>'Form-Sb'!QIG94</f>
        <v>0</v>
      </c>
      <c r="QID36" s="17">
        <f>'Form-Sb'!QIH94</f>
        <v>0</v>
      </c>
      <c r="QIE36" s="17">
        <f>'Form-Sb'!QII94</f>
        <v>0</v>
      </c>
      <c r="QIF36" s="17">
        <f>'Form-Sb'!QIJ94</f>
        <v>0</v>
      </c>
      <c r="QIG36" s="17">
        <f>'Form-Sb'!QIK94</f>
        <v>0</v>
      </c>
      <c r="QIH36" s="17">
        <f>'Form-Sb'!QIL94</f>
        <v>0</v>
      </c>
      <c r="QII36" s="17">
        <f>'Form-Sb'!QIM94</f>
        <v>0</v>
      </c>
      <c r="QIJ36" s="17">
        <f>'Form-Sb'!QIN94</f>
        <v>0</v>
      </c>
      <c r="QIK36" s="17">
        <f>'Form-Sb'!QIO94</f>
        <v>0</v>
      </c>
      <c r="QIL36" s="17">
        <f>'Form-Sb'!QIP94</f>
        <v>0</v>
      </c>
      <c r="QIM36" s="17">
        <f>'Form-Sb'!QIQ94</f>
        <v>0</v>
      </c>
      <c r="QIN36" s="17">
        <f>'Form-Sb'!QIR94</f>
        <v>0</v>
      </c>
      <c r="QIO36" s="17">
        <f>'Form-Sb'!QIS94</f>
        <v>0</v>
      </c>
      <c r="QIP36" s="17">
        <f>'Form-Sb'!QIT94</f>
        <v>0</v>
      </c>
      <c r="QIQ36" s="17">
        <f>'Form-Sb'!QIU94</f>
        <v>0</v>
      </c>
      <c r="QIR36" s="17">
        <f>'Form-Sb'!QIV94</f>
        <v>0</v>
      </c>
      <c r="QIS36" s="17">
        <f>'Form-Sb'!QIW94</f>
        <v>0</v>
      </c>
      <c r="QIT36" s="17">
        <f>'Form-Sb'!QIX94</f>
        <v>0</v>
      </c>
      <c r="QIU36" s="17">
        <f>'Form-Sb'!QIY94</f>
        <v>0</v>
      </c>
      <c r="QIV36" s="17">
        <f>'Form-Sb'!QIZ94</f>
        <v>0</v>
      </c>
      <c r="QIW36" s="17">
        <f>'Form-Sb'!QJA94</f>
        <v>0</v>
      </c>
      <c r="QIX36" s="17">
        <f>'Form-Sb'!QJB94</f>
        <v>0</v>
      </c>
      <c r="QIY36" s="17">
        <f>'Form-Sb'!QJC94</f>
        <v>0</v>
      </c>
      <c r="QIZ36" s="17">
        <f>'Form-Sb'!QJD94</f>
        <v>0</v>
      </c>
      <c r="QJA36" s="17">
        <f>'Form-Sb'!QJE94</f>
        <v>0</v>
      </c>
      <c r="QJB36" s="17">
        <f>'Form-Sb'!QJF94</f>
        <v>0</v>
      </c>
      <c r="QJC36" s="17">
        <f>'Form-Sb'!QJG94</f>
        <v>0</v>
      </c>
      <c r="QJD36" s="17">
        <f>'Form-Sb'!QJH94</f>
        <v>0</v>
      </c>
      <c r="QJE36" s="17">
        <f>'Form-Sb'!QJI94</f>
        <v>0</v>
      </c>
      <c r="QJF36" s="17">
        <f>'Form-Sb'!QJJ94</f>
        <v>0</v>
      </c>
      <c r="QJG36" s="17">
        <f>'Form-Sb'!QJK94</f>
        <v>0</v>
      </c>
      <c r="QJH36" s="17">
        <f>'Form-Sb'!QJL94</f>
        <v>0</v>
      </c>
      <c r="QJI36" s="17">
        <f>'Form-Sb'!QJM94</f>
        <v>0</v>
      </c>
      <c r="QJJ36" s="17">
        <f>'Form-Sb'!QJN94</f>
        <v>0</v>
      </c>
      <c r="QJK36" s="17">
        <f>'Form-Sb'!QJO94</f>
        <v>0</v>
      </c>
      <c r="QJL36" s="17">
        <f>'Form-Sb'!QJP94</f>
        <v>0</v>
      </c>
      <c r="QJM36" s="17">
        <f>'Form-Sb'!QJQ94</f>
        <v>0</v>
      </c>
      <c r="QJN36" s="17">
        <f>'Form-Sb'!QJR94</f>
        <v>0</v>
      </c>
      <c r="QJO36" s="17">
        <f>'Form-Sb'!QJS94</f>
        <v>0</v>
      </c>
      <c r="QJP36" s="17">
        <f>'Form-Sb'!QJT94</f>
        <v>0</v>
      </c>
      <c r="QJQ36" s="17">
        <f>'Form-Sb'!QJU94</f>
        <v>0</v>
      </c>
      <c r="QJR36" s="17">
        <f>'Form-Sb'!QJV94</f>
        <v>0</v>
      </c>
      <c r="QJS36" s="17">
        <f>'Form-Sb'!QJW94</f>
        <v>0</v>
      </c>
      <c r="QJT36" s="17">
        <f>'Form-Sb'!QJX94</f>
        <v>0</v>
      </c>
      <c r="QJU36" s="17">
        <f>'Form-Sb'!QJY94</f>
        <v>0</v>
      </c>
      <c r="QJV36" s="17">
        <f>'Form-Sb'!QJZ94</f>
        <v>0</v>
      </c>
      <c r="QJW36" s="17">
        <f>'Form-Sb'!QKA94</f>
        <v>0</v>
      </c>
      <c r="QJX36" s="17">
        <f>'Form-Sb'!QKB94</f>
        <v>0</v>
      </c>
      <c r="QJY36" s="17">
        <f>'Form-Sb'!QKC94</f>
        <v>0</v>
      </c>
      <c r="QJZ36" s="17">
        <f>'Form-Sb'!QKD94</f>
        <v>0</v>
      </c>
      <c r="QKA36" s="17">
        <f>'Form-Sb'!QKE94</f>
        <v>0</v>
      </c>
      <c r="QKB36" s="17">
        <f>'Form-Sb'!QKF94</f>
        <v>0</v>
      </c>
      <c r="QKC36" s="17">
        <f>'Form-Sb'!QKG94</f>
        <v>0</v>
      </c>
      <c r="QKD36" s="17">
        <f>'Form-Sb'!QKH94</f>
        <v>0</v>
      </c>
      <c r="QKE36" s="17">
        <f>'Form-Sb'!QKI94</f>
        <v>0</v>
      </c>
      <c r="QKF36" s="17">
        <f>'Form-Sb'!QKJ94</f>
        <v>0</v>
      </c>
      <c r="QKG36" s="17">
        <f>'Form-Sb'!QKK94</f>
        <v>0</v>
      </c>
      <c r="QKH36" s="17">
        <f>'Form-Sb'!QKL94</f>
        <v>0</v>
      </c>
      <c r="QKI36" s="17">
        <f>'Form-Sb'!QKM94</f>
        <v>0</v>
      </c>
      <c r="QKJ36" s="17">
        <f>'Form-Sb'!QKN94</f>
        <v>0</v>
      </c>
      <c r="QKK36" s="17">
        <f>'Form-Sb'!QKO94</f>
        <v>0</v>
      </c>
      <c r="QKL36" s="17">
        <f>'Form-Sb'!QKP94</f>
        <v>0</v>
      </c>
      <c r="QKM36" s="17">
        <f>'Form-Sb'!QKQ94</f>
        <v>0</v>
      </c>
      <c r="QKN36" s="17">
        <f>'Form-Sb'!QKR94</f>
        <v>0</v>
      </c>
      <c r="QKO36" s="17">
        <f>'Form-Sb'!QKS94</f>
        <v>0</v>
      </c>
      <c r="QKP36" s="17">
        <f>'Form-Sb'!QKT94</f>
        <v>0</v>
      </c>
      <c r="QKQ36" s="17">
        <f>'Form-Sb'!QKU94</f>
        <v>0</v>
      </c>
      <c r="QKR36" s="17">
        <f>'Form-Sb'!QKV94</f>
        <v>0</v>
      </c>
      <c r="QKS36" s="17">
        <f>'Form-Sb'!QKW94</f>
        <v>0</v>
      </c>
      <c r="QKT36" s="17">
        <f>'Form-Sb'!QKX94</f>
        <v>0</v>
      </c>
      <c r="QKU36" s="17">
        <f>'Form-Sb'!QKY94</f>
        <v>0</v>
      </c>
      <c r="QKV36" s="17">
        <f>'Form-Sb'!QKZ94</f>
        <v>0</v>
      </c>
      <c r="QKW36" s="17">
        <f>'Form-Sb'!QLA94</f>
        <v>0</v>
      </c>
      <c r="QKX36" s="17">
        <f>'Form-Sb'!QLB94</f>
        <v>0</v>
      </c>
      <c r="QKY36" s="17">
        <f>'Form-Sb'!QLC94</f>
        <v>0</v>
      </c>
      <c r="QKZ36" s="17">
        <f>'Form-Sb'!QLD94</f>
        <v>0</v>
      </c>
      <c r="QLA36" s="17">
        <f>'Form-Sb'!QLE94</f>
        <v>0</v>
      </c>
      <c r="QLB36" s="17">
        <f>'Form-Sb'!QLF94</f>
        <v>0</v>
      </c>
      <c r="QLC36" s="17">
        <f>'Form-Sb'!QLG94</f>
        <v>0</v>
      </c>
      <c r="QLD36" s="17">
        <f>'Form-Sb'!QLH94</f>
        <v>0</v>
      </c>
      <c r="QLE36" s="17">
        <f>'Form-Sb'!QLI94</f>
        <v>0</v>
      </c>
      <c r="QLF36" s="17">
        <f>'Form-Sb'!QLJ94</f>
        <v>0</v>
      </c>
      <c r="QLG36" s="17">
        <f>'Form-Sb'!QLK94</f>
        <v>0</v>
      </c>
      <c r="QLH36" s="17">
        <f>'Form-Sb'!QLL94</f>
        <v>0</v>
      </c>
      <c r="QLI36" s="17">
        <f>'Form-Sb'!QLM94</f>
        <v>0</v>
      </c>
      <c r="QLJ36" s="17">
        <f>'Form-Sb'!QLN94</f>
        <v>0</v>
      </c>
      <c r="QLK36" s="17">
        <f>'Form-Sb'!QLO94</f>
        <v>0</v>
      </c>
      <c r="QLL36" s="17">
        <f>'Form-Sb'!QLP94</f>
        <v>0</v>
      </c>
      <c r="QLM36" s="17">
        <f>'Form-Sb'!QLQ94</f>
        <v>0</v>
      </c>
      <c r="QLN36" s="17">
        <f>'Form-Sb'!QLR94</f>
        <v>0</v>
      </c>
      <c r="QLO36" s="17">
        <f>'Form-Sb'!QLS94</f>
        <v>0</v>
      </c>
      <c r="QLP36" s="17">
        <f>'Form-Sb'!QLT94</f>
        <v>0</v>
      </c>
      <c r="QLQ36" s="17">
        <f>'Form-Sb'!QLU94</f>
        <v>0</v>
      </c>
      <c r="QLR36" s="17">
        <f>'Form-Sb'!QLV94</f>
        <v>0</v>
      </c>
      <c r="QLS36" s="17">
        <f>'Form-Sb'!QLW94</f>
        <v>0</v>
      </c>
      <c r="QLT36" s="17">
        <f>'Form-Sb'!QLX94</f>
        <v>0</v>
      </c>
      <c r="QLU36" s="17">
        <f>'Form-Sb'!QLY94</f>
        <v>0</v>
      </c>
      <c r="QLV36" s="17">
        <f>'Form-Sb'!QLZ94</f>
        <v>0</v>
      </c>
      <c r="QLW36" s="17">
        <f>'Form-Sb'!QMA94</f>
        <v>0</v>
      </c>
      <c r="QLX36" s="17">
        <f>'Form-Sb'!QMB94</f>
        <v>0</v>
      </c>
      <c r="QLY36" s="17">
        <f>'Form-Sb'!QMC94</f>
        <v>0</v>
      </c>
      <c r="QLZ36" s="17">
        <f>'Form-Sb'!QMD94</f>
        <v>0</v>
      </c>
      <c r="QMA36" s="17">
        <f>'Form-Sb'!QME94</f>
        <v>0</v>
      </c>
      <c r="QMB36" s="17">
        <f>'Form-Sb'!QMF94</f>
        <v>0</v>
      </c>
      <c r="QMC36" s="17">
        <f>'Form-Sb'!QMG94</f>
        <v>0</v>
      </c>
      <c r="QMD36" s="17">
        <f>'Form-Sb'!QMH94</f>
        <v>0</v>
      </c>
      <c r="QME36" s="17">
        <f>'Form-Sb'!QMI94</f>
        <v>0</v>
      </c>
      <c r="QMF36" s="17">
        <f>'Form-Sb'!QMJ94</f>
        <v>0</v>
      </c>
      <c r="QMG36" s="17">
        <f>'Form-Sb'!QMK94</f>
        <v>0</v>
      </c>
      <c r="QMH36" s="17">
        <f>'Form-Sb'!QML94</f>
        <v>0</v>
      </c>
      <c r="QMI36" s="17">
        <f>'Form-Sb'!QMM94</f>
        <v>0</v>
      </c>
      <c r="QMJ36" s="17">
        <f>'Form-Sb'!QMN94</f>
        <v>0</v>
      </c>
      <c r="QMK36" s="17">
        <f>'Form-Sb'!QMO94</f>
        <v>0</v>
      </c>
      <c r="QML36" s="17">
        <f>'Form-Sb'!QMP94</f>
        <v>0</v>
      </c>
      <c r="QMM36" s="17">
        <f>'Form-Sb'!QMQ94</f>
        <v>0</v>
      </c>
      <c r="QMN36" s="17">
        <f>'Form-Sb'!QMR94</f>
        <v>0</v>
      </c>
      <c r="QMO36" s="17">
        <f>'Form-Sb'!QMS94</f>
        <v>0</v>
      </c>
      <c r="QMP36" s="17">
        <f>'Form-Sb'!QMT94</f>
        <v>0</v>
      </c>
      <c r="QMQ36" s="17">
        <f>'Form-Sb'!QMU94</f>
        <v>0</v>
      </c>
      <c r="QMR36" s="17">
        <f>'Form-Sb'!QMV94</f>
        <v>0</v>
      </c>
      <c r="QMS36" s="17">
        <f>'Form-Sb'!QMW94</f>
        <v>0</v>
      </c>
      <c r="QMT36" s="17">
        <f>'Form-Sb'!QMX94</f>
        <v>0</v>
      </c>
      <c r="QMU36" s="17">
        <f>'Form-Sb'!QMY94</f>
        <v>0</v>
      </c>
      <c r="QMV36" s="17">
        <f>'Form-Sb'!QMZ94</f>
        <v>0</v>
      </c>
      <c r="QMW36" s="17">
        <f>'Form-Sb'!QNA94</f>
        <v>0</v>
      </c>
      <c r="QMX36" s="17">
        <f>'Form-Sb'!QNB94</f>
        <v>0</v>
      </c>
      <c r="QMY36" s="17">
        <f>'Form-Sb'!QNC94</f>
        <v>0</v>
      </c>
      <c r="QMZ36" s="17">
        <f>'Form-Sb'!QND94</f>
        <v>0</v>
      </c>
      <c r="QNA36" s="17">
        <f>'Form-Sb'!QNE94</f>
        <v>0</v>
      </c>
      <c r="QNB36" s="17">
        <f>'Form-Sb'!QNF94</f>
        <v>0</v>
      </c>
      <c r="QNC36" s="17">
        <f>'Form-Sb'!QNG94</f>
        <v>0</v>
      </c>
      <c r="QND36" s="17">
        <f>'Form-Sb'!QNH94</f>
        <v>0</v>
      </c>
      <c r="QNE36" s="17">
        <f>'Form-Sb'!QNI94</f>
        <v>0</v>
      </c>
      <c r="QNF36" s="17">
        <f>'Form-Sb'!QNJ94</f>
        <v>0</v>
      </c>
      <c r="QNG36" s="17">
        <f>'Form-Sb'!QNK94</f>
        <v>0</v>
      </c>
      <c r="QNH36" s="17">
        <f>'Form-Sb'!QNL94</f>
        <v>0</v>
      </c>
      <c r="QNI36" s="17">
        <f>'Form-Sb'!QNM94</f>
        <v>0</v>
      </c>
      <c r="QNJ36" s="17">
        <f>'Form-Sb'!QNN94</f>
        <v>0</v>
      </c>
      <c r="QNK36" s="17">
        <f>'Form-Sb'!QNO94</f>
        <v>0</v>
      </c>
      <c r="QNL36" s="17">
        <f>'Form-Sb'!QNP94</f>
        <v>0</v>
      </c>
      <c r="QNM36" s="17">
        <f>'Form-Sb'!QNQ94</f>
        <v>0</v>
      </c>
      <c r="QNN36" s="17">
        <f>'Form-Sb'!QNR94</f>
        <v>0</v>
      </c>
      <c r="QNO36" s="17">
        <f>'Form-Sb'!QNS94</f>
        <v>0</v>
      </c>
      <c r="QNP36" s="17">
        <f>'Form-Sb'!QNT94</f>
        <v>0</v>
      </c>
      <c r="QNQ36" s="17">
        <f>'Form-Sb'!QNU94</f>
        <v>0</v>
      </c>
      <c r="QNR36" s="17">
        <f>'Form-Sb'!QNV94</f>
        <v>0</v>
      </c>
      <c r="QNS36" s="17">
        <f>'Form-Sb'!QNW94</f>
        <v>0</v>
      </c>
      <c r="QNT36" s="17">
        <f>'Form-Sb'!QNX94</f>
        <v>0</v>
      </c>
      <c r="QNU36" s="17">
        <f>'Form-Sb'!QNY94</f>
        <v>0</v>
      </c>
      <c r="QNV36" s="17">
        <f>'Form-Sb'!QNZ94</f>
        <v>0</v>
      </c>
      <c r="QNW36" s="17">
        <f>'Form-Sb'!QOA94</f>
        <v>0</v>
      </c>
      <c r="QNX36" s="17">
        <f>'Form-Sb'!QOB94</f>
        <v>0</v>
      </c>
      <c r="QNY36" s="17">
        <f>'Form-Sb'!QOC94</f>
        <v>0</v>
      </c>
      <c r="QNZ36" s="17">
        <f>'Form-Sb'!QOD94</f>
        <v>0</v>
      </c>
      <c r="QOA36" s="17">
        <f>'Form-Sb'!QOE94</f>
        <v>0</v>
      </c>
      <c r="QOB36" s="17">
        <f>'Form-Sb'!QOF94</f>
        <v>0</v>
      </c>
      <c r="QOC36" s="17">
        <f>'Form-Sb'!QOG94</f>
        <v>0</v>
      </c>
      <c r="QOD36" s="17">
        <f>'Form-Sb'!QOH94</f>
        <v>0</v>
      </c>
      <c r="QOE36" s="17">
        <f>'Form-Sb'!QOI94</f>
        <v>0</v>
      </c>
      <c r="QOF36" s="17">
        <f>'Form-Sb'!QOJ94</f>
        <v>0</v>
      </c>
      <c r="QOG36" s="17">
        <f>'Form-Sb'!QOK94</f>
        <v>0</v>
      </c>
      <c r="QOH36" s="17">
        <f>'Form-Sb'!QOL94</f>
        <v>0</v>
      </c>
      <c r="QOI36" s="17">
        <f>'Form-Sb'!QOM94</f>
        <v>0</v>
      </c>
      <c r="QOJ36" s="17">
        <f>'Form-Sb'!QON94</f>
        <v>0</v>
      </c>
      <c r="QOK36" s="17">
        <f>'Form-Sb'!QOO94</f>
        <v>0</v>
      </c>
      <c r="QOL36" s="17">
        <f>'Form-Sb'!QOP94</f>
        <v>0</v>
      </c>
      <c r="QOM36" s="17">
        <f>'Form-Sb'!QOQ94</f>
        <v>0</v>
      </c>
      <c r="QON36" s="17">
        <f>'Form-Sb'!QOR94</f>
        <v>0</v>
      </c>
      <c r="QOO36" s="17">
        <f>'Form-Sb'!QOS94</f>
        <v>0</v>
      </c>
      <c r="QOP36" s="17">
        <f>'Form-Sb'!QOT94</f>
        <v>0</v>
      </c>
      <c r="QOQ36" s="17">
        <f>'Form-Sb'!QOU94</f>
        <v>0</v>
      </c>
      <c r="QOR36" s="17">
        <f>'Form-Sb'!QOV94</f>
        <v>0</v>
      </c>
      <c r="QOS36" s="17">
        <f>'Form-Sb'!QOW94</f>
        <v>0</v>
      </c>
      <c r="QOT36" s="17">
        <f>'Form-Sb'!QOX94</f>
        <v>0</v>
      </c>
      <c r="QOU36" s="17">
        <f>'Form-Sb'!QOY94</f>
        <v>0</v>
      </c>
      <c r="QOV36" s="17">
        <f>'Form-Sb'!QOZ94</f>
        <v>0</v>
      </c>
      <c r="QOW36" s="17">
        <f>'Form-Sb'!QPA94</f>
        <v>0</v>
      </c>
      <c r="QOX36" s="17">
        <f>'Form-Sb'!QPB94</f>
        <v>0</v>
      </c>
      <c r="QOY36" s="17">
        <f>'Form-Sb'!QPC94</f>
        <v>0</v>
      </c>
      <c r="QOZ36" s="17">
        <f>'Form-Sb'!QPD94</f>
        <v>0</v>
      </c>
      <c r="QPA36" s="17">
        <f>'Form-Sb'!QPE94</f>
        <v>0</v>
      </c>
      <c r="QPB36" s="17">
        <f>'Form-Sb'!QPF94</f>
        <v>0</v>
      </c>
      <c r="QPC36" s="17">
        <f>'Form-Sb'!QPG94</f>
        <v>0</v>
      </c>
      <c r="QPD36" s="17">
        <f>'Form-Sb'!QPH94</f>
        <v>0</v>
      </c>
      <c r="QPE36" s="17">
        <f>'Form-Sb'!QPI94</f>
        <v>0</v>
      </c>
      <c r="QPF36" s="17">
        <f>'Form-Sb'!QPJ94</f>
        <v>0</v>
      </c>
      <c r="QPG36" s="17">
        <f>'Form-Sb'!QPK94</f>
        <v>0</v>
      </c>
      <c r="QPH36" s="17">
        <f>'Form-Sb'!QPL94</f>
        <v>0</v>
      </c>
      <c r="QPI36" s="17">
        <f>'Form-Sb'!QPM94</f>
        <v>0</v>
      </c>
      <c r="QPJ36" s="17">
        <f>'Form-Sb'!QPN94</f>
        <v>0</v>
      </c>
      <c r="QPK36" s="17">
        <f>'Form-Sb'!QPO94</f>
        <v>0</v>
      </c>
      <c r="QPL36" s="17">
        <f>'Form-Sb'!QPP94</f>
        <v>0</v>
      </c>
      <c r="QPM36" s="17">
        <f>'Form-Sb'!QPQ94</f>
        <v>0</v>
      </c>
      <c r="QPN36" s="17">
        <f>'Form-Sb'!QPR94</f>
        <v>0</v>
      </c>
      <c r="QPO36" s="17">
        <f>'Form-Sb'!QPS94</f>
        <v>0</v>
      </c>
      <c r="QPP36" s="17">
        <f>'Form-Sb'!QPT94</f>
        <v>0</v>
      </c>
      <c r="QPQ36" s="17">
        <f>'Form-Sb'!QPU94</f>
        <v>0</v>
      </c>
      <c r="QPR36" s="17">
        <f>'Form-Sb'!QPV94</f>
        <v>0</v>
      </c>
      <c r="QPS36" s="17">
        <f>'Form-Sb'!QPW94</f>
        <v>0</v>
      </c>
      <c r="QPT36" s="17">
        <f>'Form-Sb'!QPX94</f>
        <v>0</v>
      </c>
      <c r="QPU36" s="17">
        <f>'Form-Sb'!QPY94</f>
        <v>0</v>
      </c>
      <c r="QPV36" s="17">
        <f>'Form-Sb'!QPZ94</f>
        <v>0</v>
      </c>
      <c r="QPW36" s="17">
        <f>'Form-Sb'!QQA94</f>
        <v>0</v>
      </c>
      <c r="QPX36" s="17">
        <f>'Form-Sb'!QQB94</f>
        <v>0</v>
      </c>
      <c r="QPY36" s="17">
        <f>'Form-Sb'!QQC94</f>
        <v>0</v>
      </c>
      <c r="QPZ36" s="17">
        <f>'Form-Sb'!QQD94</f>
        <v>0</v>
      </c>
      <c r="QQA36" s="17">
        <f>'Form-Sb'!QQE94</f>
        <v>0</v>
      </c>
      <c r="QQB36" s="17">
        <f>'Form-Sb'!QQF94</f>
        <v>0</v>
      </c>
      <c r="QQC36" s="17">
        <f>'Form-Sb'!QQG94</f>
        <v>0</v>
      </c>
      <c r="QQD36" s="17">
        <f>'Form-Sb'!QQH94</f>
        <v>0</v>
      </c>
      <c r="QQE36" s="17">
        <f>'Form-Sb'!QQI94</f>
        <v>0</v>
      </c>
      <c r="QQF36" s="17">
        <f>'Form-Sb'!QQJ94</f>
        <v>0</v>
      </c>
      <c r="QQG36" s="17">
        <f>'Form-Sb'!QQK94</f>
        <v>0</v>
      </c>
      <c r="QQH36" s="17">
        <f>'Form-Sb'!QQL94</f>
        <v>0</v>
      </c>
      <c r="QQI36" s="17">
        <f>'Form-Sb'!QQM94</f>
        <v>0</v>
      </c>
      <c r="QQJ36" s="17">
        <f>'Form-Sb'!QQN94</f>
        <v>0</v>
      </c>
      <c r="QQK36" s="17">
        <f>'Form-Sb'!QQO94</f>
        <v>0</v>
      </c>
      <c r="QQL36" s="17">
        <f>'Form-Sb'!QQP94</f>
        <v>0</v>
      </c>
      <c r="QQM36" s="17">
        <f>'Form-Sb'!QQQ94</f>
        <v>0</v>
      </c>
      <c r="QQN36" s="17">
        <f>'Form-Sb'!QQR94</f>
        <v>0</v>
      </c>
      <c r="QQO36" s="17">
        <f>'Form-Sb'!QQS94</f>
        <v>0</v>
      </c>
      <c r="QQP36" s="17">
        <f>'Form-Sb'!QQT94</f>
        <v>0</v>
      </c>
      <c r="QQQ36" s="17">
        <f>'Form-Sb'!QQU94</f>
        <v>0</v>
      </c>
      <c r="QQR36" s="17">
        <f>'Form-Sb'!QQV94</f>
        <v>0</v>
      </c>
      <c r="QQS36" s="17">
        <f>'Form-Sb'!QQW94</f>
        <v>0</v>
      </c>
      <c r="QQT36" s="17">
        <f>'Form-Sb'!QQX94</f>
        <v>0</v>
      </c>
      <c r="QQU36" s="17">
        <f>'Form-Sb'!QQY94</f>
        <v>0</v>
      </c>
      <c r="QQV36" s="17">
        <f>'Form-Sb'!QQZ94</f>
        <v>0</v>
      </c>
      <c r="QQW36" s="17">
        <f>'Form-Sb'!QRA94</f>
        <v>0</v>
      </c>
      <c r="QQX36" s="17">
        <f>'Form-Sb'!QRB94</f>
        <v>0</v>
      </c>
      <c r="QQY36" s="17">
        <f>'Form-Sb'!QRC94</f>
        <v>0</v>
      </c>
      <c r="QQZ36" s="17">
        <f>'Form-Sb'!QRD94</f>
        <v>0</v>
      </c>
      <c r="QRA36" s="17">
        <f>'Form-Sb'!QRE94</f>
        <v>0</v>
      </c>
      <c r="QRB36" s="17">
        <f>'Form-Sb'!QRF94</f>
        <v>0</v>
      </c>
      <c r="QRC36" s="17">
        <f>'Form-Sb'!QRG94</f>
        <v>0</v>
      </c>
      <c r="QRD36" s="17">
        <f>'Form-Sb'!QRH94</f>
        <v>0</v>
      </c>
      <c r="QRE36" s="17">
        <f>'Form-Sb'!QRI94</f>
        <v>0</v>
      </c>
      <c r="QRF36" s="17">
        <f>'Form-Sb'!QRJ94</f>
        <v>0</v>
      </c>
      <c r="QRG36" s="17">
        <f>'Form-Sb'!QRK94</f>
        <v>0</v>
      </c>
      <c r="QRH36" s="17">
        <f>'Form-Sb'!QRL94</f>
        <v>0</v>
      </c>
      <c r="QRI36" s="17">
        <f>'Form-Sb'!QRM94</f>
        <v>0</v>
      </c>
      <c r="QRJ36" s="17">
        <f>'Form-Sb'!QRN94</f>
        <v>0</v>
      </c>
      <c r="QRK36" s="17">
        <f>'Form-Sb'!QRO94</f>
        <v>0</v>
      </c>
      <c r="QRL36" s="17">
        <f>'Form-Sb'!QRP94</f>
        <v>0</v>
      </c>
      <c r="QRM36" s="17">
        <f>'Form-Sb'!QRQ94</f>
        <v>0</v>
      </c>
      <c r="QRN36" s="17">
        <f>'Form-Sb'!QRR94</f>
        <v>0</v>
      </c>
      <c r="QRO36" s="17">
        <f>'Form-Sb'!QRS94</f>
        <v>0</v>
      </c>
      <c r="QRP36" s="17">
        <f>'Form-Sb'!QRT94</f>
        <v>0</v>
      </c>
      <c r="QRQ36" s="17">
        <f>'Form-Sb'!QRU94</f>
        <v>0</v>
      </c>
      <c r="QRR36" s="17">
        <f>'Form-Sb'!QRV94</f>
        <v>0</v>
      </c>
      <c r="QRS36" s="17">
        <f>'Form-Sb'!QRW94</f>
        <v>0</v>
      </c>
      <c r="QRT36" s="17">
        <f>'Form-Sb'!QRX94</f>
        <v>0</v>
      </c>
      <c r="QRU36" s="17">
        <f>'Form-Sb'!QRY94</f>
        <v>0</v>
      </c>
      <c r="QRV36" s="17">
        <f>'Form-Sb'!QRZ94</f>
        <v>0</v>
      </c>
      <c r="QRW36" s="17">
        <f>'Form-Sb'!QSA94</f>
        <v>0</v>
      </c>
      <c r="QRX36" s="17">
        <f>'Form-Sb'!QSB94</f>
        <v>0</v>
      </c>
      <c r="QRY36" s="17">
        <f>'Form-Sb'!QSC94</f>
        <v>0</v>
      </c>
      <c r="QRZ36" s="17">
        <f>'Form-Sb'!QSD94</f>
        <v>0</v>
      </c>
      <c r="QSA36" s="17">
        <f>'Form-Sb'!QSE94</f>
        <v>0</v>
      </c>
      <c r="QSB36" s="17">
        <f>'Form-Sb'!QSF94</f>
        <v>0</v>
      </c>
      <c r="QSC36" s="17">
        <f>'Form-Sb'!QSG94</f>
        <v>0</v>
      </c>
      <c r="QSD36" s="17">
        <f>'Form-Sb'!QSH94</f>
        <v>0</v>
      </c>
      <c r="QSE36" s="17">
        <f>'Form-Sb'!QSI94</f>
        <v>0</v>
      </c>
      <c r="QSF36" s="17">
        <f>'Form-Sb'!QSJ94</f>
        <v>0</v>
      </c>
      <c r="QSG36" s="17">
        <f>'Form-Sb'!QSK94</f>
        <v>0</v>
      </c>
      <c r="QSH36" s="17">
        <f>'Form-Sb'!QSL94</f>
        <v>0</v>
      </c>
      <c r="QSI36" s="17">
        <f>'Form-Sb'!QSM94</f>
        <v>0</v>
      </c>
      <c r="QSJ36" s="17">
        <f>'Form-Sb'!QSN94</f>
        <v>0</v>
      </c>
      <c r="QSK36" s="17">
        <f>'Form-Sb'!QSO94</f>
        <v>0</v>
      </c>
      <c r="QSL36" s="17">
        <f>'Form-Sb'!QSP94</f>
        <v>0</v>
      </c>
      <c r="QSM36" s="17">
        <f>'Form-Sb'!QSQ94</f>
        <v>0</v>
      </c>
      <c r="QSN36" s="17">
        <f>'Form-Sb'!QSR94</f>
        <v>0</v>
      </c>
      <c r="QSO36" s="17">
        <f>'Form-Sb'!QSS94</f>
        <v>0</v>
      </c>
      <c r="QSP36" s="17">
        <f>'Form-Sb'!QST94</f>
        <v>0</v>
      </c>
      <c r="QSQ36" s="17">
        <f>'Form-Sb'!QSU94</f>
        <v>0</v>
      </c>
      <c r="QSR36" s="17">
        <f>'Form-Sb'!QSV94</f>
        <v>0</v>
      </c>
      <c r="QSS36" s="17">
        <f>'Form-Sb'!QSW94</f>
        <v>0</v>
      </c>
      <c r="QST36" s="17">
        <f>'Form-Sb'!QSX94</f>
        <v>0</v>
      </c>
      <c r="QSU36" s="17">
        <f>'Form-Sb'!QSY94</f>
        <v>0</v>
      </c>
      <c r="QSV36" s="17">
        <f>'Form-Sb'!QSZ94</f>
        <v>0</v>
      </c>
      <c r="QSW36" s="17">
        <f>'Form-Sb'!QTA94</f>
        <v>0</v>
      </c>
      <c r="QSX36" s="17">
        <f>'Form-Sb'!QTB94</f>
        <v>0</v>
      </c>
      <c r="QSY36" s="17">
        <f>'Form-Sb'!QTC94</f>
        <v>0</v>
      </c>
      <c r="QSZ36" s="17">
        <f>'Form-Sb'!QTD94</f>
        <v>0</v>
      </c>
      <c r="QTA36" s="17">
        <f>'Form-Sb'!QTE94</f>
        <v>0</v>
      </c>
      <c r="QTB36" s="17">
        <f>'Form-Sb'!QTF94</f>
        <v>0</v>
      </c>
      <c r="QTC36" s="17">
        <f>'Form-Sb'!QTG94</f>
        <v>0</v>
      </c>
      <c r="QTD36" s="17">
        <f>'Form-Sb'!QTH94</f>
        <v>0</v>
      </c>
      <c r="QTE36" s="17">
        <f>'Form-Sb'!QTI94</f>
        <v>0</v>
      </c>
      <c r="QTF36" s="17">
        <f>'Form-Sb'!QTJ94</f>
        <v>0</v>
      </c>
      <c r="QTG36" s="17">
        <f>'Form-Sb'!QTK94</f>
        <v>0</v>
      </c>
      <c r="QTH36" s="17">
        <f>'Form-Sb'!QTL94</f>
        <v>0</v>
      </c>
      <c r="QTI36" s="17">
        <f>'Form-Sb'!QTM94</f>
        <v>0</v>
      </c>
      <c r="QTJ36" s="17">
        <f>'Form-Sb'!QTN94</f>
        <v>0</v>
      </c>
      <c r="QTK36" s="17">
        <f>'Form-Sb'!QTO94</f>
        <v>0</v>
      </c>
      <c r="QTL36" s="17">
        <f>'Form-Sb'!QTP94</f>
        <v>0</v>
      </c>
      <c r="QTM36" s="17">
        <f>'Form-Sb'!QTQ94</f>
        <v>0</v>
      </c>
      <c r="QTN36" s="17">
        <f>'Form-Sb'!QTR94</f>
        <v>0</v>
      </c>
      <c r="QTO36" s="17">
        <f>'Form-Sb'!QTS94</f>
        <v>0</v>
      </c>
      <c r="QTP36" s="17">
        <f>'Form-Sb'!QTT94</f>
        <v>0</v>
      </c>
      <c r="QTQ36" s="17">
        <f>'Form-Sb'!QTU94</f>
        <v>0</v>
      </c>
      <c r="QTR36" s="17">
        <f>'Form-Sb'!QTV94</f>
        <v>0</v>
      </c>
      <c r="QTS36" s="17">
        <f>'Form-Sb'!QTW94</f>
        <v>0</v>
      </c>
      <c r="QTT36" s="17">
        <f>'Form-Sb'!QTX94</f>
        <v>0</v>
      </c>
      <c r="QTU36" s="17">
        <f>'Form-Sb'!QTY94</f>
        <v>0</v>
      </c>
      <c r="QTV36" s="17">
        <f>'Form-Sb'!QTZ94</f>
        <v>0</v>
      </c>
      <c r="QTW36" s="17">
        <f>'Form-Sb'!QUA94</f>
        <v>0</v>
      </c>
      <c r="QTX36" s="17">
        <f>'Form-Sb'!QUB94</f>
        <v>0</v>
      </c>
      <c r="QTY36" s="17">
        <f>'Form-Sb'!QUC94</f>
        <v>0</v>
      </c>
      <c r="QTZ36" s="17">
        <f>'Form-Sb'!QUD94</f>
        <v>0</v>
      </c>
      <c r="QUA36" s="17">
        <f>'Form-Sb'!QUE94</f>
        <v>0</v>
      </c>
      <c r="QUB36" s="17">
        <f>'Form-Sb'!QUF94</f>
        <v>0</v>
      </c>
      <c r="QUC36" s="17">
        <f>'Form-Sb'!QUG94</f>
        <v>0</v>
      </c>
      <c r="QUD36" s="17">
        <f>'Form-Sb'!QUH94</f>
        <v>0</v>
      </c>
      <c r="QUE36" s="17">
        <f>'Form-Sb'!QUI94</f>
        <v>0</v>
      </c>
      <c r="QUF36" s="17">
        <f>'Form-Sb'!QUJ94</f>
        <v>0</v>
      </c>
      <c r="QUG36" s="17">
        <f>'Form-Sb'!QUK94</f>
        <v>0</v>
      </c>
      <c r="QUH36" s="17">
        <f>'Form-Sb'!QUL94</f>
        <v>0</v>
      </c>
      <c r="QUI36" s="17">
        <f>'Form-Sb'!QUM94</f>
        <v>0</v>
      </c>
      <c r="QUJ36" s="17">
        <f>'Form-Sb'!QUN94</f>
        <v>0</v>
      </c>
      <c r="QUK36" s="17">
        <f>'Form-Sb'!QUO94</f>
        <v>0</v>
      </c>
      <c r="QUL36" s="17">
        <f>'Form-Sb'!QUP94</f>
        <v>0</v>
      </c>
      <c r="QUM36" s="17">
        <f>'Form-Sb'!QUQ94</f>
        <v>0</v>
      </c>
      <c r="QUN36" s="17">
        <f>'Form-Sb'!QUR94</f>
        <v>0</v>
      </c>
      <c r="QUO36" s="17">
        <f>'Form-Sb'!QUS94</f>
        <v>0</v>
      </c>
      <c r="QUP36" s="17">
        <f>'Form-Sb'!QUT94</f>
        <v>0</v>
      </c>
      <c r="QUQ36" s="17">
        <f>'Form-Sb'!QUU94</f>
        <v>0</v>
      </c>
      <c r="QUR36" s="17">
        <f>'Form-Sb'!QUV94</f>
        <v>0</v>
      </c>
      <c r="QUS36" s="17">
        <f>'Form-Sb'!QUW94</f>
        <v>0</v>
      </c>
      <c r="QUT36" s="17">
        <f>'Form-Sb'!QUX94</f>
        <v>0</v>
      </c>
      <c r="QUU36" s="17">
        <f>'Form-Sb'!QUY94</f>
        <v>0</v>
      </c>
      <c r="QUV36" s="17">
        <f>'Form-Sb'!QUZ94</f>
        <v>0</v>
      </c>
      <c r="QUW36" s="17">
        <f>'Form-Sb'!QVA94</f>
        <v>0</v>
      </c>
      <c r="QUX36" s="17">
        <f>'Form-Sb'!QVB94</f>
        <v>0</v>
      </c>
      <c r="QUY36" s="17">
        <f>'Form-Sb'!QVC94</f>
        <v>0</v>
      </c>
      <c r="QUZ36" s="17">
        <f>'Form-Sb'!QVD94</f>
        <v>0</v>
      </c>
      <c r="QVA36" s="17">
        <f>'Form-Sb'!QVE94</f>
        <v>0</v>
      </c>
      <c r="QVB36" s="17">
        <f>'Form-Sb'!QVF94</f>
        <v>0</v>
      </c>
      <c r="QVC36" s="17">
        <f>'Form-Sb'!QVG94</f>
        <v>0</v>
      </c>
      <c r="QVD36" s="17">
        <f>'Form-Sb'!QVH94</f>
        <v>0</v>
      </c>
      <c r="QVE36" s="17">
        <f>'Form-Sb'!QVI94</f>
        <v>0</v>
      </c>
      <c r="QVF36" s="17">
        <f>'Form-Sb'!QVJ94</f>
        <v>0</v>
      </c>
      <c r="QVG36" s="17">
        <f>'Form-Sb'!QVK94</f>
        <v>0</v>
      </c>
      <c r="QVH36" s="17">
        <f>'Form-Sb'!QVL94</f>
        <v>0</v>
      </c>
      <c r="QVI36" s="17">
        <f>'Form-Sb'!QVM94</f>
        <v>0</v>
      </c>
      <c r="QVJ36" s="17">
        <f>'Form-Sb'!QVN94</f>
        <v>0</v>
      </c>
      <c r="QVK36" s="17">
        <f>'Form-Sb'!QVO94</f>
        <v>0</v>
      </c>
      <c r="QVL36" s="17">
        <f>'Form-Sb'!QVP94</f>
        <v>0</v>
      </c>
      <c r="QVM36" s="17">
        <f>'Form-Sb'!QVQ94</f>
        <v>0</v>
      </c>
      <c r="QVN36" s="17">
        <f>'Form-Sb'!QVR94</f>
        <v>0</v>
      </c>
      <c r="QVO36" s="17">
        <f>'Form-Sb'!QVS94</f>
        <v>0</v>
      </c>
      <c r="QVP36" s="17">
        <f>'Form-Sb'!QVT94</f>
        <v>0</v>
      </c>
      <c r="QVQ36" s="17">
        <f>'Form-Sb'!QVU94</f>
        <v>0</v>
      </c>
      <c r="QVR36" s="17">
        <f>'Form-Sb'!QVV94</f>
        <v>0</v>
      </c>
      <c r="QVS36" s="17">
        <f>'Form-Sb'!QVW94</f>
        <v>0</v>
      </c>
      <c r="QVT36" s="17">
        <f>'Form-Sb'!QVX94</f>
        <v>0</v>
      </c>
      <c r="QVU36" s="17">
        <f>'Form-Sb'!QVY94</f>
        <v>0</v>
      </c>
      <c r="QVV36" s="17">
        <f>'Form-Sb'!QVZ94</f>
        <v>0</v>
      </c>
      <c r="QVW36" s="17">
        <f>'Form-Sb'!QWA94</f>
        <v>0</v>
      </c>
      <c r="QVX36" s="17">
        <f>'Form-Sb'!QWB94</f>
        <v>0</v>
      </c>
      <c r="QVY36" s="17">
        <f>'Form-Sb'!QWC94</f>
        <v>0</v>
      </c>
      <c r="QVZ36" s="17">
        <f>'Form-Sb'!QWD94</f>
        <v>0</v>
      </c>
      <c r="QWA36" s="17">
        <f>'Form-Sb'!QWE94</f>
        <v>0</v>
      </c>
      <c r="QWB36" s="17">
        <f>'Form-Sb'!QWF94</f>
        <v>0</v>
      </c>
      <c r="QWC36" s="17">
        <f>'Form-Sb'!QWG94</f>
        <v>0</v>
      </c>
      <c r="QWD36" s="17">
        <f>'Form-Sb'!QWH94</f>
        <v>0</v>
      </c>
      <c r="QWE36" s="17">
        <f>'Form-Sb'!QWI94</f>
        <v>0</v>
      </c>
      <c r="QWF36" s="17">
        <f>'Form-Sb'!QWJ94</f>
        <v>0</v>
      </c>
      <c r="QWG36" s="17">
        <f>'Form-Sb'!QWK94</f>
        <v>0</v>
      </c>
      <c r="QWH36" s="17">
        <f>'Form-Sb'!QWL94</f>
        <v>0</v>
      </c>
      <c r="QWI36" s="17">
        <f>'Form-Sb'!QWM94</f>
        <v>0</v>
      </c>
      <c r="QWJ36" s="17">
        <f>'Form-Sb'!QWN94</f>
        <v>0</v>
      </c>
      <c r="QWK36" s="17">
        <f>'Form-Sb'!QWO94</f>
        <v>0</v>
      </c>
      <c r="QWL36" s="17">
        <f>'Form-Sb'!QWP94</f>
        <v>0</v>
      </c>
      <c r="QWM36" s="17">
        <f>'Form-Sb'!QWQ94</f>
        <v>0</v>
      </c>
      <c r="QWN36" s="17">
        <f>'Form-Sb'!QWR94</f>
        <v>0</v>
      </c>
      <c r="QWO36" s="17">
        <f>'Form-Sb'!QWS94</f>
        <v>0</v>
      </c>
      <c r="QWP36" s="17">
        <f>'Form-Sb'!QWT94</f>
        <v>0</v>
      </c>
      <c r="QWQ36" s="17">
        <f>'Form-Sb'!QWU94</f>
        <v>0</v>
      </c>
      <c r="QWR36" s="17">
        <f>'Form-Sb'!QWV94</f>
        <v>0</v>
      </c>
      <c r="QWS36" s="17">
        <f>'Form-Sb'!QWW94</f>
        <v>0</v>
      </c>
      <c r="QWT36" s="17">
        <f>'Form-Sb'!QWX94</f>
        <v>0</v>
      </c>
      <c r="QWU36" s="17">
        <f>'Form-Sb'!QWY94</f>
        <v>0</v>
      </c>
      <c r="QWV36" s="17">
        <f>'Form-Sb'!QWZ94</f>
        <v>0</v>
      </c>
      <c r="QWW36" s="17">
        <f>'Form-Sb'!QXA94</f>
        <v>0</v>
      </c>
      <c r="QWX36" s="17">
        <f>'Form-Sb'!QXB94</f>
        <v>0</v>
      </c>
      <c r="QWY36" s="17">
        <f>'Form-Sb'!QXC94</f>
        <v>0</v>
      </c>
      <c r="QWZ36" s="17">
        <f>'Form-Sb'!QXD94</f>
        <v>0</v>
      </c>
      <c r="QXA36" s="17">
        <f>'Form-Sb'!QXE94</f>
        <v>0</v>
      </c>
      <c r="QXB36" s="17">
        <f>'Form-Sb'!QXF94</f>
        <v>0</v>
      </c>
      <c r="QXC36" s="17">
        <f>'Form-Sb'!QXG94</f>
        <v>0</v>
      </c>
      <c r="QXD36" s="17">
        <f>'Form-Sb'!QXH94</f>
        <v>0</v>
      </c>
      <c r="QXE36" s="17">
        <f>'Form-Sb'!QXI94</f>
        <v>0</v>
      </c>
      <c r="QXF36" s="17">
        <f>'Form-Sb'!QXJ94</f>
        <v>0</v>
      </c>
      <c r="QXG36" s="17">
        <f>'Form-Sb'!QXK94</f>
        <v>0</v>
      </c>
      <c r="QXH36" s="17">
        <f>'Form-Sb'!QXL94</f>
        <v>0</v>
      </c>
      <c r="QXI36" s="17">
        <f>'Form-Sb'!QXM94</f>
        <v>0</v>
      </c>
      <c r="QXJ36" s="17">
        <f>'Form-Sb'!QXN94</f>
        <v>0</v>
      </c>
      <c r="QXK36" s="17">
        <f>'Form-Sb'!QXO94</f>
        <v>0</v>
      </c>
      <c r="QXL36" s="17">
        <f>'Form-Sb'!QXP94</f>
        <v>0</v>
      </c>
      <c r="QXM36" s="17">
        <f>'Form-Sb'!QXQ94</f>
        <v>0</v>
      </c>
      <c r="QXN36" s="17">
        <f>'Form-Sb'!QXR94</f>
        <v>0</v>
      </c>
      <c r="QXO36" s="17">
        <f>'Form-Sb'!QXS94</f>
        <v>0</v>
      </c>
      <c r="QXP36" s="17">
        <f>'Form-Sb'!QXT94</f>
        <v>0</v>
      </c>
      <c r="QXQ36" s="17">
        <f>'Form-Sb'!QXU94</f>
        <v>0</v>
      </c>
      <c r="QXR36" s="17">
        <f>'Form-Sb'!QXV94</f>
        <v>0</v>
      </c>
      <c r="QXS36" s="17">
        <f>'Form-Sb'!QXW94</f>
        <v>0</v>
      </c>
      <c r="QXT36" s="17">
        <f>'Form-Sb'!QXX94</f>
        <v>0</v>
      </c>
      <c r="QXU36" s="17">
        <f>'Form-Sb'!QXY94</f>
        <v>0</v>
      </c>
      <c r="QXV36" s="17">
        <f>'Form-Sb'!QXZ94</f>
        <v>0</v>
      </c>
      <c r="QXW36" s="17">
        <f>'Form-Sb'!QYA94</f>
        <v>0</v>
      </c>
      <c r="QXX36" s="17">
        <f>'Form-Sb'!QYB94</f>
        <v>0</v>
      </c>
      <c r="QXY36" s="17">
        <f>'Form-Sb'!QYC94</f>
        <v>0</v>
      </c>
      <c r="QXZ36" s="17">
        <f>'Form-Sb'!QYD94</f>
        <v>0</v>
      </c>
      <c r="QYA36" s="17">
        <f>'Form-Sb'!QYE94</f>
        <v>0</v>
      </c>
      <c r="QYB36" s="17">
        <f>'Form-Sb'!QYF94</f>
        <v>0</v>
      </c>
      <c r="QYC36" s="17">
        <f>'Form-Sb'!QYG94</f>
        <v>0</v>
      </c>
      <c r="QYD36" s="17">
        <f>'Form-Sb'!QYH94</f>
        <v>0</v>
      </c>
      <c r="QYE36" s="17">
        <f>'Form-Sb'!QYI94</f>
        <v>0</v>
      </c>
      <c r="QYF36" s="17">
        <f>'Form-Sb'!QYJ94</f>
        <v>0</v>
      </c>
      <c r="QYG36" s="17">
        <f>'Form-Sb'!QYK94</f>
        <v>0</v>
      </c>
      <c r="QYH36" s="17">
        <f>'Form-Sb'!QYL94</f>
        <v>0</v>
      </c>
      <c r="QYI36" s="17">
        <f>'Form-Sb'!QYM94</f>
        <v>0</v>
      </c>
      <c r="QYJ36" s="17">
        <f>'Form-Sb'!QYN94</f>
        <v>0</v>
      </c>
      <c r="QYK36" s="17">
        <f>'Form-Sb'!QYO94</f>
        <v>0</v>
      </c>
      <c r="QYL36" s="17">
        <f>'Form-Sb'!QYP94</f>
        <v>0</v>
      </c>
      <c r="QYM36" s="17">
        <f>'Form-Sb'!QYQ94</f>
        <v>0</v>
      </c>
      <c r="QYN36" s="17">
        <f>'Form-Sb'!QYR94</f>
        <v>0</v>
      </c>
      <c r="QYO36" s="17">
        <f>'Form-Sb'!QYS94</f>
        <v>0</v>
      </c>
      <c r="QYP36" s="17">
        <f>'Form-Sb'!QYT94</f>
        <v>0</v>
      </c>
      <c r="QYQ36" s="17">
        <f>'Form-Sb'!QYU94</f>
        <v>0</v>
      </c>
      <c r="QYR36" s="17">
        <f>'Form-Sb'!QYV94</f>
        <v>0</v>
      </c>
      <c r="QYS36" s="17">
        <f>'Form-Sb'!QYW94</f>
        <v>0</v>
      </c>
      <c r="QYT36" s="17">
        <f>'Form-Sb'!QYX94</f>
        <v>0</v>
      </c>
      <c r="QYU36" s="17">
        <f>'Form-Sb'!QYY94</f>
        <v>0</v>
      </c>
      <c r="QYV36" s="17">
        <f>'Form-Sb'!QYZ94</f>
        <v>0</v>
      </c>
      <c r="QYW36" s="17">
        <f>'Form-Sb'!QZA94</f>
        <v>0</v>
      </c>
      <c r="QYX36" s="17">
        <f>'Form-Sb'!QZB94</f>
        <v>0</v>
      </c>
      <c r="QYY36" s="17">
        <f>'Form-Sb'!QZC94</f>
        <v>0</v>
      </c>
      <c r="QYZ36" s="17">
        <f>'Form-Sb'!QZD94</f>
        <v>0</v>
      </c>
      <c r="QZA36" s="17">
        <f>'Form-Sb'!QZE94</f>
        <v>0</v>
      </c>
      <c r="QZB36" s="17">
        <f>'Form-Sb'!QZF94</f>
        <v>0</v>
      </c>
      <c r="QZC36" s="17">
        <f>'Form-Sb'!QZG94</f>
        <v>0</v>
      </c>
      <c r="QZD36" s="17">
        <f>'Form-Sb'!QZH94</f>
        <v>0</v>
      </c>
      <c r="QZE36" s="17">
        <f>'Form-Sb'!QZI94</f>
        <v>0</v>
      </c>
      <c r="QZF36" s="17">
        <f>'Form-Sb'!QZJ94</f>
        <v>0</v>
      </c>
      <c r="QZG36" s="17">
        <f>'Form-Sb'!QZK94</f>
        <v>0</v>
      </c>
      <c r="QZH36" s="17">
        <f>'Form-Sb'!QZL94</f>
        <v>0</v>
      </c>
      <c r="QZI36" s="17">
        <f>'Form-Sb'!QZM94</f>
        <v>0</v>
      </c>
      <c r="QZJ36" s="17">
        <f>'Form-Sb'!QZN94</f>
        <v>0</v>
      </c>
      <c r="QZK36" s="17">
        <f>'Form-Sb'!QZO94</f>
        <v>0</v>
      </c>
      <c r="QZL36" s="17">
        <f>'Form-Sb'!QZP94</f>
        <v>0</v>
      </c>
      <c r="QZM36" s="17">
        <f>'Form-Sb'!QZQ94</f>
        <v>0</v>
      </c>
      <c r="QZN36" s="17">
        <f>'Form-Sb'!QZR94</f>
        <v>0</v>
      </c>
      <c r="QZO36" s="17">
        <f>'Form-Sb'!QZS94</f>
        <v>0</v>
      </c>
      <c r="QZP36" s="17">
        <f>'Form-Sb'!QZT94</f>
        <v>0</v>
      </c>
      <c r="QZQ36" s="17">
        <f>'Form-Sb'!QZU94</f>
        <v>0</v>
      </c>
      <c r="QZR36" s="17">
        <f>'Form-Sb'!QZV94</f>
        <v>0</v>
      </c>
      <c r="QZS36" s="17">
        <f>'Form-Sb'!QZW94</f>
        <v>0</v>
      </c>
      <c r="QZT36" s="17">
        <f>'Form-Sb'!QZX94</f>
        <v>0</v>
      </c>
      <c r="QZU36" s="17">
        <f>'Form-Sb'!QZY94</f>
        <v>0</v>
      </c>
      <c r="QZV36" s="17">
        <f>'Form-Sb'!QZZ94</f>
        <v>0</v>
      </c>
      <c r="QZW36" s="17">
        <f>'Form-Sb'!RAA94</f>
        <v>0</v>
      </c>
      <c r="QZX36" s="17">
        <f>'Form-Sb'!RAB94</f>
        <v>0</v>
      </c>
      <c r="QZY36" s="17">
        <f>'Form-Sb'!RAC94</f>
        <v>0</v>
      </c>
      <c r="QZZ36" s="17">
        <f>'Form-Sb'!RAD94</f>
        <v>0</v>
      </c>
      <c r="RAA36" s="17">
        <f>'Form-Sb'!RAE94</f>
        <v>0</v>
      </c>
      <c r="RAB36" s="17">
        <f>'Form-Sb'!RAF94</f>
        <v>0</v>
      </c>
      <c r="RAC36" s="17">
        <f>'Form-Sb'!RAG94</f>
        <v>0</v>
      </c>
      <c r="RAD36" s="17">
        <f>'Form-Sb'!RAH94</f>
        <v>0</v>
      </c>
      <c r="RAE36" s="17">
        <f>'Form-Sb'!RAI94</f>
        <v>0</v>
      </c>
      <c r="RAF36" s="17">
        <f>'Form-Sb'!RAJ94</f>
        <v>0</v>
      </c>
      <c r="RAG36" s="17">
        <f>'Form-Sb'!RAK94</f>
        <v>0</v>
      </c>
      <c r="RAH36" s="17">
        <f>'Form-Sb'!RAL94</f>
        <v>0</v>
      </c>
      <c r="RAI36" s="17">
        <f>'Form-Sb'!RAM94</f>
        <v>0</v>
      </c>
      <c r="RAJ36" s="17">
        <f>'Form-Sb'!RAN94</f>
        <v>0</v>
      </c>
      <c r="RAK36" s="17">
        <f>'Form-Sb'!RAO94</f>
        <v>0</v>
      </c>
      <c r="RAL36" s="17">
        <f>'Form-Sb'!RAP94</f>
        <v>0</v>
      </c>
      <c r="RAM36" s="17">
        <f>'Form-Sb'!RAQ94</f>
        <v>0</v>
      </c>
      <c r="RAN36" s="17">
        <f>'Form-Sb'!RAR94</f>
        <v>0</v>
      </c>
      <c r="RAO36" s="17">
        <f>'Form-Sb'!RAS94</f>
        <v>0</v>
      </c>
      <c r="RAP36" s="17">
        <f>'Form-Sb'!RAT94</f>
        <v>0</v>
      </c>
      <c r="RAQ36" s="17">
        <f>'Form-Sb'!RAU94</f>
        <v>0</v>
      </c>
      <c r="RAR36" s="17">
        <f>'Form-Sb'!RAV94</f>
        <v>0</v>
      </c>
      <c r="RAS36" s="17">
        <f>'Form-Sb'!RAW94</f>
        <v>0</v>
      </c>
      <c r="RAT36" s="17">
        <f>'Form-Sb'!RAX94</f>
        <v>0</v>
      </c>
      <c r="RAU36" s="17">
        <f>'Form-Sb'!RAY94</f>
        <v>0</v>
      </c>
      <c r="RAV36" s="17">
        <f>'Form-Sb'!RAZ94</f>
        <v>0</v>
      </c>
      <c r="RAW36" s="17">
        <f>'Form-Sb'!RBA94</f>
        <v>0</v>
      </c>
      <c r="RAX36" s="17">
        <f>'Form-Sb'!RBB94</f>
        <v>0</v>
      </c>
      <c r="RAY36" s="17">
        <f>'Form-Sb'!RBC94</f>
        <v>0</v>
      </c>
      <c r="RAZ36" s="17">
        <f>'Form-Sb'!RBD94</f>
        <v>0</v>
      </c>
      <c r="RBA36" s="17">
        <f>'Form-Sb'!RBE94</f>
        <v>0</v>
      </c>
      <c r="RBB36" s="17">
        <f>'Form-Sb'!RBF94</f>
        <v>0</v>
      </c>
      <c r="RBC36" s="17">
        <f>'Form-Sb'!RBG94</f>
        <v>0</v>
      </c>
      <c r="RBD36" s="17">
        <f>'Form-Sb'!RBH94</f>
        <v>0</v>
      </c>
      <c r="RBE36" s="17">
        <f>'Form-Sb'!RBI94</f>
        <v>0</v>
      </c>
      <c r="RBF36" s="17">
        <f>'Form-Sb'!RBJ94</f>
        <v>0</v>
      </c>
      <c r="RBG36" s="17">
        <f>'Form-Sb'!RBK94</f>
        <v>0</v>
      </c>
      <c r="RBH36" s="17">
        <f>'Form-Sb'!RBL94</f>
        <v>0</v>
      </c>
      <c r="RBI36" s="17">
        <f>'Form-Sb'!RBM94</f>
        <v>0</v>
      </c>
      <c r="RBJ36" s="17">
        <f>'Form-Sb'!RBN94</f>
        <v>0</v>
      </c>
      <c r="RBK36" s="17">
        <f>'Form-Sb'!RBO94</f>
        <v>0</v>
      </c>
      <c r="RBL36" s="17">
        <f>'Form-Sb'!RBP94</f>
        <v>0</v>
      </c>
      <c r="RBM36" s="17">
        <f>'Form-Sb'!RBQ94</f>
        <v>0</v>
      </c>
      <c r="RBN36" s="17">
        <f>'Form-Sb'!RBR94</f>
        <v>0</v>
      </c>
      <c r="RBO36" s="17">
        <f>'Form-Sb'!RBS94</f>
        <v>0</v>
      </c>
      <c r="RBP36" s="17">
        <f>'Form-Sb'!RBT94</f>
        <v>0</v>
      </c>
      <c r="RBQ36" s="17">
        <f>'Form-Sb'!RBU94</f>
        <v>0</v>
      </c>
      <c r="RBR36" s="17">
        <f>'Form-Sb'!RBV94</f>
        <v>0</v>
      </c>
      <c r="RBS36" s="17">
        <f>'Form-Sb'!RBW94</f>
        <v>0</v>
      </c>
      <c r="RBT36" s="17">
        <f>'Form-Sb'!RBX94</f>
        <v>0</v>
      </c>
      <c r="RBU36" s="17">
        <f>'Form-Sb'!RBY94</f>
        <v>0</v>
      </c>
      <c r="RBV36" s="17">
        <f>'Form-Sb'!RBZ94</f>
        <v>0</v>
      </c>
      <c r="RBW36" s="17">
        <f>'Form-Sb'!RCA94</f>
        <v>0</v>
      </c>
      <c r="RBX36" s="17">
        <f>'Form-Sb'!RCB94</f>
        <v>0</v>
      </c>
      <c r="RBY36" s="17">
        <f>'Form-Sb'!RCC94</f>
        <v>0</v>
      </c>
      <c r="RBZ36" s="17">
        <f>'Form-Sb'!RCD94</f>
        <v>0</v>
      </c>
      <c r="RCA36" s="17">
        <f>'Form-Sb'!RCE94</f>
        <v>0</v>
      </c>
      <c r="RCB36" s="17">
        <f>'Form-Sb'!RCF94</f>
        <v>0</v>
      </c>
      <c r="RCC36" s="17">
        <f>'Form-Sb'!RCG94</f>
        <v>0</v>
      </c>
      <c r="RCD36" s="17">
        <f>'Form-Sb'!RCH94</f>
        <v>0</v>
      </c>
      <c r="RCE36" s="17">
        <f>'Form-Sb'!RCI94</f>
        <v>0</v>
      </c>
      <c r="RCF36" s="17">
        <f>'Form-Sb'!RCJ94</f>
        <v>0</v>
      </c>
      <c r="RCG36" s="17">
        <f>'Form-Sb'!RCK94</f>
        <v>0</v>
      </c>
      <c r="RCH36" s="17">
        <f>'Form-Sb'!RCL94</f>
        <v>0</v>
      </c>
      <c r="RCI36" s="17">
        <f>'Form-Sb'!RCM94</f>
        <v>0</v>
      </c>
      <c r="RCJ36" s="17">
        <f>'Form-Sb'!RCN94</f>
        <v>0</v>
      </c>
      <c r="RCK36" s="17">
        <f>'Form-Sb'!RCO94</f>
        <v>0</v>
      </c>
      <c r="RCL36" s="17">
        <f>'Form-Sb'!RCP94</f>
        <v>0</v>
      </c>
      <c r="RCM36" s="17">
        <f>'Form-Sb'!RCQ94</f>
        <v>0</v>
      </c>
      <c r="RCN36" s="17">
        <f>'Form-Sb'!RCR94</f>
        <v>0</v>
      </c>
      <c r="RCO36" s="17">
        <f>'Form-Sb'!RCS94</f>
        <v>0</v>
      </c>
      <c r="RCP36" s="17">
        <f>'Form-Sb'!RCT94</f>
        <v>0</v>
      </c>
      <c r="RCQ36" s="17">
        <f>'Form-Sb'!RCU94</f>
        <v>0</v>
      </c>
      <c r="RCR36" s="17">
        <f>'Form-Sb'!RCV94</f>
        <v>0</v>
      </c>
      <c r="RCS36" s="17">
        <f>'Form-Sb'!RCW94</f>
        <v>0</v>
      </c>
      <c r="RCT36" s="17">
        <f>'Form-Sb'!RCX94</f>
        <v>0</v>
      </c>
      <c r="RCU36" s="17">
        <f>'Form-Sb'!RCY94</f>
        <v>0</v>
      </c>
      <c r="RCV36" s="17">
        <f>'Form-Sb'!RCZ94</f>
        <v>0</v>
      </c>
      <c r="RCW36" s="17">
        <f>'Form-Sb'!RDA94</f>
        <v>0</v>
      </c>
      <c r="RCX36" s="17">
        <f>'Form-Sb'!RDB94</f>
        <v>0</v>
      </c>
      <c r="RCY36" s="17">
        <f>'Form-Sb'!RDC94</f>
        <v>0</v>
      </c>
      <c r="RCZ36" s="17">
        <f>'Form-Sb'!RDD94</f>
        <v>0</v>
      </c>
      <c r="RDA36" s="17">
        <f>'Form-Sb'!RDE94</f>
        <v>0</v>
      </c>
      <c r="RDB36" s="17">
        <f>'Form-Sb'!RDF94</f>
        <v>0</v>
      </c>
      <c r="RDC36" s="17">
        <f>'Form-Sb'!RDG94</f>
        <v>0</v>
      </c>
      <c r="RDD36" s="17">
        <f>'Form-Sb'!RDH94</f>
        <v>0</v>
      </c>
      <c r="RDE36" s="17">
        <f>'Form-Sb'!RDI94</f>
        <v>0</v>
      </c>
      <c r="RDF36" s="17">
        <f>'Form-Sb'!RDJ94</f>
        <v>0</v>
      </c>
      <c r="RDG36" s="17">
        <f>'Form-Sb'!RDK94</f>
        <v>0</v>
      </c>
      <c r="RDH36" s="17">
        <f>'Form-Sb'!RDL94</f>
        <v>0</v>
      </c>
      <c r="RDI36" s="17">
        <f>'Form-Sb'!RDM94</f>
        <v>0</v>
      </c>
      <c r="RDJ36" s="17">
        <f>'Form-Sb'!RDN94</f>
        <v>0</v>
      </c>
      <c r="RDK36" s="17">
        <f>'Form-Sb'!RDO94</f>
        <v>0</v>
      </c>
      <c r="RDL36" s="17">
        <f>'Form-Sb'!RDP94</f>
        <v>0</v>
      </c>
      <c r="RDM36" s="17">
        <f>'Form-Sb'!RDQ94</f>
        <v>0</v>
      </c>
      <c r="RDN36" s="17">
        <f>'Form-Sb'!RDR94</f>
        <v>0</v>
      </c>
      <c r="RDO36" s="17">
        <f>'Form-Sb'!RDS94</f>
        <v>0</v>
      </c>
      <c r="RDP36" s="17">
        <f>'Form-Sb'!RDT94</f>
        <v>0</v>
      </c>
      <c r="RDQ36" s="17">
        <f>'Form-Sb'!RDU94</f>
        <v>0</v>
      </c>
      <c r="RDR36" s="17">
        <f>'Form-Sb'!RDV94</f>
        <v>0</v>
      </c>
      <c r="RDS36" s="17">
        <f>'Form-Sb'!RDW94</f>
        <v>0</v>
      </c>
      <c r="RDT36" s="17">
        <f>'Form-Sb'!RDX94</f>
        <v>0</v>
      </c>
      <c r="RDU36" s="17">
        <f>'Form-Sb'!RDY94</f>
        <v>0</v>
      </c>
      <c r="RDV36" s="17">
        <f>'Form-Sb'!RDZ94</f>
        <v>0</v>
      </c>
      <c r="RDW36" s="17">
        <f>'Form-Sb'!REA94</f>
        <v>0</v>
      </c>
      <c r="RDX36" s="17">
        <f>'Form-Sb'!REB94</f>
        <v>0</v>
      </c>
      <c r="RDY36" s="17">
        <f>'Form-Sb'!REC94</f>
        <v>0</v>
      </c>
      <c r="RDZ36" s="17">
        <f>'Form-Sb'!RED94</f>
        <v>0</v>
      </c>
      <c r="REA36" s="17">
        <f>'Form-Sb'!REE94</f>
        <v>0</v>
      </c>
      <c r="REB36" s="17">
        <f>'Form-Sb'!REF94</f>
        <v>0</v>
      </c>
      <c r="REC36" s="17">
        <f>'Form-Sb'!REG94</f>
        <v>0</v>
      </c>
      <c r="RED36" s="17">
        <f>'Form-Sb'!REH94</f>
        <v>0</v>
      </c>
      <c r="REE36" s="17">
        <f>'Form-Sb'!REI94</f>
        <v>0</v>
      </c>
      <c r="REF36" s="17">
        <f>'Form-Sb'!REJ94</f>
        <v>0</v>
      </c>
      <c r="REG36" s="17">
        <f>'Form-Sb'!REK94</f>
        <v>0</v>
      </c>
      <c r="REH36" s="17">
        <f>'Form-Sb'!REL94</f>
        <v>0</v>
      </c>
      <c r="REI36" s="17">
        <f>'Form-Sb'!REM94</f>
        <v>0</v>
      </c>
      <c r="REJ36" s="17">
        <f>'Form-Sb'!REN94</f>
        <v>0</v>
      </c>
      <c r="REK36" s="17">
        <f>'Form-Sb'!REO94</f>
        <v>0</v>
      </c>
      <c r="REL36" s="17">
        <f>'Form-Sb'!REP94</f>
        <v>0</v>
      </c>
      <c r="REM36" s="17">
        <f>'Form-Sb'!REQ94</f>
        <v>0</v>
      </c>
      <c r="REN36" s="17">
        <f>'Form-Sb'!RER94</f>
        <v>0</v>
      </c>
      <c r="REO36" s="17">
        <f>'Form-Sb'!RES94</f>
        <v>0</v>
      </c>
      <c r="REP36" s="17">
        <f>'Form-Sb'!RET94</f>
        <v>0</v>
      </c>
      <c r="REQ36" s="17">
        <f>'Form-Sb'!REU94</f>
        <v>0</v>
      </c>
      <c r="RER36" s="17">
        <f>'Form-Sb'!REV94</f>
        <v>0</v>
      </c>
      <c r="RES36" s="17">
        <f>'Form-Sb'!REW94</f>
        <v>0</v>
      </c>
      <c r="RET36" s="17">
        <f>'Form-Sb'!REX94</f>
        <v>0</v>
      </c>
      <c r="REU36" s="17">
        <f>'Form-Sb'!REY94</f>
        <v>0</v>
      </c>
      <c r="REV36" s="17">
        <f>'Form-Sb'!REZ94</f>
        <v>0</v>
      </c>
      <c r="REW36" s="17">
        <f>'Form-Sb'!RFA94</f>
        <v>0</v>
      </c>
      <c r="REX36" s="17">
        <f>'Form-Sb'!RFB94</f>
        <v>0</v>
      </c>
      <c r="REY36" s="17">
        <f>'Form-Sb'!RFC94</f>
        <v>0</v>
      </c>
      <c r="REZ36" s="17">
        <f>'Form-Sb'!RFD94</f>
        <v>0</v>
      </c>
      <c r="RFA36" s="17">
        <f>'Form-Sb'!RFE94</f>
        <v>0</v>
      </c>
      <c r="RFB36" s="17">
        <f>'Form-Sb'!RFF94</f>
        <v>0</v>
      </c>
      <c r="RFC36" s="17">
        <f>'Form-Sb'!RFG94</f>
        <v>0</v>
      </c>
      <c r="RFD36" s="17">
        <f>'Form-Sb'!RFH94</f>
        <v>0</v>
      </c>
      <c r="RFE36" s="17">
        <f>'Form-Sb'!RFI94</f>
        <v>0</v>
      </c>
      <c r="RFF36" s="17">
        <f>'Form-Sb'!RFJ94</f>
        <v>0</v>
      </c>
      <c r="RFG36" s="17">
        <f>'Form-Sb'!RFK94</f>
        <v>0</v>
      </c>
      <c r="RFH36" s="17">
        <f>'Form-Sb'!RFL94</f>
        <v>0</v>
      </c>
      <c r="RFI36" s="17">
        <f>'Form-Sb'!RFM94</f>
        <v>0</v>
      </c>
      <c r="RFJ36" s="17">
        <f>'Form-Sb'!RFN94</f>
        <v>0</v>
      </c>
      <c r="RFK36" s="17">
        <f>'Form-Sb'!RFO94</f>
        <v>0</v>
      </c>
      <c r="RFL36" s="17">
        <f>'Form-Sb'!RFP94</f>
        <v>0</v>
      </c>
      <c r="RFM36" s="17">
        <f>'Form-Sb'!RFQ94</f>
        <v>0</v>
      </c>
      <c r="RFN36" s="17">
        <f>'Form-Sb'!RFR94</f>
        <v>0</v>
      </c>
      <c r="RFO36" s="17">
        <f>'Form-Sb'!RFS94</f>
        <v>0</v>
      </c>
      <c r="RFP36" s="17">
        <f>'Form-Sb'!RFT94</f>
        <v>0</v>
      </c>
      <c r="RFQ36" s="17">
        <f>'Form-Sb'!RFU94</f>
        <v>0</v>
      </c>
      <c r="RFR36" s="17">
        <f>'Form-Sb'!RFV94</f>
        <v>0</v>
      </c>
      <c r="RFS36" s="17">
        <f>'Form-Sb'!RFW94</f>
        <v>0</v>
      </c>
      <c r="RFT36" s="17">
        <f>'Form-Sb'!RFX94</f>
        <v>0</v>
      </c>
      <c r="RFU36" s="17">
        <f>'Form-Sb'!RFY94</f>
        <v>0</v>
      </c>
      <c r="RFV36" s="17">
        <f>'Form-Sb'!RFZ94</f>
        <v>0</v>
      </c>
      <c r="RFW36" s="17">
        <f>'Form-Sb'!RGA94</f>
        <v>0</v>
      </c>
      <c r="RFX36" s="17">
        <f>'Form-Sb'!RGB94</f>
        <v>0</v>
      </c>
      <c r="RFY36" s="17">
        <f>'Form-Sb'!RGC94</f>
        <v>0</v>
      </c>
      <c r="RFZ36" s="17">
        <f>'Form-Sb'!RGD94</f>
        <v>0</v>
      </c>
      <c r="RGA36" s="17">
        <f>'Form-Sb'!RGE94</f>
        <v>0</v>
      </c>
      <c r="RGB36" s="17">
        <f>'Form-Sb'!RGF94</f>
        <v>0</v>
      </c>
      <c r="RGC36" s="17">
        <f>'Form-Sb'!RGG94</f>
        <v>0</v>
      </c>
      <c r="RGD36" s="17">
        <f>'Form-Sb'!RGH94</f>
        <v>0</v>
      </c>
      <c r="RGE36" s="17">
        <f>'Form-Sb'!RGI94</f>
        <v>0</v>
      </c>
      <c r="RGF36" s="17">
        <f>'Form-Sb'!RGJ94</f>
        <v>0</v>
      </c>
      <c r="RGG36" s="17">
        <f>'Form-Sb'!RGK94</f>
        <v>0</v>
      </c>
      <c r="RGH36" s="17">
        <f>'Form-Sb'!RGL94</f>
        <v>0</v>
      </c>
      <c r="RGI36" s="17">
        <f>'Form-Sb'!RGM94</f>
        <v>0</v>
      </c>
      <c r="RGJ36" s="17">
        <f>'Form-Sb'!RGN94</f>
        <v>0</v>
      </c>
      <c r="RGK36" s="17">
        <f>'Form-Sb'!RGO94</f>
        <v>0</v>
      </c>
      <c r="RGL36" s="17">
        <f>'Form-Sb'!RGP94</f>
        <v>0</v>
      </c>
      <c r="RGM36" s="17">
        <f>'Form-Sb'!RGQ94</f>
        <v>0</v>
      </c>
      <c r="RGN36" s="17">
        <f>'Form-Sb'!RGR94</f>
        <v>0</v>
      </c>
      <c r="RGO36" s="17">
        <f>'Form-Sb'!RGS94</f>
        <v>0</v>
      </c>
      <c r="RGP36" s="17">
        <f>'Form-Sb'!RGT94</f>
        <v>0</v>
      </c>
      <c r="RGQ36" s="17">
        <f>'Form-Sb'!RGU94</f>
        <v>0</v>
      </c>
      <c r="RGR36" s="17">
        <f>'Form-Sb'!RGV94</f>
        <v>0</v>
      </c>
      <c r="RGS36" s="17">
        <f>'Form-Sb'!RGW94</f>
        <v>0</v>
      </c>
      <c r="RGT36" s="17">
        <f>'Form-Sb'!RGX94</f>
        <v>0</v>
      </c>
      <c r="RGU36" s="17">
        <f>'Form-Sb'!RGY94</f>
        <v>0</v>
      </c>
      <c r="RGV36" s="17">
        <f>'Form-Sb'!RGZ94</f>
        <v>0</v>
      </c>
      <c r="RGW36" s="17">
        <f>'Form-Sb'!RHA94</f>
        <v>0</v>
      </c>
      <c r="RGX36" s="17">
        <f>'Form-Sb'!RHB94</f>
        <v>0</v>
      </c>
      <c r="RGY36" s="17">
        <f>'Form-Sb'!RHC94</f>
        <v>0</v>
      </c>
      <c r="RGZ36" s="17">
        <f>'Form-Sb'!RHD94</f>
        <v>0</v>
      </c>
      <c r="RHA36" s="17">
        <f>'Form-Sb'!RHE94</f>
        <v>0</v>
      </c>
      <c r="RHB36" s="17">
        <f>'Form-Sb'!RHF94</f>
        <v>0</v>
      </c>
      <c r="RHC36" s="17">
        <f>'Form-Sb'!RHG94</f>
        <v>0</v>
      </c>
      <c r="RHD36" s="17">
        <f>'Form-Sb'!RHH94</f>
        <v>0</v>
      </c>
      <c r="RHE36" s="17">
        <f>'Form-Sb'!RHI94</f>
        <v>0</v>
      </c>
      <c r="RHF36" s="17">
        <f>'Form-Sb'!RHJ94</f>
        <v>0</v>
      </c>
      <c r="RHG36" s="17">
        <f>'Form-Sb'!RHK94</f>
        <v>0</v>
      </c>
      <c r="RHH36" s="17">
        <f>'Form-Sb'!RHL94</f>
        <v>0</v>
      </c>
      <c r="RHI36" s="17">
        <f>'Form-Sb'!RHM94</f>
        <v>0</v>
      </c>
      <c r="RHJ36" s="17">
        <f>'Form-Sb'!RHN94</f>
        <v>0</v>
      </c>
      <c r="RHK36" s="17">
        <f>'Form-Sb'!RHO94</f>
        <v>0</v>
      </c>
      <c r="RHL36" s="17">
        <f>'Form-Sb'!RHP94</f>
        <v>0</v>
      </c>
      <c r="RHM36" s="17">
        <f>'Form-Sb'!RHQ94</f>
        <v>0</v>
      </c>
      <c r="RHN36" s="17">
        <f>'Form-Sb'!RHR94</f>
        <v>0</v>
      </c>
      <c r="RHO36" s="17">
        <f>'Form-Sb'!RHS94</f>
        <v>0</v>
      </c>
      <c r="RHP36" s="17">
        <f>'Form-Sb'!RHT94</f>
        <v>0</v>
      </c>
      <c r="RHQ36" s="17">
        <f>'Form-Sb'!RHU94</f>
        <v>0</v>
      </c>
      <c r="RHR36" s="17">
        <f>'Form-Sb'!RHV94</f>
        <v>0</v>
      </c>
      <c r="RHS36" s="17">
        <f>'Form-Sb'!RHW94</f>
        <v>0</v>
      </c>
      <c r="RHT36" s="17">
        <f>'Form-Sb'!RHX94</f>
        <v>0</v>
      </c>
      <c r="RHU36" s="17">
        <f>'Form-Sb'!RHY94</f>
        <v>0</v>
      </c>
      <c r="RHV36" s="17">
        <f>'Form-Sb'!RHZ94</f>
        <v>0</v>
      </c>
      <c r="RHW36" s="17">
        <f>'Form-Sb'!RIA94</f>
        <v>0</v>
      </c>
      <c r="RHX36" s="17">
        <f>'Form-Sb'!RIB94</f>
        <v>0</v>
      </c>
      <c r="RHY36" s="17">
        <f>'Form-Sb'!RIC94</f>
        <v>0</v>
      </c>
      <c r="RHZ36" s="17">
        <f>'Form-Sb'!RID94</f>
        <v>0</v>
      </c>
      <c r="RIA36" s="17">
        <f>'Form-Sb'!RIE94</f>
        <v>0</v>
      </c>
      <c r="RIB36" s="17">
        <f>'Form-Sb'!RIF94</f>
        <v>0</v>
      </c>
      <c r="RIC36" s="17">
        <f>'Form-Sb'!RIG94</f>
        <v>0</v>
      </c>
      <c r="RID36" s="17">
        <f>'Form-Sb'!RIH94</f>
        <v>0</v>
      </c>
      <c r="RIE36" s="17">
        <f>'Form-Sb'!RII94</f>
        <v>0</v>
      </c>
      <c r="RIF36" s="17">
        <f>'Form-Sb'!RIJ94</f>
        <v>0</v>
      </c>
      <c r="RIG36" s="17">
        <f>'Form-Sb'!RIK94</f>
        <v>0</v>
      </c>
      <c r="RIH36" s="17">
        <f>'Form-Sb'!RIL94</f>
        <v>0</v>
      </c>
      <c r="RII36" s="17">
        <f>'Form-Sb'!RIM94</f>
        <v>0</v>
      </c>
      <c r="RIJ36" s="17">
        <f>'Form-Sb'!RIN94</f>
        <v>0</v>
      </c>
      <c r="RIK36" s="17">
        <f>'Form-Sb'!RIO94</f>
        <v>0</v>
      </c>
      <c r="RIL36" s="17">
        <f>'Form-Sb'!RIP94</f>
        <v>0</v>
      </c>
      <c r="RIM36" s="17">
        <f>'Form-Sb'!RIQ94</f>
        <v>0</v>
      </c>
      <c r="RIN36" s="17">
        <f>'Form-Sb'!RIR94</f>
        <v>0</v>
      </c>
      <c r="RIO36" s="17">
        <f>'Form-Sb'!RIS94</f>
        <v>0</v>
      </c>
      <c r="RIP36" s="17">
        <f>'Form-Sb'!RIT94</f>
        <v>0</v>
      </c>
      <c r="RIQ36" s="17">
        <f>'Form-Sb'!RIU94</f>
        <v>0</v>
      </c>
      <c r="RIR36" s="17">
        <f>'Form-Sb'!RIV94</f>
        <v>0</v>
      </c>
      <c r="RIS36" s="17">
        <f>'Form-Sb'!RIW94</f>
        <v>0</v>
      </c>
      <c r="RIT36" s="17">
        <f>'Form-Sb'!RIX94</f>
        <v>0</v>
      </c>
      <c r="RIU36" s="17">
        <f>'Form-Sb'!RIY94</f>
        <v>0</v>
      </c>
      <c r="RIV36" s="17">
        <f>'Form-Sb'!RIZ94</f>
        <v>0</v>
      </c>
      <c r="RIW36" s="17">
        <f>'Form-Sb'!RJA94</f>
        <v>0</v>
      </c>
      <c r="RIX36" s="17">
        <f>'Form-Sb'!RJB94</f>
        <v>0</v>
      </c>
      <c r="RIY36" s="17">
        <f>'Form-Sb'!RJC94</f>
        <v>0</v>
      </c>
      <c r="RIZ36" s="17">
        <f>'Form-Sb'!RJD94</f>
        <v>0</v>
      </c>
      <c r="RJA36" s="17">
        <f>'Form-Sb'!RJE94</f>
        <v>0</v>
      </c>
      <c r="RJB36" s="17">
        <f>'Form-Sb'!RJF94</f>
        <v>0</v>
      </c>
      <c r="RJC36" s="17">
        <f>'Form-Sb'!RJG94</f>
        <v>0</v>
      </c>
      <c r="RJD36" s="17">
        <f>'Form-Sb'!RJH94</f>
        <v>0</v>
      </c>
      <c r="RJE36" s="17">
        <f>'Form-Sb'!RJI94</f>
        <v>0</v>
      </c>
      <c r="RJF36" s="17">
        <f>'Form-Sb'!RJJ94</f>
        <v>0</v>
      </c>
      <c r="RJG36" s="17">
        <f>'Form-Sb'!RJK94</f>
        <v>0</v>
      </c>
      <c r="RJH36" s="17">
        <f>'Form-Sb'!RJL94</f>
        <v>0</v>
      </c>
      <c r="RJI36" s="17">
        <f>'Form-Sb'!RJM94</f>
        <v>0</v>
      </c>
      <c r="RJJ36" s="17">
        <f>'Form-Sb'!RJN94</f>
        <v>0</v>
      </c>
      <c r="RJK36" s="17">
        <f>'Form-Sb'!RJO94</f>
        <v>0</v>
      </c>
      <c r="RJL36" s="17">
        <f>'Form-Sb'!RJP94</f>
        <v>0</v>
      </c>
      <c r="RJM36" s="17">
        <f>'Form-Sb'!RJQ94</f>
        <v>0</v>
      </c>
      <c r="RJN36" s="17">
        <f>'Form-Sb'!RJR94</f>
        <v>0</v>
      </c>
      <c r="RJO36" s="17">
        <f>'Form-Sb'!RJS94</f>
        <v>0</v>
      </c>
      <c r="RJP36" s="17">
        <f>'Form-Sb'!RJT94</f>
        <v>0</v>
      </c>
      <c r="RJQ36" s="17">
        <f>'Form-Sb'!RJU94</f>
        <v>0</v>
      </c>
      <c r="RJR36" s="17">
        <f>'Form-Sb'!RJV94</f>
        <v>0</v>
      </c>
      <c r="RJS36" s="17">
        <f>'Form-Sb'!RJW94</f>
        <v>0</v>
      </c>
      <c r="RJT36" s="17">
        <f>'Form-Sb'!RJX94</f>
        <v>0</v>
      </c>
      <c r="RJU36" s="17">
        <f>'Form-Sb'!RJY94</f>
        <v>0</v>
      </c>
      <c r="RJV36" s="17">
        <f>'Form-Sb'!RJZ94</f>
        <v>0</v>
      </c>
      <c r="RJW36" s="17">
        <f>'Form-Sb'!RKA94</f>
        <v>0</v>
      </c>
      <c r="RJX36" s="17">
        <f>'Form-Sb'!RKB94</f>
        <v>0</v>
      </c>
      <c r="RJY36" s="17">
        <f>'Form-Sb'!RKC94</f>
        <v>0</v>
      </c>
      <c r="RJZ36" s="17">
        <f>'Form-Sb'!RKD94</f>
        <v>0</v>
      </c>
      <c r="RKA36" s="17">
        <f>'Form-Sb'!RKE94</f>
        <v>0</v>
      </c>
      <c r="RKB36" s="17">
        <f>'Form-Sb'!RKF94</f>
        <v>0</v>
      </c>
      <c r="RKC36" s="17">
        <f>'Form-Sb'!RKG94</f>
        <v>0</v>
      </c>
      <c r="RKD36" s="17">
        <f>'Form-Sb'!RKH94</f>
        <v>0</v>
      </c>
      <c r="RKE36" s="17">
        <f>'Form-Sb'!RKI94</f>
        <v>0</v>
      </c>
      <c r="RKF36" s="17">
        <f>'Form-Sb'!RKJ94</f>
        <v>0</v>
      </c>
      <c r="RKG36" s="17">
        <f>'Form-Sb'!RKK94</f>
        <v>0</v>
      </c>
      <c r="RKH36" s="17">
        <f>'Form-Sb'!RKL94</f>
        <v>0</v>
      </c>
      <c r="RKI36" s="17">
        <f>'Form-Sb'!RKM94</f>
        <v>0</v>
      </c>
      <c r="RKJ36" s="17">
        <f>'Form-Sb'!RKN94</f>
        <v>0</v>
      </c>
      <c r="RKK36" s="17">
        <f>'Form-Sb'!RKO94</f>
        <v>0</v>
      </c>
      <c r="RKL36" s="17">
        <f>'Form-Sb'!RKP94</f>
        <v>0</v>
      </c>
      <c r="RKM36" s="17">
        <f>'Form-Sb'!RKQ94</f>
        <v>0</v>
      </c>
      <c r="RKN36" s="17">
        <f>'Form-Sb'!RKR94</f>
        <v>0</v>
      </c>
      <c r="RKO36" s="17">
        <f>'Form-Sb'!RKS94</f>
        <v>0</v>
      </c>
      <c r="RKP36" s="17">
        <f>'Form-Sb'!RKT94</f>
        <v>0</v>
      </c>
      <c r="RKQ36" s="17">
        <f>'Form-Sb'!RKU94</f>
        <v>0</v>
      </c>
      <c r="RKR36" s="17">
        <f>'Form-Sb'!RKV94</f>
        <v>0</v>
      </c>
      <c r="RKS36" s="17">
        <f>'Form-Sb'!RKW94</f>
        <v>0</v>
      </c>
      <c r="RKT36" s="17">
        <f>'Form-Sb'!RKX94</f>
        <v>0</v>
      </c>
      <c r="RKU36" s="17">
        <f>'Form-Sb'!RKY94</f>
        <v>0</v>
      </c>
      <c r="RKV36" s="17">
        <f>'Form-Sb'!RKZ94</f>
        <v>0</v>
      </c>
      <c r="RKW36" s="17">
        <f>'Form-Sb'!RLA94</f>
        <v>0</v>
      </c>
      <c r="RKX36" s="17">
        <f>'Form-Sb'!RLB94</f>
        <v>0</v>
      </c>
      <c r="RKY36" s="17">
        <f>'Form-Sb'!RLC94</f>
        <v>0</v>
      </c>
      <c r="RKZ36" s="17">
        <f>'Form-Sb'!RLD94</f>
        <v>0</v>
      </c>
      <c r="RLA36" s="17">
        <f>'Form-Sb'!RLE94</f>
        <v>0</v>
      </c>
      <c r="RLB36" s="17">
        <f>'Form-Sb'!RLF94</f>
        <v>0</v>
      </c>
      <c r="RLC36" s="17">
        <f>'Form-Sb'!RLG94</f>
        <v>0</v>
      </c>
      <c r="RLD36" s="17">
        <f>'Form-Sb'!RLH94</f>
        <v>0</v>
      </c>
      <c r="RLE36" s="17">
        <f>'Form-Sb'!RLI94</f>
        <v>0</v>
      </c>
      <c r="RLF36" s="17">
        <f>'Form-Sb'!RLJ94</f>
        <v>0</v>
      </c>
      <c r="RLG36" s="17">
        <f>'Form-Sb'!RLK94</f>
        <v>0</v>
      </c>
      <c r="RLH36" s="17">
        <f>'Form-Sb'!RLL94</f>
        <v>0</v>
      </c>
      <c r="RLI36" s="17">
        <f>'Form-Sb'!RLM94</f>
        <v>0</v>
      </c>
      <c r="RLJ36" s="17">
        <f>'Form-Sb'!RLN94</f>
        <v>0</v>
      </c>
      <c r="RLK36" s="17">
        <f>'Form-Sb'!RLO94</f>
        <v>0</v>
      </c>
      <c r="RLL36" s="17">
        <f>'Form-Sb'!RLP94</f>
        <v>0</v>
      </c>
      <c r="RLM36" s="17">
        <f>'Form-Sb'!RLQ94</f>
        <v>0</v>
      </c>
      <c r="RLN36" s="17">
        <f>'Form-Sb'!RLR94</f>
        <v>0</v>
      </c>
      <c r="RLO36" s="17">
        <f>'Form-Sb'!RLS94</f>
        <v>0</v>
      </c>
      <c r="RLP36" s="17">
        <f>'Form-Sb'!RLT94</f>
        <v>0</v>
      </c>
      <c r="RLQ36" s="17">
        <f>'Form-Sb'!RLU94</f>
        <v>0</v>
      </c>
      <c r="RLR36" s="17">
        <f>'Form-Sb'!RLV94</f>
        <v>0</v>
      </c>
      <c r="RLS36" s="17">
        <f>'Form-Sb'!RLW94</f>
        <v>0</v>
      </c>
      <c r="RLT36" s="17">
        <f>'Form-Sb'!RLX94</f>
        <v>0</v>
      </c>
      <c r="RLU36" s="17">
        <f>'Form-Sb'!RLY94</f>
        <v>0</v>
      </c>
      <c r="RLV36" s="17">
        <f>'Form-Sb'!RLZ94</f>
        <v>0</v>
      </c>
      <c r="RLW36" s="17">
        <f>'Form-Sb'!RMA94</f>
        <v>0</v>
      </c>
      <c r="RLX36" s="17">
        <f>'Form-Sb'!RMB94</f>
        <v>0</v>
      </c>
      <c r="RLY36" s="17">
        <f>'Form-Sb'!RMC94</f>
        <v>0</v>
      </c>
      <c r="RLZ36" s="17">
        <f>'Form-Sb'!RMD94</f>
        <v>0</v>
      </c>
      <c r="RMA36" s="17">
        <f>'Form-Sb'!RME94</f>
        <v>0</v>
      </c>
      <c r="RMB36" s="17">
        <f>'Form-Sb'!RMF94</f>
        <v>0</v>
      </c>
      <c r="RMC36" s="17">
        <f>'Form-Sb'!RMG94</f>
        <v>0</v>
      </c>
      <c r="RMD36" s="17">
        <f>'Form-Sb'!RMH94</f>
        <v>0</v>
      </c>
      <c r="RME36" s="17">
        <f>'Form-Sb'!RMI94</f>
        <v>0</v>
      </c>
      <c r="RMF36" s="17">
        <f>'Form-Sb'!RMJ94</f>
        <v>0</v>
      </c>
      <c r="RMG36" s="17">
        <f>'Form-Sb'!RMK94</f>
        <v>0</v>
      </c>
      <c r="RMH36" s="17">
        <f>'Form-Sb'!RML94</f>
        <v>0</v>
      </c>
      <c r="RMI36" s="17">
        <f>'Form-Sb'!RMM94</f>
        <v>0</v>
      </c>
      <c r="RMJ36" s="17">
        <f>'Form-Sb'!RMN94</f>
        <v>0</v>
      </c>
      <c r="RMK36" s="17">
        <f>'Form-Sb'!RMO94</f>
        <v>0</v>
      </c>
      <c r="RML36" s="17">
        <f>'Form-Sb'!RMP94</f>
        <v>0</v>
      </c>
      <c r="RMM36" s="17">
        <f>'Form-Sb'!RMQ94</f>
        <v>0</v>
      </c>
      <c r="RMN36" s="17">
        <f>'Form-Sb'!RMR94</f>
        <v>0</v>
      </c>
      <c r="RMO36" s="17">
        <f>'Form-Sb'!RMS94</f>
        <v>0</v>
      </c>
      <c r="RMP36" s="17">
        <f>'Form-Sb'!RMT94</f>
        <v>0</v>
      </c>
      <c r="RMQ36" s="17">
        <f>'Form-Sb'!RMU94</f>
        <v>0</v>
      </c>
      <c r="RMR36" s="17">
        <f>'Form-Sb'!RMV94</f>
        <v>0</v>
      </c>
      <c r="RMS36" s="17">
        <f>'Form-Sb'!RMW94</f>
        <v>0</v>
      </c>
      <c r="RMT36" s="17">
        <f>'Form-Sb'!RMX94</f>
        <v>0</v>
      </c>
      <c r="RMU36" s="17">
        <f>'Form-Sb'!RMY94</f>
        <v>0</v>
      </c>
      <c r="RMV36" s="17">
        <f>'Form-Sb'!RMZ94</f>
        <v>0</v>
      </c>
      <c r="RMW36" s="17">
        <f>'Form-Sb'!RNA94</f>
        <v>0</v>
      </c>
      <c r="RMX36" s="17">
        <f>'Form-Sb'!RNB94</f>
        <v>0</v>
      </c>
      <c r="RMY36" s="17">
        <f>'Form-Sb'!RNC94</f>
        <v>0</v>
      </c>
      <c r="RMZ36" s="17">
        <f>'Form-Sb'!RND94</f>
        <v>0</v>
      </c>
      <c r="RNA36" s="17">
        <f>'Form-Sb'!RNE94</f>
        <v>0</v>
      </c>
      <c r="RNB36" s="17">
        <f>'Form-Sb'!RNF94</f>
        <v>0</v>
      </c>
      <c r="RNC36" s="17">
        <f>'Form-Sb'!RNG94</f>
        <v>0</v>
      </c>
      <c r="RND36" s="17">
        <f>'Form-Sb'!RNH94</f>
        <v>0</v>
      </c>
      <c r="RNE36" s="17">
        <f>'Form-Sb'!RNI94</f>
        <v>0</v>
      </c>
      <c r="RNF36" s="17">
        <f>'Form-Sb'!RNJ94</f>
        <v>0</v>
      </c>
      <c r="RNG36" s="17">
        <f>'Form-Sb'!RNK94</f>
        <v>0</v>
      </c>
      <c r="RNH36" s="17">
        <f>'Form-Sb'!RNL94</f>
        <v>0</v>
      </c>
      <c r="RNI36" s="17">
        <f>'Form-Sb'!RNM94</f>
        <v>0</v>
      </c>
      <c r="RNJ36" s="17">
        <f>'Form-Sb'!RNN94</f>
        <v>0</v>
      </c>
      <c r="RNK36" s="17">
        <f>'Form-Sb'!RNO94</f>
        <v>0</v>
      </c>
      <c r="RNL36" s="17">
        <f>'Form-Sb'!RNP94</f>
        <v>0</v>
      </c>
      <c r="RNM36" s="17">
        <f>'Form-Sb'!RNQ94</f>
        <v>0</v>
      </c>
      <c r="RNN36" s="17">
        <f>'Form-Sb'!RNR94</f>
        <v>0</v>
      </c>
      <c r="RNO36" s="17">
        <f>'Form-Sb'!RNS94</f>
        <v>0</v>
      </c>
      <c r="RNP36" s="17">
        <f>'Form-Sb'!RNT94</f>
        <v>0</v>
      </c>
      <c r="RNQ36" s="17">
        <f>'Form-Sb'!RNU94</f>
        <v>0</v>
      </c>
      <c r="RNR36" s="17">
        <f>'Form-Sb'!RNV94</f>
        <v>0</v>
      </c>
      <c r="RNS36" s="17">
        <f>'Form-Sb'!RNW94</f>
        <v>0</v>
      </c>
      <c r="RNT36" s="17">
        <f>'Form-Sb'!RNX94</f>
        <v>0</v>
      </c>
      <c r="RNU36" s="17">
        <f>'Form-Sb'!RNY94</f>
        <v>0</v>
      </c>
      <c r="RNV36" s="17">
        <f>'Form-Sb'!RNZ94</f>
        <v>0</v>
      </c>
      <c r="RNW36" s="17">
        <f>'Form-Sb'!ROA94</f>
        <v>0</v>
      </c>
      <c r="RNX36" s="17">
        <f>'Form-Sb'!ROB94</f>
        <v>0</v>
      </c>
      <c r="RNY36" s="17">
        <f>'Form-Sb'!ROC94</f>
        <v>0</v>
      </c>
      <c r="RNZ36" s="17">
        <f>'Form-Sb'!ROD94</f>
        <v>0</v>
      </c>
      <c r="ROA36" s="17">
        <f>'Form-Sb'!ROE94</f>
        <v>0</v>
      </c>
      <c r="ROB36" s="17">
        <f>'Form-Sb'!ROF94</f>
        <v>0</v>
      </c>
      <c r="ROC36" s="17">
        <f>'Form-Sb'!ROG94</f>
        <v>0</v>
      </c>
      <c r="ROD36" s="17">
        <f>'Form-Sb'!ROH94</f>
        <v>0</v>
      </c>
      <c r="ROE36" s="17">
        <f>'Form-Sb'!ROI94</f>
        <v>0</v>
      </c>
      <c r="ROF36" s="17">
        <f>'Form-Sb'!ROJ94</f>
        <v>0</v>
      </c>
      <c r="ROG36" s="17">
        <f>'Form-Sb'!ROK94</f>
        <v>0</v>
      </c>
      <c r="ROH36" s="17">
        <f>'Form-Sb'!ROL94</f>
        <v>0</v>
      </c>
      <c r="ROI36" s="17">
        <f>'Form-Sb'!ROM94</f>
        <v>0</v>
      </c>
      <c r="ROJ36" s="17">
        <f>'Form-Sb'!RON94</f>
        <v>0</v>
      </c>
      <c r="ROK36" s="17">
        <f>'Form-Sb'!ROO94</f>
        <v>0</v>
      </c>
      <c r="ROL36" s="17">
        <f>'Form-Sb'!ROP94</f>
        <v>0</v>
      </c>
      <c r="ROM36" s="17">
        <f>'Form-Sb'!ROQ94</f>
        <v>0</v>
      </c>
      <c r="RON36" s="17">
        <f>'Form-Sb'!ROR94</f>
        <v>0</v>
      </c>
      <c r="ROO36" s="17">
        <f>'Form-Sb'!ROS94</f>
        <v>0</v>
      </c>
      <c r="ROP36" s="17">
        <f>'Form-Sb'!ROT94</f>
        <v>0</v>
      </c>
      <c r="ROQ36" s="17">
        <f>'Form-Sb'!ROU94</f>
        <v>0</v>
      </c>
      <c r="ROR36" s="17">
        <f>'Form-Sb'!ROV94</f>
        <v>0</v>
      </c>
      <c r="ROS36" s="17">
        <f>'Form-Sb'!ROW94</f>
        <v>0</v>
      </c>
      <c r="ROT36" s="17">
        <f>'Form-Sb'!ROX94</f>
        <v>0</v>
      </c>
      <c r="ROU36" s="17">
        <f>'Form-Sb'!ROY94</f>
        <v>0</v>
      </c>
      <c r="ROV36" s="17">
        <f>'Form-Sb'!ROZ94</f>
        <v>0</v>
      </c>
      <c r="ROW36" s="17">
        <f>'Form-Sb'!RPA94</f>
        <v>0</v>
      </c>
      <c r="ROX36" s="17">
        <f>'Form-Sb'!RPB94</f>
        <v>0</v>
      </c>
      <c r="ROY36" s="17">
        <f>'Form-Sb'!RPC94</f>
        <v>0</v>
      </c>
      <c r="ROZ36" s="17">
        <f>'Form-Sb'!RPD94</f>
        <v>0</v>
      </c>
      <c r="RPA36" s="17">
        <f>'Form-Sb'!RPE94</f>
        <v>0</v>
      </c>
      <c r="RPB36" s="17">
        <f>'Form-Sb'!RPF94</f>
        <v>0</v>
      </c>
      <c r="RPC36" s="17">
        <f>'Form-Sb'!RPG94</f>
        <v>0</v>
      </c>
      <c r="RPD36" s="17">
        <f>'Form-Sb'!RPH94</f>
        <v>0</v>
      </c>
      <c r="RPE36" s="17">
        <f>'Form-Sb'!RPI94</f>
        <v>0</v>
      </c>
      <c r="RPF36" s="17">
        <f>'Form-Sb'!RPJ94</f>
        <v>0</v>
      </c>
      <c r="RPG36" s="17">
        <f>'Form-Sb'!RPK94</f>
        <v>0</v>
      </c>
      <c r="RPH36" s="17">
        <f>'Form-Sb'!RPL94</f>
        <v>0</v>
      </c>
      <c r="RPI36" s="17">
        <f>'Form-Sb'!RPM94</f>
        <v>0</v>
      </c>
      <c r="RPJ36" s="17">
        <f>'Form-Sb'!RPN94</f>
        <v>0</v>
      </c>
      <c r="RPK36" s="17">
        <f>'Form-Sb'!RPO94</f>
        <v>0</v>
      </c>
      <c r="RPL36" s="17">
        <f>'Form-Sb'!RPP94</f>
        <v>0</v>
      </c>
      <c r="RPM36" s="17">
        <f>'Form-Sb'!RPQ94</f>
        <v>0</v>
      </c>
      <c r="RPN36" s="17">
        <f>'Form-Sb'!RPR94</f>
        <v>0</v>
      </c>
      <c r="RPO36" s="17">
        <f>'Form-Sb'!RPS94</f>
        <v>0</v>
      </c>
      <c r="RPP36" s="17">
        <f>'Form-Sb'!RPT94</f>
        <v>0</v>
      </c>
      <c r="RPQ36" s="17">
        <f>'Form-Sb'!RPU94</f>
        <v>0</v>
      </c>
      <c r="RPR36" s="17">
        <f>'Form-Sb'!RPV94</f>
        <v>0</v>
      </c>
      <c r="RPS36" s="17">
        <f>'Form-Sb'!RPW94</f>
        <v>0</v>
      </c>
      <c r="RPT36" s="17">
        <f>'Form-Sb'!RPX94</f>
        <v>0</v>
      </c>
      <c r="RPU36" s="17">
        <f>'Form-Sb'!RPY94</f>
        <v>0</v>
      </c>
      <c r="RPV36" s="17">
        <f>'Form-Sb'!RPZ94</f>
        <v>0</v>
      </c>
      <c r="RPW36" s="17">
        <f>'Form-Sb'!RQA94</f>
        <v>0</v>
      </c>
      <c r="RPX36" s="17">
        <f>'Form-Sb'!RQB94</f>
        <v>0</v>
      </c>
      <c r="RPY36" s="17">
        <f>'Form-Sb'!RQC94</f>
        <v>0</v>
      </c>
      <c r="RPZ36" s="17">
        <f>'Form-Sb'!RQD94</f>
        <v>0</v>
      </c>
      <c r="RQA36" s="17">
        <f>'Form-Sb'!RQE94</f>
        <v>0</v>
      </c>
      <c r="RQB36" s="17">
        <f>'Form-Sb'!RQF94</f>
        <v>0</v>
      </c>
      <c r="RQC36" s="17">
        <f>'Form-Sb'!RQG94</f>
        <v>0</v>
      </c>
      <c r="RQD36" s="17">
        <f>'Form-Sb'!RQH94</f>
        <v>0</v>
      </c>
      <c r="RQE36" s="17">
        <f>'Form-Sb'!RQI94</f>
        <v>0</v>
      </c>
      <c r="RQF36" s="17">
        <f>'Form-Sb'!RQJ94</f>
        <v>0</v>
      </c>
      <c r="RQG36" s="17">
        <f>'Form-Sb'!RQK94</f>
        <v>0</v>
      </c>
      <c r="RQH36" s="17">
        <f>'Form-Sb'!RQL94</f>
        <v>0</v>
      </c>
      <c r="RQI36" s="17">
        <f>'Form-Sb'!RQM94</f>
        <v>0</v>
      </c>
      <c r="RQJ36" s="17">
        <f>'Form-Sb'!RQN94</f>
        <v>0</v>
      </c>
      <c r="RQK36" s="17">
        <f>'Form-Sb'!RQO94</f>
        <v>0</v>
      </c>
      <c r="RQL36" s="17">
        <f>'Form-Sb'!RQP94</f>
        <v>0</v>
      </c>
      <c r="RQM36" s="17">
        <f>'Form-Sb'!RQQ94</f>
        <v>0</v>
      </c>
      <c r="RQN36" s="17">
        <f>'Form-Sb'!RQR94</f>
        <v>0</v>
      </c>
      <c r="RQO36" s="17">
        <f>'Form-Sb'!RQS94</f>
        <v>0</v>
      </c>
      <c r="RQP36" s="17">
        <f>'Form-Sb'!RQT94</f>
        <v>0</v>
      </c>
      <c r="RQQ36" s="17">
        <f>'Form-Sb'!RQU94</f>
        <v>0</v>
      </c>
      <c r="RQR36" s="17">
        <f>'Form-Sb'!RQV94</f>
        <v>0</v>
      </c>
      <c r="RQS36" s="17">
        <f>'Form-Sb'!RQW94</f>
        <v>0</v>
      </c>
      <c r="RQT36" s="17">
        <f>'Form-Sb'!RQX94</f>
        <v>0</v>
      </c>
      <c r="RQU36" s="17">
        <f>'Form-Sb'!RQY94</f>
        <v>0</v>
      </c>
      <c r="RQV36" s="17">
        <f>'Form-Sb'!RQZ94</f>
        <v>0</v>
      </c>
      <c r="RQW36" s="17">
        <f>'Form-Sb'!RRA94</f>
        <v>0</v>
      </c>
      <c r="RQX36" s="17">
        <f>'Form-Sb'!RRB94</f>
        <v>0</v>
      </c>
      <c r="RQY36" s="17">
        <f>'Form-Sb'!RRC94</f>
        <v>0</v>
      </c>
      <c r="RQZ36" s="17">
        <f>'Form-Sb'!RRD94</f>
        <v>0</v>
      </c>
      <c r="RRA36" s="17">
        <f>'Form-Sb'!RRE94</f>
        <v>0</v>
      </c>
      <c r="RRB36" s="17">
        <f>'Form-Sb'!RRF94</f>
        <v>0</v>
      </c>
      <c r="RRC36" s="17">
        <f>'Form-Sb'!RRG94</f>
        <v>0</v>
      </c>
      <c r="RRD36" s="17">
        <f>'Form-Sb'!RRH94</f>
        <v>0</v>
      </c>
      <c r="RRE36" s="17">
        <f>'Form-Sb'!RRI94</f>
        <v>0</v>
      </c>
      <c r="RRF36" s="17">
        <f>'Form-Sb'!RRJ94</f>
        <v>0</v>
      </c>
      <c r="RRG36" s="17">
        <f>'Form-Sb'!RRK94</f>
        <v>0</v>
      </c>
      <c r="RRH36" s="17">
        <f>'Form-Sb'!RRL94</f>
        <v>0</v>
      </c>
      <c r="RRI36" s="17">
        <f>'Form-Sb'!RRM94</f>
        <v>0</v>
      </c>
      <c r="RRJ36" s="17">
        <f>'Form-Sb'!RRN94</f>
        <v>0</v>
      </c>
      <c r="RRK36" s="17">
        <f>'Form-Sb'!RRO94</f>
        <v>0</v>
      </c>
      <c r="RRL36" s="17">
        <f>'Form-Sb'!RRP94</f>
        <v>0</v>
      </c>
      <c r="RRM36" s="17">
        <f>'Form-Sb'!RRQ94</f>
        <v>0</v>
      </c>
      <c r="RRN36" s="17">
        <f>'Form-Sb'!RRR94</f>
        <v>0</v>
      </c>
      <c r="RRO36" s="17">
        <f>'Form-Sb'!RRS94</f>
        <v>0</v>
      </c>
      <c r="RRP36" s="17">
        <f>'Form-Sb'!RRT94</f>
        <v>0</v>
      </c>
      <c r="RRQ36" s="17">
        <f>'Form-Sb'!RRU94</f>
        <v>0</v>
      </c>
      <c r="RRR36" s="17">
        <f>'Form-Sb'!RRV94</f>
        <v>0</v>
      </c>
      <c r="RRS36" s="17">
        <f>'Form-Sb'!RRW94</f>
        <v>0</v>
      </c>
      <c r="RRT36" s="17">
        <f>'Form-Sb'!RRX94</f>
        <v>0</v>
      </c>
      <c r="RRU36" s="17">
        <f>'Form-Sb'!RRY94</f>
        <v>0</v>
      </c>
      <c r="RRV36" s="17">
        <f>'Form-Sb'!RRZ94</f>
        <v>0</v>
      </c>
      <c r="RRW36" s="17">
        <f>'Form-Sb'!RSA94</f>
        <v>0</v>
      </c>
      <c r="RRX36" s="17">
        <f>'Form-Sb'!RSB94</f>
        <v>0</v>
      </c>
      <c r="RRY36" s="17">
        <f>'Form-Sb'!RSC94</f>
        <v>0</v>
      </c>
      <c r="RRZ36" s="17">
        <f>'Form-Sb'!RSD94</f>
        <v>0</v>
      </c>
      <c r="RSA36" s="17">
        <f>'Form-Sb'!RSE94</f>
        <v>0</v>
      </c>
      <c r="RSB36" s="17">
        <f>'Form-Sb'!RSF94</f>
        <v>0</v>
      </c>
      <c r="RSC36" s="17">
        <f>'Form-Sb'!RSG94</f>
        <v>0</v>
      </c>
      <c r="RSD36" s="17">
        <f>'Form-Sb'!RSH94</f>
        <v>0</v>
      </c>
      <c r="RSE36" s="17">
        <f>'Form-Sb'!RSI94</f>
        <v>0</v>
      </c>
      <c r="RSF36" s="17">
        <f>'Form-Sb'!RSJ94</f>
        <v>0</v>
      </c>
      <c r="RSG36" s="17">
        <f>'Form-Sb'!RSK94</f>
        <v>0</v>
      </c>
      <c r="RSH36" s="17">
        <f>'Form-Sb'!RSL94</f>
        <v>0</v>
      </c>
      <c r="RSI36" s="17">
        <f>'Form-Sb'!RSM94</f>
        <v>0</v>
      </c>
      <c r="RSJ36" s="17">
        <f>'Form-Sb'!RSN94</f>
        <v>0</v>
      </c>
      <c r="RSK36" s="17">
        <f>'Form-Sb'!RSO94</f>
        <v>0</v>
      </c>
      <c r="RSL36" s="17">
        <f>'Form-Sb'!RSP94</f>
        <v>0</v>
      </c>
      <c r="RSM36" s="17">
        <f>'Form-Sb'!RSQ94</f>
        <v>0</v>
      </c>
      <c r="RSN36" s="17">
        <f>'Form-Sb'!RSR94</f>
        <v>0</v>
      </c>
      <c r="RSO36" s="17">
        <f>'Form-Sb'!RSS94</f>
        <v>0</v>
      </c>
      <c r="RSP36" s="17">
        <f>'Form-Sb'!RST94</f>
        <v>0</v>
      </c>
      <c r="RSQ36" s="17">
        <f>'Form-Sb'!RSU94</f>
        <v>0</v>
      </c>
      <c r="RSR36" s="17">
        <f>'Form-Sb'!RSV94</f>
        <v>0</v>
      </c>
      <c r="RSS36" s="17">
        <f>'Form-Sb'!RSW94</f>
        <v>0</v>
      </c>
      <c r="RST36" s="17">
        <f>'Form-Sb'!RSX94</f>
        <v>0</v>
      </c>
      <c r="RSU36" s="17">
        <f>'Form-Sb'!RSY94</f>
        <v>0</v>
      </c>
      <c r="RSV36" s="17">
        <f>'Form-Sb'!RSZ94</f>
        <v>0</v>
      </c>
      <c r="RSW36" s="17">
        <f>'Form-Sb'!RTA94</f>
        <v>0</v>
      </c>
      <c r="RSX36" s="17">
        <f>'Form-Sb'!RTB94</f>
        <v>0</v>
      </c>
      <c r="RSY36" s="17">
        <f>'Form-Sb'!RTC94</f>
        <v>0</v>
      </c>
      <c r="RSZ36" s="17">
        <f>'Form-Sb'!RTD94</f>
        <v>0</v>
      </c>
      <c r="RTA36" s="17">
        <f>'Form-Sb'!RTE94</f>
        <v>0</v>
      </c>
      <c r="RTB36" s="17">
        <f>'Form-Sb'!RTF94</f>
        <v>0</v>
      </c>
      <c r="RTC36" s="17">
        <f>'Form-Sb'!RTG94</f>
        <v>0</v>
      </c>
      <c r="RTD36" s="17">
        <f>'Form-Sb'!RTH94</f>
        <v>0</v>
      </c>
      <c r="RTE36" s="17">
        <f>'Form-Sb'!RTI94</f>
        <v>0</v>
      </c>
      <c r="RTF36" s="17">
        <f>'Form-Sb'!RTJ94</f>
        <v>0</v>
      </c>
      <c r="RTG36" s="17">
        <f>'Form-Sb'!RTK94</f>
        <v>0</v>
      </c>
      <c r="RTH36" s="17">
        <f>'Form-Sb'!RTL94</f>
        <v>0</v>
      </c>
      <c r="RTI36" s="17">
        <f>'Form-Sb'!RTM94</f>
        <v>0</v>
      </c>
      <c r="RTJ36" s="17">
        <f>'Form-Sb'!RTN94</f>
        <v>0</v>
      </c>
      <c r="RTK36" s="17">
        <f>'Form-Sb'!RTO94</f>
        <v>0</v>
      </c>
      <c r="RTL36" s="17">
        <f>'Form-Sb'!RTP94</f>
        <v>0</v>
      </c>
      <c r="RTM36" s="17">
        <f>'Form-Sb'!RTQ94</f>
        <v>0</v>
      </c>
      <c r="RTN36" s="17">
        <f>'Form-Sb'!RTR94</f>
        <v>0</v>
      </c>
      <c r="RTO36" s="17">
        <f>'Form-Sb'!RTS94</f>
        <v>0</v>
      </c>
      <c r="RTP36" s="17">
        <f>'Form-Sb'!RTT94</f>
        <v>0</v>
      </c>
      <c r="RTQ36" s="17">
        <f>'Form-Sb'!RTU94</f>
        <v>0</v>
      </c>
      <c r="RTR36" s="17">
        <f>'Form-Sb'!RTV94</f>
        <v>0</v>
      </c>
      <c r="RTS36" s="17">
        <f>'Form-Sb'!RTW94</f>
        <v>0</v>
      </c>
      <c r="RTT36" s="17">
        <f>'Form-Sb'!RTX94</f>
        <v>0</v>
      </c>
      <c r="RTU36" s="17">
        <f>'Form-Sb'!RTY94</f>
        <v>0</v>
      </c>
      <c r="RTV36" s="17">
        <f>'Form-Sb'!RTZ94</f>
        <v>0</v>
      </c>
      <c r="RTW36" s="17">
        <f>'Form-Sb'!RUA94</f>
        <v>0</v>
      </c>
      <c r="RTX36" s="17">
        <f>'Form-Sb'!RUB94</f>
        <v>0</v>
      </c>
      <c r="RTY36" s="17">
        <f>'Form-Sb'!RUC94</f>
        <v>0</v>
      </c>
      <c r="RTZ36" s="17">
        <f>'Form-Sb'!RUD94</f>
        <v>0</v>
      </c>
      <c r="RUA36" s="17">
        <f>'Form-Sb'!RUE94</f>
        <v>0</v>
      </c>
      <c r="RUB36" s="17">
        <f>'Form-Sb'!RUF94</f>
        <v>0</v>
      </c>
      <c r="RUC36" s="17">
        <f>'Form-Sb'!RUG94</f>
        <v>0</v>
      </c>
      <c r="RUD36" s="17">
        <f>'Form-Sb'!RUH94</f>
        <v>0</v>
      </c>
      <c r="RUE36" s="17">
        <f>'Form-Sb'!RUI94</f>
        <v>0</v>
      </c>
      <c r="RUF36" s="17">
        <f>'Form-Sb'!RUJ94</f>
        <v>0</v>
      </c>
      <c r="RUG36" s="17">
        <f>'Form-Sb'!RUK94</f>
        <v>0</v>
      </c>
      <c r="RUH36" s="17">
        <f>'Form-Sb'!RUL94</f>
        <v>0</v>
      </c>
      <c r="RUI36" s="17">
        <f>'Form-Sb'!RUM94</f>
        <v>0</v>
      </c>
      <c r="RUJ36" s="17">
        <f>'Form-Sb'!RUN94</f>
        <v>0</v>
      </c>
      <c r="RUK36" s="17">
        <f>'Form-Sb'!RUO94</f>
        <v>0</v>
      </c>
      <c r="RUL36" s="17">
        <f>'Form-Sb'!RUP94</f>
        <v>0</v>
      </c>
      <c r="RUM36" s="17">
        <f>'Form-Sb'!RUQ94</f>
        <v>0</v>
      </c>
      <c r="RUN36" s="17">
        <f>'Form-Sb'!RUR94</f>
        <v>0</v>
      </c>
      <c r="RUO36" s="17">
        <f>'Form-Sb'!RUS94</f>
        <v>0</v>
      </c>
      <c r="RUP36" s="17">
        <f>'Form-Sb'!RUT94</f>
        <v>0</v>
      </c>
      <c r="RUQ36" s="17">
        <f>'Form-Sb'!RUU94</f>
        <v>0</v>
      </c>
      <c r="RUR36" s="17">
        <f>'Form-Sb'!RUV94</f>
        <v>0</v>
      </c>
      <c r="RUS36" s="17">
        <f>'Form-Sb'!RUW94</f>
        <v>0</v>
      </c>
      <c r="RUT36" s="17">
        <f>'Form-Sb'!RUX94</f>
        <v>0</v>
      </c>
      <c r="RUU36" s="17">
        <f>'Form-Sb'!RUY94</f>
        <v>0</v>
      </c>
      <c r="RUV36" s="17">
        <f>'Form-Sb'!RUZ94</f>
        <v>0</v>
      </c>
      <c r="RUW36" s="17">
        <f>'Form-Sb'!RVA94</f>
        <v>0</v>
      </c>
      <c r="RUX36" s="17">
        <f>'Form-Sb'!RVB94</f>
        <v>0</v>
      </c>
      <c r="RUY36" s="17">
        <f>'Form-Sb'!RVC94</f>
        <v>0</v>
      </c>
      <c r="RUZ36" s="17">
        <f>'Form-Sb'!RVD94</f>
        <v>0</v>
      </c>
      <c r="RVA36" s="17">
        <f>'Form-Sb'!RVE94</f>
        <v>0</v>
      </c>
      <c r="RVB36" s="17">
        <f>'Form-Sb'!RVF94</f>
        <v>0</v>
      </c>
      <c r="RVC36" s="17">
        <f>'Form-Sb'!RVG94</f>
        <v>0</v>
      </c>
      <c r="RVD36" s="17">
        <f>'Form-Sb'!RVH94</f>
        <v>0</v>
      </c>
      <c r="RVE36" s="17">
        <f>'Form-Sb'!RVI94</f>
        <v>0</v>
      </c>
      <c r="RVF36" s="17">
        <f>'Form-Sb'!RVJ94</f>
        <v>0</v>
      </c>
      <c r="RVG36" s="17">
        <f>'Form-Sb'!RVK94</f>
        <v>0</v>
      </c>
      <c r="RVH36" s="17">
        <f>'Form-Sb'!RVL94</f>
        <v>0</v>
      </c>
      <c r="RVI36" s="17">
        <f>'Form-Sb'!RVM94</f>
        <v>0</v>
      </c>
      <c r="RVJ36" s="17">
        <f>'Form-Sb'!RVN94</f>
        <v>0</v>
      </c>
      <c r="RVK36" s="17">
        <f>'Form-Sb'!RVO94</f>
        <v>0</v>
      </c>
      <c r="RVL36" s="17">
        <f>'Form-Sb'!RVP94</f>
        <v>0</v>
      </c>
      <c r="RVM36" s="17">
        <f>'Form-Sb'!RVQ94</f>
        <v>0</v>
      </c>
      <c r="RVN36" s="17">
        <f>'Form-Sb'!RVR94</f>
        <v>0</v>
      </c>
      <c r="RVO36" s="17">
        <f>'Form-Sb'!RVS94</f>
        <v>0</v>
      </c>
      <c r="RVP36" s="17">
        <f>'Form-Sb'!RVT94</f>
        <v>0</v>
      </c>
      <c r="RVQ36" s="17">
        <f>'Form-Sb'!RVU94</f>
        <v>0</v>
      </c>
      <c r="RVR36" s="17">
        <f>'Form-Sb'!RVV94</f>
        <v>0</v>
      </c>
      <c r="RVS36" s="17">
        <f>'Form-Sb'!RVW94</f>
        <v>0</v>
      </c>
      <c r="RVT36" s="17">
        <f>'Form-Sb'!RVX94</f>
        <v>0</v>
      </c>
      <c r="RVU36" s="17">
        <f>'Form-Sb'!RVY94</f>
        <v>0</v>
      </c>
      <c r="RVV36" s="17">
        <f>'Form-Sb'!RVZ94</f>
        <v>0</v>
      </c>
      <c r="RVW36" s="17">
        <f>'Form-Sb'!RWA94</f>
        <v>0</v>
      </c>
      <c r="RVX36" s="17">
        <f>'Form-Sb'!RWB94</f>
        <v>0</v>
      </c>
      <c r="RVY36" s="17">
        <f>'Form-Sb'!RWC94</f>
        <v>0</v>
      </c>
      <c r="RVZ36" s="17">
        <f>'Form-Sb'!RWD94</f>
        <v>0</v>
      </c>
      <c r="RWA36" s="17">
        <f>'Form-Sb'!RWE94</f>
        <v>0</v>
      </c>
      <c r="RWB36" s="17">
        <f>'Form-Sb'!RWF94</f>
        <v>0</v>
      </c>
      <c r="RWC36" s="17">
        <f>'Form-Sb'!RWG94</f>
        <v>0</v>
      </c>
      <c r="RWD36" s="17">
        <f>'Form-Sb'!RWH94</f>
        <v>0</v>
      </c>
      <c r="RWE36" s="17">
        <f>'Form-Sb'!RWI94</f>
        <v>0</v>
      </c>
      <c r="RWF36" s="17">
        <f>'Form-Sb'!RWJ94</f>
        <v>0</v>
      </c>
      <c r="RWG36" s="17">
        <f>'Form-Sb'!RWK94</f>
        <v>0</v>
      </c>
      <c r="RWH36" s="17">
        <f>'Form-Sb'!RWL94</f>
        <v>0</v>
      </c>
      <c r="RWI36" s="17">
        <f>'Form-Sb'!RWM94</f>
        <v>0</v>
      </c>
      <c r="RWJ36" s="17">
        <f>'Form-Sb'!RWN94</f>
        <v>0</v>
      </c>
      <c r="RWK36" s="17">
        <f>'Form-Sb'!RWO94</f>
        <v>0</v>
      </c>
      <c r="RWL36" s="17">
        <f>'Form-Sb'!RWP94</f>
        <v>0</v>
      </c>
      <c r="RWM36" s="17">
        <f>'Form-Sb'!RWQ94</f>
        <v>0</v>
      </c>
      <c r="RWN36" s="17">
        <f>'Form-Sb'!RWR94</f>
        <v>0</v>
      </c>
      <c r="RWO36" s="17">
        <f>'Form-Sb'!RWS94</f>
        <v>0</v>
      </c>
      <c r="RWP36" s="17">
        <f>'Form-Sb'!RWT94</f>
        <v>0</v>
      </c>
      <c r="RWQ36" s="17">
        <f>'Form-Sb'!RWU94</f>
        <v>0</v>
      </c>
      <c r="RWR36" s="17">
        <f>'Form-Sb'!RWV94</f>
        <v>0</v>
      </c>
      <c r="RWS36" s="17">
        <f>'Form-Sb'!RWW94</f>
        <v>0</v>
      </c>
      <c r="RWT36" s="17">
        <f>'Form-Sb'!RWX94</f>
        <v>0</v>
      </c>
      <c r="RWU36" s="17">
        <f>'Form-Sb'!RWY94</f>
        <v>0</v>
      </c>
      <c r="RWV36" s="17">
        <f>'Form-Sb'!RWZ94</f>
        <v>0</v>
      </c>
      <c r="RWW36" s="17">
        <f>'Form-Sb'!RXA94</f>
        <v>0</v>
      </c>
      <c r="RWX36" s="17">
        <f>'Form-Sb'!RXB94</f>
        <v>0</v>
      </c>
      <c r="RWY36" s="17">
        <f>'Form-Sb'!RXC94</f>
        <v>0</v>
      </c>
      <c r="RWZ36" s="17">
        <f>'Form-Sb'!RXD94</f>
        <v>0</v>
      </c>
      <c r="RXA36" s="17">
        <f>'Form-Sb'!RXE94</f>
        <v>0</v>
      </c>
      <c r="RXB36" s="17">
        <f>'Form-Sb'!RXF94</f>
        <v>0</v>
      </c>
      <c r="RXC36" s="17">
        <f>'Form-Sb'!RXG94</f>
        <v>0</v>
      </c>
      <c r="RXD36" s="17">
        <f>'Form-Sb'!RXH94</f>
        <v>0</v>
      </c>
      <c r="RXE36" s="17">
        <f>'Form-Sb'!RXI94</f>
        <v>0</v>
      </c>
      <c r="RXF36" s="17">
        <f>'Form-Sb'!RXJ94</f>
        <v>0</v>
      </c>
      <c r="RXG36" s="17">
        <f>'Form-Sb'!RXK94</f>
        <v>0</v>
      </c>
      <c r="RXH36" s="17">
        <f>'Form-Sb'!RXL94</f>
        <v>0</v>
      </c>
      <c r="RXI36" s="17">
        <f>'Form-Sb'!RXM94</f>
        <v>0</v>
      </c>
      <c r="RXJ36" s="17">
        <f>'Form-Sb'!RXN94</f>
        <v>0</v>
      </c>
      <c r="RXK36" s="17">
        <f>'Form-Sb'!RXO94</f>
        <v>0</v>
      </c>
      <c r="RXL36" s="17">
        <f>'Form-Sb'!RXP94</f>
        <v>0</v>
      </c>
      <c r="RXM36" s="17">
        <f>'Form-Sb'!RXQ94</f>
        <v>0</v>
      </c>
      <c r="RXN36" s="17">
        <f>'Form-Sb'!RXR94</f>
        <v>0</v>
      </c>
      <c r="RXO36" s="17">
        <f>'Form-Sb'!RXS94</f>
        <v>0</v>
      </c>
      <c r="RXP36" s="17">
        <f>'Form-Sb'!RXT94</f>
        <v>0</v>
      </c>
      <c r="RXQ36" s="17">
        <f>'Form-Sb'!RXU94</f>
        <v>0</v>
      </c>
      <c r="RXR36" s="17">
        <f>'Form-Sb'!RXV94</f>
        <v>0</v>
      </c>
      <c r="RXS36" s="17">
        <f>'Form-Sb'!RXW94</f>
        <v>0</v>
      </c>
      <c r="RXT36" s="17">
        <f>'Form-Sb'!RXX94</f>
        <v>0</v>
      </c>
      <c r="RXU36" s="17">
        <f>'Form-Sb'!RXY94</f>
        <v>0</v>
      </c>
      <c r="RXV36" s="17">
        <f>'Form-Sb'!RXZ94</f>
        <v>0</v>
      </c>
      <c r="RXW36" s="17">
        <f>'Form-Sb'!RYA94</f>
        <v>0</v>
      </c>
      <c r="RXX36" s="17">
        <f>'Form-Sb'!RYB94</f>
        <v>0</v>
      </c>
      <c r="RXY36" s="17">
        <f>'Form-Sb'!RYC94</f>
        <v>0</v>
      </c>
      <c r="RXZ36" s="17">
        <f>'Form-Sb'!RYD94</f>
        <v>0</v>
      </c>
      <c r="RYA36" s="17">
        <f>'Form-Sb'!RYE94</f>
        <v>0</v>
      </c>
      <c r="RYB36" s="17">
        <f>'Form-Sb'!RYF94</f>
        <v>0</v>
      </c>
      <c r="RYC36" s="17">
        <f>'Form-Sb'!RYG94</f>
        <v>0</v>
      </c>
      <c r="RYD36" s="17">
        <f>'Form-Sb'!RYH94</f>
        <v>0</v>
      </c>
      <c r="RYE36" s="17">
        <f>'Form-Sb'!RYI94</f>
        <v>0</v>
      </c>
      <c r="RYF36" s="17">
        <f>'Form-Sb'!RYJ94</f>
        <v>0</v>
      </c>
      <c r="RYG36" s="17">
        <f>'Form-Sb'!RYK94</f>
        <v>0</v>
      </c>
      <c r="RYH36" s="17">
        <f>'Form-Sb'!RYL94</f>
        <v>0</v>
      </c>
      <c r="RYI36" s="17">
        <f>'Form-Sb'!RYM94</f>
        <v>0</v>
      </c>
      <c r="RYJ36" s="17">
        <f>'Form-Sb'!RYN94</f>
        <v>0</v>
      </c>
      <c r="RYK36" s="17">
        <f>'Form-Sb'!RYO94</f>
        <v>0</v>
      </c>
      <c r="RYL36" s="17">
        <f>'Form-Sb'!RYP94</f>
        <v>0</v>
      </c>
      <c r="RYM36" s="17">
        <f>'Form-Sb'!RYQ94</f>
        <v>0</v>
      </c>
      <c r="RYN36" s="17">
        <f>'Form-Sb'!RYR94</f>
        <v>0</v>
      </c>
      <c r="RYO36" s="17">
        <f>'Form-Sb'!RYS94</f>
        <v>0</v>
      </c>
      <c r="RYP36" s="17">
        <f>'Form-Sb'!RYT94</f>
        <v>0</v>
      </c>
      <c r="RYQ36" s="17">
        <f>'Form-Sb'!RYU94</f>
        <v>0</v>
      </c>
      <c r="RYR36" s="17">
        <f>'Form-Sb'!RYV94</f>
        <v>0</v>
      </c>
      <c r="RYS36" s="17">
        <f>'Form-Sb'!RYW94</f>
        <v>0</v>
      </c>
      <c r="RYT36" s="17">
        <f>'Form-Sb'!RYX94</f>
        <v>0</v>
      </c>
      <c r="RYU36" s="17">
        <f>'Form-Sb'!RYY94</f>
        <v>0</v>
      </c>
      <c r="RYV36" s="17">
        <f>'Form-Sb'!RYZ94</f>
        <v>0</v>
      </c>
      <c r="RYW36" s="17">
        <f>'Form-Sb'!RZA94</f>
        <v>0</v>
      </c>
      <c r="RYX36" s="17">
        <f>'Form-Sb'!RZB94</f>
        <v>0</v>
      </c>
      <c r="RYY36" s="17">
        <f>'Form-Sb'!RZC94</f>
        <v>0</v>
      </c>
      <c r="RYZ36" s="17">
        <f>'Form-Sb'!RZD94</f>
        <v>0</v>
      </c>
      <c r="RZA36" s="17">
        <f>'Form-Sb'!RZE94</f>
        <v>0</v>
      </c>
      <c r="RZB36" s="17">
        <f>'Form-Sb'!RZF94</f>
        <v>0</v>
      </c>
      <c r="RZC36" s="17">
        <f>'Form-Sb'!RZG94</f>
        <v>0</v>
      </c>
      <c r="RZD36" s="17">
        <f>'Form-Sb'!RZH94</f>
        <v>0</v>
      </c>
      <c r="RZE36" s="17">
        <f>'Form-Sb'!RZI94</f>
        <v>0</v>
      </c>
      <c r="RZF36" s="17">
        <f>'Form-Sb'!RZJ94</f>
        <v>0</v>
      </c>
      <c r="RZG36" s="17">
        <f>'Form-Sb'!RZK94</f>
        <v>0</v>
      </c>
      <c r="RZH36" s="17">
        <f>'Form-Sb'!RZL94</f>
        <v>0</v>
      </c>
      <c r="RZI36" s="17">
        <f>'Form-Sb'!RZM94</f>
        <v>0</v>
      </c>
      <c r="RZJ36" s="17">
        <f>'Form-Sb'!RZN94</f>
        <v>0</v>
      </c>
      <c r="RZK36" s="17">
        <f>'Form-Sb'!RZO94</f>
        <v>0</v>
      </c>
      <c r="RZL36" s="17">
        <f>'Form-Sb'!RZP94</f>
        <v>0</v>
      </c>
      <c r="RZM36" s="17">
        <f>'Form-Sb'!RZQ94</f>
        <v>0</v>
      </c>
      <c r="RZN36" s="17">
        <f>'Form-Sb'!RZR94</f>
        <v>0</v>
      </c>
      <c r="RZO36" s="17">
        <f>'Form-Sb'!RZS94</f>
        <v>0</v>
      </c>
      <c r="RZP36" s="17">
        <f>'Form-Sb'!RZT94</f>
        <v>0</v>
      </c>
      <c r="RZQ36" s="17">
        <f>'Form-Sb'!RZU94</f>
        <v>0</v>
      </c>
      <c r="RZR36" s="17">
        <f>'Form-Sb'!RZV94</f>
        <v>0</v>
      </c>
      <c r="RZS36" s="17">
        <f>'Form-Sb'!RZW94</f>
        <v>0</v>
      </c>
      <c r="RZT36" s="17">
        <f>'Form-Sb'!RZX94</f>
        <v>0</v>
      </c>
      <c r="RZU36" s="17">
        <f>'Form-Sb'!RZY94</f>
        <v>0</v>
      </c>
      <c r="RZV36" s="17">
        <f>'Form-Sb'!RZZ94</f>
        <v>0</v>
      </c>
      <c r="RZW36" s="17">
        <f>'Form-Sb'!SAA94</f>
        <v>0</v>
      </c>
      <c r="RZX36" s="17">
        <f>'Form-Sb'!SAB94</f>
        <v>0</v>
      </c>
      <c r="RZY36" s="17">
        <f>'Form-Sb'!SAC94</f>
        <v>0</v>
      </c>
      <c r="RZZ36" s="17">
        <f>'Form-Sb'!SAD94</f>
        <v>0</v>
      </c>
      <c r="SAA36" s="17">
        <f>'Form-Sb'!SAE94</f>
        <v>0</v>
      </c>
      <c r="SAB36" s="17">
        <f>'Form-Sb'!SAF94</f>
        <v>0</v>
      </c>
      <c r="SAC36" s="17">
        <f>'Form-Sb'!SAG94</f>
        <v>0</v>
      </c>
      <c r="SAD36" s="17">
        <f>'Form-Sb'!SAH94</f>
        <v>0</v>
      </c>
      <c r="SAE36" s="17">
        <f>'Form-Sb'!SAI94</f>
        <v>0</v>
      </c>
      <c r="SAF36" s="17">
        <f>'Form-Sb'!SAJ94</f>
        <v>0</v>
      </c>
      <c r="SAG36" s="17">
        <f>'Form-Sb'!SAK94</f>
        <v>0</v>
      </c>
      <c r="SAH36" s="17">
        <f>'Form-Sb'!SAL94</f>
        <v>0</v>
      </c>
      <c r="SAI36" s="17">
        <f>'Form-Sb'!SAM94</f>
        <v>0</v>
      </c>
      <c r="SAJ36" s="17">
        <f>'Form-Sb'!SAN94</f>
        <v>0</v>
      </c>
      <c r="SAK36" s="17">
        <f>'Form-Sb'!SAO94</f>
        <v>0</v>
      </c>
      <c r="SAL36" s="17">
        <f>'Form-Sb'!SAP94</f>
        <v>0</v>
      </c>
      <c r="SAM36" s="17">
        <f>'Form-Sb'!SAQ94</f>
        <v>0</v>
      </c>
      <c r="SAN36" s="17">
        <f>'Form-Sb'!SAR94</f>
        <v>0</v>
      </c>
      <c r="SAO36" s="17">
        <f>'Form-Sb'!SAS94</f>
        <v>0</v>
      </c>
      <c r="SAP36" s="17">
        <f>'Form-Sb'!SAT94</f>
        <v>0</v>
      </c>
      <c r="SAQ36" s="17">
        <f>'Form-Sb'!SAU94</f>
        <v>0</v>
      </c>
      <c r="SAR36" s="17">
        <f>'Form-Sb'!SAV94</f>
        <v>0</v>
      </c>
      <c r="SAS36" s="17">
        <f>'Form-Sb'!SAW94</f>
        <v>0</v>
      </c>
      <c r="SAT36" s="17">
        <f>'Form-Sb'!SAX94</f>
        <v>0</v>
      </c>
      <c r="SAU36" s="17">
        <f>'Form-Sb'!SAY94</f>
        <v>0</v>
      </c>
      <c r="SAV36" s="17">
        <f>'Form-Sb'!SAZ94</f>
        <v>0</v>
      </c>
      <c r="SAW36" s="17">
        <f>'Form-Sb'!SBA94</f>
        <v>0</v>
      </c>
      <c r="SAX36" s="17">
        <f>'Form-Sb'!SBB94</f>
        <v>0</v>
      </c>
      <c r="SAY36" s="17">
        <f>'Form-Sb'!SBC94</f>
        <v>0</v>
      </c>
      <c r="SAZ36" s="17">
        <f>'Form-Sb'!SBD94</f>
        <v>0</v>
      </c>
      <c r="SBA36" s="17">
        <f>'Form-Sb'!SBE94</f>
        <v>0</v>
      </c>
      <c r="SBB36" s="17">
        <f>'Form-Sb'!SBF94</f>
        <v>0</v>
      </c>
      <c r="SBC36" s="17">
        <f>'Form-Sb'!SBG94</f>
        <v>0</v>
      </c>
      <c r="SBD36" s="17">
        <f>'Form-Sb'!SBH94</f>
        <v>0</v>
      </c>
      <c r="SBE36" s="17">
        <f>'Form-Sb'!SBI94</f>
        <v>0</v>
      </c>
      <c r="SBF36" s="17">
        <f>'Form-Sb'!SBJ94</f>
        <v>0</v>
      </c>
      <c r="SBG36" s="17">
        <f>'Form-Sb'!SBK94</f>
        <v>0</v>
      </c>
      <c r="SBH36" s="17">
        <f>'Form-Sb'!SBL94</f>
        <v>0</v>
      </c>
      <c r="SBI36" s="17">
        <f>'Form-Sb'!SBM94</f>
        <v>0</v>
      </c>
      <c r="SBJ36" s="17">
        <f>'Form-Sb'!SBN94</f>
        <v>0</v>
      </c>
      <c r="SBK36" s="17">
        <f>'Form-Sb'!SBO94</f>
        <v>0</v>
      </c>
      <c r="SBL36" s="17">
        <f>'Form-Sb'!SBP94</f>
        <v>0</v>
      </c>
      <c r="SBM36" s="17">
        <f>'Form-Sb'!SBQ94</f>
        <v>0</v>
      </c>
      <c r="SBN36" s="17">
        <f>'Form-Sb'!SBR94</f>
        <v>0</v>
      </c>
      <c r="SBO36" s="17">
        <f>'Form-Sb'!SBS94</f>
        <v>0</v>
      </c>
      <c r="SBP36" s="17">
        <f>'Form-Sb'!SBT94</f>
        <v>0</v>
      </c>
      <c r="SBQ36" s="17">
        <f>'Form-Sb'!SBU94</f>
        <v>0</v>
      </c>
      <c r="SBR36" s="17">
        <f>'Form-Sb'!SBV94</f>
        <v>0</v>
      </c>
      <c r="SBS36" s="17">
        <f>'Form-Sb'!SBW94</f>
        <v>0</v>
      </c>
      <c r="SBT36" s="17">
        <f>'Form-Sb'!SBX94</f>
        <v>0</v>
      </c>
      <c r="SBU36" s="17">
        <f>'Form-Sb'!SBY94</f>
        <v>0</v>
      </c>
      <c r="SBV36" s="17">
        <f>'Form-Sb'!SBZ94</f>
        <v>0</v>
      </c>
      <c r="SBW36" s="17">
        <f>'Form-Sb'!SCA94</f>
        <v>0</v>
      </c>
      <c r="SBX36" s="17">
        <f>'Form-Sb'!SCB94</f>
        <v>0</v>
      </c>
      <c r="SBY36" s="17">
        <f>'Form-Sb'!SCC94</f>
        <v>0</v>
      </c>
      <c r="SBZ36" s="17">
        <f>'Form-Sb'!SCD94</f>
        <v>0</v>
      </c>
      <c r="SCA36" s="17">
        <f>'Form-Sb'!SCE94</f>
        <v>0</v>
      </c>
      <c r="SCB36" s="17">
        <f>'Form-Sb'!SCF94</f>
        <v>0</v>
      </c>
      <c r="SCC36" s="17">
        <f>'Form-Sb'!SCG94</f>
        <v>0</v>
      </c>
      <c r="SCD36" s="17">
        <f>'Form-Sb'!SCH94</f>
        <v>0</v>
      </c>
      <c r="SCE36" s="17">
        <f>'Form-Sb'!SCI94</f>
        <v>0</v>
      </c>
      <c r="SCF36" s="17">
        <f>'Form-Sb'!SCJ94</f>
        <v>0</v>
      </c>
      <c r="SCG36" s="17">
        <f>'Form-Sb'!SCK94</f>
        <v>0</v>
      </c>
      <c r="SCH36" s="17">
        <f>'Form-Sb'!SCL94</f>
        <v>0</v>
      </c>
      <c r="SCI36" s="17">
        <f>'Form-Sb'!SCM94</f>
        <v>0</v>
      </c>
      <c r="SCJ36" s="17">
        <f>'Form-Sb'!SCN94</f>
        <v>0</v>
      </c>
      <c r="SCK36" s="17">
        <f>'Form-Sb'!SCO94</f>
        <v>0</v>
      </c>
      <c r="SCL36" s="17">
        <f>'Form-Sb'!SCP94</f>
        <v>0</v>
      </c>
      <c r="SCM36" s="17">
        <f>'Form-Sb'!SCQ94</f>
        <v>0</v>
      </c>
      <c r="SCN36" s="17">
        <f>'Form-Sb'!SCR94</f>
        <v>0</v>
      </c>
      <c r="SCO36" s="17">
        <f>'Form-Sb'!SCS94</f>
        <v>0</v>
      </c>
      <c r="SCP36" s="17">
        <f>'Form-Sb'!SCT94</f>
        <v>0</v>
      </c>
      <c r="SCQ36" s="17">
        <f>'Form-Sb'!SCU94</f>
        <v>0</v>
      </c>
      <c r="SCR36" s="17">
        <f>'Form-Sb'!SCV94</f>
        <v>0</v>
      </c>
      <c r="SCS36" s="17">
        <f>'Form-Sb'!SCW94</f>
        <v>0</v>
      </c>
      <c r="SCT36" s="17">
        <f>'Form-Sb'!SCX94</f>
        <v>0</v>
      </c>
      <c r="SCU36" s="17">
        <f>'Form-Sb'!SCY94</f>
        <v>0</v>
      </c>
      <c r="SCV36" s="17">
        <f>'Form-Sb'!SCZ94</f>
        <v>0</v>
      </c>
      <c r="SCW36" s="17">
        <f>'Form-Sb'!SDA94</f>
        <v>0</v>
      </c>
      <c r="SCX36" s="17">
        <f>'Form-Sb'!SDB94</f>
        <v>0</v>
      </c>
      <c r="SCY36" s="17">
        <f>'Form-Sb'!SDC94</f>
        <v>0</v>
      </c>
      <c r="SCZ36" s="17">
        <f>'Form-Sb'!SDD94</f>
        <v>0</v>
      </c>
      <c r="SDA36" s="17">
        <f>'Form-Sb'!SDE94</f>
        <v>0</v>
      </c>
      <c r="SDB36" s="17">
        <f>'Form-Sb'!SDF94</f>
        <v>0</v>
      </c>
      <c r="SDC36" s="17">
        <f>'Form-Sb'!SDG94</f>
        <v>0</v>
      </c>
      <c r="SDD36" s="17">
        <f>'Form-Sb'!SDH94</f>
        <v>0</v>
      </c>
      <c r="SDE36" s="17">
        <f>'Form-Sb'!SDI94</f>
        <v>0</v>
      </c>
      <c r="SDF36" s="17">
        <f>'Form-Sb'!SDJ94</f>
        <v>0</v>
      </c>
      <c r="SDG36" s="17">
        <f>'Form-Sb'!SDK94</f>
        <v>0</v>
      </c>
      <c r="SDH36" s="17">
        <f>'Form-Sb'!SDL94</f>
        <v>0</v>
      </c>
      <c r="SDI36" s="17">
        <f>'Form-Sb'!SDM94</f>
        <v>0</v>
      </c>
      <c r="SDJ36" s="17">
        <f>'Form-Sb'!SDN94</f>
        <v>0</v>
      </c>
      <c r="SDK36" s="17">
        <f>'Form-Sb'!SDO94</f>
        <v>0</v>
      </c>
      <c r="SDL36" s="17">
        <f>'Form-Sb'!SDP94</f>
        <v>0</v>
      </c>
      <c r="SDM36" s="17">
        <f>'Form-Sb'!SDQ94</f>
        <v>0</v>
      </c>
      <c r="SDN36" s="17">
        <f>'Form-Sb'!SDR94</f>
        <v>0</v>
      </c>
      <c r="SDO36" s="17">
        <f>'Form-Sb'!SDS94</f>
        <v>0</v>
      </c>
      <c r="SDP36" s="17">
        <f>'Form-Sb'!SDT94</f>
        <v>0</v>
      </c>
      <c r="SDQ36" s="17">
        <f>'Form-Sb'!SDU94</f>
        <v>0</v>
      </c>
      <c r="SDR36" s="17">
        <f>'Form-Sb'!SDV94</f>
        <v>0</v>
      </c>
      <c r="SDS36" s="17">
        <f>'Form-Sb'!SDW94</f>
        <v>0</v>
      </c>
      <c r="SDT36" s="17">
        <f>'Form-Sb'!SDX94</f>
        <v>0</v>
      </c>
      <c r="SDU36" s="17">
        <f>'Form-Sb'!SDY94</f>
        <v>0</v>
      </c>
      <c r="SDV36" s="17">
        <f>'Form-Sb'!SDZ94</f>
        <v>0</v>
      </c>
      <c r="SDW36" s="17">
        <f>'Form-Sb'!SEA94</f>
        <v>0</v>
      </c>
      <c r="SDX36" s="17">
        <f>'Form-Sb'!SEB94</f>
        <v>0</v>
      </c>
      <c r="SDY36" s="17">
        <f>'Form-Sb'!SEC94</f>
        <v>0</v>
      </c>
      <c r="SDZ36" s="17">
        <f>'Form-Sb'!SED94</f>
        <v>0</v>
      </c>
      <c r="SEA36" s="17">
        <f>'Form-Sb'!SEE94</f>
        <v>0</v>
      </c>
      <c r="SEB36" s="17">
        <f>'Form-Sb'!SEF94</f>
        <v>0</v>
      </c>
      <c r="SEC36" s="17">
        <f>'Form-Sb'!SEG94</f>
        <v>0</v>
      </c>
      <c r="SED36" s="17">
        <f>'Form-Sb'!SEH94</f>
        <v>0</v>
      </c>
      <c r="SEE36" s="17">
        <f>'Form-Sb'!SEI94</f>
        <v>0</v>
      </c>
      <c r="SEF36" s="17">
        <f>'Form-Sb'!SEJ94</f>
        <v>0</v>
      </c>
      <c r="SEG36" s="17">
        <f>'Form-Sb'!SEK94</f>
        <v>0</v>
      </c>
      <c r="SEH36" s="17">
        <f>'Form-Sb'!SEL94</f>
        <v>0</v>
      </c>
      <c r="SEI36" s="17">
        <f>'Form-Sb'!SEM94</f>
        <v>0</v>
      </c>
      <c r="SEJ36" s="17">
        <f>'Form-Sb'!SEN94</f>
        <v>0</v>
      </c>
      <c r="SEK36" s="17">
        <f>'Form-Sb'!SEO94</f>
        <v>0</v>
      </c>
      <c r="SEL36" s="17">
        <f>'Form-Sb'!SEP94</f>
        <v>0</v>
      </c>
      <c r="SEM36" s="17">
        <f>'Form-Sb'!SEQ94</f>
        <v>0</v>
      </c>
      <c r="SEN36" s="17">
        <f>'Form-Sb'!SER94</f>
        <v>0</v>
      </c>
      <c r="SEO36" s="17">
        <f>'Form-Sb'!SES94</f>
        <v>0</v>
      </c>
      <c r="SEP36" s="17">
        <f>'Form-Sb'!SET94</f>
        <v>0</v>
      </c>
      <c r="SEQ36" s="17">
        <f>'Form-Sb'!SEU94</f>
        <v>0</v>
      </c>
      <c r="SER36" s="17">
        <f>'Form-Sb'!SEV94</f>
        <v>0</v>
      </c>
      <c r="SES36" s="17">
        <f>'Form-Sb'!SEW94</f>
        <v>0</v>
      </c>
      <c r="SET36" s="17">
        <f>'Form-Sb'!SEX94</f>
        <v>0</v>
      </c>
      <c r="SEU36" s="17">
        <f>'Form-Sb'!SEY94</f>
        <v>0</v>
      </c>
      <c r="SEV36" s="17">
        <f>'Form-Sb'!SEZ94</f>
        <v>0</v>
      </c>
      <c r="SEW36" s="17">
        <f>'Form-Sb'!SFA94</f>
        <v>0</v>
      </c>
      <c r="SEX36" s="17">
        <f>'Form-Sb'!SFB94</f>
        <v>0</v>
      </c>
      <c r="SEY36" s="17">
        <f>'Form-Sb'!SFC94</f>
        <v>0</v>
      </c>
      <c r="SEZ36" s="17">
        <f>'Form-Sb'!SFD94</f>
        <v>0</v>
      </c>
      <c r="SFA36" s="17">
        <f>'Form-Sb'!SFE94</f>
        <v>0</v>
      </c>
      <c r="SFB36" s="17">
        <f>'Form-Sb'!SFF94</f>
        <v>0</v>
      </c>
      <c r="SFC36" s="17">
        <f>'Form-Sb'!SFG94</f>
        <v>0</v>
      </c>
      <c r="SFD36" s="17">
        <f>'Form-Sb'!SFH94</f>
        <v>0</v>
      </c>
      <c r="SFE36" s="17">
        <f>'Form-Sb'!SFI94</f>
        <v>0</v>
      </c>
      <c r="SFF36" s="17">
        <f>'Form-Sb'!SFJ94</f>
        <v>0</v>
      </c>
      <c r="SFG36" s="17">
        <f>'Form-Sb'!SFK94</f>
        <v>0</v>
      </c>
      <c r="SFH36" s="17">
        <f>'Form-Sb'!SFL94</f>
        <v>0</v>
      </c>
      <c r="SFI36" s="17">
        <f>'Form-Sb'!SFM94</f>
        <v>0</v>
      </c>
      <c r="SFJ36" s="17">
        <f>'Form-Sb'!SFN94</f>
        <v>0</v>
      </c>
      <c r="SFK36" s="17">
        <f>'Form-Sb'!SFO94</f>
        <v>0</v>
      </c>
      <c r="SFL36" s="17">
        <f>'Form-Sb'!SFP94</f>
        <v>0</v>
      </c>
      <c r="SFM36" s="17">
        <f>'Form-Sb'!SFQ94</f>
        <v>0</v>
      </c>
      <c r="SFN36" s="17">
        <f>'Form-Sb'!SFR94</f>
        <v>0</v>
      </c>
      <c r="SFO36" s="17">
        <f>'Form-Sb'!SFS94</f>
        <v>0</v>
      </c>
      <c r="SFP36" s="17">
        <f>'Form-Sb'!SFT94</f>
        <v>0</v>
      </c>
      <c r="SFQ36" s="17">
        <f>'Form-Sb'!SFU94</f>
        <v>0</v>
      </c>
      <c r="SFR36" s="17">
        <f>'Form-Sb'!SFV94</f>
        <v>0</v>
      </c>
      <c r="SFS36" s="17">
        <f>'Form-Sb'!SFW94</f>
        <v>0</v>
      </c>
      <c r="SFT36" s="17">
        <f>'Form-Sb'!SFX94</f>
        <v>0</v>
      </c>
      <c r="SFU36" s="17">
        <f>'Form-Sb'!SFY94</f>
        <v>0</v>
      </c>
      <c r="SFV36" s="17">
        <f>'Form-Sb'!SFZ94</f>
        <v>0</v>
      </c>
      <c r="SFW36" s="17">
        <f>'Form-Sb'!SGA94</f>
        <v>0</v>
      </c>
      <c r="SFX36" s="17">
        <f>'Form-Sb'!SGB94</f>
        <v>0</v>
      </c>
      <c r="SFY36" s="17">
        <f>'Form-Sb'!SGC94</f>
        <v>0</v>
      </c>
      <c r="SFZ36" s="17">
        <f>'Form-Sb'!SGD94</f>
        <v>0</v>
      </c>
      <c r="SGA36" s="17">
        <f>'Form-Sb'!SGE94</f>
        <v>0</v>
      </c>
      <c r="SGB36" s="17">
        <f>'Form-Sb'!SGF94</f>
        <v>0</v>
      </c>
      <c r="SGC36" s="17">
        <f>'Form-Sb'!SGG94</f>
        <v>0</v>
      </c>
      <c r="SGD36" s="17">
        <f>'Form-Sb'!SGH94</f>
        <v>0</v>
      </c>
      <c r="SGE36" s="17">
        <f>'Form-Sb'!SGI94</f>
        <v>0</v>
      </c>
      <c r="SGF36" s="17">
        <f>'Form-Sb'!SGJ94</f>
        <v>0</v>
      </c>
      <c r="SGG36" s="17">
        <f>'Form-Sb'!SGK94</f>
        <v>0</v>
      </c>
      <c r="SGH36" s="17">
        <f>'Form-Sb'!SGL94</f>
        <v>0</v>
      </c>
      <c r="SGI36" s="17">
        <f>'Form-Sb'!SGM94</f>
        <v>0</v>
      </c>
      <c r="SGJ36" s="17">
        <f>'Form-Sb'!SGN94</f>
        <v>0</v>
      </c>
      <c r="SGK36" s="17">
        <f>'Form-Sb'!SGO94</f>
        <v>0</v>
      </c>
      <c r="SGL36" s="17">
        <f>'Form-Sb'!SGP94</f>
        <v>0</v>
      </c>
      <c r="SGM36" s="17">
        <f>'Form-Sb'!SGQ94</f>
        <v>0</v>
      </c>
      <c r="SGN36" s="17">
        <f>'Form-Sb'!SGR94</f>
        <v>0</v>
      </c>
      <c r="SGO36" s="17">
        <f>'Form-Sb'!SGS94</f>
        <v>0</v>
      </c>
      <c r="SGP36" s="17">
        <f>'Form-Sb'!SGT94</f>
        <v>0</v>
      </c>
      <c r="SGQ36" s="17">
        <f>'Form-Sb'!SGU94</f>
        <v>0</v>
      </c>
      <c r="SGR36" s="17">
        <f>'Form-Sb'!SGV94</f>
        <v>0</v>
      </c>
      <c r="SGS36" s="17">
        <f>'Form-Sb'!SGW94</f>
        <v>0</v>
      </c>
      <c r="SGT36" s="17">
        <f>'Form-Sb'!SGX94</f>
        <v>0</v>
      </c>
      <c r="SGU36" s="17">
        <f>'Form-Sb'!SGY94</f>
        <v>0</v>
      </c>
      <c r="SGV36" s="17">
        <f>'Form-Sb'!SGZ94</f>
        <v>0</v>
      </c>
      <c r="SGW36" s="17">
        <f>'Form-Sb'!SHA94</f>
        <v>0</v>
      </c>
      <c r="SGX36" s="17">
        <f>'Form-Sb'!SHB94</f>
        <v>0</v>
      </c>
      <c r="SGY36" s="17">
        <f>'Form-Sb'!SHC94</f>
        <v>0</v>
      </c>
      <c r="SGZ36" s="17">
        <f>'Form-Sb'!SHD94</f>
        <v>0</v>
      </c>
      <c r="SHA36" s="17">
        <f>'Form-Sb'!SHE94</f>
        <v>0</v>
      </c>
      <c r="SHB36" s="17">
        <f>'Form-Sb'!SHF94</f>
        <v>0</v>
      </c>
      <c r="SHC36" s="17">
        <f>'Form-Sb'!SHG94</f>
        <v>0</v>
      </c>
      <c r="SHD36" s="17">
        <f>'Form-Sb'!SHH94</f>
        <v>0</v>
      </c>
      <c r="SHE36" s="17">
        <f>'Form-Sb'!SHI94</f>
        <v>0</v>
      </c>
      <c r="SHF36" s="17">
        <f>'Form-Sb'!SHJ94</f>
        <v>0</v>
      </c>
      <c r="SHG36" s="17">
        <f>'Form-Sb'!SHK94</f>
        <v>0</v>
      </c>
      <c r="SHH36" s="17">
        <f>'Form-Sb'!SHL94</f>
        <v>0</v>
      </c>
      <c r="SHI36" s="17">
        <f>'Form-Sb'!SHM94</f>
        <v>0</v>
      </c>
      <c r="SHJ36" s="17">
        <f>'Form-Sb'!SHN94</f>
        <v>0</v>
      </c>
      <c r="SHK36" s="17">
        <f>'Form-Sb'!SHO94</f>
        <v>0</v>
      </c>
      <c r="SHL36" s="17">
        <f>'Form-Sb'!SHP94</f>
        <v>0</v>
      </c>
      <c r="SHM36" s="17">
        <f>'Form-Sb'!SHQ94</f>
        <v>0</v>
      </c>
      <c r="SHN36" s="17">
        <f>'Form-Sb'!SHR94</f>
        <v>0</v>
      </c>
      <c r="SHO36" s="17">
        <f>'Form-Sb'!SHS94</f>
        <v>0</v>
      </c>
      <c r="SHP36" s="17">
        <f>'Form-Sb'!SHT94</f>
        <v>0</v>
      </c>
      <c r="SHQ36" s="17">
        <f>'Form-Sb'!SHU94</f>
        <v>0</v>
      </c>
      <c r="SHR36" s="17">
        <f>'Form-Sb'!SHV94</f>
        <v>0</v>
      </c>
      <c r="SHS36" s="17">
        <f>'Form-Sb'!SHW94</f>
        <v>0</v>
      </c>
      <c r="SHT36" s="17">
        <f>'Form-Sb'!SHX94</f>
        <v>0</v>
      </c>
      <c r="SHU36" s="17">
        <f>'Form-Sb'!SHY94</f>
        <v>0</v>
      </c>
      <c r="SHV36" s="17">
        <f>'Form-Sb'!SHZ94</f>
        <v>0</v>
      </c>
      <c r="SHW36" s="17">
        <f>'Form-Sb'!SIA94</f>
        <v>0</v>
      </c>
      <c r="SHX36" s="17">
        <f>'Form-Sb'!SIB94</f>
        <v>0</v>
      </c>
      <c r="SHY36" s="17">
        <f>'Form-Sb'!SIC94</f>
        <v>0</v>
      </c>
      <c r="SHZ36" s="17">
        <f>'Form-Sb'!SID94</f>
        <v>0</v>
      </c>
      <c r="SIA36" s="17">
        <f>'Form-Sb'!SIE94</f>
        <v>0</v>
      </c>
      <c r="SIB36" s="17">
        <f>'Form-Sb'!SIF94</f>
        <v>0</v>
      </c>
      <c r="SIC36" s="17">
        <f>'Form-Sb'!SIG94</f>
        <v>0</v>
      </c>
      <c r="SID36" s="17">
        <f>'Form-Sb'!SIH94</f>
        <v>0</v>
      </c>
      <c r="SIE36" s="17">
        <f>'Form-Sb'!SII94</f>
        <v>0</v>
      </c>
      <c r="SIF36" s="17">
        <f>'Form-Sb'!SIJ94</f>
        <v>0</v>
      </c>
      <c r="SIG36" s="17">
        <f>'Form-Sb'!SIK94</f>
        <v>0</v>
      </c>
      <c r="SIH36" s="17">
        <f>'Form-Sb'!SIL94</f>
        <v>0</v>
      </c>
      <c r="SII36" s="17">
        <f>'Form-Sb'!SIM94</f>
        <v>0</v>
      </c>
      <c r="SIJ36" s="17">
        <f>'Form-Sb'!SIN94</f>
        <v>0</v>
      </c>
      <c r="SIK36" s="17">
        <f>'Form-Sb'!SIO94</f>
        <v>0</v>
      </c>
      <c r="SIL36" s="17">
        <f>'Form-Sb'!SIP94</f>
        <v>0</v>
      </c>
      <c r="SIM36" s="17">
        <f>'Form-Sb'!SIQ94</f>
        <v>0</v>
      </c>
      <c r="SIN36" s="17">
        <f>'Form-Sb'!SIR94</f>
        <v>0</v>
      </c>
      <c r="SIO36" s="17">
        <f>'Form-Sb'!SIS94</f>
        <v>0</v>
      </c>
      <c r="SIP36" s="17">
        <f>'Form-Sb'!SIT94</f>
        <v>0</v>
      </c>
      <c r="SIQ36" s="17">
        <f>'Form-Sb'!SIU94</f>
        <v>0</v>
      </c>
      <c r="SIR36" s="17">
        <f>'Form-Sb'!SIV94</f>
        <v>0</v>
      </c>
      <c r="SIS36" s="17">
        <f>'Form-Sb'!SIW94</f>
        <v>0</v>
      </c>
      <c r="SIT36" s="17">
        <f>'Form-Sb'!SIX94</f>
        <v>0</v>
      </c>
      <c r="SIU36" s="17">
        <f>'Form-Sb'!SIY94</f>
        <v>0</v>
      </c>
      <c r="SIV36" s="17">
        <f>'Form-Sb'!SIZ94</f>
        <v>0</v>
      </c>
      <c r="SIW36" s="17">
        <f>'Form-Sb'!SJA94</f>
        <v>0</v>
      </c>
      <c r="SIX36" s="17">
        <f>'Form-Sb'!SJB94</f>
        <v>0</v>
      </c>
      <c r="SIY36" s="17">
        <f>'Form-Sb'!SJC94</f>
        <v>0</v>
      </c>
      <c r="SIZ36" s="17">
        <f>'Form-Sb'!SJD94</f>
        <v>0</v>
      </c>
      <c r="SJA36" s="17">
        <f>'Form-Sb'!SJE94</f>
        <v>0</v>
      </c>
      <c r="SJB36" s="17">
        <f>'Form-Sb'!SJF94</f>
        <v>0</v>
      </c>
      <c r="SJC36" s="17">
        <f>'Form-Sb'!SJG94</f>
        <v>0</v>
      </c>
      <c r="SJD36" s="17">
        <f>'Form-Sb'!SJH94</f>
        <v>0</v>
      </c>
      <c r="SJE36" s="17">
        <f>'Form-Sb'!SJI94</f>
        <v>0</v>
      </c>
      <c r="SJF36" s="17">
        <f>'Form-Sb'!SJJ94</f>
        <v>0</v>
      </c>
      <c r="SJG36" s="17">
        <f>'Form-Sb'!SJK94</f>
        <v>0</v>
      </c>
      <c r="SJH36" s="17">
        <f>'Form-Sb'!SJL94</f>
        <v>0</v>
      </c>
      <c r="SJI36" s="17">
        <f>'Form-Sb'!SJM94</f>
        <v>0</v>
      </c>
      <c r="SJJ36" s="17">
        <f>'Form-Sb'!SJN94</f>
        <v>0</v>
      </c>
      <c r="SJK36" s="17">
        <f>'Form-Sb'!SJO94</f>
        <v>0</v>
      </c>
      <c r="SJL36" s="17">
        <f>'Form-Sb'!SJP94</f>
        <v>0</v>
      </c>
      <c r="SJM36" s="17">
        <f>'Form-Sb'!SJQ94</f>
        <v>0</v>
      </c>
      <c r="SJN36" s="17">
        <f>'Form-Sb'!SJR94</f>
        <v>0</v>
      </c>
      <c r="SJO36" s="17">
        <f>'Form-Sb'!SJS94</f>
        <v>0</v>
      </c>
      <c r="SJP36" s="17">
        <f>'Form-Sb'!SJT94</f>
        <v>0</v>
      </c>
      <c r="SJQ36" s="17">
        <f>'Form-Sb'!SJU94</f>
        <v>0</v>
      </c>
      <c r="SJR36" s="17">
        <f>'Form-Sb'!SJV94</f>
        <v>0</v>
      </c>
      <c r="SJS36" s="17">
        <f>'Form-Sb'!SJW94</f>
        <v>0</v>
      </c>
      <c r="SJT36" s="17">
        <f>'Form-Sb'!SJX94</f>
        <v>0</v>
      </c>
      <c r="SJU36" s="17">
        <f>'Form-Sb'!SJY94</f>
        <v>0</v>
      </c>
      <c r="SJV36" s="17">
        <f>'Form-Sb'!SJZ94</f>
        <v>0</v>
      </c>
      <c r="SJW36" s="17">
        <f>'Form-Sb'!SKA94</f>
        <v>0</v>
      </c>
      <c r="SJX36" s="17">
        <f>'Form-Sb'!SKB94</f>
        <v>0</v>
      </c>
      <c r="SJY36" s="17">
        <f>'Form-Sb'!SKC94</f>
        <v>0</v>
      </c>
      <c r="SJZ36" s="17">
        <f>'Form-Sb'!SKD94</f>
        <v>0</v>
      </c>
      <c r="SKA36" s="17">
        <f>'Form-Sb'!SKE94</f>
        <v>0</v>
      </c>
      <c r="SKB36" s="17">
        <f>'Form-Sb'!SKF94</f>
        <v>0</v>
      </c>
      <c r="SKC36" s="17">
        <f>'Form-Sb'!SKG94</f>
        <v>0</v>
      </c>
      <c r="SKD36" s="17">
        <f>'Form-Sb'!SKH94</f>
        <v>0</v>
      </c>
      <c r="SKE36" s="17">
        <f>'Form-Sb'!SKI94</f>
        <v>0</v>
      </c>
      <c r="SKF36" s="17">
        <f>'Form-Sb'!SKJ94</f>
        <v>0</v>
      </c>
      <c r="SKG36" s="17">
        <f>'Form-Sb'!SKK94</f>
        <v>0</v>
      </c>
      <c r="SKH36" s="17">
        <f>'Form-Sb'!SKL94</f>
        <v>0</v>
      </c>
      <c r="SKI36" s="17">
        <f>'Form-Sb'!SKM94</f>
        <v>0</v>
      </c>
      <c r="SKJ36" s="17">
        <f>'Form-Sb'!SKN94</f>
        <v>0</v>
      </c>
      <c r="SKK36" s="17">
        <f>'Form-Sb'!SKO94</f>
        <v>0</v>
      </c>
      <c r="SKL36" s="17">
        <f>'Form-Sb'!SKP94</f>
        <v>0</v>
      </c>
      <c r="SKM36" s="17">
        <f>'Form-Sb'!SKQ94</f>
        <v>0</v>
      </c>
      <c r="SKN36" s="17">
        <f>'Form-Sb'!SKR94</f>
        <v>0</v>
      </c>
      <c r="SKO36" s="17">
        <f>'Form-Sb'!SKS94</f>
        <v>0</v>
      </c>
      <c r="SKP36" s="17">
        <f>'Form-Sb'!SKT94</f>
        <v>0</v>
      </c>
      <c r="SKQ36" s="17">
        <f>'Form-Sb'!SKU94</f>
        <v>0</v>
      </c>
      <c r="SKR36" s="17">
        <f>'Form-Sb'!SKV94</f>
        <v>0</v>
      </c>
      <c r="SKS36" s="17">
        <f>'Form-Sb'!SKW94</f>
        <v>0</v>
      </c>
      <c r="SKT36" s="17">
        <f>'Form-Sb'!SKX94</f>
        <v>0</v>
      </c>
      <c r="SKU36" s="17">
        <f>'Form-Sb'!SKY94</f>
        <v>0</v>
      </c>
      <c r="SKV36" s="17">
        <f>'Form-Sb'!SKZ94</f>
        <v>0</v>
      </c>
      <c r="SKW36" s="17">
        <f>'Form-Sb'!SLA94</f>
        <v>0</v>
      </c>
      <c r="SKX36" s="17">
        <f>'Form-Sb'!SLB94</f>
        <v>0</v>
      </c>
      <c r="SKY36" s="17">
        <f>'Form-Sb'!SLC94</f>
        <v>0</v>
      </c>
      <c r="SKZ36" s="17">
        <f>'Form-Sb'!SLD94</f>
        <v>0</v>
      </c>
      <c r="SLA36" s="17">
        <f>'Form-Sb'!SLE94</f>
        <v>0</v>
      </c>
      <c r="SLB36" s="17">
        <f>'Form-Sb'!SLF94</f>
        <v>0</v>
      </c>
      <c r="SLC36" s="17">
        <f>'Form-Sb'!SLG94</f>
        <v>0</v>
      </c>
      <c r="SLD36" s="17">
        <f>'Form-Sb'!SLH94</f>
        <v>0</v>
      </c>
      <c r="SLE36" s="17">
        <f>'Form-Sb'!SLI94</f>
        <v>0</v>
      </c>
      <c r="SLF36" s="17">
        <f>'Form-Sb'!SLJ94</f>
        <v>0</v>
      </c>
      <c r="SLG36" s="17">
        <f>'Form-Sb'!SLK94</f>
        <v>0</v>
      </c>
      <c r="SLH36" s="17">
        <f>'Form-Sb'!SLL94</f>
        <v>0</v>
      </c>
      <c r="SLI36" s="17">
        <f>'Form-Sb'!SLM94</f>
        <v>0</v>
      </c>
      <c r="SLJ36" s="17">
        <f>'Form-Sb'!SLN94</f>
        <v>0</v>
      </c>
      <c r="SLK36" s="17">
        <f>'Form-Sb'!SLO94</f>
        <v>0</v>
      </c>
      <c r="SLL36" s="17">
        <f>'Form-Sb'!SLP94</f>
        <v>0</v>
      </c>
      <c r="SLM36" s="17">
        <f>'Form-Sb'!SLQ94</f>
        <v>0</v>
      </c>
      <c r="SLN36" s="17">
        <f>'Form-Sb'!SLR94</f>
        <v>0</v>
      </c>
      <c r="SLO36" s="17">
        <f>'Form-Sb'!SLS94</f>
        <v>0</v>
      </c>
      <c r="SLP36" s="17">
        <f>'Form-Sb'!SLT94</f>
        <v>0</v>
      </c>
      <c r="SLQ36" s="17">
        <f>'Form-Sb'!SLU94</f>
        <v>0</v>
      </c>
      <c r="SLR36" s="17">
        <f>'Form-Sb'!SLV94</f>
        <v>0</v>
      </c>
      <c r="SLS36" s="17">
        <f>'Form-Sb'!SLW94</f>
        <v>0</v>
      </c>
      <c r="SLT36" s="17">
        <f>'Form-Sb'!SLX94</f>
        <v>0</v>
      </c>
      <c r="SLU36" s="17">
        <f>'Form-Sb'!SLY94</f>
        <v>0</v>
      </c>
      <c r="SLV36" s="17">
        <f>'Form-Sb'!SLZ94</f>
        <v>0</v>
      </c>
      <c r="SLW36" s="17">
        <f>'Form-Sb'!SMA94</f>
        <v>0</v>
      </c>
      <c r="SLX36" s="17">
        <f>'Form-Sb'!SMB94</f>
        <v>0</v>
      </c>
      <c r="SLY36" s="17">
        <f>'Form-Sb'!SMC94</f>
        <v>0</v>
      </c>
      <c r="SLZ36" s="17">
        <f>'Form-Sb'!SMD94</f>
        <v>0</v>
      </c>
      <c r="SMA36" s="17">
        <f>'Form-Sb'!SME94</f>
        <v>0</v>
      </c>
      <c r="SMB36" s="17">
        <f>'Form-Sb'!SMF94</f>
        <v>0</v>
      </c>
      <c r="SMC36" s="17">
        <f>'Form-Sb'!SMG94</f>
        <v>0</v>
      </c>
      <c r="SMD36" s="17">
        <f>'Form-Sb'!SMH94</f>
        <v>0</v>
      </c>
      <c r="SME36" s="17">
        <f>'Form-Sb'!SMI94</f>
        <v>0</v>
      </c>
      <c r="SMF36" s="17">
        <f>'Form-Sb'!SMJ94</f>
        <v>0</v>
      </c>
      <c r="SMG36" s="17">
        <f>'Form-Sb'!SMK94</f>
        <v>0</v>
      </c>
      <c r="SMH36" s="17">
        <f>'Form-Sb'!SML94</f>
        <v>0</v>
      </c>
      <c r="SMI36" s="17">
        <f>'Form-Sb'!SMM94</f>
        <v>0</v>
      </c>
      <c r="SMJ36" s="17">
        <f>'Form-Sb'!SMN94</f>
        <v>0</v>
      </c>
      <c r="SMK36" s="17">
        <f>'Form-Sb'!SMO94</f>
        <v>0</v>
      </c>
      <c r="SML36" s="17">
        <f>'Form-Sb'!SMP94</f>
        <v>0</v>
      </c>
      <c r="SMM36" s="17">
        <f>'Form-Sb'!SMQ94</f>
        <v>0</v>
      </c>
      <c r="SMN36" s="17">
        <f>'Form-Sb'!SMR94</f>
        <v>0</v>
      </c>
      <c r="SMO36" s="17">
        <f>'Form-Sb'!SMS94</f>
        <v>0</v>
      </c>
      <c r="SMP36" s="17">
        <f>'Form-Sb'!SMT94</f>
        <v>0</v>
      </c>
      <c r="SMQ36" s="17">
        <f>'Form-Sb'!SMU94</f>
        <v>0</v>
      </c>
      <c r="SMR36" s="17">
        <f>'Form-Sb'!SMV94</f>
        <v>0</v>
      </c>
      <c r="SMS36" s="17">
        <f>'Form-Sb'!SMW94</f>
        <v>0</v>
      </c>
      <c r="SMT36" s="17">
        <f>'Form-Sb'!SMX94</f>
        <v>0</v>
      </c>
      <c r="SMU36" s="17">
        <f>'Form-Sb'!SMY94</f>
        <v>0</v>
      </c>
      <c r="SMV36" s="17">
        <f>'Form-Sb'!SMZ94</f>
        <v>0</v>
      </c>
      <c r="SMW36" s="17">
        <f>'Form-Sb'!SNA94</f>
        <v>0</v>
      </c>
      <c r="SMX36" s="17">
        <f>'Form-Sb'!SNB94</f>
        <v>0</v>
      </c>
      <c r="SMY36" s="17">
        <f>'Form-Sb'!SNC94</f>
        <v>0</v>
      </c>
      <c r="SMZ36" s="17">
        <f>'Form-Sb'!SND94</f>
        <v>0</v>
      </c>
      <c r="SNA36" s="17">
        <f>'Form-Sb'!SNE94</f>
        <v>0</v>
      </c>
      <c r="SNB36" s="17">
        <f>'Form-Sb'!SNF94</f>
        <v>0</v>
      </c>
      <c r="SNC36" s="17">
        <f>'Form-Sb'!SNG94</f>
        <v>0</v>
      </c>
      <c r="SND36" s="17">
        <f>'Form-Sb'!SNH94</f>
        <v>0</v>
      </c>
      <c r="SNE36" s="17">
        <f>'Form-Sb'!SNI94</f>
        <v>0</v>
      </c>
      <c r="SNF36" s="17">
        <f>'Form-Sb'!SNJ94</f>
        <v>0</v>
      </c>
      <c r="SNG36" s="17">
        <f>'Form-Sb'!SNK94</f>
        <v>0</v>
      </c>
      <c r="SNH36" s="17">
        <f>'Form-Sb'!SNL94</f>
        <v>0</v>
      </c>
      <c r="SNI36" s="17">
        <f>'Form-Sb'!SNM94</f>
        <v>0</v>
      </c>
      <c r="SNJ36" s="17">
        <f>'Form-Sb'!SNN94</f>
        <v>0</v>
      </c>
      <c r="SNK36" s="17">
        <f>'Form-Sb'!SNO94</f>
        <v>0</v>
      </c>
      <c r="SNL36" s="17">
        <f>'Form-Sb'!SNP94</f>
        <v>0</v>
      </c>
      <c r="SNM36" s="17">
        <f>'Form-Sb'!SNQ94</f>
        <v>0</v>
      </c>
      <c r="SNN36" s="17">
        <f>'Form-Sb'!SNR94</f>
        <v>0</v>
      </c>
      <c r="SNO36" s="17">
        <f>'Form-Sb'!SNS94</f>
        <v>0</v>
      </c>
      <c r="SNP36" s="17">
        <f>'Form-Sb'!SNT94</f>
        <v>0</v>
      </c>
      <c r="SNQ36" s="17">
        <f>'Form-Sb'!SNU94</f>
        <v>0</v>
      </c>
      <c r="SNR36" s="17">
        <f>'Form-Sb'!SNV94</f>
        <v>0</v>
      </c>
      <c r="SNS36" s="17">
        <f>'Form-Sb'!SNW94</f>
        <v>0</v>
      </c>
      <c r="SNT36" s="17">
        <f>'Form-Sb'!SNX94</f>
        <v>0</v>
      </c>
      <c r="SNU36" s="17">
        <f>'Form-Sb'!SNY94</f>
        <v>0</v>
      </c>
      <c r="SNV36" s="17">
        <f>'Form-Sb'!SNZ94</f>
        <v>0</v>
      </c>
      <c r="SNW36" s="17">
        <f>'Form-Sb'!SOA94</f>
        <v>0</v>
      </c>
      <c r="SNX36" s="17">
        <f>'Form-Sb'!SOB94</f>
        <v>0</v>
      </c>
      <c r="SNY36" s="17">
        <f>'Form-Sb'!SOC94</f>
        <v>0</v>
      </c>
      <c r="SNZ36" s="17">
        <f>'Form-Sb'!SOD94</f>
        <v>0</v>
      </c>
      <c r="SOA36" s="17">
        <f>'Form-Sb'!SOE94</f>
        <v>0</v>
      </c>
      <c r="SOB36" s="17">
        <f>'Form-Sb'!SOF94</f>
        <v>0</v>
      </c>
      <c r="SOC36" s="17">
        <f>'Form-Sb'!SOG94</f>
        <v>0</v>
      </c>
      <c r="SOD36" s="17">
        <f>'Form-Sb'!SOH94</f>
        <v>0</v>
      </c>
      <c r="SOE36" s="17">
        <f>'Form-Sb'!SOI94</f>
        <v>0</v>
      </c>
      <c r="SOF36" s="17">
        <f>'Form-Sb'!SOJ94</f>
        <v>0</v>
      </c>
      <c r="SOG36" s="17">
        <f>'Form-Sb'!SOK94</f>
        <v>0</v>
      </c>
      <c r="SOH36" s="17">
        <f>'Form-Sb'!SOL94</f>
        <v>0</v>
      </c>
      <c r="SOI36" s="17">
        <f>'Form-Sb'!SOM94</f>
        <v>0</v>
      </c>
      <c r="SOJ36" s="17">
        <f>'Form-Sb'!SON94</f>
        <v>0</v>
      </c>
      <c r="SOK36" s="17">
        <f>'Form-Sb'!SOO94</f>
        <v>0</v>
      </c>
      <c r="SOL36" s="17">
        <f>'Form-Sb'!SOP94</f>
        <v>0</v>
      </c>
      <c r="SOM36" s="17">
        <f>'Form-Sb'!SOQ94</f>
        <v>0</v>
      </c>
      <c r="SON36" s="17">
        <f>'Form-Sb'!SOR94</f>
        <v>0</v>
      </c>
      <c r="SOO36" s="17">
        <f>'Form-Sb'!SOS94</f>
        <v>0</v>
      </c>
      <c r="SOP36" s="17">
        <f>'Form-Sb'!SOT94</f>
        <v>0</v>
      </c>
      <c r="SOQ36" s="17">
        <f>'Form-Sb'!SOU94</f>
        <v>0</v>
      </c>
      <c r="SOR36" s="17">
        <f>'Form-Sb'!SOV94</f>
        <v>0</v>
      </c>
      <c r="SOS36" s="17">
        <f>'Form-Sb'!SOW94</f>
        <v>0</v>
      </c>
      <c r="SOT36" s="17">
        <f>'Form-Sb'!SOX94</f>
        <v>0</v>
      </c>
      <c r="SOU36" s="17">
        <f>'Form-Sb'!SOY94</f>
        <v>0</v>
      </c>
      <c r="SOV36" s="17">
        <f>'Form-Sb'!SOZ94</f>
        <v>0</v>
      </c>
      <c r="SOW36" s="17">
        <f>'Form-Sb'!SPA94</f>
        <v>0</v>
      </c>
      <c r="SOX36" s="17">
        <f>'Form-Sb'!SPB94</f>
        <v>0</v>
      </c>
      <c r="SOY36" s="17">
        <f>'Form-Sb'!SPC94</f>
        <v>0</v>
      </c>
      <c r="SOZ36" s="17">
        <f>'Form-Sb'!SPD94</f>
        <v>0</v>
      </c>
      <c r="SPA36" s="17">
        <f>'Form-Sb'!SPE94</f>
        <v>0</v>
      </c>
      <c r="SPB36" s="17">
        <f>'Form-Sb'!SPF94</f>
        <v>0</v>
      </c>
      <c r="SPC36" s="17">
        <f>'Form-Sb'!SPG94</f>
        <v>0</v>
      </c>
      <c r="SPD36" s="17">
        <f>'Form-Sb'!SPH94</f>
        <v>0</v>
      </c>
      <c r="SPE36" s="17">
        <f>'Form-Sb'!SPI94</f>
        <v>0</v>
      </c>
      <c r="SPF36" s="17">
        <f>'Form-Sb'!SPJ94</f>
        <v>0</v>
      </c>
      <c r="SPG36" s="17">
        <f>'Form-Sb'!SPK94</f>
        <v>0</v>
      </c>
      <c r="SPH36" s="17">
        <f>'Form-Sb'!SPL94</f>
        <v>0</v>
      </c>
      <c r="SPI36" s="17">
        <f>'Form-Sb'!SPM94</f>
        <v>0</v>
      </c>
      <c r="SPJ36" s="17">
        <f>'Form-Sb'!SPN94</f>
        <v>0</v>
      </c>
      <c r="SPK36" s="17">
        <f>'Form-Sb'!SPO94</f>
        <v>0</v>
      </c>
      <c r="SPL36" s="17">
        <f>'Form-Sb'!SPP94</f>
        <v>0</v>
      </c>
      <c r="SPM36" s="17">
        <f>'Form-Sb'!SPQ94</f>
        <v>0</v>
      </c>
      <c r="SPN36" s="17">
        <f>'Form-Sb'!SPR94</f>
        <v>0</v>
      </c>
      <c r="SPO36" s="17">
        <f>'Form-Sb'!SPS94</f>
        <v>0</v>
      </c>
      <c r="SPP36" s="17">
        <f>'Form-Sb'!SPT94</f>
        <v>0</v>
      </c>
      <c r="SPQ36" s="17">
        <f>'Form-Sb'!SPU94</f>
        <v>0</v>
      </c>
      <c r="SPR36" s="17">
        <f>'Form-Sb'!SPV94</f>
        <v>0</v>
      </c>
      <c r="SPS36" s="17">
        <f>'Form-Sb'!SPW94</f>
        <v>0</v>
      </c>
      <c r="SPT36" s="17">
        <f>'Form-Sb'!SPX94</f>
        <v>0</v>
      </c>
      <c r="SPU36" s="17">
        <f>'Form-Sb'!SPY94</f>
        <v>0</v>
      </c>
      <c r="SPV36" s="17">
        <f>'Form-Sb'!SPZ94</f>
        <v>0</v>
      </c>
      <c r="SPW36" s="17">
        <f>'Form-Sb'!SQA94</f>
        <v>0</v>
      </c>
      <c r="SPX36" s="17">
        <f>'Form-Sb'!SQB94</f>
        <v>0</v>
      </c>
      <c r="SPY36" s="17">
        <f>'Form-Sb'!SQC94</f>
        <v>0</v>
      </c>
      <c r="SPZ36" s="17">
        <f>'Form-Sb'!SQD94</f>
        <v>0</v>
      </c>
      <c r="SQA36" s="17">
        <f>'Form-Sb'!SQE94</f>
        <v>0</v>
      </c>
      <c r="SQB36" s="17">
        <f>'Form-Sb'!SQF94</f>
        <v>0</v>
      </c>
      <c r="SQC36" s="17">
        <f>'Form-Sb'!SQG94</f>
        <v>0</v>
      </c>
      <c r="SQD36" s="17">
        <f>'Form-Sb'!SQH94</f>
        <v>0</v>
      </c>
      <c r="SQE36" s="17">
        <f>'Form-Sb'!SQI94</f>
        <v>0</v>
      </c>
      <c r="SQF36" s="17">
        <f>'Form-Sb'!SQJ94</f>
        <v>0</v>
      </c>
      <c r="SQG36" s="17">
        <f>'Form-Sb'!SQK94</f>
        <v>0</v>
      </c>
      <c r="SQH36" s="17">
        <f>'Form-Sb'!SQL94</f>
        <v>0</v>
      </c>
      <c r="SQI36" s="17">
        <f>'Form-Sb'!SQM94</f>
        <v>0</v>
      </c>
      <c r="SQJ36" s="17">
        <f>'Form-Sb'!SQN94</f>
        <v>0</v>
      </c>
      <c r="SQK36" s="17">
        <f>'Form-Sb'!SQO94</f>
        <v>0</v>
      </c>
      <c r="SQL36" s="17">
        <f>'Form-Sb'!SQP94</f>
        <v>0</v>
      </c>
      <c r="SQM36" s="17">
        <f>'Form-Sb'!SQQ94</f>
        <v>0</v>
      </c>
      <c r="SQN36" s="17">
        <f>'Form-Sb'!SQR94</f>
        <v>0</v>
      </c>
      <c r="SQO36" s="17">
        <f>'Form-Sb'!SQS94</f>
        <v>0</v>
      </c>
      <c r="SQP36" s="17">
        <f>'Form-Sb'!SQT94</f>
        <v>0</v>
      </c>
      <c r="SQQ36" s="17">
        <f>'Form-Sb'!SQU94</f>
        <v>0</v>
      </c>
      <c r="SQR36" s="17">
        <f>'Form-Sb'!SQV94</f>
        <v>0</v>
      </c>
      <c r="SQS36" s="17">
        <f>'Form-Sb'!SQW94</f>
        <v>0</v>
      </c>
      <c r="SQT36" s="17">
        <f>'Form-Sb'!SQX94</f>
        <v>0</v>
      </c>
      <c r="SQU36" s="17">
        <f>'Form-Sb'!SQY94</f>
        <v>0</v>
      </c>
      <c r="SQV36" s="17">
        <f>'Form-Sb'!SQZ94</f>
        <v>0</v>
      </c>
      <c r="SQW36" s="17">
        <f>'Form-Sb'!SRA94</f>
        <v>0</v>
      </c>
      <c r="SQX36" s="17">
        <f>'Form-Sb'!SRB94</f>
        <v>0</v>
      </c>
      <c r="SQY36" s="17">
        <f>'Form-Sb'!SRC94</f>
        <v>0</v>
      </c>
      <c r="SQZ36" s="17">
        <f>'Form-Sb'!SRD94</f>
        <v>0</v>
      </c>
      <c r="SRA36" s="17">
        <f>'Form-Sb'!SRE94</f>
        <v>0</v>
      </c>
      <c r="SRB36" s="17">
        <f>'Form-Sb'!SRF94</f>
        <v>0</v>
      </c>
      <c r="SRC36" s="17">
        <f>'Form-Sb'!SRG94</f>
        <v>0</v>
      </c>
      <c r="SRD36" s="17">
        <f>'Form-Sb'!SRH94</f>
        <v>0</v>
      </c>
      <c r="SRE36" s="17">
        <f>'Form-Sb'!SRI94</f>
        <v>0</v>
      </c>
      <c r="SRF36" s="17">
        <f>'Form-Sb'!SRJ94</f>
        <v>0</v>
      </c>
      <c r="SRG36" s="17">
        <f>'Form-Sb'!SRK94</f>
        <v>0</v>
      </c>
      <c r="SRH36" s="17">
        <f>'Form-Sb'!SRL94</f>
        <v>0</v>
      </c>
      <c r="SRI36" s="17">
        <f>'Form-Sb'!SRM94</f>
        <v>0</v>
      </c>
      <c r="SRJ36" s="17">
        <f>'Form-Sb'!SRN94</f>
        <v>0</v>
      </c>
      <c r="SRK36" s="17">
        <f>'Form-Sb'!SRO94</f>
        <v>0</v>
      </c>
      <c r="SRL36" s="17">
        <f>'Form-Sb'!SRP94</f>
        <v>0</v>
      </c>
      <c r="SRM36" s="17">
        <f>'Form-Sb'!SRQ94</f>
        <v>0</v>
      </c>
      <c r="SRN36" s="17">
        <f>'Form-Sb'!SRR94</f>
        <v>0</v>
      </c>
      <c r="SRO36" s="17">
        <f>'Form-Sb'!SRS94</f>
        <v>0</v>
      </c>
      <c r="SRP36" s="17">
        <f>'Form-Sb'!SRT94</f>
        <v>0</v>
      </c>
      <c r="SRQ36" s="17">
        <f>'Form-Sb'!SRU94</f>
        <v>0</v>
      </c>
      <c r="SRR36" s="17">
        <f>'Form-Sb'!SRV94</f>
        <v>0</v>
      </c>
      <c r="SRS36" s="17">
        <f>'Form-Sb'!SRW94</f>
        <v>0</v>
      </c>
      <c r="SRT36" s="17">
        <f>'Form-Sb'!SRX94</f>
        <v>0</v>
      </c>
      <c r="SRU36" s="17">
        <f>'Form-Sb'!SRY94</f>
        <v>0</v>
      </c>
      <c r="SRV36" s="17">
        <f>'Form-Sb'!SRZ94</f>
        <v>0</v>
      </c>
      <c r="SRW36" s="17">
        <f>'Form-Sb'!SSA94</f>
        <v>0</v>
      </c>
      <c r="SRX36" s="17">
        <f>'Form-Sb'!SSB94</f>
        <v>0</v>
      </c>
      <c r="SRY36" s="17">
        <f>'Form-Sb'!SSC94</f>
        <v>0</v>
      </c>
      <c r="SRZ36" s="17">
        <f>'Form-Sb'!SSD94</f>
        <v>0</v>
      </c>
      <c r="SSA36" s="17">
        <f>'Form-Sb'!SSE94</f>
        <v>0</v>
      </c>
      <c r="SSB36" s="17">
        <f>'Form-Sb'!SSF94</f>
        <v>0</v>
      </c>
      <c r="SSC36" s="17">
        <f>'Form-Sb'!SSG94</f>
        <v>0</v>
      </c>
      <c r="SSD36" s="17">
        <f>'Form-Sb'!SSH94</f>
        <v>0</v>
      </c>
      <c r="SSE36" s="17">
        <f>'Form-Sb'!SSI94</f>
        <v>0</v>
      </c>
      <c r="SSF36" s="17">
        <f>'Form-Sb'!SSJ94</f>
        <v>0</v>
      </c>
      <c r="SSG36" s="17">
        <f>'Form-Sb'!SSK94</f>
        <v>0</v>
      </c>
      <c r="SSH36" s="17">
        <f>'Form-Sb'!SSL94</f>
        <v>0</v>
      </c>
      <c r="SSI36" s="17">
        <f>'Form-Sb'!SSM94</f>
        <v>0</v>
      </c>
      <c r="SSJ36" s="17">
        <f>'Form-Sb'!SSN94</f>
        <v>0</v>
      </c>
      <c r="SSK36" s="17">
        <f>'Form-Sb'!SSO94</f>
        <v>0</v>
      </c>
      <c r="SSL36" s="17">
        <f>'Form-Sb'!SSP94</f>
        <v>0</v>
      </c>
      <c r="SSM36" s="17">
        <f>'Form-Sb'!SSQ94</f>
        <v>0</v>
      </c>
      <c r="SSN36" s="17">
        <f>'Form-Sb'!SSR94</f>
        <v>0</v>
      </c>
      <c r="SSO36" s="17">
        <f>'Form-Sb'!SSS94</f>
        <v>0</v>
      </c>
      <c r="SSP36" s="17">
        <f>'Form-Sb'!SST94</f>
        <v>0</v>
      </c>
      <c r="SSQ36" s="17">
        <f>'Form-Sb'!SSU94</f>
        <v>0</v>
      </c>
      <c r="SSR36" s="17">
        <f>'Form-Sb'!SSV94</f>
        <v>0</v>
      </c>
      <c r="SSS36" s="17">
        <f>'Form-Sb'!SSW94</f>
        <v>0</v>
      </c>
      <c r="SST36" s="17">
        <f>'Form-Sb'!SSX94</f>
        <v>0</v>
      </c>
      <c r="SSU36" s="17">
        <f>'Form-Sb'!SSY94</f>
        <v>0</v>
      </c>
      <c r="SSV36" s="17">
        <f>'Form-Sb'!SSZ94</f>
        <v>0</v>
      </c>
      <c r="SSW36" s="17">
        <f>'Form-Sb'!STA94</f>
        <v>0</v>
      </c>
      <c r="SSX36" s="17">
        <f>'Form-Sb'!STB94</f>
        <v>0</v>
      </c>
      <c r="SSY36" s="17">
        <f>'Form-Sb'!STC94</f>
        <v>0</v>
      </c>
      <c r="SSZ36" s="17">
        <f>'Form-Sb'!STD94</f>
        <v>0</v>
      </c>
      <c r="STA36" s="17">
        <f>'Form-Sb'!STE94</f>
        <v>0</v>
      </c>
      <c r="STB36" s="17">
        <f>'Form-Sb'!STF94</f>
        <v>0</v>
      </c>
      <c r="STC36" s="17">
        <f>'Form-Sb'!STG94</f>
        <v>0</v>
      </c>
      <c r="STD36" s="17">
        <f>'Form-Sb'!STH94</f>
        <v>0</v>
      </c>
      <c r="STE36" s="17">
        <f>'Form-Sb'!STI94</f>
        <v>0</v>
      </c>
      <c r="STF36" s="17">
        <f>'Form-Sb'!STJ94</f>
        <v>0</v>
      </c>
      <c r="STG36" s="17">
        <f>'Form-Sb'!STK94</f>
        <v>0</v>
      </c>
      <c r="STH36" s="17">
        <f>'Form-Sb'!STL94</f>
        <v>0</v>
      </c>
      <c r="STI36" s="17">
        <f>'Form-Sb'!STM94</f>
        <v>0</v>
      </c>
      <c r="STJ36" s="17">
        <f>'Form-Sb'!STN94</f>
        <v>0</v>
      </c>
      <c r="STK36" s="17">
        <f>'Form-Sb'!STO94</f>
        <v>0</v>
      </c>
      <c r="STL36" s="17">
        <f>'Form-Sb'!STP94</f>
        <v>0</v>
      </c>
      <c r="STM36" s="17">
        <f>'Form-Sb'!STQ94</f>
        <v>0</v>
      </c>
      <c r="STN36" s="17">
        <f>'Form-Sb'!STR94</f>
        <v>0</v>
      </c>
      <c r="STO36" s="17">
        <f>'Form-Sb'!STS94</f>
        <v>0</v>
      </c>
      <c r="STP36" s="17">
        <f>'Form-Sb'!STT94</f>
        <v>0</v>
      </c>
      <c r="STQ36" s="17">
        <f>'Form-Sb'!STU94</f>
        <v>0</v>
      </c>
      <c r="STR36" s="17">
        <f>'Form-Sb'!STV94</f>
        <v>0</v>
      </c>
      <c r="STS36" s="17">
        <f>'Form-Sb'!STW94</f>
        <v>0</v>
      </c>
      <c r="STT36" s="17">
        <f>'Form-Sb'!STX94</f>
        <v>0</v>
      </c>
      <c r="STU36" s="17">
        <f>'Form-Sb'!STY94</f>
        <v>0</v>
      </c>
      <c r="STV36" s="17">
        <f>'Form-Sb'!STZ94</f>
        <v>0</v>
      </c>
      <c r="STW36" s="17">
        <f>'Form-Sb'!SUA94</f>
        <v>0</v>
      </c>
      <c r="STX36" s="17">
        <f>'Form-Sb'!SUB94</f>
        <v>0</v>
      </c>
      <c r="STY36" s="17">
        <f>'Form-Sb'!SUC94</f>
        <v>0</v>
      </c>
      <c r="STZ36" s="17">
        <f>'Form-Sb'!SUD94</f>
        <v>0</v>
      </c>
      <c r="SUA36" s="17">
        <f>'Form-Sb'!SUE94</f>
        <v>0</v>
      </c>
      <c r="SUB36" s="17">
        <f>'Form-Sb'!SUF94</f>
        <v>0</v>
      </c>
      <c r="SUC36" s="17">
        <f>'Form-Sb'!SUG94</f>
        <v>0</v>
      </c>
      <c r="SUD36" s="17">
        <f>'Form-Sb'!SUH94</f>
        <v>0</v>
      </c>
      <c r="SUE36" s="17">
        <f>'Form-Sb'!SUI94</f>
        <v>0</v>
      </c>
      <c r="SUF36" s="17">
        <f>'Form-Sb'!SUJ94</f>
        <v>0</v>
      </c>
      <c r="SUG36" s="17">
        <f>'Form-Sb'!SUK94</f>
        <v>0</v>
      </c>
      <c r="SUH36" s="17">
        <f>'Form-Sb'!SUL94</f>
        <v>0</v>
      </c>
      <c r="SUI36" s="17">
        <f>'Form-Sb'!SUM94</f>
        <v>0</v>
      </c>
      <c r="SUJ36" s="17">
        <f>'Form-Sb'!SUN94</f>
        <v>0</v>
      </c>
      <c r="SUK36" s="17">
        <f>'Form-Sb'!SUO94</f>
        <v>0</v>
      </c>
      <c r="SUL36" s="17">
        <f>'Form-Sb'!SUP94</f>
        <v>0</v>
      </c>
      <c r="SUM36" s="17">
        <f>'Form-Sb'!SUQ94</f>
        <v>0</v>
      </c>
      <c r="SUN36" s="17">
        <f>'Form-Sb'!SUR94</f>
        <v>0</v>
      </c>
      <c r="SUO36" s="17">
        <f>'Form-Sb'!SUS94</f>
        <v>0</v>
      </c>
      <c r="SUP36" s="17">
        <f>'Form-Sb'!SUT94</f>
        <v>0</v>
      </c>
      <c r="SUQ36" s="17">
        <f>'Form-Sb'!SUU94</f>
        <v>0</v>
      </c>
      <c r="SUR36" s="17">
        <f>'Form-Sb'!SUV94</f>
        <v>0</v>
      </c>
      <c r="SUS36" s="17">
        <f>'Form-Sb'!SUW94</f>
        <v>0</v>
      </c>
      <c r="SUT36" s="17">
        <f>'Form-Sb'!SUX94</f>
        <v>0</v>
      </c>
      <c r="SUU36" s="17">
        <f>'Form-Sb'!SUY94</f>
        <v>0</v>
      </c>
      <c r="SUV36" s="17">
        <f>'Form-Sb'!SUZ94</f>
        <v>0</v>
      </c>
      <c r="SUW36" s="17">
        <f>'Form-Sb'!SVA94</f>
        <v>0</v>
      </c>
      <c r="SUX36" s="17">
        <f>'Form-Sb'!SVB94</f>
        <v>0</v>
      </c>
      <c r="SUY36" s="17">
        <f>'Form-Sb'!SVC94</f>
        <v>0</v>
      </c>
      <c r="SUZ36" s="17">
        <f>'Form-Sb'!SVD94</f>
        <v>0</v>
      </c>
      <c r="SVA36" s="17">
        <f>'Form-Sb'!SVE94</f>
        <v>0</v>
      </c>
      <c r="SVB36" s="17">
        <f>'Form-Sb'!SVF94</f>
        <v>0</v>
      </c>
      <c r="SVC36" s="17">
        <f>'Form-Sb'!SVG94</f>
        <v>0</v>
      </c>
      <c r="SVD36" s="17">
        <f>'Form-Sb'!SVH94</f>
        <v>0</v>
      </c>
      <c r="SVE36" s="17">
        <f>'Form-Sb'!SVI94</f>
        <v>0</v>
      </c>
      <c r="SVF36" s="17">
        <f>'Form-Sb'!SVJ94</f>
        <v>0</v>
      </c>
      <c r="SVG36" s="17">
        <f>'Form-Sb'!SVK94</f>
        <v>0</v>
      </c>
      <c r="SVH36" s="17">
        <f>'Form-Sb'!SVL94</f>
        <v>0</v>
      </c>
      <c r="SVI36" s="17">
        <f>'Form-Sb'!SVM94</f>
        <v>0</v>
      </c>
      <c r="SVJ36" s="17">
        <f>'Form-Sb'!SVN94</f>
        <v>0</v>
      </c>
      <c r="SVK36" s="17">
        <f>'Form-Sb'!SVO94</f>
        <v>0</v>
      </c>
      <c r="SVL36" s="17">
        <f>'Form-Sb'!SVP94</f>
        <v>0</v>
      </c>
      <c r="SVM36" s="17">
        <f>'Form-Sb'!SVQ94</f>
        <v>0</v>
      </c>
      <c r="SVN36" s="17">
        <f>'Form-Sb'!SVR94</f>
        <v>0</v>
      </c>
      <c r="SVO36" s="17">
        <f>'Form-Sb'!SVS94</f>
        <v>0</v>
      </c>
      <c r="SVP36" s="17">
        <f>'Form-Sb'!SVT94</f>
        <v>0</v>
      </c>
      <c r="SVQ36" s="17">
        <f>'Form-Sb'!SVU94</f>
        <v>0</v>
      </c>
      <c r="SVR36" s="17">
        <f>'Form-Sb'!SVV94</f>
        <v>0</v>
      </c>
      <c r="SVS36" s="17">
        <f>'Form-Sb'!SVW94</f>
        <v>0</v>
      </c>
      <c r="SVT36" s="17">
        <f>'Form-Sb'!SVX94</f>
        <v>0</v>
      </c>
      <c r="SVU36" s="17">
        <f>'Form-Sb'!SVY94</f>
        <v>0</v>
      </c>
      <c r="SVV36" s="17">
        <f>'Form-Sb'!SVZ94</f>
        <v>0</v>
      </c>
      <c r="SVW36" s="17">
        <f>'Form-Sb'!SWA94</f>
        <v>0</v>
      </c>
      <c r="SVX36" s="17">
        <f>'Form-Sb'!SWB94</f>
        <v>0</v>
      </c>
      <c r="SVY36" s="17">
        <f>'Form-Sb'!SWC94</f>
        <v>0</v>
      </c>
      <c r="SVZ36" s="17">
        <f>'Form-Sb'!SWD94</f>
        <v>0</v>
      </c>
      <c r="SWA36" s="17">
        <f>'Form-Sb'!SWE94</f>
        <v>0</v>
      </c>
      <c r="SWB36" s="17">
        <f>'Form-Sb'!SWF94</f>
        <v>0</v>
      </c>
      <c r="SWC36" s="17">
        <f>'Form-Sb'!SWG94</f>
        <v>0</v>
      </c>
      <c r="SWD36" s="17">
        <f>'Form-Sb'!SWH94</f>
        <v>0</v>
      </c>
      <c r="SWE36" s="17">
        <f>'Form-Sb'!SWI94</f>
        <v>0</v>
      </c>
      <c r="SWF36" s="17">
        <f>'Form-Sb'!SWJ94</f>
        <v>0</v>
      </c>
      <c r="SWG36" s="17">
        <f>'Form-Sb'!SWK94</f>
        <v>0</v>
      </c>
      <c r="SWH36" s="17">
        <f>'Form-Sb'!SWL94</f>
        <v>0</v>
      </c>
      <c r="SWI36" s="17">
        <f>'Form-Sb'!SWM94</f>
        <v>0</v>
      </c>
      <c r="SWJ36" s="17">
        <f>'Form-Sb'!SWN94</f>
        <v>0</v>
      </c>
      <c r="SWK36" s="17">
        <f>'Form-Sb'!SWO94</f>
        <v>0</v>
      </c>
      <c r="SWL36" s="17">
        <f>'Form-Sb'!SWP94</f>
        <v>0</v>
      </c>
      <c r="SWM36" s="17">
        <f>'Form-Sb'!SWQ94</f>
        <v>0</v>
      </c>
      <c r="SWN36" s="17">
        <f>'Form-Sb'!SWR94</f>
        <v>0</v>
      </c>
      <c r="SWO36" s="17">
        <f>'Form-Sb'!SWS94</f>
        <v>0</v>
      </c>
      <c r="SWP36" s="17">
        <f>'Form-Sb'!SWT94</f>
        <v>0</v>
      </c>
      <c r="SWQ36" s="17">
        <f>'Form-Sb'!SWU94</f>
        <v>0</v>
      </c>
      <c r="SWR36" s="17">
        <f>'Form-Sb'!SWV94</f>
        <v>0</v>
      </c>
      <c r="SWS36" s="17">
        <f>'Form-Sb'!SWW94</f>
        <v>0</v>
      </c>
      <c r="SWT36" s="17">
        <f>'Form-Sb'!SWX94</f>
        <v>0</v>
      </c>
      <c r="SWU36" s="17">
        <f>'Form-Sb'!SWY94</f>
        <v>0</v>
      </c>
      <c r="SWV36" s="17">
        <f>'Form-Sb'!SWZ94</f>
        <v>0</v>
      </c>
      <c r="SWW36" s="17">
        <f>'Form-Sb'!SXA94</f>
        <v>0</v>
      </c>
      <c r="SWX36" s="17">
        <f>'Form-Sb'!SXB94</f>
        <v>0</v>
      </c>
      <c r="SWY36" s="17">
        <f>'Form-Sb'!SXC94</f>
        <v>0</v>
      </c>
      <c r="SWZ36" s="17">
        <f>'Form-Sb'!SXD94</f>
        <v>0</v>
      </c>
      <c r="SXA36" s="17">
        <f>'Form-Sb'!SXE94</f>
        <v>0</v>
      </c>
      <c r="SXB36" s="17">
        <f>'Form-Sb'!SXF94</f>
        <v>0</v>
      </c>
      <c r="SXC36" s="17">
        <f>'Form-Sb'!SXG94</f>
        <v>0</v>
      </c>
      <c r="SXD36" s="17">
        <f>'Form-Sb'!SXH94</f>
        <v>0</v>
      </c>
      <c r="SXE36" s="17">
        <f>'Form-Sb'!SXI94</f>
        <v>0</v>
      </c>
      <c r="SXF36" s="17">
        <f>'Form-Sb'!SXJ94</f>
        <v>0</v>
      </c>
      <c r="SXG36" s="17">
        <f>'Form-Sb'!SXK94</f>
        <v>0</v>
      </c>
      <c r="SXH36" s="17">
        <f>'Form-Sb'!SXL94</f>
        <v>0</v>
      </c>
      <c r="SXI36" s="17">
        <f>'Form-Sb'!SXM94</f>
        <v>0</v>
      </c>
      <c r="SXJ36" s="17">
        <f>'Form-Sb'!SXN94</f>
        <v>0</v>
      </c>
      <c r="SXK36" s="17">
        <f>'Form-Sb'!SXO94</f>
        <v>0</v>
      </c>
      <c r="SXL36" s="17">
        <f>'Form-Sb'!SXP94</f>
        <v>0</v>
      </c>
      <c r="SXM36" s="17">
        <f>'Form-Sb'!SXQ94</f>
        <v>0</v>
      </c>
      <c r="SXN36" s="17">
        <f>'Form-Sb'!SXR94</f>
        <v>0</v>
      </c>
      <c r="SXO36" s="17">
        <f>'Form-Sb'!SXS94</f>
        <v>0</v>
      </c>
      <c r="SXP36" s="17">
        <f>'Form-Sb'!SXT94</f>
        <v>0</v>
      </c>
      <c r="SXQ36" s="17">
        <f>'Form-Sb'!SXU94</f>
        <v>0</v>
      </c>
      <c r="SXR36" s="17">
        <f>'Form-Sb'!SXV94</f>
        <v>0</v>
      </c>
      <c r="SXS36" s="17">
        <f>'Form-Sb'!SXW94</f>
        <v>0</v>
      </c>
      <c r="SXT36" s="17">
        <f>'Form-Sb'!SXX94</f>
        <v>0</v>
      </c>
      <c r="SXU36" s="17">
        <f>'Form-Sb'!SXY94</f>
        <v>0</v>
      </c>
      <c r="SXV36" s="17">
        <f>'Form-Sb'!SXZ94</f>
        <v>0</v>
      </c>
      <c r="SXW36" s="17">
        <f>'Form-Sb'!SYA94</f>
        <v>0</v>
      </c>
      <c r="SXX36" s="17">
        <f>'Form-Sb'!SYB94</f>
        <v>0</v>
      </c>
      <c r="SXY36" s="17">
        <f>'Form-Sb'!SYC94</f>
        <v>0</v>
      </c>
      <c r="SXZ36" s="17">
        <f>'Form-Sb'!SYD94</f>
        <v>0</v>
      </c>
      <c r="SYA36" s="17">
        <f>'Form-Sb'!SYE94</f>
        <v>0</v>
      </c>
      <c r="SYB36" s="17">
        <f>'Form-Sb'!SYF94</f>
        <v>0</v>
      </c>
      <c r="SYC36" s="17">
        <f>'Form-Sb'!SYG94</f>
        <v>0</v>
      </c>
      <c r="SYD36" s="17">
        <f>'Form-Sb'!SYH94</f>
        <v>0</v>
      </c>
      <c r="SYE36" s="17">
        <f>'Form-Sb'!SYI94</f>
        <v>0</v>
      </c>
      <c r="SYF36" s="17">
        <f>'Form-Sb'!SYJ94</f>
        <v>0</v>
      </c>
      <c r="SYG36" s="17">
        <f>'Form-Sb'!SYK94</f>
        <v>0</v>
      </c>
      <c r="SYH36" s="17">
        <f>'Form-Sb'!SYL94</f>
        <v>0</v>
      </c>
      <c r="SYI36" s="17">
        <f>'Form-Sb'!SYM94</f>
        <v>0</v>
      </c>
      <c r="SYJ36" s="17">
        <f>'Form-Sb'!SYN94</f>
        <v>0</v>
      </c>
      <c r="SYK36" s="17">
        <f>'Form-Sb'!SYO94</f>
        <v>0</v>
      </c>
      <c r="SYL36" s="17">
        <f>'Form-Sb'!SYP94</f>
        <v>0</v>
      </c>
      <c r="SYM36" s="17">
        <f>'Form-Sb'!SYQ94</f>
        <v>0</v>
      </c>
      <c r="SYN36" s="17">
        <f>'Form-Sb'!SYR94</f>
        <v>0</v>
      </c>
      <c r="SYO36" s="17">
        <f>'Form-Sb'!SYS94</f>
        <v>0</v>
      </c>
      <c r="SYP36" s="17">
        <f>'Form-Sb'!SYT94</f>
        <v>0</v>
      </c>
      <c r="SYQ36" s="17">
        <f>'Form-Sb'!SYU94</f>
        <v>0</v>
      </c>
      <c r="SYR36" s="17">
        <f>'Form-Sb'!SYV94</f>
        <v>0</v>
      </c>
      <c r="SYS36" s="17">
        <f>'Form-Sb'!SYW94</f>
        <v>0</v>
      </c>
      <c r="SYT36" s="17">
        <f>'Form-Sb'!SYX94</f>
        <v>0</v>
      </c>
      <c r="SYU36" s="17">
        <f>'Form-Sb'!SYY94</f>
        <v>0</v>
      </c>
      <c r="SYV36" s="17">
        <f>'Form-Sb'!SYZ94</f>
        <v>0</v>
      </c>
      <c r="SYW36" s="17">
        <f>'Form-Sb'!SZA94</f>
        <v>0</v>
      </c>
      <c r="SYX36" s="17">
        <f>'Form-Sb'!SZB94</f>
        <v>0</v>
      </c>
      <c r="SYY36" s="17">
        <f>'Form-Sb'!SZC94</f>
        <v>0</v>
      </c>
      <c r="SYZ36" s="17">
        <f>'Form-Sb'!SZD94</f>
        <v>0</v>
      </c>
      <c r="SZA36" s="17">
        <f>'Form-Sb'!SZE94</f>
        <v>0</v>
      </c>
      <c r="SZB36" s="17">
        <f>'Form-Sb'!SZF94</f>
        <v>0</v>
      </c>
      <c r="SZC36" s="17">
        <f>'Form-Sb'!SZG94</f>
        <v>0</v>
      </c>
      <c r="SZD36" s="17">
        <f>'Form-Sb'!SZH94</f>
        <v>0</v>
      </c>
      <c r="SZE36" s="17">
        <f>'Form-Sb'!SZI94</f>
        <v>0</v>
      </c>
      <c r="SZF36" s="17">
        <f>'Form-Sb'!SZJ94</f>
        <v>0</v>
      </c>
      <c r="SZG36" s="17">
        <f>'Form-Sb'!SZK94</f>
        <v>0</v>
      </c>
      <c r="SZH36" s="17">
        <f>'Form-Sb'!SZL94</f>
        <v>0</v>
      </c>
      <c r="SZI36" s="17">
        <f>'Form-Sb'!SZM94</f>
        <v>0</v>
      </c>
      <c r="SZJ36" s="17">
        <f>'Form-Sb'!SZN94</f>
        <v>0</v>
      </c>
      <c r="SZK36" s="17">
        <f>'Form-Sb'!SZO94</f>
        <v>0</v>
      </c>
      <c r="SZL36" s="17">
        <f>'Form-Sb'!SZP94</f>
        <v>0</v>
      </c>
      <c r="SZM36" s="17">
        <f>'Form-Sb'!SZQ94</f>
        <v>0</v>
      </c>
      <c r="SZN36" s="17">
        <f>'Form-Sb'!SZR94</f>
        <v>0</v>
      </c>
      <c r="SZO36" s="17">
        <f>'Form-Sb'!SZS94</f>
        <v>0</v>
      </c>
      <c r="SZP36" s="17">
        <f>'Form-Sb'!SZT94</f>
        <v>0</v>
      </c>
      <c r="SZQ36" s="17">
        <f>'Form-Sb'!SZU94</f>
        <v>0</v>
      </c>
      <c r="SZR36" s="17">
        <f>'Form-Sb'!SZV94</f>
        <v>0</v>
      </c>
      <c r="SZS36" s="17">
        <f>'Form-Sb'!SZW94</f>
        <v>0</v>
      </c>
      <c r="SZT36" s="17">
        <f>'Form-Sb'!SZX94</f>
        <v>0</v>
      </c>
      <c r="SZU36" s="17">
        <f>'Form-Sb'!SZY94</f>
        <v>0</v>
      </c>
      <c r="SZV36" s="17">
        <f>'Form-Sb'!SZZ94</f>
        <v>0</v>
      </c>
      <c r="SZW36" s="17">
        <f>'Form-Sb'!TAA94</f>
        <v>0</v>
      </c>
      <c r="SZX36" s="17">
        <f>'Form-Sb'!TAB94</f>
        <v>0</v>
      </c>
      <c r="SZY36" s="17">
        <f>'Form-Sb'!TAC94</f>
        <v>0</v>
      </c>
      <c r="SZZ36" s="17">
        <f>'Form-Sb'!TAD94</f>
        <v>0</v>
      </c>
      <c r="TAA36" s="17">
        <f>'Form-Sb'!TAE94</f>
        <v>0</v>
      </c>
      <c r="TAB36" s="17">
        <f>'Form-Sb'!TAF94</f>
        <v>0</v>
      </c>
      <c r="TAC36" s="17">
        <f>'Form-Sb'!TAG94</f>
        <v>0</v>
      </c>
      <c r="TAD36" s="17">
        <f>'Form-Sb'!TAH94</f>
        <v>0</v>
      </c>
      <c r="TAE36" s="17">
        <f>'Form-Sb'!TAI94</f>
        <v>0</v>
      </c>
      <c r="TAF36" s="17">
        <f>'Form-Sb'!TAJ94</f>
        <v>0</v>
      </c>
      <c r="TAG36" s="17">
        <f>'Form-Sb'!TAK94</f>
        <v>0</v>
      </c>
      <c r="TAH36" s="17">
        <f>'Form-Sb'!TAL94</f>
        <v>0</v>
      </c>
      <c r="TAI36" s="17">
        <f>'Form-Sb'!TAM94</f>
        <v>0</v>
      </c>
      <c r="TAJ36" s="17">
        <f>'Form-Sb'!TAN94</f>
        <v>0</v>
      </c>
      <c r="TAK36" s="17">
        <f>'Form-Sb'!TAO94</f>
        <v>0</v>
      </c>
      <c r="TAL36" s="17">
        <f>'Form-Sb'!TAP94</f>
        <v>0</v>
      </c>
      <c r="TAM36" s="17">
        <f>'Form-Sb'!TAQ94</f>
        <v>0</v>
      </c>
      <c r="TAN36" s="17">
        <f>'Form-Sb'!TAR94</f>
        <v>0</v>
      </c>
      <c r="TAO36" s="17">
        <f>'Form-Sb'!TAS94</f>
        <v>0</v>
      </c>
      <c r="TAP36" s="17">
        <f>'Form-Sb'!TAT94</f>
        <v>0</v>
      </c>
      <c r="TAQ36" s="17">
        <f>'Form-Sb'!TAU94</f>
        <v>0</v>
      </c>
      <c r="TAR36" s="17">
        <f>'Form-Sb'!TAV94</f>
        <v>0</v>
      </c>
      <c r="TAS36" s="17">
        <f>'Form-Sb'!TAW94</f>
        <v>0</v>
      </c>
      <c r="TAT36" s="17">
        <f>'Form-Sb'!TAX94</f>
        <v>0</v>
      </c>
      <c r="TAU36" s="17">
        <f>'Form-Sb'!TAY94</f>
        <v>0</v>
      </c>
      <c r="TAV36" s="17">
        <f>'Form-Sb'!TAZ94</f>
        <v>0</v>
      </c>
      <c r="TAW36" s="17">
        <f>'Form-Sb'!TBA94</f>
        <v>0</v>
      </c>
      <c r="TAX36" s="17">
        <f>'Form-Sb'!TBB94</f>
        <v>0</v>
      </c>
      <c r="TAY36" s="17">
        <f>'Form-Sb'!TBC94</f>
        <v>0</v>
      </c>
      <c r="TAZ36" s="17">
        <f>'Form-Sb'!TBD94</f>
        <v>0</v>
      </c>
      <c r="TBA36" s="17">
        <f>'Form-Sb'!TBE94</f>
        <v>0</v>
      </c>
      <c r="TBB36" s="17">
        <f>'Form-Sb'!TBF94</f>
        <v>0</v>
      </c>
      <c r="TBC36" s="17">
        <f>'Form-Sb'!TBG94</f>
        <v>0</v>
      </c>
      <c r="TBD36" s="17">
        <f>'Form-Sb'!TBH94</f>
        <v>0</v>
      </c>
      <c r="TBE36" s="17">
        <f>'Form-Sb'!TBI94</f>
        <v>0</v>
      </c>
      <c r="TBF36" s="17">
        <f>'Form-Sb'!TBJ94</f>
        <v>0</v>
      </c>
      <c r="TBG36" s="17">
        <f>'Form-Sb'!TBK94</f>
        <v>0</v>
      </c>
      <c r="TBH36" s="17">
        <f>'Form-Sb'!TBL94</f>
        <v>0</v>
      </c>
      <c r="TBI36" s="17">
        <f>'Form-Sb'!TBM94</f>
        <v>0</v>
      </c>
      <c r="TBJ36" s="17">
        <f>'Form-Sb'!TBN94</f>
        <v>0</v>
      </c>
      <c r="TBK36" s="17">
        <f>'Form-Sb'!TBO94</f>
        <v>0</v>
      </c>
      <c r="TBL36" s="17">
        <f>'Form-Sb'!TBP94</f>
        <v>0</v>
      </c>
      <c r="TBM36" s="17">
        <f>'Form-Sb'!TBQ94</f>
        <v>0</v>
      </c>
      <c r="TBN36" s="17">
        <f>'Form-Sb'!TBR94</f>
        <v>0</v>
      </c>
      <c r="TBO36" s="17">
        <f>'Form-Sb'!TBS94</f>
        <v>0</v>
      </c>
      <c r="TBP36" s="17">
        <f>'Form-Sb'!TBT94</f>
        <v>0</v>
      </c>
      <c r="TBQ36" s="17">
        <f>'Form-Sb'!TBU94</f>
        <v>0</v>
      </c>
      <c r="TBR36" s="17">
        <f>'Form-Sb'!TBV94</f>
        <v>0</v>
      </c>
      <c r="TBS36" s="17">
        <f>'Form-Sb'!TBW94</f>
        <v>0</v>
      </c>
      <c r="TBT36" s="17">
        <f>'Form-Sb'!TBX94</f>
        <v>0</v>
      </c>
      <c r="TBU36" s="17">
        <f>'Form-Sb'!TBY94</f>
        <v>0</v>
      </c>
      <c r="TBV36" s="17">
        <f>'Form-Sb'!TBZ94</f>
        <v>0</v>
      </c>
      <c r="TBW36" s="17">
        <f>'Form-Sb'!TCA94</f>
        <v>0</v>
      </c>
      <c r="TBX36" s="17">
        <f>'Form-Sb'!TCB94</f>
        <v>0</v>
      </c>
      <c r="TBY36" s="17">
        <f>'Form-Sb'!TCC94</f>
        <v>0</v>
      </c>
      <c r="TBZ36" s="17">
        <f>'Form-Sb'!TCD94</f>
        <v>0</v>
      </c>
      <c r="TCA36" s="17">
        <f>'Form-Sb'!TCE94</f>
        <v>0</v>
      </c>
      <c r="TCB36" s="17">
        <f>'Form-Sb'!TCF94</f>
        <v>0</v>
      </c>
      <c r="TCC36" s="17">
        <f>'Form-Sb'!TCG94</f>
        <v>0</v>
      </c>
      <c r="TCD36" s="17">
        <f>'Form-Sb'!TCH94</f>
        <v>0</v>
      </c>
      <c r="TCE36" s="17">
        <f>'Form-Sb'!TCI94</f>
        <v>0</v>
      </c>
      <c r="TCF36" s="17">
        <f>'Form-Sb'!TCJ94</f>
        <v>0</v>
      </c>
      <c r="TCG36" s="17">
        <f>'Form-Sb'!TCK94</f>
        <v>0</v>
      </c>
      <c r="TCH36" s="17">
        <f>'Form-Sb'!TCL94</f>
        <v>0</v>
      </c>
      <c r="TCI36" s="17">
        <f>'Form-Sb'!TCM94</f>
        <v>0</v>
      </c>
      <c r="TCJ36" s="17">
        <f>'Form-Sb'!TCN94</f>
        <v>0</v>
      </c>
      <c r="TCK36" s="17">
        <f>'Form-Sb'!TCO94</f>
        <v>0</v>
      </c>
      <c r="TCL36" s="17">
        <f>'Form-Sb'!TCP94</f>
        <v>0</v>
      </c>
      <c r="TCM36" s="17">
        <f>'Form-Sb'!TCQ94</f>
        <v>0</v>
      </c>
      <c r="TCN36" s="17">
        <f>'Form-Sb'!TCR94</f>
        <v>0</v>
      </c>
      <c r="TCO36" s="17">
        <f>'Form-Sb'!TCS94</f>
        <v>0</v>
      </c>
      <c r="TCP36" s="17">
        <f>'Form-Sb'!TCT94</f>
        <v>0</v>
      </c>
      <c r="TCQ36" s="17">
        <f>'Form-Sb'!TCU94</f>
        <v>0</v>
      </c>
      <c r="TCR36" s="17">
        <f>'Form-Sb'!TCV94</f>
        <v>0</v>
      </c>
      <c r="TCS36" s="17">
        <f>'Form-Sb'!TCW94</f>
        <v>0</v>
      </c>
      <c r="TCT36" s="17">
        <f>'Form-Sb'!TCX94</f>
        <v>0</v>
      </c>
      <c r="TCU36" s="17">
        <f>'Form-Sb'!TCY94</f>
        <v>0</v>
      </c>
      <c r="TCV36" s="17">
        <f>'Form-Sb'!TCZ94</f>
        <v>0</v>
      </c>
      <c r="TCW36" s="17">
        <f>'Form-Sb'!TDA94</f>
        <v>0</v>
      </c>
      <c r="TCX36" s="17">
        <f>'Form-Sb'!TDB94</f>
        <v>0</v>
      </c>
      <c r="TCY36" s="17">
        <f>'Form-Sb'!TDC94</f>
        <v>0</v>
      </c>
      <c r="TCZ36" s="17">
        <f>'Form-Sb'!TDD94</f>
        <v>0</v>
      </c>
      <c r="TDA36" s="17">
        <f>'Form-Sb'!TDE94</f>
        <v>0</v>
      </c>
      <c r="TDB36" s="17">
        <f>'Form-Sb'!TDF94</f>
        <v>0</v>
      </c>
      <c r="TDC36" s="17">
        <f>'Form-Sb'!TDG94</f>
        <v>0</v>
      </c>
      <c r="TDD36" s="17">
        <f>'Form-Sb'!TDH94</f>
        <v>0</v>
      </c>
      <c r="TDE36" s="17">
        <f>'Form-Sb'!TDI94</f>
        <v>0</v>
      </c>
      <c r="TDF36" s="17">
        <f>'Form-Sb'!TDJ94</f>
        <v>0</v>
      </c>
      <c r="TDG36" s="17">
        <f>'Form-Sb'!TDK94</f>
        <v>0</v>
      </c>
      <c r="TDH36" s="17">
        <f>'Form-Sb'!TDL94</f>
        <v>0</v>
      </c>
      <c r="TDI36" s="17">
        <f>'Form-Sb'!TDM94</f>
        <v>0</v>
      </c>
      <c r="TDJ36" s="17">
        <f>'Form-Sb'!TDN94</f>
        <v>0</v>
      </c>
      <c r="TDK36" s="17">
        <f>'Form-Sb'!TDO94</f>
        <v>0</v>
      </c>
      <c r="TDL36" s="17">
        <f>'Form-Sb'!TDP94</f>
        <v>0</v>
      </c>
      <c r="TDM36" s="17">
        <f>'Form-Sb'!TDQ94</f>
        <v>0</v>
      </c>
      <c r="TDN36" s="17">
        <f>'Form-Sb'!TDR94</f>
        <v>0</v>
      </c>
      <c r="TDO36" s="17">
        <f>'Form-Sb'!TDS94</f>
        <v>0</v>
      </c>
      <c r="TDP36" s="17">
        <f>'Form-Sb'!TDT94</f>
        <v>0</v>
      </c>
      <c r="TDQ36" s="17">
        <f>'Form-Sb'!TDU94</f>
        <v>0</v>
      </c>
      <c r="TDR36" s="17">
        <f>'Form-Sb'!TDV94</f>
        <v>0</v>
      </c>
      <c r="TDS36" s="17">
        <f>'Form-Sb'!TDW94</f>
        <v>0</v>
      </c>
      <c r="TDT36" s="17">
        <f>'Form-Sb'!TDX94</f>
        <v>0</v>
      </c>
      <c r="TDU36" s="17">
        <f>'Form-Sb'!TDY94</f>
        <v>0</v>
      </c>
      <c r="TDV36" s="17">
        <f>'Form-Sb'!TDZ94</f>
        <v>0</v>
      </c>
      <c r="TDW36" s="17">
        <f>'Form-Sb'!TEA94</f>
        <v>0</v>
      </c>
      <c r="TDX36" s="17">
        <f>'Form-Sb'!TEB94</f>
        <v>0</v>
      </c>
      <c r="TDY36" s="17">
        <f>'Form-Sb'!TEC94</f>
        <v>0</v>
      </c>
      <c r="TDZ36" s="17">
        <f>'Form-Sb'!TED94</f>
        <v>0</v>
      </c>
      <c r="TEA36" s="17">
        <f>'Form-Sb'!TEE94</f>
        <v>0</v>
      </c>
      <c r="TEB36" s="17">
        <f>'Form-Sb'!TEF94</f>
        <v>0</v>
      </c>
      <c r="TEC36" s="17">
        <f>'Form-Sb'!TEG94</f>
        <v>0</v>
      </c>
      <c r="TED36" s="17">
        <f>'Form-Sb'!TEH94</f>
        <v>0</v>
      </c>
      <c r="TEE36" s="17">
        <f>'Form-Sb'!TEI94</f>
        <v>0</v>
      </c>
      <c r="TEF36" s="17">
        <f>'Form-Sb'!TEJ94</f>
        <v>0</v>
      </c>
      <c r="TEG36" s="17">
        <f>'Form-Sb'!TEK94</f>
        <v>0</v>
      </c>
      <c r="TEH36" s="17">
        <f>'Form-Sb'!TEL94</f>
        <v>0</v>
      </c>
      <c r="TEI36" s="17">
        <f>'Form-Sb'!TEM94</f>
        <v>0</v>
      </c>
      <c r="TEJ36" s="17">
        <f>'Form-Sb'!TEN94</f>
        <v>0</v>
      </c>
      <c r="TEK36" s="17">
        <f>'Form-Sb'!TEO94</f>
        <v>0</v>
      </c>
      <c r="TEL36" s="17">
        <f>'Form-Sb'!TEP94</f>
        <v>0</v>
      </c>
      <c r="TEM36" s="17">
        <f>'Form-Sb'!TEQ94</f>
        <v>0</v>
      </c>
      <c r="TEN36" s="17">
        <f>'Form-Sb'!TER94</f>
        <v>0</v>
      </c>
      <c r="TEO36" s="17">
        <f>'Form-Sb'!TES94</f>
        <v>0</v>
      </c>
      <c r="TEP36" s="17">
        <f>'Form-Sb'!TET94</f>
        <v>0</v>
      </c>
      <c r="TEQ36" s="17">
        <f>'Form-Sb'!TEU94</f>
        <v>0</v>
      </c>
      <c r="TER36" s="17">
        <f>'Form-Sb'!TEV94</f>
        <v>0</v>
      </c>
      <c r="TES36" s="17">
        <f>'Form-Sb'!TEW94</f>
        <v>0</v>
      </c>
      <c r="TET36" s="17">
        <f>'Form-Sb'!TEX94</f>
        <v>0</v>
      </c>
      <c r="TEU36" s="17">
        <f>'Form-Sb'!TEY94</f>
        <v>0</v>
      </c>
      <c r="TEV36" s="17">
        <f>'Form-Sb'!TEZ94</f>
        <v>0</v>
      </c>
      <c r="TEW36" s="17">
        <f>'Form-Sb'!TFA94</f>
        <v>0</v>
      </c>
      <c r="TEX36" s="17">
        <f>'Form-Sb'!TFB94</f>
        <v>0</v>
      </c>
      <c r="TEY36" s="17">
        <f>'Form-Sb'!TFC94</f>
        <v>0</v>
      </c>
      <c r="TEZ36" s="17">
        <f>'Form-Sb'!TFD94</f>
        <v>0</v>
      </c>
      <c r="TFA36" s="17">
        <f>'Form-Sb'!TFE94</f>
        <v>0</v>
      </c>
      <c r="TFB36" s="17">
        <f>'Form-Sb'!TFF94</f>
        <v>0</v>
      </c>
      <c r="TFC36" s="17">
        <f>'Form-Sb'!TFG94</f>
        <v>0</v>
      </c>
      <c r="TFD36" s="17">
        <f>'Form-Sb'!TFH94</f>
        <v>0</v>
      </c>
      <c r="TFE36" s="17">
        <f>'Form-Sb'!TFI94</f>
        <v>0</v>
      </c>
      <c r="TFF36" s="17">
        <f>'Form-Sb'!TFJ94</f>
        <v>0</v>
      </c>
      <c r="TFG36" s="17">
        <f>'Form-Sb'!TFK94</f>
        <v>0</v>
      </c>
      <c r="TFH36" s="17">
        <f>'Form-Sb'!TFL94</f>
        <v>0</v>
      </c>
      <c r="TFI36" s="17">
        <f>'Form-Sb'!TFM94</f>
        <v>0</v>
      </c>
      <c r="TFJ36" s="17">
        <f>'Form-Sb'!TFN94</f>
        <v>0</v>
      </c>
      <c r="TFK36" s="17">
        <f>'Form-Sb'!TFO94</f>
        <v>0</v>
      </c>
      <c r="TFL36" s="17">
        <f>'Form-Sb'!TFP94</f>
        <v>0</v>
      </c>
      <c r="TFM36" s="17">
        <f>'Form-Sb'!TFQ94</f>
        <v>0</v>
      </c>
      <c r="TFN36" s="17">
        <f>'Form-Sb'!TFR94</f>
        <v>0</v>
      </c>
      <c r="TFO36" s="17">
        <f>'Form-Sb'!TFS94</f>
        <v>0</v>
      </c>
      <c r="TFP36" s="17">
        <f>'Form-Sb'!TFT94</f>
        <v>0</v>
      </c>
      <c r="TFQ36" s="17">
        <f>'Form-Sb'!TFU94</f>
        <v>0</v>
      </c>
      <c r="TFR36" s="17">
        <f>'Form-Sb'!TFV94</f>
        <v>0</v>
      </c>
      <c r="TFS36" s="17">
        <f>'Form-Sb'!TFW94</f>
        <v>0</v>
      </c>
      <c r="TFT36" s="17">
        <f>'Form-Sb'!TFX94</f>
        <v>0</v>
      </c>
      <c r="TFU36" s="17">
        <f>'Form-Sb'!TFY94</f>
        <v>0</v>
      </c>
      <c r="TFV36" s="17">
        <f>'Form-Sb'!TFZ94</f>
        <v>0</v>
      </c>
      <c r="TFW36" s="17">
        <f>'Form-Sb'!TGA94</f>
        <v>0</v>
      </c>
      <c r="TFX36" s="17">
        <f>'Form-Sb'!TGB94</f>
        <v>0</v>
      </c>
      <c r="TFY36" s="17">
        <f>'Form-Sb'!TGC94</f>
        <v>0</v>
      </c>
      <c r="TFZ36" s="17">
        <f>'Form-Sb'!TGD94</f>
        <v>0</v>
      </c>
      <c r="TGA36" s="17">
        <f>'Form-Sb'!TGE94</f>
        <v>0</v>
      </c>
      <c r="TGB36" s="17">
        <f>'Form-Sb'!TGF94</f>
        <v>0</v>
      </c>
      <c r="TGC36" s="17">
        <f>'Form-Sb'!TGG94</f>
        <v>0</v>
      </c>
      <c r="TGD36" s="17">
        <f>'Form-Sb'!TGH94</f>
        <v>0</v>
      </c>
      <c r="TGE36" s="17">
        <f>'Form-Sb'!TGI94</f>
        <v>0</v>
      </c>
      <c r="TGF36" s="17">
        <f>'Form-Sb'!TGJ94</f>
        <v>0</v>
      </c>
      <c r="TGG36" s="17">
        <f>'Form-Sb'!TGK94</f>
        <v>0</v>
      </c>
      <c r="TGH36" s="17">
        <f>'Form-Sb'!TGL94</f>
        <v>0</v>
      </c>
      <c r="TGI36" s="17">
        <f>'Form-Sb'!TGM94</f>
        <v>0</v>
      </c>
      <c r="TGJ36" s="17">
        <f>'Form-Sb'!TGN94</f>
        <v>0</v>
      </c>
      <c r="TGK36" s="17">
        <f>'Form-Sb'!TGO94</f>
        <v>0</v>
      </c>
      <c r="TGL36" s="17">
        <f>'Form-Sb'!TGP94</f>
        <v>0</v>
      </c>
      <c r="TGM36" s="17">
        <f>'Form-Sb'!TGQ94</f>
        <v>0</v>
      </c>
      <c r="TGN36" s="17">
        <f>'Form-Sb'!TGR94</f>
        <v>0</v>
      </c>
      <c r="TGO36" s="17">
        <f>'Form-Sb'!TGS94</f>
        <v>0</v>
      </c>
      <c r="TGP36" s="17">
        <f>'Form-Sb'!TGT94</f>
        <v>0</v>
      </c>
      <c r="TGQ36" s="17">
        <f>'Form-Sb'!TGU94</f>
        <v>0</v>
      </c>
      <c r="TGR36" s="17">
        <f>'Form-Sb'!TGV94</f>
        <v>0</v>
      </c>
      <c r="TGS36" s="17">
        <f>'Form-Sb'!TGW94</f>
        <v>0</v>
      </c>
      <c r="TGT36" s="17">
        <f>'Form-Sb'!TGX94</f>
        <v>0</v>
      </c>
      <c r="TGU36" s="17">
        <f>'Form-Sb'!TGY94</f>
        <v>0</v>
      </c>
      <c r="TGV36" s="17">
        <f>'Form-Sb'!TGZ94</f>
        <v>0</v>
      </c>
      <c r="TGW36" s="17">
        <f>'Form-Sb'!THA94</f>
        <v>0</v>
      </c>
      <c r="TGX36" s="17">
        <f>'Form-Sb'!THB94</f>
        <v>0</v>
      </c>
      <c r="TGY36" s="17">
        <f>'Form-Sb'!THC94</f>
        <v>0</v>
      </c>
      <c r="TGZ36" s="17">
        <f>'Form-Sb'!THD94</f>
        <v>0</v>
      </c>
      <c r="THA36" s="17">
        <f>'Form-Sb'!THE94</f>
        <v>0</v>
      </c>
      <c r="THB36" s="17">
        <f>'Form-Sb'!THF94</f>
        <v>0</v>
      </c>
      <c r="THC36" s="17">
        <f>'Form-Sb'!THG94</f>
        <v>0</v>
      </c>
      <c r="THD36" s="17">
        <f>'Form-Sb'!THH94</f>
        <v>0</v>
      </c>
      <c r="THE36" s="17">
        <f>'Form-Sb'!THI94</f>
        <v>0</v>
      </c>
      <c r="THF36" s="17">
        <f>'Form-Sb'!THJ94</f>
        <v>0</v>
      </c>
      <c r="THG36" s="17">
        <f>'Form-Sb'!THK94</f>
        <v>0</v>
      </c>
      <c r="THH36" s="17">
        <f>'Form-Sb'!THL94</f>
        <v>0</v>
      </c>
      <c r="THI36" s="17">
        <f>'Form-Sb'!THM94</f>
        <v>0</v>
      </c>
      <c r="THJ36" s="17">
        <f>'Form-Sb'!THN94</f>
        <v>0</v>
      </c>
      <c r="THK36" s="17">
        <f>'Form-Sb'!THO94</f>
        <v>0</v>
      </c>
      <c r="THL36" s="17">
        <f>'Form-Sb'!THP94</f>
        <v>0</v>
      </c>
      <c r="THM36" s="17">
        <f>'Form-Sb'!THQ94</f>
        <v>0</v>
      </c>
      <c r="THN36" s="17">
        <f>'Form-Sb'!THR94</f>
        <v>0</v>
      </c>
      <c r="THO36" s="17">
        <f>'Form-Sb'!THS94</f>
        <v>0</v>
      </c>
      <c r="THP36" s="17">
        <f>'Form-Sb'!THT94</f>
        <v>0</v>
      </c>
      <c r="THQ36" s="17">
        <f>'Form-Sb'!THU94</f>
        <v>0</v>
      </c>
      <c r="THR36" s="17">
        <f>'Form-Sb'!THV94</f>
        <v>0</v>
      </c>
      <c r="THS36" s="17">
        <f>'Form-Sb'!THW94</f>
        <v>0</v>
      </c>
      <c r="THT36" s="17">
        <f>'Form-Sb'!THX94</f>
        <v>0</v>
      </c>
      <c r="THU36" s="17">
        <f>'Form-Sb'!THY94</f>
        <v>0</v>
      </c>
      <c r="THV36" s="17">
        <f>'Form-Sb'!THZ94</f>
        <v>0</v>
      </c>
      <c r="THW36" s="17">
        <f>'Form-Sb'!TIA94</f>
        <v>0</v>
      </c>
      <c r="THX36" s="17">
        <f>'Form-Sb'!TIB94</f>
        <v>0</v>
      </c>
      <c r="THY36" s="17">
        <f>'Form-Sb'!TIC94</f>
        <v>0</v>
      </c>
      <c r="THZ36" s="17">
        <f>'Form-Sb'!TID94</f>
        <v>0</v>
      </c>
      <c r="TIA36" s="17">
        <f>'Form-Sb'!TIE94</f>
        <v>0</v>
      </c>
      <c r="TIB36" s="17">
        <f>'Form-Sb'!TIF94</f>
        <v>0</v>
      </c>
      <c r="TIC36" s="17">
        <f>'Form-Sb'!TIG94</f>
        <v>0</v>
      </c>
      <c r="TID36" s="17">
        <f>'Form-Sb'!TIH94</f>
        <v>0</v>
      </c>
      <c r="TIE36" s="17">
        <f>'Form-Sb'!TII94</f>
        <v>0</v>
      </c>
      <c r="TIF36" s="17">
        <f>'Form-Sb'!TIJ94</f>
        <v>0</v>
      </c>
      <c r="TIG36" s="17">
        <f>'Form-Sb'!TIK94</f>
        <v>0</v>
      </c>
      <c r="TIH36" s="17">
        <f>'Form-Sb'!TIL94</f>
        <v>0</v>
      </c>
      <c r="TII36" s="17">
        <f>'Form-Sb'!TIM94</f>
        <v>0</v>
      </c>
      <c r="TIJ36" s="17">
        <f>'Form-Sb'!TIN94</f>
        <v>0</v>
      </c>
      <c r="TIK36" s="17">
        <f>'Form-Sb'!TIO94</f>
        <v>0</v>
      </c>
      <c r="TIL36" s="17">
        <f>'Form-Sb'!TIP94</f>
        <v>0</v>
      </c>
      <c r="TIM36" s="17">
        <f>'Form-Sb'!TIQ94</f>
        <v>0</v>
      </c>
      <c r="TIN36" s="17">
        <f>'Form-Sb'!TIR94</f>
        <v>0</v>
      </c>
      <c r="TIO36" s="17">
        <f>'Form-Sb'!TIS94</f>
        <v>0</v>
      </c>
      <c r="TIP36" s="17">
        <f>'Form-Sb'!TIT94</f>
        <v>0</v>
      </c>
      <c r="TIQ36" s="17">
        <f>'Form-Sb'!TIU94</f>
        <v>0</v>
      </c>
      <c r="TIR36" s="17">
        <f>'Form-Sb'!TIV94</f>
        <v>0</v>
      </c>
      <c r="TIS36" s="17">
        <f>'Form-Sb'!TIW94</f>
        <v>0</v>
      </c>
      <c r="TIT36" s="17">
        <f>'Form-Sb'!TIX94</f>
        <v>0</v>
      </c>
      <c r="TIU36" s="17">
        <f>'Form-Sb'!TIY94</f>
        <v>0</v>
      </c>
      <c r="TIV36" s="17">
        <f>'Form-Sb'!TIZ94</f>
        <v>0</v>
      </c>
      <c r="TIW36" s="17">
        <f>'Form-Sb'!TJA94</f>
        <v>0</v>
      </c>
      <c r="TIX36" s="17">
        <f>'Form-Sb'!TJB94</f>
        <v>0</v>
      </c>
      <c r="TIY36" s="17">
        <f>'Form-Sb'!TJC94</f>
        <v>0</v>
      </c>
      <c r="TIZ36" s="17">
        <f>'Form-Sb'!TJD94</f>
        <v>0</v>
      </c>
      <c r="TJA36" s="17">
        <f>'Form-Sb'!TJE94</f>
        <v>0</v>
      </c>
      <c r="TJB36" s="17">
        <f>'Form-Sb'!TJF94</f>
        <v>0</v>
      </c>
      <c r="TJC36" s="17">
        <f>'Form-Sb'!TJG94</f>
        <v>0</v>
      </c>
      <c r="TJD36" s="17">
        <f>'Form-Sb'!TJH94</f>
        <v>0</v>
      </c>
      <c r="TJE36" s="17">
        <f>'Form-Sb'!TJI94</f>
        <v>0</v>
      </c>
      <c r="TJF36" s="17">
        <f>'Form-Sb'!TJJ94</f>
        <v>0</v>
      </c>
      <c r="TJG36" s="17">
        <f>'Form-Sb'!TJK94</f>
        <v>0</v>
      </c>
      <c r="TJH36" s="17">
        <f>'Form-Sb'!TJL94</f>
        <v>0</v>
      </c>
      <c r="TJI36" s="17">
        <f>'Form-Sb'!TJM94</f>
        <v>0</v>
      </c>
      <c r="TJJ36" s="17">
        <f>'Form-Sb'!TJN94</f>
        <v>0</v>
      </c>
      <c r="TJK36" s="17">
        <f>'Form-Sb'!TJO94</f>
        <v>0</v>
      </c>
      <c r="TJL36" s="17">
        <f>'Form-Sb'!TJP94</f>
        <v>0</v>
      </c>
      <c r="TJM36" s="17">
        <f>'Form-Sb'!TJQ94</f>
        <v>0</v>
      </c>
      <c r="TJN36" s="17">
        <f>'Form-Sb'!TJR94</f>
        <v>0</v>
      </c>
      <c r="TJO36" s="17">
        <f>'Form-Sb'!TJS94</f>
        <v>0</v>
      </c>
      <c r="TJP36" s="17">
        <f>'Form-Sb'!TJT94</f>
        <v>0</v>
      </c>
      <c r="TJQ36" s="17">
        <f>'Form-Sb'!TJU94</f>
        <v>0</v>
      </c>
      <c r="TJR36" s="17">
        <f>'Form-Sb'!TJV94</f>
        <v>0</v>
      </c>
      <c r="TJS36" s="17">
        <f>'Form-Sb'!TJW94</f>
        <v>0</v>
      </c>
      <c r="TJT36" s="17">
        <f>'Form-Sb'!TJX94</f>
        <v>0</v>
      </c>
      <c r="TJU36" s="17">
        <f>'Form-Sb'!TJY94</f>
        <v>0</v>
      </c>
      <c r="TJV36" s="17">
        <f>'Form-Sb'!TJZ94</f>
        <v>0</v>
      </c>
      <c r="TJW36" s="17">
        <f>'Form-Sb'!TKA94</f>
        <v>0</v>
      </c>
      <c r="TJX36" s="17">
        <f>'Form-Sb'!TKB94</f>
        <v>0</v>
      </c>
      <c r="TJY36" s="17">
        <f>'Form-Sb'!TKC94</f>
        <v>0</v>
      </c>
      <c r="TJZ36" s="17">
        <f>'Form-Sb'!TKD94</f>
        <v>0</v>
      </c>
      <c r="TKA36" s="17">
        <f>'Form-Sb'!TKE94</f>
        <v>0</v>
      </c>
      <c r="TKB36" s="17">
        <f>'Form-Sb'!TKF94</f>
        <v>0</v>
      </c>
      <c r="TKC36" s="17">
        <f>'Form-Sb'!TKG94</f>
        <v>0</v>
      </c>
      <c r="TKD36" s="17">
        <f>'Form-Sb'!TKH94</f>
        <v>0</v>
      </c>
      <c r="TKE36" s="17">
        <f>'Form-Sb'!TKI94</f>
        <v>0</v>
      </c>
      <c r="TKF36" s="17">
        <f>'Form-Sb'!TKJ94</f>
        <v>0</v>
      </c>
      <c r="TKG36" s="17">
        <f>'Form-Sb'!TKK94</f>
        <v>0</v>
      </c>
      <c r="TKH36" s="17">
        <f>'Form-Sb'!TKL94</f>
        <v>0</v>
      </c>
      <c r="TKI36" s="17">
        <f>'Form-Sb'!TKM94</f>
        <v>0</v>
      </c>
      <c r="TKJ36" s="17">
        <f>'Form-Sb'!TKN94</f>
        <v>0</v>
      </c>
      <c r="TKK36" s="17">
        <f>'Form-Sb'!TKO94</f>
        <v>0</v>
      </c>
      <c r="TKL36" s="17">
        <f>'Form-Sb'!TKP94</f>
        <v>0</v>
      </c>
      <c r="TKM36" s="17">
        <f>'Form-Sb'!TKQ94</f>
        <v>0</v>
      </c>
      <c r="TKN36" s="17">
        <f>'Form-Sb'!TKR94</f>
        <v>0</v>
      </c>
      <c r="TKO36" s="17">
        <f>'Form-Sb'!TKS94</f>
        <v>0</v>
      </c>
      <c r="TKP36" s="17">
        <f>'Form-Sb'!TKT94</f>
        <v>0</v>
      </c>
      <c r="TKQ36" s="17">
        <f>'Form-Sb'!TKU94</f>
        <v>0</v>
      </c>
      <c r="TKR36" s="17">
        <f>'Form-Sb'!TKV94</f>
        <v>0</v>
      </c>
      <c r="TKS36" s="17">
        <f>'Form-Sb'!TKW94</f>
        <v>0</v>
      </c>
      <c r="TKT36" s="17">
        <f>'Form-Sb'!TKX94</f>
        <v>0</v>
      </c>
      <c r="TKU36" s="17">
        <f>'Form-Sb'!TKY94</f>
        <v>0</v>
      </c>
      <c r="TKV36" s="17">
        <f>'Form-Sb'!TKZ94</f>
        <v>0</v>
      </c>
      <c r="TKW36" s="17">
        <f>'Form-Sb'!TLA94</f>
        <v>0</v>
      </c>
      <c r="TKX36" s="17">
        <f>'Form-Sb'!TLB94</f>
        <v>0</v>
      </c>
      <c r="TKY36" s="17">
        <f>'Form-Sb'!TLC94</f>
        <v>0</v>
      </c>
      <c r="TKZ36" s="17">
        <f>'Form-Sb'!TLD94</f>
        <v>0</v>
      </c>
      <c r="TLA36" s="17">
        <f>'Form-Sb'!TLE94</f>
        <v>0</v>
      </c>
      <c r="TLB36" s="17">
        <f>'Form-Sb'!TLF94</f>
        <v>0</v>
      </c>
      <c r="TLC36" s="17">
        <f>'Form-Sb'!TLG94</f>
        <v>0</v>
      </c>
      <c r="TLD36" s="17">
        <f>'Form-Sb'!TLH94</f>
        <v>0</v>
      </c>
      <c r="TLE36" s="17">
        <f>'Form-Sb'!TLI94</f>
        <v>0</v>
      </c>
      <c r="TLF36" s="17">
        <f>'Form-Sb'!TLJ94</f>
        <v>0</v>
      </c>
      <c r="TLG36" s="17">
        <f>'Form-Sb'!TLK94</f>
        <v>0</v>
      </c>
      <c r="TLH36" s="17">
        <f>'Form-Sb'!TLL94</f>
        <v>0</v>
      </c>
      <c r="TLI36" s="17">
        <f>'Form-Sb'!TLM94</f>
        <v>0</v>
      </c>
      <c r="TLJ36" s="17">
        <f>'Form-Sb'!TLN94</f>
        <v>0</v>
      </c>
      <c r="TLK36" s="17">
        <f>'Form-Sb'!TLO94</f>
        <v>0</v>
      </c>
      <c r="TLL36" s="17">
        <f>'Form-Sb'!TLP94</f>
        <v>0</v>
      </c>
      <c r="TLM36" s="17">
        <f>'Form-Sb'!TLQ94</f>
        <v>0</v>
      </c>
      <c r="TLN36" s="17">
        <f>'Form-Sb'!TLR94</f>
        <v>0</v>
      </c>
      <c r="TLO36" s="17">
        <f>'Form-Sb'!TLS94</f>
        <v>0</v>
      </c>
      <c r="TLP36" s="17">
        <f>'Form-Sb'!TLT94</f>
        <v>0</v>
      </c>
      <c r="TLQ36" s="17">
        <f>'Form-Sb'!TLU94</f>
        <v>0</v>
      </c>
      <c r="TLR36" s="17">
        <f>'Form-Sb'!TLV94</f>
        <v>0</v>
      </c>
      <c r="TLS36" s="17">
        <f>'Form-Sb'!TLW94</f>
        <v>0</v>
      </c>
      <c r="TLT36" s="17">
        <f>'Form-Sb'!TLX94</f>
        <v>0</v>
      </c>
      <c r="TLU36" s="17">
        <f>'Form-Sb'!TLY94</f>
        <v>0</v>
      </c>
      <c r="TLV36" s="17">
        <f>'Form-Sb'!TLZ94</f>
        <v>0</v>
      </c>
      <c r="TLW36" s="17">
        <f>'Form-Sb'!TMA94</f>
        <v>0</v>
      </c>
      <c r="TLX36" s="17">
        <f>'Form-Sb'!TMB94</f>
        <v>0</v>
      </c>
      <c r="TLY36" s="17">
        <f>'Form-Sb'!TMC94</f>
        <v>0</v>
      </c>
      <c r="TLZ36" s="17">
        <f>'Form-Sb'!TMD94</f>
        <v>0</v>
      </c>
      <c r="TMA36" s="17">
        <f>'Form-Sb'!TME94</f>
        <v>0</v>
      </c>
      <c r="TMB36" s="17">
        <f>'Form-Sb'!TMF94</f>
        <v>0</v>
      </c>
      <c r="TMC36" s="17">
        <f>'Form-Sb'!TMG94</f>
        <v>0</v>
      </c>
      <c r="TMD36" s="17">
        <f>'Form-Sb'!TMH94</f>
        <v>0</v>
      </c>
      <c r="TME36" s="17">
        <f>'Form-Sb'!TMI94</f>
        <v>0</v>
      </c>
      <c r="TMF36" s="17">
        <f>'Form-Sb'!TMJ94</f>
        <v>0</v>
      </c>
      <c r="TMG36" s="17">
        <f>'Form-Sb'!TMK94</f>
        <v>0</v>
      </c>
      <c r="TMH36" s="17">
        <f>'Form-Sb'!TML94</f>
        <v>0</v>
      </c>
      <c r="TMI36" s="17">
        <f>'Form-Sb'!TMM94</f>
        <v>0</v>
      </c>
      <c r="TMJ36" s="17">
        <f>'Form-Sb'!TMN94</f>
        <v>0</v>
      </c>
      <c r="TMK36" s="17">
        <f>'Form-Sb'!TMO94</f>
        <v>0</v>
      </c>
      <c r="TML36" s="17">
        <f>'Form-Sb'!TMP94</f>
        <v>0</v>
      </c>
      <c r="TMM36" s="17">
        <f>'Form-Sb'!TMQ94</f>
        <v>0</v>
      </c>
      <c r="TMN36" s="17">
        <f>'Form-Sb'!TMR94</f>
        <v>0</v>
      </c>
      <c r="TMO36" s="17">
        <f>'Form-Sb'!TMS94</f>
        <v>0</v>
      </c>
      <c r="TMP36" s="17">
        <f>'Form-Sb'!TMT94</f>
        <v>0</v>
      </c>
      <c r="TMQ36" s="17">
        <f>'Form-Sb'!TMU94</f>
        <v>0</v>
      </c>
      <c r="TMR36" s="17">
        <f>'Form-Sb'!TMV94</f>
        <v>0</v>
      </c>
      <c r="TMS36" s="17">
        <f>'Form-Sb'!TMW94</f>
        <v>0</v>
      </c>
      <c r="TMT36" s="17">
        <f>'Form-Sb'!TMX94</f>
        <v>0</v>
      </c>
      <c r="TMU36" s="17">
        <f>'Form-Sb'!TMY94</f>
        <v>0</v>
      </c>
      <c r="TMV36" s="17">
        <f>'Form-Sb'!TMZ94</f>
        <v>0</v>
      </c>
      <c r="TMW36" s="17">
        <f>'Form-Sb'!TNA94</f>
        <v>0</v>
      </c>
      <c r="TMX36" s="17">
        <f>'Form-Sb'!TNB94</f>
        <v>0</v>
      </c>
      <c r="TMY36" s="17">
        <f>'Form-Sb'!TNC94</f>
        <v>0</v>
      </c>
      <c r="TMZ36" s="17">
        <f>'Form-Sb'!TND94</f>
        <v>0</v>
      </c>
      <c r="TNA36" s="17">
        <f>'Form-Sb'!TNE94</f>
        <v>0</v>
      </c>
      <c r="TNB36" s="17">
        <f>'Form-Sb'!TNF94</f>
        <v>0</v>
      </c>
      <c r="TNC36" s="17">
        <f>'Form-Sb'!TNG94</f>
        <v>0</v>
      </c>
      <c r="TND36" s="17">
        <f>'Form-Sb'!TNH94</f>
        <v>0</v>
      </c>
      <c r="TNE36" s="17">
        <f>'Form-Sb'!TNI94</f>
        <v>0</v>
      </c>
      <c r="TNF36" s="17">
        <f>'Form-Sb'!TNJ94</f>
        <v>0</v>
      </c>
      <c r="TNG36" s="17">
        <f>'Form-Sb'!TNK94</f>
        <v>0</v>
      </c>
      <c r="TNH36" s="17">
        <f>'Form-Sb'!TNL94</f>
        <v>0</v>
      </c>
      <c r="TNI36" s="17">
        <f>'Form-Sb'!TNM94</f>
        <v>0</v>
      </c>
      <c r="TNJ36" s="17">
        <f>'Form-Sb'!TNN94</f>
        <v>0</v>
      </c>
      <c r="TNK36" s="17">
        <f>'Form-Sb'!TNO94</f>
        <v>0</v>
      </c>
      <c r="TNL36" s="17">
        <f>'Form-Sb'!TNP94</f>
        <v>0</v>
      </c>
      <c r="TNM36" s="17">
        <f>'Form-Sb'!TNQ94</f>
        <v>0</v>
      </c>
      <c r="TNN36" s="17">
        <f>'Form-Sb'!TNR94</f>
        <v>0</v>
      </c>
      <c r="TNO36" s="17">
        <f>'Form-Sb'!TNS94</f>
        <v>0</v>
      </c>
      <c r="TNP36" s="17">
        <f>'Form-Sb'!TNT94</f>
        <v>0</v>
      </c>
      <c r="TNQ36" s="17">
        <f>'Form-Sb'!TNU94</f>
        <v>0</v>
      </c>
      <c r="TNR36" s="17">
        <f>'Form-Sb'!TNV94</f>
        <v>0</v>
      </c>
      <c r="TNS36" s="17">
        <f>'Form-Sb'!TNW94</f>
        <v>0</v>
      </c>
      <c r="TNT36" s="17">
        <f>'Form-Sb'!TNX94</f>
        <v>0</v>
      </c>
      <c r="TNU36" s="17">
        <f>'Form-Sb'!TNY94</f>
        <v>0</v>
      </c>
      <c r="TNV36" s="17">
        <f>'Form-Sb'!TNZ94</f>
        <v>0</v>
      </c>
      <c r="TNW36" s="17">
        <f>'Form-Sb'!TOA94</f>
        <v>0</v>
      </c>
      <c r="TNX36" s="17">
        <f>'Form-Sb'!TOB94</f>
        <v>0</v>
      </c>
      <c r="TNY36" s="17">
        <f>'Form-Sb'!TOC94</f>
        <v>0</v>
      </c>
      <c r="TNZ36" s="17">
        <f>'Form-Sb'!TOD94</f>
        <v>0</v>
      </c>
      <c r="TOA36" s="17">
        <f>'Form-Sb'!TOE94</f>
        <v>0</v>
      </c>
      <c r="TOB36" s="17">
        <f>'Form-Sb'!TOF94</f>
        <v>0</v>
      </c>
      <c r="TOC36" s="17">
        <f>'Form-Sb'!TOG94</f>
        <v>0</v>
      </c>
      <c r="TOD36" s="17">
        <f>'Form-Sb'!TOH94</f>
        <v>0</v>
      </c>
      <c r="TOE36" s="17">
        <f>'Form-Sb'!TOI94</f>
        <v>0</v>
      </c>
      <c r="TOF36" s="17">
        <f>'Form-Sb'!TOJ94</f>
        <v>0</v>
      </c>
      <c r="TOG36" s="17">
        <f>'Form-Sb'!TOK94</f>
        <v>0</v>
      </c>
      <c r="TOH36" s="17">
        <f>'Form-Sb'!TOL94</f>
        <v>0</v>
      </c>
      <c r="TOI36" s="17">
        <f>'Form-Sb'!TOM94</f>
        <v>0</v>
      </c>
      <c r="TOJ36" s="17">
        <f>'Form-Sb'!TON94</f>
        <v>0</v>
      </c>
      <c r="TOK36" s="17">
        <f>'Form-Sb'!TOO94</f>
        <v>0</v>
      </c>
      <c r="TOL36" s="17">
        <f>'Form-Sb'!TOP94</f>
        <v>0</v>
      </c>
      <c r="TOM36" s="17">
        <f>'Form-Sb'!TOQ94</f>
        <v>0</v>
      </c>
      <c r="TON36" s="17">
        <f>'Form-Sb'!TOR94</f>
        <v>0</v>
      </c>
      <c r="TOO36" s="17">
        <f>'Form-Sb'!TOS94</f>
        <v>0</v>
      </c>
      <c r="TOP36" s="17">
        <f>'Form-Sb'!TOT94</f>
        <v>0</v>
      </c>
      <c r="TOQ36" s="17">
        <f>'Form-Sb'!TOU94</f>
        <v>0</v>
      </c>
      <c r="TOR36" s="17">
        <f>'Form-Sb'!TOV94</f>
        <v>0</v>
      </c>
      <c r="TOS36" s="17">
        <f>'Form-Sb'!TOW94</f>
        <v>0</v>
      </c>
      <c r="TOT36" s="17">
        <f>'Form-Sb'!TOX94</f>
        <v>0</v>
      </c>
      <c r="TOU36" s="17">
        <f>'Form-Sb'!TOY94</f>
        <v>0</v>
      </c>
      <c r="TOV36" s="17">
        <f>'Form-Sb'!TOZ94</f>
        <v>0</v>
      </c>
      <c r="TOW36" s="17">
        <f>'Form-Sb'!TPA94</f>
        <v>0</v>
      </c>
      <c r="TOX36" s="17">
        <f>'Form-Sb'!TPB94</f>
        <v>0</v>
      </c>
      <c r="TOY36" s="17">
        <f>'Form-Sb'!TPC94</f>
        <v>0</v>
      </c>
      <c r="TOZ36" s="17">
        <f>'Form-Sb'!TPD94</f>
        <v>0</v>
      </c>
      <c r="TPA36" s="17">
        <f>'Form-Sb'!TPE94</f>
        <v>0</v>
      </c>
      <c r="TPB36" s="17">
        <f>'Form-Sb'!TPF94</f>
        <v>0</v>
      </c>
      <c r="TPC36" s="17">
        <f>'Form-Sb'!TPG94</f>
        <v>0</v>
      </c>
      <c r="TPD36" s="17">
        <f>'Form-Sb'!TPH94</f>
        <v>0</v>
      </c>
      <c r="TPE36" s="17">
        <f>'Form-Sb'!TPI94</f>
        <v>0</v>
      </c>
      <c r="TPF36" s="17">
        <f>'Form-Sb'!TPJ94</f>
        <v>0</v>
      </c>
      <c r="TPG36" s="17">
        <f>'Form-Sb'!TPK94</f>
        <v>0</v>
      </c>
      <c r="TPH36" s="17">
        <f>'Form-Sb'!TPL94</f>
        <v>0</v>
      </c>
      <c r="TPI36" s="17">
        <f>'Form-Sb'!TPM94</f>
        <v>0</v>
      </c>
      <c r="TPJ36" s="17">
        <f>'Form-Sb'!TPN94</f>
        <v>0</v>
      </c>
      <c r="TPK36" s="17">
        <f>'Form-Sb'!TPO94</f>
        <v>0</v>
      </c>
      <c r="TPL36" s="17">
        <f>'Form-Sb'!TPP94</f>
        <v>0</v>
      </c>
      <c r="TPM36" s="17">
        <f>'Form-Sb'!TPQ94</f>
        <v>0</v>
      </c>
      <c r="TPN36" s="17">
        <f>'Form-Sb'!TPR94</f>
        <v>0</v>
      </c>
      <c r="TPO36" s="17">
        <f>'Form-Sb'!TPS94</f>
        <v>0</v>
      </c>
      <c r="TPP36" s="17">
        <f>'Form-Sb'!TPT94</f>
        <v>0</v>
      </c>
      <c r="TPQ36" s="17">
        <f>'Form-Sb'!TPU94</f>
        <v>0</v>
      </c>
      <c r="TPR36" s="17">
        <f>'Form-Sb'!TPV94</f>
        <v>0</v>
      </c>
      <c r="TPS36" s="17">
        <f>'Form-Sb'!TPW94</f>
        <v>0</v>
      </c>
      <c r="TPT36" s="17">
        <f>'Form-Sb'!TPX94</f>
        <v>0</v>
      </c>
      <c r="TPU36" s="17">
        <f>'Form-Sb'!TPY94</f>
        <v>0</v>
      </c>
      <c r="TPV36" s="17">
        <f>'Form-Sb'!TPZ94</f>
        <v>0</v>
      </c>
      <c r="TPW36" s="17">
        <f>'Form-Sb'!TQA94</f>
        <v>0</v>
      </c>
      <c r="TPX36" s="17">
        <f>'Form-Sb'!TQB94</f>
        <v>0</v>
      </c>
      <c r="TPY36" s="17">
        <f>'Form-Sb'!TQC94</f>
        <v>0</v>
      </c>
      <c r="TPZ36" s="17">
        <f>'Form-Sb'!TQD94</f>
        <v>0</v>
      </c>
      <c r="TQA36" s="17">
        <f>'Form-Sb'!TQE94</f>
        <v>0</v>
      </c>
      <c r="TQB36" s="17">
        <f>'Form-Sb'!TQF94</f>
        <v>0</v>
      </c>
      <c r="TQC36" s="17">
        <f>'Form-Sb'!TQG94</f>
        <v>0</v>
      </c>
      <c r="TQD36" s="17">
        <f>'Form-Sb'!TQH94</f>
        <v>0</v>
      </c>
      <c r="TQE36" s="17">
        <f>'Form-Sb'!TQI94</f>
        <v>0</v>
      </c>
      <c r="TQF36" s="17">
        <f>'Form-Sb'!TQJ94</f>
        <v>0</v>
      </c>
      <c r="TQG36" s="17">
        <f>'Form-Sb'!TQK94</f>
        <v>0</v>
      </c>
      <c r="TQH36" s="17">
        <f>'Form-Sb'!TQL94</f>
        <v>0</v>
      </c>
      <c r="TQI36" s="17">
        <f>'Form-Sb'!TQM94</f>
        <v>0</v>
      </c>
      <c r="TQJ36" s="17">
        <f>'Form-Sb'!TQN94</f>
        <v>0</v>
      </c>
      <c r="TQK36" s="17">
        <f>'Form-Sb'!TQO94</f>
        <v>0</v>
      </c>
      <c r="TQL36" s="17">
        <f>'Form-Sb'!TQP94</f>
        <v>0</v>
      </c>
      <c r="TQM36" s="17">
        <f>'Form-Sb'!TQQ94</f>
        <v>0</v>
      </c>
      <c r="TQN36" s="17">
        <f>'Form-Sb'!TQR94</f>
        <v>0</v>
      </c>
      <c r="TQO36" s="17">
        <f>'Form-Sb'!TQS94</f>
        <v>0</v>
      </c>
      <c r="TQP36" s="17">
        <f>'Form-Sb'!TQT94</f>
        <v>0</v>
      </c>
      <c r="TQQ36" s="17">
        <f>'Form-Sb'!TQU94</f>
        <v>0</v>
      </c>
      <c r="TQR36" s="17">
        <f>'Form-Sb'!TQV94</f>
        <v>0</v>
      </c>
      <c r="TQS36" s="17">
        <f>'Form-Sb'!TQW94</f>
        <v>0</v>
      </c>
      <c r="TQT36" s="17">
        <f>'Form-Sb'!TQX94</f>
        <v>0</v>
      </c>
      <c r="TQU36" s="17">
        <f>'Form-Sb'!TQY94</f>
        <v>0</v>
      </c>
      <c r="TQV36" s="17">
        <f>'Form-Sb'!TQZ94</f>
        <v>0</v>
      </c>
      <c r="TQW36" s="17">
        <f>'Form-Sb'!TRA94</f>
        <v>0</v>
      </c>
      <c r="TQX36" s="17">
        <f>'Form-Sb'!TRB94</f>
        <v>0</v>
      </c>
      <c r="TQY36" s="17">
        <f>'Form-Sb'!TRC94</f>
        <v>0</v>
      </c>
      <c r="TQZ36" s="17">
        <f>'Form-Sb'!TRD94</f>
        <v>0</v>
      </c>
      <c r="TRA36" s="17">
        <f>'Form-Sb'!TRE94</f>
        <v>0</v>
      </c>
      <c r="TRB36" s="17">
        <f>'Form-Sb'!TRF94</f>
        <v>0</v>
      </c>
      <c r="TRC36" s="17">
        <f>'Form-Sb'!TRG94</f>
        <v>0</v>
      </c>
      <c r="TRD36" s="17">
        <f>'Form-Sb'!TRH94</f>
        <v>0</v>
      </c>
      <c r="TRE36" s="17">
        <f>'Form-Sb'!TRI94</f>
        <v>0</v>
      </c>
      <c r="TRF36" s="17">
        <f>'Form-Sb'!TRJ94</f>
        <v>0</v>
      </c>
      <c r="TRG36" s="17">
        <f>'Form-Sb'!TRK94</f>
        <v>0</v>
      </c>
      <c r="TRH36" s="17">
        <f>'Form-Sb'!TRL94</f>
        <v>0</v>
      </c>
      <c r="TRI36" s="17">
        <f>'Form-Sb'!TRM94</f>
        <v>0</v>
      </c>
      <c r="TRJ36" s="17">
        <f>'Form-Sb'!TRN94</f>
        <v>0</v>
      </c>
      <c r="TRK36" s="17">
        <f>'Form-Sb'!TRO94</f>
        <v>0</v>
      </c>
      <c r="TRL36" s="17">
        <f>'Form-Sb'!TRP94</f>
        <v>0</v>
      </c>
      <c r="TRM36" s="17">
        <f>'Form-Sb'!TRQ94</f>
        <v>0</v>
      </c>
      <c r="TRN36" s="17">
        <f>'Form-Sb'!TRR94</f>
        <v>0</v>
      </c>
      <c r="TRO36" s="17">
        <f>'Form-Sb'!TRS94</f>
        <v>0</v>
      </c>
      <c r="TRP36" s="17">
        <f>'Form-Sb'!TRT94</f>
        <v>0</v>
      </c>
      <c r="TRQ36" s="17">
        <f>'Form-Sb'!TRU94</f>
        <v>0</v>
      </c>
      <c r="TRR36" s="17">
        <f>'Form-Sb'!TRV94</f>
        <v>0</v>
      </c>
      <c r="TRS36" s="17">
        <f>'Form-Sb'!TRW94</f>
        <v>0</v>
      </c>
      <c r="TRT36" s="17">
        <f>'Form-Sb'!TRX94</f>
        <v>0</v>
      </c>
      <c r="TRU36" s="17">
        <f>'Form-Sb'!TRY94</f>
        <v>0</v>
      </c>
      <c r="TRV36" s="17">
        <f>'Form-Sb'!TRZ94</f>
        <v>0</v>
      </c>
      <c r="TRW36" s="17">
        <f>'Form-Sb'!TSA94</f>
        <v>0</v>
      </c>
      <c r="TRX36" s="17">
        <f>'Form-Sb'!TSB94</f>
        <v>0</v>
      </c>
      <c r="TRY36" s="17">
        <f>'Form-Sb'!TSC94</f>
        <v>0</v>
      </c>
      <c r="TRZ36" s="17">
        <f>'Form-Sb'!TSD94</f>
        <v>0</v>
      </c>
      <c r="TSA36" s="17">
        <f>'Form-Sb'!TSE94</f>
        <v>0</v>
      </c>
      <c r="TSB36" s="17">
        <f>'Form-Sb'!TSF94</f>
        <v>0</v>
      </c>
      <c r="TSC36" s="17">
        <f>'Form-Sb'!TSG94</f>
        <v>0</v>
      </c>
      <c r="TSD36" s="17">
        <f>'Form-Sb'!TSH94</f>
        <v>0</v>
      </c>
      <c r="TSE36" s="17">
        <f>'Form-Sb'!TSI94</f>
        <v>0</v>
      </c>
      <c r="TSF36" s="17">
        <f>'Form-Sb'!TSJ94</f>
        <v>0</v>
      </c>
      <c r="TSG36" s="17">
        <f>'Form-Sb'!TSK94</f>
        <v>0</v>
      </c>
      <c r="TSH36" s="17">
        <f>'Form-Sb'!TSL94</f>
        <v>0</v>
      </c>
      <c r="TSI36" s="17">
        <f>'Form-Sb'!TSM94</f>
        <v>0</v>
      </c>
      <c r="TSJ36" s="17">
        <f>'Form-Sb'!TSN94</f>
        <v>0</v>
      </c>
      <c r="TSK36" s="17">
        <f>'Form-Sb'!TSO94</f>
        <v>0</v>
      </c>
      <c r="TSL36" s="17">
        <f>'Form-Sb'!TSP94</f>
        <v>0</v>
      </c>
      <c r="TSM36" s="17">
        <f>'Form-Sb'!TSQ94</f>
        <v>0</v>
      </c>
      <c r="TSN36" s="17">
        <f>'Form-Sb'!TSR94</f>
        <v>0</v>
      </c>
      <c r="TSO36" s="17">
        <f>'Form-Sb'!TSS94</f>
        <v>0</v>
      </c>
      <c r="TSP36" s="17">
        <f>'Form-Sb'!TST94</f>
        <v>0</v>
      </c>
      <c r="TSQ36" s="17">
        <f>'Form-Sb'!TSU94</f>
        <v>0</v>
      </c>
      <c r="TSR36" s="17">
        <f>'Form-Sb'!TSV94</f>
        <v>0</v>
      </c>
      <c r="TSS36" s="17">
        <f>'Form-Sb'!TSW94</f>
        <v>0</v>
      </c>
      <c r="TST36" s="17">
        <f>'Form-Sb'!TSX94</f>
        <v>0</v>
      </c>
      <c r="TSU36" s="17">
        <f>'Form-Sb'!TSY94</f>
        <v>0</v>
      </c>
      <c r="TSV36" s="17">
        <f>'Form-Sb'!TSZ94</f>
        <v>0</v>
      </c>
      <c r="TSW36" s="17">
        <f>'Form-Sb'!TTA94</f>
        <v>0</v>
      </c>
      <c r="TSX36" s="17">
        <f>'Form-Sb'!TTB94</f>
        <v>0</v>
      </c>
      <c r="TSY36" s="17">
        <f>'Form-Sb'!TTC94</f>
        <v>0</v>
      </c>
      <c r="TSZ36" s="17">
        <f>'Form-Sb'!TTD94</f>
        <v>0</v>
      </c>
      <c r="TTA36" s="17">
        <f>'Form-Sb'!TTE94</f>
        <v>0</v>
      </c>
      <c r="TTB36" s="17">
        <f>'Form-Sb'!TTF94</f>
        <v>0</v>
      </c>
      <c r="TTC36" s="17">
        <f>'Form-Sb'!TTG94</f>
        <v>0</v>
      </c>
      <c r="TTD36" s="17">
        <f>'Form-Sb'!TTH94</f>
        <v>0</v>
      </c>
      <c r="TTE36" s="17">
        <f>'Form-Sb'!TTI94</f>
        <v>0</v>
      </c>
      <c r="TTF36" s="17">
        <f>'Form-Sb'!TTJ94</f>
        <v>0</v>
      </c>
      <c r="TTG36" s="17">
        <f>'Form-Sb'!TTK94</f>
        <v>0</v>
      </c>
      <c r="TTH36" s="17">
        <f>'Form-Sb'!TTL94</f>
        <v>0</v>
      </c>
      <c r="TTI36" s="17">
        <f>'Form-Sb'!TTM94</f>
        <v>0</v>
      </c>
      <c r="TTJ36" s="17">
        <f>'Form-Sb'!TTN94</f>
        <v>0</v>
      </c>
      <c r="TTK36" s="17">
        <f>'Form-Sb'!TTO94</f>
        <v>0</v>
      </c>
      <c r="TTL36" s="17">
        <f>'Form-Sb'!TTP94</f>
        <v>0</v>
      </c>
      <c r="TTM36" s="17">
        <f>'Form-Sb'!TTQ94</f>
        <v>0</v>
      </c>
      <c r="TTN36" s="17">
        <f>'Form-Sb'!TTR94</f>
        <v>0</v>
      </c>
      <c r="TTO36" s="17">
        <f>'Form-Sb'!TTS94</f>
        <v>0</v>
      </c>
      <c r="TTP36" s="17">
        <f>'Form-Sb'!TTT94</f>
        <v>0</v>
      </c>
      <c r="TTQ36" s="17">
        <f>'Form-Sb'!TTU94</f>
        <v>0</v>
      </c>
      <c r="TTR36" s="17">
        <f>'Form-Sb'!TTV94</f>
        <v>0</v>
      </c>
      <c r="TTS36" s="17">
        <f>'Form-Sb'!TTW94</f>
        <v>0</v>
      </c>
      <c r="TTT36" s="17">
        <f>'Form-Sb'!TTX94</f>
        <v>0</v>
      </c>
      <c r="TTU36" s="17">
        <f>'Form-Sb'!TTY94</f>
        <v>0</v>
      </c>
      <c r="TTV36" s="17">
        <f>'Form-Sb'!TTZ94</f>
        <v>0</v>
      </c>
      <c r="TTW36" s="17">
        <f>'Form-Sb'!TUA94</f>
        <v>0</v>
      </c>
      <c r="TTX36" s="17">
        <f>'Form-Sb'!TUB94</f>
        <v>0</v>
      </c>
      <c r="TTY36" s="17">
        <f>'Form-Sb'!TUC94</f>
        <v>0</v>
      </c>
      <c r="TTZ36" s="17">
        <f>'Form-Sb'!TUD94</f>
        <v>0</v>
      </c>
      <c r="TUA36" s="17">
        <f>'Form-Sb'!TUE94</f>
        <v>0</v>
      </c>
      <c r="TUB36" s="17">
        <f>'Form-Sb'!TUF94</f>
        <v>0</v>
      </c>
      <c r="TUC36" s="17">
        <f>'Form-Sb'!TUG94</f>
        <v>0</v>
      </c>
      <c r="TUD36" s="17">
        <f>'Form-Sb'!TUH94</f>
        <v>0</v>
      </c>
      <c r="TUE36" s="17">
        <f>'Form-Sb'!TUI94</f>
        <v>0</v>
      </c>
      <c r="TUF36" s="17">
        <f>'Form-Sb'!TUJ94</f>
        <v>0</v>
      </c>
      <c r="TUG36" s="17">
        <f>'Form-Sb'!TUK94</f>
        <v>0</v>
      </c>
      <c r="TUH36" s="17">
        <f>'Form-Sb'!TUL94</f>
        <v>0</v>
      </c>
      <c r="TUI36" s="17">
        <f>'Form-Sb'!TUM94</f>
        <v>0</v>
      </c>
      <c r="TUJ36" s="17">
        <f>'Form-Sb'!TUN94</f>
        <v>0</v>
      </c>
      <c r="TUK36" s="17">
        <f>'Form-Sb'!TUO94</f>
        <v>0</v>
      </c>
      <c r="TUL36" s="17">
        <f>'Form-Sb'!TUP94</f>
        <v>0</v>
      </c>
      <c r="TUM36" s="17">
        <f>'Form-Sb'!TUQ94</f>
        <v>0</v>
      </c>
      <c r="TUN36" s="17">
        <f>'Form-Sb'!TUR94</f>
        <v>0</v>
      </c>
      <c r="TUO36" s="17">
        <f>'Form-Sb'!TUS94</f>
        <v>0</v>
      </c>
      <c r="TUP36" s="17">
        <f>'Form-Sb'!TUT94</f>
        <v>0</v>
      </c>
      <c r="TUQ36" s="17">
        <f>'Form-Sb'!TUU94</f>
        <v>0</v>
      </c>
      <c r="TUR36" s="17">
        <f>'Form-Sb'!TUV94</f>
        <v>0</v>
      </c>
      <c r="TUS36" s="17">
        <f>'Form-Sb'!TUW94</f>
        <v>0</v>
      </c>
      <c r="TUT36" s="17">
        <f>'Form-Sb'!TUX94</f>
        <v>0</v>
      </c>
      <c r="TUU36" s="17">
        <f>'Form-Sb'!TUY94</f>
        <v>0</v>
      </c>
      <c r="TUV36" s="17">
        <f>'Form-Sb'!TUZ94</f>
        <v>0</v>
      </c>
      <c r="TUW36" s="17">
        <f>'Form-Sb'!TVA94</f>
        <v>0</v>
      </c>
      <c r="TUX36" s="17">
        <f>'Form-Sb'!TVB94</f>
        <v>0</v>
      </c>
      <c r="TUY36" s="17">
        <f>'Form-Sb'!TVC94</f>
        <v>0</v>
      </c>
      <c r="TUZ36" s="17">
        <f>'Form-Sb'!TVD94</f>
        <v>0</v>
      </c>
      <c r="TVA36" s="17">
        <f>'Form-Sb'!TVE94</f>
        <v>0</v>
      </c>
      <c r="TVB36" s="17">
        <f>'Form-Sb'!TVF94</f>
        <v>0</v>
      </c>
      <c r="TVC36" s="17">
        <f>'Form-Sb'!TVG94</f>
        <v>0</v>
      </c>
      <c r="TVD36" s="17">
        <f>'Form-Sb'!TVH94</f>
        <v>0</v>
      </c>
      <c r="TVE36" s="17">
        <f>'Form-Sb'!TVI94</f>
        <v>0</v>
      </c>
      <c r="TVF36" s="17">
        <f>'Form-Sb'!TVJ94</f>
        <v>0</v>
      </c>
      <c r="TVG36" s="17">
        <f>'Form-Sb'!TVK94</f>
        <v>0</v>
      </c>
      <c r="TVH36" s="17">
        <f>'Form-Sb'!TVL94</f>
        <v>0</v>
      </c>
      <c r="TVI36" s="17">
        <f>'Form-Sb'!TVM94</f>
        <v>0</v>
      </c>
      <c r="TVJ36" s="17">
        <f>'Form-Sb'!TVN94</f>
        <v>0</v>
      </c>
      <c r="TVK36" s="17">
        <f>'Form-Sb'!TVO94</f>
        <v>0</v>
      </c>
      <c r="TVL36" s="17">
        <f>'Form-Sb'!TVP94</f>
        <v>0</v>
      </c>
      <c r="TVM36" s="17">
        <f>'Form-Sb'!TVQ94</f>
        <v>0</v>
      </c>
      <c r="TVN36" s="17">
        <f>'Form-Sb'!TVR94</f>
        <v>0</v>
      </c>
      <c r="TVO36" s="17">
        <f>'Form-Sb'!TVS94</f>
        <v>0</v>
      </c>
      <c r="TVP36" s="17">
        <f>'Form-Sb'!TVT94</f>
        <v>0</v>
      </c>
      <c r="TVQ36" s="17">
        <f>'Form-Sb'!TVU94</f>
        <v>0</v>
      </c>
      <c r="TVR36" s="17">
        <f>'Form-Sb'!TVV94</f>
        <v>0</v>
      </c>
      <c r="TVS36" s="17">
        <f>'Form-Sb'!TVW94</f>
        <v>0</v>
      </c>
      <c r="TVT36" s="17">
        <f>'Form-Sb'!TVX94</f>
        <v>0</v>
      </c>
      <c r="TVU36" s="17">
        <f>'Form-Sb'!TVY94</f>
        <v>0</v>
      </c>
      <c r="TVV36" s="17">
        <f>'Form-Sb'!TVZ94</f>
        <v>0</v>
      </c>
      <c r="TVW36" s="17">
        <f>'Form-Sb'!TWA94</f>
        <v>0</v>
      </c>
      <c r="TVX36" s="17">
        <f>'Form-Sb'!TWB94</f>
        <v>0</v>
      </c>
      <c r="TVY36" s="17">
        <f>'Form-Sb'!TWC94</f>
        <v>0</v>
      </c>
      <c r="TVZ36" s="17">
        <f>'Form-Sb'!TWD94</f>
        <v>0</v>
      </c>
      <c r="TWA36" s="17">
        <f>'Form-Sb'!TWE94</f>
        <v>0</v>
      </c>
      <c r="TWB36" s="17">
        <f>'Form-Sb'!TWF94</f>
        <v>0</v>
      </c>
      <c r="TWC36" s="17">
        <f>'Form-Sb'!TWG94</f>
        <v>0</v>
      </c>
      <c r="TWD36" s="17">
        <f>'Form-Sb'!TWH94</f>
        <v>0</v>
      </c>
      <c r="TWE36" s="17">
        <f>'Form-Sb'!TWI94</f>
        <v>0</v>
      </c>
      <c r="TWF36" s="17">
        <f>'Form-Sb'!TWJ94</f>
        <v>0</v>
      </c>
      <c r="TWG36" s="17">
        <f>'Form-Sb'!TWK94</f>
        <v>0</v>
      </c>
      <c r="TWH36" s="17">
        <f>'Form-Sb'!TWL94</f>
        <v>0</v>
      </c>
      <c r="TWI36" s="17">
        <f>'Form-Sb'!TWM94</f>
        <v>0</v>
      </c>
      <c r="TWJ36" s="17">
        <f>'Form-Sb'!TWN94</f>
        <v>0</v>
      </c>
      <c r="TWK36" s="17">
        <f>'Form-Sb'!TWO94</f>
        <v>0</v>
      </c>
      <c r="TWL36" s="17">
        <f>'Form-Sb'!TWP94</f>
        <v>0</v>
      </c>
      <c r="TWM36" s="17">
        <f>'Form-Sb'!TWQ94</f>
        <v>0</v>
      </c>
      <c r="TWN36" s="17">
        <f>'Form-Sb'!TWR94</f>
        <v>0</v>
      </c>
      <c r="TWO36" s="17">
        <f>'Form-Sb'!TWS94</f>
        <v>0</v>
      </c>
      <c r="TWP36" s="17">
        <f>'Form-Sb'!TWT94</f>
        <v>0</v>
      </c>
      <c r="TWQ36" s="17">
        <f>'Form-Sb'!TWU94</f>
        <v>0</v>
      </c>
      <c r="TWR36" s="17">
        <f>'Form-Sb'!TWV94</f>
        <v>0</v>
      </c>
      <c r="TWS36" s="17">
        <f>'Form-Sb'!TWW94</f>
        <v>0</v>
      </c>
      <c r="TWT36" s="17">
        <f>'Form-Sb'!TWX94</f>
        <v>0</v>
      </c>
      <c r="TWU36" s="17">
        <f>'Form-Sb'!TWY94</f>
        <v>0</v>
      </c>
      <c r="TWV36" s="17">
        <f>'Form-Sb'!TWZ94</f>
        <v>0</v>
      </c>
      <c r="TWW36" s="17">
        <f>'Form-Sb'!TXA94</f>
        <v>0</v>
      </c>
      <c r="TWX36" s="17">
        <f>'Form-Sb'!TXB94</f>
        <v>0</v>
      </c>
      <c r="TWY36" s="17">
        <f>'Form-Sb'!TXC94</f>
        <v>0</v>
      </c>
      <c r="TWZ36" s="17">
        <f>'Form-Sb'!TXD94</f>
        <v>0</v>
      </c>
      <c r="TXA36" s="17">
        <f>'Form-Sb'!TXE94</f>
        <v>0</v>
      </c>
      <c r="TXB36" s="17">
        <f>'Form-Sb'!TXF94</f>
        <v>0</v>
      </c>
      <c r="TXC36" s="17">
        <f>'Form-Sb'!TXG94</f>
        <v>0</v>
      </c>
      <c r="TXD36" s="17">
        <f>'Form-Sb'!TXH94</f>
        <v>0</v>
      </c>
      <c r="TXE36" s="17">
        <f>'Form-Sb'!TXI94</f>
        <v>0</v>
      </c>
      <c r="TXF36" s="17">
        <f>'Form-Sb'!TXJ94</f>
        <v>0</v>
      </c>
      <c r="TXG36" s="17">
        <f>'Form-Sb'!TXK94</f>
        <v>0</v>
      </c>
      <c r="TXH36" s="17">
        <f>'Form-Sb'!TXL94</f>
        <v>0</v>
      </c>
      <c r="TXI36" s="17">
        <f>'Form-Sb'!TXM94</f>
        <v>0</v>
      </c>
      <c r="TXJ36" s="17">
        <f>'Form-Sb'!TXN94</f>
        <v>0</v>
      </c>
      <c r="TXK36" s="17">
        <f>'Form-Sb'!TXO94</f>
        <v>0</v>
      </c>
      <c r="TXL36" s="17">
        <f>'Form-Sb'!TXP94</f>
        <v>0</v>
      </c>
      <c r="TXM36" s="17">
        <f>'Form-Sb'!TXQ94</f>
        <v>0</v>
      </c>
      <c r="TXN36" s="17">
        <f>'Form-Sb'!TXR94</f>
        <v>0</v>
      </c>
      <c r="TXO36" s="17">
        <f>'Form-Sb'!TXS94</f>
        <v>0</v>
      </c>
      <c r="TXP36" s="17">
        <f>'Form-Sb'!TXT94</f>
        <v>0</v>
      </c>
      <c r="TXQ36" s="17">
        <f>'Form-Sb'!TXU94</f>
        <v>0</v>
      </c>
      <c r="TXR36" s="17">
        <f>'Form-Sb'!TXV94</f>
        <v>0</v>
      </c>
      <c r="TXS36" s="17">
        <f>'Form-Sb'!TXW94</f>
        <v>0</v>
      </c>
      <c r="TXT36" s="17">
        <f>'Form-Sb'!TXX94</f>
        <v>0</v>
      </c>
      <c r="TXU36" s="17">
        <f>'Form-Sb'!TXY94</f>
        <v>0</v>
      </c>
      <c r="TXV36" s="17">
        <f>'Form-Sb'!TXZ94</f>
        <v>0</v>
      </c>
      <c r="TXW36" s="17">
        <f>'Form-Sb'!TYA94</f>
        <v>0</v>
      </c>
      <c r="TXX36" s="17">
        <f>'Form-Sb'!TYB94</f>
        <v>0</v>
      </c>
      <c r="TXY36" s="17">
        <f>'Form-Sb'!TYC94</f>
        <v>0</v>
      </c>
      <c r="TXZ36" s="17">
        <f>'Form-Sb'!TYD94</f>
        <v>0</v>
      </c>
      <c r="TYA36" s="17">
        <f>'Form-Sb'!TYE94</f>
        <v>0</v>
      </c>
      <c r="TYB36" s="17">
        <f>'Form-Sb'!TYF94</f>
        <v>0</v>
      </c>
      <c r="TYC36" s="17">
        <f>'Form-Sb'!TYG94</f>
        <v>0</v>
      </c>
      <c r="TYD36" s="17">
        <f>'Form-Sb'!TYH94</f>
        <v>0</v>
      </c>
      <c r="TYE36" s="17">
        <f>'Form-Sb'!TYI94</f>
        <v>0</v>
      </c>
      <c r="TYF36" s="17">
        <f>'Form-Sb'!TYJ94</f>
        <v>0</v>
      </c>
      <c r="TYG36" s="17">
        <f>'Form-Sb'!TYK94</f>
        <v>0</v>
      </c>
      <c r="TYH36" s="17">
        <f>'Form-Sb'!TYL94</f>
        <v>0</v>
      </c>
      <c r="TYI36" s="17">
        <f>'Form-Sb'!TYM94</f>
        <v>0</v>
      </c>
      <c r="TYJ36" s="17">
        <f>'Form-Sb'!TYN94</f>
        <v>0</v>
      </c>
      <c r="TYK36" s="17">
        <f>'Form-Sb'!TYO94</f>
        <v>0</v>
      </c>
      <c r="TYL36" s="17">
        <f>'Form-Sb'!TYP94</f>
        <v>0</v>
      </c>
      <c r="TYM36" s="17">
        <f>'Form-Sb'!TYQ94</f>
        <v>0</v>
      </c>
      <c r="TYN36" s="17">
        <f>'Form-Sb'!TYR94</f>
        <v>0</v>
      </c>
      <c r="TYO36" s="17">
        <f>'Form-Sb'!TYS94</f>
        <v>0</v>
      </c>
      <c r="TYP36" s="17">
        <f>'Form-Sb'!TYT94</f>
        <v>0</v>
      </c>
      <c r="TYQ36" s="17">
        <f>'Form-Sb'!TYU94</f>
        <v>0</v>
      </c>
      <c r="TYR36" s="17">
        <f>'Form-Sb'!TYV94</f>
        <v>0</v>
      </c>
      <c r="TYS36" s="17">
        <f>'Form-Sb'!TYW94</f>
        <v>0</v>
      </c>
      <c r="TYT36" s="17">
        <f>'Form-Sb'!TYX94</f>
        <v>0</v>
      </c>
      <c r="TYU36" s="17">
        <f>'Form-Sb'!TYY94</f>
        <v>0</v>
      </c>
      <c r="TYV36" s="17">
        <f>'Form-Sb'!TYZ94</f>
        <v>0</v>
      </c>
      <c r="TYW36" s="17">
        <f>'Form-Sb'!TZA94</f>
        <v>0</v>
      </c>
      <c r="TYX36" s="17">
        <f>'Form-Sb'!TZB94</f>
        <v>0</v>
      </c>
      <c r="TYY36" s="17">
        <f>'Form-Sb'!TZC94</f>
        <v>0</v>
      </c>
      <c r="TYZ36" s="17">
        <f>'Form-Sb'!TZD94</f>
        <v>0</v>
      </c>
      <c r="TZA36" s="17">
        <f>'Form-Sb'!TZE94</f>
        <v>0</v>
      </c>
      <c r="TZB36" s="17">
        <f>'Form-Sb'!TZF94</f>
        <v>0</v>
      </c>
      <c r="TZC36" s="17">
        <f>'Form-Sb'!TZG94</f>
        <v>0</v>
      </c>
      <c r="TZD36" s="17">
        <f>'Form-Sb'!TZH94</f>
        <v>0</v>
      </c>
      <c r="TZE36" s="17">
        <f>'Form-Sb'!TZI94</f>
        <v>0</v>
      </c>
      <c r="TZF36" s="17">
        <f>'Form-Sb'!TZJ94</f>
        <v>0</v>
      </c>
      <c r="TZG36" s="17">
        <f>'Form-Sb'!TZK94</f>
        <v>0</v>
      </c>
      <c r="TZH36" s="17">
        <f>'Form-Sb'!TZL94</f>
        <v>0</v>
      </c>
      <c r="TZI36" s="17">
        <f>'Form-Sb'!TZM94</f>
        <v>0</v>
      </c>
      <c r="TZJ36" s="17">
        <f>'Form-Sb'!TZN94</f>
        <v>0</v>
      </c>
      <c r="TZK36" s="17">
        <f>'Form-Sb'!TZO94</f>
        <v>0</v>
      </c>
      <c r="TZL36" s="17">
        <f>'Form-Sb'!TZP94</f>
        <v>0</v>
      </c>
      <c r="TZM36" s="17">
        <f>'Form-Sb'!TZQ94</f>
        <v>0</v>
      </c>
      <c r="TZN36" s="17">
        <f>'Form-Sb'!TZR94</f>
        <v>0</v>
      </c>
      <c r="TZO36" s="17">
        <f>'Form-Sb'!TZS94</f>
        <v>0</v>
      </c>
      <c r="TZP36" s="17">
        <f>'Form-Sb'!TZT94</f>
        <v>0</v>
      </c>
      <c r="TZQ36" s="17">
        <f>'Form-Sb'!TZU94</f>
        <v>0</v>
      </c>
      <c r="TZR36" s="17">
        <f>'Form-Sb'!TZV94</f>
        <v>0</v>
      </c>
      <c r="TZS36" s="17">
        <f>'Form-Sb'!TZW94</f>
        <v>0</v>
      </c>
      <c r="TZT36" s="17">
        <f>'Form-Sb'!TZX94</f>
        <v>0</v>
      </c>
      <c r="TZU36" s="17">
        <f>'Form-Sb'!TZY94</f>
        <v>0</v>
      </c>
      <c r="TZV36" s="17">
        <f>'Form-Sb'!TZZ94</f>
        <v>0</v>
      </c>
      <c r="TZW36" s="17">
        <f>'Form-Sb'!UAA94</f>
        <v>0</v>
      </c>
      <c r="TZX36" s="17">
        <f>'Form-Sb'!UAB94</f>
        <v>0</v>
      </c>
      <c r="TZY36" s="17">
        <f>'Form-Sb'!UAC94</f>
        <v>0</v>
      </c>
      <c r="TZZ36" s="17">
        <f>'Form-Sb'!UAD94</f>
        <v>0</v>
      </c>
      <c r="UAA36" s="17">
        <f>'Form-Sb'!UAE94</f>
        <v>0</v>
      </c>
      <c r="UAB36" s="17">
        <f>'Form-Sb'!UAF94</f>
        <v>0</v>
      </c>
      <c r="UAC36" s="17">
        <f>'Form-Sb'!UAG94</f>
        <v>0</v>
      </c>
      <c r="UAD36" s="17">
        <f>'Form-Sb'!UAH94</f>
        <v>0</v>
      </c>
      <c r="UAE36" s="17">
        <f>'Form-Sb'!UAI94</f>
        <v>0</v>
      </c>
      <c r="UAF36" s="17">
        <f>'Form-Sb'!UAJ94</f>
        <v>0</v>
      </c>
      <c r="UAG36" s="17">
        <f>'Form-Sb'!UAK94</f>
        <v>0</v>
      </c>
      <c r="UAH36" s="17">
        <f>'Form-Sb'!UAL94</f>
        <v>0</v>
      </c>
      <c r="UAI36" s="17">
        <f>'Form-Sb'!UAM94</f>
        <v>0</v>
      </c>
      <c r="UAJ36" s="17">
        <f>'Form-Sb'!UAN94</f>
        <v>0</v>
      </c>
      <c r="UAK36" s="17">
        <f>'Form-Sb'!UAO94</f>
        <v>0</v>
      </c>
      <c r="UAL36" s="17">
        <f>'Form-Sb'!UAP94</f>
        <v>0</v>
      </c>
      <c r="UAM36" s="17">
        <f>'Form-Sb'!UAQ94</f>
        <v>0</v>
      </c>
      <c r="UAN36" s="17">
        <f>'Form-Sb'!UAR94</f>
        <v>0</v>
      </c>
      <c r="UAO36" s="17">
        <f>'Form-Sb'!UAS94</f>
        <v>0</v>
      </c>
      <c r="UAP36" s="17">
        <f>'Form-Sb'!UAT94</f>
        <v>0</v>
      </c>
      <c r="UAQ36" s="17">
        <f>'Form-Sb'!UAU94</f>
        <v>0</v>
      </c>
      <c r="UAR36" s="17">
        <f>'Form-Sb'!UAV94</f>
        <v>0</v>
      </c>
      <c r="UAS36" s="17">
        <f>'Form-Sb'!UAW94</f>
        <v>0</v>
      </c>
      <c r="UAT36" s="17">
        <f>'Form-Sb'!UAX94</f>
        <v>0</v>
      </c>
      <c r="UAU36" s="17">
        <f>'Form-Sb'!UAY94</f>
        <v>0</v>
      </c>
      <c r="UAV36" s="17">
        <f>'Form-Sb'!UAZ94</f>
        <v>0</v>
      </c>
      <c r="UAW36" s="17">
        <f>'Form-Sb'!UBA94</f>
        <v>0</v>
      </c>
      <c r="UAX36" s="17">
        <f>'Form-Sb'!UBB94</f>
        <v>0</v>
      </c>
      <c r="UAY36" s="17">
        <f>'Form-Sb'!UBC94</f>
        <v>0</v>
      </c>
      <c r="UAZ36" s="17">
        <f>'Form-Sb'!UBD94</f>
        <v>0</v>
      </c>
      <c r="UBA36" s="17">
        <f>'Form-Sb'!UBE94</f>
        <v>0</v>
      </c>
      <c r="UBB36" s="17">
        <f>'Form-Sb'!UBF94</f>
        <v>0</v>
      </c>
      <c r="UBC36" s="17">
        <f>'Form-Sb'!UBG94</f>
        <v>0</v>
      </c>
      <c r="UBD36" s="17">
        <f>'Form-Sb'!UBH94</f>
        <v>0</v>
      </c>
      <c r="UBE36" s="17">
        <f>'Form-Sb'!UBI94</f>
        <v>0</v>
      </c>
      <c r="UBF36" s="17">
        <f>'Form-Sb'!UBJ94</f>
        <v>0</v>
      </c>
      <c r="UBG36" s="17">
        <f>'Form-Sb'!UBK94</f>
        <v>0</v>
      </c>
      <c r="UBH36" s="17">
        <f>'Form-Sb'!UBL94</f>
        <v>0</v>
      </c>
      <c r="UBI36" s="17">
        <f>'Form-Sb'!UBM94</f>
        <v>0</v>
      </c>
      <c r="UBJ36" s="17">
        <f>'Form-Sb'!UBN94</f>
        <v>0</v>
      </c>
      <c r="UBK36" s="17">
        <f>'Form-Sb'!UBO94</f>
        <v>0</v>
      </c>
      <c r="UBL36" s="17">
        <f>'Form-Sb'!UBP94</f>
        <v>0</v>
      </c>
      <c r="UBM36" s="17">
        <f>'Form-Sb'!UBQ94</f>
        <v>0</v>
      </c>
      <c r="UBN36" s="17">
        <f>'Form-Sb'!UBR94</f>
        <v>0</v>
      </c>
      <c r="UBO36" s="17">
        <f>'Form-Sb'!UBS94</f>
        <v>0</v>
      </c>
      <c r="UBP36" s="17">
        <f>'Form-Sb'!UBT94</f>
        <v>0</v>
      </c>
      <c r="UBQ36" s="17">
        <f>'Form-Sb'!UBU94</f>
        <v>0</v>
      </c>
      <c r="UBR36" s="17">
        <f>'Form-Sb'!UBV94</f>
        <v>0</v>
      </c>
      <c r="UBS36" s="17">
        <f>'Form-Sb'!UBW94</f>
        <v>0</v>
      </c>
      <c r="UBT36" s="17">
        <f>'Form-Sb'!UBX94</f>
        <v>0</v>
      </c>
      <c r="UBU36" s="17">
        <f>'Form-Sb'!UBY94</f>
        <v>0</v>
      </c>
      <c r="UBV36" s="17">
        <f>'Form-Sb'!UBZ94</f>
        <v>0</v>
      </c>
      <c r="UBW36" s="17">
        <f>'Form-Sb'!UCA94</f>
        <v>0</v>
      </c>
      <c r="UBX36" s="17">
        <f>'Form-Sb'!UCB94</f>
        <v>0</v>
      </c>
      <c r="UBY36" s="17">
        <f>'Form-Sb'!UCC94</f>
        <v>0</v>
      </c>
      <c r="UBZ36" s="17">
        <f>'Form-Sb'!UCD94</f>
        <v>0</v>
      </c>
      <c r="UCA36" s="17">
        <f>'Form-Sb'!UCE94</f>
        <v>0</v>
      </c>
      <c r="UCB36" s="17">
        <f>'Form-Sb'!UCF94</f>
        <v>0</v>
      </c>
      <c r="UCC36" s="17">
        <f>'Form-Sb'!UCG94</f>
        <v>0</v>
      </c>
      <c r="UCD36" s="17">
        <f>'Form-Sb'!UCH94</f>
        <v>0</v>
      </c>
      <c r="UCE36" s="17">
        <f>'Form-Sb'!UCI94</f>
        <v>0</v>
      </c>
      <c r="UCF36" s="17">
        <f>'Form-Sb'!UCJ94</f>
        <v>0</v>
      </c>
      <c r="UCG36" s="17">
        <f>'Form-Sb'!UCK94</f>
        <v>0</v>
      </c>
      <c r="UCH36" s="17">
        <f>'Form-Sb'!UCL94</f>
        <v>0</v>
      </c>
      <c r="UCI36" s="17">
        <f>'Form-Sb'!UCM94</f>
        <v>0</v>
      </c>
      <c r="UCJ36" s="17">
        <f>'Form-Sb'!UCN94</f>
        <v>0</v>
      </c>
      <c r="UCK36" s="17">
        <f>'Form-Sb'!UCO94</f>
        <v>0</v>
      </c>
      <c r="UCL36" s="17">
        <f>'Form-Sb'!UCP94</f>
        <v>0</v>
      </c>
      <c r="UCM36" s="17">
        <f>'Form-Sb'!UCQ94</f>
        <v>0</v>
      </c>
      <c r="UCN36" s="17">
        <f>'Form-Sb'!UCR94</f>
        <v>0</v>
      </c>
      <c r="UCO36" s="17">
        <f>'Form-Sb'!UCS94</f>
        <v>0</v>
      </c>
      <c r="UCP36" s="17">
        <f>'Form-Sb'!UCT94</f>
        <v>0</v>
      </c>
      <c r="UCQ36" s="17">
        <f>'Form-Sb'!UCU94</f>
        <v>0</v>
      </c>
      <c r="UCR36" s="17">
        <f>'Form-Sb'!UCV94</f>
        <v>0</v>
      </c>
      <c r="UCS36" s="17">
        <f>'Form-Sb'!UCW94</f>
        <v>0</v>
      </c>
      <c r="UCT36" s="17">
        <f>'Form-Sb'!UCX94</f>
        <v>0</v>
      </c>
      <c r="UCU36" s="17">
        <f>'Form-Sb'!UCY94</f>
        <v>0</v>
      </c>
      <c r="UCV36" s="17">
        <f>'Form-Sb'!UCZ94</f>
        <v>0</v>
      </c>
      <c r="UCW36" s="17">
        <f>'Form-Sb'!UDA94</f>
        <v>0</v>
      </c>
      <c r="UCX36" s="17">
        <f>'Form-Sb'!UDB94</f>
        <v>0</v>
      </c>
      <c r="UCY36" s="17">
        <f>'Form-Sb'!UDC94</f>
        <v>0</v>
      </c>
      <c r="UCZ36" s="17">
        <f>'Form-Sb'!UDD94</f>
        <v>0</v>
      </c>
      <c r="UDA36" s="17">
        <f>'Form-Sb'!UDE94</f>
        <v>0</v>
      </c>
      <c r="UDB36" s="17">
        <f>'Form-Sb'!UDF94</f>
        <v>0</v>
      </c>
      <c r="UDC36" s="17">
        <f>'Form-Sb'!UDG94</f>
        <v>0</v>
      </c>
      <c r="UDD36" s="17">
        <f>'Form-Sb'!UDH94</f>
        <v>0</v>
      </c>
      <c r="UDE36" s="17">
        <f>'Form-Sb'!UDI94</f>
        <v>0</v>
      </c>
      <c r="UDF36" s="17">
        <f>'Form-Sb'!UDJ94</f>
        <v>0</v>
      </c>
      <c r="UDG36" s="17">
        <f>'Form-Sb'!UDK94</f>
        <v>0</v>
      </c>
      <c r="UDH36" s="17">
        <f>'Form-Sb'!UDL94</f>
        <v>0</v>
      </c>
      <c r="UDI36" s="17">
        <f>'Form-Sb'!UDM94</f>
        <v>0</v>
      </c>
      <c r="UDJ36" s="17">
        <f>'Form-Sb'!UDN94</f>
        <v>0</v>
      </c>
      <c r="UDK36" s="17">
        <f>'Form-Sb'!UDO94</f>
        <v>0</v>
      </c>
      <c r="UDL36" s="17">
        <f>'Form-Sb'!UDP94</f>
        <v>0</v>
      </c>
      <c r="UDM36" s="17">
        <f>'Form-Sb'!UDQ94</f>
        <v>0</v>
      </c>
      <c r="UDN36" s="17">
        <f>'Form-Sb'!UDR94</f>
        <v>0</v>
      </c>
      <c r="UDO36" s="17">
        <f>'Form-Sb'!UDS94</f>
        <v>0</v>
      </c>
      <c r="UDP36" s="17">
        <f>'Form-Sb'!UDT94</f>
        <v>0</v>
      </c>
      <c r="UDQ36" s="17">
        <f>'Form-Sb'!UDU94</f>
        <v>0</v>
      </c>
      <c r="UDR36" s="17">
        <f>'Form-Sb'!UDV94</f>
        <v>0</v>
      </c>
      <c r="UDS36" s="17">
        <f>'Form-Sb'!UDW94</f>
        <v>0</v>
      </c>
      <c r="UDT36" s="17">
        <f>'Form-Sb'!UDX94</f>
        <v>0</v>
      </c>
      <c r="UDU36" s="17">
        <f>'Form-Sb'!UDY94</f>
        <v>0</v>
      </c>
      <c r="UDV36" s="17">
        <f>'Form-Sb'!UDZ94</f>
        <v>0</v>
      </c>
      <c r="UDW36" s="17">
        <f>'Form-Sb'!UEA94</f>
        <v>0</v>
      </c>
      <c r="UDX36" s="17">
        <f>'Form-Sb'!UEB94</f>
        <v>0</v>
      </c>
      <c r="UDY36" s="17">
        <f>'Form-Sb'!UEC94</f>
        <v>0</v>
      </c>
      <c r="UDZ36" s="17">
        <f>'Form-Sb'!UED94</f>
        <v>0</v>
      </c>
      <c r="UEA36" s="17">
        <f>'Form-Sb'!UEE94</f>
        <v>0</v>
      </c>
      <c r="UEB36" s="17">
        <f>'Form-Sb'!UEF94</f>
        <v>0</v>
      </c>
      <c r="UEC36" s="17">
        <f>'Form-Sb'!UEG94</f>
        <v>0</v>
      </c>
      <c r="UED36" s="17">
        <f>'Form-Sb'!UEH94</f>
        <v>0</v>
      </c>
      <c r="UEE36" s="17">
        <f>'Form-Sb'!UEI94</f>
        <v>0</v>
      </c>
      <c r="UEF36" s="17">
        <f>'Form-Sb'!UEJ94</f>
        <v>0</v>
      </c>
      <c r="UEG36" s="17">
        <f>'Form-Sb'!UEK94</f>
        <v>0</v>
      </c>
      <c r="UEH36" s="17">
        <f>'Form-Sb'!UEL94</f>
        <v>0</v>
      </c>
      <c r="UEI36" s="17">
        <f>'Form-Sb'!UEM94</f>
        <v>0</v>
      </c>
      <c r="UEJ36" s="17">
        <f>'Form-Sb'!UEN94</f>
        <v>0</v>
      </c>
      <c r="UEK36" s="17">
        <f>'Form-Sb'!UEO94</f>
        <v>0</v>
      </c>
      <c r="UEL36" s="17">
        <f>'Form-Sb'!UEP94</f>
        <v>0</v>
      </c>
      <c r="UEM36" s="17">
        <f>'Form-Sb'!UEQ94</f>
        <v>0</v>
      </c>
      <c r="UEN36" s="17">
        <f>'Form-Sb'!UER94</f>
        <v>0</v>
      </c>
      <c r="UEO36" s="17">
        <f>'Form-Sb'!UES94</f>
        <v>0</v>
      </c>
      <c r="UEP36" s="17">
        <f>'Form-Sb'!UET94</f>
        <v>0</v>
      </c>
      <c r="UEQ36" s="17">
        <f>'Form-Sb'!UEU94</f>
        <v>0</v>
      </c>
      <c r="UER36" s="17">
        <f>'Form-Sb'!UEV94</f>
        <v>0</v>
      </c>
      <c r="UES36" s="17">
        <f>'Form-Sb'!UEW94</f>
        <v>0</v>
      </c>
      <c r="UET36" s="17">
        <f>'Form-Sb'!UEX94</f>
        <v>0</v>
      </c>
      <c r="UEU36" s="17">
        <f>'Form-Sb'!UEY94</f>
        <v>0</v>
      </c>
      <c r="UEV36" s="17">
        <f>'Form-Sb'!UEZ94</f>
        <v>0</v>
      </c>
      <c r="UEW36" s="17">
        <f>'Form-Sb'!UFA94</f>
        <v>0</v>
      </c>
      <c r="UEX36" s="17">
        <f>'Form-Sb'!UFB94</f>
        <v>0</v>
      </c>
      <c r="UEY36" s="17">
        <f>'Form-Sb'!UFC94</f>
        <v>0</v>
      </c>
      <c r="UEZ36" s="17">
        <f>'Form-Sb'!UFD94</f>
        <v>0</v>
      </c>
      <c r="UFA36" s="17">
        <f>'Form-Sb'!UFE94</f>
        <v>0</v>
      </c>
      <c r="UFB36" s="17">
        <f>'Form-Sb'!UFF94</f>
        <v>0</v>
      </c>
      <c r="UFC36" s="17">
        <f>'Form-Sb'!UFG94</f>
        <v>0</v>
      </c>
      <c r="UFD36" s="17">
        <f>'Form-Sb'!UFH94</f>
        <v>0</v>
      </c>
      <c r="UFE36" s="17">
        <f>'Form-Sb'!UFI94</f>
        <v>0</v>
      </c>
      <c r="UFF36" s="17">
        <f>'Form-Sb'!UFJ94</f>
        <v>0</v>
      </c>
      <c r="UFG36" s="17">
        <f>'Form-Sb'!UFK94</f>
        <v>0</v>
      </c>
      <c r="UFH36" s="17">
        <f>'Form-Sb'!UFL94</f>
        <v>0</v>
      </c>
      <c r="UFI36" s="17">
        <f>'Form-Sb'!UFM94</f>
        <v>0</v>
      </c>
      <c r="UFJ36" s="17">
        <f>'Form-Sb'!UFN94</f>
        <v>0</v>
      </c>
      <c r="UFK36" s="17">
        <f>'Form-Sb'!UFO94</f>
        <v>0</v>
      </c>
      <c r="UFL36" s="17">
        <f>'Form-Sb'!UFP94</f>
        <v>0</v>
      </c>
      <c r="UFM36" s="17">
        <f>'Form-Sb'!UFQ94</f>
        <v>0</v>
      </c>
      <c r="UFN36" s="17">
        <f>'Form-Sb'!UFR94</f>
        <v>0</v>
      </c>
      <c r="UFO36" s="17">
        <f>'Form-Sb'!UFS94</f>
        <v>0</v>
      </c>
      <c r="UFP36" s="17">
        <f>'Form-Sb'!UFT94</f>
        <v>0</v>
      </c>
      <c r="UFQ36" s="17">
        <f>'Form-Sb'!UFU94</f>
        <v>0</v>
      </c>
      <c r="UFR36" s="17">
        <f>'Form-Sb'!UFV94</f>
        <v>0</v>
      </c>
      <c r="UFS36" s="17">
        <f>'Form-Sb'!UFW94</f>
        <v>0</v>
      </c>
      <c r="UFT36" s="17">
        <f>'Form-Sb'!UFX94</f>
        <v>0</v>
      </c>
      <c r="UFU36" s="17">
        <f>'Form-Sb'!UFY94</f>
        <v>0</v>
      </c>
      <c r="UFV36" s="17">
        <f>'Form-Sb'!UFZ94</f>
        <v>0</v>
      </c>
      <c r="UFW36" s="17">
        <f>'Form-Sb'!UGA94</f>
        <v>0</v>
      </c>
      <c r="UFX36" s="17">
        <f>'Form-Sb'!UGB94</f>
        <v>0</v>
      </c>
      <c r="UFY36" s="17">
        <f>'Form-Sb'!UGC94</f>
        <v>0</v>
      </c>
      <c r="UFZ36" s="17">
        <f>'Form-Sb'!UGD94</f>
        <v>0</v>
      </c>
      <c r="UGA36" s="17">
        <f>'Form-Sb'!UGE94</f>
        <v>0</v>
      </c>
      <c r="UGB36" s="17">
        <f>'Form-Sb'!UGF94</f>
        <v>0</v>
      </c>
      <c r="UGC36" s="17">
        <f>'Form-Sb'!UGG94</f>
        <v>0</v>
      </c>
      <c r="UGD36" s="17">
        <f>'Form-Sb'!UGH94</f>
        <v>0</v>
      </c>
      <c r="UGE36" s="17">
        <f>'Form-Sb'!UGI94</f>
        <v>0</v>
      </c>
      <c r="UGF36" s="17">
        <f>'Form-Sb'!UGJ94</f>
        <v>0</v>
      </c>
      <c r="UGG36" s="17">
        <f>'Form-Sb'!UGK94</f>
        <v>0</v>
      </c>
      <c r="UGH36" s="17">
        <f>'Form-Sb'!UGL94</f>
        <v>0</v>
      </c>
      <c r="UGI36" s="17">
        <f>'Form-Sb'!UGM94</f>
        <v>0</v>
      </c>
      <c r="UGJ36" s="17">
        <f>'Form-Sb'!UGN94</f>
        <v>0</v>
      </c>
      <c r="UGK36" s="17">
        <f>'Form-Sb'!UGO94</f>
        <v>0</v>
      </c>
      <c r="UGL36" s="17">
        <f>'Form-Sb'!UGP94</f>
        <v>0</v>
      </c>
      <c r="UGM36" s="17">
        <f>'Form-Sb'!UGQ94</f>
        <v>0</v>
      </c>
      <c r="UGN36" s="17">
        <f>'Form-Sb'!UGR94</f>
        <v>0</v>
      </c>
      <c r="UGO36" s="17">
        <f>'Form-Sb'!UGS94</f>
        <v>0</v>
      </c>
      <c r="UGP36" s="17">
        <f>'Form-Sb'!UGT94</f>
        <v>0</v>
      </c>
      <c r="UGQ36" s="17">
        <f>'Form-Sb'!UGU94</f>
        <v>0</v>
      </c>
      <c r="UGR36" s="17">
        <f>'Form-Sb'!UGV94</f>
        <v>0</v>
      </c>
      <c r="UGS36" s="17">
        <f>'Form-Sb'!UGW94</f>
        <v>0</v>
      </c>
      <c r="UGT36" s="17">
        <f>'Form-Sb'!UGX94</f>
        <v>0</v>
      </c>
      <c r="UGU36" s="17">
        <f>'Form-Sb'!UGY94</f>
        <v>0</v>
      </c>
      <c r="UGV36" s="17">
        <f>'Form-Sb'!UGZ94</f>
        <v>0</v>
      </c>
      <c r="UGW36" s="17">
        <f>'Form-Sb'!UHA94</f>
        <v>0</v>
      </c>
      <c r="UGX36" s="17">
        <f>'Form-Sb'!UHB94</f>
        <v>0</v>
      </c>
      <c r="UGY36" s="17">
        <f>'Form-Sb'!UHC94</f>
        <v>0</v>
      </c>
      <c r="UGZ36" s="17">
        <f>'Form-Sb'!UHD94</f>
        <v>0</v>
      </c>
      <c r="UHA36" s="17">
        <f>'Form-Sb'!UHE94</f>
        <v>0</v>
      </c>
      <c r="UHB36" s="17">
        <f>'Form-Sb'!UHF94</f>
        <v>0</v>
      </c>
      <c r="UHC36" s="17">
        <f>'Form-Sb'!UHG94</f>
        <v>0</v>
      </c>
      <c r="UHD36" s="17">
        <f>'Form-Sb'!UHH94</f>
        <v>0</v>
      </c>
      <c r="UHE36" s="17">
        <f>'Form-Sb'!UHI94</f>
        <v>0</v>
      </c>
      <c r="UHF36" s="17">
        <f>'Form-Sb'!UHJ94</f>
        <v>0</v>
      </c>
      <c r="UHG36" s="17">
        <f>'Form-Sb'!UHK94</f>
        <v>0</v>
      </c>
      <c r="UHH36" s="17">
        <f>'Form-Sb'!UHL94</f>
        <v>0</v>
      </c>
      <c r="UHI36" s="17">
        <f>'Form-Sb'!UHM94</f>
        <v>0</v>
      </c>
      <c r="UHJ36" s="17">
        <f>'Form-Sb'!UHN94</f>
        <v>0</v>
      </c>
      <c r="UHK36" s="17">
        <f>'Form-Sb'!UHO94</f>
        <v>0</v>
      </c>
      <c r="UHL36" s="17">
        <f>'Form-Sb'!UHP94</f>
        <v>0</v>
      </c>
      <c r="UHM36" s="17">
        <f>'Form-Sb'!UHQ94</f>
        <v>0</v>
      </c>
      <c r="UHN36" s="17">
        <f>'Form-Sb'!UHR94</f>
        <v>0</v>
      </c>
      <c r="UHO36" s="17">
        <f>'Form-Sb'!UHS94</f>
        <v>0</v>
      </c>
      <c r="UHP36" s="17">
        <f>'Form-Sb'!UHT94</f>
        <v>0</v>
      </c>
      <c r="UHQ36" s="17">
        <f>'Form-Sb'!UHU94</f>
        <v>0</v>
      </c>
      <c r="UHR36" s="17">
        <f>'Form-Sb'!UHV94</f>
        <v>0</v>
      </c>
      <c r="UHS36" s="17">
        <f>'Form-Sb'!UHW94</f>
        <v>0</v>
      </c>
      <c r="UHT36" s="17">
        <f>'Form-Sb'!UHX94</f>
        <v>0</v>
      </c>
      <c r="UHU36" s="17">
        <f>'Form-Sb'!UHY94</f>
        <v>0</v>
      </c>
      <c r="UHV36" s="17">
        <f>'Form-Sb'!UHZ94</f>
        <v>0</v>
      </c>
      <c r="UHW36" s="17">
        <f>'Form-Sb'!UIA94</f>
        <v>0</v>
      </c>
      <c r="UHX36" s="17">
        <f>'Form-Sb'!UIB94</f>
        <v>0</v>
      </c>
      <c r="UHY36" s="17">
        <f>'Form-Sb'!UIC94</f>
        <v>0</v>
      </c>
      <c r="UHZ36" s="17">
        <f>'Form-Sb'!UID94</f>
        <v>0</v>
      </c>
      <c r="UIA36" s="17">
        <f>'Form-Sb'!UIE94</f>
        <v>0</v>
      </c>
      <c r="UIB36" s="17">
        <f>'Form-Sb'!UIF94</f>
        <v>0</v>
      </c>
      <c r="UIC36" s="17">
        <f>'Form-Sb'!UIG94</f>
        <v>0</v>
      </c>
      <c r="UID36" s="17">
        <f>'Form-Sb'!UIH94</f>
        <v>0</v>
      </c>
      <c r="UIE36" s="17">
        <f>'Form-Sb'!UII94</f>
        <v>0</v>
      </c>
      <c r="UIF36" s="17">
        <f>'Form-Sb'!UIJ94</f>
        <v>0</v>
      </c>
      <c r="UIG36" s="17">
        <f>'Form-Sb'!UIK94</f>
        <v>0</v>
      </c>
      <c r="UIH36" s="17">
        <f>'Form-Sb'!UIL94</f>
        <v>0</v>
      </c>
      <c r="UII36" s="17">
        <f>'Form-Sb'!UIM94</f>
        <v>0</v>
      </c>
      <c r="UIJ36" s="17">
        <f>'Form-Sb'!UIN94</f>
        <v>0</v>
      </c>
      <c r="UIK36" s="17">
        <f>'Form-Sb'!UIO94</f>
        <v>0</v>
      </c>
      <c r="UIL36" s="17">
        <f>'Form-Sb'!UIP94</f>
        <v>0</v>
      </c>
      <c r="UIM36" s="17">
        <f>'Form-Sb'!UIQ94</f>
        <v>0</v>
      </c>
      <c r="UIN36" s="17">
        <f>'Form-Sb'!UIR94</f>
        <v>0</v>
      </c>
      <c r="UIO36" s="17">
        <f>'Form-Sb'!UIS94</f>
        <v>0</v>
      </c>
      <c r="UIP36" s="17">
        <f>'Form-Sb'!UIT94</f>
        <v>0</v>
      </c>
      <c r="UIQ36" s="17">
        <f>'Form-Sb'!UIU94</f>
        <v>0</v>
      </c>
      <c r="UIR36" s="17">
        <f>'Form-Sb'!UIV94</f>
        <v>0</v>
      </c>
      <c r="UIS36" s="17">
        <f>'Form-Sb'!UIW94</f>
        <v>0</v>
      </c>
      <c r="UIT36" s="17">
        <f>'Form-Sb'!UIX94</f>
        <v>0</v>
      </c>
      <c r="UIU36" s="17">
        <f>'Form-Sb'!UIY94</f>
        <v>0</v>
      </c>
      <c r="UIV36" s="17">
        <f>'Form-Sb'!UIZ94</f>
        <v>0</v>
      </c>
      <c r="UIW36" s="17">
        <f>'Form-Sb'!UJA94</f>
        <v>0</v>
      </c>
      <c r="UIX36" s="17">
        <f>'Form-Sb'!UJB94</f>
        <v>0</v>
      </c>
      <c r="UIY36" s="17">
        <f>'Form-Sb'!UJC94</f>
        <v>0</v>
      </c>
      <c r="UIZ36" s="17">
        <f>'Form-Sb'!UJD94</f>
        <v>0</v>
      </c>
      <c r="UJA36" s="17">
        <f>'Form-Sb'!UJE94</f>
        <v>0</v>
      </c>
      <c r="UJB36" s="17">
        <f>'Form-Sb'!UJF94</f>
        <v>0</v>
      </c>
      <c r="UJC36" s="17">
        <f>'Form-Sb'!UJG94</f>
        <v>0</v>
      </c>
      <c r="UJD36" s="17">
        <f>'Form-Sb'!UJH94</f>
        <v>0</v>
      </c>
      <c r="UJE36" s="17">
        <f>'Form-Sb'!UJI94</f>
        <v>0</v>
      </c>
      <c r="UJF36" s="17">
        <f>'Form-Sb'!UJJ94</f>
        <v>0</v>
      </c>
      <c r="UJG36" s="17">
        <f>'Form-Sb'!UJK94</f>
        <v>0</v>
      </c>
      <c r="UJH36" s="17">
        <f>'Form-Sb'!UJL94</f>
        <v>0</v>
      </c>
      <c r="UJI36" s="17">
        <f>'Form-Sb'!UJM94</f>
        <v>0</v>
      </c>
      <c r="UJJ36" s="17">
        <f>'Form-Sb'!UJN94</f>
        <v>0</v>
      </c>
      <c r="UJK36" s="17">
        <f>'Form-Sb'!UJO94</f>
        <v>0</v>
      </c>
      <c r="UJL36" s="17">
        <f>'Form-Sb'!UJP94</f>
        <v>0</v>
      </c>
      <c r="UJM36" s="17">
        <f>'Form-Sb'!UJQ94</f>
        <v>0</v>
      </c>
      <c r="UJN36" s="17">
        <f>'Form-Sb'!UJR94</f>
        <v>0</v>
      </c>
      <c r="UJO36" s="17">
        <f>'Form-Sb'!UJS94</f>
        <v>0</v>
      </c>
      <c r="UJP36" s="17">
        <f>'Form-Sb'!UJT94</f>
        <v>0</v>
      </c>
      <c r="UJQ36" s="17">
        <f>'Form-Sb'!UJU94</f>
        <v>0</v>
      </c>
      <c r="UJR36" s="17">
        <f>'Form-Sb'!UJV94</f>
        <v>0</v>
      </c>
      <c r="UJS36" s="17">
        <f>'Form-Sb'!UJW94</f>
        <v>0</v>
      </c>
      <c r="UJT36" s="17">
        <f>'Form-Sb'!UJX94</f>
        <v>0</v>
      </c>
      <c r="UJU36" s="17">
        <f>'Form-Sb'!UJY94</f>
        <v>0</v>
      </c>
      <c r="UJV36" s="17">
        <f>'Form-Sb'!UJZ94</f>
        <v>0</v>
      </c>
      <c r="UJW36" s="17">
        <f>'Form-Sb'!UKA94</f>
        <v>0</v>
      </c>
      <c r="UJX36" s="17">
        <f>'Form-Sb'!UKB94</f>
        <v>0</v>
      </c>
      <c r="UJY36" s="17">
        <f>'Form-Sb'!UKC94</f>
        <v>0</v>
      </c>
      <c r="UJZ36" s="17">
        <f>'Form-Sb'!UKD94</f>
        <v>0</v>
      </c>
      <c r="UKA36" s="17">
        <f>'Form-Sb'!UKE94</f>
        <v>0</v>
      </c>
      <c r="UKB36" s="17">
        <f>'Form-Sb'!UKF94</f>
        <v>0</v>
      </c>
      <c r="UKC36" s="17">
        <f>'Form-Sb'!UKG94</f>
        <v>0</v>
      </c>
      <c r="UKD36" s="17">
        <f>'Form-Sb'!UKH94</f>
        <v>0</v>
      </c>
      <c r="UKE36" s="17">
        <f>'Form-Sb'!UKI94</f>
        <v>0</v>
      </c>
      <c r="UKF36" s="17">
        <f>'Form-Sb'!UKJ94</f>
        <v>0</v>
      </c>
      <c r="UKG36" s="17">
        <f>'Form-Sb'!UKK94</f>
        <v>0</v>
      </c>
      <c r="UKH36" s="17">
        <f>'Form-Sb'!UKL94</f>
        <v>0</v>
      </c>
      <c r="UKI36" s="17">
        <f>'Form-Sb'!UKM94</f>
        <v>0</v>
      </c>
      <c r="UKJ36" s="17">
        <f>'Form-Sb'!UKN94</f>
        <v>0</v>
      </c>
      <c r="UKK36" s="17">
        <f>'Form-Sb'!UKO94</f>
        <v>0</v>
      </c>
      <c r="UKL36" s="17">
        <f>'Form-Sb'!UKP94</f>
        <v>0</v>
      </c>
      <c r="UKM36" s="17">
        <f>'Form-Sb'!UKQ94</f>
        <v>0</v>
      </c>
      <c r="UKN36" s="17">
        <f>'Form-Sb'!UKR94</f>
        <v>0</v>
      </c>
      <c r="UKO36" s="17">
        <f>'Form-Sb'!UKS94</f>
        <v>0</v>
      </c>
      <c r="UKP36" s="17">
        <f>'Form-Sb'!UKT94</f>
        <v>0</v>
      </c>
      <c r="UKQ36" s="17">
        <f>'Form-Sb'!UKU94</f>
        <v>0</v>
      </c>
      <c r="UKR36" s="17">
        <f>'Form-Sb'!UKV94</f>
        <v>0</v>
      </c>
      <c r="UKS36" s="17">
        <f>'Form-Sb'!UKW94</f>
        <v>0</v>
      </c>
      <c r="UKT36" s="17">
        <f>'Form-Sb'!UKX94</f>
        <v>0</v>
      </c>
      <c r="UKU36" s="17">
        <f>'Form-Sb'!UKY94</f>
        <v>0</v>
      </c>
      <c r="UKV36" s="17">
        <f>'Form-Sb'!UKZ94</f>
        <v>0</v>
      </c>
      <c r="UKW36" s="17">
        <f>'Form-Sb'!ULA94</f>
        <v>0</v>
      </c>
      <c r="UKX36" s="17">
        <f>'Form-Sb'!ULB94</f>
        <v>0</v>
      </c>
      <c r="UKY36" s="17">
        <f>'Form-Sb'!ULC94</f>
        <v>0</v>
      </c>
      <c r="UKZ36" s="17">
        <f>'Form-Sb'!ULD94</f>
        <v>0</v>
      </c>
      <c r="ULA36" s="17">
        <f>'Form-Sb'!ULE94</f>
        <v>0</v>
      </c>
      <c r="ULB36" s="17">
        <f>'Form-Sb'!ULF94</f>
        <v>0</v>
      </c>
      <c r="ULC36" s="17">
        <f>'Form-Sb'!ULG94</f>
        <v>0</v>
      </c>
      <c r="ULD36" s="17">
        <f>'Form-Sb'!ULH94</f>
        <v>0</v>
      </c>
      <c r="ULE36" s="17">
        <f>'Form-Sb'!ULI94</f>
        <v>0</v>
      </c>
      <c r="ULF36" s="17">
        <f>'Form-Sb'!ULJ94</f>
        <v>0</v>
      </c>
      <c r="ULG36" s="17">
        <f>'Form-Sb'!ULK94</f>
        <v>0</v>
      </c>
      <c r="ULH36" s="17">
        <f>'Form-Sb'!ULL94</f>
        <v>0</v>
      </c>
      <c r="ULI36" s="17">
        <f>'Form-Sb'!ULM94</f>
        <v>0</v>
      </c>
      <c r="ULJ36" s="17">
        <f>'Form-Sb'!ULN94</f>
        <v>0</v>
      </c>
      <c r="ULK36" s="17">
        <f>'Form-Sb'!ULO94</f>
        <v>0</v>
      </c>
      <c r="ULL36" s="17">
        <f>'Form-Sb'!ULP94</f>
        <v>0</v>
      </c>
      <c r="ULM36" s="17">
        <f>'Form-Sb'!ULQ94</f>
        <v>0</v>
      </c>
      <c r="ULN36" s="17">
        <f>'Form-Sb'!ULR94</f>
        <v>0</v>
      </c>
      <c r="ULO36" s="17">
        <f>'Form-Sb'!ULS94</f>
        <v>0</v>
      </c>
      <c r="ULP36" s="17">
        <f>'Form-Sb'!ULT94</f>
        <v>0</v>
      </c>
      <c r="ULQ36" s="17">
        <f>'Form-Sb'!ULU94</f>
        <v>0</v>
      </c>
      <c r="ULR36" s="17">
        <f>'Form-Sb'!ULV94</f>
        <v>0</v>
      </c>
      <c r="ULS36" s="17">
        <f>'Form-Sb'!ULW94</f>
        <v>0</v>
      </c>
      <c r="ULT36" s="17">
        <f>'Form-Sb'!ULX94</f>
        <v>0</v>
      </c>
      <c r="ULU36" s="17">
        <f>'Form-Sb'!ULY94</f>
        <v>0</v>
      </c>
      <c r="ULV36" s="17">
        <f>'Form-Sb'!ULZ94</f>
        <v>0</v>
      </c>
      <c r="ULW36" s="17">
        <f>'Form-Sb'!UMA94</f>
        <v>0</v>
      </c>
      <c r="ULX36" s="17">
        <f>'Form-Sb'!UMB94</f>
        <v>0</v>
      </c>
      <c r="ULY36" s="17">
        <f>'Form-Sb'!UMC94</f>
        <v>0</v>
      </c>
      <c r="ULZ36" s="17">
        <f>'Form-Sb'!UMD94</f>
        <v>0</v>
      </c>
      <c r="UMA36" s="17">
        <f>'Form-Sb'!UME94</f>
        <v>0</v>
      </c>
      <c r="UMB36" s="17">
        <f>'Form-Sb'!UMF94</f>
        <v>0</v>
      </c>
      <c r="UMC36" s="17">
        <f>'Form-Sb'!UMG94</f>
        <v>0</v>
      </c>
      <c r="UMD36" s="17">
        <f>'Form-Sb'!UMH94</f>
        <v>0</v>
      </c>
      <c r="UME36" s="17">
        <f>'Form-Sb'!UMI94</f>
        <v>0</v>
      </c>
      <c r="UMF36" s="17">
        <f>'Form-Sb'!UMJ94</f>
        <v>0</v>
      </c>
      <c r="UMG36" s="17">
        <f>'Form-Sb'!UMK94</f>
        <v>0</v>
      </c>
      <c r="UMH36" s="17">
        <f>'Form-Sb'!UML94</f>
        <v>0</v>
      </c>
      <c r="UMI36" s="17">
        <f>'Form-Sb'!UMM94</f>
        <v>0</v>
      </c>
      <c r="UMJ36" s="17">
        <f>'Form-Sb'!UMN94</f>
        <v>0</v>
      </c>
      <c r="UMK36" s="17">
        <f>'Form-Sb'!UMO94</f>
        <v>0</v>
      </c>
      <c r="UML36" s="17">
        <f>'Form-Sb'!UMP94</f>
        <v>0</v>
      </c>
      <c r="UMM36" s="17">
        <f>'Form-Sb'!UMQ94</f>
        <v>0</v>
      </c>
      <c r="UMN36" s="17">
        <f>'Form-Sb'!UMR94</f>
        <v>0</v>
      </c>
      <c r="UMO36" s="17">
        <f>'Form-Sb'!UMS94</f>
        <v>0</v>
      </c>
      <c r="UMP36" s="17">
        <f>'Form-Sb'!UMT94</f>
        <v>0</v>
      </c>
      <c r="UMQ36" s="17">
        <f>'Form-Sb'!UMU94</f>
        <v>0</v>
      </c>
      <c r="UMR36" s="17">
        <f>'Form-Sb'!UMV94</f>
        <v>0</v>
      </c>
      <c r="UMS36" s="17">
        <f>'Form-Sb'!UMW94</f>
        <v>0</v>
      </c>
      <c r="UMT36" s="17">
        <f>'Form-Sb'!UMX94</f>
        <v>0</v>
      </c>
      <c r="UMU36" s="17">
        <f>'Form-Sb'!UMY94</f>
        <v>0</v>
      </c>
      <c r="UMV36" s="17">
        <f>'Form-Sb'!UMZ94</f>
        <v>0</v>
      </c>
      <c r="UMW36" s="17">
        <f>'Form-Sb'!UNA94</f>
        <v>0</v>
      </c>
      <c r="UMX36" s="17">
        <f>'Form-Sb'!UNB94</f>
        <v>0</v>
      </c>
      <c r="UMY36" s="17">
        <f>'Form-Sb'!UNC94</f>
        <v>0</v>
      </c>
      <c r="UMZ36" s="17">
        <f>'Form-Sb'!UND94</f>
        <v>0</v>
      </c>
      <c r="UNA36" s="17">
        <f>'Form-Sb'!UNE94</f>
        <v>0</v>
      </c>
      <c r="UNB36" s="17">
        <f>'Form-Sb'!UNF94</f>
        <v>0</v>
      </c>
      <c r="UNC36" s="17">
        <f>'Form-Sb'!UNG94</f>
        <v>0</v>
      </c>
      <c r="UND36" s="17">
        <f>'Form-Sb'!UNH94</f>
        <v>0</v>
      </c>
      <c r="UNE36" s="17">
        <f>'Form-Sb'!UNI94</f>
        <v>0</v>
      </c>
      <c r="UNF36" s="17">
        <f>'Form-Sb'!UNJ94</f>
        <v>0</v>
      </c>
      <c r="UNG36" s="17">
        <f>'Form-Sb'!UNK94</f>
        <v>0</v>
      </c>
      <c r="UNH36" s="17">
        <f>'Form-Sb'!UNL94</f>
        <v>0</v>
      </c>
      <c r="UNI36" s="17">
        <f>'Form-Sb'!UNM94</f>
        <v>0</v>
      </c>
      <c r="UNJ36" s="17">
        <f>'Form-Sb'!UNN94</f>
        <v>0</v>
      </c>
      <c r="UNK36" s="17">
        <f>'Form-Sb'!UNO94</f>
        <v>0</v>
      </c>
      <c r="UNL36" s="17">
        <f>'Form-Sb'!UNP94</f>
        <v>0</v>
      </c>
      <c r="UNM36" s="17">
        <f>'Form-Sb'!UNQ94</f>
        <v>0</v>
      </c>
      <c r="UNN36" s="17">
        <f>'Form-Sb'!UNR94</f>
        <v>0</v>
      </c>
      <c r="UNO36" s="17">
        <f>'Form-Sb'!UNS94</f>
        <v>0</v>
      </c>
      <c r="UNP36" s="17">
        <f>'Form-Sb'!UNT94</f>
        <v>0</v>
      </c>
      <c r="UNQ36" s="17">
        <f>'Form-Sb'!UNU94</f>
        <v>0</v>
      </c>
      <c r="UNR36" s="17">
        <f>'Form-Sb'!UNV94</f>
        <v>0</v>
      </c>
      <c r="UNS36" s="17">
        <f>'Form-Sb'!UNW94</f>
        <v>0</v>
      </c>
      <c r="UNT36" s="17">
        <f>'Form-Sb'!UNX94</f>
        <v>0</v>
      </c>
      <c r="UNU36" s="17">
        <f>'Form-Sb'!UNY94</f>
        <v>0</v>
      </c>
      <c r="UNV36" s="17">
        <f>'Form-Sb'!UNZ94</f>
        <v>0</v>
      </c>
      <c r="UNW36" s="17">
        <f>'Form-Sb'!UOA94</f>
        <v>0</v>
      </c>
      <c r="UNX36" s="17">
        <f>'Form-Sb'!UOB94</f>
        <v>0</v>
      </c>
      <c r="UNY36" s="17">
        <f>'Form-Sb'!UOC94</f>
        <v>0</v>
      </c>
      <c r="UNZ36" s="17">
        <f>'Form-Sb'!UOD94</f>
        <v>0</v>
      </c>
      <c r="UOA36" s="17">
        <f>'Form-Sb'!UOE94</f>
        <v>0</v>
      </c>
      <c r="UOB36" s="17">
        <f>'Form-Sb'!UOF94</f>
        <v>0</v>
      </c>
      <c r="UOC36" s="17">
        <f>'Form-Sb'!UOG94</f>
        <v>0</v>
      </c>
      <c r="UOD36" s="17">
        <f>'Form-Sb'!UOH94</f>
        <v>0</v>
      </c>
      <c r="UOE36" s="17">
        <f>'Form-Sb'!UOI94</f>
        <v>0</v>
      </c>
      <c r="UOF36" s="17">
        <f>'Form-Sb'!UOJ94</f>
        <v>0</v>
      </c>
      <c r="UOG36" s="17">
        <f>'Form-Sb'!UOK94</f>
        <v>0</v>
      </c>
      <c r="UOH36" s="17">
        <f>'Form-Sb'!UOL94</f>
        <v>0</v>
      </c>
      <c r="UOI36" s="17">
        <f>'Form-Sb'!UOM94</f>
        <v>0</v>
      </c>
      <c r="UOJ36" s="17">
        <f>'Form-Sb'!UON94</f>
        <v>0</v>
      </c>
      <c r="UOK36" s="17">
        <f>'Form-Sb'!UOO94</f>
        <v>0</v>
      </c>
      <c r="UOL36" s="17">
        <f>'Form-Sb'!UOP94</f>
        <v>0</v>
      </c>
      <c r="UOM36" s="17">
        <f>'Form-Sb'!UOQ94</f>
        <v>0</v>
      </c>
      <c r="UON36" s="17">
        <f>'Form-Sb'!UOR94</f>
        <v>0</v>
      </c>
      <c r="UOO36" s="17">
        <f>'Form-Sb'!UOS94</f>
        <v>0</v>
      </c>
      <c r="UOP36" s="17">
        <f>'Form-Sb'!UOT94</f>
        <v>0</v>
      </c>
      <c r="UOQ36" s="17">
        <f>'Form-Sb'!UOU94</f>
        <v>0</v>
      </c>
      <c r="UOR36" s="17">
        <f>'Form-Sb'!UOV94</f>
        <v>0</v>
      </c>
      <c r="UOS36" s="17">
        <f>'Form-Sb'!UOW94</f>
        <v>0</v>
      </c>
      <c r="UOT36" s="17">
        <f>'Form-Sb'!UOX94</f>
        <v>0</v>
      </c>
      <c r="UOU36" s="17">
        <f>'Form-Sb'!UOY94</f>
        <v>0</v>
      </c>
      <c r="UOV36" s="17">
        <f>'Form-Sb'!UOZ94</f>
        <v>0</v>
      </c>
      <c r="UOW36" s="17">
        <f>'Form-Sb'!UPA94</f>
        <v>0</v>
      </c>
      <c r="UOX36" s="17">
        <f>'Form-Sb'!UPB94</f>
        <v>0</v>
      </c>
      <c r="UOY36" s="17">
        <f>'Form-Sb'!UPC94</f>
        <v>0</v>
      </c>
      <c r="UOZ36" s="17">
        <f>'Form-Sb'!UPD94</f>
        <v>0</v>
      </c>
      <c r="UPA36" s="17">
        <f>'Form-Sb'!UPE94</f>
        <v>0</v>
      </c>
      <c r="UPB36" s="17">
        <f>'Form-Sb'!UPF94</f>
        <v>0</v>
      </c>
      <c r="UPC36" s="17">
        <f>'Form-Sb'!UPG94</f>
        <v>0</v>
      </c>
      <c r="UPD36" s="17">
        <f>'Form-Sb'!UPH94</f>
        <v>0</v>
      </c>
      <c r="UPE36" s="17">
        <f>'Form-Sb'!UPI94</f>
        <v>0</v>
      </c>
      <c r="UPF36" s="17">
        <f>'Form-Sb'!UPJ94</f>
        <v>0</v>
      </c>
      <c r="UPG36" s="17">
        <f>'Form-Sb'!UPK94</f>
        <v>0</v>
      </c>
      <c r="UPH36" s="17">
        <f>'Form-Sb'!UPL94</f>
        <v>0</v>
      </c>
      <c r="UPI36" s="17">
        <f>'Form-Sb'!UPM94</f>
        <v>0</v>
      </c>
      <c r="UPJ36" s="17">
        <f>'Form-Sb'!UPN94</f>
        <v>0</v>
      </c>
      <c r="UPK36" s="17">
        <f>'Form-Sb'!UPO94</f>
        <v>0</v>
      </c>
      <c r="UPL36" s="17">
        <f>'Form-Sb'!UPP94</f>
        <v>0</v>
      </c>
      <c r="UPM36" s="17">
        <f>'Form-Sb'!UPQ94</f>
        <v>0</v>
      </c>
      <c r="UPN36" s="17">
        <f>'Form-Sb'!UPR94</f>
        <v>0</v>
      </c>
      <c r="UPO36" s="17">
        <f>'Form-Sb'!UPS94</f>
        <v>0</v>
      </c>
      <c r="UPP36" s="17">
        <f>'Form-Sb'!UPT94</f>
        <v>0</v>
      </c>
      <c r="UPQ36" s="17">
        <f>'Form-Sb'!UPU94</f>
        <v>0</v>
      </c>
      <c r="UPR36" s="17">
        <f>'Form-Sb'!UPV94</f>
        <v>0</v>
      </c>
      <c r="UPS36" s="17">
        <f>'Form-Sb'!UPW94</f>
        <v>0</v>
      </c>
      <c r="UPT36" s="17">
        <f>'Form-Sb'!UPX94</f>
        <v>0</v>
      </c>
      <c r="UPU36" s="17">
        <f>'Form-Sb'!UPY94</f>
        <v>0</v>
      </c>
      <c r="UPV36" s="17">
        <f>'Form-Sb'!UPZ94</f>
        <v>0</v>
      </c>
      <c r="UPW36" s="17">
        <f>'Form-Sb'!UQA94</f>
        <v>0</v>
      </c>
      <c r="UPX36" s="17">
        <f>'Form-Sb'!UQB94</f>
        <v>0</v>
      </c>
      <c r="UPY36" s="17">
        <f>'Form-Sb'!UQC94</f>
        <v>0</v>
      </c>
      <c r="UPZ36" s="17">
        <f>'Form-Sb'!UQD94</f>
        <v>0</v>
      </c>
      <c r="UQA36" s="17">
        <f>'Form-Sb'!UQE94</f>
        <v>0</v>
      </c>
      <c r="UQB36" s="17">
        <f>'Form-Sb'!UQF94</f>
        <v>0</v>
      </c>
      <c r="UQC36" s="17">
        <f>'Form-Sb'!UQG94</f>
        <v>0</v>
      </c>
      <c r="UQD36" s="17">
        <f>'Form-Sb'!UQH94</f>
        <v>0</v>
      </c>
      <c r="UQE36" s="17">
        <f>'Form-Sb'!UQI94</f>
        <v>0</v>
      </c>
      <c r="UQF36" s="17">
        <f>'Form-Sb'!UQJ94</f>
        <v>0</v>
      </c>
      <c r="UQG36" s="17">
        <f>'Form-Sb'!UQK94</f>
        <v>0</v>
      </c>
      <c r="UQH36" s="17">
        <f>'Form-Sb'!UQL94</f>
        <v>0</v>
      </c>
      <c r="UQI36" s="17">
        <f>'Form-Sb'!UQM94</f>
        <v>0</v>
      </c>
      <c r="UQJ36" s="17">
        <f>'Form-Sb'!UQN94</f>
        <v>0</v>
      </c>
      <c r="UQK36" s="17">
        <f>'Form-Sb'!UQO94</f>
        <v>0</v>
      </c>
      <c r="UQL36" s="17">
        <f>'Form-Sb'!UQP94</f>
        <v>0</v>
      </c>
      <c r="UQM36" s="17">
        <f>'Form-Sb'!UQQ94</f>
        <v>0</v>
      </c>
      <c r="UQN36" s="17">
        <f>'Form-Sb'!UQR94</f>
        <v>0</v>
      </c>
      <c r="UQO36" s="17">
        <f>'Form-Sb'!UQS94</f>
        <v>0</v>
      </c>
      <c r="UQP36" s="17">
        <f>'Form-Sb'!UQT94</f>
        <v>0</v>
      </c>
      <c r="UQQ36" s="17">
        <f>'Form-Sb'!UQU94</f>
        <v>0</v>
      </c>
      <c r="UQR36" s="17">
        <f>'Form-Sb'!UQV94</f>
        <v>0</v>
      </c>
      <c r="UQS36" s="17">
        <f>'Form-Sb'!UQW94</f>
        <v>0</v>
      </c>
      <c r="UQT36" s="17">
        <f>'Form-Sb'!UQX94</f>
        <v>0</v>
      </c>
      <c r="UQU36" s="17">
        <f>'Form-Sb'!UQY94</f>
        <v>0</v>
      </c>
      <c r="UQV36" s="17">
        <f>'Form-Sb'!UQZ94</f>
        <v>0</v>
      </c>
      <c r="UQW36" s="17">
        <f>'Form-Sb'!URA94</f>
        <v>0</v>
      </c>
      <c r="UQX36" s="17">
        <f>'Form-Sb'!URB94</f>
        <v>0</v>
      </c>
      <c r="UQY36" s="17">
        <f>'Form-Sb'!URC94</f>
        <v>0</v>
      </c>
      <c r="UQZ36" s="17">
        <f>'Form-Sb'!URD94</f>
        <v>0</v>
      </c>
      <c r="URA36" s="17">
        <f>'Form-Sb'!URE94</f>
        <v>0</v>
      </c>
      <c r="URB36" s="17">
        <f>'Form-Sb'!URF94</f>
        <v>0</v>
      </c>
      <c r="URC36" s="17">
        <f>'Form-Sb'!URG94</f>
        <v>0</v>
      </c>
      <c r="URD36" s="17">
        <f>'Form-Sb'!URH94</f>
        <v>0</v>
      </c>
      <c r="URE36" s="17">
        <f>'Form-Sb'!URI94</f>
        <v>0</v>
      </c>
      <c r="URF36" s="17">
        <f>'Form-Sb'!URJ94</f>
        <v>0</v>
      </c>
      <c r="URG36" s="17">
        <f>'Form-Sb'!URK94</f>
        <v>0</v>
      </c>
      <c r="URH36" s="17">
        <f>'Form-Sb'!URL94</f>
        <v>0</v>
      </c>
      <c r="URI36" s="17">
        <f>'Form-Sb'!URM94</f>
        <v>0</v>
      </c>
      <c r="URJ36" s="17">
        <f>'Form-Sb'!URN94</f>
        <v>0</v>
      </c>
      <c r="URK36" s="17">
        <f>'Form-Sb'!URO94</f>
        <v>0</v>
      </c>
      <c r="URL36" s="17">
        <f>'Form-Sb'!URP94</f>
        <v>0</v>
      </c>
      <c r="URM36" s="17">
        <f>'Form-Sb'!URQ94</f>
        <v>0</v>
      </c>
      <c r="URN36" s="17">
        <f>'Form-Sb'!URR94</f>
        <v>0</v>
      </c>
      <c r="URO36" s="17">
        <f>'Form-Sb'!URS94</f>
        <v>0</v>
      </c>
      <c r="URP36" s="17">
        <f>'Form-Sb'!URT94</f>
        <v>0</v>
      </c>
      <c r="URQ36" s="17">
        <f>'Form-Sb'!URU94</f>
        <v>0</v>
      </c>
      <c r="URR36" s="17">
        <f>'Form-Sb'!URV94</f>
        <v>0</v>
      </c>
      <c r="URS36" s="17">
        <f>'Form-Sb'!URW94</f>
        <v>0</v>
      </c>
      <c r="URT36" s="17">
        <f>'Form-Sb'!URX94</f>
        <v>0</v>
      </c>
      <c r="URU36" s="17">
        <f>'Form-Sb'!URY94</f>
        <v>0</v>
      </c>
      <c r="URV36" s="17">
        <f>'Form-Sb'!URZ94</f>
        <v>0</v>
      </c>
      <c r="URW36" s="17">
        <f>'Form-Sb'!USA94</f>
        <v>0</v>
      </c>
      <c r="URX36" s="17">
        <f>'Form-Sb'!USB94</f>
        <v>0</v>
      </c>
      <c r="URY36" s="17">
        <f>'Form-Sb'!USC94</f>
        <v>0</v>
      </c>
      <c r="URZ36" s="17">
        <f>'Form-Sb'!USD94</f>
        <v>0</v>
      </c>
      <c r="USA36" s="17">
        <f>'Form-Sb'!USE94</f>
        <v>0</v>
      </c>
      <c r="USB36" s="17">
        <f>'Form-Sb'!USF94</f>
        <v>0</v>
      </c>
      <c r="USC36" s="17">
        <f>'Form-Sb'!USG94</f>
        <v>0</v>
      </c>
      <c r="USD36" s="17">
        <f>'Form-Sb'!USH94</f>
        <v>0</v>
      </c>
      <c r="USE36" s="17">
        <f>'Form-Sb'!USI94</f>
        <v>0</v>
      </c>
      <c r="USF36" s="17">
        <f>'Form-Sb'!USJ94</f>
        <v>0</v>
      </c>
      <c r="USG36" s="17">
        <f>'Form-Sb'!USK94</f>
        <v>0</v>
      </c>
      <c r="USH36" s="17">
        <f>'Form-Sb'!USL94</f>
        <v>0</v>
      </c>
      <c r="USI36" s="17">
        <f>'Form-Sb'!USM94</f>
        <v>0</v>
      </c>
      <c r="USJ36" s="17">
        <f>'Form-Sb'!USN94</f>
        <v>0</v>
      </c>
      <c r="USK36" s="17">
        <f>'Form-Sb'!USO94</f>
        <v>0</v>
      </c>
      <c r="USL36" s="17">
        <f>'Form-Sb'!USP94</f>
        <v>0</v>
      </c>
      <c r="USM36" s="17">
        <f>'Form-Sb'!USQ94</f>
        <v>0</v>
      </c>
      <c r="USN36" s="17">
        <f>'Form-Sb'!USR94</f>
        <v>0</v>
      </c>
      <c r="USO36" s="17">
        <f>'Form-Sb'!USS94</f>
        <v>0</v>
      </c>
      <c r="USP36" s="17">
        <f>'Form-Sb'!UST94</f>
        <v>0</v>
      </c>
      <c r="USQ36" s="17">
        <f>'Form-Sb'!USU94</f>
        <v>0</v>
      </c>
      <c r="USR36" s="17">
        <f>'Form-Sb'!USV94</f>
        <v>0</v>
      </c>
      <c r="USS36" s="17">
        <f>'Form-Sb'!USW94</f>
        <v>0</v>
      </c>
      <c r="UST36" s="17">
        <f>'Form-Sb'!USX94</f>
        <v>0</v>
      </c>
      <c r="USU36" s="17">
        <f>'Form-Sb'!USY94</f>
        <v>0</v>
      </c>
      <c r="USV36" s="17">
        <f>'Form-Sb'!USZ94</f>
        <v>0</v>
      </c>
      <c r="USW36" s="17">
        <f>'Form-Sb'!UTA94</f>
        <v>0</v>
      </c>
      <c r="USX36" s="17">
        <f>'Form-Sb'!UTB94</f>
        <v>0</v>
      </c>
      <c r="USY36" s="17">
        <f>'Form-Sb'!UTC94</f>
        <v>0</v>
      </c>
      <c r="USZ36" s="17">
        <f>'Form-Sb'!UTD94</f>
        <v>0</v>
      </c>
      <c r="UTA36" s="17">
        <f>'Form-Sb'!UTE94</f>
        <v>0</v>
      </c>
      <c r="UTB36" s="17">
        <f>'Form-Sb'!UTF94</f>
        <v>0</v>
      </c>
      <c r="UTC36" s="17">
        <f>'Form-Sb'!UTG94</f>
        <v>0</v>
      </c>
      <c r="UTD36" s="17">
        <f>'Form-Sb'!UTH94</f>
        <v>0</v>
      </c>
      <c r="UTE36" s="17">
        <f>'Form-Sb'!UTI94</f>
        <v>0</v>
      </c>
      <c r="UTF36" s="17">
        <f>'Form-Sb'!UTJ94</f>
        <v>0</v>
      </c>
      <c r="UTG36" s="17">
        <f>'Form-Sb'!UTK94</f>
        <v>0</v>
      </c>
      <c r="UTH36" s="17">
        <f>'Form-Sb'!UTL94</f>
        <v>0</v>
      </c>
      <c r="UTI36" s="17">
        <f>'Form-Sb'!UTM94</f>
        <v>0</v>
      </c>
      <c r="UTJ36" s="17">
        <f>'Form-Sb'!UTN94</f>
        <v>0</v>
      </c>
      <c r="UTK36" s="17">
        <f>'Form-Sb'!UTO94</f>
        <v>0</v>
      </c>
      <c r="UTL36" s="17">
        <f>'Form-Sb'!UTP94</f>
        <v>0</v>
      </c>
      <c r="UTM36" s="17">
        <f>'Form-Sb'!UTQ94</f>
        <v>0</v>
      </c>
      <c r="UTN36" s="17">
        <f>'Form-Sb'!UTR94</f>
        <v>0</v>
      </c>
      <c r="UTO36" s="17">
        <f>'Form-Sb'!UTS94</f>
        <v>0</v>
      </c>
      <c r="UTP36" s="17">
        <f>'Form-Sb'!UTT94</f>
        <v>0</v>
      </c>
      <c r="UTQ36" s="17">
        <f>'Form-Sb'!UTU94</f>
        <v>0</v>
      </c>
      <c r="UTR36" s="17">
        <f>'Form-Sb'!UTV94</f>
        <v>0</v>
      </c>
      <c r="UTS36" s="17">
        <f>'Form-Sb'!UTW94</f>
        <v>0</v>
      </c>
      <c r="UTT36" s="17">
        <f>'Form-Sb'!UTX94</f>
        <v>0</v>
      </c>
      <c r="UTU36" s="17">
        <f>'Form-Sb'!UTY94</f>
        <v>0</v>
      </c>
      <c r="UTV36" s="17">
        <f>'Form-Sb'!UTZ94</f>
        <v>0</v>
      </c>
      <c r="UTW36" s="17">
        <f>'Form-Sb'!UUA94</f>
        <v>0</v>
      </c>
      <c r="UTX36" s="17">
        <f>'Form-Sb'!UUB94</f>
        <v>0</v>
      </c>
      <c r="UTY36" s="17">
        <f>'Form-Sb'!UUC94</f>
        <v>0</v>
      </c>
      <c r="UTZ36" s="17">
        <f>'Form-Sb'!UUD94</f>
        <v>0</v>
      </c>
      <c r="UUA36" s="17">
        <f>'Form-Sb'!UUE94</f>
        <v>0</v>
      </c>
      <c r="UUB36" s="17">
        <f>'Form-Sb'!UUF94</f>
        <v>0</v>
      </c>
      <c r="UUC36" s="17">
        <f>'Form-Sb'!UUG94</f>
        <v>0</v>
      </c>
      <c r="UUD36" s="17">
        <f>'Form-Sb'!UUH94</f>
        <v>0</v>
      </c>
      <c r="UUE36" s="17">
        <f>'Form-Sb'!UUI94</f>
        <v>0</v>
      </c>
      <c r="UUF36" s="17">
        <f>'Form-Sb'!UUJ94</f>
        <v>0</v>
      </c>
      <c r="UUG36" s="17">
        <f>'Form-Sb'!UUK94</f>
        <v>0</v>
      </c>
      <c r="UUH36" s="17">
        <f>'Form-Sb'!UUL94</f>
        <v>0</v>
      </c>
      <c r="UUI36" s="17">
        <f>'Form-Sb'!UUM94</f>
        <v>0</v>
      </c>
      <c r="UUJ36" s="17">
        <f>'Form-Sb'!UUN94</f>
        <v>0</v>
      </c>
      <c r="UUK36" s="17">
        <f>'Form-Sb'!UUO94</f>
        <v>0</v>
      </c>
      <c r="UUL36" s="17">
        <f>'Form-Sb'!UUP94</f>
        <v>0</v>
      </c>
      <c r="UUM36" s="17">
        <f>'Form-Sb'!UUQ94</f>
        <v>0</v>
      </c>
      <c r="UUN36" s="17">
        <f>'Form-Sb'!UUR94</f>
        <v>0</v>
      </c>
      <c r="UUO36" s="17">
        <f>'Form-Sb'!UUS94</f>
        <v>0</v>
      </c>
      <c r="UUP36" s="17">
        <f>'Form-Sb'!UUT94</f>
        <v>0</v>
      </c>
      <c r="UUQ36" s="17">
        <f>'Form-Sb'!UUU94</f>
        <v>0</v>
      </c>
      <c r="UUR36" s="17">
        <f>'Form-Sb'!UUV94</f>
        <v>0</v>
      </c>
      <c r="UUS36" s="17">
        <f>'Form-Sb'!UUW94</f>
        <v>0</v>
      </c>
      <c r="UUT36" s="17">
        <f>'Form-Sb'!UUX94</f>
        <v>0</v>
      </c>
      <c r="UUU36" s="17">
        <f>'Form-Sb'!UUY94</f>
        <v>0</v>
      </c>
      <c r="UUV36" s="17">
        <f>'Form-Sb'!UUZ94</f>
        <v>0</v>
      </c>
      <c r="UUW36" s="17">
        <f>'Form-Sb'!UVA94</f>
        <v>0</v>
      </c>
      <c r="UUX36" s="17">
        <f>'Form-Sb'!UVB94</f>
        <v>0</v>
      </c>
      <c r="UUY36" s="17">
        <f>'Form-Sb'!UVC94</f>
        <v>0</v>
      </c>
      <c r="UUZ36" s="17">
        <f>'Form-Sb'!UVD94</f>
        <v>0</v>
      </c>
      <c r="UVA36" s="17">
        <f>'Form-Sb'!UVE94</f>
        <v>0</v>
      </c>
      <c r="UVB36" s="17">
        <f>'Form-Sb'!UVF94</f>
        <v>0</v>
      </c>
      <c r="UVC36" s="17">
        <f>'Form-Sb'!UVG94</f>
        <v>0</v>
      </c>
      <c r="UVD36" s="17">
        <f>'Form-Sb'!UVH94</f>
        <v>0</v>
      </c>
      <c r="UVE36" s="17">
        <f>'Form-Sb'!UVI94</f>
        <v>0</v>
      </c>
      <c r="UVF36" s="17">
        <f>'Form-Sb'!UVJ94</f>
        <v>0</v>
      </c>
      <c r="UVG36" s="17">
        <f>'Form-Sb'!UVK94</f>
        <v>0</v>
      </c>
      <c r="UVH36" s="17">
        <f>'Form-Sb'!UVL94</f>
        <v>0</v>
      </c>
      <c r="UVI36" s="17">
        <f>'Form-Sb'!UVM94</f>
        <v>0</v>
      </c>
      <c r="UVJ36" s="17">
        <f>'Form-Sb'!UVN94</f>
        <v>0</v>
      </c>
      <c r="UVK36" s="17">
        <f>'Form-Sb'!UVO94</f>
        <v>0</v>
      </c>
      <c r="UVL36" s="17">
        <f>'Form-Sb'!UVP94</f>
        <v>0</v>
      </c>
      <c r="UVM36" s="17">
        <f>'Form-Sb'!UVQ94</f>
        <v>0</v>
      </c>
      <c r="UVN36" s="17">
        <f>'Form-Sb'!UVR94</f>
        <v>0</v>
      </c>
      <c r="UVO36" s="17">
        <f>'Form-Sb'!UVS94</f>
        <v>0</v>
      </c>
      <c r="UVP36" s="17">
        <f>'Form-Sb'!UVT94</f>
        <v>0</v>
      </c>
      <c r="UVQ36" s="17">
        <f>'Form-Sb'!UVU94</f>
        <v>0</v>
      </c>
      <c r="UVR36" s="17">
        <f>'Form-Sb'!UVV94</f>
        <v>0</v>
      </c>
      <c r="UVS36" s="17">
        <f>'Form-Sb'!UVW94</f>
        <v>0</v>
      </c>
      <c r="UVT36" s="17">
        <f>'Form-Sb'!UVX94</f>
        <v>0</v>
      </c>
      <c r="UVU36" s="17">
        <f>'Form-Sb'!UVY94</f>
        <v>0</v>
      </c>
      <c r="UVV36" s="17">
        <f>'Form-Sb'!UVZ94</f>
        <v>0</v>
      </c>
      <c r="UVW36" s="17">
        <f>'Form-Sb'!UWA94</f>
        <v>0</v>
      </c>
      <c r="UVX36" s="17">
        <f>'Form-Sb'!UWB94</f>
        <v>0</v>
      </c>
      <c r="UVY36" s="17">
        <f>'Form-Sb'!UWC94</f>
        <v>0</v>
      </c>
      <c r="UVZ36" s="17">
        <f>'Form-Sb'!UWD94</f>
        <v>0</v>
      </c>
      <c r="UWA36" s="17">
        <f>'Form-Sb'!UWE94</f>
        <v>0</v>
      </c>
      <c r="UWB36" s="17">
        <f>'Form-Sb'!UWF94</f>
        <v>0</v>
      </c>
      <c r="UWC36" s="17">
        <f>'Form-Sb'!UWG94</f>
        <v>0</v>
      </c>
      <c r="UWD36" s="17">
        <f>'Form-Sb'!UWH94</f>
        <v>0</v>
      </c>
      <c r="UWE36" s="17">
        <f>'Form-Sb'!UWI94</f>
        <v>0</v>
      </c>
      <c r="UWF36" s="17">
        <f>'Form-Sb'!UWJ94</f>
        <v>0</v>
      </c>
      <c r="UWG36" s="17">
        <f>'Form-Sb'!UWK94</f>
        <v>0</v>
      </c>
      <c r="UWH36" s="17">
        <f>'Form-Sb'!UWL94</f>
        <v>0</v>
      </c>
      <c r="UWI36" s="17">
        <f>'Form-Sb'!UWM94</f>
        <v>0</v>
      </c>
      <c r="UWJ36" s="17">
        <f>'Form-Sb'!UWN94</f>
        <v>0</v>
      </c>
      <c r="UWK36" s="17">
        <f>'Form-Sb'!UWO94</f>
        <v>0</v>
      </c>
      <c r="UWL36" s="17">
        <f>'Form-Sb'!UWP94</f>
        <v>0</v>
      </c>
      <c r="UWM36" s="17">
        <f>'Form-Sb'!UWQ94</f>
        <v>0</v>
      </c>
      <c r="UWN36" s="17">
        <f>'Form-Sb'!UWR94</f>
        <v>0</v>
      </c>
      <c r="UWO36" s="17">
        <f>'Form-Sb'!UWS94</f>
        <v>0</v>
      </c>
      <c r="UWP36" s="17">
        <f>'Form-Sb'!UWT94</f>
        <v>0</v>
      </c>
      <c r="UWQ36" s="17">
        <f>'Form-Sb'!UWU94</f>
        <v>0</v>
      </c>
      <c r="UWR36" s="17">
        <f>'Form-Sb'!UWV94</f>
        <v>0</v>
      </c>
      <c r="UWS36" s="17">
        <f>'Form-Sb'!UWW94</f>
        <v>0</v>
      </c>
      <c r="UWT36" s="17">
        <f>'Form-Sb'!UWX94</f>
        <v>0</v>
      </c>
      <c r="UWU36" s="17">
        <f>'Form-Sb'!UWY94</f>
        <v>0</v>
      </c>
      <c r="UWV36" s="17">
        <f>'Form-Sb'!UWZ94</f>
        <v>0</v>
      </c>
      <c r="UWW36" s="17">
        <f>'Form-Sb'!UXA94</f>
        <v>0</v>
      </c>
      <c r="UWX36" s="17">
        <f>'Form-Sb'!UXB94</f>
        <v>0</v>
      </c>
      <c r="UWY36" s="17">
        <f>'Form-Sb'!UXC94</f>
        <v>0</v>
      </c>
      <c r="UWZ36" s="17">
        <f>'Form-Sb'!UXD94</f>
        <v>0</v>
      </c>
      <c r="UXA36" s="17">
        <f>'Form-Sb'!UXE94</f>
        <v>0</v>
      </c>
      <c r="UXB36" s="17">
        <f>'Form-Sb'!UXF94</f>
        <v>0</v>
      </c>
      <c r="UXC36" s="17">
        <f>'Form-Sb'!UXG94</f>
        <v>0</v>
      </c>
      <c r="UXD36" s="17">
        <f>'Form-Sb'!UXH94</f>
        <v>0</v>
      </c>
      <c r="UXE36" s="17">
        <f>'Form-Sb'!UXI94</f>
        <v>0</v>
      </c>
      <c r="UXF36" s="17">
        <f>'Form-Sb'!UXJ94</f>
        <v>0</v>
      </c>
      <c r="UXG36" s="17">
        <f>'Form-Sb'!UXK94</f>
        <v>0</v>
      </c>
      <c r="UXH36" s="17">
        <f>'Form-Sb'!UXL94</f>
        <v>0</v>
      </c>
      <c r="UXI36" s="17">
        <f>'Form-Sb'!UXM94</f>
        <v>0</v>
      </c>
      <c r="UXJ36" s="17">
        <f>'Form-Sb'!UXN94</f>
        <v>0</v>
      </c>
      <c r="UXK36" s="17">
        <f>'Form-Sb'!UXO94</f>
        <v>0</v>
      </c>
      <c r="UXL36" s="17">
        <f>'Form-Sb'!UXP94</f>
        <v>0</v>
      </c>
      <c r="UXM36" s="17">
        <f>'Form-Sb'!UXQ94</f>
        <v>0</v>
      </c>
      <c r="UXN36" s="17">
        <f>'Form-Sb'!UXR94</f>
        <v>0</v>
      </c>
      <c r="UXO36" s="17">
        <f>'Form-Sb'!UXS94</f>
        <v>0</v>
      </c>
      <c r="UXP36" s="17">
        <f>'Form-Sb'!UXT94</f>
        <v>0</v>
      </c>
      <c r="UXQ36" s="17">
        <f>'Form-Sb'!UXU94</f>
        <v>0</v>
      </c>
      <c r="UXR36" s="17">
        <f>'Form-Sb'!UXV94</f>
        <v>0</v>
      </c>
      <c r="UXS36" s="17">
        <f>'Form-Sb'!UXW94</f>
        <v>0</v>
      </c>
      <c r="UXT36" s="17">
        <f>'Form-Sb'!UXX94</f>
        <v>0</v>
      </c>
      <c r="UXU36" s="17">
        <f>'Form-Sb'!UXY94</f>
        <v>0</v>
      </c>
      <c r="UXV36" s="17">
        <f>'Form-Sb'!UXZ94</f>
        <v>0</v>
      </c>
      <c r="UXW36" s="17">
        <f>'Form-Sb'!UYA94</f>
        <v>0</v>
      </c>
      <c r="UXX36" s="17">
        <f>'Form-Sb'!UYB94</f>
        <v>0</v>
      </c>
      <c r="UXY36" s="17">
        <f>'Form-Sb'!UYC94</f>
        <v>0</v>
      </c>
      <c r="UXZ36" s="17">
        <f>'Form-Sb'!UYD94</f>
        <v>0</v>
      </c>
      <c r="UYA36" s="17">
        <f>'Form-Sb'!UYE94</f>
        <v>0</v>
      </c>
      <c r="UYB36" s="17">
        <f>'Form-Sb'!UYF94</f>
        <v>0</v>
      </c>
      <c r="UYC36" s="17">
        <f>'Form-Sb'!UYG94</f>
        <v>0</v>
      </c>
      <c r="UYD36" s="17">
        <f>'Form-Sb'!UYH94</f>
        <v>0</v>
      </c>
      <c r="UYE36" s="17">
        <f>'Form-Sb'!UYI94</f>
        <v>0</v>
      </c>
      <c r="UYF36" s="17">
        <f>'Form-Sb'!UYJ94</f>
        <v>0</v>
      </c>
      <c r="UYG36" s="17">
        <f>'Form-Sb'!UYK94</f>
        <v>0</v>
      </c>
      <c r="UYH36" s="17">
        <f>'Form-Sb'!UYL94</f>
        <v>0</v>
      </c>
      <c r="UYI36" s="17">
        <f>'Form-Sb'!UYM94</f>
        <v>0</v>
      </c>
      <c r="UYJ36" s="17">
        <f>'Form-Sb'!UYN94</f>
        <v>0</v>
      </c>
      <c r="UYK36" s="17">
        <f>'Form-Sb'!UYO94</f>
        <v>0</v>
      </c>
      <c r="UYL36" s="17">
        <f>'Form-Sb'!UYP94</f>
        <v>0</v>
      </c>
      <c r="UYM36" s="17">
        <f>'Form-Sb'!UYQ94</f>
        <v>0</v>
      </c>
      <c r="UYN36" s="17">
        <f>'Form-Sb'!UYR94</f>
        <v>0</v>
      </c>
      <c r="UYO36" s="17">
        <f>'Form-Sb'!UYS94</f>
        <v>0</v>
      </c>
      <c r="UYP36" s="17">
        <f>'Form-Sb'!UYT94</f>
        <v>0</v>
      </c>
      <c r="UYQ36" s="17">
        <f>'Form-Sb'!UYU94</f>
        <v>0</v>
      </c>
      <c r="UYR36" s="17">
        <f>'Form-Sb'!UYV94</f>
        <v>0</v>
      </c>
      <c r="UYS36" s="17">
        <f>'Form-Sb'!UYW94</f>
        <v>0</v>
      </c>
      <c r="UYT36" s="17">
        <f>'Form-Sb'!UYX94</f>
        <v>0</v>
      </c>
      <c r="UYU36" s="17">
        <f>'Form-Sb'!UYY94</f>
        <v>0</v>
      </c>
      <c r="UYV36" s="17">
        <f>'Form-Sb'!UYZ94</f>
        <v>0</v>
      </c>
      <c r="UYW36" s="17">
        <f>'Form-Sb'!UZA94</f>
        <v>0</v>
      </c>
      <c r="UYX36" s="17">
        <f>'Form-Sb'!UZB94</f>
        <v>0</v>
      </c>
      <c r="UYY36" s="17">
        <f>'Form-Sb'!UZC94</f>
        <v>0</v>
      </c>
      <c r="UYZ36" s="17">
        <f>'Form-Sb'!UZD94</f>
        <v>0</v>
      </c>
      <c r="UZA36" s="17">
        <f>'Form-Sb'!UZE94</f>
        <v>0</v>
      </c>
      <c r="UZB36" s="17">
        <f>'Form-Sb'!UZF94</f>
        <v>0</v>
      </c>
      <c r="UZC36" s="17">
        <f>'Form-Sb'!UZG94</f>
        <v>0</v>
      </c>
      <c r="UZD36" s="17">
        <f>'Form-Sb'!UZH94</f>
        <v>0</v>
      </c>
      <c r="UZE36" s="17">
        <f>'Form-Sb'!UZI94</f>
        <v>0</v>
      </c>
      <c r="UZF36" s="17">
        <f>'Form-Sb'!UZJ94</f>
        <v>0</v>
      </c>
      <c r="UZG36" s="17">
        <f>'Form-Sb'!UZK94</f>
        <v>0</v>
      </c>
      <c r="UZH36" s="17">
        <f>'Form-Sb'!UZL94</f>
        <v>0</v>
      </c>
      <c r="UZI36" s="17">
        <f>'Form-Sb'!UZM94</f>
        <v>0</v>
      </c>
      <c r="UZJ36" s="17">
        <f>'Form-Sb'!UZN94</f>
        <v>0</v>
      </c>
      <c r="UZK36" s="17">
        <f>'Form-Sb'!UZO94</f>
        <v>0</v>
      </c>
      <c r="UZL36" s="17">
        <f>'Form-Sb'!UZP94</f>
        <v>0</v>
      </c>
      <c r="UZM36" s="17">
        <f>'Form-Sb'!UZQ94</f>
        <v>0</v>
      </c>
      <c r="UZN36" s="17">
        <f>'Form-Sb'!UZR94</f>
        <v>0</v>
      </c>
      <c r="UZO36" s="17">
        <f>'Form-Sb'!UZS94</f>
        <v>0</v>
      </c>
      <c r="UZP36" s="17">
        <f>'Form-Sb'!UZT94</f>
        <v>0</v>
      </c>
      <c r="UZQ36" s="17">
        <f>'Form-Sb'!UZU94</f>
        <v>0</v>
      </c>
      <c r="UZR36" s="17">
        <f>'Form-Sb'!UZV94</f>
        <v>0</v>
      </c>
      <c r="UZS36" s="17">
        <f>'Form-Sb'!UZW94</f>
        <v>0</v>
      </c>
      <c r="UZT36" s="17">
        <f>'Form-Sb'!UZX94</f>
        <v>0</v>
      </c>
      <c r="UZU36" s="17">
        <f>'Form-Sb'!UZY94</f>
        <v>0</v>
      </c>
      <c r="UZV36" s="17">
        <f>'Form-Sb'!UZZ94</f>
        <v>0</v>
      </c>
      <c r="UZW36" s="17">
        <f>'Form-Sb'!VAA94</f>
        <v>0</v>
      </c>
      <c r="UZX36" s="17">
        <f>'Form-Sb'!VAB94</f>
        <v>0</v>
      </c>
      <c r="UZY36" s="17">
        <f>'Form-Sb'!VAC94</f>
        <v>0</v>
      </c>
      <c r="UZZ36" s="17">
        <f>'Form-Sb'!VAD94</f>
        <v>0</v>
      </c>
      <c r="VAA36" s="17">
        <f>'Form-Sb'!VAE94</f>
        <v>0</v>
      </c>
      <c r="VAB36" s="17">
        <f>'Form-Sb'!VAF94</f>
        <v>0</v>
      </c>
      <c r="VAC36" s="17">
        <f>'Form-Sb'!VAG94</f>
        <v>0</v>
      </c>
      <c r="VAD36" s="17">
        <f>'Form-Sb'!VAH94</f>
        <v>0</v>
      </c>
      <c r="VAE36" s="17">
        <f>'Form-Sb'!VAI94</f>
        <v>0</v>
      </c>
      <c r="VAF36" s="17">
        <f>'Form-Sb'!VAJ94</f>
        <v>0</v>
      </c>
      <c r="VAG36" s="17">
        <f>'Form-Sb'!VAK94</f>
        <v>0</v>
      </c>
      <c r="VAH36" s="17">
        <f>'Form-Sb'!VAL94</f>
        <v>0</v>
      </c>
      <c r="VAI36" s="17">
        <f>'Form-Sb'!VAM94</f>
        <v>0</v>
      </c>
      <c r="VAJ36" s="17">
        <f>'Form-Sb'!VAN94</f>
        <v>0</v>
      </c>
      <c r="VAK36" s="17">
        <f>'Form-Sb'!VAO94</f>
        <v>0</v>
      </c>
      <c r="VAL36" s="17">
        <f>'Form-Sb'!VAP94</f>
        <v>0</v>
      </c>
      <c r="VAM36" s="17">
        <f>'Form-Sb'!VAQ94</f>
        <v>0</v>
      </c>
      <c r="VAN36" s="17">
        <f>'Form-Sb'!VAR94</f>
        <v>0</v>
      </c>
      <c r="VAO36" s="17">
        <f>'Form-Sb'!VAS94</f>
        <v>0</v>
      </c>
      <c r="VAP36" s="17">
        <f>'Form-Sb'!VAT94</f>
        <v>0</v>
      </c>
      <c r="VAQ36" s="17">
        <f>'Form-Sb'!VAU94</f>
        <v>0</v>
      </c>
      <c r="VAR36" s="17">
        <f>'Form-Sb'!VAV94</f>
        <v>0</v>
      </c>
      <c r="VAS36" s="17">
        <f>'Form-Sb'!VAW94</f>
        <v>0</v>
      </c>
      <c r="VAT36" s="17">
        <f>'Form-Sb'!VAX94</f>
        <v>0</v>
      </c>
      <c r="VAU36" s="17">
        <f>'Form-Sb'!VAY94</f>
        <v>0</v>
      </c>
      <c r="VAV36" s="17">
        <f>'Form-Sb'!VAZ94</f>
        <v>0</v>
      </c>
      <c r="VAW36" s="17">
        <f>'Form-Sb'!VBA94</f>
        <v>0</v>
      </c>
      <c r="VAX36" s="17">
        <f>'Form-Sb'!VBB94</f>
        <v>0</v>
      </c>
      <c r="VAY36" s="17">
        <f>'Form-Sb'!VBC94</f>
        <v>0</v>
      </c>
      <c r="VAZ36" s="17">
        <f>'Form-Sb'!VBD94</f>
        <v>0</v>
      </c>
      <c r="VBA36" s="17">
        <f>'Form-Sb'!VBE94</f>
        <v>0</v>
      </c>
      <c r="VBB36" s="17">
        <f>'Form-Sb'!VBF94</f>
        <v>0</v>
      </c>
      <c r="VBC36" s="17">
        <f>'Form-Sb'!VBG94</f>
        <v>0</v>
      </c>
      <c r="VBD36" s="17">
        <f>'Form-Sb'!VBH94</f>
        <v>0</v>
      </c>
      <c r="VBE36" s="17">
        <f>'Form-Sb'!VBI94</f>
        <v>0</v>
      </c>
      <c r="VBF36" s="17">
        <f>'Form-Sb'!VBJ94</f>
        <v>0</v>
      </c>
      <c r="VBG36" s="17">
        <f>'Form-Sb'!VBK94</f>
        <v>0</v>
      </c>
      <c r="VBH36" s="17">
        <f>'Form-Sb'!VBL94</f>
        <v>0</v>
      </c>
      <c r="VBI36" s="17">
        <f>'Form-Sb'!VBM94</f>
        <v>0</v>
      </c>
      <c r="VBJ36" s="17">
        <f>'Form-Sb'!VBN94</f>
        <v>0</v>
      </c>
      <c r="VBK36" s="17">
        <f>'Form-Sb'!VBO94</f>
        <v>0</v>
      </c>
      <c r="VBL36" s="17">
        <f>'Form-Sb'!VBP94</f>
        <v>0</v>
      </c>
      <c r="VBM36" s="17">
        <f>'Form-Sb'!VBQ94</f>
        <v>0</v>
      </c>
      <c r="VBN36" s="17">
        <f>'Form-Sb'!VBR94</f>
        <v>0</v>
      </c>
      <c r="VBO36" s="17">
        <f>'Form-Sb'!VBS94</f>
        <v>0</v>
      </c>
      <c r="VBP36" s="17">
        <f>'Form-Sb'!VBT94</f>
        <v>0</v>
      </c>
      <c r="VBQ36" s="17">
        <f>'Form-Sb'!VBU94</f>
        <v>0</v>
      </c>
      <c r="VBR36" s="17">
        <f>'Form-Sb'!VBV94</f>
        <v>0</v>
      </c>
      <c r="VBS36" s="17">
        <f>'Form-Sb'!VBW94</f>
        <v>0</v>
      </c>
      <c r="VBT36" s="17">
        <f>'Form-Sb'!VBX94</f>
        <v>0</v>
      </c>
      <c r="VBU36" s="17">
        <f>'Form-Sb'!VBY94</f>
        <v>0</v>
      </c>
      <c r="VBV36" s="17">
        <f>'Form-Sb'!VBZ94</f>
        <v>0</v>
      </c>
      <c r="VBW36" s="17">
        <f>'Form-Sb'!VCA94</f>
        <v>0</v>
      </c>
      <c r="VBX36" s="17">
        <f>'Form-Sb'!VCB94</f>
        <v>0</v>
      </c>
      <c r="VBY36" s="17">
        <f>'Form-Sb'!VCC94</f>
        <v>0</v>
      </c>
      <c r="VBZ36" s="17">
        <f>'Form-Sb'!VCD94</f>
        <v>0</v>
      </c>
      <c r="VCA36" s="17">
        <f>'Form-Sb'!VCE94</f>
        <v>0</v>
      </c>
      <c r="VCB36" s="17">
        <f>'Form-Sb'!VCF94</f>
        <v>0</v>
      </c>
      <c r="VCC36" s="17">
        <f>'Form-Sb'!VCG94</f>
        <v>0</v>
      </c>
      <c r="VCD36" s="17">
        <f>'Form-Sb'!VCH94</f>
        <v>0</v>
      </c>
      <c r="VCE36" s="17">
        <f>'Form-Sb'!VCI94</f>
        <v>0</v>
      </c>
      <c r="VCF36" s="17">
        <f>'Form-Sb'!VCJ94</f>
        <v>0</v>
      </c>
      <c r="VCG36" s="17">
        <f>'Form-Sb'!VCK94</f>
        <v>0</v>
      </c>
      <c r="VCH36" s="17">
        <f>'Form-Sb'!VCL94</f>
        <v>0</v>
      </c>
      <c r="VCI36" s="17">
        <f>'Form-Sb'!VCM94</f>
        <v>0</v>
      </c>
      <c r="VCJ36" s="17">
        <f>'Form-Sb'!VCN94</f>
        <v>0</v>
      </c>
      <c r="VCK36" s="17">
        <f>'Form-Sb'!VCO94</f>
        <v>0</v>
      </c>
      <c r="VCL36" s="17">
        <f>'Form-Sb'!VCP94</f>
        <v>0</v>
      </c>
      <c r="VCM36" s="17">
        <f>'Form-Sb'!VCQ94</f>
        <v>0</v>
      </c>
      <c r="VCN36" s="17">
        <f>'Form-Sb'!VCR94</f>
        <v>0</v>
      </c>
      <c r="VCO36" s="17">
        <f>'Form-Sb'!VCS94</f>
        <v>0</v>
      </c>
      <c r="VCP36" s="17">
        <f>'Form-Sb'!VCT94</f>
        <v>0</v>
      </c>
      <c r="VCQ36" s="17">
        <f>'Form-Sb'!VCU94</f>
        <v>0</v>
      </c>
      <c r="VCR36" s="17">
        <f>'Form-Sb'!VCV94</f>
        <v>0</v>
      </c>
      <c r="VCS36" s="17">
        <f>'Form-Sb'!VCW94</f>
        <v>0</v>
      </c>
      <c r="VCT36" s="17">
        <f>'Form-Sb'!VCX94</f>
        <v>0</v>
      </c>
      <c r="VCU36" s="17">
        <f>'Form-Sb'!VCY94</f>
        <v>0</v>
      </c>
      <c r="VCV36" s="17">
        <f>'Form-Sb'!VCZ94</f>
        <v>0</v>
      </c>
      <c r="VCW36" s="17">
        <f>'Form-Sb'!VDA94</f>
        <v>0</v>
      </c>
      <c r="VCX36" s="17">
        <f>'Form-Sb'!VDB94</f>
        <v>0</v>
      </c>
      <c r="VCY36" s="17">
        <f>'Form-Sb'!VDC94</f>
        <v>0</v>
      </c>
      <c r="VCZ36" s="17">
        <f>'Form-Sb'!VDD94</f>
        <v>0</v>
      </c>
      <c r="VDA36" s="17">
        <f>'Form-Sb'!VDE94</f>
        <v>0</v>
      </c>
      <c r="VDB36" s="17">
        <f>'Form-Sb'!VDF94</f>
        <v>0</v>
      </c>
      <c r="VDC36" s="17">
        <f>'Form-Sb'!VDG94</f>
        <v>0</v>
      </c>
      <c r="VDD36" s="17">
        <f>'Form-Sb'!VDH94</f>
        <v>0</v>
      </c>
      <c r="VDE36" s="17">
        <f>'Form-Sb'!VDI94</f>
        <v>0</v>
      </c>
      <c r="VDF36" s="17">
        <f>'Form-Sb'!VDJ94</f>
        <v>0</v>
      </c>
      <c r="VDG36" s="17">
        <f>'Form-Sb'!VDK94</f>
        <v>0</v>
      </c>
      <c r="VDH36" s="17">
        <f>'Form-Sb'!VDL94</f>
        <v>0</v>
      </c>
      <c r="VDI36" s="17">
        <f>'Form-Sb'!VDM94</f>
        <v>0</v>
      </c>
      <c r="VDJ36" s="17">
        <f>'Form-Sb'!VDN94</f>
        <v>0</v>
      </c>
      <c r="VDK36" s="17">
        <f>'Form-Sb'!VDO94</f>
        <v>0</v>
      </c>
      <c r="VDL36" s="17">
        <f>'Form-Sb'!VDP94</f>
        <v>0</v>
      </c>
      <c r="VDM36" s="17">
        <f>'Form-Sb'!VDQ94</f>
        <v>0</v>
      </c>
      <c r="VDN36" s="17">
        <f>'Form-Sb'!VDR94</f>
        <v>0</v>
      </c>
      <c r="VDO36" s="17">
        <f>'Form-Sb'!VDS94</f>
        <v>0</v>
      </c>
      <c r="VDP36" s="17">
        <f>'Form-Sb'!VDT94</f>
        <v>0</v>
      </c>
      <c r="VDQ36" s="17">
        <f>'Form-Sb'!VDU94</f>
        <v>0</v>
      </c>
      <c r="VDR36" s="17">
        <f>'Form-Sb'!VDV94</f>
        <v>0</v>
      </c>
      <c r="VDS36" s="17">
        <f>'Form-Sb'!VDW94</f>
        <v>0</v>
      </c>
      <c r="VDT36" s="17">
        <f>'Form-Sb'!VDX94</f>
        <v>0</v>
      </c>
      <c r="VDU36" s="17">
        <f>'Form-Sb'!VDY94</f>
        <v>0</v>
      </c>
      <c r="VDV36" s="17">
        <f>'Form-Sb'!VDZ94</f>
        <v>0</v>
      </c>
      <c r="VDW36" s="17">
        <f>'Form-Sb'!VEA94</f>
        <v>0</v>
      </c>
      <c r="VDX36" s="17">
        <f>'Form-Sb'!VEB94</f>
        <v>0</v>
      </c>
      <c r="VDY36" s="17">
        <f>'Form-Sb'!VEC94</f>
        <v>0</v>
      </c>
      <c r="VDZ36" s="17">
        <f>'Form-Sb'!VED94</f>
        <v>0</v>
      </c>
      <c r="VEA36" s="17">
        <f>'Form-Sb'!VEE94</f>
        <v>0</v>
      </c>
      <c r="VEB36" s="17">
        <f>'Form-Sb'!VEF94</f>
        <v>0</v>
      </c>
      <c r="VEC36" s="17">
        <f>'Form-Sb'!VEG94</f>
        <v>0</v>
      </c>
      <c r="VED36" s="17">
        <f>'Form-Sb'!VEH94</f>
        <v>0</v>
      </c>
      <c r="VEE36" s="17">
        <f>'Form-Sb'!VEI94</f>
        <v>0</v>
      </c>
      <c r="VEF36" s="17">
        <f>'Form-Sb'!VEJ94</f>
        <v>0</v>
      </c>
      <c r="VEG36" s="17">
        <f>'Form-Sb'!VEK94</f>
        <v>0</v>
      </c>
      <c r="VEH36" s="17">
        <f>'Form-Sb'!VEL94</f>
        <v>0</v>
      </c>
      <c r="VEI36" s="17">
        <f>'Form-Sb'!VEM94</f>
        <v>0</v>
      </c>
      <c r="VEJ36" s="17">
        <f>'Form-Sb'!VEN94</f>
        <v>0</v>
      </c>
      <c r="VEK36" s="17">
        <f>'Form-Sb'!VEO94</f>
        <v>0</v>
      </c>
      <c r="VEL36" s="17">
        <f>'Form-Sb'!VEP94</f>
        <v>0</v>
      </c>
      <c r="VEM36" s="17">
        <f>'Form-Sb'!VEQ94</f>
        <v>0</v>
      </c>
      <c r="VEN36" s="17">
        <f>'Form-Sb'!VER94</f>
        <v>0</v>
      </c>
      <c r="VEO36" s="17">
        <f>'Form-Sb'!VES94</f>
        <v>0</v>
      </c>
      <c r="VEP36" s="17">
        <f>'Form-Sb'!VET94</f>
        <v>0</v>
      </c>
      <c r="VEQ36" s="17">
        <f>'Form-Sb'!VEU94</f>
        <v>0</v>
      </c>
      <c r="VER36" s="17">
        <f>'Form-Sb'!VEV94</f>
        <v>0</v>
      </c>
      <c r="VES36" s="17">
        <f>'Form-Sb'!VEW94</f>
        <v>0</v>
      </c>
      <c r="VET36" s="17">
        <f>'Form-Sb'!VEX94</f>
        <v>0</v>
      </c>
      <c r="VEU36" s="17">
        <f>'Form-Sb'!VEY94</f>
        <v>0</v>
      </c>
      <c r="VEV36" s="17">
        <f>'Form-Sb'!VEZ94</f>
        <v>0</v>
      </c>
      <c r="VEW36" s="17">
        <f>'Form-Sb'!VFA94</f>
        <v>0</v>
      </c>
      <c r="VEX36" s="17">
        <f>'Form-Sb'!VFB94</f>
        <v>0</v>
      </c>
      <c r="VEY36" s="17">
        <f>'Form-Sb'!VFC94</f>
        <v>0</v>
      </c>
      <c r="VEZ36" s="17">
        <f>'Form-Sb'!VFD94</f>
        <v>0</v>
      </c>
      <c r="VFA36" s="17">
        <f>'Form-Sb'!VFE94</f>
        <v>0</v>
      </c>
      <c r="VFB36" s="17">
        <f>'Form-Sb'!VFF94</f>
        <v>0</v>
      </c>
      <c r="VFC36" s="17">
        <f>'Form-Sb'!VFG94</f>
        <v>0</v>
      </c>
      <c r="VFD36" s="17">
        <f>'Form-Sb'!VFH94</f>
        <v>0</v>
      </c>
      <c r="VFE36" s="17">
        <f>'Form-Sb'!VFI94</f>
        <v>0</v>
      </c>
      <c r="VFF36" s="17">
        <f>'Form-Sb'!VFJ94</f>
        <v>0</v>
      </c>
      <c r="VFG36" s="17">
        <f>'Form-Sb'!VFK94</f>
        <v>0</v>
      </c>
      <c r="VFH36" s="17">
        <f>'Form-Sb'!VFL94</f>
        <v>0</v>
      </c>
      <c r="VFI36" s="17">
        <f>'Form-Sb'!VFM94</f>
        <v>0</v>
      </c>
      <c r="VFJ36" s="17">
        <f>'Form-Sb'!VFN94</f>
        <v>0</v>
      </c>
      <c r="VFK36" s="17">
        <f>'Form-Sb'!VFO94</f>
        <v>0</v>
      </c>
      <c r="VFL36" s="17">
        <f>'Form-Sb'!VFP94</f>
        <v>0</v>
      </c>
      <c r="VFM36" s="17">
        <f>'Form-Sb'!VFQ94</f>
        <v>0</v>
      </c>
      <c r="VFN36" s="17">
        <f>'Form-Sb'!VFR94</f>
        <v>0</v>
      </c>
      <c r="VFO36" s="17">
        <f>'Form-Sb'!VFS94</f>
        <v>0</v>
      </c>
      <c r="VFP36" s="17">
        <f>'Form-Sb'!VFT94</f>
        <v>0</v>
      </c>
      <c r="VFQ36" s="17">
        <f>'Form-Sb'!VFU94</f>
        <v>0</v>
      </c>
      <c r="VFR36" s="17">
        <f>'Form-Sb'!VFV94</f>
        <v>0</v>
      </c>
      <c r="VFS36" s="17">
        <f>'Form-Sb'!VFW94</f>
        <v>0</v>
      </c>
      <c r="VFT36" s="17">
        <f>'Form-Sb'!VFX94</f>
        <v>0</v>
      </c>
      <c r="VFU36" s="17">
        <f>'Form-Sb'!VFY94</f>
        <v>0</v>
      </c>
      <c r="VFV36" s="17">
        <f>'Form-Sb'!VFZ94</f>
        <v>0</v>
      </c>
      <c r="VFW36" s="17">
        <f>'Form-Sb'!VGA94</f>
        <v>0</v>
      </c>
      <c r="VFX36" s="17">
        <f>'Form-Sb'!VGB94</f>
        <v>0</v>
      </c>
      <c r="VFY36" s="17">
        <f>'Form-Sb'!VGC94</f>
        <v>0</v>
      </c>
      <c r="VFZ36" s="17">
        <f>'Form-Sb'!VGD94</f>
        <v>0</v>
      </c>
      <c r="VGA36" s="17">
        <f>'Form-Sb'!VGE94</f>
        <v>0</v>
      </c>
      <c r="VGB36" s="17">
        <f>'Form-Sb'!VGF94</f>
        <v>0</v>
      </c>
      <c r="VGC36" s="17">
        <f>'Form-Sb'!VGG94</f>
        <v>0</v>
      </c>
      <c r="VGD36" s="17">
        <f>'Form-Sb'!VGH94</f>
        <v>0</v>
      </c>
      <c r="VGE36" s="17">
        <f>'Form-Sb'!VGI94</f>
        <v>0</v>
      </c>
      <c r="VGF36" s="17">
        <f>'Form-Sb'!VGJ94</f>
        <v>0</v>
      </c>
      <c r="VGG36" s="17">
        <f>'Form-Sb'!VGK94</f>
        <v>0</v>
      </c>
      <c r="VGH36" s="17">
        <f>'Form-Sb'!VGL94</f>
        <v>0</v>
      </c>
      <c r="VGI36" s="17">
        <f>'Form-Sb'!VGM94</f>
        <v>0</v>
      </c>
      <c r="VGJ36" s="17">
        <f>'Form-Sb'!VGN94</f>
        <v>0</v>
      </c>
      <c r="VGK36" s="17">
        <f>'Form-Sb'!VGO94</f>
        <v>0</v>
      </c>
      <c r="VGL36" s="17">
        <f>'Form-Sb'!VGP94</f>
        <v>0</v>
      </c>
      <c r="VGM36" s="17">
        <f>'Form-Sb'!VGQ94</f>
        <v>0</v>
      </c>
      <c r="VGN36" s="17">
        <f>'Form-Sb'!VGR94</f>
        <v>0</v>
      </c>
      <c r="VGO36" s="17">
        <f>'Form-Sb'!VGS94</f>
        <v>0</v>
      </c>
      <c r="VGP36" s="17">
        <f>'Form-Sb'!VGT94</f>
        <v>0</v>
      </c>
      <c r="VGQ36" s="17">
        <f>'Form-Sb'!VGU94</f>
        <v>0</v>
      </c>
      <c r="VGR36" s="17">
        <f>'Form-Sb'!VGV94</f>
        <v>0</v>
      </c>
      <c r="VGS36" s="17">
        <f>'Form-Sb'!VGW94</f>
        <v>0</v>
      </c>
      <c r="VGT36" s="17">
        <f>'Form-Sb'!VGX94</f>
        <v>0</v>
      </c>
      <c r="VGU36" s="17">
        <f>'Form-Sb'!VGY94</f>
        <v>0</v>
      </c>
      <c r="VGV36" s="17">
        <f>'Form-Sb'!VGZ94</f>
        <v>0</v>
      </c>
      <c r="VGW36" s="17">
        <f>'Form-Sb'!VHA94</f>
        <v>0</v>
      </c>
      <c r="VGX36" s="17">
        <f>'Form-Sb'!VHB94</f>
        <v>0</v>
      </c>
      <c r="VGY36" s="17">
        <f>'Form-Sb'!VHC94</f>
        <v>0</v>
      </c>
      <c r="VGZ36" s="17">
        <f>'Form-Sb'!VHD94</f>
        <v>0</v>
      </c>
      <c r="VHA36" s="17">
        <f>'Form-Sb'!VHE94</f>
        <v>0</v>
      </c>
      <c r="VHB36" s="17">
        <f>'Form-Sb'!VHF94</f>
        <v>0</v>
      </c>
      <c r="VHC36" s="17">
        <f>'Form-Sb'!VHG94</f>
        <v>0</v>
      </c>
      <c r="VHD36" s="17">
        <f>'Form-Sb'!VHH94</f>
        <v>0</v>
      </c>
      <c r="VHE36" s="17">
        <f>'Form-Sb'!VHI94</f>
        <v>0</v>
      </c>
      <c r="VHF36" s="17">
        <f>'Form-Sb'!VHJ94</f>
        <v>0</v>
      </c>
      <c r="VHG36" s="17">
        <f>'Form-Sb'!VHK94</f>
        <v>0</v>
      </c>
      <c r="VHH36" s="17">
        <f>'Form-Sb'!VHL94</f>
        <v>0</v>
      </c>
      <c r="VHI36" s="17">
        <f>'Form-Sb'!VHM94</f>
        <v>0</v>
      </c>
      <c r="VHJ36" s="17">
        <f>'Form-Sb'!VHN94</f>
        <v>0</v>
      </c>
      <c r="VHK36" s="17">
        <f>'Form-Sb'!VHO94</f>
        <v>0</v>
      </c>
      <c r="VHL36" s="17">
        <f>'Form-Sb'!VHP94</f>
        <v>0</v>
      </c>
      <c r="VHM36" s="17">
        <f>'Form-Sb'!VHQ94</f>
        <v>0</v>
      </c>
      <c r="VHN36" s="17">
        <f>'Form-Sb'!VHR94</f>
        <v>0</v>
      </c>
      <c r="VHO36" s="17">
        <f>'Form-Sb'!VHS94</f>
        <v>0</v>
      </c>
      <c r="VHP36" s="17">
        <f>'Form-Sb'!VHT94</f>
        <v>0</v>
      </c>
      <c r="VHQ36" s="17">
        <f>'Form-Sb'!VHU94</f>
        <v>0</v>
      </c>
      <c r="VHR36" s="17">
        <f>'Form-Sb'!VHV94</f>
        <v>0</v>
      </c>
      <c r="VHS36" s="17">
        <f>'Form-Sb'!VHW94</f>
        <v>0</v>
      </c>
      <c r="VHT36" s="17">
        <f>'Form-Sb'!VHX94</f>
        <v>0</v>
      </c>
      <c r="VHU36" s="17">
        <f>'Form-Sb'!VHY94</f>
        <v>0</v>
      </c>
      <c r="VHV36" s="17">
        <f>'Form-Sb'!VHZ94</f>
        <v>0</v>
      </c>
      <c r="VHW36" s="17">
        <f>'Form-Sb'!VIA94</f>
        <v>0</v>
      </c>
      <c r="VHX36" s="17">
        <f>'Form-Sb'!VIB94</f>
        <v>0</v>
      </c>
      <c r="VHY36" s="17">
        <f>'Form-Sb'!VIC94</f>
        <v>0</v>
      </c>
      <c r="VHZ36" s="17">
        <f>'Form-Sb'!VID94</f>
        <v>0</v>
      </c>
      <c r="VIA36" s="17">
        <f>'Form-Sb'!VIE94</f>
        <v>0</v>
      </c>
      <c r="VIB36" s="17">
        <f>'Form-Sb'!VIF94</f>
        <v>0</v>
      </c>
      <c r="VIC36" s="17">
        <f>'Form-Sb'!VIG94</f>
        <v>0</v>
      </c>
      <c r="VID36" s="17">
        <f>'Form-Sb'!VIH94</f>
        <v>0</v>
      </c>
      <c r="VIE36" s="17">
        <f>'Form-Sb'!VII94</f>
        <v>0</v>
      </c>
      <c r="VIF36" s="17">
        <f>'Form-Sb'!VIJ94</f>
        <v>0</v>
      </c>
      <c r="VIG36" s="17">
        <f>'Form-Sb'!VIK94</f>
        <v>0</v>
      </c>
      <c r="VIH36" s="17">
        <f>'Form-Sb'!VIL94</f>
        <v>0</v>
      </c>
      <c r="VII36" s="17">
        <f>'Form-Sb'!VIM94</f>
        <v>0</v>
      </c>
      <c r="VIJ36" s="17">
        <f>'Form-Sb'!VIN94</f>
        <v>0</v>
      </c>
      <c r="VIK36" s="17">
        <f>'Form-Sb'!VIO94</f>
        <v>0</v>
      </c>
      <c r="VIL36" s="17">
        <f>'Form-Sb'!VIP94</f>
        <v>0</v>
      </c>
      <c r="VIM36" s="17">
        <f>'Form-Sb'!VIQ94</f>
        <v>0</v>
      </c>
      <c r="VIN36" s="17">
        <f>'Form-Sb'!VIR94</f>
        <v>0</v>
      </c>
      <c r="VIO36" s="17">
        <f>'Form-Sb'!VIS94</f>
        <v>0</v>
      </c>
      <c r="VIP36" s="17">
        <f>'Form-Sb'!VIT94</f>
        <v>0</v>
      </c>
      <c r="VIQ36" s="17">
        <f>'Form-Sb'!VIU94</f>
        <v>0</v>
      </c>
      <c r="VIR36" s="17">
        <f>'Form-Sb'!VIV94</f>
        <v>0</v>
      </c>
      <c r="VIS36" s="17">
        <f>'Form-Sb'!VIW94</f>
        <v>0</v>
      </c>
      <c r="VIT36" s="17">
        <f>'Form-Sb'!VIX94</f>
        <v>0</v>
      </c>
      <c r="VIU36" s="17">
        <f>'Form-Sb'!VIY94</f>
        <v>0</v>
      </c>
      <c r="VIV36" s="17">
        <f>'Form-Sb'!VIZ94</f>
        <v>0</v>
      </c>
      <c r="VIW36" s="17">
        <f>'Form-Sb'!VJA94</f>
        <v>0</v>
      </c>
      <c r="VIX36" s="17">
        <f>'Form-Sb'!VJB94</f>
        <v>0</v>
      </c>
      <c r="VIY36" s="17">
        <f>'Form-Sb'!VJC94</f>
        <v>0</v>
      </c>
      <c r="VIZ36" s="17">
        <f>'Form-Sb'!VJD94</f>
        <v>0</v>
      </c>
      <c r="VJA36" s="17">
        <f>'Form-Sb'!VJE94</f>
        <v>0</v>
      </c>
      <c r="VJB36" s="17">
        <f>'Form-Sb'!VJF94</f>
        <v>0</v>
      </c>
      <c r="VJC36" s="17">
        <f>'Form-Sb'!VJG94</f>
        <v>0</v>
      </c>
      <c r="VJD36" s="17">
        <f>'Form-Sb'!VJH94</f>
        <v>0</v>
      </c>
      <c r="VJE36" s="17">
        <f>'Form-Sb'!VJI94</f>
        <v>0</v>
      </c>
      <c r="VJF36" s="17">
        <f>'Form-Sb'!VJJ94</f>
        <v>0</v>
      </c>
      <c r="VJG36" s="17">
        <f>'Form-Sb'!VJK94</f>
        <v>0</v>
      </c>
      <c r="VJH36" s="17">
        <f>'Form-Sb'!VJL94</f>
        <v>0</v>
      </c>
      <c r="VJI36" s="17">
        <f>'Form-Sb'!VJM94</f>
        <v>0</v>
      </c>
      <c r="VJJ36" s="17">
        <f>'Form-Sb'!VJN94</f>
        <v>0</v>
      </c>
      <c r="VJK36" s="17">
        <f>'Form-Sb'!VJO94</f>
        <v>0</v>
      </c>
      <c r="VJL36" s="17">
        <f>'Form-Sb'!VJP94</f>
        <v>0</v>
      </c>
      <c r="VJM36" s="17">
        <f>'Form-Sb'!VJQ94</f>
        <v>0</v>
      </c>
      <c r="VJN36" s="17">
        <f>'Form-Sb'!VJR94</f>
        <v>0</v>
      </c>
      <c r="VJO36" s="17">
        <f>'Form-Sb'!VJS94</f>
        <v>0</v>
      </c>
      <c r="VJP36" s="17">
        <f>'Form-Sb'!VJT94</f>
        <v>0</v>
      </c>
      <c r="VJQ36" s="17">
        <f>'Form-Sb'!VJU94</f>
        <v>0</v>
      </c>
      <c r="VJR36" s="17">
        <f>'Form-Sb'!VJV94</f>
        <v>0</v>
      </c>
      <c r="VJS36" s="17">
        <f>'Form-Sb'!VJW94</f>
        <v>0</v>
      </c>
      <c r="VJT36" s="17">
        <f>'Form-Sb'!VJX94</f>
        <v>0</v>
      </c>
      <c r="VJU36" s="17">
        <f>'Form-Sb'!VJY94</f>
        <v>0</v>
      </c>
      <c r="VJV36" s="17">
        <f>'Form-Sb'!VJZ94</f>
        <v>0</v>
      </c>
      <c r="VJW36" s="17">
        <f>'Form-Sb'!VKA94</f>
        <v>0</v>
      </c>
      <c r="VJX36" s="17">
        <f>'Form-Sb'!VKB94</f>
        <v>0</v>
      </c>
      <c r="VJY36" s="17">
        <f>'Form-Sb'!VKC94</f>
        <v>0</v>
      </c>
      <c r="VJZ36" s="17">
        <f>'Form-Sb'!VKD94</f>
        <v>0</v>
      </c>
      <c r="VKA36" s="17">
        <f>'Form-Sb'!VKE94</f>
        <v>0</v>
      </c>
      <c r="VKB36" s="17">
        <f>'Form-Sb'!VKF94</f>
        <v>0</v>
      </c>
      <c r="VKC36" s="17">
        <f>'Form-Sb'!VKG94</f>
        <v>0</v>
      </c>
      <c r="VKD36" s="17">
        <f>'Form-Sb'!VKH94</f>
        <v>0</v>
      </c>
      <c r="VKE36" s="17">
        <f>'Form-Sb'!VKI94</f>
        <v>0</v>
      </c>
      <c r="VKF36" s="17">
        <f>'Form-Sb'!VKJ94</f>
        <v>0</v>
      </c>
      <c r="VKG36" s="17">
        <f>'Form-Sb'!VKK94</f>
        <v>0</v>
      </c>
      <c r="VKH36" s="17">
        <f>'Form-Sb'!VKL94</f>
        <v>0</v>
      </c>
      <c r="VKI36" s="17">
        <f>'Form-Sb'!VKM94</f>
        <v>0</v>
      </c>
      <c r="VKJ36" s="17">
        <f>'Form-Sb'!VKN94</f>
        <v>0</v>
      </c>
      <c r="VKK36" s="17">
        <f>'Form-Sb'!VKO94</f>
        <v>0</v>
      </c>
      <c r="VKL36" s="17">
        <f>'Form-Sb'!VKP94</f>
        <v>0</v>
      </c>
      <c r="VKM36" s="17">
        <f>'Form-Sb'!VKQ94</f>
        <v>0</v>
      </c>
      <c r="VKN36" s="17">
        <f>'Form-Sb'!VKR94</f>
        <v>0</v>
      </c>
      <c r="VKO36" s="17">
        <f>'Form-Sb'!VKS94</f>
        <v>0</v>
      </c>
      <c r="VKP36" s="17">
        <f>'Form-Sb'!VKT94</f>
        <v>0</v>
      </c>
      <c r="VKQ36" s="17">
        <f>'Form-Sb'!VKU94</f>
        <v>0</v>
      </c>
      <c r="VKR36" s="17">
        <f>'Form-Sb'!VKV94</f>
        <v>0</v>
      </c>
      <c r="VKS36" s="17">
        <f>'Form-Sb'!VKW94</f>
        <v>0</v>
      </c>
      <c r="VKT36" s="17">
        <f>'Form-Sb'!VKX94</f>
        <v>0</v>
      </c>
      <c r="VKU36" s="17">
        <f>'Form-Sb'!VKY94</f>
        <v>0</v>
      </c>
      <c r="VKV36" s="17">
        <f>'Form-Sb'!VKZ94</f>
        <v>0</v>
      </c>
      <c r="VKW36" s="17">
        <f>'Form-Sb'!VLA94</f>
        <v>0</v>
      </c>
      <c r="VKX36" s="17">
        <f>'Form-Sb'!VLB94</f>
        <v>0</v>
      </c>
      <c r="VKY36" s="17">
        <f>'Form-Sb'!VLC94</f>
        <v>0</v>
      </c>
      <c r="VKZ36" s="17">
        <f>'Form-Sb'!VLD94</f>
        <v>0</v>
      </c>
      <c r="VLA36" s="17">
        <f>'Form-Sb'!VLE94</f>
        <v>0</v>
      </c>
      <c r="VLB36" s="17">
        <f>'Form-Sb'!VLF94</f>
        <v>0</v>
      </c>
      <c r="VLC36" s="17">
        <f>'Form-Sb'!VLG94</f>
        <v>0</v>
      </c>
      <c r="VLD36" s="17">
        <f>'Form-Sb'!VLH94</f>
        <v>0</v>
      </c>
      <c r="VLE36" s="17">
        <f>'Form-Sb'!VLI94</f>
        <v>0</v>
      </c>
      <c r="VLF36" s="17">
        <f>'Form-Sb'!VLJ94</f>
        <v>0</v>
      </c>
      <c r="VLG36" s="17">
        <f>'Form-Sb'!VLK94</f>
        <v>0</v>
      </c>
      <c r="VLH36" s="17">
        <f>'Form-Sb'!VLL94</f>
        <v>0</v>
      </c>
      <c r="VLI36" s="17">
        <f>'Form-Sb'!VLM94</f>
        <v>0</v>
      </c>
      <c r="VLJ36" s="17">
        <f>'Form-Sb'!VLN94</f>
        <v>0</v>
      </c>
      <c r="VLK36" s="17">
        <f>'Form-Sb'!VLO94</f>
        <v>0</v>
      </c>
      <c r="VLL36" s="17">
        <f>'Form-Sb'!VLP94</f>
        <v>0</v>
      </c>
      <c r="VLM36" s="17">
        <f>'Form-Sb'!VLQ94</f>
        <v>0</v>
      </c>
      <c r="VLN36" s="17">
        <f>'Form-Sb'!VLR94</f>
        <v>0</v>
      </c>
      <c r="VLO36" s="17">
        <f>'Form-Sb'!VLS94</f>
        <v>0</v>
      </c>
      <c r="VLP36" s="17">
        <f>'Form-Sb'!VLT94</f>
        <v>0</v>
      </c>
      <c r="VLQ36" s="17">
        <f>'Form-Sb'!VLU94</f>
        <v>0</v>
      </c>
      <c r="VLR36" s="17">
        <f>'Form-Sb'!VLV94</f>
        <v>0</v>
      </c>
      <c r="VLS36" s="17">
        <f>'Form-Sb'!VLW94</f>
        <v>0</v>
      </c>
      <c r="VLT36" s="17">
        <f>'Form-Sb'!VLX94</f>
        <v>0</v>
      </c>
      <c r="VLU36" s="17">
        <f>'Form-Sb'!VLY94</f>
        <v>0</v>
      </c>
      <c r="VLV36" s="17">
        <f>'Form-Sb'!VLZ94</f>
        <v>0</v>
      </c>
      <c r="VLW36" s="17">
        <f>'Form-Sb'!VMA94</f>
        <v>0</v>
      </c>
      <c r="VLX36" s="17">
        <f>'Form-Sb'!VMB94</f>
        <v>0</v>
      </c>
      <c r="VLY36" s="17">
        <f>'Form-Sb'!VMC94</f>
        <v>0</v>
      </c>
      <c r="VLZ36" s="17">
        <f>'Form-Sb'!VMD94</f>
        <v>0</v>
      </c>
      <c r="VMA36" s="17">
        <f>'Form-Sb'!VME94</f>
        <v>0</v>
      </c>
      <c r="VMB36" s="17">
        <f>'Form-Sb'!VMF94</f>
        <v>0</v>
      </c>
      <c r="VMC36" s="17">
        <f>'Form-Sb'!VMG94</f>
        <v>0</v>
      </c>
      <c r="VMD36" s="17">
        <f>'Form-Sb'!VMH94</f>
        <v>0</v>
      </c>
      <c r="VME36" s="17">
        <f>'Form-Sb'!VMI94</f>
        <v>0</v>
      </c>
      <c r="VMF36" s="17">
        <f>'Form-Sb'!VMJ94</f>
        <v>0</v>
      </c>
      <c r="VMG36" s="17">
        <f>'Form-Sb'!VMK94</f>
        <v>0</v>
      </c>
      <c r="VMH36" s="17">
        <f>'Form-Sb'!VML94</f>
        <v>0</v>
      </c>
      <c r="VMI36" s="17">
        <f>'Form-Sb'!VMM94</f>
        <v>0</v>
      </c>
      <c r="VMJ36" s="17">
        <f>'Form-Sb'!VMN94</f>
        <v>0</v>
      </c>
      <c r="VMK36" s="17">
        <f>'Form-Sb'!VMO94</f>
        <v>0</v>
      </c>
      <c r="VML36" s="17">
        <f>'Form-Sb'!VMP94</f>
        <v>0</v>
      </c>
      <c r="VMM36" s="17">
        <f>'Form-Sb'!VMQ94</f>
        <v>0</v>
      </c>
      <c r="VMN36" s="17">
        <f>'Form-Sb'!VMR94</f>
        <v>0</v>
      </c>
      <c r="VMO36" s="17">
        <f>'Form-Sb'!VMS94</f>
        <v>0</v>
      </c>
      <c r="VMP36" s="17">
        <f>'Form-Sb'!VMT94</f>
        <v>0</v>
      </c>
      <c r="VMQ36" s="17">
        <f>'Form-Sb'!VMU94</f>
        <v>0</v>
      </c>
      <c r="VMR36" s="17">
        <f>'Form-Sb'!VMV94</f>
        <v>0</v>
      </c>
      <c r="VMS36" s="17">
        <f>'Form-Sb'!VMW94</f>
        <v>0</v>
      </c>
      <c r="VMT36" s="17">
        <f>'Form-Sb'!VMX94</f>
        <v>0</v>
      </c>
      <c r="VMU36" s="17">
        <f>'Form-Sb'!VMY94</f>
        <v>0</v>
      </c>
      <c r="VMV36" s="17">
        <f>'Form-Sb'!VMZ94</f>
        <v>0</v>
      </c>
      <c r="VMW36" s="17">
        <f>'Form-Sb'!VNA94</f>
        <v>0</v>
      </c>
      <c r="VMX36" s="17">
        <f>'Form-Sb'!VNB94</f>
        <v>0</v>
      </c>
      <c r="VMY36" s="17">
        <f>'Form-Sb'!VNC94</f>
        <v>0</v>
      </c>
      <c r="VMZ36" s="17">
        <f>'Form-Sb'!VND94</f>
        <v>0</v>
      </c>
      <c r="VNA36" s="17">
        <f>'Form-Sb'!VNE94</f>
        <v>0</v>
      </c>
      <c r="VNB36" s="17">
        <f>'Form-Sb'!VNF94</f>
        <v>0</v>
      </c>
      <c r="VNC36" s="17">
        <f>'Form-Sb'!VNG94</f>
        <v>0</v>
      </c>
      <c r="VND36" s="17">
        <f>'Form-Sb'!VNH94</f>
        <v>0</v>
      </c>
      <c r="VNE36" s="17">
        <f>'Form-Sb'!VNI94</f>
        <v>0</v>
      </c>
      <c r="VNF36" s="17">
        <f>'Form-Sb'!VNJ94</f>
        <v>0</v>
      </c>
      <c r="VNG36" s="17">
        <f>'Form-Sb'!VNK94</f>
        <v>0</v>
      </c>
      <c r="VNH36" s="17">
        <f>'Form-Sb'!VNL94</f>
        <v>0</v>
      </c>
      <c r="VNI36" s="17">
        <f>'Form-Sb'!VNM94</f>
        <v>0</v>
      </c>
      <c r="VNJ36" s="17">
        <f>'Form-Sb'!VNN94</f>
        <v>0</v>
      </c>
      <c r="VNK36" s="17">
        <f>'Form-Sb'!VNO94</f>
        <v>0</v>
      </c>
      <c r="VNL36" s="17">
        <f>'Form-Sb'!VNP94</f>
        <v>0</v>
      </c>
      <c r="VNM36" s="17">
        <f>'Form-Sb'!VNQ94</f>
        <v>0</v>
      </c>
      <c r="VNN36" s="17">
        <f>'Form-Sb'!VNR94</f>
        <v>0</v>
      </c>
      <c r="VNO36" s="17">
        <f>'Form-Sb'!VNS94</f>
        <v>0</v>
      </c>
      <c r="VNP36" s="17">
        <f>'Form-Sb'!VNT94</f>
        <v>0</v>
      </c>
      <c r="VNQ36" s="17">
        <f>'Form-Sb'!VNU94</f>
        <v>0</v>
      </c>
      <c r="VNR36" s="17">
        <f>'Form-Sb'!VNV94</f>
        <v>0</v>
      </c>
      <c r="VNS36" s="17">
        <f>'Form-Sb'!VNW94</f>
        <v>0</v>
      </c>
      <c r="VNT36" s="17">
        <f>'Form-Sb'!VNX94</f>
        <v>0</v>
      </c>
      <c r="VNU36" s="17">
        <f>'Form-Sb'!VNY94</f>
        <v>0</v>
      </c>
      <c r="VNV36" s="17">
        <f>'Form-Sb'!VNZ94</f>
        <v>0</v>
      </c>
      <c r="VNW36" s="17">
        <f>'Form-Sb'!VOA94</f>
        <v>0</v>
      </c>
      <c r="VNX36" s="17">
        <f>'Form-Sb'!VOB94</f>
        <v>0</v>
      </c>
      <c r="VNY36" s="17">
        <f>'Form-Sb'!VOC94</f>
        <v>0</v>
      </c>
      <c r="VNZ36" s="17">
        <f>'Form-Sb'!VOD94</f>
        <v>0</v>
      </c>
      <c r="VOA36" s="17">
        <f>'Form-Sb'!VOE94</f>
        <v>0</v>
      </c>
      <c r="VOB36" s="17">
        <f>'Form-Sb'!VOF94</f>
        <v>0</v>
      </c>
      <c r="VOC36" s="17">
        <f>'Form-Sb'!VOG94</f>
        <v>0</v>
      </c>
      <c r="VOD36" s="17">
        <f>'Form-Sb'!VOH94</f>
        <v>0</v>
      </c>
      <c r="VOE36" s="17">
        <f>'Form-Sb'!VOI94</f>
        <v>0</v>
      </c>
      <c r="VOF36" s="17">
        <f>'Form-Sb'!VOJ94</f>
        <v>0</v>
      </c>
      <c r="VOG36" s="17">
        <f>'Form-Sb'!VOK94</f>
        <v>0</v>
      </c>
      <c r="VOH36" s="17">
        <f>'Form-Sb'!VOL94</f>
        <v>0</v>
      </c>
      <c r="VOI36" s="17">
        <f>'Form-Sb'!VOM94</f>
        <v>0</v>
      </c>
      <c r="VOJ36" s="17">
        <f>'Form-Sb'!VON94</f>
        <v>0</v>
      </c>
      <c r="VOK36" s="17">
        <f>'Form-Sb'!VOO94</f>
        <v>0</v>
      </c>
      <c r="VOL36" s="17">
        <f>'Form-Sb'!VOP94</f>
        <v>0</v>
      </c>
      <c r="VOM36" s="17">
        <f>'Form-Sb'!VOQ94</f>
        <v>0</v>
      </c>
      <c r="VON36" s="17">
        <f>'Form-Sb'!VOR94</f>
        <v>0</v>
      </c>
      <c r="VOO36" s="17">
        <f>'Form-Sb'!VOS94</f>
        <v>0</v>
      </c>
      <c r="VOP36" s="17">
        <f>'Form-Sb'!VOT94</f>
        <v>0</v>
      </c>
      <c r="VOQ36" s="17">
        <f>'Form-Sb'!VOU94</f>
        <v>0</v>
      </c>
      <c r="VOR36" s="17">
        <f>'Form-Sb'!VOV94</f>
        <v>0</v>
      </c>
      <c r="VOS36" s="17">
        <f>'Form-Sb'!VOW94</f>
        <v>0</v>
      </c>
      <c r="VOT36" s="17">
        <f>'Form-Sb'!VOX94</f>
        <v>0</v>
      </c>
      <c r="VOU36" s="17">
        <f>'Form-Sb'!VOY94</f>
        <v>0</v>
      </c>
      <c r="VOV36" s="17">
        <f>'Form-Sb'!VOZ94</f>
        <v>0</v>
      </c>
      <c r="VOW36" s="17">
        <f>'Form-Sb'!VPA94</f>
        <v>0</v>
      </c>
      <c r="VOX36" s="17">
        <f>'Form-Sb'!VPB94</f>
        <v>0</v>
      </c>
      <c r="VOY36" s="17">
        <f>'Form-Sb'!VPC94</f>
        <v>0</v>
      </c>
      <c r="VOZ36" s="17">
        <f>'Form-Sb'!VPD94</f>
        <v>0</v>
      </c>
      <c r="VPA36" s="17">
        <f>'Form-Sb'!VPE94</f>
        <v>0</v>
      </c>
      <c r="VPB36" s="17">
        <f>'Form-Sb'!VPF94</f>
        <v>0</v>
      </c>
      <c r="VPC36" s="17">
        <f>'Form-Sb'!VPG94</f>
        <v>0</v>
      </c>
      <c r="VPD36" s="17">
        <f>'Form-Sb'!VPH94</f>
        <v>0</v>
      </c>
      <c r="VPE36" s="17">
        <f>'Form-Sb'!VPI94</f>
        <v>0</v>
      </c>
      <c r="VPF36" s="17">
        <f>'Form-Sb'!VPJ94</f>
        <v>0</v>
      </c>
      <c r="VPG36" s="17">
        <f>'Form-Sb'!VPK94</f>
        <v>0</v>
      </c>
      <c r="VPH36" s="17">
        <f>'Form-Sb'!VPL94</f>
        <v>0</v>
      </c>
      <c r="VPI36" s="17">
        <f>'Form-Sb'!VPM94</f>
        <v>0</v>
      </c>
      <c r="VPJ36" s="17">
        <f>'Form-Sb'!VPN94</f>
        <v>0</v>
      </c>
      <c r="VPK36" s="17">
        <f>'Form-Sb'!VPO94</f>
        <v>0</v>
      </c>
      <c r="VPL36" s="17">
        <f>'Form-Sb'!VPP94</f>
        <v>0</v>
      </c>
      <c r="VPM36" s="17">
        <f>'Form-Sb'!VPQ94</f>
        <v>0</v>
      </c>
      <c r="VPN36" s="17">
        <f>'Form-Sb'!VPR94</f>
        <v>0</v>
      </c>
      <c r="VPO36" s="17">
        <f>'Form-Sb'!VPS94</f>
        <v>0</v>
      </c>
      <c r="VPP36" s="17">
        <f>'Form-Sb'!VPT94</f>
        <v>0</v>
      </c>
      <c r="VPQ36" s="17">
        <f>'Form-Sb'!VPU94</f>
        <v>0</v>
      </c>
      <c r="VPR36" s="17">
        <f>'Form-Sb'!VPV94</f>
        <v>0</v>
      </c>
      <c r="VPS36" s="17">
        <f>'Form-Sb'!VPW94</f>
        <v>0</v>
      </c>
      <c r="VPT36" s="17">
        <f>'Form-Sb'!VPX94</f>
        <v>0</v>
      </c>
      <c r="VPU36" s="17">
        <f>'Form-Sb'!VPY94</f>
        <v>0</v>
      </c>
      <c r="VPV36" s="17">
        <f>'Form-Sb'!VPZ94</f>
        <v>0</v>
      </c>
      <c r="VPW36" s="17">
        <f>'Form-Sb'!VQA94</f>
        <v>0</v>
      </c>
      <c r="VPX36" s="17">
        <f>'Form-Sb'!VQB94</f>
        <v>0</v>
      </c>
      <c r="VPY36" s="17">
        <f>'Form-Sb'!VQC94</f>
        <v>0</v>
      </c>
      <c r="VPZ36" s="17">
        <f>'Form-Sb'!VQD94</f>
        <v>0</v>
      </c>
      <c r="VQA36" s="17">
        <f>'Form-Sb'!VQE94</f>
        <v>0</v>
      </c>
      <c r="VQB36" s="17">
        <f>'Form-Sb'!VQF94</f>
        <v>0</v>
      </c>
      <c r="VQC36" s="17">
        <f>'Form-Sb'!VQG94</f>
        <v>0</v>
      </c>
      <c r="VQD36" s="17">
        <f>'Form-Sb'!VQH94</f>
        <v>0</v>
      </c>
      <c r="VQE36" s="17">
        <f>'Form-Sb'!VQI94</f>
        <v>0</v>
      </c>
      <c r="VQF36" s="17">
        <f>'Form-Sb'!VQJ94</f>
        <v>0</v>
      </c>
      <c r="VQG36" s="17">
        <f>'Form-Sb'!VQK94</f>
        <v>0</v>
      </c>
      <c r="VQH36" s="17">
        <f>'Form-Sb'!VQL94</f>
        <v>0</v>
      </c>
      <c r="VQI36" s="17">
        <f>'Form-Sb'!VQM94</f>
        <v>0</v>
      </c>
      <c r="VQJ36" s="17">
        <f>'Form-Sb'!VQN94</f>
        <v>0</v>
      </c>
      <c r="VQK36" s="17">
        <f>'Form-Sb'!VQO94</f>
        <v>0</v>
      </c>
      <c r="VQL36" s="17">
        <f>'Form-Sb'!VQP94</f>
        <v>0</v>
      </c>
      <c r="VQM36" s="17">
        <f>'Form-Sb'!VQQ94</f>
        <v>0</v>
      </c>
      <c r="VQN36" s="17">
        <f>'Form-Sb'!VQR94</f>
        <v>0</v>
      </c>
      <c r="VQO36" s="17">
        <f>'Form-Sb'!VQS94</f>
        <v>0</v>
      </c>
      <c r="VQP36" s="17">
        <f>'Form-Sb'!VQT94</f>
        <v>0</v>
      </c>
      <c r="VQQ36" s="17">
        <f>'Form-Sb'!VQU94</f>
        <v>0</v>
      </c>
      <c r="VQR36" s="17">
        <f>'Form-Sb'!VQV94</f>
        <v>0</v>
      </c>
      <c r="VQS36" s="17">
        <f>'Form-Sb'!VQW94</f>
        <v>0</v>
      </c>
      <c r="VQT36" s="17">
        <f>'Form-Sb'!VQX94</f>
        <v>0</v>
      </c>
      <c r="VQU36" s="17">
        <f>'Form-Sb'!VQY94</f>
        <v>0</v>
      </c>
      <c r="VQV36" s="17">
        <f>'Form-Sb'!VQZ94</f>
        <v>0</v>
      </c>
      <c r="VQW36" s="17">
        <f>'Form-Sb'!VRA94</f>
        <v>0</v>
      </c>
      <c r="VQX36" s="17">
        <f>'Form-Sb'!VRB94</f>
        <v>0</v>
      </c>
      <c r="VQY36" s="17">
        <f>'Form-Sb'!VRC94</f>
        <v>0</v>
      </c>
      <c r="VQZ36" s="17">
        <f>'Form-Sb'!VRD94</f>
        <v>0</v>
      </c>
      <c r="VRA36" s="17">
        <f>'Form-Sb'!VRE94</f>
        <v>0</v>
      </c>
      <c r="VRB36" s="17">
        <f>'Form-Sb'!VRF94</f>
        <v>0</v>
      </c>
      <c r="VRC36" s="17">
        <f>'Form-Sb'!VRG94</f>
        <v>0</v>
      </c>
      <c r="VRD36" s="17">
        <f>'Form-Sb'!VRH94</f>
        <v>0</v>
      </c>
      <c r="VRE36" s="17">
        <f>'Form-Sb'!VRI94</f>
        <v>0</v>
      </c>
      <c r="VRF36" s="17">
        <f>'Form-Sb'!VRJ94</f>
        <v>0</v>
      </c>
      <c r="VRG36" s="17">
        <f>'Form-Sb'!VRK94</f>
        <v>0</v>
      </c>
      <c r="VRH36" s="17">
        <f>'Form-Sb'!VRL94</f>
        <v>0</v>
      </c>
      <c r="VRI36" s="17">
        <f>'Form-Sb'!VRM94</f>
        <v>0</v>
      </c>
      <c r="VRJ36" s="17">
        <f>'Form-Sb'!VRN94</f>
        <v>0</v>
      </c>
      <c r="VRK36" s="17">
        <f>'Form-Sb'!VRO94</f>
        <v>0</v>
      </c>
      <c r="VRL36" s="17">
        <f>'Form-Sb'!VRP94</f>
        <v>0</v>
      </c>
      <c r="VRM36" s="17">
        <f>'Form-Sb'!VRQ94</f>
        <v>0</v>
      </c>
      <c r="VRN36" s="17">
        <f>'Form-Sb'!VRR94</f>
        <v>0</v>
      </c>
      <c r="VRO36" s="17">
        <f>'Form-Sb'!VRS94</f>
        <v>0</v>
      </c>
      <c r="VRP36" s="17">
        <f>'Form-Sb'!VRT94</f>
        <v>0</v>
      </c>
      <c r="VRQ36" s="17">
        <f>'Form-Sb'!VRU94</f>
        <v>0</v>
      </c>
      <c r="VRR36" s="17">
        <f>'Form-Sb'!VRV94</f>
        <v>0</v>
      </c>
      <c r="VRS36" s="17">
        <f>'Form-Sb'!VRW94</f>
        <v>0</v>
      </c>
      <c r="VRT36" s="17">
        <f>'Form-Sb'!VRX94</f>
        <v>0</v>
      </c>
      <c r="VRU36" s="17">
        <f>'Form-Sb'!VRY94</f>
        <v>0</v>
      </c>
      <c r="VRV36" s="17">
        <f>'Form-Sb'!VRZ94</f>
        <v>0</v>
      </c>
      <c r="VRW36" s="17">
        <f>'Form-Sb'!VSA94</f>
        <v>0</v>
      </c>
      <c r="VRX36" s="17">
        <f>'Form-Sb'!VSB94</f>
        <v>0</v>
      </c>
      <c r="VRY36" s="17">
        <f>'Form-Sb'!VSC94</f>
        <v>0</v>
      </c>
      <c r="VRZ36" s="17">
        <f>'Form-Sb'!VSD94</f>
        <v>0</v>
      </c>
      <c r="VSA36" s="17">
        <f>'Form-Sb'!VSE94</f>
        <v>0</v>
      </c>
      <c r="VSB36" s="17">
        <f>'Form-Sb'!VSF94</f>
        <v>0</v>
      </c>
      <c r="VSC36" s="17">
        <f>'Form-Sb'!VSG94</f>
        <v>0</v>
      </c>
      <c r="VSD36" s="17">
        <f>'Form-Sb'!VSH94</f>
        <v>0</v>
      </c>
      <c r="VSE36" s="17">
        <f>'Form-Sb'!VSI94</f>
        <v>0</v>
      </c>
      <c r="VSF36" s="17">
        <f>'Form-Sb'!VSJ94</f>
        <v>0</v>
      </c>
      <c r="VSG36" s="17">
        <f>'Form-Sb'!VSK94</f>
        <v>0</v>
      </c>
      <c r="VSH36" s="17">
        <f>'Form-Sb'!VSL94</f>
        <v>0</v>
      </c>
      <c r="VSI36" s="17">
        <f>'Form-Sb'!VSM94</f>
        <v>0</v>
      </c>
      <c r="VSJ36" s="17">
        <f>'Form-Sb'!VSN94</f>
        <v>0</v>
      </c>
      <c r="VSK36" s="17">
        <f>'Form-Sb'!VSO94</f>
        <v>0</v>
      </c>
      <c r="VSL36" s="17">
        <f>'Form-Sb'!VSP94</f>
        <v>0</v>
      </c>
      <c r="VSM36" s="17">
        <f>'Form-Sb'!VSQ94</f>
        <v>0</v>
      </c>
      <c r="VSN36" s="17">
        <f>'Form-Sb'!VSR94</f>
        <v>0</v>
      </c>
      <c r="VSO36" s="17">
        <f>'Form-Sb'!VSS94</f>
        <v>0</v>
      </c>
      <c r="VSP36" s="17">
        <f>'Form-Sb'!VST94</f>
        <v>0</v>
      </c>
      <c r="VSQ36" s="17">
        <f>'Form-Sb'!VSU94</f>
        <v>0</v>
      </c>
      <c r="VSR36" s="17">
        <f>'Form-Sb'!VSV94</f>
        <v>0</v>
      </c>
      <c r="VSS36" s="17">
        <f>'Form-Sb'!VSW94</f>
        <v>0</v>
      </c>
      <c r="VST36" s="17">
        <f>'Form-Sb'!VSX94</f>
        <v>0</v>
      </c>
      <c r="VSU36" s="17">
        <f>'Form-Sb'!VSY94</f>
        <v>0</v>
      </c>
      <c r="VSV36" s="17">
        <f>'Form-Sb'!VSZ94</f>
        <v>0</v>
      </c>
      <c r="VSW36" s="17">
        <f>'Form-Sb'!VTA94</f>
        <v>0</v>
      </c>
      <c r="VSX36" s="17">
        <f>'Form-Sb'!VTB94</f>
        <v>0</v>
      </c>
      <c r="VSY36" s="17">
        <f>'Form-Sb'!VTC94</f>
        <v>0</v>
      </c>
      <c r="VSZ36" s="17">
        <f>'Form-Sb'!VTD94</f>
        <v>0</v>
      </c>
      <c r="VTA36" s="17">
        <f>'Form-Sb'!VTE94</f>
        <v>0</v>
      </c>
      <c r="VTB36" s="17">
        <f>'Form-Sb'!VTF94</f>
        <v>0</v>
      </c>
      <c r="VTC36" s="17">
        <f>'Form-Sb'!VTG94</f>
        <v>0</v>
      </c>
      <c r="VTD36" s="17">
        <f>'Form-Sb'!VTH94</f>
        <v>0</v>
      </c>
      <c r="VTE36" s="17">
        <f>'Form-Sb'!VTI94</f>
        <v>0</v>
      </c>
      <c r="VTF36" s="17">
        <f>'Form-Sb'!VTJ94</f>
        <v>0</v>
      </c>
      <c r="VTG36" s="17">
        <f>'Form-Sb'!VTK94</f>
        <v>0</v>
      </c>
      <c r="VTH36" s="17">
        <f>'Form-Sb'!VTL94</f>
        <v>0</v>
      </c>
      <c r="VTI36" s="17">
        <f>'Form-Sb'!VTM94</f>
        <v>0</v>
      </c>
      <c r="VTJ36" s="17">
        <f>'Form-Sb'!VTN94</f>
        <v>0</v>
      </c>
      <c r="VTK36" s="17">
        <f>'Form-Sb'!VTO94</f>
        <v>0</v>
      </c>
      <c r="VTL36" s="17">
        <f>'Form-Sb'!VTP94</f>
        <v>0</v>
      </c>
      <c r="VTM36" s="17">
        <f>'Form-Sb'!VTQ94</f>
        <v>0</v>
      </c>
      <c r="VTN36" s="17">
        <f>'Form-Sb'!VTR94</f>
        <v>0</v>
      </c>
      <c r="VTO36" s="17">
        <f>'Form-Sb'!VTS94</f>
        <v>0</v>
      </c>
      <c r="VTP36" s="17">
        <f>'Form-Sb'!VTT94</f>
        <v>0</v>
      </c>
      <c r="VTQ36" s="17">
        <f>'Form-Sb'!VTU94</f>
        <v>0</v>
      </c>
      <c r="VTR36" s="17">
        <f>'Form-Sb'!VTV94</f>
        <v>0</v>
      </c>
      <c r="VTS36" s="17">
        <f>'Form-Sb'!VTW94</f>
        <v>0</v>
      </c>
      <c r="VTT36" s="17">
        <f>'Form-Sb'!VTX94</f>
        <v>0</v>
      </c>
      <c r="VTU36" s="17">
        <f>'Form-Sb'!VTY94</f>
        <v>0</v>
      </c>
      <c r="VTV36" s="17">
        <f>'Form-Sb'!VTZ94</f>
        <v>0</v>
      </c>
      <c r="VTW36" s="17">
        <f>'Form-Sb'!VUA94</f>
        <v>0</v>
      </c>
      <c r="VTX36" s="17">
        <f>'Form-Sb'!VUB94</f>
        <v>0</v>
      </c>
      <c r="VTY36" s="17">
        <f>'Form-Sb'!VUC94</f>
        <v>0</v>
      </c>
      <c r="VTZ36" s="17">
        <f>'Form-Sb'!VUD94</f>
        <v>0</v>
      </c>
      <c r="VUA36" s="17">
        <f>'Form-Sb'!VUE94</f>
        <v>0</v>
      </c>
      <c r="VUB36" s="17">
        <f>'Form-Sb'!VUF94</f>
        <v>0</v>
      </c>
      <c r="VUC36" s="17">
        <f>'Form-Sb'!VUG94</f>
        <v>0</v>
      </c>
      <c r="VUD36" s="17">
        <f>'Form-Sb'!VUH94</f>
        <v>0</v>
      </c>
      <c r="VUE36" s="17">
        <f>'Form-Sb'!VUI94</f>
        <v>0</v>
      </c>
      <c r="VUF36" s="17">
        <f>'Form-Sb'!VUJ94</f>
        <v>0</v>
      </c>
      <c r="VUG36" s="17">
        <f>'Form-Sb'!VUK94</f>
        <v>0</v>
      </c>
      <c r="VUH36" s="17">
        <f>'Form-Sb'!VUL94</f>
        <v>0</v>
      </c>
      <c r="VUI36" s="17">
        <f>'Form-Sb'!VUM94</f>
        <v>0</v>
      </c>
      <c r="VUJ36" s="17">
        <f>'Form-Sb'!VUN94</f>
        <v>0</v>
      </c>
      <c r="VUK36" s="17">
        <f>'Form-Sb'!VUO94</f>
        <v>0</v>
      </c>
      <c r="VUL36" s="17">
        <f>'Form-Sb'!VUP94</f>
        <v>0</v>
      </c>
      <c r="VUM36" s="17">
        <f>'Form-Sb'!VUQ94</f>
        <v>0</v>
      </c>
      <c r="VUN36" s="17">
        <f>'Form-Sb'!VUR94</f>
        <v>0</v>
      </c>
      <c r="VUO36" s="17">
        <f>'Form-Sb'!VUS94</f>
        <v>0</v>
      </c>
      <c r="VUP36" s="17">
        <f>'Form-Sb'!VUT94</f>
        <v>0</v>
      </c>
      <c r="VUQ36" s="17">
        <f>'Form-Sb'!VUU94</f>
        <v>0</v>
      </c>
      <c r="VUR36" s="17">
        <f>'Form-Sb'!VUV94</f>
        <v>0</v>
      </c>
      <c r="VUS36" s="17">
        <f>'Form-Sb'!VUW94</f>
        <v>0</v>
      </c>
      <c r="VUT36" s="17">
        <f>'Form-Sb'!VUX94</f>
        <v>0</v>
      </c>
      <c r="VUU36" s="17">
        <f>'Form-Sb'!VUY94</f>
        <v>0</v>
      </c>
      <c r="VUV36" s="17">
        <f>'Form-Sb'!VUZ94</f>
        <v>0</v>
      </c>
      <c r="VUW36" s="17">
        <f>'Form-Sb'!VVA94</f>
        <v>0</v>
      </c>
      <c r="VUX36" s="17">
        <f>'Form-Sb'!VVB94</f>
        <v>0</v>
      </c>
      <c r="VUY36" s="17">
        <f>'Form-Sb'!VVC94</f>
        <v>0</v>
      </c>
      <c r="VUZ36" s="17">
        <f>'Form-Sb'!VVD94</f>
        <v>0</v>
      </c>
      <c r="VVA36" s="17">
        <f>'Form-Sb'!VVE94</f>
        <v>0</v>
      </c>
      <c r="VVB36" s="17">
        <f>'Form-Sb'!VVF94</f>
        <v>0</v>
      </c>
      <c r="VVC36" s="17">
        <f>'Form-Sb'!VVG94</f>
        <v>0</v>
      </c>
      <c r="VVD36" s="17">
        <f>'Form-Sb'!VVH94</f>
        <v>0</v>
      </c>
      <c r="VVE36" s="17">
        <f>'Form-Sb'!VVI94</f>
        <v>0</v>
      </c>
      <c r="VVF36" s="17">
        <f>'Form-Sb'!VVJ94</f>
        <v>0</v>
      </c>
      <c r="VVG36" s="17">
        <f>'Form-Sb'!VVK94</f>
        <v>0</v>
      </c>
      <c r="VVH36" s="17">
        <f>'Form-Sb'!VVL94</f>
        <v>0</v>
      </c>
      <c r="VVI36" s="17">
        <f>'Form-Sb'!VVM94</f>
        <v>0</v>
      </c>
      <c r="VVJ36" s="17">
        <f>'Form-Sb'!VVN94</f>
        <v>0</v>
      </c>
      <c r="VVK36" s="17">
        <f>'Form-Sb'!VVO94</f>
        <v>0</v>
      </c>
      <c r="VVL36" s="17">
        <f>'Form-Sb'!VVP94</f>
        <v>0</v>
      </c>
      <c r="VVM36" s="17">
        <f>'Form-Sb'!VVQ94</f>
        <v>0</v>
      </c>
      <c r="VVN36" s="17">
        <f>'Form-Sb'!VVR94</f>
        <v>0</v>
      </c>
      <c r="VVO36" s="17">
        <f>'Form-Sb'!VVS94</f>
        <v>0</v>
      </c>
      <c r="VVP36" s="17">
        <f>'Form-Sb'!VVT94</f>
        <v>0</v>
      </c>
      <c r="VVQ36" s="17">
        <f>'Form-Sb'!VVU94</f>
        <v>0</v>
      </c>
      <c r="VVR36" s="17">
        <f>'Form-Sb'!VVV94</f>
        <v>0</v>
      </c>
      <c r="VVS36" s="17">
        <f>'Form-Sb'!VVW94</f>
        <v>0</v>
      </c>
      <c r="VVT36" s="17">
        <f>'Form-Sb'!VVX94</f>
        <v>0</v>
      </c>
      <c r="VVU36" s="17">
        <f>'Form-Sb'!VVY94</f>
        <v>0</v>
      </c>
      <c r="VVV36" s="17">
        <f>'Form-Sb'!VVZ94</f>
        <v>0</v>
      </c>
      <c r="VVW36" s="17">
        <f>'Form-Sb'!VWA94</f>
        <v>0</v>
      </c>
      <c r="VVX36" s="17">
        <f>'Form-Sb'!VWB94</f>
        <v>0</v>
      </c>
      <c r="VVY36" s="17">
        <f>'Form-Sb'!VWC94</f>
        <v>0</v>
      </c>
      <c r="VVZ36" s="17">
        <f>'Form-Sb'!VWD94</f>
        <v>0</v>
      </c>
      <c r="VWA36" s="17">
        <f>'Form-Sb'!VWE94</f>
        <v>0</v>
      </c>
      <c r="VWB36" s="17">
        <f>'Form-Sb'!VWF94</f>
        <v>0</v>
      </c>
      <c r="VWC36" s="17">
        <f>'Form-Sb'!VWG94</f>
        <v>0</v>
      </c>
      <c r="VWD36" s="17">
        <f>'Form-Sb'!VWH94</f>
        <v>0</v>
      </c>
      <c r="VWE36" s="17">
        <f>'Form-Sb'!VWI94</f>
        <v>0</v>
      </c>
      <c r="VWF36" s="17">
        <f>'Form-Sb'!VWJ94</f>
        <v>0</v>
      </c>
      <c r="VWG36" s="17">
        <f>'Form-Sb'!VWK94</f>
        <v>0</v>
      </c>
      <c r="VWH36" s="17">
        <f>'Form-Sb'!VWL94</f>
        <v>0</v>
      </c>
      <c r="VWI36" s="17">
        <f>'Form-Sb'!VWM94</f>
        <v>0</v>
      </c>
      <c r="VWJ36" s="17">
        <f>'Form-Sb'!VWN94</f>
        <v>0</v>
      </c>
      <c r="VWK36" s="17">
        <f>'Form-Sb'!VWO94</f>
        <v>0</v>
      </c>
      <c r="VWL36" s="17">
        <f>'Form-Sb'!VWP94</f>
        <v>0</v>
      </c>
      <c r="VWM36" s="17">
        <f>'Form-Sb'!VWQ94</f>
        <v>0</v>
      </c>
      <c r="VWN36" s="17">
        <f>'Form-Sb'!VWR94</f>
        <v>0</v>
      </c>
      <c r="VWO36" s="17">
        <f>'Form-Sb'!VWS94</f>
        <v>0</v>
      </c>
      <c r="VWP36" s="17">
        <f>'Form-Sb'!VWT94</f>
        <v>0</v>
      </c>
      <c r="VWQ36" s="17">
        <f>'Form-Sb'!VWU94</f>
        <v>0</v>
      </c>
      <c r="VWR36" s="17">
        <f>'Form-Sb'!VWV94</f>
        <v>0</v>
      </c>
      <c r="VWS36" s="17">
        <f>'Form-Sb'!VWW94</f>
        <v>0</v>
      </c>
      <c r="VWT36" s="17">
        <f>'Form-Sb'!VWX94</f>
        <v>0</v>
      </c>
      <c r="VWU36" s="17">
        <f>'Form-Sb'!VWY94</f>
        <v>0</v>
      </c>
      <c r="VWV36" s="17">
        <f>'Form-Sb'!VWZ94</f>
        <v>0</v>
      </c>
      <c r="VWW36" s="17">
        <f>'Form-Sb'!VXA94</f>
        <v>0</v>
      </c>
      <c r="VWX36" s="17">
        <f>'Form-Sb'!VXB94</f>
        <v>0</v>
      </c>
      <c r="VWY36" s="17">
        <f>'Form-Sb'!VXC94</f>
        <v>0</v>
      </c>
      <c r="VWZ36" s="17">
        <f>'Form-Sb'!VXD94</f>
        <v>0</v>
      </c>
      <c r="VXA36" s="17">
        <f>'Form-Sb'!VXE94</f>
        <v>0</v>
      </c>
      <c r="VXB36" s="17">
        <f>'Form-Sb'!VXF94</f>
        <v>0</v>
      </c>
      <c r="VXC36" s="17">
        <f>'Form-Sb'!VXG94</f>
        <v>0</v>
      </c>
      <c r="VXD36" s="17">
        <f>'Form-Sb'!VXH94</f>
        <v>0</v>
      </c>
      <c r="VXE36" s="17">
        <f>'Form-Sb'!VXI94</f>
        <v>0</v>
      </c>
      <c r="VXF36" s="17">
        <f>'Form-Sb'!VXJ94</f>
        <v>0</v>
      </c>
      <c r="VXG36" s="17">
        <f>'Form-Sb'!VXK94</f>
        <v>0</v>
      </c>
      <c r="VXH36" s="17">
        <f>'Form-Sb'!VXL94</f>
        <v>0</v>
      </c>
      <c r="VXI36" s="17">
        <f>'Form-Sb'!VXM94</f>
        <v>0</v>
      </c>
      <c r="VXJ36" s="17">
        <f>'Form-Sb'!VXN94</f>
        <v>0</v>
      </c>
      <c r="VXK36" s="17">
        <f>'Form-Sb'!VXO94</f>
        <v>0</v>
      </c>
      <c r="VXL36" s="17">
        <f>'Form-Sb'!VXP94</f>
        <v>0</v>
      </c>
      <c r="VXM36" s="17">
        <f>'Form-Sb'!VXQ94</f>
        <v>0</v>
      </c>
      <c r="VXN36" s="17">
        <f>'Form-Sb'!VXR94</f>
        <v>0</v>
      </c>
      <c r="VXO36" s="17">
        <f>'Form-Sb'!VXS94</f>
        <v>0</v>
      </c>
      <c r="VXP36" s="17">
        <f>'Form-Sb'!VXT94</f>
        <v>0</v>
      </c>
      <c r="VXQ36" s="17">
        <f>'Form-Sb'!VXU94</f>
        <v>0</v>
      </c>
      <c r="VXR36" s="17">
        <f>'Form-Sb'!VXV94</f>
        <v>0</v>
      </c>
      <c r="VXS36" s="17">
        <f>'Form-Sb'!VXW94</f>
        <v>0</v>
      </c>
      <c r="VXT36" s="17">
        <f>'Form-Sb'!VXX94</f>
        <v>0</v>
      </c>
      <c r="VXU36" s="17">
        <f>'Form-Sb'!VXY94</f>
        <v>0</v>
      </c>
      <c r="VXV36" s="17">
        <f>'Form-Sb'!VXZ94</f>
        <v>0</v>
      </c>
      <c r="VXW36" s="17">
        <f>'Form-Sb'!VYA94</f>
        <v>0</v>
      </c>
      <c r="VXX36" s="17">
        <f>'Form-Sb'!VYB94</f>
        <v>0</v>
      </c>
      <c r="VXY36" s="17">
        <f>'Form-Sb'!VYC94</f>
        <v>0</v>
      </c>
      <c r="VXZ36" s="17">
        <f>'Form-Sb'!VYD94</f>
        <v>0</v>
      </c>
      <c r="VYA36" s="17">
        <f>'Form-Sb'!VYE94</f>
        <v>0</v>
      </c>
      <c r="VYB36" s="17">
        <f>'Form-Sb'!VYF94</f>
        <v>0</v>
      </c>
      <c r="VYC36" s="17">
        <f>'Form-Sb'!VYG94</f>
        <v>0</v>
      </c>
      <c r="VYD36" s="17">
        <f>'Form-Sb'!VYH94</f>
        <v>0</v>
      </c>
      <c r="VYE36" s="17">
        <f>'Form-Sb'!VYI94</f>
        <v>0</v>
      </c>
      <c r="VYF36" s="17">
        <f>'Form-Sb'!VYJ94</f>
        <v>0</v>
      </c>
      <c r="VYG36" s="17">
        <f>'Form-Sb'!VYK94</f>
        <v>0</v>
      </c>
      <c r="VYH36" s="17">
        <f>'Form-Sb'!VYL94</f>
        <v>0</v>
      </c>
      <c r="VYI36" s="17">
        <f>'Form-Sb'!VYM94</f>
        <v>0</v>
      </c>
      <c r="VYJ36" s="17">
        <f>'Form-Sb'!VYN94</f>
        <v>0</v>
      </c>
      <c r="VYK36" s="17">
        <f>'Form-Sb'!VYO94</f>
        <v>0</v>
      </c>
      <c r="VYL36" s="17">
        <f>'Form-Sb'!VYP94</f>
        <v>0</v>
      </c>
      <c r="VYM36" s="17">
        <f>'Form-Sb'!VYQ94</f>
        <v>0</v>
      </c>
      <c r="VYN36" s="17">
        <f>'Form-Sb'!VYR94</f>
        <v>0</v>
      </c>
      <c r="VYO36" s="17">
        <f>'Form-Sb'!VYS94</f>
        <v>0</v>
      </c>
      <c r="VYP36" s="17">
        <f>'Form-Sb'!VYT94</f>
        <v>0</v>
      </c>
      <c r="VYQ36" s="17">
        <f>'Form-Sb'!VYU94</f>
        <v>0</v>
      </c>
      <c r="VYR36" s="17">
        <f>'Form-Sb'!VYV94</f>
        <v>0</v>
      </c>
      <c r="VYS36" s="17">
        <f>'Form-Sb'!VYW94</f>
        <v>0</v>
      </c>
      <c r="VYT36" s="17">
        <f>'Form-Sb'!VYX94</f>
        <v>0</v>
      </c>
      <c r="VYU36" s="17">
        <f>'Form-Sb'!VYY94</f>
        <v>0</v>
      </c>
      <c r="VYV36" s="17">
        <f>'Form-Sb'!VYZ94</f>
        <v>0</v>
      </c>
      <c r="VYW36" s="17">
        <f>'Form-Sb'!VZA94</f>
        <v>0</v>
      </c>
      <c r="VYX36" s="17">
        <f>'Form-Sb'!VZB94</f>
        <v>0</v>
      </c>
      <c r="VYY36" s="17">
        <f>'Form-Sb'!VZC94</f>
        <v>0</v>
      </c>
      <c r="VYZ36" s="17">
        <f>'Form-Sb'!VZD94</f>
        <v>0</v>
      </c>
      <c r="VZA36" s="17">
        <f>'Form-Sb'!VZE94</f>
        <v>0</v>
      </c>
      <c r="VZB36" s="17">
        <f>'Form-Sb'!VZF94</f>
        <v>0</v>
      </c>
      <c r="VZC36" s="17">
        <f>'Form-Sb'!VZG94</f>
        <v>0</v>
      </c>
      <c r="VZD36" s="17">
        <f>'Form-Sb'!VZH94</f>
        <v>0</v>
      </c>
      <c r="VZE36" s="17">
        <f>'Form-Sb'!VZI94</f>
        <v>0</v>
      </c>
      <c r="VZF36" s="17">
        <f>'Form-Sb'!VZJ94</f>
        <v>0</v>
      </c>
      <c r="VZG36" s="17">
        <f>'Form-Sb'!VZK94</f>
        <v>0</v>
      </c>
      <c r="VZH36" s="17">
        <f>'Form-Sb'!VZL94</f>
        <v>0</v>
      </c>
      <c r="VZI36" s="17">
        <f>'Form-Sb'!VZM94</f>
        <v>0</v>
      </c>
      <c r="VZJ36" s="17">
        <f>'Form-Sb'!VZN94</f>
        <v>0</v>
      </c>
      <c r="VZK36" s="17">
        <f>'Form-Sb'!VZO94</f>
        <v>0</v>
      </c>
      <c r="VZL36" s="17">
        <f>'Form-Sb'!VZP94</f>
        <v>0</v>
      </c>
      <c r="VZM36" s="17">
        <f>'Form-Sb'!VZQ94</f>
        <v>0</v>
      </c>
      <c r="VZN36" s="17">
        <f>'Form-Sb'!VZR94</f>
        <v>0</v>
      </c>
      <c r="VZO36" s="17">
        <f>'Form-Sb'!VZS94</f>
        <v>0</v>
      </c>
      <c r="VZP36" s="17">
        <f>'Form-Sb'!VZT94</f>
        <v>0</v>
      </c>
      <c r="VZQ36" s="17">
        <f>'Form-Sb'!VZU94</f>
        <v>0</v>
      </c>
      <c r="VZR36" s="17">
        <f>'Form-Sb'!VZV94</f>
        <v>0</v>
      </c>
      <c r="VZS36" s="17">
        <f>'Form-Sb'!VZW94</f>
        <v>0</v>
      </c>
      <c r="VZT36" s="17">
        <f>'Form-Sb'!VZX94</f>
        <v>0</v>
      </c>
      <c r="VZU36" s="17">
        <f>'Form-Sb'!VZY94</f>
        <v>0</v>
      </c>
      <c r="VZV36" s="17">
        <f>'Form-Sb'!VZZ94</f>
        <v>0</v>
      </c>
      <c r="VZW36" s="17">
        <f>'Form-Sb'!WAA94</f>
        <v>0</v>
      </c>
      <c r="VZX36" s="17">
        <f>'Form-Sb'!WAB94</f>
        <v>0</v>
      </c>
      <c r="VZY36" s="17">
        <f>'Form-Sb'!WAC94</f>
        <v>0</v>
      </c>
      <c r="VZZ36" s="17">
        <f>'Form-Sb'!WAD94</f>
        <v>0</v>
      </c>
      <c r="WAA36" s="17">
        <f>'Form-Sb'!WAE94</f>
        <v>0</v>
      </c>
      <c r="WAB36" s="17">
        <f>'Form-Sb'!WAF94</f>
        <v>0</v>
      </c>
      <c r="WAC36" s="17">
        <f>'Form-Sb'!WAG94</f>
        <v>0</v>
      </c>
      <c r="WAD36" s="17">
        <f>'Form-Sb'!WAH94</f>
        <v>0</v>
      </c>
      <c r="WAE36" s="17">
        <f>'Form-Sb'!WAI94</f>
        <v>0</v>
      </c>
      <c r="WAF36" s="17">
        <f>'Form-Sb'!WAJ94</f>
        <v>0</v>
      </c>
      <c r="WAG36" s="17">
        <f>'Form-Sb'!WAK94</f>
        <v>0</v>
      </c>
      <c r="WAH36" s="17">
        <f>'Form-Sb'!WAL94</f>
        <v>0</v>
      </c>
      <c r="WAI36" s="17">
        <f>'Form-Sb'!WAM94</f>
        <v>0</v>
      </c>
      <c r="WAJ36" s="17">
        <f>'Form-Sb'!WAN94</f>
        <v>0</v>
      </c>
      <c r="WAK36" s="17">
        <f>'Form-Sb'!WAO94</f>
        <v>0</v>
      </c>
      <c r="WAL36" s="17">
        <f>'Form-Sb'!WAP94</f>
        <v>0</v>
      </c>
      <c r="WAM36" s="17">
        <f>'Form-Sb'!WAQ94</f>
        <v>0</v>
      </c>
      <c r="WAN36" s="17">
        <f>'Form-Sb'!WAR94</f>
        <v>0</v>
      </c>
      <c r="WAO36" s="17">
        <f>'Form-Sb'!WAS94</f>
        <v>0</v>
      </c>
      <c r="WAP36" s="17">
        <f>'Form-Sb'!WAT94</f>
        <v>0</v>
      </c>
      <c r="WAQ36" s="17">
        <f>'Form-Sb'!WAU94</f>
        <v>0</v>
      </c>
      <c r="WAR36" s="17">
        <f>'Form-Sb'!WAV94</f>
        <v>0</v>
      </c>
      <c r="WAS36" s="17">
        <f>'Form-Sb'!WAW94</f>
        <v>0</v>
      </c>
      <c r="WAT36" s="17">
        <f>'Form-Sb'!WAX94</f>
        <v>0</v>
      </c>
      <c r="WAU36" s="17">
        <f>'Form-Sb'!WAY94</f>
        <v>0</v>
      </c>
      <c r="WAV36" s="17">
        <f>'Form-Sb'!WAZ94</f>
        <v>0</v>
      </c>
      <c r="WAW36" s="17">
        <f>'Form-Sb'!WBA94</f>
        <v>0</v>
      </c>
      <c r="WAX36" s="17">
        <f>'Form-Sb'!WBB94</f>
        <v>0</v>
      </c>
      <c r="WAY36" s="17">
        <f>'Form-Sb'!WBC94</f>
        <v>0</v>
      </c>
      <c r="WAZ36" s="17">
        <f>'Form-Sb'!WBD94</f>
        <v>0</v>
      </c>
      <c r="WBA36" s="17">
        <f>'Form-Sb'!WBE94</f>
        <v>0</v>
      </c>
      <c r="WBB36" s="17">
        <f>'Form-Sb'!WBF94</f>
        <v>0</v>
      </c>
      <c r="WBC36" s="17">
        <f>'Form-Sb'!WBG94</f>
        <v>0</v>
      </c>
      <c r="WBD36" s="17">
        <f>'Form-Sb'!WBH94</f>
        <v>0</v>
      </c>
      <c r="WBE36" s="17">
        <f>'Form-Sb'!WBI94</f>
        <v>0</v>
      </c>
      <c r="WBF36" s="17">
        <f>'Form-Sb'!WBJ94</f>
        <v>0</v>
      </c>
      <c r="WBG36" s="17">
        <f>'Form-Sb'!WBK94</f>
        <v>0</v>
      </c>
      <c r="WBH36" s="17">
        <f>'Form-Sb'!WBL94</f>
        <v>0</v>
      </c>
      <c r="WBI36" s="17">
        <f>'Form-Sb'!WBM94</f>
        <v>0</v>
      </c>
      <c r="WBJ36" s="17">
        <f>'Form-Sb'!WBN94</f>
        <v>0</v>
      </c>
      <c r="WBK36" s="17">
        <f>'Form-Sb'!WBO94</f>
        <v>0</v>
      </c>
      <c r="WBL36" s="17">
        <f>'Form-Sb'!WBP94</f>
        <v>0</v>
      </c>
      <c r="WBM36" s="17">
        <f>'Form-Sb'!WBQ94</f>
        <v>0</v>
      </c>
      <c r="WBN36" s="17">
        <f>'Form-Sb'!WBR94</f>
        <v>0</v>
      </c>
      <c r="WBO36" s="17">
        <f>'Form-Sb'!WBS94</f>
        <v>0</v>
      </c>
      <c r="WBP36" s="17">
        <f>'Form-Sb'!WBT94</f>
        <v>0</v>
      </c>
      <c r="WBQ36" s="17">
        <f>'Form-Sb'!WBU94</f>
        <v>0</v>
      </c>
      <c r="WBR36" s="17">
        <f>'Form-Sb'!WBV94</f>
        <v>0</v>
      </c>
      <c r="WBS36" s="17">
        <f>'Form-Sb'!WBW94</f>
        <v>0</v>
      </c>
      <c r="WBT36" s="17">
        <f>'Form-Sb'!WBX94</f>
        <v>0</v>
      </c>
      <c r="WBU36" s="17">
        <f>'Form-Sb'!WBY94</f>
        <v>0</v>
      </c>
      <c r="WBV36" s="17">
        <f>'Form-Sb'!WBZ94</f>
        <v>0</v>
      </c>
      <c r="WBW36" s="17">
        <f>'Form-Sb'!WCA94</f>
        <v>0</v>
      </c>
      <c r="WBX36" s="17">
        <f>'Form-Sb'!WCB94</f>
        <v>0</v>
      </c>
      <c r="WBY36" s="17">
        <f>'Form-Sb'!WCC94</f>
        <v>0</v>
      </c>
      <c r="WBZ36" s="17">
        <f>'Form-Sb'!WCD94</f>
        <v>0</v>
      </c>
      <c r="WCA36" s="17">
        <f>'Form-Sb'!WCE94</f>
        <v>0</v>
      </c>
      <c r="WCB36" s="17">
        <f>'Form-Sb'!WCF94</f>
        <v>0</v>
      </c>
      <c r="WCC36" s="17">
        <f>'Form-Sb'!WCG94</f>
        <v>0</v>
      </c>
      <c r="WCD36" s="17">
        <f>'Form-Sb'!WCH94</f>
        <v>0</v>
      </c>
      <c r="WCE36" s="17">
        <f>'Form-Sb'!WCI94</f>
        <v>0</v>
      </c>
      <c r="WCF36" s="17">
        <f>'Form-Sb'!WCJ94</f>
        <v>0</v>
      </c>
      <c r="WCG36" s="17">
        <f>'Form-Sb'!WCK94</f>
        <v>0</v>
      </c>
      <c r="WCH36" s="17">
        <f>'Form-Sb'!WCL94</f>
        <v>0</v>
      </c>
      <c r="WCI36" s="17">
        <f>'Form-Sb'!WCM94</f>
        <v>0</v>
      </c>
      <c r="WCJ36" s="17">
        <f>'Form-Sb'!WCN94</f>
        <v>0</v>
      </c>
      <c r="WCK36" s="17">
        <f>'Form-Sb'!WCO94</f>
        <v>0</v>
      </c>
      <c r="WCL36" s="17">
        <f>'Form-Sb'!WCP94</f>
        <v>0</v>
      </c>
      <c r="WCM36" s="17">
        <f>'Form-Sb'!WCQ94</f>
        <v>0</v>
      </c>
      <c r="WCN36" s="17">
        <f>'Form-Sb'!WCR94</f>
        <v>0</v>
      </c>
      <c r="WCO36" s="17">
        <f>'Form-Sb'!WCS94</f>
        <v>0</v>
      </c>
      <c r="WCP36" s="17">
        <f>'Form-Sb'!WCT94</f>
        <v>0</v>
      </c>
      <c r="WCQ36" s="17">
        <f>'Form-Sb'!WCU94</f>
        <v>0</v>
      </c>
      <c r="WCR36" s="17">
        <f>'Form-Sb'!WCV94</f>
        <v>0</v>
      </c>
      <c r="WCS36" s="17">
        <f>'Form-Sb'!WCW94</f>
        <v>0</v>
      </c>
      <c r="WCT36" s="17">
        <f>'Form-Sb'!WCX94</f>
        <v>0</v>
      </c>
      <c r="WCU36" s="17">
        <f>'Form-Sb'!WCY94</f>
        <v>0</v>
      </c>
      <c r="WCV36" s="17">
        <f>'Form-Sb'!WCZ94</f>
        <v>0</v>
      </c>
      <c r="WCW36" s="17">
        <f>'Form-Sb'!WDA94</f>
        <v>0</v>
      </c>
      <c r="WCX36" s="17">
        <f>'Form-Sb'!WDB94</f>
        <v>0</v>
      </c>
      <c r="WCY36" s="17">
        <f>'Form-Sb'!WDC94</f>
        <v>0</v>
      </c>
      <c r="WCZ36" s="17">
        <f>'Form-Sb'!WDD94</f>
        <v>0</v>
      </c>
      <c r="WDA36" s="17">
        <f>'Form-Sb'!WDE94</f>
        <v>0</v>
      </c>
      <c r="WDB36" s="17">
        <f>'Form-Sb'!WDF94</f>
        <v>0</v>
      </c>
      <c r="WDC36" s="17">
        <f>'Form-Sb'!WDG94</f>
        <v>0</v>
      </c>
      <c r="WDD36" s="17">
        <f>'Form-Sb'!WDH94</f>
        <v>0</v>
      </c>
      <c r="WDE36" s="17">
        <f>'Form-Sb'!WDI94</f>
        <v>0</v>
      </c>
      <c r="WDF36" s="17">
        <f>'Form-Sb'!WDJ94</f>
        <v>0</v>
      </c>
      <c r="WDG36" s="17">
        <f>'Form-Sb'!WDK94</f>
        <v>0</v>
      </c>
      <c r="WDH36" s="17">
        <f>'Form-Sb'!WDL94</f>
        <v>0</v>
      </c>
      <c r="WDI36" s="17">
        <f>'Form-Sb'!WDM94</f>
        <v>0</v>
      </c>
      <c r="WDJ36" s="17">
        <f>'Form-Sb'!WDN94</f>
        <v>0</v>
      </c>
      <c r="WDK36" s="17">
        <f>'Form-Sb'!WDO94</f>
        <v>0</v>
      </c>
      <c r="WDL36" s="17">
        <f>'Form-Sb'!WDP94</f>
        <v>0</v>
      </c>
      <c r="WDM36" s="17">
        <f>'Form-Sb'!WDQ94</f>
        <v>0</v>
      </c>
      <c r="WDN36" s="17">
        <f>'Form-Sb'!WDR94</f>
        <v>0</v>
      </c>
      <c r="WDO36" s="17">
        <f>'Form-Sb'!WDS94</f>
        <v>0</v>
      </c>
      <c r="WDP36" s="17">
        <f>'Form-Sb'!WDT94</f>
        <v>0</v>
      </c>
      <c r="WDQ36" s="17">
        <f>'Form-Sb'!WDU94</f>
        <v>0</v>
      </c>
      <c r="WDR36" s="17">
        <f>'Form-Sb'!WDV94</f>
        <v>0</v>
      </c>
      <c r="WDS36" s="17">
        <f>'Form-Sb'!WDW94</f>
        <v>0</v>
      </c>
      <c r="WDT36" s="17">
        <f>'Form-Sb'!WDX94</f>
        <v>0</v>
      </c>
      <c r="WDU36" s="17">
        <f>'Form-Sb'!WDY94</f>
        <v>0</v>
      </c>
      <c r="WDV36" s="17">
        <f>'Form-Sb'!WDZ94</f>
        <v>0</v>
      </c>
      <c r="WDW36" s="17">
        <f>'Form-Sb'!WEA94</f>
        <v>0</v>
      </c>
      <c r="WDX36" s="17">
        <f>'Form-Sb'!WEB94</f>
        <v>0</v>
      </c>
      <c r="WDY36" s="17">
        <f>'Form-Sb'!WEC94</f>
        <v>0</v>
      </c>
      <c r="WDZ36" s="17">
        <f>'Form-Sb'!WED94</f>
        <v>0</v>
      </c>
      <c r="WEA36" s="17">
        <f>'Form-Sb'!WEE94</f>
        <v>0</v>
      </c>
      <c r="WEB36" s="17">
        <f>'Form-Sb'!WEF94</f>
        <v>0</v>
      </c>
      <c r="WEC36" s="17">
        <f>'Form-Sb'!WEG94</f>
        <v>0</v>
      </c>
      <c r="WED36" s="17">
        <f>'Form-Sb'!WEH94</f>
        <v>0</v>
      </c>
      <c r="WEE36" s="17">
        <f>'Form-Sb'!WEI94</f>
        <v>0</v>
      </c>
      <c r="WEF36" s="17">
        <f>'Form-Sb'!WEJ94</f>
        <v>0</v>
      </c>
      <c r="WEG36" s="17">
        <f>'Form-Sb'!WEK94</f>
        <v>0</v>
      </c>
      <c r="WEH36" s="17">
        <f>'Form-Sb'!WEL94</f>
        <v>0</v>
      </c>
      <c r="WEI36" s="17">
        <f>'Form-Sb'!WEM94</f>
        <v>0</v>
      </c>
      <c r="WEJ36" s="17">
        <f>'Form-Sb'!WEN94</f>
        <v>0</v>
      </c>
      <c r="WEK36" s="17">
        <f>'Form-Sb'!WEO94</f>
        <v>0</v>
      </c>
      <c r="WEL36" s="17">
        <f>'Form-Sb'!WEP94</f>
        <v>0</v>
      </c>
      <c r="WEM36" s="17">
        <f>'Form-Sb'!WEQ94</f>
        <v>0</v>
      </c>
      <c r="WEN36" s="17">
        <f>'Form-Sb'!WER94</f>
        <v>0</v>
      </c>
      <c r="WEO36" s="17">
        <f>'Form-Sb'!WES94</f>
        <v>0</v>
      </c>
      <c r="WEP36" s="17">
        <f>'Form-Sb'!WET94</f>
        <v>0</v>
      </c>
      <c r="WEQ36" s="17">
        <f>'Form-Sb'!WEU94</f>
        <v>0</v>
      </c>
      <c r="WER36" s="17">
        <f>'Form-Sb'!WEV94</f>
        <v>0</v>
      </c>
      <c r="WES36" s="17">
        <f>'Form-Sb'!WEW94</f>
        <v>0</v>
      </c>
      <c r="WET36" s="17">
        <f>'Form-Sb'!WEX94</f>
        <v>0</v>
      </c>
      <c r="WEU36" s="17">
        <f>'Form-Sb'!WEY94</f>
        <v>0</v>
      </c>
      <c r="WEV36" s="17">
        <f>'Form-Sb'!WEZ94</f>
        <v>0</v>
      </c>
      <c r="WEW36" s="17">
        <f>'Form-Sb'!WFA94</f>
        <v>0</v>
      </c>
      <c r="WEX36" s="17">
        <f>'Form-Sb'!WFB94</f>
        <v>0</v>
      </c>
      <c r="WEY36" s="17">
        <f>'Form-Sb'!WFC94</f>
        <v>0</v>
      </c>
      <c r="WEZ36" s="17">
        <f>'Form-Sb'!WFD94</f>
        <v>0</v>
      </c>
      <c r="WFA36" s="17">
        <f>'Form-Sb'!WFE94</f>
        <v>0</v>
      </c>
      <c r="WFB36" s="17">
        <f>'Form-Sb'!WFF94</f>
        <v>0</v>
      </c>
      <c r="WFC36" s="17">
        <f>'Form-Sb'!WFG94</f>
        <v>0</v>
      </c>
      <c r="WFD36" s="17">
        <f>'Form-Sb'!WFH94</f>
        <v>0</v>
      </c>
      <c r="WFE36" s="17">
        <f>'Form-Sb'!WFI94</f>
        <v>0</v>
      </c>
      <c r="WFF36" s="17">
        <f>'Form-Sb'!WFJ94</f>
        <v>0</v>
      </c>
      <c r="WFG36" s="17">
        <f>'Form-Sb'!WFK94</f>
        <v>0</v>
      </c>
      <c r="WFH36" s="17">
        <f>'Form-Sb'!WFL94</f>
        <v>0</v>
      </c>
      <c r="WFI36" s="17">
        <f>'Form-Sb'!WFM94</f>
        <v>0</v>
      </c>
      <c r="WFJ36" s="17">
        <f>'Form-Sb'!WFN94</f>
        <v>0</v>
      </c>
      <c r="WFK36" s="17">
        <f>'Form-Sb'!WFO94</f>
        <v>0</v>
      </c>
      <c r="WFL36" s="17">
        <f>'Form-Sb'!WFP94</f>
        <v>0</v>
      </c>
      <c r="WFM36" s="17">
        <f>'Form-Sb'!WFQ94</f>
        <v>0</v>
      </c>
      <c r="WFN36" s="17">
        <f>'Form-Sb'!WFR94</f>
        <v>0</v>
      </c>
      <c r="WFO36" s="17">
        <f>'Form-Sb'!WFS94</f>
        <v>0</v>
      </c>
      <c r="WFP36" s="17">
        <f>'Form-Sb'!WFT94</f>
        <v>0</v>
      </c>
      <c r="WFQ36" s="17">
        <f>'Form-Sb'!WFU94</f>
        <v>0</v>
      </c>
      <c r="WFR36" s="17">
        <f>'Form-Sb'!WFV94</f>
        <v>0</v>
      </c>
      <c r="WFS36" s="17">
        <f>'Form-Sb'!WFW94</f>
        <v>0</v>
      </c>
      <c r="WFT36" s="17">
        <f>'Form-Sb'!WFX94</f>
        <v>0</v>
      </c>
      <c r="WFU36" s="17">
        <f>'Form-Sb'!WFY94</f>
        <v>0</v>
      </c>
      <c r="WFV36" s="17">
        <f>'Form-Sb'!WFZ94</f>
        <v>0</v>
      </c>
      <c r="WFW36" s="17">
        <f>'Form-Sb'!WGA94</f>
        <v>0</v>
      </c>
      <c r="WFX36" s="17">
        <f>'Form-Sb'!WGB94</f>
        <v>0</v>
      </c>
      <c r="WFY36" s="17">
        <f>'Form-Sb'!WGC94</f>
        <v>0</v>
      </c>
      <c r="WFZ36" s="17">
        <f>'Form-Sb'!WGD94</f>
        <v>0</v>
      </c>
      <c r="WGA36" s="17">
        <f>'Form-Sb'!WGE94</f>
        <v>0</v>
      </c>
      <c r="WGB36" s="17">
        <f>'Form-Sb'!WGF94</f>
        <v>0</v>
      </c>
      <c r="WGC36" s="17">
        <f>'Form-Sb'!WGG94</f>
        <v>0</v>
      </c>
      <c r="WGD36" s="17">
        <f>'Form-Sb'!WGH94</f>
        <v>0</v>
      </c>
      <c r="WGE36" s="17">
        <f>'Form-Sb'!WGI94</f>
        <v>0</v>
      </c>
      <c r="WGF36" s="17">
        <f>'Form-Sb'!WGJ94</f>
        <v>0</v>
      </c>
      <c r="WGG36" s="17">
        <f>'Form-Sb'!WGK94</f>
        <v>0</v>
      </c>
      <c r="WGH36" s="17">
        <f>'Form-Sb'!WGL94</f>
        <v>0</v>
      </c>
      <c r="WGI36" s="17">
        <f>'Form-Sb'!WGM94</f>
        <v>0</v>
      </c>
      <c r="WGJ36" s="17">
        <f>'Form-Sb'!WGN94</f>
        <v>0</v>
      </c>
      <c r="WGK36" s="17">
        <f>'Form-Sb'!WGO94</f>
        <v>0</v>
      </c>
      <c r="WGL36" s="17">
        <f>'Form-Sb'!WGP94</f>
        <v>0</v>
      </c>
      <c r="WGM36" s="17">
        <f>'Form-Sb'!WGQ94</f>
        <v>0</v>
      </c>
      <c r="WGN36" s="17">
        <f>'Form-Sb'!WGR94</f>
        <v>0</v>
      </c>
      <c r="WGO36" s="17">
        <f>'Form-Sb'!WGS94</f>
        <v>0</v>
      </c>
      <c r="WGP36" s="17">
        <f>'Form-Sb'!WGT94</f>
        <v>0</v>
      </c>
      <c r="WGQ36" s="17">
        <f>'Form-Sb'!WGU94</f>
        <v>0</v>
      </c>
      <c r="WGR36" s="17">
        <f>'Form-Sb'!WGV94</f>
        <v>0</v>
      </c>
      <c r="WGS36" s="17">
        <f>'Form-Sb'!WGW94</f>
        <v>0</v>
      </c>
      <c r="WGT36" s="17">
        <f>'Form-Sb'!WGX94</f>
        <v>0</v>
      </c>
      <c r="WGU36" s="17">
        <f>'Form-Sb'!WGY94</f>
        <v>0</v>
      </c>
      <c r="WGV36" s="17">
        <f>'Form-Sb'!WGZ94</f>
        <v>0</v>
      </c>
      <c r="WGW36" s="17">
        <f>'Form-Sb'!WHA94</f>
        <v>0</v>
      </c>
      <c r="WGX36" s="17">
        <f>'Form-Sb'!WHB94</f>
        <v>0</v>
      </c>
      <c r="WGY36" s="17">
        <f>'Form-Sb'!WHC94</f>
        <v>0</v>
      </c>
      <c r="WGZ36" s="17">
        <f>'Form-Sb'!WHD94</f>
        <v>0</v>
      </c>
      <c r="WHA36" s="17">
        <f>'Form-Sb'!WHE94</f>
        <v>0</v>
      </c>
      <c r="WHB36" s="17">
        <f>'Form-Sb'!WHF94</f>
        <v>0</v>
      </c>
      <c r="WHC36" s="17">
        <f>'Form-Sb'!WHG94</f>
        <v>0</v>
      </c>
      <c r="WHD36" s="17">
        <f>'Form-Sb'!WHH94</f>
        <v>0</v>
      </c>
      <c r="WHE36" s="17">
        <f>'Form-Sb'!WHI94</f>
        <v>0</v>
      </c>
      <c r="WHF36" s="17">
        <f>'Form-Sb'!WHJ94</f>
        <v>0</v>
      </c>
      <c r="WHG36" s="17">
        <f>'Form-Sb'!WHK94</f>
        <v>0</v>
      </c>
      <c r="WHH36" s="17">
        <f>'Form-Sb'!WHL94</f>
        <v>0</v>
      </c>
      <c r="WHI36" s="17">
        <f>'Form-Sb'!WHM94</f>
        <v>0</v>
      </c>
      <c r="WHJ36" s="17">
        <f>'Form-Sb'!WHN94</f>
        <v>0</v>
      </c>
      <c r="WHK36" s="17">
        <f>'Form-Sb'!WHO94</f>
        <v>0</v>
      </c>
      <c r="WHL36" s="17">
        <f>'Form-Sb'!WHP94</f>
        <v>0</v>
      </c>
      <c r="WHM36" s="17">
        <f>'Form-Sb'!WHQ94</f>
        <v>0</v>
      </c>
      <c r="WHN36" s="17">
        <f>'Form-Sb'!WHR94</f>
        <v>0</v>
      </c>
      <c r="WHO36" s="17">
        <f>'Form-Sb'!WHS94</f>
        <v>0</v>
      </c>
      <c r="WHP36" s="17">
        <f>'Form-Sb'!WHT94</f>
        <v>0</v>
      </c>
      <c r="WHQ36" s="17">
        <f>'Form-Sb'!WHU94</f>
        <v>0</v>
      </c>
      <c r="WHR36" s="17">
        <f>'Form-Sb'!WHV94</f>
        <v>0</v>
      </c>
      <c r="WHS36" s="17">
        <f>'Form-Sb'!WHW94</f>
        <v>0</v>
      </c>
      <c r="WHT36" s="17">
        <f>'Form-Sb'!WHX94</f>
        <v>0</v>
      </c>
      <c r="WHU36" s="17">
        <f>'Form-Sb'!WHY94</f>
        <v>0</v>
      </c>
      <c r="WHV36" s="17">
        <f>'Form-Sb'!WHZ94</f>
        <v>0</v>
      </c>
      <c r="WHW36" s="17">
        <f>'Form-Sb'!WIA94</f>
        <v>0</v>
      </c>
      <c r="WHX36" s="17">
        <f>'Form-Sb'!WIB94</f>
        <v>0</v>
      </c>
      <c r="WHY36" s="17">
        <f>'Form-Sb'!WIC94</f>
        <v>0</v>
      </c>
      <c r="WHZ36" s="17">
        <f>'Form-Sb'!WID94</f>
        <v>0</v>
      </c>
      <c r="WIA36" s="17">
        <f>'Form-Sb'!WIE94</f>
        <v>0</v>
      </c>
      <c r="WIB36" s="17">
        <f>'Form-Sb'!WIF94</f>
        <v>0</v>
      </c>
      <c r="WIC36" s="17">
        <f>'Form-Sb'!WIG94</f>
        <v>0</v>
      </c>
      <c r="WID36" s="17">
        <f>'Form-Sb'!WIH94</f>
        <v>0</v>
      </c>
      <c r="WIE36" s="17">
        <f>'Form-Sb'!WII94</f>
        <v>0</v>
      </c>
      <c r="WIF36" s="17">
        <f>'Form-Sb'!WIJ94</f>
        <v>0</v>
      </c>
      <c r="WIG36" s="17">
        <f>'Form-Sb'!WIK94</f>
        <v>0</v>
      </c>
      <c r="WIH36" s="17">
        <f>'Form-Sb'!WIL94</f>
        <v>0</v>
      </c>
      <c r="WII36" s="17">
        <f>'Form-Sb'!WIM94</f>
        <v>0</v>
      </c>
      <c r="WIJ36" s="17">
        <f>'Form-Sb'!WIN94</f>
        <v>0</v>
      </c>
      <c r="WIK36" s="17">
        <f>'Form-Sb'!WIO94</f>
        <v>0</v>
      </c>
      <c r="WIL36" s="17">
        <f>'Form-Sb'!WIP94</f>
        <v>0</v>
      </c>
      <c r="WIM36" s="17">
        <f>'Form-Sb'!WIQ94</f>
        <v>0</v>
      </c>
      <c r="WIN36" s="17">
        <f>'Form-Sb'!WIR94</f>
        <v>0</v>
      </c>
      <c r="WIO36" s="17">
        <f>'Form-Sb'!WIS94</f>
        <v>0</v>
      </c>
      <c r="WIP36" s="17">
        <f>'Form-Sb'!WIT94</f>
        <v>0</v>
      </c>
      <c r="WIQ36" s="17">
        <f>'Form-Sb'!WIU94</f>
        <v>0</v>
      </c>
      <c r="WIR36" s="17">
        <f>'Form-Sb'!WIV94</f>
        <v>0</v>
      </c>
      <c r="WIS36" s="17">
        <f>'Form-Sb'!WIW94</f>
        <v>0</v>
      </c>
      <c r="WIT36" s="17">
        <f>'Form-Sb'!WIX94</f>
        <v>0</v>
      </c>
      <c r="WIU36" s="17">
        <f>'Form-Sb'!WIY94</f>
        <v>0</v>
      </c>
      <c r="WIV36" s="17">
        <f>'Form-Sb'!WIZ94</f>
        <v>0</v>
      </c>
      <c r="WIW36" s="17">
        <f>'Form-Sb'!WJA94</f>
        <v>0</v>
      </c>
      <c r="WIX36" s="17">
        <f>'Form-Sb'!WJB94</f>
        <v>0</v>
      </c>
      <c r="WIY36" s="17">
        <f>'Form-Sb'!WJC94</f>
        <v>0</v>
      </c>
      <c r="WIZ36" s="17">
        <f>'Form-Sb'!WJD94</f>
        <v>0</v>
      </c>
      <c r="WJA36" s="17">
        <f>'Form-Sb'!WJE94</f>
        <v>0</v>
      </c>
      <c r="WJB36" s="17">
        <f>'Form-Sb'!WJF94</f>
        <v>0</v>
      </c>
      <c r="WJC36" s="17">
        <f>'Form-Sb'!WJG94</f>
        <v>0</v>
      </c>
      <c r="WJD36" s="17">
        <f>'Form-Sb'!WJH94</f>
        <v>0</v>
      </c>
      <c r="WJE36" s="17">
        <f>'Form-Sb'!WJI94</f>
        <v>0</v>
      </c>
      <c r="WJF36" s="17">
        <f>'Form-Sb'!WJJ94</f>
        <v>0</v>
      </c>
      <c r="WJG36" s="17">
        <f>'Form-Sb'!WJK94</f>
        <v>0</v>
      </c>
      <c r="WJH36" s="17">
        <f>'Form-Sb'!WJL94</f>
        <v>0</v>
      </c>
      <c r="WJI36" s="17">
        <f>'Form-Sb'!WJM94</f>
        <v>0</v>
      </c>
      <c r="WJJ36" s="17">
        <f>'Form-Sb'!WJN94</f>
        <v>0</v>
      </c>
      <c r="WJK36" s="17">
        <f>'Form-Sb'!WJO94</f>
        <v>0</v>
      </c>
      <c r="WJL36" s="17">
        <f>'Form-Sb'!WJP94</f>
        <v>0</v>
      </c>
      <c r="WJM36" s="17">
        <f>'Form-Sb'!WJQ94</f>
        <v>0</v>
      </c>
      <c r="WJN36" s="17">
        <f>'Form-Sb'!WJR94</f>
        <v>0</v>
      </c>
      <c r="WJO36" s="17">
        <f>'Form-Sb'!WJS94</f>
        <v>0</v>
      </c>
      <c r="WJP36" s="17">
        <f>'Form-Sb'!WJT94</f>
        <v>0</v>
      </c>
      <c r="WJQ36" s="17">
        <f>'Form-Sb'!WJU94</f>
        <v>0</v>
      </c>
      <c r="WJR36" s="17">
        <f>'Form-Sb'!WJV94</f>
        <v>0</v>
      </c>
      <c r="WJS36" s="17">
        <f>'Form-Sb'!WJW94</f>
        <v>0</v>
      </c>
      <c r="WJT36" s="17">
        <f>'Form-Sb'!WJX94</f>
        <v>0</v>
      </c>
      <c r="WJU36" s="17">
        <f>'Form-Sb'!WJY94</f>
        <v>0</v>
      </c>
      <c r="WJV36" s="17">
        <f>'Form-Sb'!WJZ94</f>
        <v>0</v>
      </c>
      <c r="WJW36" s="17">
        <f>'Form-Sb'!WKA94</f>
        <v>0</v>
      </c>
      <c r="WJX36" s="17">
        <f>'Form-Sb'!WKB94</f>
        <v>0</v>
      </c>
      <c r="WJY36" s="17">
        <f>'Form-Sb'!WKC94</f>
        <v>0</v>
      </c>
      <c r="WJZ36" s="17">
        <f>'Form-Sb'!WKD94</f>
        <v>0</v>
      </c>
      <c r="WKA36" s="17">
        <f>'Form-Sb'!WKE94</f>
        <v>0</v>
      </c>
      <c r="WKB36" s="17">
        <f>'Form-Sb'!WKF94</f>
        <v>0</v>
      </c>
      <c r="WKC36" s="17">
        <f>'Form-Sb'!WKG94</f>
        <v>0</v>
      </c>
      <c r="WKD36" s="17">
        <f>'Form-Sb'!WKH94</f>
        <v>0</v>
      </c>
      <c r="WKE36" s="17">
        <f>'Form-Sb'!WKI94</f>
        <v>0</v>
      </c>
      <c r="WKF36" s="17">
        <f>'Form-Sb'!WKJ94</f>
        <v>0</v>
      </c>
      <c r="WKG36" s="17">
        <f>'Form-Sb'!WKK94</f>
        <v>0</v>
      </c>
      <c r="WKH36" s="17">
        <f>'Form-Sb'!WKL94</f>
        <v>0</v>
      </c>
      <c r="WKI36" s="17">
        <f>'Form-Sb'!WKM94</f>
        <v>0</v>
      </c>
      <c r="WKJ36" s="17">
        <f>'Form-Sb'!WKN94</f>
        <v>0</v>
      </c>
      <c r="WKK36" s="17">
        <f>'Form-Sb'!WKO94</f>
        <v>0</v>
      </c>
      <c r="WKL36" s="17">
        <f>'Form-Sb'!WKP94</f>
        <v>0</v>
      </c>
      <c r="WKM36" s="17">
        <f>'Form-Sb'!WKQ94</f>
        <v>0</v>
      </c>
      <c r="WKN36" s="17">
        <f>'Form-Sb'!WKR94</f>
        <v>0</v>
      </c>
      <c r="WKO36" s="17">
        <f>'Form-Sb'!WKS94</f>
        <v>0</v>
      </c>
      <c r="WKP36" s="17">
        <f>'Form-Sb'!WKT94</f>
        <v>0</v>
      </c>
      <c r="WKQ36" s="17">
        <f>'Form-Sb'!WKU94</f>
        <v>0</v>
      </c>
      <c r="WKR36" s="17">
        <f>'Form-Sb'!WKV94</f>
        <v>0</v>
      </c>
      <c r="WKS36" s="17">
        <f>'Form-Sb'!WKW94</f>
        <v>0</v>
      </c>
      <c r="WKT36" s="17">
        <f>'Form-Sb'!WKX94</f>
        <v>0</v>
      </c>
      <c r="WKU36" s="17">
        <f>'Form-Sb'!WKY94</f>
        <v>0</v>
      </c>
      <c r="WKV36" s="17">
        <f>'Form-Sb'!WKZ94</f>
        <v>0</v>
      </c>
      <c r="WKW36" s="17">
        <f>'Form-Sb'!WLA94</f>
        <v>0</v>
      </c>
      <c r="WKX36" s="17">
        <f>'Form-Sb'!WLB94</f>
        <v>0</v>
      </c>
      <c r="WKY36" s="17">
        <f>'Form-Sb'!WLC94</f>
        <v>0</v>
      </c>
      <c r="WKZ36" s="17">
        <f>'Form-Sb'!WLD94</f>
        <v>0</v>
      </c>
      <c r="WLA36" s="17">
        <f>'Form-Sb'!WLE94</f>
        <v>0</v>
      </c>
      <c r="WLB36" s="17">
        <f>'Form-Sb'!WLF94</f>
        <v>0</v>
      </c>
      <c r="WLC36" s="17">
        <f>'Form-Sb'!WLG94</f>
        <v>0</v>
      </c>
      <c r="WLD36" s="17">
        <f>'Form-Sb'!WLH94</f>
        <v>0</v>
      </c>
      <c r="WLE36" s="17">
        <f>'Form-Sb'!WLI94</f>
        <v>0</v>
      </c>
      <c r="WLF36" s="17">
        <f>'Form-Sb'!WLJ94</f>
        <v>0</v>
      </c>
      <c r="WLG36" s="17">
        <f>'Form-Sb'!WLK94</f>
        <v>0</v>
      </c>
      <c r="WLH36" s="17">
        <f>'Form-Sb'!WLL94</f>
        <v>0</v>
      </c>
      <c r="WLI36" s="17">
        <f>'Form-Sb'!WLM94</f>
        <v>0</v>
      </c>
      <c r="WLJ36" s="17">
        <f>'Form-Sb'!WLN94</f>
        <v>0</v>
      </c>
      <c r="WLK36" s="17">
        <f>'Form-Sb'!WLO94</f>
        <v>0</v>
      </c>
      <c r="WLL36" s="17">
        <f>'Form-Sb'!WLP94</f>
        <v>0</v>
      </c>
      <c r="WLM36" s="17">
        <f>'Form-Sb'!WLQ94</f>
        <v>0</v>
      </c>
      <c r="WLN36" s="17">
        <f>'Form-Sb'!WLR94</f>
        <v>0</v>
      </c>
      <c r="WLO36" s="17">
        <f>'Form-Sb'!WLS94</f>
        <v>0</v>
      </c>
      <c r="WLP36" s="17">
        <f>'Form-Sb'!WLT94</f>
        <v>0</v>
      </c>
      <c r="WLQ36" s="17">
        <f>'Form-Sb'!WLU94</f>
        <v>0</v>
      </c>
      <c r="WLR36" s="17">
        <f>'Form-Sb'!WLV94</f>
        <v>0</v>
      </c>
      <c r="WLS36" s="17">
        <f>'Form-Sb'!WLW94</f>
        <v>0</v>
      </c>
      <c r="WLT36" s="17">
        <f>'Form-Sb'!WLX94</f>
        <v>0</v>
      </c>
      <c r="WLU36" s="17">
        <f>'Form-Sb'!WLY94</f>
        <v>0</v>
      </c>
      <c r="WLV36" s="17">
        <f>'Form-Sb'!WLZ94</f>
        <v>0</v>
      </c>
      <c r="WLW36" s="17">
        <f>'Form-Sb'!WMA94</f>
        <v>0</v>
      </c>
      <c r="WLX36" s="17">
        <f>'Form-Sb'!WMB94</f>
        <v>0</v>
      </c>
      <c r="WLY36" s="17">
        <f>'Form-Sb'!WMC94</f>
        <v>0</v>
      </c>
      <c r="WLZ36" s="17">
        <f>'Form-Sb'!WMD94</f>
        <v>0</v>
      </c>
      <c r="WMA36" s="17">
        <f>'Form-Sb'!WME94</f>
        <v>0</v>
      </c>
      <c r="WMB36" s="17">
        <f>'Form-Sb'!WMF94</f>
        <v>0</v>
      </c>
      <c r="WMC36" s="17">
        <f>'Form-Sb'!WMG94</f>
        <v>0</v>
      </c>
      <c r="WMD36" s="17">
        <f>'Form-Sb'!WMH94</f>
        <v>0</v>
      </c>
      <c r="WME36" s="17">
        <f>'Form-Sb'!WMI94</f>
        <v>0</v>
      </c>
      <c r="WMF36" s="17">
        <f>'Form-Sb'!WMJ94</f>
        <v>0</v>
      </c>
      <c r="WMG36" s="17">
        <f>'Form-Sb'!WMK94</f>
        <v>0</v>
      </c>
      <c r="WMH36" s="17">
        <f>'Form-Sb'!WML94</f>
        <v>0</v>
      </c>
      <c r="WMI36" s="17">
        <f>'Form-Sb'!WMM94</f>
        <v>0</v>
      </c>
      <c r="WMJ36" s="17">
        <f>'Form-Sb'!WMN94</f>
        <v>0</v>
      </c>
      <c r="WMK36" s="17">
        <f>'Form-Sb'!WMO94</f>
        <v>0</v>
      </c>
      <c r="WML36" s="17">
        <f>'Form-Sb'!WMP94</f>
        <v>0</v>
      </c>
      <c r="WMM36" s="17">
        <f>'Form-Sb'!WMQ94</f>
        <v>0</v>
      </c>
      <c r="WMN36" s="17">
        <f>'Form-Sb'!WMR94</f>
        <v>0</v>
      </c>
      <c r="WMO36" s="17">
        <f>'Form-Sb'!WMS94</f>
        <v>0</v>
      </c>
      <c r="WMP36" s="17">
        <f>'Form-Sb'!WMT94</f>
        <v>0</v>
      </c>
      <c r="WMQ36" s="17">
        <f>'Form-Sb'!WMU94</f>
        <v>0</v>
      </c>
      <c r="WMR36" s="17">
        <f>'Form-Sb'!WMV94</f>
        <v>0</v>
      </c>
      <c r="WMS36" s="17">
        <f>'Form-Sb'!WMW94</f>
        <v>0</v>
      </c>
      <c r="WMT36" s="17">
        <f>'Form-Sb'!WMX94</f>
        <v>0</v>
      </c>
      <c r="WMU36" s="17">
        <f>'Form-Sb'!WMY94</f>
        <v>0</v>
      </c>
      <c r="WMV36" s="17">
        <f>'Form-Sb'!WMZ94</f>
        <v>0</v>
      </c>
      <c r="WMW36" s="17">
        <f>'Form-Sb'!WNA94</f>
        <v>0</v>
      </c>
      <c r="WMX36" s="17">
        <f>'Form-Sb'!WNB94</f>
        <v>0</v>
      </c>
      <c r="WMY36" s="17">
        <f>'Form-Sb'!WNC94</f>
        <v>0</v>
      </c>
      <c r="WMZ36" s="17">
        <f>'Form-Sb'!WND94</f>
        <v>0</v>
      </c>
      <c r="WNA36" s="17">
        <f>'Form-Sb'!WNE94</f>
        <v>0</v>
      </c>
      <c r="WNB36" s="17">
        <f>'Form-Sb'!WNF94</f>
        <v>0</v>
      </c>
      <c r="WNC36" s="17">
        <f>'Form-Sb'!WNG94</f>
        <v>0</v>
      </c>
      <c r="WND36" s="17">
        <f>'Form-Sb'!WNH94</f>
        <v>0</v>
      </c>
      <c r="WNE36" s="17">
        <f>'Form-Sb'!WNI94</f>
        <v>0</v>
      </c>
      <c r="WNF36" s="17">
        <f>'Form-Sb'!WNJ94</f>
        <v>0</v>
      </c>
      <c r="WNG36" s="17">
        <f>'Form-Sb'!WNK94</f>
        <v>0</v>
      </c>
      <c r="WNH36" s="17">
        <f>'Form-Sb'!WNL94</f>
        <v>0</v>
      </c>
      <c r="WNI36" s="17">
        <f>'Form-Sb'!WNM94</f>
        <v>0</v>
      </c>
      <c r="WNJ36" s="17">
        <f>'Form-Sb'!WNN94</f>
        <v>0</v>
      </c>
      <c r="WNK36" s="17">
        <f>'Form-Sb'!WNO94</f>
        <v>0</v>
      </c>
      <c r="WNL36" s="17">
        <f>'Form-Sb'!WNP94</f>
        <v>0</v>
      </c>
      <c r="WNM36" s="17">
        <f>'Form-Sb'!WNQ94</f>
        <v>0</v>
      </c>
      <c r="WNN36" s="17">
        <f>'Form-Sb'!WNR94</f>
        <v>0</v>
      </c>
      <c r="WNO36" s="17">
        <f>'Form-Sb'!WNS94</f>
        <v>0</v>
      </c>
      <c r="WNP36" s="17">
        <f>'Form-Sb'!WNT94</f>
        <v>0</v>
      </c>
      <c r="WNQ36" s="17">
        <f>'Form-Sb'!WNU94</f>
        <v>0</v>
      </c>
      <c r="WNR36" s="17">
        <f>'Form-Sb'!WNV94</f>
        <v>0</v>
      </c>
      <c r="WNS36" s="17">
        <f>'Form-Sb'!WNW94</f>
        <v>0</v>
      </c>
      <c r="WNT36" s="17">
        <f>'Form-Sb'!WNX94</f>
        <v>0</v>
      </c>
      <c r="WNU36" s="17">
        <f>'Form-Sb'!WNY94</f>
        <v>0</v>
      </c>
      <c r="WNV36" s="17">
        <f>'Form-Sb'!WNZ94</f>
        <v>0</v>
      </c>
      <c r="WNW36" s="17">
        <f>'Form-Sb'!WOA94</f>
        <v>0</v>
      </c>
      <c r="WNX36" s="17">
        <f>'Form-Sb'!WOB94</f>
        <v>0</v>
      </c>
      <c r="WNY36" s="17">
        <f>'Form-Sb'!WOC94</f>
        <v>0</v>
      </c>
      <c r="WNZ36" s="17">
        <f>'Form-Sb'!WOD94</f>
        <v>0</v>
      </c>
      <c r="WOA36" s="17">
        <f>'Form-Sb'!WOE94</f>
        <v>0</v>
      </c>
      <c r="WOB36" s="17">
        <f>'Form-Sb'!WOF94</f>
        <v>0</v>
      </c>
      <c r="WOC36" s="17">
        <f>'Form-Sb'!WOG94</f>
        <v>0</v>
      </c>
      <c r="WOD36" s="17">
        <f>'Form-Sb'!WOH94</f>
        <v>0</v>
      </c>
      <c r="WOE36" s="17">
        <f>'Form-Sb'!WOI94</f>
        <v>0</v>
      </c>
      <c r="WOF36" s="17">
        <f>'Form-Sb'!WOJ94</f>
        <v>0</v>
      </c>
      <c r="WOG36" s="17">
        <f>'Form-Sb'!WOK94</f>
        <v>0</v>
      </c>
      <c r="WOH36" s="17">
        <f>'Form-Sb'!WOL94</f>
        <v>0</v>
      </c>
      <c r="WOI36" s="17">
        <f>'Form-Sb'!WOM94</f>
        <v>0</v>
      </c>
      <c r="WOJ36" s="17">
        <f>'Form-Sb'!WON94</f>
        <v>0</v>
      </c>
      <c r="WOK36" s="17">
        <f>'Form-Sb'!WOO94</f>
        <v>0</v>
      </c>
      <c r="WOL36" s="17">
        <f>'Form-Sb'!WOP94</f>
        <v>0</v>
      </c>
      <c r="WOM36" s="17">
        <f>'Form-Sb'!WOQ94</f>
        <v>0</v>
      </c>
      <c r="WON36" s="17">
        <f>'Form-Sb'!WOR94</f>
        <v>0</v>
      </c>
      <c r="WOO36" s="17">
        <f>'Form-Sb'!WOS94</f>
        <v>0</v>
      </c>
      <c r="WOP36" s="17">
        <f>'Form-Sb'!WOT94</f>
        <v>0</v>
      </c>
      <c r="WOQ36" s="17">
        <f>'Form-Sb'!WOU94</f>
        <v>0</v>
      </c>
      <c r="WOR36" s="17">
        <f>'Form-Sb'!WOV94</f>
        <v>0</v>
      </c>
      <c r="WOS36" s="17">
        <f>'Form-Sb'!WOW94</f>
        <v>0</v>
      </c>
      <c r="WOT36" s="17">
        <f>'Form-Sb'!WOX94</f>
        <v>0</v>
      </c>
      <c r="WOU36" s="17">
        <f>'Form-Sb'!WOY94</f>
        <v>0</v>
      </c>
      <c r="WOV36" s="17">
        <f>'Form-Sb'!WOZ94</f>
        <v>0</v>
      </c>
      <c r="WOW36" s="17">
        <f>'Form-Sb'!WPA94</f>
        <v>0</v>
      </c>
      <c r="WOX36" s="17">
        <f>'Form-Sb'!WPB94</f>
        <v>0</v>
      </c>
      <c r="WOY36" s="17">
        <f>'Form-Sb'!WPC94</f>
        <v>0</v>
      </c>
      <c r="WOZ36" s="17">
        <f>'Form-Sb'!WPD94</f>
        <v>0</v>
      </c>
      <c r="WPA36" s="17">
        <f>'Form-Sb'!WPE94</f>
        <v>0</v>
      </c>
      <c r="WPB36" s="17">
        <f>'Form-Sb'!WPF94</f>
        <v>0</v>
      </c>
      <c r="WPC36" s="17">
        <f>'Form-Sb'!WPG94</f>
        <v>0</v>
      </c>
      <c r="WPD36" s="17">
        <f>'Form-Sb'!WPH94</f>
        <v>0</v>
      </c>
      <c r="WPE36" s="17">
        <f>'Form-Sb'!WPI94</f>
        <v>0</v>
      </c>
      <c r="WPF36" s="17">
        <f>'Form-Sb'!WPJ94</f>
        <v>0</v>
      </c>
      <c r="WPG36" s="17">
        <f>'Form-Sb'!WPK94</f>
        <v>0</v>
      </c>
      <c r="WPH36" s="17">
        <f>'Form-Sb'!WPL94</f>
        <v>0</v>
      </c>
      <c r="WPI36" s="17">
        <f>'Form-Sb'!WPM94</f>
        <v>0</v>
      </c>
      <c r="WPJ36" s="17">
        <f>'Form-Sb'!WPN94</f>
        <v>0</v>
      </c>
      <c r="WPK36" s="17">
        <f>'Form-Sb'!WPO94</f>
        <v>0</v>
      </c>
      <c r="WPL36" s="17">
        <f>'Form-Sb'!WPP94</f>
        <v>0</v>
      </c>
      <c r="WPM36" s="17">
        <f>'Form-Sb'!WPQ94</f>
        <v>0</v>
      </c>
      <c r="WPN36" s="17">
        <f>'Form-Sb'!WPR94</f>
        <v>0</v>
      </c>
      <c r="WPO36" s="17">
        <f>'Form-Sb'!WPS94</f>
        <v>0</v>
      </c>
      <c r="WPP36" s="17">
        <f>'Form-Sb'!WPT94</f>
        <v>0</v>
      </c>
      <c r="WPQ36" s="17">
        <f>'Form-Sb'!WPU94</f>
        <v>0</v>
      </c>
      <c r="WPR36" s="17">
        <f>'Form-Sb'!WPV94</f>
        <v>0</v>
      </c>
      <c r="WPS36" s="17">
        <f>'Form-Sb'!WPW94</f>
        <v>0</v>
      </c>
      <c r="WPT36" s="17">
        <f>'Form-Sb'!WPX94</f>
        <v>0</v>
      </c>
      <c r="WPU36" s="17">
        <f>'Form-Sb'!WPY94</f>
        <v>0</v>
      </c>
      <c r="WPV36" s="17">
        <f>'Form-Sb'!WPZ94</f>
        <v>0</v>
      </c>
      <c r="WPW36" s="17">
        <f>'Form-Sb'!WQA94</f>
        <v>0</v>
      </c>
      <c r="WPX36" s="17">
        <f>'Form-Sb'!WQB94</f>
        <v>0</v>
      </c>
      <c r="WPY36" s="17">
        <f>'Form-Sb'!WQC94</f>
        <v>0</v>
      </c>
      <c r="WPZ36" s="17">
        <f>'Form-Sb'!WQD94</f>
        <v>0</v>
      </c>
      <c r="WQA36" s="17">
        <f>'Form-Sb'!WQE94</f>
        <v>0</v>
      </c>
      <c r="WQB36" s="17">
        <f>'Form-Sb'!WQF94</f>
        <v>0</v>
      </c>
      <c r="WQC36" s="17">
        <f>'Form-Sb'!WQG94</f>
        <v>0</v>
      </c>
      <c r="WQD36" s="17">
        <f>'Form-Sb'!WQH94</f>
        <v>0</v>
      </c>
      <c r="WQE36" s="17">
        <f>'Form-Sb'!WQI94</f>
        <v>0</v>
      </c>
      <c r="WQF36" s="17">
        <f>'Form-Sb'!WQJ94</f>
        <v>0</v>
      </c>
      <c r="WQG36" s="17">
        <f>'Form-Sb'!WQK94</f>
        <v>0</v>
      </c>
      <c r="WQH36" s="17">
        <f>'Form-Sb'!WQL94</f>
        <v>0</v>
      </c>
      <c r="WQI36" s="17">
        <f>'Form-Sb'!WQM94</f>
        <v>0</v>
      </c>
      <c r="WQJ36" s="17">
        <f>'Form-Sb'!WQN94</f>
        <v>0</v>
      </c>
      <c r="WQK36" s="17">
        <f>'Form-Sb'!WQO94</f>
        <v>0</v>
      </c>
      <c r="WQL36" s="17">
        <f>'Form-Sb'!WQP94</f>
        <v>0</v>
      </c>
      <c r="WQM36" s="17">
        <f>'Form-Sb'!WQQ94</f>
        <v>0</v>
      </c>
      <c r="WQN36" s="17">
        <f>'Form-Sb'!WQR94</f>
        <v>0</v>
      </c>
      <c r="WQO36" s="17">
        <f>'Form-Sb'!WQS94</f>
        <v>0</v>
      </c>
      <c r="WQP36" s="17">
        <f>'Form-Sb'!WQT94</f>
        <v>0</v>
      </c>
      <c r="WQQ36" s="17">
        <f>'Form-Sb'!WQU94</f>
        <v>0</v>
      </c>
      <c r="WQR36" s="17">
        <f>'Form-Sb'!WQV94</f>
        <v>0</v>
      </c>
      <c r="WQS36" s="17">
        <f>'Form-Sb'!WQW94</f>
        <v>0</v>
      </c>
      <c r="WQT36" s="17">
        <f>'Form-Sb'!WQX94</f>
        <v>0</v>
      </c>
      <c r="WQU36" s="17">
        <f>'Form-Sb'!WQY94</f>
        <v>0</v>
      </c>
      <c r="WQV36" s="17">
        <f>'Form-Sb'!WQZ94</f>
        <v>0</v>
      </c>
      <c r="WQW36" s="17">
        <f>'Form-Sb'!WRA94</f>
        <v>0</v>
      </c>
      <c r="WQX36" s="17">
        <f>'Form-Sb'!WRB94</f>
        <v>0</v>
      </c>
      <c r="WQY36" s="17">
        <f>'Form-Sb'!WRC94</f>
        <v>0</v>
      </c>
      <c r="WQZ36" s="17">
        <f>'Form-Sb'!WRD94</f>
        <v>0</v>
      </c>
      <c r="WRA36" s="17">
        <f>'Form-Sb'!WRE94</f>
        <v>0</v>
      </c>
      <c r="WRB36" s="17">
        <f>'Form-Sb'!WRF94</f>
        <v>0</v>
      </c>
      <c r="WRC36" s="17">
        <f>'Form-Sb'!WRG94</f>
        <v>0</v>
      </c>
      <c r="WRD36" s="17">
        <f>'Form-Sb'!WRH94</f>
        <v>0</v>
      </c>
      <c r="WRE36" s="17">
        <f>'Form-Sb'!WRI94</f>
        <v>0</v>
      </c>
      <c r="WRF36" s="17">
        <f>'Form-Sb'!WRJ94</f>
        <v>0</v>
      </c>
      <c r="WRG36" s="17">
        <f>'Form-Sb'!WRK94</f>
        <v>0</v>
      </c>
      <c r="WRH36" s="17">
        <f>'Form-Sb'!WRL94</f>
        <v>0</v>
      </c>
      <c r="WRI36" s="17">
        <f>'Form-Sb'!WRM94</f>
        <v>0</v>
      </c>
      <c r="WRJ36" s="17">
        <f>'Form-Sb'!WRN94</f>
        <v>0</v>
      </c>
      <c r="WRK36" s="17">
        <f>'Form-Sb'!WRO94</f>
        <v>0</v>
      </c>
      <c r="WRL36" s="17">
        <f>'Form-Sb'!WRP94</f>
        <v>0</v>
      </c>
      <c r="WRM36" s="17">
        <f>'Form-Sb'!WRQ94</f>
        <v>0</v>
      </c>
      <c r="WRN36" s="17">
        <f>'Form-Sb'!WRR94</f>
        <v>0</v>
      </c>
      <c r="WRO36" s="17">
        <f>'Form-Sb'!WRS94</f>
        <v>0</v>
      </c>
      <c r="WRP36" s="17">
        <f>'Form-Sb'!WRT94</f>
        <v>0</v>
      </c>
      <c r="WRQ36" s="17">
        <f>'Form-Sb'!WRU94</f>
        <v>0</v>
      </c>
      <c r="WRR36" s="17">
        <f>'Form-Sb'!WRV94</f>
        <v>0</v>
      </c>
      <c r="WRS36" s="17">
        <f>'Form-Sb'!WRW94</f>
        <v>0</v>
      </c>
      <c r="WRT36" s="17">
        <f>'Form-Sb'!WRX94</f>
        <v>0</v>
      </c>
      <c r="WRU36" s="17">
        <f>'Form-Sb'!WRY94</f>
        <v>0</v>
      </c>
      <c r="WRV36" s="17">
        <f>'Form-Sb'!WRZ94</f>
        <v>0</v>
      </c>
      <c r="WRW36" s="17">
        <f>'Form-Sb'!WSA94</f>
        <v>0</v>
      </c>
      <c r="WRX36" s="17">
        <f>'Form-Sb'!WSB94</f>
        <v>0</v>
      </c>
      <c r="WRY36" s="17">
        <f>'Form-Sb'!WSC94</f>
        <v>0</v>
      </c>
      <c r="WRZ36" s="17">
        <f>'Form-Sb'!WSD94</f>
        <v>0</v>
      </c>
      <c r="WSA36" s="17">
        <f>'Form-Sb'!WSE94</f>
        <v>0</v>
      </c>
      <c r="WSB36" s="17">
        <f>'Form-Sb'!WSF94</f>
        <v>0</v>
      </c>
      <c r="WSC36" s="17">
        <f>'Form-Sb'!WSG94</f>
        <v>0</v>
      </c>
      <c r="WSD36" s="17">
        <f>'Form-Sb'!WSH94</f>
        <v>0</v>
      </c>
      <c r="WSE36" s="17">
        <f>'Form-Sb'!WSI94</f>
        <v>0</v>
      </c>
      <c r="WSF36" s="17">
        <f>'Form-Sb'!WSJ94</f>
        <v>0</v>
      </c>
      <c r="WSG36" s="17">
        <f>'Form-Sb'!WSK94</f>
        <v>0</v>
      </c>
      <c r="WSH36" s="17">
        <f>'Form-Sb'!WSL94</f>
        <v>0</v>
      </c>
      <c r="WSI36" s="17">
        <f>'Form-Sb'!WSM94</f>
        <v>0</v>
      </c>
      <c r="WSJ36" s="17">
        <f>'Form-Sb'!WSN94</f>
        <v>0</v>
      </c>
      <c r="WSK36" s="17">
        <f>'Form-Sb'!WSO94</f>
        <v>0</v>
      </c>
      <c r="WSL36" s="17">
        <f>'Form-Sb'!WSP94</f>
        <v>0</v>
      </c>
      <c r="WSM36" s="17">
        <f>'Form-Sb'!WSQ94</f>
        <v>0</v>
      </c>
      <c r="WSN36" s="17">
        <f>'Form-Sb'!WSR94</f>
        <v>0</v>
      </c>
      <c r="WSO36" s="17">
        <f>'Form-Sb'!WSS94</f>
        <v>0</v>
      </c>
      <c r="WSP36" s="17">
        <f>'Form-Sb'!WST94</f>
        <v>0</v>
      </c>
      <c r="WSQ36" s="17">
        <f>'Form-Sb'!WSU94</f>
        <v>0</v>
      </c>
      <c r="WSR36" s="17">
        <f>'Form-Sb'!WSV94</f>
        <v>0</v>
      </c>
      <c r="WSS36" s="17">
        <f>'Form-Sb'!WSW94</f>
        <v>0</v>
      </c>
      <c r="WST36" s="17">
        <f>'Form-Sb'!WSX94</f>
        <v>0</v>
      </c>
      <c r="WSU36" s="17">
        <f>'Form-Sb'!WSY94</f>
        <v>0</v>
      </c>
      <c r="WSV36" s="17">
        <f>'Form-Sb'!WSZ94</f>
        <v>0</v>
      </c>
      <c r="WSW36" s="17">
        <f>'Form-Sb'!WTA94</f>
        <v>0</v>
      </c>
      <c r="WSX36" s="17">
        <f>'Form-Sb'!WTB94</f>
        <v>0</v>
      </c>
      <c r="WSY36" s="17">
        <f>'Form-Sb'!WTC94</f>
        <v>0</v>
      </c>
      <c r="WSZ36" s="17">
        <f>'Form-Sb'!WTD94</f>
        <v>0</v>
      </c>
      <c r="WTA36" s="17">
        <f>'Form-Sb'!WTE94</f>
        <v>0</v>
      </c>
      <c r="WTB36" s="17">
        <f>'Form-Sb'!WTF94</f>
        <v>0</v>
      </c>
      <c r="WTC36" s="17">
        <f>'Form-Sb'!WTG94</f>
        <v>0</v>
      </c>
      <c r="WTD36" s="17">
        <f>'Form-Sb'!WTH94</f>
        <v>0</v>
      </c>
      <c r="WTE36" s="17">
        <f>'Form-Sb'!WTI94</f>
        <v>0</v>
      </c>
      <c r="WTF36" s="17">
        <f>'Form-Sb'!WTJ94</f>
        <v>0</v>
      </c>
      <c r="WTG36" s="17">
        <f>'Form-Sb'!WTK94</f>
        <v>0</v>
      </c>
      <c r="WTH36" s="17">
        <f>'Form-Sb'!WTL94</f>
        <v>0</v>
      </c>
      <c r="WTI36" s="17">
        <f>'Form-Sb'!WTM94</f>
        <v>0</v>
      </c>
      <c r="WTJ36" s="17">
        <f>'Form-Sb'!WTN94</f>
        <v>0</v>
      </c>
      <c r="WTK36" s="17">
        <f>'Form-Sb'!WTO94</f>
        <v>0</v>
      </c>
      <c r="WTL36" s="17">
        <f>'Form-Sb'!WTP94</f>
        <v>0</v>
      </c>
      <c r="WTM36" s="17">
        <f>'Form-Sb'!WTQ94</f>
        <v>0</v>
      </c>
      <c r="WTN36" s="17">
        <f>'Form-Sb'!WTR94</f>
        <v>0</v>
      </c>
      <c r="WTO36" s="17">
        <f>'Form-Sb'!WTS94</f>
        <v>0</v>
      </c>
      <c r="WTP36" s="17">
        <f>'Form-Sb'!WTT94</f>
        <v>0</v>
      </c>
      <c r="WTQ36" s="17">
        <f>'Form-Sb'!WTU94</f>
        <v>0</v>
      </c>
      <c r="WTR36" s="17">
        <f>'Form-Sb'!WTV94</f>
        <v>0</v>
      </c>
      <c r="WTS36" s="17">
        <f>'Form-Sb'!WTW94</f>
        <v>0</v>
      </c>
      <c r="WTT36" s="17">
        <f>'Form-Sb'!WTX94</f>
        <v>0</v>
      </c>
      <c r="WTU36" s="17">
        <f>'Form-Sb'!WTY94</f>
        <v>0</v>
      </c>
      <c r="WTV36" s="17">
        <f>'Form-Sb'!WTZ94</f>
        <v>0</v>
      </c>
      <c r="WTW36" s="17">
        <f>'Form-Sb'!WUA94</f>
        <v>0</v>
      </c>
      <c r="WTX36" s="17">
        <f>'Form-Sb'!WUB94</f>
        <v>0</v>
      </c>
      <c r="WTY36" s="17">
        <f>'Form-Sb'!WUC94</f>
        <v>0</v>
      </c>
      <c r="WTZ36" s="17">
        <f>'Form-Sb'!WUD94</f>
        <v>0</v>
      </c>
      <c r="WUA36" s="17">
        <f>'Form-Sb'!WUE94</f>
        <v>0</v>
      </c>
      <c r="WUB36" s="17">
        <f>'Form-Sb'!WUF94</f>
        <v>0</v>
      </c>
      <c r="WUC36" s="17">
        <f>'Form-Sb'!WUG94</f>
        <v>0</v>
      </c>
      <c r="WUD36" s="17">
        <f>'Form-Sb'!WUH94</f>
        <v>0</v>
      </c>
      <c r="WUE36" s="17">
        <f>'Form-Sb'!WUI94</f>
        <v>0</v>
      </c>
      <c r="WUF36" s="17">
        <f>'Form-Sb'!WUJ94</f>
        <v>0</v>
      </c>
      <c r="WUG36" s="17">
        <f>'Form-Sb'!WUK94</f>
        <v>0</v>
      </c>
      <c r="WUH36" s="17">
        <f>'Form-Sb'!WUL94</f>
        <v>0</v>
      </c>
      <c r="WUI36" s="17">
        <f>'Form-Sb'!WUM94</f>
        <v>0</v>
      </c>
      <c r="WUJ36" s="17">
        <f>'Form-Sb'!WUN94</f>
        <v>0</v>
      </c>
      <c r="WUK36" s="17">
        <f>'Form-Sb'!WUO94</f>
        <v>0</v>
      </c>
      <c r="WUL36" s="17">
        <f>'Form-Sb'!WUP94</f>
        <v>0</v>
      </c>
      <c r="WUM36" s="17">
        <f>'Form-Sb'!WUQ94</f>
        <v>0</v>
      </c>
      <c r="WUN36" s="17">
        <f>'Form-Sb'!WUR94</f>
        <v>0</v>
      </c>
      <c r="WUO36" s="17">
        <f>'Form-Sb'!WUS94</f>
        <v>0</v>
      </c>
      <c r="WUP36" s="17">
        <f>'Form-Sb'!WUT94</f>
        <v>0</v>
      </c>
      <c r="WUQ36" s="17">
        <f>'Form-Sb'!WUU94</f>
        <v>0</v>
      </c>
      <c r="WUR36" s="17">
        <f>'Form-Sb'!WUV94</f>
        <v>0</v>
      </c>
      <c r="WUS36" s="17">
        <f>'Form-Sb'!WUW94</f>
        <v>0</v>
      </c>
      <c r="WUT36" s="17">
        <f>'Form-Sb'!WUX94</f>
        <v>0</v>
      </c>
      <c r="WUU36" s="17">
        <f>'Form-Sb'!WUY94</f>
        <v>0</v>
      </c>
      <c r="WUV36" s="17">
        <f>'Form-Sb'!WUZ94</f>
        <v>0</v>
      </c>
      <c r="WUW36" s="17">
        <f>'Form-Sb'!WVA94</f>
        <v>0</v>
      </c>
      <c r="WUX36" s="17">
        <f>'Form-Sb'!WVB94</f>
        <v>0</v>
      </c>
      <c r="WUY36" s="17">
        <f>'Form-Sb'!WVC94</f>
        <v>0</v>
      </c>
      <c r="WUZ36" s="17">
        <f>'Form-Sb'!WVD94</f>
        <v>0</v>
      </c>
      <c r="WVA36" s="17">
        <f>'Form-Sb'!WVE94</f>
        <v>0</v>
      </c>
      <c r="WVB36" s="17">
        <f>'Form-Sb'!WVF94</f>
        <v>0</v>
      </c>
      <c r="WVC36" s="17">
        <f>'Form-Sb'!WVG94</f>
        <v>0</v>
      </c>
      <c r="WVD36" s="17">
        <f>'Form-Sb'!WVH94</f>
        <v>0</v>
      </c>
      <c r="WVE36" s="17">
        <f>'Form-Sb'!WVI94</f>
        <v>0</v>
      </c>
      <c r="WVF36" s="17">
        <f>'Form-Sb'!WVJ94</f>
        <v>0</v>
      </c>
      <c r="WVG36" s="17">
        <f>'Form-Sb'!WVK94</f>
        <v>0</v>
      </c>
      <c r="WVH36" s="17">
        <f>'Form-Sb'!WVL94</f>
        <v>0</v>
      </c>
      <c r="WVI36" s="17">
        <f>'Form-Sb'!WVM94</f>
        <v>0</v>
      </c>
      <c r="WVJ36" s="17">
        <f>'Form-Sb'!WVN94</f>
        <v>0</v>
      </c>
      <c r="WVK36" s="17">
        <f>'Form-Sb'!WVO94</f>
        <v>0</v>
      </c>
      <c r="WVL36" s="17">
        <f>'Form-Sb'!WVP94</f>
        <v>0</v>
      </c>
      <c r="WVM36" s="17">
        <f>'Form-Sb'!WVQ94</f>
        <v>0</v>
      </c>
      <c r="WVN36" s="17">
        <f>'Form-Sb'!WVR94</f>
        <v>0</v>
      </c>
      <c r="WVO36" s="17">
        <f>'Form-Sb'!WVS94</f>
        <v>0</v>
      </c>
      <c r="WVP36" s="17">
        <f>'Form-Sb'!WVT94</f>
        <v>0</v>
      </c>
      <c r="WVQ36" s="17">
        <f>'Form-Sb'!WVU94</f>
        <v>0</v>
      </c>
      <c r="WVR36" s="17">
        <f>'Form-Sb'!WVV94</f>
        <v>0</v>
      </c>
      <c r="WVS36" s="17">
        <f>'Form-Sb'!WVW94</f>
        <v>0</v>
      </c>
      <c r="WVT36" s="17">
        <f>'Form-Sb'!WVX94</f>
        <v>0</v>
      </c>
      <c r="WVU36" s="17">
        <f>'Form-Sb'!WVY94</f>
        <v>0</v>
      </c>
      <c r="WVV36" s="17">
        <f>'Form-Sb'!WVZ94</f>
        <v>0</v>
      </c>
      <c r="WVW36" s="17">
        <f>'Form-Sb'!WWA94</f>
        <v>0</v>
      </c>
      <c r="WVX36" s="17">
        <f>'Form-Sb'!WWB94</f>
        <v>0</v>
      </c>
      <c r="WVY36" s="17">
        <f>'Form-Sb'!WWC94</f>
        <v>0</v>
      </c>
      <c r="WVZ36" s="17">
        <f>'Form-Sb'!WWD94</f>
        <v>0</v>
      </c>
      <c r="WWA36" s="17">
        <f>'Form-Sb'!WWE94</f>
        <v>0</v>
      </c>
      <c r="WWB36" s="17">
        <f>'Form-Sb'!WWF94</f>
        <v>0</v>
      </c>
      <c r="WWC36" s="17">
        <f>'Form-Sb'!WWG94</f>
        <v>0</v>
      </c>
      <c r="WWD36" s="17">
        <f>'Form-Sb'!WWH94</f>
        <v>0</v>
      </c>
      <c r="WWE36" s="17">
        <f>'Form-Sb'!WWI94</f>
        <v>0</v>
      </c>
      <c r="WWF36" s="17">
        <f>'Form-Sb'!WWJ94</f>
        <v>0</v>
      </c>
      <c r="WWG36" s="17">
        <f>'Form-Sb'!WWK94</f>
        <v>0</v>
      </c>
      <c r="WWH36" s="17">
        <f>'Form-Sb'!WWL94</f>
        <v>0</v>
      </c>
      <c r="WWI36" s="17">
        <f>'Form-Sb'!WWM94</f>
        <v>0</v>
      </c>
      <c r="WWJ36" s="17">
        <f>'Form-Sb'!WWN94</f>
        <v>0</v>
      </c>
      <c r="WWK36" s="17">
        <f>'Form-Sb'!WWO94</f>
        <v>0</v>
      </c>
      <c r="WWL36" s="17">
        <f>'Form-Sb'!WWP94</f>
        <v>0</v>
      </c>
      <c r="WWM36" s="17">
        <f>'Form-Sb'!WWQ94</f>
        <v>0</v>
      </c>
      <c r="WWN36" s="17">
        <f>'Form-Sb'!WWR94</f>
        <v>0</v>
      </c>
      <c r="WWO36" s="17">
        <f>'Form-Sb'!WWS94</f>
        <v>0</v>
      </c>
      <c r="WWP36" s="17">
        <f>'Form-Sb'!WWT94</f>
        <v>0</v>
      </c>
      <c r="WWQ36" s="17">
        <f>'Form-Sb'!WWU94</f>
        <v>0</v>
      </c>
      <c r="WWR36" s="17">
        <f>'Form-Sb'!WWV94</f>
        <v>0</v>
      </c>
      <c r="WWS36" s="17">
        <f>'Form-Sb'!WWW94</f>
        <v>0</v>
      </c>
      <c r="WWT36" s="17">
        <f>'Form-Sb'!WWX94</f>
        <v>0</v>
      </c>
      <c r="WWU36" s="17">
        <f>'Form-Sb'!WWY94</f>
        <v>0</v>
      </c>
      <c r="WWV36" s="17">
        <f>'Form-Sb'!WWZ94</f>
        <v>0</v>
      </c>
      <c r="WWW36" s="17">
        <f>'Form-Sb'!WXA94</f>
        <v>0</v>
      </c>
      <c r="WWX36" s="17">
        <f>'Form-Sb'!WXB94</f>
        <v>0</v>
      </c>
      <c r="WWY36" s="17">
        <f>'Form-Sb'!WXC94</f>
        <v>0</v>
      </c>
      <c r="WWZ36" s="17">
        <f>'Form-Sb'!WXD94</f>
        <v>0</v>
      </c>
      <c r="WXA36" s="17">
        <f>'Form-Sb'!WXE94</f>
        <v>0</v>
      </c>
      <c r="WXB36" s="17">
        <f>'Form-Sb'!WXF94</f>
        <v>0</v>
      </c>
      <c r="WXC36" s="17">
        <f>'Form-Sb'!WXG94</f>
        <v>0</v>
      </c>
      <c r="WXD36" s="17">
        <f>'Form-Sb'!WXH94</f>
        <v>0</v>
      </c>
      <c r="WXE36" s="17">
        <f>'Form-Sb'!WXI94</f>
        <v>0</v>
      </c>
      <c r="WXF36" s="17">
        <f>'Form-Sb'!WXJ94</f>
        <v>0</v>
      </c>
      <c r="WXG36" s="17">
        <f>'Form-Sb'!WXK94</f>
        <v>0</v>
      </c>
      <c r="WXH36" s="17">
        <f>'Form-Sb'!WXL94</f>
        <v>0</v>
      </c>
      <c r="WXI36" s="17">
        <f>'Form-Sb'!WXM94</f>
        <v>0</v>
      </c>
      <c r="WXJ36" s="17">
        <f>'Form-Sb'!WXN94</f>
        <v>0</v>
      </c>
      <c r="WXK36" s="17">
        <f>'Form-Sb'!WXO94</f>
        <v>0</v>
      </c>
      <c r="WXL36" s="17">
        <f>'Form-Sb'!WXP94</f>
        <v>0</v>
      </c>
      <c r="WXM36" s="17">
        <f>'Form-Sb'!WXQ94</f>
        <v>0</v>
      </c>
      <c r="WXN36" s="17">
        <f>'Form-Sb'!WXR94</f>
        <v>0</v>
      </c>
      <c r="WXO36" s="17">
        <f>'Form-Sb'!WXS94</f>
        <v>0</v>
      </c>
      <c r="WXP36" s="17">
        <f>'Form-Sb'!WXT94</f>
        <v>0</v>
      </c>
      <c r="WXQ36" s="17">
        <f>'Form-Sb'!WXU94</f>
        <v>0</v>
      </c>
      <c r="WXR36" s="17">
        <f>'Form-Sb'!WXV94</f>
        <v>0</v>
      </c>
      <c r="WXS36" s="17">
        <f>'Form-Sb'!WXW94</f>
        <v>0</v>
      </c>
      <c r="WXT36" s="17">
        <f>'Form-Sb'!WXX94</f>
        <v>0</v>
      </c>
      <c r="WXU36" s="17">
        <f>'Form-Sb'!WXY94</f>
        <v>0</v>
      </c>
      <c r="WXV36" s="17">
        <f>'Form-Sb'!WXZ94</f>
        <v>0</v>
      </c>
      <c r="WXW36" s="17">
        <f>'Form-Sb'!WYA94</f>
        <v>0</v>
      </c>
      <c r="WXX36" s="17">
        <f>'Form-Sb'!WYB94</f>
        <v>0</v>
      </c>
      <c r="WXY36" s="17">
        <f>'Form-Sb'!WYC94</f>
        <v>0</v>
      </c>
      <c r="WXZ36" s="17">
        <f>'Form-Sb'!WYD94</f>
        <v>0</v>
      </c>
      <c r="WYA36" s="17">
        <f>'Form-Sb'!WYE94</f>
        <v>0</v>
      </c>
      <c r="WYB36" s="17">
        <f>'Form-Sb'!WYF94</f>
        <v>0</v>
      </c>
      <c r="WYC36" s="17">
        <f>'Form-Sb'!WYG94</f>
        <v>0</v>
      </c>
      <c r="WYD36" s="17">
        <f>'Form-Sb'!WYH94</f>
        <v>0</v>
      </c>
      <c r="WYE36" s="17">
        <f>'Form-Sb'!WYI94</f>
        <v>0</v>
      </c>
      <c r="WYF36" s="17">
        <f>'Form-Sb'!WYJ94</f>
        <v>0</v>
      </c>
      <c r="WYG36" s="17">
        <f>'Form-Sb'!WYK94</f>
        <v>0</v>
      </c>
      <c r="WYH36" s="17">
        <f>'Form-Sb'!WYL94</f>
        <v>0</v>
      </c>
      <c r="WYI36" s="17">
        <f>'Form-Sb'!WYM94</f>
        <v>0</v>
      </c>
      <c r="WYJ36" s="17">
        <f>'Form-Sb'!WYN94</f>
        <v>0</v>
      </c>
      <c r="WYK36" s="17">
        <f>'Form-Sb'!WYO94</f>
        <v>0</v>
      </c>
      <c r="WYL36" s="17">
        <f>'Form-Sb'!WYP94</f>
        <v>0</v>
      </c>
      <c r="WYM36" s="17">
        <f>'Form-Sb'!WYQ94</f>
        <v>0</v>
      </c>
      <c r="WYN36" s="17">
        <f>'Form-Sb'!WYR94</f>
        <v>0</v>
      </c>
      <c r="WYO36" s="17">
        <f>'Form-Sb'!WYS94</f>
        <v>0</v>
      </c>
      <c r="WYP36" s="17">
        <f>'Form-Sb'!WYT94</f>
        <v>0</v>
      </c>
      <c r="WYQ36" s="17">
        <f>'Form-Sb'!WYU94</f>
        <v>0</v>
      </c>
      <c r="WYR36" s="17">
        <f>'Form-Sb'!WYV94</f>
        <v>0</v>
      </c>
      <c r="WYS36" s="17">
        <f>'Form-Sb'!WYW94</f>
        <v>0</v>
      </c>
      <c r="WYT36" s="17">
        <f>'Form-Sb'!WYX94</f>
        <v>0</v>
      </c>
      <c r="WYU36" s="17">
        <f>'Form-Sb'!WYY94</f>
        <v>0</v>
      </c>
      <c r="WYV36" s="17">
        <f>'Form-Sb'!WYZ94</f>
        <v>0</v>
      </c>
      <c r="WYW36" s="17">
        <f>'Form-Sb'!WZA94</f>
        <v>0</v>
      </c>
      <c r="WYX36" s="17">
        <f>'Form-Sb'!WZB94</f>
        <v>0</v>
      </c>
      <c r="WYY36" s="17">
        <f>'Form-Sb'!WZC94</f>
        <v>0</v>
      </c>
      <c r="WYZ36" s="17">
        <f>'Form-Sb'!WZD94</f>
        <v>0</v>
      </c>
      <c r="WZA36" s="17">
        <f>'Form-Sb'!WZE94</f>
        <v>0</v>
      </c>
      <c r="WZB36" s="17">
        <f>'Form-Sb'!WZF94</f>
        <v>0</v>
      </c>
      <c r="WZC36" s="17">
        <f>'Form-Sb'!WZG94</f>
        <v>0</v>
      </c>
      <c r="WZD36" s="17">
        <f>'Form-Sb'!WZH94</f>
        <v>0</v>
      </c>
      <c r="WZE36" s="17">
        <f>'Form-Sb'!WZI94</f>
        <v>0</v>
      </c>
      <c r="WZF36" s="17">
        <f>'Form-Sb'!WZJ94</f>
        <v>0</v>
      </c>
      <c r="WZG36" s="17">
        <f>'Form-Sb'!WZK94</f>
        <v>0</v>
      </c>
      <c r="WZH36" s="17">
        <f>'Form-Sb'!WZL94</f>
        <v>0</v>
      </c>
      <c r="WZI36" s="17">
        <f>'Form-Sb'!WZM94</f>
        <v>0</v>
      </c>
      <c r="WZJ36" s="17">
        <f>'Form-Sb'!WZN94</f>
        <v>0</v>
      </c>
      <c r="WZK36" s="17">
        <f>'Form-Sb'!WZO94</f>
        <v>0</v>
      </c>
      <c r="WZL36" s="17">
        <f>'Form-Sb'!WZP94</f>
        <v>0</v>
      </c>
      <c r="WZM36" s="17">
        <f>'Form-Sb'!WZQ94</f>
        <v>0</v>
      </c>
      <c r="WZN36" s="17">
        <f>'Form-Sb'!WZR94</f>
        <v>0</v>
      </c>
      <c r="WZO36" s="17">
        <f>'Form-Sb'!WZS94</f>
        <v>0</v>
      </c>
      <c r="WZP36" s="17">
        <f>'Form-Sb'!WZT94</f>
        <v>0</v>
      </c>
      <c r="WZQ36" s="17">
        <f>'Form-Sb'!WZU94</f>
        <v>0</v>
      </c>
      <c r="WZR36" s="17">
        <f>'Form-Sb'!WZV94</f>
        <v>0</v>
      </c>
      <c r="WZS36" s="17">
        <f>'Form-Sb'!WZW94</f>
        <v>0</v>
      </c>
      <c r="WZT36" s="17">
        <f>'Form-Sb'!WZX94</f>
        <v>0</v>
      </c>
      <c r="WZU36" s="17">
        <f>'Form-Sb'!WZY94</f>
        <v>0</v>
      </c>
      <c r="WZV36" s="17">
        <f>'Form-Sb'!WZZ94</f>
        <v>0</v>
      </c>
      <c r="WZW36" s="17">
        <f>'Form-Sb'!XAA94</f>
        <v>0</v>
      </c>
      <c r="WZX36" s="17">
        <f>'Form-Sb'!XAB94</f>
        <v>0</v>
      </c>
      <c r="WZY36" s="17">
        <f>'Form-Sb'!XAC94</f>
        <v>0</v>
      </c>
      <c r="WZZ36" s="17">
        <f>'Form-Sb'!XAD94</f>
        <v>0</v>
      </c>
      <c r="XAA36" s="17">
        <f>'Form-Sb'!XAE94</f>
        <v>0</v>
      </c>
      <c r="XAB36" s="17">
        <f>'Form-Sb'!XAF94</f>
        <v>0</v>
      </c>
      <c r="XAC36" s="17">
        <f>'Form-Sb'!XAG94</f>
        <v>0</v>
      </c>
      <c r="XAD36" s="17">
        <f>'Form-Sb'!XAH94</f>
        <v>0</v>
      </c>
      <c r="XAE36" s="17">
        <f>'Form-Sb'!XAI94</f>
        <v>0</v>
      </c>
      <c r="XAF36" s="17">
        <f>'Form-Sb'!XAJ94</f>
        <v>0</v>
      </c>
      <c r="XAG36" s="17">
        <f>'Form-Sb'!XAK94</f>
        <v>0</v>
      </c>
      <c r="XAH36" s="17">
        <f>'Form-Sb'!XAL94</f>
        <v>0</v>
      </c>
      <c r="XAI36" s="17">
        <f>'Form-Sb'!XAM94</f>
        <v>0</v>
      </c>
      <c r="XAJ36" s="17">
        <f>'Form-Sb'!XAN94</f>
        <v>0</v>
      </c>
      <c r="XAK36" s="17">
        <f>'Form-Sb'!XAO94</f>
        <v>0</v>
      </c>
      <c r="XAL36" s="17">
        <f>'Form-Sb'!XAP94</f>
        <v>0</v>
      </c>
      <c r="XAM36" s="17">
        <f>'Form-Sb'!XAQ94</f>
        <v>0</v>
      </c>
      <c r="XAN36" s="17">
        <f>'Form-Sb'!XAR94</f>
        <v>0</v>
      </c>
      <c r="XAO36" s="17">
        <f>'Form-Sb'!XAS94</f>
        <v>0</v>
      </c>
      <c r="XAP36" s="17">
        <f>'Form-Sb'!XAT94</f>
        <v>0</v>
      </c>
      <c r="XAQ36" s="17">
        <f>'Form-Sb'!XAU94</f>
        <v>0</v>
      </c>
      <c r="XAR36" s="17">
        <f>'Form-Sb'!XAV94</f>
        <v>0</v>
      </c>
      <c r="XAS36" s="17">
        <f>'Form-Sb'!XAW94</f>
        <v>0</v>
      </c>
      <c r="XAT36" s="17">
        <f>'Form-Sb'!XAX94</f>
        <v>0</v>
      </c>
      <c r="XAU36" s="17">
        <f>'Form-Sb'!XAY94</f>
        <v>0</v>
      </c>
      <c r="XAV36" s="17">
        <f>'Form-Sb'!XAZ94</f>
        <v>0</v>
      </c>
      <c r="XAW36" s="17">
        <f>'Form-Sb'!XBA94</f>
        <v>0</v>
      </c>
      <c r="XAX36" s="17">
        <f>'Form-Sb'!XBB94</f>
        <v>0</v>
      </c>
      <c r="XAY36" s="17">
        <f>'Form-Sb'!XBC94</f>
        <v>0</v>
      </c>
      <c r="XAZ36" s="17">
        <f>'Form-Sb'!XBD94</f>
        <v>0</v>
      </c>
      <c r="XBA36" s="17">
        <f>'Form-Sb'!XBE94</f>
        <v>0</v>
      </c>
      <c r="XBB36" s="17">
        <f>'Form-Sb'!XBF94</f>
        <v>0</v>
      </c>
      <c r="XBC36" s="17">
        <f>'Form-Sb'!XBG94</f>
        <v>0</v>
      </c>
      <c r="XBD36" s="17">
        <f>'Form-Sb'!XBH94</f>
        <v>0</v>
      </c>
      <c r="XBE36" s="17">
        <f>'Form-Sb'!XBI94</f>
        <v>0</v>
      </c>
      <c r="XBF36" s="17">
        <f>'Form-Sb'!XBJ94</f>
        <v>0</v>
      </c>
      <c r="XBG36" s="17">
        <f>'Form-Sb'!XBK94</f>
        <v>0</v>
      </c>
      <c r="XBH36" s="17">
        <f>'Form-Sb'!XBL94</f>
        <v>0</v>
      </c>
      <c r="XBI36" s="17">
        <f>'Form-Sb'!XBM94</f>
        <v>0</v>
      </c>
      <c r="XBJ36" s="17">
        <f>'Form-Sb'!XBN94</f>
        <v>0</v>
      </c>
      <c r="XBK36" s="17">
        <f>'Form-Sb'!XBO94</f>
        <v>0</v>
      </c>
      <c r="XBL36" s="17">
        <f>'Form-Sb'!XBP94</f>
        <v>0</v>
      </c>
      <c r="XBM36" s="17">
        <f>'Form-Sb'!XBQ94</f>
        <v>0</v>
      </c>
      <c r="XBN36" s="17">
        <f>'Form-Sb'!XBR94</f>
        <v>0</v>
      </c>
      <c r="XBO36" s="17">
        <f>'Form-Sb'!XBS94</f>
        <v>0</v>
      </c>
      <c r="XBP36" s="17">
        <f>'Form-Sb'!XBT94</f>
        <v>0</v>
      </c>
      <c r="XBQ36" s="17">
        <f>'Form-Sb'!XBU94</f>
        <v>0</v>
      </c>
      <c r="XBR36" s="17">
        <f>'Form-Sb'!XBV94</f>
        <v>0</v>
      </c>
      <c r="XBS36" s="17">
        <f>'Form-Sb'!XBW94</f>
        <v>0</v>
      </c>
      <c r="XBT36" s="17">
        <f>'Form-Sb'!XBX94</f>
        <v>0</v>
      </c>
      <c r="XBU36" s="17">
        <f>'Form-Sb'!XBY94</f>
        <v>0</v>
      </c>
      <c r="XBV36" s="17">
        <f>'Form-Sb'!XBZ94</f>
        <v>0</v>
      </c>
      <c r="XBW36" s="17">
        <f>'Form-Sb'!XCA94</f>
        <v>0</v>
      </c>
      <c r="XBX36" s="17">
        <f>'Form-Sb'!XCB94</f>
        <v>0</v>
      </c>
      <c r="XBY36" s="17">
        <f>'Form-Sb'!XCC94</f>
        <v>0</v>
      </c>
      <c r="XBZ36" s="17">
        <f>'Form-Sb'!XCD94</f>
        <v>0</v>
      </c>
      <c r="XCA36" s="17">
        <f>'Form-Sb'!XCE94</f>
        <v>0</v>
      </c>
      <c r="XCB36" s="17">
        <f>'Form-Sb'!XCF94</f>
        <v>0</v>
      </c>
      <c r="XCC36" s="17">
        <f>'Form-Sb'!XCG94</f>
        <v>0</v>
      </c>
      <c r="XCD36" s="17">
        <f>'Form-Sb'!XCH94</f>
        <v>0</v>
      </c>
      <c r="XCE36" s="17">
        <f>'Form-Sb'!XCI94</f>
        <v>0</v>
      </c>
      <c r="XCF36" s="17">
        <f>'Form-Sb'!XCJ94</f>
        <v>0</v>
      </c>
      <c r="XCG36" s="17">
        <f>'Form-Sb'!XCK94</f>
        <v>0</v>
      </c>
      <c r="XCH36" s="17">
        <f>'Form-Sb'!XCL94</f>
        <v>0</v>
      </c>
      <c r="XCI36" s="17">
        <f>'Form-Sb'!XCM94</f>
        <v>0</v>
      </c>
      <c r="XCJ36" s="17">
        <f>'Form-Sb'!XCN94</f>
        <v>0</v>
      </c>
      <c r="XCK36" s="17">
        <f>'Form-Sb'!XCO94</f>
        <v>0</v>
      </c>
      <c r="XCL36" s="17">
        <f>'Form-Sb'!XCP94</f>
        <v>0</v>
      </c>
      <c r="XCM36" s="17">
        <f>'Form-Sb'!XCQ94</f>
        <v>0</v>
      </c>
      <c r="XCN36" s="17">
        <f>'Form-Sb'!XCR94</f>
        <v>0</v>
      </c>
      <c r="XCO36" s="17">
        <f>'Form-Sb'!XCS94</f>
        <v>0</v>
      </c>
      <c r="XCP36" s="17">
        <f>'Form-Sb'!XCT94</f>
        <v>0</v>
      </c>
      <c r="XCQ36" s="17">
        <f>'Form-Sb'!XCU94</f>
        <v>0</v>
      </c>
      <c r="XCR36" s="17">
        <f>'Form-Sb'!XCV94</f>
        <v>0</v>
      </c>
      <c r="XCS36" s="17">
        <f>'Form-Sb'!XCW94</f>
        <v>0</v>
      </c>
      <c r="XCT36" s="17">
        <f>'Form-Sb'!XCX94</f>
        <v>0</v>
      </c>
      <c r="XCU36" s="17">
        <f>'Form-Sb'!XCY94</f>
        <v>0</v>
      </c>
      <c r="XCV36" s="17">
        <f>'Form-Sb'!XCZ94</f>
        <v>0</v>
      </c>
      <c r="XCW36" s="17">
        <f>'Form-Sb'!XDA94</f>
        <v>0</v>
      </c>
      <c r="XCX36" s="17">
        <f>'Form-Sb'!XDB94</f>
        <v>0</v>
      </c>
      <c r="XCY36" s="17">
        <f>'Form-Sb'!XDC94</f>
        <v>0</v>
      </c>
      <c r="XCZ36" s="17">
        <f>'Form-Sb'!XDD94</f>
        <v>0</v>
      </c>
      <c r="XDA36" s="17">
        <f>'Form-Sb'!XDE94</f>
        <v>0</v>
      </c>
      <c r="XDB36" s="17">
        <f>'Form-Sb'!XDF94</f>
        <v>0</v>
      </c>
      <c r="XDC36" s="17">
        <f>'Form-Sb'!XDG94</f>
        <v>0</v>
      </c>
      <c r="XDD36" s="17">
        <f>'Form-Sb'!XDH94</f>
        <v>0</v>
      </c>
      <c r="XDE36" s="17">
        <f>'Form-Sb'!XDI94</f>
        <v>0</v>
      </c>
      <c r="XDF36" s="17">
        <f>'Form-Sb'!XDJ94</f>
        <v>0</v>
      </c>
      <c r="XDG36" s="17">
        <f>'Form-Sb'!XDK94</f>
        <v>0</v>
      </c>
      <c r="XDH36" s="17">
        <f>'Form-Sb'!XDL94</f>
        <v>0</v>
      </c>
      <c r="XDI36" s="17">
        <f>'Form-Sb'!XDM94</f>
        <v>0</v>
      </c>
      <c r="XDJ36" s="17">
        <f>'Form-Sb'!XDN94</f>
        <v>0</v>
      </c>
      <c r="XDK36" s="17">
        <f>'Form-Sb'!XDO94</f>
        <v>0</v>
      </c>
      <c r="XDL36" s="17">
        <f>'Form-Sb'!XDP94</f>
        <v>0</v>
      </c>
      <c r="XDM36" s="17">
        <f>'Form-Sb'!XDQ94</f>
        <v>0</v>
      </c>
      <c r="XDN36" s="17">
        <f>'Form-Sb'!XDR94</f>
        <v>0</v>
      </c>
      <c r="XDO36" s="17">
        <f>'Form-Sb'!XDS94</f>
        <v>0</v>
      </c>
      <c r="XDP36" s="17">
        <f>'Form-Sb'!XDT94</f>
        <v>0</v>
      </c>
      <c r="XDQ36" s="17">
        <f>'Form-Sb'!XDU94</f>
        <v>0</v>
      </c>
      <c r="XDR36" s="17">
        <f>'Form-Sb'!XDV94</f>
        <v>0</v>
      </c>
      <c r="XDS36" s="17">
        <f>'Form-Sb'!XDW94</f>
        <v>0</v>
      </c>
      <c r="XDT36" s="17">
        <f>'Form-Sb'!XDX94</f>
        <v>0</v>
      </c>
      <c r="XDU36" s="17">
        <f>'Form-Sb'!XDY94</f>
        <v>0</v>
      </c>
      <c r="XDV36" s="17">
        <f>'Form-Sb'!XDZ94</f>
        <v>0</v>
      </c>
      <c r="XDW36" s="17">
        <f>'Form-Sb'!XEA94</f>
        <v>0</v>
      </c>
      <c r="XDX36" s="17">
        <f>'Form-Sb'!XEB94</f>
        <v>0</v>
      </c>
      <c r="XDY36" s="17">
        <f>'Form-Sb'!XEC94</f>
        <v>0</v>
      </c>
      <c r="XDZ36" s="17">
        <f>'Form-Sb'!XED94</f>
        <v>0</v>
      </c>
      <c r="XEA36" s="17">
        <f>'Form-Sb'!XEE94</f>
        <v>0</v>
      </c>
      <c r="XEB36" s="17">
        <f>'Form-Sb'!XEF94</f>
        <v>0</v>
      </c>
      <c r="XEC36" s="17">
        <f>'Form-Sb'!XEG94</f>
        <v>0</v>
      </c>
      <c r="XED36" s="17">
        <f>'Form-Sb'!XEH94</f>
        <v>0</v>
      </c>
      <c r="XEE36" s="17">
        <f>'Form-Sb'!XEI94</f>
        <v>0</v>
      </c>
      <c r="XEF36" s="17">
        <f>'Form-Sb'!XEJ94</f>
        <v>0</v>
      </c>
      <c r="XEG36" s="17">
        <f>'Form-Sb'!XEK94</f>
        <v>0</v>
      </c>
      <c r="XEH36" s="17">
        <f>'Form-Sb'!XEL94</f>
        <v>0</v>
      </c>
      <c r="XEI36" s="17">
        <f>'Form-Sb'!XEM94</f>
        <v>0</v>
      </c>
      <c r="XEJ36" s="17">
        <f>'Form-Sb'!XEN94</f>
        <v>0</v>
      </c>
      <c r="XEK36" s="17">
        <f>'Form-Sb'!XEO94</f>
        <v>0</v>
      </c>
      <c r="XEL36" s="17">
        <f>'Form-Sb'!XEP94</f>
        <v>0</v>
      </c>
      <c r="XEM36" s="17">
        <f>'Form-Sb'!XEQ94</f>
        <v>0</v>
      </c>
      <c r="XEN36" s="17">
        <f>'Form-Sb'!XER94</f>
        <v>0</v>
      </c>
      <c r="XEO36" s="17">
        <f>'Form-Sb'!XES94</f>
        <v>0</v>
      </c>
      <c r="XEP36" s="17">
        <f>'Form-Sb'!XET94</f>
        <v>0</v>
      </c>
      <c r="XEQ36" s="17">
        <f>'Form-Sb'!XEU94</f>
        <v>0</v>
      </c>
      <c r="XER36" s="17">
        <f>'Form-Sb'!XEV94</f>
        <v>0</v>
      </c>
      <c r="XES36" s="17">
        <f>'Form-Sb'!XEW94</f>
        <v>0</v>
      </c>
      <c r="XET36" s="17">
        <f>'Form-Sb'!XEX94</f>
        <v>0</v>
      </c>
      <c r="XEU36" s="17">
        <f>'Form-Sb'!XEY94</f>
        <v>0</v>
      </c>
      <c r="XEV36" s="17">
        <f>'Form-Sb'!XEZ94</f>
        <v>0</v>
      </c>
      <c r="XEW36" s="17">
        <f>'Form-Sb'!XFA94</f>
        <v>0</v>
      </c>
      <c r="XEX36" s="17">
        <f>'Form-Sb'!XFB94</f>
        <v>0</v>
      </c>
      <c r="XEY36" s="17">
        <f>'Form-Sb'!XFC94</f>
        <v>0</v>
      </c>
      <c r="XEZ36" s="17">
        <f>'Form-Sb'!XFD94</f>
        <v>0</v>
      </c>
      <c r="XFA36" s="17" t="e">
        <f>'Form-Sb'!#REF!</f>
        <v>#REF!</v>
      </c>
      <c r="XFB36" s="17" t="e">
        <f>'Form-Sb'!#REF!</f>
        <v>#REF!</v>
      </c>
      <c r="XFC36" s="17" t="e">
        <f>'Form-Sb'!#REF!</f>
        <v>#REF!</v>
      </c>
      <c r="XFD36" s="17" t="e">
        <f>'Form-Sb'!#REF!</f>
        <v>#REF!</v>
      </c>
    </row>
    <row r="37" spans="1:16384" s="497" customFormat="1" ht="14.5" customHeight="1" x14ac:dyDescent="0.35">
      <c r="A37" s="56" t="s">
        <v>2089</v>
      </c>
      <c r="B37" s="3" t="str">
        <f>'Form-Sb'!B95</f>
        <v>Clinker Factor for White Cement</v>
      </c>
      <c r="C37" s="3" t="s">
        <v>56</v>
      </c>
      <c r="D37" s="52" t="s">
        <v>1283</v>
      </c>
      <c r="E37" s="17">
        <f>'Form-Sb'!H95</f>
        <v>0</v>
      </c>
      <c r="F37" s="17">
        <f>'Form-Sb'!I95</f>
        <v>0</v>
      </c>
    </row>
    <row r="38" spans="1:16384" s="497" customFormat="1" ht="14.5" customHeight="1" x14ac:dyDescent="0.35">
      <c r="A38" s="56" t="s">
        <v>2090</v>
      </c>
      <c r="B38" s="3" t="str">
        <f>'Form-Sb'!B96</f>
        <v xml:space="preserve">Clinker Factor for Other variety of Cement </v>
      </c>
      <c r="C38" s="3" t="s">
        <v>56</v>
      </c>
      <c r="D38" s="52" t="s">
        <v>1283</v>
      </c>
      <c r="E38" s="17">
        <f>'Form-Sb'!H96</f>
        <v>0</v>
      </c>
      <c r="F38" s="17">
        <f>'Form-Sb'!I96</f>
        <v>0</v>
      </c>
    </row>
    <row r="39" spans="1:16384" s="497" customFormat="1" ht="14.5" customHeight="1" x14ac:dyDescent="0.35">
      <c r="A39" s="52"/>
      <c r="B39" s="3"/>
      <c r="C39" s="3"/>
      <c r="D39" s="52"/>
      <c r="E39" s="17"/>
      <c r="F39" s="17"/>
    </row>
    <row r="40" spans="1:16384" s="47" customFormat="1" ht="14.5" customHeight="1" x14ac:dyDescent="0.35">
      <c r="A40" s="204" t="s">
        <v>489</v>
      </c>
      <c r="B40" s="1047" t="s">
        <v>1900</v>
      </c>
      <c r="C40" s="930"/>
      <c r="D40" s="930"/>
      <c r="E40" s="930"/>
      <c r="F40" s="1048"/>
      <c r="K40" s="48"/>
    </row>
    <row r="41" spans="1:16384" s="47" customFormat="1" ht="14.5" customHeight="1" x14ac:dyDescent="0.35">
      <c r="A41" s="57" t="s">
        <v>2091</v>
      </c>
      <c r="B41" s="201" t="s">
        <v>1901</v>
      </c>
      <c r="C41" s="45"/>
      <c r="D41" s="202" t="s">
        <v>1902</v>
      </c>
      <c r="E41" s="203" t="e">
        <f>'Form-Sb'!H829</f>
        <v>#DIV/0!</v>
      </c>
      <c r="F41" s="293">
        <f>'Form-Sb'!I829</f>
        <v>0</v>
      </c>
      <c r="K41" s="48"/>
    </row>
    <row r="42" spans="1:16384" s="47" customFormat="1" ht="29" customHeight="1" x14ac:dyDescent="0.35">
      <c r="A42" s="57" t="s">
        <v>2092</v>
      </c>
      <c r="B42" s="201" t="s">
        <v>2093</v>
      </c>
      <c r="C42" s="45"/>
      <c r="D42" s="202" t="s">
        <v>1905</v>
      </c>
      <c r="E42" s="203">
        <f>'Form-Sb'!H830</f>
        <v>0</v>
      </c>
      <c r="F42" s="293">
        <f>'Form-Sb'!I830</f>
        <v>0</v>
      </c>
      <c r="K42" s="48"/>
    </row>
    <row r="43" spans="1:16384" s="47" customFormat="1" ht="29" customHeight="1" x14ac:dyDescent="0.35">
      <c r="A43" s="57" t="s">
        <v>2094</v>
      </c>
      <c r="B43" s="201" t="s">
        <v>1906</v>
      </c>
      <c r="C43" s="45"/>
      <c r="D43" s="202" t="s">
        <v>1907</v>
      </c>
      <c r="E43" s="203">
        <f>'Form-Sb'!H831</f>
        <v>29.876666666666665</v>
      </c>
      <c r="F43" s="293">
        <f>'Form-Sb'!I831</f>
        <v>0</v>
      </c>
      <c r="K43" s="48"/>
    </row>
    <row r="44" spans="1:16384" s="47" customFormat="1" ht="14.5" customHeight="1" x14ac:dyDescent="0.35">
      <c r="A44" s="204" t="s">
        <v>589</v>
      </c>
      <c r="B44" s="1047" t="s">
        <v>2095</v>
      </c>
      <c r="C44" s="930"/>
      <c r="D44" s="930"/>
      <c r="E44" s="930"/>
      <c r="F44" s="1048"/>
      <c r="K44" s="48"/>
    </row>
    <row r="45" spans="1:16384" s="47" customFormat="1" ht="14.5" customHeight="1" x14ac:dyDescent="0.35">
      <c r="A45" s="46" t="s">
        <v>2096</v>
      </c>
      <c r="B45" s="1050" t="s">
        <v>2097</v>
      </c>
      <c r="C45" s="930"/>
      <c r="D45" s="930"/>
      <c r="E45" s="930"/>
      <c r="F45" s="1048"/>
      <c r="K45" s="48"/>
    </row>
    <row r="46" spans="1:16384" ht="27.65" customHeight="1" x14ac:dyDescent="0.35">
      <c r="A46" s="56" t="s">
        <v>110</v>
      </c>
      <c r="B46" s="58" t="str">
        <f>'Form-Sb'!B222</f>
        <v>Total Electricity  Purchased from grid/ Other with out colony/construction  power etc</v>
      </c>
      <c r="C46" s="59" t="s">
        <v>56</v>
      </c>
      <c r="D46" s="52" t="s">
        <v>1336</v>
      </c>
      <c r="E46" s="17">
        <f>'Form-Sb'!H222</f>
        <v>0</v>
      </c>
      <c r="F46" s="67">
        <f>'Form-Sb'!I222</f>
        <v>0</v>
      </c>
      <c r="H46" s="12"/>
      <c r="K46" s="35"/>
    </row>
    <row r="47" spans="1:16384" ht="29" customHeight="1" x14ac:dyDescent="0.35">
      <c r="A47" s="56" t="s">
        <v>115</v>
      </c>
      <c r="B47" s="58" t="str">
        <f>'Form-Sb'!B199</f>
        <v>Purchased Electricity from grid (DISCOM)(Other than Renewables PPA)</v>
      </c>
      <c r="C47" s="59" t="s">
        <v>56</v>
      </c>
      <c r="D47" s="52" t="s">
        <v>1336</v>
      </c>
      <c r="E47" s="17">
        <f>'Form-Sb'!H199</f>
        <v>0</v>
      </c>
      <c r="F47" s="67">
        <f>'Form-Sb'!I199</f>
        <v>0</v>
      </c>
      <c r="H47" s="12"/>
      <c r="K47" s="35"/>
    </row>
    <row r="48" spans="1:16384" ht="29" customHeight="1" x14ac:dyDescent="0.35">
      <c r="A48" s="56" t="s">
        <v>118</v>
      </c>
      <c r="B48" s="58" t="str">
        <f>'Form-Sb'!B200</f>
        <v xml:space="preserve">Renewable Electricity On-Shore Wind and Solar (Through Wheeling) </v>
      </c>
      <c r="C48" s="59" t="s">
        <v>56</v>
      </c>
      <c r="D48" s="52" t="s">
        <v>1336</v>
      </c>
      <c r="E48" s="17">
        <f>'Form-Sb'!H200</f>
        <v>0</v>
      </c>
      <c r="F48" s="67">
        <f>'Form-Sb'!I200</f>
        <v>0</v>
      </c>
      <c r="H48" s="12"/>
      <c r="K48" s="35"/>
    </row>
    <row r="49" spans="1:11" ht="29" customHeight="1" x14ac:dyDescent="0.35">
      <c r="A49" s="56" t="s">
        <v>121</v>
      </c>
      <c r="B49" s="58" t="str">
        <f>'Form-Sb'!B205</f>
        <v>Electricity from CPP located outside from plant boundary (Through Wheeling)</v>
      </c>
      <c r="C49" s="59" t="s">
        <v>56</v>
      </c>
      <c r="D49" s="52" t="s">
        <v>1336</v>
      </c>
      <c r="E49" s="17">
        <f>'Form-Sb'!H205</f>
        <v>0</v>
      </c>
      <c r="F49" s="67">
        <f>'Form-Sb'!I205</f>
        <v>0</v>
      </c>
      <c r="H49" s="12"/>
      <c r="K49" s="35"/>
    </row>
    <row r="50" spans="1:11" ht="14.5" customHeight="1" x14ac:dyDescent="0.35">
      <c r="A50" s="56" t="s">
        <v>124</v>
      </c>
      <c r="B50" s="58" t="str">
        <f>'Form-Sb'!B215</f>
        <v xml:space="preserve">Plant Connected Load </v>
      </c>
      <c r="C50" s="59" t="s">
        <v>56</v>
      </c>
      <c r="D50" s="52" t="s">
        <v>1485</v>
      </c>
      <c r="E50" s="17">
        <f>'Form-Sb'!H215</f>
        <v>0</v>
      </c>
      <c r="F50" s="67">
        <f>'Form-Sb'!I215</f>
        <v>0</v>
      </c>
      <c r="H50" s="12"/>
      <c r="K50" s="35"/>
    </row>
    <row r="51" spans="1:11" ht="14.5" customHeight="1" x14ac:dyDescent="0.35">
      <c r="A51" s="56" t="s">
        <v>162</v>
      </c>
      <c r="B51" s="58" t="str">
        <f>'Form-Sb'!B216</f>
        <v>Contract Demand with utility</v>
      </c>
      <c r="C51" s="59"/>
      <c r="D51" s="52" t="s">
        <v>1487</v>
      </c>
      <c r="E51" s="17">
        <f>'Form-Sb'!H216</f>
        <v>0</v>
      </c>
      <c r="F51" s="67">
        <f>'Form-Sb'!I216</f>
        <v>0</v>
      </c>
      <c r="H51" s="12"/>
      <c r="K51" s="35"/>
    </row>
    <row r="52" spans="1:11" ht="14.5" customHeight="1" x14ac:dyDescent="0.35">
      <c r="A52" s="56"/>
      <c r="B52" s="54"/>
      <c r="C52" s="20"/>
      <c r="D52" s="52"/>
      <c r="E52" s="52"/>
      <c r="F52" s="60"/>
      <c r="H52" s="12"/>
      <c r="K52" s="35"/>
    </row>
    <row r="53" spans="1:11" s="47" customFormat="1" ht="14.5" customHeight="1" x14ac:dyDescent="0.35">
      <c r="A53" s="46" t="s">
        <v>1782</v>
      </c>
      <c r="B53" s="1050" t="s">
        <v>1509</v>
      </c>
      <c r="C53" s="930"/>
      <c r="D53" s="930"/>
      <c r="E53" s="930"/>
      <c r="F53" s="1048"/>
      <c r="K53" s="48"/>
    </row>
    <row r="54" spans="1:11" s="47" customFormat="1" ht="14.5" customHeight="1" x14ac:dyDescent="0.35">
      <c r="A54" s="61" t="s">
        <v>2098</v>
      </c>
      <c r="B54" s="62" t="s">
        <v>2099</v>
      </c>
      <c r="C54" s="63"/>
      <c r="D54" s="64"/>
      <c r="E54" s="64"/>
      <c r="F54" s="65"/>
      <c r="K54" s="48"/>
    </row>
    <row r="55" spans="1:11" s="47" customFormat="1" ht="14.5" customHeight="1" x14ac:dyDescent="0.35">
      <c r="A55" s="56" t="s">
        <v>110</v>
      </c>
      <c r="B55" s="58" t="str">
        <f>'Form-Sb'!B232</f>
        <v>Installed Capacity</v>
      </c>
      <c r="C55" s="63"/>
      <c r="D55" s="52" t="s">
        <v>1336</v>
      </c>
      <c r="E55" s="64">
        <f>'Form-Sb'!H232</f>
        <v>0</v>
      </c>
      <c r="F55" s="66">
        <f>'Form-Sb'!I232</f>
        <v>0</v>
      </c>
      <c r="K55" s="48"/>
    </row>
    <row r="56" spans="1:11" ht="33.75" customHeight="1" x14ac:dyDescent="0.35">
      <c r="A56" s="56" t="s">
        <v>115</v>
      </c>
      <c r="B56" s="58" t="s">
        <v>1592</v>
      </c>
      <c r="C56" s="59" t="s">
        <v>2100</v>
      </c>
      <c r="D56" s="52" t="s">
        <v>1336</v>
      </c>
      <c r="E56" s="64">
        <f>'Form-Sb'!H233</f>
        <v>0</v>
      </c>
      <c r="F56" s="66">
        <f>'Form-Sb'!I233</f>
        <v>0</v>
      </c>
      <c r="H56" s="12"/>
      <c r="K56" s="35"/>
    </row>
    <row r="57" spans="1:11" ht="14.5" customHeight="1" x14ac:dyDescent="0.35">
      <c r="A57" s="56" t="s">
        <v>118</v>
      </c>
      <c r="B57" s="54" t="s">
        <v>2101</v>
      </c>
      <c r="C57" s="20"/>
      <c r="D57" s="52" t="s">
        <v>1060</v>
      </c>
      <c r="E57" s="17">
        <f>'Form-Sb'!H823</f>
        <v>0</v>
      </c>
      <c r="F57" s="67">
        <f>'Form-Sb'!I823</f>
        <v>0</v>
      </c>
      <c r="H57" s="12"/>
      <c r="K57" s="35"/>
    </row>
    <row r="58" spans="1:11" s="47" customFormat="1" ht="14.5" customHeight="1" x14ac:dyDescent="0.35">
      <c r="A58" s="68" t="s">
        <v>2102</v>
      </c>
      <c r="B58" s="1055" t="s">
        <v>2103</v>
      </c>
      <c r="C58" s="930"/>
      <c r="D58" s="930"/>
      <c r="E58" s="930"/>
      <c r="F58" s="931"/>
      <c r="K58" s="48"/>
    </row>
    <row r="59" spans="1:11" s="45" customFormat="1" ht="14.5" customHeight="1" x14ac:dyDescent="0.35">
      <c r="A59" s="56" t="s">
        <v>110</v>
      </c>
      <c r="B59" s="59" t="str">
        <f>'Form-Sb'!B321</f>
        <v>Installed Capacity</v>
      </c>
      <c r="C59" s="290"/>
      <c r="D59" s="52" t="s">
        <v>1049</v>
      </c>
      <c r="E59" s="69">
        <f>'Form-Sb'!H321</f>
        <v>0</v>
      </c>
      <c r="F59" s="294">
        <f>'Form-Sb'!I321</f>
        <v>0</v>
      </c>
      <c r="G59" s="44"/>
    </row>
    <row r="60" spans="1:11" ht="14.5" customHeight="1" x14ac:dyDescent="0.35">
      <c r="A60" s="70" t="s">
        <v>115</v>
      </c>
      <c r="B60" s="71" t="s">
        <v>2104</v>
      </c>
      <c r="C60" s="72"/>
      <c r="D60" s="73" t="s">
        <v>1336</v>
      </c>
      <c r="E60" s="69">
        <f>'Form-Sb'!H322</f>
        <v>953.28</v>
      </c>
      <c r="F60" s="294">
        <f>'Form-Sb'!I322</f>
        <v>0</v>
      </c>
      <c r="H60" s="12"/>
      <c r="K60" s="35"/>
    </row>
    <row r="61" spans="1:11" ht="14.5" customHeight="1" x14ac:dyDescent="0.35">
      <c r="A61" s="56" t="s">
        <v>118</v>
      </c>
      <c r="B61" s="345" t="s">
        <v>2105</v>
      </c>
      <c r="C61" s="18"/>
      <c r="D61" s="52" t="s">
        <v>1528</v>
      </c>
      <c r="E61" s="346">
        <f>'Form-Sb'!H824</f>
        <v>0</v>
      </c>
      <c r="F61" s="347">
        <f>'Form-Sb'!I824</f>
        <v>0</v>
      </c>
      <c r="H61" s="12"/>
      <c r="K61" s="35"/>
    </row>
    <row r="62" spans="1:11" ht="14.5" customHeight="1" x14ac:dyDescent="0.35">
      <c r="A62" s="56" t="s">
        <v>121</v>
      </c>
      <c r="B62" s="58" t="s">
        <v>2106</v>
      </c>
      <c r="C62" s="59"/>
      <c r="D62" s="52" t="s">
        <v>1057</v>
      </c>
      <c r="E62" s="69">
        <f>'Form-Sb'!H323</f>
        <v>0</v>
      </c>
      <c r="F62" s="294">
        <f>'Form-Sb'!I323</f>
        <v>0</v>
      </c>
      <c r="H62" s="12"/>
      <c r="K62" s="35"/>
    </row>
    <row r="63" spans="1:11" ht="14.5" customHeight="1" x14ac:dyDescent="0.35">
      <c r="A63" s="56" t="s">
        <v>124</v>
      </c>
      <c r="B63" s="58" t="str">
        <f>'Form-Sb'!B324</f>
        <v xml:space="preserve">Design Gross Heat Rate </v>
      </c>
      <c r="C63" s="59"/>
      <c r="D63" s="52" t="s">
        <v>1060</v>
      </c>
      <c r="E63" s="69">
        <f>'Form-Sb'!H324</f>
        <v>0</v>
      </c>
      <c r="F63" s="294">
        <f>'Form-Sb'!I324</f>
        <v>0</v>
      </c>
      <c r="H63" s="12"/>
      <c r="K63" s="35"/>
    </row>
    <row r="64" spans="1:11" ht="14.5" customHeight="1" x14ac:dyDescent="0.35">
      <c r="A64" s="56" t="s">
        <v>162</v>
      </c>
      <c r="B64" s="58" t="s">
        <v>1571</v>
      </c>
      <c r="C64" s="59"/>
      <c r="D64" s="52" t="s">
        <v>1057</v>
      </c>
      <c r="E64" s="74">
        <f>'Form-Sb'!H331</f>
        <v>0</v>
      </c>
      <c r="F64" s="295">
        <f>'Form-Sb'!I331</f>
        <v>0</v>
      </c>
      <c r="H64" s="12"/>
      <c r="K64" s="35"/>
    </row>
    <row r="65" spans="1:11" s="47" customFormat="1" ht="14.5" customHeight="1" x14ac:dyDescent="0.35">
      <c r="A65" s="46" t="s">
        <v>1794</v>
      </c>
      <c r="B65" s="75" t="s">
        <v>2107</v>
      </c>
      <c r="C65" s="76"/>
      <c r="D65" s="77" t="s">
        <v>1060</v>
      </c>
      <c r="E65" s="80">
        <f>'Form-Sb'!H826</f>
        <v>0</v>
      </c>
      <c r="F65" s="80">
        <f>'Form-Sb'!I826</f>
        <v>0</v>
      </c>
      <c r="K65" s="48"/>
    </row>
    <row r="66" spans="1:11" s="47" customFormat="1" ht="14.5" customHeight="1" x14ac:dyDescent="0.35">
      <c r="A66" s="46" t="s">
        <v>1802</v>
      </c>
      <c r="B66" s="75" t="s">
        <v>2108</v>
      </c>
      <c r="C66" s="76"/>
      <c r="D66" s="77" t="s">
        <v>1336</v>
      </c>
      <c r="E66" s="79">
        <f>'Form-Sb'!H377</f>
        <v>953.28</v>
      </c>
      <c r="F66" s="297">
        <f>'Form-Sb'!I377</f>
        <v>0</v>
      </c>
      <c r="K66" s="48"/>
    </row>
    <row r="67" spans="1:11" s="47" customFormat="1" ht="14.5" customHeight="1" x14ac:dyDescent="0.35">
      <c r="A67" s="46" t="s">
        <v>1816</v>
      </c>
      <c r="B67" s="75" t="s">
        <v>2109</v>
      </c>
      <c r="C67" s="76"/>
      <c r="D67" s="77" t="s">
        <v>1336</v>
      </c>
      <c r="E67" s="78">
        <f>'Form-Sb'!H382</f>
        <v>0</v>
      </c>
      <c r="F67" s="298">
        <f>'Form-Sb'!I382</f>
        <v>0</v>
      </c>
      <c r="K67" s="48"/>
    </row>
    <row r="68" spans="1:11" s="47" customFormat="1" ht="27.75" customHeight="1" x14ac:dyDescent="0.35">
      <c r="A68" s="46" t="s">
        <v>651</v>
      </c>
      <c r="B68" s="75" t="s">
        <v>1614</v>
      </c>
      <c r="C68" s="76"/>
      <c r="D68" s="77" t="s">
        <v>1139</v>
      </c>
      <c r="E68" s="77">
        <f>E67*2717/10</f>
        <v>0</v>
      </c>
      <c r="F68" s="299">
        <f>F67*2717/10</f>
        <v>0</v>
      </c>
      <c r="K68" s="48"/>
    </row>
    <row r="69" spans="1:11" s="47" customFormat="1" ht="14.5" customHeight="1" x14ac:dyDescent="0.35">
      <c r="A69" s="46" t="s">
        <v>676</v>
      </c>
      <c r="B69" s="75" t="s">
        <v>1616</v>
      </c>
      <c r="C69" s="76"/>
      <c r="D69" s="77" t="s">
        <v>1336</v>
      </c>
      <c r="E69" s="80">
        <f>E66+E46-E67</f>
        <v>953.28</v>
      </c>
      <c r="F69" s="296">
        <f>F66+F46-F67</f>
        <v>0</v>
      </c>
      <c r="K69" s="48"/>
    </row>
    <row r="70" spans="1:11" s="47" customFormat="1" ht="15.5" customHeight="1" x14ac:dyDescent="0.35">
      <c r="A70" s="46" t="s">
        <v>696</v>
      </c>
      <c r="B70" s="1056" t="s">
        <v>2110</v>
      </c>
      <c r="C70" s="930"/>
      <c r="D70" s="930"/>
      <c r="E70" s="930"/>
      <c r="F70" s="1048"/>
      <c r="K70" s="48"/>
    </row>
    <row r="71" spans="1:11" s="47" customFormat="1" ht="14.5" customHeight="1" x14ac:dyDescent="0.35">
      <c r="A71" s="46" t="s">
        <v>698</v>
      </c>
      <c r="B71" s="81" t="s">
        <v>2111</v>
      </c>
      <c r="C71" s="82" t="s">
        <v>2112</v>
      </c>
      <c r="D71" s="83" t="s">
        <v>1867</v>
      </c>
      <c r="E71" s="84">
        <f>'Form-Sb'!H441</f>
        <v>0</v>
      </c>
      <c r="F71" s="300">
        <f>'Form-Sb'!I441</f>
        <v>0</v>
      </c>
      <c r="K71" s="48"/>
    </row>
    <row r="72" spans="1:11" s="47" customFormat="1" ht="14.5" customHeight="1" x14ac:dyDescent="0.35">
      <c r="A72" s="46" t="s">
        <v>724</v>
      </c>
      <c r="B72" s="81" t="s">
        <v>2113</v>
      </c>
      <c r="C72" s="82" t="s">
        <v>2114</v>
      </c>
      <c r="D72" s="83" t="s">
        <v>1867</v>
      </c>
      <c r="E72" s="84">
        <f>'Form-Sb'!H440</f>
        <v>0</v>
      </c>
      <c r="F72" s="300">
        <f>'Form-Sb'!I440</f>
        <v>0</v>
      </c>
      <c r="K72" s="48"/>
    </row>
    <row r="73" spans="1:11" s="47" customFormat="1" ht="14.5" customHeight="1" x14ac:dyDescent="0.35">
      <c r="A73" s="46" t="s">
        <v>737</v>
      </c>
      <c r="B73" s="81" t="s">
        <v>2115</v>
      </c>
      <c r="C73" s="82"/>
      <c r="D73" s="83" t="s">
        <v>1867</v>
      </c>
      <c r="E73" s="84">
        <f>'Form-Sb'!H394</f>
        <v>0</v>
      </c>
      <c r="F73" s="300">
        <f>'Form-Sb'!I394</f>
        <v>0</v>
      </c>
      <c r="K73" s="48"/>
    </row>
    <row r="74" spans="1:11" s="47" customFormat="1" ht="14.5" customHeight="1" x14ac:dyDescent="0.35">
      <c r="A74" s="46" t="s">
        <v>739</v>
      </c>
      <c r="B74" s="81" t="s">
        <v>2116</v>
      </c>
      <c r="C74" s="82"/>
      <c r="D74" s="83" t="s">
        <v>1867</v>
      </c>
      <c r="E74" s="84">
        <f>'Form-Sb'!H418</f>
        <v>0</v>
      </c>
      <c r="F74" s="300">
        <f>'Form-Sb'!I418</f>
        <v>0</v>
      </c>
      <c r="K74" s="48"/>
    </row>
    <row r="75" spans="1:11" s="47" customFormat="1" ht="14.5" customHeight="1" x14ac:dyDescent="0.35">
      <c r="A75" s="46" t="s">
        <v>2117</v>
      </c>
      <c r="B75" s="81" t="s">
        <v>2118</v>
      </c>
      <c r="C75" s="82"/>
      <c r="D75" s="83" t="s">
        <v>1867</v>
      </c>
      <c r="E75" s="84">
        <f>'Form-Sb'!H643</f>
        <v>0</v>
      </c>
      <c r="F75" s="300">
        <f>'Form-Sb'!I643</f>
        <v>0</v>
      </c>
      <c r="K75" s="48"/>
    </row>
    <row r="76" spans="1:11" s="47" customFormat="1" ht="14.5" customHeight="1" x14ac:dyDescent="0.35">
      <c r="A76" s="85" t="s">
        <v>743</v>
      </c>
      <c r="B76" s="86" t="s">
        <v>2119</v>
      </c>
      <c r="C76" s="87"/>
      <c r="D76" s="83" t="s">
        <v>1867</v>
      </c>
      <c r="E76" s="88">
        <f>'Form-Sb'!H698</f>
        <v>0</v>
      </c>
      <c r="F76" s="301">
        <f>'Form-Sb'!I698</f>
        <v>0</v>
      </c>
      <c r="K76" s="48"/>
    </row>
    <row r="77" spans="1:11" s="93" customFormat="1" ht="14.5" customHeight="1" x14ac:dyDescent="0.35">
      <c r="A77" s="89" t="s">
        <v>747</v>
      </c>
      <c r="B77" s="90" t="s">
        <v>1884</v>
      </c>
      <c r="C77" s="91"/>
      <c r="D77" s="91" t="s">
        <v>1139</v>
      </c>
      <c r="E77" s="92">
        <f>'Form-Sb'!H817</f>
        <v>0</v>
      </c>
      <c r="F77" s="302">
        <f>'Form-Sb'!I817</f>
        <v>0</v>
      </c>
      <c r="K77" s="94"/>
    </row>
    <row r="78" spans="1:11" s="95" customFormat="1" ht="31.5" customHeight="1" thickBot="1" x14ac:dyDescent="0.4">
      <c r="A78" s="402" t="s">
        <v>761</v>
      </c>
      <c r="B78" s="96" t="s">
        <v>2120</v>
      </c>
      <c r="C78" s="97"/>
      <c r="D78" s="97" t="s">
        <v>1060</v>
      </c>
      <c r="E78" s="97">
        <v>3208</v>
      </c>
      <c r="F78" s="303">
        <v>3208</v>
      </c>
      <c r="G78" s="98"/>
      <c r="H78" s="99"/>
      <c r="I78" s="100"/>
      <c r="J78" s="100"/>
      <c r="K78" s="101"/>
    </row>
    <row r="79" spans="1:11" s="95" customFormat="1" ht="35.25" customHeight="1" x14ac:dyDescent="0.35">
      <c r="A79" s="102"/>
      <c r="B79" s="103"/>
      <c r="C79" s="103"/>
      <c r="D79" s="104"/>
      <c r="E79" s="103"/>
      <c r="F79" s="103"/>
      <c r="G79" s="103"/>
      <c r="H79" s="105"/>
    </row>
    <row r="80" spans="1:11" ht="14.5" customHeight="1" x14ac:dyDescent="0.35">
      <c r="A80" s="102"/>
      <c r="B80" s="106"/>
      <c r="C80" s="102"/>
      <c r="D80" s="107"/>
      <c r="E80" s="102"/>
      <c r="F80" s="102"/>
      <c r="G80" s="102"/>
      <c r="H80" s="108"/>
    </row>
    <row r="81" spans="1:8" ht="15.5" hidden="1" x14ac:dyDescent="0.35">
      <c r="A81" s="102"/>
      <c r="B81" s="106"/>
      <c r="C81" s="102"/>
      <c r="D81" s="107"/>
      <c r="E81" s="102"/>
      <c r="F81" s="1043" t="s">
        <v>2065</v>
      </c>
      <c r="G81" s="1044"/>
      <c r="H81" s="1030"/>
    </row>
    <row r="82" spans="1:8" ht="15.5" hidden="1" x14ac:dyDescent="0.35">
      <c r="A82" s="102"/>
      <c r="B82" s="109" t="s">
        <v>2121</v>
      </c>
      <c r="C82" s="102"/>
      <c r="D82" s="107"/>
      <c r="E82" s="102"/>
      <c r="F82" s="102"/>
      <c r="G82" s="102"/>
      <c r="H82" s="108"/>
    </row>
    <row r="83" spans="1:8" ht="15.5" hidden="1" x14ac:dyDescent="0.35">
      <c r="A83" s="102"/>
      <c r="B83" s="109"/>
      <c r="C83" s="102"/>
      <c r="D83" s="107"/>
      <c r="E83" s="102"/>
      <c r="F83" s="102"/>
      <c r="G83" s="102"/>
      <c r="H83" s="108"/>
    </row>
    <row r="84" spans="1:8" ht="15.5" hidden="1" x14ac:dyDescent="0.35">
      <c r="A84" s="102"/>
      <c r="B84" s="109" t="s">
        <v>2122</v>
      </c>
      <c r="C84" s="102"/>
      <c r="D84" s="107"/>
      <c r="E84" s="102"/>
      <c r="F84" s="102"/>
      <c r="G84" s="102"/>
      <c r="H84" s="108"/>
    </row>
    <row r="85" spans="1:8" ht="15.5" hidden="1" x14ac:dyDescent="0.35">
      <c r="A85" s="102"/>
      <c r="B85" s="106"/>
      <c r="C85" s="102"/>
      <c r="D85" s="107"/>
      <c r="E85" s="102"/>
      <c r="F85" s="1043" t="s">
        <v>2065</v>
      </c>
      <c r="G85" s="1044"/>
      <c r="H85" s="1030"/>
    </row>
    <row r="86" spans="1:8" ht="15.5" hidden="1" x14ac:dyDescent="0.35">
      <c r="A86" s="102"/>
      <c r="B86" s="109" t="s">
        <v>2121</v>
      </c>
      <c r="C86" s="102"/>
      <c r="D86" s="107"/>
      <c r="E86" s="102"/>
      <c r="F86" s="102"/>
      <c r="G86" s="102"/>
      <c r="H86" s="108"/>
    </row>
    <row r="87" spans="1:8" ht="15.5" hidden="1" x14ac:dyDescent="0.35">
      <c r="A87" s="102"/>
      <c r="B87" s="109"/>
      <c r="C87" s="102"/>
      <c r="D87" s="107"/>
      <c r="E87" s="102"/>
      <c r="F87" s="102"/>
      <c r="G87" s="102"/>
      <c r="H87" s="108"/>
    </row>
    <row r="88" spans="1:8" ht="15.5" hidden="1" x14ac:dyDescent="0.35">
      <c r="A88" s="102"/>
      <c r="B88" s="109" t="s">
        <v>2122</v>
      </c>
      <c r="C88" s="102"/>
      <c r="D88" s="107"/>
      <c r="E88" s="102"/>
      <c r="F88" s="102"/>
      <c r="G88" s="102"/>
      <c r="H88" s="108"/>
    </row>
  </sheetData>
  <sheetProtection algorithmName="SHA-512" hashValue="61JCwN2EptNpitV+jh0iUPNE0GFXL7ELXzSX6vYYzba7+7x/5zT8noGz6DCtSN79sMSLN/C0KJlHXI3s3SW7rg==" saltValue="Pft92MCj6Sh4/G/9JUKgDg==" spinCount="100000" sheet="1" objects="1" scenarios="1"/>
  <mergeCells count="17">
    <mergeCell ref="F85:H85"/>
    <mergeCell ref="B45:F45"/>
    <mergeCell ref="B40:F40"/>
    <mergeCell ref="B32:F32"/>
    <mergeCell ref="B26:F26"/>
    <mergeCell ref="B58:F58"/>
    <mergeCell ref="B70:F70"/>
    <mergeCell ref="F81:H81"/>
    <mergeCell ref="A2:F2"/>
    <mergeCell ref="B44:F44"/>
    <mergeCell ref="G26:K26"/>
    <mergeCell ref="B53:F53"/>
    <mergeCell ref="A4:B4"/>
    <mergeCell ref="B6:F6"/>
    <mergeCell ref="A3:F3"/>
    <mergeCell ref="C4:F4"/>
    <mergeCell ref="G32:H32"/>
  </mergeCells>
  <conditionalFormatting sqref="E7:F25 L26 E27:F29 E31:F31 E33:F35 E36:XFD39 E41:F43 E46:F52 E54:F57 E65:F69 E71:F76">
    <cfRule type="cellIs" dxfId="3" priority="3" stopIfTrue="1" operator="equal">
      <formula>"NA"</formula>
    </cfRule>
    <cfRule type="cellIs" dxfId="2" priority="4" stopIfTrue="1" operator="equal">
      <formula>"NA"</formula>
    </cfRule>
  </conditionalFormatting>
  <printOptions horizontalCentered="1" verticalCentered="1"/>
  <pageMargins left="0.11811023622047249" right="0" top="0.11811023622047249" bottom="0" header="0.31496062992125978" footer="0.11811023622047249"/>
  <pageSetup paperSize="9" scale="56" orientation="portrait"/>
  <headerFooter alignWithMargins="0">
    <oddFooter>&amp;C&amp;P&amp;RNote: Not to be quoted and not to be published without prior permission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XFD205"/>
  <sheetViews>
    <sheetView showGridLines="0" zoomScale="39" zoomScaleNormal="98" workbookViewId="0">
      <selection activeCell="E136" sqref="E136"/>
    </sheetView>
  </sheetViews>
  <sheetFormatPr defaultColWidth="0" defaultRowHeight="14.5" zeroHeight="1" x14ac:dyDescent="0.35"/>
  <cols>
    <col min="1" max="1" width="6.81640625" style="23" customWidth="1"/>
    <col min="2" max="2" width="43.81640625" style="12" customWidth="1"/>
    <col min="3" max="3" width="65.81640625" style="12" customWidth="1"/>
    <col min="4" max="4" width="18" style="23" bestFit="1" customWidth="1"/>
    <col min="5" max="6" width="18.453125" style="12" customWidth="1"/>
    <col min="7" max="251" width="13" style="12" hidden="1" customWidth="1"/>
    <col min="252" max="16229" width="0.54296875" style="12" hidden="1" customWidth="1"/>
    <col min="16230" max="16230" width="13" style="12" hidden="1" customWidth="1"/>
    <col min="16231" max="16384" width="0.54296875" style="12" hidden="1" customWidth="1"/>
  </cols>
  <sheetData>
    <row r="1" spans="1:965" ht="29" customHeight="1" thickBot="1" x14ac:dyDescent="0.4">
      <c r="A1" s="1060" t="s">
        <v>2123</v>
      </c>
      <c r="B1" s="944"/>
      <c r="C1" s="944"/>
      <c r="D1" s="944"/>
      <c r="E1" s="944"/>
      <c r="F1" s="1059"/>
    </row>
    <row r="2" spans="1:965" s="112" customFormat="1" ht="27.75" customHeight="1" thickBot="1" x14ac:dyDescent="0.4">
      <c r="A2" s="1058" t="str">
        <f>'Base line Parameters'!A3</f>
        <v>Sector :-  Cement Sector</v>
      </c>
      <c r="B2" s="944"/>
      <c r="C2" s="944"/>
      <c r="D2" s="944"/>
      <c r="E2" s="944"/>
      <c r="F2" s="1059"/>
      <c r="IR2" s="469"/>
      <c r="IS2" s="469"/>
      <c r="IT2" s="469"/>
      <c r="IU2" s="469"/>
      <c r="IV2" s="469"/>
      <c r="IW2" s="469"/>
      <c r="IX2" s="469"/>
      <c r="IY2" s="469"/>
      <c r="IZ2" s="469"/>
      <c r="JA2" s="469"/>
      <c r="JB2" s="469"/>
      <c r="JC2" s="469"/>
      <c r="JD2" s="469"/>
      <c r="JE2" s="469"/>
      <c r="JF2" s="469"/>
      <c r="JG2" s="469"/>
      <c r="JH2" s="469"/>
      <c r="JI2" s="469"/>
      <c r="JJ2" s="469"/>
      <c r="JK2" s="469"/>
      <c r="JL2" s="469"/>
      <c r="JM2" s="469"/>
      <c r="JN2" s="469"/>
      <c r="JO2" s="469"/>
      <c r="JP2" s="469"/>
      <c r="JQ2" s="469"/>
      <c r="JR2" s="469"/>
      <c r="JS2" s="469"/>
      <c r="JT2" s="469"/>
      <c r="JU2" s="469"/>
      <c r="JV2" s="469"/>
      <c r="JW2" s="469"/>
      <c r="JX2" s="469"/>
      <c r="JY2" s="469"/>
      <c r="JZ2" s="469"/>
      <c r="KA2" s="469"/>
      <c r="KB2" s="469"/>
      <c r="KC2" s="469"/>
      <c r="KD2" s="469"/>
      <c r="KE2" s="469"/>
      <c r="KF2" s="469"/>
      <c r="KG2" s="469"/>
      <c r="KH2" s="469"/>
      <c r="KI2" s="469"/>
      <c r="KJ2" s="469"/>
      <c r="KK2" s="469"/>
      <c r="KL2" s="469"/>
      <c r="KM2" s="469"/>
      <c r="KN2" s="469"/>
      <c r="KO2" s="469"/>
      <c r="KP2" s="469"/>
      <c r="KQ2" s="469"/>
      <c r="KR2" s="469"/>
      <c r="KS2" s="469"/>
      <c r="KT2" s="469"/>
      <c r="KU2" s="469"/>
      <c r="KV2" s="469"/>
      <c r="KW2" s="469"/>
      <c r="KX2" s="469"/>
      <c r="KY2" s="469"/>
      <c r="KZ2" s="469"/>
      <c r="LA2" s="469"/>
      <c r="LB2" s="469"/>
      <c r="LC2" s="469"/>
      <c r="LD2" s="469"/>
      <c r="LE2" s="469"/>
      <c r="LF2" s="469"/>
      <c r="LG2" s="469"/>
      <c r="LH2" s="469"/>
      <c r="LI2" s="469"/>
      <c r="LJ2" s="469"/>
      <c r="LK2" s="469"/>
      <c r="LL2" s="469"/>
      <c r="LM2" s="469"/>
      <c r="LN2" s="469"/>
      <c r="LO2" s="469"/>
      <c r="LP2" s="469"/>
      <c r="LQ2" s="469"/>
      <c r="LR2" s="469"/>
      <c r="LS2" s="469"/>
      <c r="LT2" s="469"/>
      <c r="LU2" s="469"/>
      <c r="LV2" s="469"/>
      <c r="LW2" s="469"/>
      <c r="LX2" s="469"/>
      <c r="LY2" s="469"/>
      <c r="LZ2" s="469"/>
      <c r="MA2" s="469"/>
      <c r="MB2" s="469"/>
      <c r="MC2" s="469"/>
      <c r="MD2" s="469"/>
      <c r="ME2" s="469"/>
      <c r="MF2" s="469"/>
      <c r="MG2" s="469"/>
      <c r="MH2" s="469"/>
      <c r="MI2" s="469"/>
      <c r="MJ2" s="469"/>
      <c r="MK2" s="469"/>
      <c r="ML2" s="469"/>
      <c r="MM2" s="469"/>
      <c r="MN2" s="469"/>
      <c r="MO2" s="469"/>
      <c r="MP2" s="469"/>
      <c r="MQ2" s="469"/>
      <c r="MR2" s="469"/>
      <c r="MS2" s="469"/>
      <c r="MT2" s="469"/>
      <c r="MU2" s="469"/>
      <c r="MV2" s="469"/>
      <c r="MW2" s="469"/>
      <c r="MX2" s="469"/>
      <c r="MY2" s="469"/>
      <c r="MZ2" s="469"/>
      <c r="NA2" s="469"/>
      <c r="NB2" s="469"/>
      <c r="NC2" s="469"/>
      <c r="ND2" s="469"/>
      <c r="NE2" s="469"/>
      <c r="NF2" s="469"/>
      <c r="NG2" s="469"/>
      <c r="NH2" s="469"/>
      <c r="NI2" s="469"/>
      <c r="NJ2" s="469"/>
      <c r="NK2" s="469"/>
      <c r="NL2" s="469"/>
      <c r="NM2" s="469"/>
      <c r="NN2" s="469"/>
      <c r="NO2" s="469"/>
      <c r="NP2" s="469"/>
      <c r="NQ2" s="469"/>
      <c r="NR2" s="469"/>
      <c r="NS2" s="469"/>
      <c r="NT2" s="469"/>
      <c r="NU2" s="469"/>
      <c r="NV2" s="469"/>
      <c r="NW2" s="469"/>
      <c r="NX2" s="469"/>
      <c r="NY2" s="469"/>
      <c r="NZ2" s="469"/>
      <c r="OA2" s="469"/>
      <c r="OB2" s="469"/>
      <c r="OC2" s="469"/>
      <c r="OD2" s="469"/>
      <c r="OE2" s="469"/>
      <c r="OF2" s="469"/>
      <c r="OG2" s="469"/>
      <c r="OH2" s="469"/>
      <c r="OI2" s="469"/>
      <c r="OJ2" s="469"/>
      <c r="OK2" s="469"/>
      <c r="OL2" s="469"/>
      <c r="OM2" s="469"/>
      <c r="ON2" s="469"/>
      <c r="OO2" s="469"/>
      <c r="OP2" s="469"/>
      <c r="OQ2" s="469"/>
      <c r="OR2" s="469"/>
      <c r="OS2" s="469"/>
      <c r="OT2" s="469"/>
      <c r="OU2" s="469"/>
      <c r="OV2" s="469"/>
      <c r="OW2" s="469"/>
      <c r="OX2" s="469"/>
      <c r="OY2" s="469"/>
      <c r="OZ2" s="469"/>
      <c r="PA2" s="469"/>
      <c r="PB2" s="469"/>
      <c r="PC2" s="469"/>
      <c r="PD2" s="469"/>
      <c r="PE2" s="469"/>
      <c r="PF2" s="469"/>
      <c r="PG2" s="469"/>
      <c r="PH2" s="469"/>
      <c r="PI2" s="469"/>
      <c r="PJ2" s="469"/>
      <c r="PK2" s="469"/>
      <c r="PL2" s="469"/>
      <c r="PM2" s="469"/>
      <c r="PN2" s="469"/>
      <c r="PO2" s="469"/>
      <c r="PP2" s="469"/>
      <c r="PQ2" s="469"/>
      <c r="PR2" s="469"/>
      <c r="PS2" s="469"/>
      <c r="PT2" s="469"/>
      <c r="PU2" s="469"/>
      <c r="PV2" s="469"/>
      <c r="PW2" s="469"/>
      <c r="PX2" s="469"/>
      <c r="PY2" s="469"/>
      <c r="PZ2" s="469"/>
      <c r="QA2" s="469"/>
      <c r="QB2" s="469"/>
      <c r="QC2" s="469"/>
      <c r="QD2" s="469"/>
      <c r="QE2" s="469"/>
      <c r="QF2" s="469"/>
      <c r="QG2" s="469"/>
      <c r="QH2" s="469"/>
      <c r="QI2" s="469"/>
      <c r="QJ2" s="469"/>
      <c r="QK2" s="469"/>
      <c r="QL2" s="469"/>
      <c r="QM2" s="469"/>
      <c r="QN2" s="469"/>
      <c r="QO2" s="469"/>
      <c r="QP2" s="469"/>
      <c r="QQ2" s="469"/>
      <c r="QR2" s="469"/>
      <c r="QS2" s="469"/>
      <c r="QT2" s="469"/>
      <c r="QU2" s="469"/>
      <c r="QV2" s="469"/>
      <c r="QW2" s="469"/>
      <c r="QX2" s="469"/>
      <c r="QY2" s="469"/>
      <c r="QZ2" s="469"/>
      <c r="RA2" s="469"/>
      <c r="RB2" s="469"/>
      <c r="RC2" s="469"/>
      <c r="RD2" s="469"/>
      <c r="RE2" s="469"/>
      <c r="RF2" s="469"/>
      <c r="RG2" s="469"/>
      <c r="RH2" s="469"/>
      <c r="RI2" s="469"/>
      <c r="RJ2" s="469"/>
      <c r="RK2" s="469"/>
      <c r="RL2" s="469"/>
      <c r="RM2" s="469"/>
      <c r="RN2" s="469"/>
      <c r="RO2" s="469"/>
      <c r="RP2" s="469"/>
      <c r="RQ2" s="469"/>
      <c r="RR2" s="469"/>
      <c r="RS2" s="469"/>
      <c r="RT2" s="469"/>
      <c r="RU2" s="469"/>
      <c r="RV2" s="469"/>
      <c r="RW2" s="469"/>
      <c r="RX2" s="469"/>
      <c r="RY2" s="469"/>
      <c r="RZ2" s="469"/>
      <c r="SA2" s="469"/>
      <c r="SB2" s="469"/>
      <c r="SC2" s="469"/>
      <c r="SD2" s="469"/>
      <c r="SE2" s="469"/>
      <c r="SF2" s="469"/>
      <c r="SG2" s="469"/>
      <c r="SH2" s="469"/>
      <c r="SI2" s="469"/>
      <c r="SJ2" s="469"/>
      <c r="SK2" s="469"/>
      <c r="SL2" s="469"/>
      <c r="SM2" s="469"/>
      <c r="SN2" s="469"/>
      <c r="SO2" s="469"/>
      <c r="SP2" s="469"/>
      <c r="SQ2" s="469"/>
      <c r="SR2" s="469"/>
      <c r="SS2" s="469"/>
      <c r="ST2" s="469"/>
      <c r="SU2" s="469"/>
      <c r="SV2" s="469"/>
      <c r="SW2" s="469"/>
      <c r="SX2" s="469"/>
      <c r="SY2" s="469"/>
      <c r="SZ2" s="469"/>
      <c r="TA2" s="469"/>
      <c r="TB2" s="469"/>
      <c r="TC2" s="469"/>
      <c r="TD2" s="469"/>
      <c r="TE2" s="469"/>
      <c r="TF2" s="469"/>
      <c r="TG2" s="469"/>
      <c r="TH2" s="469"/>
      <c r="TI2" s="469"/>
      <c r="TJ2" s="469"/>
      <c r="TK2" s="469"/>
      <c r="TL2" s="469"/>
      <c r="TM2" s="469"/>
      <c r="TN2" s="469"/>
      <c r="TO2" s="469"/>
      <c r="TP2" s="469"/>
      <c r="TQ2" s="469"/>
      <c r="TR2" s="469"/>
      <c r="TS2" s="469"/>
      <c r="TT2" s="469"/>
      <c r="TU2" s="469"/>
      <c r="TV2" s="469"/>
      <c r="TW2" s="469"/>
      <c r="TX2" s="469"/>
      <c r="TY2" s="469"/>
      <c r="TZ2" s="469"/>
      <c r="UA2" s="469"/>
      <c r="UB2" s="469"/>
      <c r="UC2" s="469"/>
      <c r="UD2" s="469"/>
      <c r="UE2" s="469"/>
      <c r="UF2" s="469"/>
      <c r="UG2" s="469"/>
      <c r="UH2" s="469"/>
      <c r="UI2" s="469"/>
      <c r="UJ2" s="469"/>
      <c r="UK2" s="469"/>
      <c r="UL2" s="469"/>
      <c r="UM2" s="469"/>
      <c r="UN2" s="469"/>
      <c r="UO2" s="469"/>
      <c r="UP2" s="469"/>
      <c r="UQ2" s="469"/>
      <c r="UR2" s="469"/>
      <c r="US2" s="469"/>
      <c r="UT2" s="469"/>
      <c r="UU2" s="469"/>
      <c r="UV2" s="469"/>
      <c r="UW2" s="469"/>
      <c r="UX2" s="469"/>
      <c r="UY2" s="469"/>
      <c r="UZ2" s="469"/>
      <c r="VA2" s="469"/>
      <c r="VB2" s="469"/>
      <c r="VC2" s="469"/>
      <c r="VD2" s="469"/>
      <c r="VE2" s="469"/>
      <c r="VF2" s="469"/>
      <c r="VG2" s="469"/>
      <c r="VH2" s="469"/>
      <c r="VI2" s="469"/>
      <c r="VJ2" s="469"/>
      <c r="VK2" s="469"/>
      <c r="VL2" s="469"/>
      <c r="VM2" s="469"/>
      <c r="VN2" s="469"/>
      <c r="VO2" s="469"/>
      <c r="VP2" s="469"/>
      <c r="VQ2" s="469"/>
      <c r="VR2" s="469"/>
      <c r="VS2" s="469"/>
      <c r="VT2" s="469"/>
      <c r="VU2" s="469"/>
      <c r="VV2" s="469"/>
      <c r="VW2" s="469"/>
      <c r="VX2" s="469"/>
      <c r="VY2" s="469"/>
      <c r="VZ2" s="469"/>
      <c r="WA2" s="469"/>
      <c r="WB2" s="469"/>
      <c r="WC2" s="469"/>
      <c r="WD2" s="469"/>
      <c r="WE2" s="469"/>
      <c r="WF2" s="469"/>
      <c r="WG2" s="469"/>
      <c r="WH2" s="469"/>
      <c r="WI2" s="469"/>
      <c r="WJ2" s="469"/>
      <c r="WK2" s="469"/>
      <c r="WL2" s="469"/>
      <c r="WM2" s="469"/>
      <c r="WN2" s="469"/>
      <c r="WO2" s="469"/>
      <c r="WP2" s="469"/>
      <c r="WQ2" s="469"/>
      <c r="WR2" s="469"/>
      <c r="WS2" s="469"/>
      <c r="WT2" s="469"/>
      <c r="WU2" s="469"/>
      <c r="WV2" s="469"/>
      <c r="WW2" s="469"/>
      <c r="WX2" s="469"/>
      <c r="WY2" s="469"/>
      <c r="WZ2" s="469"/>
      <c r="XA2" s="469"/>
      <c r="XB2" s="469"/>
      <c r="XC2" s="469"/>
      <c r="XD2" s="469"/>
      <c r="XE2" s="469"/>
      <c r="XF2" s="469"/>
      <c r="XG2" s="469"/>
      <c r="XH2" s="469"/>
      <c r="XI2" s="469"/>
      <c r="XJ2" s="469"/>
      <c r="XK2" s="469"/>
      <c r="XL2" s="469"/>
      <c r="XM2" s="469"/>
      <c r="XN2" s="469"/>
      <c r="XO2" s="469"/>
      <c r="XP2" s="469"/>
      <c r="XQ2" s="469"/>
      <c r="XR2" s="469"/>
      <c r="XS2" s="469"/>
      <c r="XT2" s="469"/>
      <c r="XU2" s="469"/>
      <c r="XV2" s="469"/>
      <c r="XW2" s="469"/>
      <c r="XX2" s="469"/>
      <c r="XY2" s="469"/>
      <c r="XZ2" s="469"/>
      <c r="YA2" s="469"/>
      <c r="YB2" s="469"/>
      <c r="YC2" s="469"/>
      <c r="YD2" s="469"/>
      <c r="YE2" s="469"/>
      <c r="YF2" s="469"/>
      <c r="YG2" s="469"/>
      <c r="YH2" s="469"/>
      <c r="YI2" s="469"/>
      <c r="YJ2" s="469"/>
      <c r="YK2" s="469"/>
      <c r="YL2" s="469"/>
      <c r="YM2" s="469"/>
      <c r="YN2" s="469"/>
      <c r="YO2" s="469"/>
      <c r="YP2" s="469"/>
      <c r="YQ2" s="469"/>
      <c r="YR2" s="469"/>
      <c r="YS2" s="469"/>
      <c r="YT2" s="469"/>
      <c r="YU2" s="469"/>
      <c r="YV2" s="469"/>
      <c r="YW2" s="469"/>
      <c r="YX2" s="469"/>
      <c r="YY2" s="469"/>
      <c r="YZ2" s="469"/>
      <c r="ZA2" s="469"/>
      <c r="ZB2" s="469"/>
      <c r="ZC2" s="469"/>
      <c r="ZD2" s="469"/>
      <c r="ZE2" s="469"/>
      <c r="ZF2" s="469"/>
      <c r="ZG2" s="469"/>
      <c r="ZH2" s="469"/>
      <c r="ZI2" s="469"/>
      <c r="ZJ2" s="469"/>
      <c r="ZK2" s="469"/>
      <c r="ZL2" s="469"/>
      <c r="ZM2" s="469"/>
      <c r="ZN2" s="469"/>
      <c r="ZO2" s="469"/>
      <c r="ZP2" s="469"/>
      <c r="ZQ2" s="469"/>
      <c r="ZR2" s="469"/>
      <c r="ZS2" s="469"/>
      <c r="ZT2" s="469"/>
      <c r="ZU2" s="469"/>
      <c r="ZV2" s="469"/>
      <c r="ZW2" s="469"/>
      <c r="ZX2" s="469"/>
      <c r="ZY2" s="469"/>
      <c r="ZZ2" s="469"/>
      <c r="AAA2" s="469"/>
      <c r="AAB2" s="469"/>
      <c r="AAC2" s="469"/>
      <c r="AAD2" s="469"/>
      <c r="AAE2" s="469"/>
      <c r="AAF2" s="469"/>
      <c r="AAG2" s="469"/>
      <c r="AAH2" s="469"/>
      <c r="AAI2" s="469"/>
      <c r="AAJ2" s="469"/>
      <c r="AAK2" s="469"/>
      <c r="AAL2" s="469"/>
      <c r="AAM2" s="469"/>
      <c r="AAN2" s="469"/>
      <c r="AAO2" s="469"/>
      <c r="AAP2" s="469"/>
      <c r="AAQ2" s="469"/>
      <c r="AAR2" s="469"/>
      <c r="AAS2" s="469"/>
      <c r="AAT2" s="469"/>
      <c r="AAU2" s="469"/>
      <c r="AAV2" s="469"/>
      <c r="AAW2" s="469"/>
      <c r="AAX2" s="469"/>
      <c r="AAY2" s="469"/>
      <c r="AAZ2" s="469"/>
      <c r="ABA2" s="469"/>
      <c r="ABB2" s="469"/>
      <c r="ABC2" s="469"/>
      <c r="ABD2" s="469"/>
      <c r="ABE2" s="469"/>
      <c r="ABF2" s="469"/>
      <c r="ABG2" s="469"/>
      <c r="ABH2" s="469"/>
      <c r="ABI2" s="469"/>
      <c r="ABJ2" s="469"/>
      <c r="ABK2" s="469"/>
      <c r="ABL2" s="469"/>
      <c r="ABM2" s="469"/>
      <c r="ABN2" s="469"/>
      <c r="ABO2" s="469"/>
      <c r="ABP2" s="469"/>
      <c r="ABQ2" s="469"/>
      <c r="ABR2" s="469"/>
      <c r="ABS2" s="469"/>
      <c r="ABT2" s="469"/>
      <c r="ABU2" s="469"/>
      <c r="ABV2" s="469"/>
      <c r="ABW2" s="469"/>
      <c r="ABX2" s="469"/>
      <c r="ABY2" s="469"/>
      <c r="ABZ2" s="469"/>
      <c r="ACA2" s="469"/>
      <c r="ACB2" s="469"/>
      <c r="ACC2" s="469"/>
      <c r="ACD2" s="469"/>
      <c r="ACE2" s="469"/>
      <c r="ACF2" s="469"/>
      <c r="ACG2" s="469"/>
      <c r="ACH2" s="469"/>
      <c r="ACI2" s="469"/>
      <c r="ACJ2" s="469"/>
      <c r="ACK2" s="469"/>
      <c r="ACL2" s="469"/>
      <c r="ACM2" s="469"/>
      <c r="ACN2" s="469"/>
      <c r="ACO2" s="469"/>
      <c r="ACP2" s="469"/>
      <c r="ACQ2" s="469"/>
      <c r="ACR2" s="469"/>
      <c r="ACS2" s="469"/>
      <c r="ACT2" s="469"/>
      <c r="ACU2" s="469"/>
      <c r="ACV2" s="469"/>
      <c r="ACW2" s="469"/>
      <c r="ACX2" s="469"/>
      <c r="ACY2" s="469"/>
      <c r="ACZ2" s="469"/>
      <c r="ADA2" s="469"/>
      <c r="ADB2" s="469"/>
      <c r="ADC2" s="469"/>
      <c r="ADD2" s="469"/>
      <c r="ADE2" s="469"/>
      <c r="ADF2" s="469"/>
      <c r="ADG2" s="469"/>
      <c r="ADH2" s="469"/>
      <c r="ADI2" s="469"/>
      <c r="ADJ2" s="469"/>
      <c r="ADK2" s="469"/>
      <c r="ADL2" s="469"/>
      <c r="ADM2" s="469"/>
      <c r="ADN2" s="469"/>
      <c r="ADO2" s="469"/>
      <c r="ADP2" s="469"/>
      <c r="ADQ2" s="469"/>
      <c r="ADR2" s="469"/>
      <c r="ADS2" s="469"/>
      <c r="ADT2" s="469"/>
      <c r="ADU2" s="469"/>
      <c r="ADV2" s="469"/>
      <c r="ADW2" s="469"/>
      <c r="ADX2" s="469"/>
      <c r="ADY2" s="469"/>
      <c r="ADZ2" s="469"/>
      <c r="AEA2" s="469"/>
      <c r="AEB2" s="469"/>
      <c r="AEC2" s="469"/>
      <c r="AED2" s="469"/>
      <c r="AEE2" s="469"/>
      <c r="AEF2" s="469"/>
      <c r="AEG2" s="469"/>
      <c r="AEH2" s="469"/>
      <c r="AEI2" s="469"/>
      <c r="AEJ2" s="469"/>
      <c r="AEK2" s="469"/>
      <c r="AEL2" s="469"/>
      <c r="AEM2" s="469"/>
      <c r="AEN2" s="469"/>
      <c r="AEO2" s="469"/>
      <c r="AEP2" s="469"/>
      <c r="AEQ2" s="469"/>
      <c r="AER2" s="469"/>
      <c r="AES2" s="469"/>
      <c r="AET2" s="469"/>
      <c r="AEU2" s="469"/>
      <c r="AEV2" s="469"/>
      <c r="AEW2" s="469"/>
      <c r="AEX2" s="469"/>
      <c r="AEY2" s="469"/>
      <c r="AEZ2" s="469"/>
      <c r="AFA2" s="469"/>
      <c r="AFB2" s="469"/>
      <c r="AFC2" s="469"/>
      <c r="AFD2" s="469"/>
      <c r="AFE2" s="469"/>
      <c r="AFF2" s="469"/>
      <c r="AFG2" s="469"/>
      <c r="AFH2" s="469"/>
      <c r="AFI2" s="469"/>
      <c r="AFJ2" s="469"/>
      <c r="AFK2" s="469"/>
      <c r="AFL2" s="469"/>
      <c r="AFM2" s="469"/>
      <c r="AFN2" s="469"/>
      <c r="AFO2" s="469"/>
      <c r="AFP2" s="469"/>
      <c r="AFQ2" s="469"/>
      <c r="AFR2" s="469"/>
      <c r="AFS2" s="469"/>
      <c r="AFT2" s="469"/>
      <c r="AFU2" s="469"/>
      <c r="AFV2" s="469"/>
      <c r="AFW2" s="469"/>
      <c r="AFX2" s="469"/>
      <c r="AFY2" s="469"/>
      <c r="AFZ2" s="469"/>
      <c r="AGA2" s="469"/>
      <c r="AGB2" s="469"/>
      <c r="AGC2" s="469"/>
      <c r="AGD2" s="469"/>
      <c r="AGE2" s="469"/>
      <c r="AGF2" s="469"/>
      <c r="AGG2" s="469"/>
      <c r="AGH2" s="469"/>
      <c r="AGI2" s="469"/>
      <c r="AGJ2" s="469"/>
      <c r="AGK2" s="469"/>
      <c r="AGL2" s="469"/>
      <c r="AGM2" s="469"/>
      <c r="AGN2" s="469"/>
      <c r="AGO2" s="469"/>
      <c r="AGP2" s="469"/>
      <c r="AGQ2" s="469"/>
      <c r="AGR2" s="469"/>
      <c r="AGS2" s="469"/>
      <c r="AGT2" s="469"/>
      <c r="AGU2" s="469"/>
      <c r="AGV2" s="469"/>
      <c r="AGW2" s="469"/>
      <c r="AGX2" s="469"/>
      <c r="AGY2" s="469"/>
      <c r="AGZ2" s="469"/>
      <c r="AHA2" s="469"/>
      <c r="AHB2" s="469"/>
      <c r="AHC2" s="469"/>
      <c r="AHD2" s="469"/>
      <c r="AHE2" s="469"/>
      <c r="AHF2" s="469"/>
      <c r="AHG2" s="469"/>
      <c r="AHH2" s="469"/>
      <c r="AHI2" s="469"/>
      <c r="AHJ2" s="469"/>
      <c r="AHK2" s="469"/>
      <c r="AHL2" s="469"/>
      <c r="AHM2" s="469"/>
      <c r="AHN2" s="469"/>
      <c r="AHO2" s="469"/>
      <c r="AHP2" s="469"/>
      <c r="AHQ2" s="469"/>
      <c r="AHR2" s="469"/>
      <c r="AHS2" s="469"/>
      <c r="AHT2" s="469"/>
      <c r="AHU2" s="469"/>
      <c r="AHV2" s="469"/>
      <c r="AHW2" s="469"/>
      <c r="AHX2" s="469"/>
      <c r="AHY2" s="469"/>
      <c r="AHZ2" s="469"/>
      <c r="AIA2" s="469"/>
      <c r="AIB2" s="469"/>
      <c r="AIC2" s="469"/>
      <c r="AID2" s="469"/>
      <c r="AIE2" s="469"/>
      <c r="AIF2" s="469"/>
      <c r="AIG2" s="469"/>
      <c r="AIH2" s="469"/>
      <c r="AII2" s="469"/>
      <c r="AIJ2" s="469"/>
      <c r="AIK2" s="469"/>
      <c r="AIL2" s="469"/>
      <c r="AIM2" s="469"/>
      <c r="AIN2" s="469"/>
      <c r="AIO2" s="469"/>
      <c r="AIP2" s="469"/>
      <c r="AIQ2" s="469"/>
      <c r="AIR2" s="469"/>
      <c r="AIS2" s="469"/>
      <c r="AIT2" s="469"/>
      <c r="AIU2" s="469"/>
      <c r="AIV2" s="469"/>
      <c r="AIW2" s="469"/>
      <c r="AIX2" s="469"/>
      <c r="AIY2" s="469"/>
      <c r="AIZ2" s="469"/>
      <c r="AJA2" s="469"/>
      <c r="AJB2" s="469"/>
      <c r="AJC2" s="469"/>
      <c r="AJD2" s="469"/>
      <c r="AJE2" s="469"/>
      <c r="AJF2" s="469"/>
      <c r="AJG2" s="469"/>
      <c r="AJH2" s="469"/>
      <c r="AJI2" s="469"/>
      <c r="AJJ2" s="469"/>
      <c r="AJK2" s="469"/>
      <c r="AJL2" s="469"/>
      <c r="AJM2" s="469"/>
      <c r="AJN2" s="469"/>
      <c r="AJO2" s="469"/>
      <c r="AJP2" s="469"/>
      <c r="AJQ2" s="469"/>
      <c r="AJR2" s="469"/>
      <c r="AJS2" s="469"/>
      <c r="AJT2" s="469"/>
      <c r="AJU2" s="469"/>
      <c r="AJV2" s="469"/>
      <c r="AJW2" s="469"/>
      <c r="AJX2" s="469"/>
      <c r="AJY2" s="469"/>
      <c r="AJZ2" s="469"/>
      <c r="AKA2" s="469"/>
      <c r="AKB2" s="469"/>
      <c r="AKC2" s="469"/>
    </row>
    <row r="3" spans="1:965" s="117" customFormat="1" ht="27.75" customHeight="1" x14ac:dyDescent="0.35">
      <c r="A3" s="1065" t="str">
        <f>'Base line Parameters'!A4</f>
        <v>Obligated Entity Name</v>
      </c>
      <c r="B3" s="956"/>
      <c r="C3" s="113" t="str">
        <f>'Base line Parameters'!C4</f>
        <v xml:space="preserve">  </v>
      </c>
      <c r="D3" s="114"/>
      <c r="E3" s="114"/>
      <c r="F3" s="115"/>
      <c r="G3" s="116"/>
      <c r="IR3" s="205"/>
      <c r="IS3" s="205"/>
      <c r="IT3" s="205"/>
      <c r="IU3" s="205"/>
      <c r="IV3" s="205"/>
      <c r="IW3" s="205"/>
      <c r="IX3" s="205"/>
      <c r="IY3" s="205"/>
      <c r="IZ3" s="205"/>
      <c r="JA3" s="205"/>
      <c r="JB3" s="205"/>
      <c r="JC3" s="205"/>
      <c r="JD3" s="205"/>
      <c r="JE3" s="205"/>
      <c r="JF3" s="205"/>
      <c r="JG3" s="205"/>
      <c r="JH3" s="205"/>
      <c r="JI3" s="205"/>
      <c r="JJ3" s="205"/>
      <c r="JK3" s="205"/>
      <c r="JL3" s="205"/>
      <c r="JM3" s="205"/>
      <c r="JN3" s="205"/>
      <c r="JO3" s="205"/>
      <c r="JP3" s="205"/>
      <c r="JQ3" s="205"/>
      <c r="JR3" s="205"/>
      <c r="JS3" s="205"/>
      <c r="JT3" s="205"/>
      <c r="JU3" s="205"/>
      <c r="JV3" s="205"/>
      <c r="JW3" s="205"/>
      <c r="JX3" s="205"/>
      <c r="JY3" s="205"/>
      <c r="JZ3" s="205"/>
      <c r="KA3" s="205"/>
      <c r="KB3" s="205"/>
      <c r="KC3" s="205"/>
      <c r="KD3" s="205"/>
      <c r="KE3" s="205"/>
      <c r="KF3" s="205"/>
      <c r="KG3" s="205"/>
      <c r="KH3" s="205"/>
      <c r="KI3" s="205"/>
      <c r="KJ3" s="205"/>
      <c r="KK3" s="205"/>
      <c r="KL3" s="205"/>
      <c r="KM3" s="205"/>
      <c r="KN3" s="205"/>
      <c r="KO3" s="205"/>
      <c r="KP3" s="205"/>
      <c r="KQ3" s="205"/>
      <c r="KR3" s="205"/>
      <c r="KS3" s="205"/>
      <c r="KT3" s="205"/>
      <c r="KU3" s="205"/>
      <c r="KV3" s="205"/>
      <c r="KW3" s="205"/>
      <c r="KX3" s="205"/>
      <c r="KY3" s="205"/>
      <c r="KZ3" s="205"/>
      <c r="LA3" s="205"/>
      <c r="LB3" s="205"/>
      <c r="LC3" s="205"/>
      <c r="LD3" s="205"/>
      <c r="LE3" s="205"/>
      <c r="LF3" s="205"/>
      <c r="LG3" s="205"/>
      <c r="LH3" s="205"/>
      <c r="LI3" s="205"/>
      <c r="LJ3" s="205"/>
      <c r="LK3" s="205"/>
      <c r="LL3" s="205"/>
      <c r="LM3" s="205"/>
      <c r="LN3" s="205"/>
      <c r="LO3" s="205"/>
      <c r="LP3" s="205"/>
      <c r="LQ3" s="205"/>
      <c r="LR3" s="205"/>
      <c r="LS3" s="205"/>
      <c r="LT3" s="205"/>
      <c r="LU3" s="205"/>
      <c r="LV3" s="205"/>
      <c r="LW3" s="205"/>
      <c r="LX3" s="205"/>
      <c r="LY3" s="205"/>
      <c r="LZ3" s="205"/>
      <c r="MA3" s="205"/>
      <c r="MB3" s="205"/>
      <c r="MC3" s="205"/>
      <c r="MD3" s="205"/>
      <c r="ME3" s="205"/>
      <c r="MF3" s="205"/>
      <c r="MG3" s="205"/>
      <c r="MH3" s="205"/>
      <c r="MI3" s="205"/>
      <c r="MJ3" s="205"/>
      <c r="MK3" s="205"/>
      <c r="ML3" s="205"/>
      <c r="MM3" s="205"/>
      <c r="MN3" s="205"/>
      <c r="MO3" s="205"/>
      <c r="MP3" s="205"/>
      <c r="MQ3" s="205"/>
      <c r="MR3" s="205"/>
      <c r="MS3" s="205"/>
      <c r="MT3" s="205"/>
      <c r="MU3" s="205"/>
      <c r="MV3" s="205"/>
      <c r="MW3" s="205"/>
      <c r="MX3" s="205"/>
      <c r="MY3" s="205"/>
      <c r="MZ3" s="205"/>
      <c r="NA3" s="205"/>
      <c r="NB3" s="205"/>
      <c r="NC3" s="205"/>
      <c r="ND3" s="205"/>
      <c r="NE3" s="205"/>
      <c r="NF3" s="205"/>
      <c r="NG3" s="205"/>
      <c r="NH3" s="205"/>
      <c r="NI3" s="205"/>
      <c r="NJ3" s="205"/>
      <c r="NK3" s="205"/>
      <c r="NL3" s="205"/>
      <c r="NM3" s="205"/>
      <c r="NN3" s="205"/>
      <c r="NO3" s="205"/>
      <c r="NP3" s="205"/>
      <c r="NQ3" s="205"/>
      <c r="NR3" s="205"/>
      <c r="NS3" s="205"/>
      <c r="NT3" s="205"/>
      <c r="NU3" s="205"/>
      <c r="NV3" s="205"/>
      <c r="NW3" s="205"/>
      <c r="NX3" s="205"/>
      <c r="NY3" s="205"/>
      <c r="NZ3" s="205"/>
      <c r="OA3" s="205"/>
      <c r="OB3" s="205"/>
      <c r="OC3" s="205"/>
      <c r="OD3" s="205"/>
      <c r="OE3" s="205"/>
      <c r="OF3" s="205"/>
      <c r="OG3" s="205"/>
      <c r="OH3" s="205"/>
      <c r="OI3" s="205"/>
      <c r="OJ3" s="205"/>
      <c r="OK3" s="205"/>
      <c r="OL3" s="205"/>
      <c r="OM3" s="205"/>
      <c r="ON3" s="205"/>
      <c r="OO3" s="205"/>
      <c r="OP3" s="205"/>
      <c r="OQ3" s="205"/>
      <c r="OR3" s="205"/>
      <c r="OS3" s="205"/>
      <c r="OT3" s="205"/>
      <c r="OU3" s="205"/>
      <c r="OV3" s="205"/>
      <c r="OW3" s="205"/>
      <c r="OX3" s="205"/>
      <c r="OY3" s="205"/>
      <c r="OZ3" s="205"/>
      <c r="PA3" s="205"/>
      <c r="PB3" s="205"/>
      <c r="PC3" s="205"/>
      <c r="PD3" s="205"/>
      <c r="PE3" s="205"/>
      <c r="PF3" s="205"/>
      <c r="PG3" s="205"/>
      <c r="PH3" s="205"/>
      <c r="PI3" s="205"/>
      <c r="PJ3" s="205"/>
      <c r="PK3" s="205"/>
      <c r="PL3" s="205"/>
      <c r="PM3" s="205"/>
      <c r="PN3" s="205"/>
      <c r="PO3" s="205"/>
      <c r="PP3" s="205"/>
      <c r="PQ3" s="205"/>
      <c r="PR3" s="205"/>
      <c r="PS3" s="205"/>
      <c r="PT3" s="205"/>
      <c r="PU3" s="205"/>
      <c r="PV3" s="205"/>
      <c r="PW3" s="205"/>
      <c r="PX3" s="205"/>
      <c r="PY3" s="205"/>
      <c r="PZ3" s="205"/>
      <c r="QA3" s="205"/>
      <c r="QB3" s="205"/>
      <c r="QC3" s="205"/>
      <c r="QD3" s="205"/>
      <c r="QE3" s="205"/>
      <c r="QF3" s="205"/>
      <c r="QG3" s="205"/>
      <c r="QH3" s="205"/>
      <c r="QI3" s="205"/>
      <c r="QJ3" s="205"/>
      <c r="QK3" s="205"/>
      <c r="QL3" s="205"/>
      <c r="QM3" s="205"/>
      <c r="QN3" s="205"/>
      <c r="QO3" s="205"/>
      <c r="QP3" s="205"/>
      <c r="QQ3" s="205"/>
      <c r="QR3" s="205"/>
      <c r="QS3" s="205"/>
      <c r="QT3" s="205"/>
      <c r="QU3" s="205"/>
      <c r="QV3" s="205"/>
      <c r="QW3" s="205"/>
      <c r="QX3" s="205"/>
      <c r="QY3" s="205"/>
      <c r="QZ3" s="205"/>
      <c r="RA3" s="205"/>
      <c r="RB3" s="205"/>
      <c r="RC3" s="205"/>
      <c r="RD3" s="205"/>
      <c r="RE3" s="205"/>
      <c r="RF3" s="205"/>
      <c r="RG3" s="205"/>
      <c r="RH3" s="205"/>
      <c r="RI3" s="205"/>
      <c r="RJ3" s="205"/>
      <c r="RK3" s="205"/>
      <c r="RL3" s="205"/>
      <c r="RM3" s="205"/>
      <c r="RN3" s="205"/>
      <c r="RO3" s="205"/>
      <c r="RP3" s="205"/>
      <c r="RQ3" s="205"/>
      <c r="RR3" s="205"/>
      <c r="RS3" s="205"/>
      <c r="RT3" s="205"/>
      <c r="RU3" s="205"/>
      <c r="RV3" s="205"/>
      <c r="RW3" s="205"/>
      <c r="RX3" s="205"/>
      <c r="RY3" s="205"/>
      <c r="RZ3" s="205"/>
      <c r="SA3" s="205"/>
      <c r="SB3" s="205"/>
      <c r="SC3" s="205"/>
      <c r="SD3" s="205"/>
      <c r="SE3" s="205"/>
      <c r="SF3" s="205"/>
      <c r="SG3" s="205"/>
      <c r="SH3" s="205"/>
      <c r="SI3" s="205"/>
      <c r="SJ3" s="205"/>
      <c r="SK3" s="205"/>
      <c r="SL3" s="205"/>
      <c r="SM3" s="205"/>
      <c r="SN3" s="205"/>
      <c r="SO3" s="205"/>
      <c r="SP3" s="205"/>
      <c r="SQ3" s="205"/>
      <c r="SR3" s="205"/>
      <c r="SS3" s="205"/>
      <c r="ST3" s="205"/>
      <c r="SU3" s="205"/>
      <c r="SV3" s="205"/>
      <c r="SW3" s="205"/>
      <c r="SX3" s="205"/>
      <c r="SY3" s="205"/>
      <c r="SZ3" s="205"/>
      <c r="TA3" s="205"/>
      <c r="TB3" s="205"/>
      <c r="TC3" s="205"/>
      <c r="TD3" s="205"/>
      <c r="TE3" s="205"/>
      <c r="TF3" s="205"/>
      <c r="TG3" s="205"/>
      <c r="TH3" s="205"/>
      <c r="TI3" s="205"/>
      <c r="TJ3" s="205"/>
      <c r="TK3" s="205"/>
      <c r="TL3" s="205"/>
      <c r="TM3" s="205"/>
      <c r="TN3" s="205"/>
      <c r="TO3" s="205"/>
      <c r="TP3" s="205"/>
      <c r="TQ3" s="205"/>
      <c r="TR3" s="205"/>
      <c r="TS3" s="205"/>
      <c r="TT3" s="205"/>
      <c r="TU3" s="205"/>
      <c r="TV3" s="205"/>
      <c r="TW3" s="205"/>
      <c r="TX3" s="205"/>
      <c r="TY3" s="205"/>
      <c r="TZ3" s="205"/>
      <c r="UA3" s="205"/>
      <c r="UB3" s="205"/>
      <c r="UC3" s="205"/>
      <c r="UD3" s="205"/>
      <c r="UE3" s="205"/>
      <c r="UF3" s="205"/>
      <c r="UG3" s="205"/>
      <c r="UH3" s="205"/>
      <c r="UI3" s="205"/>
      <c r="UJ3" s="205"/>
      <c r="UK3" s="205"/>
      <c r="UL3" s="205"/>
      <c r="UM3" s="205"/>
      <c r="UN3" s="205"/>
      <c r="UO3" s="205"/>
      <c r="UP3" s="205"/>
      <c r="UQ3" s="205"/>
      <c r="UR3" s="205"/>
      <c r="US3" s="205"/>
      <c r="UT3" s="205"/>
      <c r="UU3" s="205"/>
      <c r="UV3" s="205"/>
      <c r="UW3" s="205"/>
      <c r="UX3" s="205"/>
      <c r="UY3" s="205"/>
      <c r="UZ3" s="205"/>
      <c r="VA3" s="205"/>
      <c r="VB3" s="205"/>
      <c r="VC3" s="205"/>
      <c r="VD3" s="205"/>
      <c r="VE3" s="205"/>
      <c r="VF3" s="205"/>
      <c r="VG3" s="205"/>
      <c r="VH3" s="205"/>
      <c r="VI3" s="205"/>
      <c r="VJ3" s="205"/>
      <c r="VK3" s="205"/>
      <c r="VL3" s="205"/>
      <c r="VM3" s="205"/>
      <c r="VN3" s="205"/>
      <c r="VO3" s="205"/>
      <c r="VP3" s="205"/>
      <c r="VQ3" s="205"/>
      <c r="VR3" s="205"/>
      <c r="VS3" s="205"/>
      <c r="VT3" s="205"/>
      <c r="VU3" s="205"/>
      <c r="VV3" s="205"/>
      <c r="VW3" s="205"/>
      <c r="VX3" s="205"/>
      <c r="VY3" s="205"/>
      <c r="VZ3" s="205"/>
      <c r="WA3" s="205"/>
      <c r="WB3" s="205"/>
      <c r="WC3" s="205"/>
      <c r="WD3" s="205"/>
      <c r="WE3" s="205"/>
      <c r="WF3" s="205"/>
      <c r="WG3" s="205"/>
      <c r="WH3" s="205"/>
      <c r="WI3" s="205"/>
      <c r="WJ3" s="205"/>
      <c r="WK3" s="205"/>
      <c r="WL3" s="205"/>
      <c r="WM3" s="205"/>
      <c r="WN3" s="205"/>
      <c r="WO3" s="205"/>
      <c r="WP3" s="205"/>
      <c r="WQ3" s="205"/>
      <c r="WR3" s="205"/>
      <c r="WS3" s="205"/>
      <c r="WT3" s="205"/>
      <c r="WU3" s="205"/>
      <c r="WV3" s="205"/>
      <c r="WW3" s="205"/>
      <c r="WX3" s="205"/>
      <c r="WY3" s="205"/>
      <c r="WZ3" s="205"/>
      <c r="XA3" s="205"/>
      <c r="XB3" s="205"/>
      <c r="XC3" s="205"/>
      <c r="XD3" s="205"/>
      <c r="XE3" s="205"/>
      <c r="XF3" s="205"/>
      <c r="XG3" s="205"/>
      <c r="XH3" s="205"/>
      <c r="XI3" s="205"/>
      <c r="XJ3" s="205"/>
      <c r="XK3" s="205"/>
      <c r="XL3" s="205"/>
      <c r="XM3" s="205"/>
      <c r="XN3" s="205"/>
      <c r="XO3" s="205"/>
      <c r="XP3" s="205"/>
      <c r="XQ3" s="205"/>
      <c r="XR3" s="205"/>
      <c r="XS3" s="205"/>
      <c r="XT3" s="205"/>
      <c r="XU3" s="205"/>
      <c r="XV3" s="205"/>
      <c r="XW3" s="205"/>
      <c r="XX3" s="205"/>
      <c r="XY3" s="205"/>
      <c r="XZ3" s="205"/>
      <c r="YA3" s="205"/>
      <c r="YB3" s="205"/>
      <c r="YC3" s="205"/>
      <c r="YD3" s="205"/>
      <c r="YE3" s="205"/>
      <c r="YF3" s="205"/>
      <c r="YG3" s="205"/>
      <c r="YH3" s="205"/>
      <c r="YI3" s="205"/>
      <c r="YJ3" s="205"/>
      <c r="YK3" s="205"/>
      <c r="YL3" s="205"/>
      <c r="YM3" s="205"/>
      <c r="YN3" s="205"/>
      <c r="YO3" s="205"/>
      <c r="YP3" s="205"/>
      <c r="YQ3" s="205"/>
      <c r="YR3" s="205"/>
      <c r="YS3" s="205"/>
      <c r="YT3" s="205"/>
      <c r="YU3" s="205"/>
      <c r="YV3" s="205"/>
      <c r="YW3" s="205"/>
      <c r="YX3" s="205"/>
      <c r="YY3" s="205"/>
      <c r="YZ3" s="205"/>
      <c r="ZA3" s="205"/>
      <c r="ZB3" s="205"/>
      <c r="ZC3" s="205"/>
      <c r="ZD3" s="205"/>
      <c r="ZE3" s="205"/>
      <c r="ZF3" s="205"/>
      <c r="ZG3" s="205"/>
      <c r="ZH3" s="205"/>
      <c r="ZI3" s="205"/>
      <c r="ZJ3" s="205"/>
      <c r="ZK3" s="205"/>
      <c r="ZL3" s="205"/>
      <c r="ZM3" s="205"/>
      <c r="ZN3" s="205"/>
      <c r="ZO3" s="205"/>
      <c r="ZP3" s="205"/>
      <c r="ZQ3" s="205"/>
      <c r="ZR3" s="205"/>
      <c r="ZS3" s="205"/>
      <c r="ZT3" s="205"/>
      <c r="ZU3" s="205"/>
      <c r="ZV3" s="205"/>
      <c r="ZW3" s="205"/>
      <c r="ZX3" s="205"/>
      <c r="ZY3" s="205"/>
      <c r="ZZ3" s="205"/>
      <c r="AAA3" s="205"/>
      <c r="AAB3" s="205"/>
      <c r="AAC3" s="205"/>
      <c r="AAD3" s="205"/>
      <c r="AAE3" s="205"/>
      <c r="AAF3" s="205"/>
      <c r="AAG3" s="205"/>
      <c r="AAH3" s="205"/>
      <c r="AAI3" s="205"/>
      <c r="AAJ3" s="205"/>
      <c r="AAK3" s="205"/>
      <c r="AAL3" s="205"/>
      <c r="AAM3" s="205"/>
      <c r="AAN3" s="205"/>
      <c r="AAO3" s="205"/>
      <c r="AAP3" s="205"/>
      <c r="AAQ3" s="205"/>
      <c r="AAR3" s="205"/>
      <c r="AAS3" s="205"/>
      <c r="AAT3" s="205"/>
      <c r="AAU3" s="205"/>
      <c r="AAV3" s="205"/>
      <c r="AAW3" s="205"/>
      <c r="AAX3" s="205"/>
      <c r="AAY3" s="205"/>
      <c r="AAZ3" s="205"/>
      <c r="ABA3" s="205"/>
      <c r="ABB3" s="205"/>
      <c r="ABC3" s="205"/>
      <c r="ABD3" s="205"/>
      <c r="ABE3" s="205"/>
      <c r="ABF3" s="205"/>
      <c r="ABG3" s="205"/>
      <c r="ABH3" s="205"/>
      <c r="ABI3" s="205"/>
      <c r="ABJ3" s="205"/>
      <c r="ABK3" s="205"/>
      <c r="ABL3" s="205"/>
      <c r="ABM3" s="205"/>
      <c r="ABN3" s="205"/>
      <c r="ABO3" s="205"/>
      <c r="ABP3" s="205"/>
      <c r="ABQ3" s="205"/>
      <c r="ABR3" s="205"/>
      <c r="ABS3" s="205"/>
      <c r="ABT3" s="205"/>
      <c r="ABU3" s="205"/>
      <c r="ABV3" s="205"/>
      <c r="ABW3" s="205"/>
      <c r="ABX3" s="205"/>
      <c r="ABY3" s="205"/>
      <c r="ABZ3" s="205"/>
      <c r="ACA3" s="205"/>
      <c r="ACB3" s="205"/>
      <c r="ACC3" s="205"/>
      <c r="ACD3" s="205"/>
      <c r="ACE3" s="205"/>
      <c r="ACF3" s="205"/>
      <c r="ACG3" s="205"/>
      <c r="ACH3" s="205"/>
      <c r="ACI3" s="205"/>
      <c r="ACJ3" s="205"/>
      <c r="ACK3" s="205"/>
      <c r="ACL3" s="205"/>
      <c r="ACM3" s="205"/>
      <c r="ACN3" s="205"/>
      <c r="ACO3" s="205"/>
      <c r="ACP3" s="205"/>
      <c r="ACQ3" s="205"/>
      <c r="ACR3" s="205"/>
      <c r="ACS3" s="205"/>
      <c r="ACT3" s="205"/>
      <c r="ACU3" s="205"/>
      <c r="ACV3" s="205"/>
      <c r="ACW3" s="205"/>
      <c r="ACX3" s="205"/>
      <c r="ACY3" s="205"/>
      <c r="ACZ3" s="205"/>
      <c r="ADA3" s="205"/>
      <c r="ADB3" s="205"/>
      <c r="ADC3" s="205"/>
      <c r="ADD3" s="205"/>
      <c r="ADE3" s="205"/>
      <c r="ADF3" s="205"/>
      <c r="ADG3" s="205"/>
      <c r="ADH3" s="205"/>
      <c r="ADI3" s="205"/>
      <c r="ADJ3" s="205"/>
      <c r="ADK3" s="205"/>
      <c r="ADL3" s="205"/>
      <c r="ADM3" s="205"/>
      <c r="ADN3" s="205"/>
      <c r="ADO3" s="205"/>
      <c r="ADP3" s="205"/>
      <c r="ADQ3" s="205"/>
      <c r="ADR3" s="205"/>
      <c r="ADS3" s="205"/>
      <c r="ADT3" s="205"/>
      <c r="ADU3" s="205"/>
      <c r="ADV3" s="205"/>
      <c r="ADW3" s="205"/>
      <c r="ADX3" s="205"/>
      <c r="ADY3" s="205"/>
      <c r="ADZ3" s="205"/>
      <c r="AEA3" s="205"/>
      <c r="AEB3" s="205"/>
      <c r="AEC3" s="205"/>
      <c r="AED3" s="205"/>
      <c r="AEE3" s="205"/>
      <c r="AEF3" s="205"/>
      <c r="AEG3" s="205"/>
      <c r="AEH3" s="205"/>
      <c r="AEI3" s="205"/>
      <c r="AEJ3" s="205"/>
      <c r="AEK3" s="205"/>
      <c r="AEL3" s="205"/>
      <c r="AEM3" s="205"/>
      <c r="AEN3" s="205"/>
      <c r="AEO3" s="205"/>
      <c r="AEP3" s="205"/>
      <c r="AEQ3" s="205"/>
      <c r="AER3" s="205"/>
      <c r="AES3" s="205"/>
      <c r="AET3" s="205"/>
      <c r="AEU3" s="205"/>
      <c r="AEV3" s="205"/>
      <c r="AEW3" s="205"/>
      <c r="AEX3" s="205"/>
      <c r="AEY3" s="205"/>
      <c r="AEZ3" s="205"/>
      <c r="AFA3" s="205"/>
      <c r="AFB3" s="205"/>
      <c r="AFC3" s="205"/>
      <c r="AFD3" s="205"/>
      <c r="AFE3" s="205"/>
      <c r="AFF3" s="205"/>
      <c r="AFG3" s="205"/>
      <c r="AFH3" s="205"/>
      <c r="AFI3" s="205"/>
      <c r="AFJ3" s="205"/>
      <c r="AFK3" s="205"/>
      <c r="AFL3" s="205"/>
      <c r="AFM3" s="205"/>
      <c r="AFN3" s="205"/>
      <c r="AFO3" s="205"/>
      <c r="AFP3" s="205"/>
      <c r="AFQ3" s="205"/>
      <c r="AFR3" s="205"/>
      <c r="AFS3" s="205"/>
      <c r="AFT3" s="205"/>
      <c r="AFU3" s="205"/>
      <c r="AFV3" s="205"/>
      <c r="AFW3" s="205"/>
      <c r="AFX3" s="205"/>
      <c r="AFY3" s="205"/>
      <c r="AFZ3" s="205"/>
      <c r="AGA3" s="205"/>
      <c r="AGB3" s="205"/>
      <c r="AGC3" s="205"/>
      <c r="AGD3" s="205"/>
      <c r="AGE3" s="205"/>
      <c r="AGF3" s="205"/>
      <c r="AGG3" s="205"/>
      <c r="AGH3" s="205"/>
      <c r="AGI3" s="205"/>
      <c r="AGJ3" s="205"/>
      <c r="AGK3" s="205"/>
      <c r="AGL3" s="205"/>
      <c r="AGM3" s="205"/>
      <c r="AGN3" s="205"/>
      <c r="AGO3" s="205"/>
      <c r="AGP3" s="205"/>
      <c r="AGQ3" s="205"/>
      <c r="AGR3" s="205"/>
      <c r="AGS3" s="205"/>
      <c r="AGT3" s="205"/>
      <c r="AGU3" s="205"/>
      <c r="AGV3" s="205"/>
      <c r="AGW3" s="205"/>
      <c r="AGX3" s="205"/>
      <c r="AGY3" s="205"/>
      <c r="AGZ3" s="205"/>
      <c r="AHA3" s="205"/>
      <c r="AHB3" s="205"/>
      <c r="AHC3" s="205"/>
      <c r="AHD3" s="205"/>
      <c r="AHE3" s="205"/>
      <c r="AHF3" s="205"/>
      <c r="AHG3" s="205"/>
      <c r="AHH3" s="205"/>
      <c r="AHI3" s="205"/>
      <c r="AHJ3" s="205"/>
      <c r="AHK3" s="205"/>
      <c r="AHL3" s="205"/>
      <c r="AHM3" s="205"/>
      <c r="AHN3" s="205"/>
      <c r="AHO3" s="205"/>
      <c r="AHP3" s="205"/>
      <c r="AHQ3" s="205"/>
      <c r="AHR3" s="205"/>
      <c r="AHS3" s="205"/>
      <c r="AHT3" s="205"/>
      <c r="AHU3" s="205"/>
      <c r="AHV3" s="205"/>
      <c r="AHW3" s="205"/>
      <c r="AHX3" s="205"/>
      <c r="AHY3" s="205"/>
      <c r="AHZ3" s="205"/>
      <c r="AIA3" s="205"/>
      <c r="AIB3" s="205"/>
      <c r="AIC3" s="205"/>
      <c r="AID3" s="205"/>
      <c r="AIE3" s="205"/>
      <c r="AIF3" s="205"/>
      <c r="AIG3" s="205"/>
      <c r="AIH3" s="205"/>
      <c r="AII3" s="205"/>
      <c r="AIJ3" s="205"/>
      <c r="AIK3" s="205"/>
      <c r="AIL3" s="205"/>
      <c r="AIM3" s="205"/>
      <c r="AIN3" s="205"/>
      <c r="AIO3" s="205"/>
      <c r="AIP3" s="205"/>
      <c r="AIQ3" s="205"/>
      <c r="AIR3" s="205"/>
      <c r="AIS3" s="205"/>
      <c r="AIT3" s="205"/>
      <c r="AIU3" s="205"/>
      <c r="AIV3" s="205"/>
      <c r="AIW3" s="205"/>
      <c r="AIX3" s="205"/>
      <c r="AIY3" s="205"/>
      <c r="AIZ3" s="205"/>
      <c r="AJA3" s="205"/>
      <c r="AJB3" s="205"/>
      <c r="AJC3" s="205"/>
      <c r="AJD3" s="205"/>
      <c r="AJE3" s="205"/>
      <c r="AJF3" s="205"/>
      <c r="AJG3" s="205"/>
      <c r="AJH3" s="205"/>
      <c r="AJI3" s="205"/>
      <c r="AJJ3" s="205"/>
      <c r="AJK3" s="205"/>
      <c r="AJL3" s="205"/>
      <c r="AJM3" s="205"/>
      <c r="AJN3" s="205"/>
      <c r="AJO3" s="205"/>
      <c r="AJP3" s="205"/>
      <c r="AJQ3" s="205"/>
      <c r="AJR3" s="205"/>
      <c r="AJS3" s="205"/>
      <c r="AJT3" s="205"/>
      <c r="AJU3" s="205"/>
      <c r="AJV3" s="205"/>
      <c r="AJW3" s="205"/>
      <c r="AJX3" s="205"/>
      <c r="AJY3" s="205"/>
      <c r="AJZ3" s="205"/>
      <c r="AKA3" s="205"/>
      <c r="AKB3" s="205"/>
      <c r="AKC3" s="205"/>
    </row>
    <row r="4" spans="1:965" s="355" customFormat="1" x14ac:dyDescent="0.35">
      <c r="A4" s="1057" t="s">
        <v>966</v>
      </c>
      <c r="B4" s="931"/>
      <c r="C4" s="354" t="str">
        <f>'General Information'!C6</f>
        <v>PPC</v>
      </c>
      <c r="D4" s="353"/>
      <c r="E4" s="353"/>
      <c r="F4" s="367"/>
      <c r="IR4" s="470"/>
      <c r="IS4" s="470"/>
      <c r="IT4" s="470"/>
      <c r="IU4" s="470"/>
      <c r="IV4" s="470"/>
      <c r="IW4" s="470"/>
      <c r="IX4" s="470"/>
      <c r="IY4" s="470"/>
      <c r="IZ4" s="470"/>
      <c r="JA4" s="470"/>
      <c r="JB4" s="470"/>
      <c r="JC4" s="470"/>
      <c r="JD4" s="470"/>
      <c r="JE4" s="470"/>
      <c r="JF4" s="470"/>
      <c r="JG4" s="470"/>
      <c r="JH4" s="470"/>
      <c r="JI4" s="470"/>
      <c r="JJ4" s="470"/>
      <c r="JK4" s="470"/>
      <c r="JL4" s="470"/>
      <c r="JM4" s="470"/>
      <c r="JN4" s="470"/>
      <c r="JO4" s="470"/>
      <c r="JP4" s="470"/>
      <c r="JQ4" s="470"/>
      <c r="JR4" s="470"/>
      <c r="JS4" s="470"/>
      <c r="JT4" s="470"/>
      <c r="JU4" s="470"/>
      <c r="JV4" s="470"/>
      <c r="JW4" s="470"/>
      <c r="JX4" s="470"/>
      <c r="JY4" s="470"/>
      <c r="JZ4" s="470"/>
      <c r="KA4" s="470"/>
      <c r="KB4" s="470"/>
      <c r="KC4" s="470"/>
      <c r="KD4" s="470"/>
      <c r="KE4" s="470"/>
      <c r="KF4" s="470"/>
      <c r="KG4" s="470"/>
      <c r="KH4" s="470"/>
      <c r="KI4" s="470"/>
      <c r="KJ4" s="470"/>
      <c r="KK4" s="470"/>
      <c r="KL4" s="470"/>
      <c r="KM4" s="470"/>
      <c r="KN4" s="470"/>
      <c r="KO4" s="470"/>
      <c r="KP4" s="470"/>
      <c r="KQ4" s="470"/>
      <c r="KR4" s="470"/>
      <c r="KS4" s="470"/>
      <c r="KT4" s="470"/>
      <c r="KU4" s="470"/>
      <c r="KV4" s="470"/>
      <c r="KW4" s="470"/>
      <c r="KX4" s="470"/>
      <c r="KY4" s="470"/>
      <c r="KZ4" s="470"/>
      <c r="LA4" s="470"/>
      <c r="LB4" s="470"/>
      <c r="LC4" s="470"/>
      <c r="LD4" s="470"/>
      <c r="LE4" s="470"/>
      <c r="LF4" s="470"/>
      <c r="LG4" s="470"/>
      <c r="LH4" s="470"/>
      <c r="LI4" s="470"/>
      <c r="LJ4" s="470"/>
      <c r="LK4" s="470"/>
      <c r="LL4" s="470"/>
      <c r="LM4" s="470"/>
      <c r="LN4" s="470"/>
      <c r="LO4" s="470"/>
      <c r="LP4" s="470"/>
      <c r="LQ4" s="470"/>
      <c r="LR4" s="470"/>
      <c r="LS4" s="470"/>
      <c r="LT4" s="470"/>
      <c r="LU4" s="470"/>
      <c r="LV4" s="470"/>
      <c r="LW4" s="470"/>
      <c r="LX4" s="470"/>
      <c r="LY4" s="470"/>
      <c r="LZ4" s="470"/>
      <c r="MA4" s="470"/>
      <c r="MB4" s="470"/>
      <c r="MC4" s="470"/>
      <c r="MD4" s="470"/>
      <c r="ME4" s="470"/>
      <c r="MF4" s="470"/>
      <c r="MG4" s="470"/>
      <c r="MH4" s="470"/>
      <c r="MI4" s="470"/>
      <c r="MJ4" s="470"/>
      <c r="MK4" s="470"/>
      <c r="ML4" s="470"/>
      <c r="MM4" s="470"/>
      <c r="MN4" s="470"/>
      <c r="MO4" s="470"/>
      <c r="MP4" s="470"/>
      <c r="MQ4" s="470"/>
      <c r="MR4" s="470"/>
      <c r="MS4" s="470"/>
      <c r="MT4" s="470"/>
      <c r="MU4" s="470"/>
      <c r="MV4" s="470"/>
      <c r="MW4" s="470"/>
      <c r="MX4" s="470"/>
      <c r="MY4" s="470"/>
      <c r="MZ4" s="470"/>
      <c r="NA4" s="470"/>
      <c r="NB4" s="470"/>
      <c r="NC4" s="470"/>
      <c r="ND4" s="470"/>
      <c r="NE4" s="470"/>
      <c r="NF4" s="470"/>
      <c r="NG4" s="470"/>
      <c r="NH4" s="470"/>
      <c r="NI4" s="470"/>
      <c r="NJ4" s="470"/>
      <c r="NK4" s="470"/>
      <c r="NL4" s="470"/>
      <c r="NM4" s="470"/>
      <c r="NN4" s="470"/>
      <c r="NO4" s="470"/>
      <c r="NP4" s="470"/>
      <c r="NQ4" s="470"/>
      <c r="NR4" s="470"/>
      <c r="NS4" s="470"/>
      <c r="NT4" s="470"/>
      <c r="NU4" s="470"/>
      <c r="NV4" s="470"/>
      <c r="NW4" s="470"/>
      <c r="NX4" s="470"/>
      <c r="NY4" s="470"/>
      <c r="NZ4" s="470"/>
      <c r="OA4" s="470"/>
      <c r="OB4" s="470"/>
      <c r="OC4" s="470"/>
      <c r="OD4" s="470"/>
      <c r="OE4" s="470"/>
      <c r="OF4" s="470"/>
      <c r="OG4" s="470"/>
      <c r="OH4" s="470"/>
      <c r="OI4" s="470"/>
      <c r="OJ4" s="470"/>
      <c r="OK4" s="470"/>
      <c r="OL4" s="470"/>
      <c r="OM4" s="470"/>
      <c r="ON4" s="470"/>
      <c r="OO4" s="470"/>
      <c r="OP4" s="470"/>
      <c r="OQ4" s="470"/>
      <c r="OR4" s="470"/>
      <c r="OS4" s="470"/>
      <c r="OT4" s="470"/>
      <c r="OU4" s="470"/>
      <c r="OV4" s="470"/>
      <c r="OW4" s="470"/>
      <c r="OX4" s="470"/>
      <c r="OY4" s="470"/>
      <c r="OZ4" s="470"/>
      <c r="PA4" s="470"/>
      <c r="PB4" s="470"/>
      <c r="PC4" s="470"/>
      <c r="PD4" s="470"/>
      <c r="PE4" s="470"/>
      <c r="PF4" s="470"/>
      <c r="PG4" s="470"/>
      <c r="PH4" s="470"/>
      <c r="PI4" s="470"/>
      <c r="PJ4" s="470"/>
      <c r="PK4" s="470"/>
      <c r="PL4" s="470"/>
      <c r="PM4" s="470"/>
      <c r="PN4" s="470"/>
      <c r="PO4" s="470"/>
      <c r="PP4" s="470"/>
      <c r="PQ4" s="470"/>
      <c r="PR4" s="470"/>
      <c r="PS4" s="470"/>
      <c r="PT4" s="470"/>
      <c r="PU4" s="470"/>
      <c r="PV4" s="470"/>
      <c r="PW4" s="470"/>
      <c r="PX4" s="470"/>
      <c r="PY4" s="470"/>
      <c r="PZ4" s="470"/>
      <c r="QA4" s="470"/>
      <c r="QB4" s="470"/>
      <c r="QC4" s="470"/>
      <c r="QD4" s="470"/>
      <c r="QE4" s="470"/>
      <c r="QF4" s="470"/>
      <c r="QG4" s="470"/>
      <c r="QH4" s="470"/>
      <c r="QI4" s="470"/>
      <c r="QJ4" s="470"/>
      <c r="QK4" s="470"/>
      <c r="QL4" s="470"/>
      <c r="QM4" s="470"/>
      <c r="QN4" s="470"/>
      <c r="QO4" s="470"/>
      <c r="QP4" s="470"/>
      <c r="QQ4" s="470"/>
      <c r="QR4" s="470"/>
      <c r="QS4" s="470"/>
      <c r="QT4" s="470"/>
      <c r="QU4" s="470"/>
      <c r="QV4" s="470"/>
      <c r="QW4" s="470"/>
      <c r="QX4" s="470"/>
      <c r="QY4" s="470"/>
      <c r="QZ4" s="470"/>
      <c r="RA4" s="470"/>
      <c r="RB4" s="470"/>
      <c r="RC4" s="470"/>
      <c r="RD4" s="470"/>
      <c r="RE4" s="470"/>
      <c r="RF4" s="470"/>
      <c r="RG4" s="470"/>
      <c r="RH4" s="470"/>
      <c r="RI4" s="470"/>
      <c r="RJ4" s="470"/>
      <c r="RK4" s="470"/>
      <c r="RL4" s="470"/>
      <c r="RM4" s="470"/>
      <c r="RN4" s="470"/>
      <c r="RO4" s="470"/>
      <c r="RP4" s="470"/>
      <c r="RQ4" s="470"/>
      <c r="RR4" s="470"/>
      <c r="RS4" s="470"/>
      <c r="RT4" s="470"/>
      <c r="RU4" s="470"/>
      <c r="RV4" s="470"/>
      <c r="RW4" s="470"/>
      <c r="RX4" s="470"/>
      <c r="RY4" s="470"/>
      <c r="RZ4" s="470"/>
      <c r="SA4" s="470"/>
      <c r="SB4" s="470"/>
      <c r="SC4" s="470"/>
      <c r="SD4" s="470"/>
      <c r="SE4" s="470"/>
      <c r="SF4" s="470"/>
      <c r="SG4" s="470"/>
      <c r="SH4" s="470"/>
      <c r="SI4" s="470"/>
      <c r="SJ4" s="470"/>
      <c r="SK4" s="470"/>
      <c r="SL4" s="470"/>
      <c r="SM4" s="470"/>
      <c r="SN4" s="470"/>
      <c r="SO4" s="470"/>
      <c r="SP4" s="470"/>
      <c r="SQ4" s="470"/>
      <c r="SR4" s="470"/>
      <c r="SS4" s="470"/>
      <c r="ST4" s="470"/>
      <c r="SU4" s="470"/>
      <c r="SV4" s="470"/>
      <c r="SW4" s="470"/>
      <c r="SX4" s="470"/>
      <c r="SY4" s="470"/>
      <c r="SZ4" s="470"/>
      <c r="TA4" s="470"/>
      <c r="TB4" s="470"/>
      <c r="TC4" s="470"/>
      <c r="TD4" s="470"/>
      <c r="TE4" s="470"/>
      <c r="TF4" s="470"/>
      <c r="TG4" s="470"/>
      <c r="TH4" s="470"/>
      <c r="TI4" s="470"/>
      <c r="TJ4" s="470"/>
      <c r="TK4" s="470"/>
      <c r="TL4" s="470"/>
      <c r="TM4" s="470"/>
      <c r="TN4" s="470"/>
      <c r="TO4" s="470"/>
      <c r="TP4" s="470"/>
      <c r="TQ4" s="470"/>
      <c r="TR4" s="470"/>
      <c r="TS4" s="470"/>
      <c r="TT4" s="470"/>
      <c r="TU4" s="470"/>
      <c r="TV4" s="470"/>
      <c r="TW4" s="470"/>
      <c r="TX4" s="470"/>
      <c r="TY4" s="470"/>
      <c r="TZ4" s="470"/>
      <c r="UA4" s="470"/>
      <c r="UB4" s="470"/>
      <c r="UC4" s="470"/>
      <c r="UD4" s="470"/>
      <c r="UE4" s="470"/>
      <c r="UF4" s="470"/>
      <c r="UG4" s="470"/>
      <c r="UH4" s="470"/>
      <c r="UI4" s="470"/>
      <c r="UJ4" s="470"/>
      <c r="UK4" s="470"/>
      <c r="UL4" s="470"/>
      <c r="UM4" s="470"/>
      <c r="UN4" s="470"/>
      <c r="UO4" s="470"/>
      <c r="UP4" s="470"/>
      <c r="UQ4" s="470"/>
      <c r="UR4" s="470"/>
      <c r="US4" s="470"/>
      <c r="UT4" s="470"/>
      <c r="UU4" s="470"/>
      <c r="UV4" s="470"/>
      <c r="UW4" s="470"/>
      <c r="UX4" s="470"/>
      <c r="UY4" s="470"/>
      <c r="UZ4" s="470"/>
      <c r="VA4" s="470"/>
      <c r="VB4" s="470"/>
      <c r="VC4" s="470"/>
      <c r="VD4" s="470"/>
      <c r="VE4" s="470"/>
      <c r="VF4" s="470"/>
      <c r="VG4" s="470"/>
      <c r="VH4" s="470"/>
      <c r="VI4" s="470"/>
      <c r="VJ4" s="470"/>
      <c r="VK4" s="470"/>
      <c r="VL4" s="470"/>
      <c r="VM4" s="470"/>
      <c r="VN4" s="470"/>
      <c r="VO4" s="470"/>
      <c r="VP4" s="470"/>
      <c r="VQ4" s="470"/>
      <c r="VR4" s="470"/>
      <c r="VS4" s="470"/>
      <c r="VT4" s="470"/>
      <c r="VU4" s="470"/>
      <c r="VV4" s="470"/>
      <c r="VW4" s="470"/>
      <c r="VX4" s="470"/>
      <c r="VY4" s="470"/>
      <c r="VZ4" s="470"/>
      <c r="WA4" s="470"/>
      <c r="WB4" s="470"/>
      <c r="WC4" s="470"/>
      <c r="WD4" s="470"/>
      <c r="WE4" s="470"/>
      <c r="WF4" s="470"/>
      <c r="WG4" s="470"/>
      <c r="WH4" s="470"/>
      <c r="WI4" s="470"/>
      <c r="WJ4" s="470"/>
      <c r="WK4" s="470"/>
      <c r="WL4" s="470"/>
      <c r="WM4" s="470"/>
      <c r="WN4" s="470"/>
      <c r="WO4" s="470"/>
      <c r="WP4" s="470"/>
      <c r="WQ4" s="470"/>
      <c r="WR4" s="470"/>
      <c r="WS4" s="470"/>
      <c r="WT4" s="470"/>
      <c r="WU4" s="470"/>
      <c r="WV4" s="470"/>
      <c r="WW4" s="470"/>
      <c r="WX4" s="470"/>
      <c r="WY4" s="470"/>
      <c r="WZ4" s="470"/>
      <c r="XA4" s="470"/>
      <c r="XB4" s="470"/>
      <c r="XC4" s="470"/>
      <c r="XD4" s="470"/>
      <c r="XE4" s="470"/>
      <c r="XF4" s="470"/>
      <c r="XG4" s="470"/>
      <c r="XH4" s="470"/>
      <c r="XI4" s="470"/>
      <c r="XJ4" s="470"/>
      <c r="XK4" s="470"/>
      <c r="XL4" s="470"/>
      <c r="XM4" s="470"/>
      <c r="XN4" s="470"/>
      <c r="XO4" s="470"/>
      <c r="XP4" s="470"/>
      <c r="XQ4" s="470"/>
      <c r="XR4" s="470"/>
      <c r="XS4" s="470"/>
      <c r="XT4" s="470"/>
      <c r="XU4" s="470"/>
      <c r="XV4" s="470"/>
      <c r="XW4" s="470"/>
      <c r="XX4" s="470"/>
      <c r="XY4" s="470"/>
      <c r="XZ4" s="470"/>
      <c r="YA4" s="470"/>
      <c r="YB4" s="470"/>
      <c r="YC4" s="470"/>
      <c r="YD4" s="470"/>
      <c r="YE4" s="470"/>
      <c r="YF4" s="470"/>
      <c r="YG4" s="470"/>
      <c r="YH4" s="470"/>
      <c r="YI4" s="470"/>
      <c r="YJ4" s="470"/>
      <c r="YK4" s="470"/>
      <c r="YL4" s="470"/>
      <c r="YM4" s="470"/>
      <c r="YN4" s="470"/>
      <c r="YO4" s="470"/>
      <c r="YP4" s="470"/>
      <c r="YQ4" s="470"/>
      <c r="YR4" s="470"/>
      <c r="YS4" s="470"/>
      <c r="YT4" s="470"/>
      <c r="YU4" s="470"/>
      <c r="YV4" s="470"/>
      <c r="YW4" s="470"/>
      <c r="YX4" s="470"/>
      <c r="YY4" s="470"/>
      <c r="YZ4" s="470"/>
      <c r="ZA4" s="470"/>
      <c r="ZB4" s="470"/>
      <c r="ZC4" s="470"/>
      <c r="ZD4" s="470"/>
      <c r="ZE4" s="470"/>
      <c r="ZF4" s="470"/>
      <c r="ZG4" s="470"/>
      <c r="ZH4" s="470"/>
      <c r="ZI4" s="470"/>
      <c r="ZJ4" s="470"/>
      <c r="ZK4" s="470"/>
      <c r="ZL4" s="470"/>
      <c r="ZM4" s="470"/>
      <c r="ZN4" s="470"/>
      <c r="ZO4" s="470"/>
      <c r="ZP4" s="470"/>
      <c r="ZQ4" s="470"/>
      <c r="ZR4" s="470"/>
      <c r="ZS4" s="470"/>
      <c r="ZT4" s="470"/>
      <c r="ZU4" s="470"/>
      <c r="ZV4" s="470"/>
      <c r="ZW4" s="470"/>
      <c r="ZX4" s="470"/>
      <c r="ZY4" s="470"/>
      <c r="ZZ4" s="470"/>
      <c r="AAA4" s="470"/>
      <c r="AAB4" s="470"/>
      <c r="AAC4" s="470"/>
      <c r="AAD4" s="470"/>
      <c r="AAE4" s="470"/>
      <c r="AAF4" s="470"/>
      <c r="AAG4" s="470"/>
      <c r="AAH4" s="470"/>
      <c r="AAI4" s="470"/>
      <c r="AAJ4" s="470"/>
      <c r="AAK4" s="470"/>
      <c r="AAL4" s="470"/>
      <c r="AAM4" s="470"/>
      <c r="AAN4" s="470"/>
      <c r="AAO4" s="470"/>
      <c r="AAP4" s="470"/>
      <c r="AAQ4" s="470"/>
      <c r="AAR4" s="470"/>
      <c r="AAS4" s="470"/>
      <c r="AAT4" s="470"/>
      <c r="AAU4" s="470"/>
      <c r="AAV4" s="470"/>
      <c r="AAW4" s="470"/>
      <c r="AAX4" s="470"/>
      <c r="AAY4" s="470"/>
      <c r="AAZ4" s="470"/>
      <c r="ABA4" s="470"/>
      <c r="ABB4" s="470"/>
      <c r="ABC4" s="470"/>
      <c r="ABD4" s="470"/>
      <c r="ABE4" s="470"/>
      <c r="ABF4" s="470"/>
      <c r="ABG4" s="470"/>
      <c r="ABH4" s="470"/>
      <c r="ABI4" s="470"/>
      <c r="ABJ4" s="470"/>
      <c r="ABK4" s="470"/>
      <c r="ABL4" s="470"/>
      <c r="ABM4" s="470"/>
      <c r="ABN4" s="470"/>
      <c r="ABO4" s="470"/>
      <c r="ABP4" s="470"/>
      <c r="ABQ4" s="470"/>
      <c r="ABR4" s="470"/>
      <c r="ABS4" s="470"/>
      <c r="ABT4" s="470"/>
      <c r="ABU4" s="470"/>
      <c r="ABV4" s="470"/>
      <c r="ABW4" s="470"/>
      <c r="ABX4" s="470"/>
      <c r="ABY4" s="470"/>
      <c r="ABZ4" s="470"/>
      <c r="ACA4" s="470"/>
      <c r="ACB4" s="470"/>
      <c r="ACC4" s="470"/>
      <c r="ACD4" s="470"/>
      <c r="ACE4" s="470"/>
      <c r="ACF4" s="470"/>
      <c r="ACG4" s="470"/>
      <c r="ACH4" s="470"/>
      <c r="ACI4" s="470"/>
      <c r="ACJ4" s="470"/>
      <c r="ACK4" s="470"/>
      <c r="ACL4" s="470"/>
      <c r="ACM4" s="470"/>
      <c r="ACN4" s="470"/>
      <c r="ACO4" s="470"/>
      <c r="ACP4" s="470"/>
      <c r="ACQ4" s="470"/>
      <c r="ACR4" s="470"/>
      <c r="ACS4" s="470"/>
      <c r="ACT4" s="470"/>
      <c r="ACU4" s="470"/>
      <c r="ACV4" s="470"/>
      <c r="ACW4" s="470"/>
      <c r="ACX4" s="470"/>
      <c r="ACY4" s="470"/>
      <c r="ACZ4" s="470"/>
      <c r="ADA4" s="470"/>
      <c r="ADB4" s="470"/>
      <c r="ADC4" s="470"/>
      <c r="ADD4" s="470"/>
      <c r="ADE4" s="470"/>
      <c r="ADF4" s="470"/>
      <c r="ADG4" s="470"/>
      <c r="ADH4" s="470"/>
      <c r="ADI4" s="470"/>
      <c r="ADJ4" s="470"/>
      <c r="ADK4" s="470"/>
      <c r="ADL4" s="470"/>
      <c r="ADM4" s="470"/>
      <c r="ADN4" s="470"/>
      <c r="ADO4" s="470"/>
      <c r="ADP4" s="470"/>
      <c r="ADQ4" s="470"/>
      <c r="ADR4" s="470"/>
      <c r="ADS4" s="470"/>
      <c r="ADT4" s="470"/>
      <c r="ADU4" s="470"/>
      <c r="ADV4" s="470"/>
      <c r="ADW4" s="470"/>
      <c r="ADX4" s="470"/>
      <c r="ADY4" s="470"/>
      <c r="ADZ4" s="470"/>
      <c r="AEA4" s="470"/>
      <c r="AEB4" s="470"/>
      <c r="AEC4" s="470"/>
      <c r="AED4" s="470"/>
      <c r="AEE4" s="470"/>
      <c r="AEF4" s="470"/>
      <c r="AEG4" s="470"/>
      <c r="AEH4" s="470"/>
      <c r="AEI4" s="470"/>
      <c r="AEJ4" s="470"/>
      <c r="AEK4" s="470"/>
      <c r="AEL4" s="470"/>
      <c r="AEM4" s="470"/>
      <c r="AEN4" s="470"/>
      <c r="AEO4" s="470"/>
      <c r="AEP4" s="470"/>
      <c r="AEQ4" s="470"/>
      <c r="AER4" s="470"/>
      <c r="AES4" s="470"/>
      <c r="AET4" s="470"/>
      <c r="AEU4" s="470"/>
      <c r="AEV4" s="470"/>
      <c r="AEW4" s="470"/>
      <c r="AEX4" s="470"/>
      <c r="AEY4" s="470"/>
      <c r="AEZ4" s="470"/>
      <c r="AFA4" s="470"/>
      <c r="AFB4" s="470"/>
      <c r="AFC4" s="470"/>
      <c r="AFD4" s="470"/>
      <c r="AFE4" s="470"/>
      <c r="AFF4" s="470"/>
      <c r="AFG4" s="470"/>
      <c r="AFH4" s="470"/>
      <c r="AFI4" s="470"/>
      <c r="AFJ4" s="470"/>
      <c r="AFK4" s="470"/>
      <c r="AFL4" s="470"/>
      <c r="AFM4" s="470"/>
      <c r="AFN4" s="470"/>
      <c r="AFO4" s="470"/>
      <c r="AFP4" s="470"/>
      <c r="AFQ4" s="470"/>
      <c r="AFR4" s="470"/>
      <c r="AFS4" s="470"/>
      <c r="AFT4" s="470"/>
      <c r="AFU4" s="470"/>
      <c r="AFV4" s="470"/>
      <c r="AFW4" s="470"/>
      <c r="AFX4" s="470"/>
      <c r="AFY4" s="470"/>
      <c r="AFZ4" s="470"/>
      <c r="AGA4" s="470"/>
      <c r="AGB4" s="470"/>
      <c r="AGC4" s="470"/>
      <c r="AGD4" s="470"/>
      <c r="AGE4" s="470"/>
      <c r="AGF4" s="470"/>
      <c r="AGG4" s="470"/>
      <c r="AGH4" s="470"/>
      <c r="AGI4" s="470"/>
      <c r="AGJ4" s="470"/>
      <c r="AGK4" s="470"/>
      <c r="AGL4" s="470"/>
      <c r="AGM4" s="470"/>
      <c r="AGN4" s="470"/>
      <c r="AGO4" s="470"/>
      <c r="AGP4" s="470"/>
      <c r="AGQ4" s="470"/>
      <c r="AGR4" s="470"/>
      <c r="AGS4" s="470"/>
      <c r="AGT4" s="470"/>
      <c r="AGU4" s="470"/>
      <c r="AGV4" s="470"/>
      <c r="AGW4" s="470"/>
      <c r="AGX4" s="470"/>
      <c r="AGY4" s="470"/>
      <c r="AGZ4" s="470"/>
      <c r="AHA4" s="470"/>
      <c r="AHB4" s="470"/>
      <c r="AHC4" s="470"/>
      <c r="AHD4" s="470"/>
      <c r="AHE4" s="470"/>
      <c r="AHF4" s="470"/>
      <c r="AHG4" s="470"/>
      <c r="AHH4" s="470"/>
      <c r="AHI4" s="470"/>
      <c r="AHJ4" s="470"/>
      <c r="AHK4" s="470"/>
      <c r="AHL4" s="470"/>
      <c r="AHM4" s="470"/>
      <c r="AHN4" s="470"/>
      <c r="AHO4" s="470"/>
      <c r="AHP4" s="470"/>
      <c r="AHQ4" s="470"/>
      <c r="AHR4" s="470"/>
      <c r="AHS4" s="470"/>
      <c r="AHT4" s="470"/>
      <c r="AHU4" s="470"/>
      <c r="AHV4" s="470"/>
      <c r="AHW4" s="470"/>
      <c r="AHX4" s="470"/>
      <c r="AHY4" s="470"/>
      <c r="AHZ4" s="470"/>
      <c r="AIA4" s="470"/>
      <c r="AIB4" s="470"/>
      <c r="AIC4" s="470"/>
      <c r="AID4" s="470"/>
      <c r="AIE4" s="470"/>
      <c r="AIF4" s="470"/>
      <c r="AIG4" s="470"/>
      <c r="AIH4" s="470"/>
      <c r="AII4" s="470"/>
      <c r="AIJ4" s="470"/>
      <c r="AIK4" s="470"/>
      <c r="AIL4" s="470"/>
      <c r="AIM4" s="470"/>
      <c r="AIN4" s="470"/>
      <c r="AIO4" s="470"/>
      <c r="AIP4" s="470"/>
      <c r="AIQ4" s="470"/>
      <c r="AIR4" s="470"/>
      <c r="AIS4" s="470"/>
      <c r="AIT4" s="470"/>
      <c r="AIU4" s="470"/>
      <c r="AIV4" s="470"/>
      <c r="AIW4" s="470"/>
      <c r="AIX4" s="470"/>
      <c r="AIY4" s="470"/>
      <c r="AIZ4" s="470"/>
      <c r="AJA4" s="470"/>
      <c r="AJB4" s="470"/>
      <c r="AJC4" s="470"/>
      <c r="AJD4" s="470"/>
      <c r="AJE4" s="470"/>
      <c r="AJF4" s="470"/>
      <c r="AJG4" s="470"/>
      <c r="AJH4" s="470"/>
      <c r="AJI4" s="470"/>
      <c r="AJJ4" s="470"/>
      <c r="AJK4" s="470"/>
      <c r="AJL4" s="470"/>
      <c r="AJM4" s="470"/>
      <c r="AJN4" s="470"/>
      <c r="AJO4" s="470"/>
      <c r="AJP4" s="470"/>
      <c r="AJQ4" s="470"/>
      <c r="AJR4" s="470"/>
      <c r="AJS4" s="470"/>
      <c r="AJT4" s="470"/>
      <c r="AJU4" s="470"/>
      <c r="AJV4" s="470"/>
      <c r="AJW4" s="470"/>
      <c r="AJX4" s="470"/>
      <c r="AJY4" s="470"/>
      <c r="AJZ4" s="470"/>
      <c r="AKA4" s="470"/>
      <c r="AKB4" s="470"/>
      <c r="AKC4" s="470"/>
    </row>
    <row r="5" spans="1:965" ht="29" customHeight="1" x14ac:dyDescent="0.35">
      <c r="A5" s="348" t="s">
        <v>2124</v>
      </c>
      <c r="B5" s="349" t="s">
        <v>1172</v>
      </c>
      <c r="C5" s="350" t="s">
        <v>1173</v>
      </c>
      <c r="D5" s="351" t="s">
        <v>1011</v>
      </c>
      <c r="E5" s="352" t="str">
        <f>'Base line Parameters'!E5</f>
        <v>Baseline Year(s)</v>
      </c>
      <c r="F5" s="352" t="str">
        <f>'Base line Parameters'!F5</f>
        <v xml:space="preserve">Current/Assessment /Target Year   </v>
      </c>
    </row>
    <row r="6" spans="1:965" ht="14.25" customHeight="1" x14ac:dyDescent="0.35">
      <c r="A6" s="118">
        <v>1</v>
      </c>
      <c r="B6" s="119" t="s">
        <v>2125</v>
      </c>
      <c r="C6" s="120"/>
      <c r="D6" s="121"/>
      <c r="E6" s="122"/>
      <c r="F6" s="123"/>
    </row>
    <row r="7" spans="1:965" ht="14.25" customHeight="1" x14ac:dyDescent="0.35">
      <c r="A7" s="124" t="s">
        <v>1073</v>
      </c>
      <c r="B7" s="125" t="s">
        <v>1214</v>
      </c>
      <c r="C7" s="126" t="s">
        <v>2126</v>
      </c>
      <c r="D7" s="127" t="s">
        <v>2127</v>
      </c>
      <c r="E7" s="128">
        <f>'Base line Parameters'!E9/10^5</f>
        <v>0</v>
      </c>
      <c r="F7" s="129">
        <f>'Base line Parameters'!F9/10^5</f>
        <v>0</v>
      </c>
    </row>
    <row r="8" spans="1:965" ht="14.25" customHeight="1" x14ac:dyDescent="0.35">
      <c r="A8" s="124" t="s">
        <v>1079</v>
      </c>
      <c r="B8" s="125" t="s">
        <v>2128</v>
      </c>
      <c r="C8" s="126" t="s">
        <v>2126</v>
      </c>
      <c r="D8" s="127" t="s">
        <v>2127</v>
      </c>
      <c r="E8" s="128">
        <f>'Base line Parameters'!E10/10^5</f>
        <v>0</v>
      </c>
      <c r="F8" s="129">
        <f>'Base line Parameters'!F10/10^5</f>
        <v>0</v>
      </c>
    </row>
    <row r="9" spans="1:965" ht="14.25" customHeight="1" x14ac:dyDescent="0.35">
      <c r="A9" s="124" t="s">
        <v>1082</v>
      </c>
      <c r="B9" s="125" t="s">
        <v>2070</v>
      </c>
      <c r="C9" s="126" t="s">
        <v>56</v>
      </c>
      <c r="D9" s="127" t="s">
        <v>1018</v>
      </c>
      <c r="E9" s="128">
        <f>'Base line Parameters'!E11</f>
        <v>0</v>
      </c>
      <c r="F9" s="129">
        <f>'Base line Parameters'!F11</f>
        <v>0</v>
      </c>
    </row>
    <row r="10" spans="1:965" ht="14.25" customHeight="1" x14ac:dyDescent="0.35">
      <c r="A10" s="124" t="s">
        <v>1085</v>
      </c>
      <c r="B10" s="125" t="s">
        <v>2071</v>
      </c>
      <c r="C10" s="126" t="s">
        <v>56</v>
      </c>
      <c r="D10" s="127" t="s">
        <v>1018</v>
      </c>
      <c r="E10" s="128">
        <f>'Base line Parameters'!E12</f>
        <v>0</v>
      </c>
      <c r="F10" s="129">
        <f>'Base line Parameters'!F12</f>
        <v>0</v>
      </c>
    </row>
    <row r="11" spans="1:965" ht="14.25" customHeight="1" x14ac:dyDescent="0.35">
      <c r="A11" s="124" t="s">
        <v>1088</v>
      </c>
      <c r="B11" s="125" t="s">
        <v>2072</v>
      </c>
      <c r="C11" s="126" t="s">
        <v>56</v>
      </c>
      <c r="D11" s="127" t="s">
        <v>1018</v>
      </c>
      <c r="E11" s="128">
        <f>'Base line Parameters'!E13</f>
        <v>0</v>
      </c>
      <c r="F11" s="129">
        <f>'Base line Parameters'!F13</f>
        <v>0</v>
      </c>
    </row>
    <row r="12" spans="1:965" ht="14.25" customHeight="1" x14ac:dyDescent="0.35">
      <c r="A12" s="124" t="s">
        <v>1094</v>
      </c>
      <c r="B12" s="125" t="s">
        <v>2073</v>
      </c>
      <c r="C12" s="126" t="s">
        <v>56</v>
      </c>
      <c r="D12" s="127" t="s">
        <v>1018</v>
      </c>
      <c r="E12" s="128">
        <f>'Base line Parameters'!E14</f>
        <v>0</v>
      </c>
      <c r="F12" s="129">
        <f>'Base line Parameters'!F14</f>
        <v>0</v>
      </c>
    </row>
    <row r="13" spans="1:965" ht="14.25" customHeight="1" x14ac:dyDescent="0.35">
      <c r="A13" s="124" t="s">
        <v>1097</v>
      </c>
      <c r="B13" s="125" t="s">
        <v>2129</v>
      </c>
      <c r="C13" s="126" t="s">
        <v>2130</v>
      </c>
      <c r="D13" s="127" t="s">
        <v>1057</v>
      </c>
      <c r="E13" s="128">
        <f>'Base line Parameters'!E15</f>
        <v>0</v>
      </c>
      <c r="F13" s="129">
        <f>'Base line Parameters'!F15</f>
        <v>0</v>
      </c>
    </row>
    <row r="14" spans="1:965" ht="14.25" customHeight="1" x14ac:dyDescent="0.35">
      <c r="A14" s="124" t="s">
        <v>1107</v>
      </c>
      <c r="B14" s="125" t="s">
        <v>2129</v>
      </c>
      <c r="C14" s="126" t="s">
        <v>2131</v>
      </c>
      <c r="D14" s="127" t="s">
        <v>1057</v>
      </c>
      <c r="E14" s="128">
        <f>'Base line Parameters'!E16</f>
        <v>0</v>
      </c>
      <c r="F14" s="129">
        <f>'Base line Parameters'!F16</f>
        <v>0</v>
      </c>
    </row>
    <row r="15" spans="1:965" ht="14.25" customHeight="1" x14ac:dyDescent="0.35">
      <c r="A15" s="124" t="s">
        <v>1148</v>
      </c>
      <c r="B15" s="125" t="s">
        <v>2132</v>
      </c>
      <c r="C15" s="126" t="s">
        <v>2126</v>
      </c>
      <c r="D15" s="127" t="s">
        <v>2127</v>
      </c>
      <c r="E15" s="128">
        <f>'Base line Parameters'!E17/10^5</f>
        <v>0</v>
      </c>
      <c r="F15" s="129">
        <f>'Base line Parameters'!F17/10^5</f>
        <v>0</v>
      </c>
    </row>
    <row r="16" spans="1:965" ht="15.75" customHeight="1" x14ac:dyDescent="0.35">
      <c r="A16" s="124" t="s">
        <v>1153</v>
      </c>
      <c r="B16" s="125" t="s">
        <v>2133</v>
      </c>
      <c r="C16" s="126" t="s">
        <v>2126</v>
      </c>
      <c r="D16" s="127" t="s">
        <v>2127</v>
      </c>
      <c r="E16" s="128">
        <f>'Base line Parameters'!E18/10^5</f>
        <v>0</v>
      </c>
      <c r="F16" s="129">
        <f>'Base line Parameters'!F18/10^5</f>
        <v>0</v>
      </c>
    </row>
    <row r="17" spans="1:6" ht="14.25" customHeight="1" x14ac:dyDescent="0.35">
      <c r="A17" s="124" t="s">
        <v>2134</v>
      </c>
      <c r="B17" s="397" t="s">
        <v>2135</v>
      </c>
      <c r="C17" s="126" t="s">
        <v>2126</v>
      </c>
      <c r="D17" s="127" t="s">
        <v>2127</v>
      </c>
      <c r="E17" s="128">
        <f>'Base line Parameters'!E19/10^5</f>
        <v>0</v>
      </c>
      <c r="F17" s="129">
        <f>'Base line Parameters'!F19/10^5</f>
        <v>0</v>
      </c>
    </row>
    <row r="18" spans="1:6" ht="14.25" customHeight="1" x14ac:dyDescent="0.35">
      <c r="A18" s="387" t="s">
        <v>2136</v>
      </c>
      <c r="B18" s="397" t="s">
        <v>2079</v>
      </c>
      <c r="C18" s="126" t="s">
        <v>2126</v>
      </c>
      <c r="D18" s="127" t="s">
        <v>2127</v>
      </c>
      <c r="E18" s="128">
        <f>'Base line Parameters'!E20/10^5</f>
        <v>0</v>
      </c>
      <c r="F18" s="128">
        <f>'Base line Parameters'!F20/10^5</f>
        <v>0</v>
      </c>
    </row>
    <row r="19" spans="1:6" ht="14.25" customHeight="1" x14ac:dyDescent="0.35">
      <c r="A19" s="387" t="s">
        <v>2137</v>
      </c>
      <c r="B19" s="397" t="str">
        <f>'Base line Parameters'!B21</f>
        <v>White Cement (WC) Production</v>
      </c>
      <c r="C19" s="126" t="s">
        <v>2126</v>
      </c>
      <c r="D19" s="127" t="s">
        <v>2127</v>
      </c>
      <c r="E19" s="128">
        <f>'Base line Parameters'!E21/10^5</f>
        <v>0</v>
      </c>
      <c r="F19" s="128">
        <f>'Base line Parameters'!F21/10^5</f>
        <v>0</v>
      </c>
    </row>
    <row r="20" spans="1:6" ht="14.25" customHeight="1" x14ac:dyDescent="0.35">
      <c r="A20" s="387" t="s">
        <v>2138</v>
      </c>
      <c r="B20" s="397" t="str">
        <f>'Base line Parameters'!B22</f>
        <v>Other Cement Production, PPC</v>
      </c>
      <c r="C20" s="126" t="s">
        <v>2126</v>
      </c>
      <c r="D20" s="127" t="s">
        <v>2127</v>
      </c>
      <c r="E20" s="128">
        <f>'Base line Parameters'!E22/10^5</f>
        <v>0</v>
      </c>
      <c r="F20" s="128">
        <f>'Base line Parameters'!F22/10^5</f>
        <v>0</v>
      </c>
    </row>
    <row r="21" spans="1:6" ht="36.75" customHeight="1" x14ac:dyDescent="0.35">
      <c r="A21" s="387" t="s">
        <v>2139</v>
      </c>
      <c r="B21" s="397" t="str">
        <f>'Base line Parameters'!B23</f>
        <v>Quantity of GGBS (Grinding) directly used for construction</v>
      </c>
      <c r="C21" s="126" t="s">
        <v>2126</v>
      </c>
      <c r="D21" s="127" t="s">
        <v>2127</v>
      </c>
      <c r="E21" s="128">
        <f>'Base line Parameters'!E23/10^5</f>
        <v>0</v>
      </c>
      <c r="F21" s="128">
        <f>'Base line Parameters'!F23/10^5</f>
        <v>0</v>
      </c>
    </row>
    <row r="22" spans="1:6" ht="14.25" customHeight="1" x14ac:dyDescent="0.35">
      <c r="A22" s="387" t="s">
        <v>2140</v>
      </c>
      <c r="B22" s="125" t="s">
        <v>2141</v>
      </c>
      <c r="C22" s="126" t="s">
        <v>56</v>
      </c>
      <c r="D22" s="127" t="s">
        <v>2127</v>
      </c>
      <c r="E22" s="128">
        <f>'Base line Parameters'!E24/10^5</f>
        <v>10.415901066666668</v>
      </c>
      <c r="F22" s="129">
        <f>'Base line Parameters'!F24/10^5</f>
        <v>0</v>
      </c>
    </row>
    <row r="23" spans="1:6" ht="14.25" customHeight="1" x14ac:dyDescent="0.35">
      <c r="A23" s="500" t="s">
        <v>2142</v>
      </c>
      <c r="B23" s="499" t="s">
        <v>1273</v>
      </c>
      <c r="C23" s="126" t="s">
        <v>56</v>
      </c>
      <c r="D23" s="127" t="s">
        <v>2127</v>
      </c>
      <c r="E23" s="128">
        <f>'Base line Parameters'!E25/10^5</f>
        <v>0</v>
      </c>
      <c r="F23" s="129">
        <f>'Base line Parameters'!F25/10^5</f>
        <v>0</v>
      </c>
    </row>
    <row r="24" spans="1:6" ht="14.25" customHeight="1" x14ac:dyDescent="0.35">
      <c r="A24" s="52" t="s">
        <v>2143</v>
      </c>
      <c r="B24" s="499" t="s">
        <v>2144</v>
      </c>
      <c r="C24" s="126" t="s">
        <v>2145</v>
      </c>
      <c r="D24" s="127" t="s">
        <v>2127</v>
      </c>
      <c r="E24" s="130">
        <f>IF(C4="Grinding",0,(E10-E9)/10^5)</f>
        <v>0</v>
      </c>
      <c r="F24" s="130">
        <f>IF(C4="Grinding",0,(F10-F9)/10^5)</f>
        <v>0</v>
      </c>
    </row>
    <row r="25" spans="1:6" ht="14.25" customHeight="1" x14ac:dyDescent="0.35">
      <c r="A25" s="52" t="s">
        <v>2146</v>
      </c>
      <c r="B25" s="499" t="s">
        <v>2147</v>
      </c>
      <c r="C25" s="126" t="s">
        <v>2148</v>
      </c>
      <c r="D25" s="127" t="s">
        <v>2127</v>
      </c>
      <c r="E25" s="128">
        <f>IF(E24&gt;0, (E22+E24), (E22))</f>
        <v>10.415901066666668</v>
      </c>
      <c r="F25" s="129">
        <f>IF(F24&gt;0, (F22+F24), (F22))</f>
        <v>0</v>
      </c>
    </row>
    <row r="26" spans="1:6" ht="14.25" customHeight="1" x14ac:dyDescent="0.35">
      <c r="A26" s="52" t="s">
        <v>2149</v>
      </c>
      <c r="B26" s="499" t="s">
        <v>2150</v>
      </c>
      <c r="C26" s="126" t="s">
        <v>2151</v>
      </c>
      <c r="D26" s="127" t="s">
        <v>2127</v>
      </c>
      <c r="E26" s="128">
        <f>IF(E24&gt;0, (E23), (E23-E24))</f>
        <v>0</v>
      </c>
      <c r="F26" s="129">
        <f>IF(F24&gt;0, (F23), (F23-F24))</f>
        <v>0</v>
      </c>
    </row>
    <row r="27" spans="1:6" ht="14.25" customHeight="1" x14ac:dyDescent="0.35">
      <c r="A27" s="52" t="s">
        <v>2152</v>
      </c>
      <c r="B27" s="397" t="s">
        <v>2153</v>
      </c>
      <c r="C27" s="398" t="s">
        <v>2154</v>
      </c>
      <c r="D27" s="127" t="s">
        <v>2127</v>
      </c>
      <c r="E27" s="128">
        <f>E7+'Form-Sb'!H88/10^5</f>
        <v>0</v>
      </c>
      <c r="F27" s="725">
        <f>F7+'Form-Sb'!I88/10^5</f>
        <v>0</v>
      </c>
    </row>
    <row r="28" spans="1:6" ht="14.25" customHeight="1" x14ac:dyDescent="0.35">
      <c r="A28" s="52" t="s">
        <v>1058</v>
      </c>
      <c r="B28" s="397" t="s">
        <v>2155</v>
      </c>
      <c r="C28" s="398" t="s">
        <v>2156</v>
      </c>
      <c r="D28" s="127" t="s">
        <v>2127</v>
      </c>
      <c r="E28" s="128">
        <f>IFERROR(E8+(E22/E36),0)</f>
        <v>0</v>
      </c>
      <c r="F28" s="128">
        <f>IFERROR(F8+(F22/F36),0)</f>
        <v>0</v>
      </c>
    </row>
    <row r="29" spans="1:6" ht="31.5" customHeight="1" x14ac:dyDescent="0.35">
      <c r="A29" s="675">
        <v>2</v>
      </c>
      <c r="B29" s="676" t="s">
        <v>2084</v>
      </c>
      <c r="C29" s="677"/>
      <c r="D29" s="677"/>
      <c r="E29" s="679"/>
      <c r="F29" s="678"/>
    </row>
    <row r="30" spans="1:6" ht="15" customHeight="1" x14ac:dyDescent="0.35">
      <c r="A30" s="124" t="s">
        <v>1073</v>
      </c>
      <c r="B30" s="125" t="s">
        <v>2157</v>
      </c>
      <c r="C30" s="126" t="s">
        <v>2158</v>
      </c>
      <c r="D30" s="127" t="s">
        <v>1283</v>
      </c>
      <c r="E30" s="130">
        <f>'Base line Parameters'!E33</f>
        <v>0</v>
      </c>
      <c r="F30" s="132">
        <f>'Base line Parameters'!F33</f>
        <v>0</v>
      </c>
    </row>
    <row r="31" spans="1:6" ht="14.25" customHeight="1" x14ac:dyDescent="0.35">
      <c r="A31" s="124" t="s">
        <v>1079</v>
      </c>
      <c r="B31" s="125" t="s">
        <v>2159</v>
      </c>
      <c r="C31" s="126" t="s">
        <v>2160</v>
      </c>
      <c r="D31" s="127" t="s">
        <v>1283</v>
      </c>
      <c r="E31" s="130">
        <f>'Base line Parameters'!E34</f>
        <v>0</v>
      </c>
      <c r="F31" s="132">
        <f>'Base line Parameters'!F34</f>
        <v>0</v>
      </c>
    </row>
    <row r="32" spans="1:6" ht="14.25" customHeight="1" x14ac:dyDescent="0.35">
      <c r="A32" s="124" t="s">
        <v>1082</v>
      </c>
      <c r="B32" s="397" t="s">
        <v>2161</v>
      </c>
      <c r="C32" s="126" t="s">
        <v>2162</v>
      </c>
      <c r="D32" s="127" t="s">
        <v>1283</v>
      </c>
      <c r="E32" s="127">
        <f>'Base line Parameters'!E35</f>
        <v>0</v>
      </c>
      <c r="F32" s="132">
        <f>'Base line Parameters'!F35</f>
        <v>0</v>
      </c>
    </row>
    <row r="33" spans="1:6" ht="31.5" customHeight="1" x14ac:dyDescent="0.35">
      <c r="A33" s="387" t="s">
        <v>1085</v>
      </c>
      <c r="B33" s="397" t="s">
        <v>2163</v>
      </c>
      <c r="C33" s="398" t="s">
        <v>2164</v>
      </c>
      <c r="D33" s="127" t="s">
        <v>1283</v>
      </c>
      <c r="E33" s="127">
        <f>'Base line Parameters'!E36</f>
        <v>0</v>
      </c>
      <c r="F33" s="132">
        <f>'Base line Parameters'!F36</f>
        <v>0</v>
      </c>
    </row>
    <row r="34" spans="1:6" ht="31.5" customHeight="1" x14ac:dyDescent="0.35">
      <c r="A34" s="387" t="s">
        <v>1088</v>
      </c>
      <c r="B34" s="726" t="str">
        <f>'Base line Parameters'!B37</f>
        <v>Clinker Factor for White Cement</v>
      </c>
      <c r="C34" s="398"/>
      <c r="D34" s="127" t="s">
        <v>1283</v>
      </c>
      <c r="E34" s="128">
        <f>'Base line Parameters'!E37</f>
        <v>0</v>
      </c>
      <c r="F34" s="128">
        <f>'Base line Parameters'!F37</f>
        <v>0</v>
      </c>
    </row>
    <row r="35" spans="1:6" ht="31.5" customHeight="1" x14ac:dyDescent="0.35">
      <c r="A35" s="387" t="s">
        <v>1094</v>
      </c>
      <c r="B35" s="726" t="str">
        <f>'Base line Parameters'!B38</f>
        <v xml:space="preserve">Clinker Factor for Other variety of Cement </v>
      </c>
      <c r="C35" s="398"/>
      <c r="D35" s="127" t="s">
        <v>1283</v>
      </c>
      <c r="E35" s="128">
        <f>'Base line Parameters'!E38</f>
        <v>0</v>
      </c>
      <c r="F35" s="128">
        <f>'Base line Parameters'!F38</f>
        <v>0</v>
      </c>
    </row>
    <row r="36" spans="1:6" ht="31.5" customHeight="1" x14ac:dyDescent="0.35">
      <c r="A36" s="387" t="s">
        <v>1097</v>
      </c>
      <c r="B36" s="726" t="s">
        <v>2165</v>
      </c>
      <c r="C36" s="398" t="s">
        <v>2166</v>
      </c>
      <c r="D36" s="500" t="s">
        <v>1283</v>
      </c>
      <c r="E36" s="130">
        <f>IFERROR((E7+(E9/10^5)-(E10/10^5)-E22+E23)/E8,0)</f>
        <v>0</v>
      </c>
      <c r="F36" s="130">
        <f>IFERROR((F7+(F9/10^5)-(F10/10^5)-F22+F23)/F8,0)</f>
        <v>0</v>
      </c>
    </row>
    <row r="37" spans="1:6" ht="28.5" customHeight="1" x14ac:dyDescent="0.35">
      <c r="A37" s="225">
        <v>3</v>
      </c>
      <c r="B37" s="119" t="s">
        <v>1037</v>
      </c>
      <c r="C37" s="131" t="s">
        <v>2167</v>
      </c>
      <c r="D37" s="133" t="s">
        <v>1139</v>
      </c>
      <c r="E37" s="134">
        <f>'Base line Parameters'!E77</f>
        <v>0</v>
      </c>
      <c r="F37" s="135">
        <f>'Base line Parameters'!F77</f>
        <v>0</v>
      </c>
    </row>
    <row r="38" spans="1:6" ht="42.75" customHeight="1" x14ac:dyDescent="0.35">
      <c r="A38" s="225">
        <v>4</v>
      </c>
      <c r="B38" s="119" t="s">
        <v>2168</v>
      </c>
      <c r="C38" s="131" t="s">
        <v>2169</v>
      </c>
      <c r="D38" s="133" t="s">
        <v>1336</v>
      </c>
      <c r="E38" s="134">
        <f>'Base line Parameters'!E69</f>
        <v>953.28</v>
      </c>
      <c r="F38" s="135">
        <f>'Base line Parameters'!F69</f>
        <v>0</v>
      </c>
    </row>
    <row r="39" spans="1:6" ht="14.25" customHeight="1" x14ac:dyDescent="0.35">
      <c r="A39" s="225">
        <v>5</v>
      </c>
      <c r="B39" s="119" t="s">
        <v>2170</v>
      </c>
      <c r="C39" s="131"/>
      <c r="D39" s="133" t="s">
        <v>1336</v>
      </c>
      <c r="E39" s="134">
        <f>'Base line Parameters'!E46</f>
        <v>0</v>
      </c>
      <c r="F39" s="135">
        <f>'Base line Parameters'!F46</f>
        <v>0</v>
      </c>
    </row>
    <row r="40" spans="1:6" ht="32.15" customHeight="1" x14ac:dyDescent="0.35">
      <c r="A40" s="225">
        <v>6</v>
      </c>
      <c r="B40" s="119" t="s">
        <v>2171</v>
      </c>
      <c r="C40" s="131"/>
      <c r="D40" s="133" t="s">
        <v>1336</v>
      </c>
      <c r="E40" s="134">
        <f>'Base line Parameters'!E67</f>
        <v>0</v>
      </c>
      <c r="F40" s="135">
        <f>'Base line Parameters'!F67</f>
        <v>0</v>
      </c>
    </row>
    <row r="41" spans="1:6" ht="42.75" customHeight="1" x14ac:dyDescent="0.35">
      <c r="A41" s="225">
        <v>7</v>
      </c>
      <c r="B41" s="119" t="s">
        <v>2172</v>
      </c>
      <c r="C41" s="401" t="s">
        <v>2173</v>
      </c>
      <c r="D41" s="133" t="s">
        <v>1139</v>
      </c>
      <c r="E41" s="134">
        <f>E37+(E39*860/10)-(E40*'NF-5 Power Mix'!E35/10)</f>
        <v>0</v>
      </c>
      <c r="F41" s="135">
        <f>F37+(F39*860/10)-(F40*'NF-5 Power Mix'!F35/10)</f>
        <v>0</v>
      </c>
    </row>
    <row r="42" spans="1:6" ht="29" customHeight="1" x14ac:dyDescent="0.35">
      <c r="A42" s="675">
        <v>8</v>
      </c>
      <c r="B42" s="676" t="s">
        <v>2174</v>
      </c>
      <c r="C42" s="677"/>
      <c r="D42" s="679" t="s">
        <v>1011</v>
      </c>
      <c r="E42" s="680" t="str">
        <f>E5</f>
        <v>Baseline Year(s)</v>
      </c>
      <c r="F42" s="681" t="str">
        <f>F5</f>
        <v xml:space="preserve">Current/Assessment /Target Year   </v>
      </c>
    </row>
    <row r="43" spans="1:6" ht="14.25" customHeight="1" x14ac:dyDescent="0.35">
      <c r="A43" s="124" t="s">
        <v>1073</v>
      </c>
      <c r="B43" s="125" t="s">
        <v>2175</v>
      </c>
      <c r="C43" s="126" t="s">
        <v>2176</v>
      </c>
      <c r="D43" s="127" t="s">
        <v>2127</v>
      </c>
      <c r="E43" s="128">
        <f t="shared" ref="E43:F48" si="0">IFERROR((E15*E30/IF(AND($E$15&gt;$E$16,$E$15&gt;$E$17,$E$15&gt;$E$18,$E$15&gt;$E$19,$E$15&gt;$E$20),($E$30),(IF(AND($E$16&gt;$E$15,$E$16&gt;$E$17,$E$16&gt;$E$18,$E$16&gt;$E$19,$E$16&gt;$E$20),($E$31),(IF(AND($E$17&gt;$E$15,$E$17&gt;$E$16,$E$17&gt;$E$18,$E$17&gt;$E$19,$E$17&gt;$E$20),($E$32),(IF(AND($E$18&gt;$E$15,E$18&gt;$E$16,$E$18&gt;$E$17,$E$18&gt;$E$19,$E$18&gt;$E$20),($E$33),(IF(AND($E$19&gt;$E$15,E$19&gt;$E$16,$E$19&gt;$E$17,$E$19&gt;$E$18,$E$19&gt;$E$20),($E$34),($E$35))))))))))),0)</f>
        <v>0</v>
      </c>
      <c r="F43" s="128">
        <f t="shared" si="0"/>
        <v>0</v>
      </c>
    </row>
    <row r="44" spans="1:6" ht="14.25" customHeight="1" x14ac:dyDescent="0.35">
      <c r="A44" s="124" t="s">
        <v>1079</v>
      </c>
      <c r="B44" s="125" t="s">
        <v>2177</v>
      </c>
      <c r="C44" s="126" t="s">
        <v>2178</v>
      </c>
      <c r="D44" s="127" t="s">
        <v>2127</v>
      </c>
      <c r="E44" s="128">
        <f t="shared" si="0"/>
        <v>0</v>
      </c>
      <c r="F44" s="128">
        <f t="shared" si="0"/>
        <v>0</v>
      </c>
    </row>
    <row r="45" spans="1:6" ht="14.25" customHeight="1" x14ac:dyDescent="0.35">
      <c r="A45" s="124" t="s">
        <v>1082</v>
      </c>
      <c r="B45" s="397" t="s">
        <v>2179</v>
      </c>
      <c r="C45" s="126" t="s">
        <v>2180</v>
      </c>
      <c r="D45" s="127" t="s">
        <v>2127</v>
      </c>
      <c r="E45" s="128">
        <f t="shared" si="0"/>
        <v>0</v>
      </c>
      <c r="F45" s="128">
        <f t="shared" si="0"/>
        <v>0</v>
      </c>
    </row>
    <row r="46" spans="1:6" ht="29" customHeight="1" x14ac:dyDescent="0.35">
      <c r="A46" s="387" t="s">
        <v>1085</v>
      </c>
      <c r="B46" s="397" t="s">
        <v>2181</v>
      </c>
      <c r="C46" s="398" t="s">
        <v>2182</v>
      </c>
      <c r="D46" s="127" t="s">
        <v>2127</v>
      </c>
      <c r="E46" s="128">
        <f t="shared" si="0"/>
        <v>0</v>
      </c>
      <c r="F46" s="128">
        <f t="shared" si="0"/>
        <v>0</v>
      </c>
    </row>
    <row r="47" spans="1:6" ht="14.25" customHeight="1" x14ac:dyDescent="0.35">
      <c r="A47" s="387" t="s">
        <v>1088</v>
      </c>
      <c r="B47" s="397" t="s">
        <v>2183</v>
      </c>
      <c r="C47" s="398"/>
      <c r="D47" s="127" t="s">
        <v>2127</v>
      </c>
      <c r="E47" s="128">
        <f t="shared" si="0"/>
        <v>0</v>
      </c>
      <c r="F47" s="128">
        <f t="shared" si="0"/>
        <v>0</v>
      </c>
    </row>
    <row r="48" spans="1:6" ht="29" customHeight="1" x14ac:dyDescent="0.35">
      <c r="A48" s="387" t="s">
        <v>1094</v>
      </c>
      <c r="B48" s="397" t="s">
        <v>2184</v>
      </c>
      <c r="C48" s="398"/>
      <c r="D48" s="127" t="s">
        <v>2127</v>
      </c>
      <c r="E48" s="128">
        <f t="shared" si="0"/>
        <v>0</v>
      </c>
      <c r="F48" s="128">
        <f t="shared" si="0"/>
        <v>0</v>
      </c>
    </row>
    <row r="49" spans="1:6" x14ac:dyDescent="0.35">
      <c r="A49" s="387" t="s">
        <v>1097</v>
      </c>
      <c r="B49" s="125" t="s">
        <v>2185</v>
      </c>
      <c r="C49" s="126" t="s">
        <v>2186</v>
      </c>
      <c r="D49" s="127" t="s">
        <v>2127</v>
      </c>
      <c r="E49" s="128">
        <f>IFERROR(E25/IF(AND($E$15&gt;$E$16,$E$15&gt;$E$17,$E$15&gt;$E$18),($E$30),(IF(AND($E$16&gt;$E$15,$E$16&gt;$E$17,$E$16&gt;$E$18),($E$31),(IF(AND($E$17&gt;$E$15,$E$17&gt;$E$16,$E$17&gt;$E$18),($E$32),($E$33)))))),0)</f>
        <v>0</v>
      </c>
      <c r="F49" s="128">
        <f>IFERROR(F25/IF(AND($E$15&gt;$E$16,$E$15&gt;$E$17,$E$15&gt;$E$18),($E$30),(IF(AND($E$16&gt;$E$15,$E$16&gt;$E$17,$E$16&gt;$E$18),($E$31),(IF(AND($E$17&gt;$E$15,$E$17&gt;$E$16,$E$17&gt;$E$18),($E$32),($E$33)))))),0)</f>
        <v>0</v>
      </c>
    </row>
    <row r="50" spans="1:6" ht="14.25" customHeight="1" x14ac:dyDescent="0.35">
      <c r="A50" s="399" t="s">
        <v>1107</v>
      </c>
      <c r="B50" s="136" t="s">
        <v>2187</v>
      </c>
      <c r="C50" s="126" t="s">
        <v>2188</v>
      </c>
      <c r="D50" s="127" t="s">
        <v>2127</v>
      </c>
      <c r="E50" s="128">
        <f>IFERROR(E26/IF(AND($E$15&gt;$E$16,$E$15&gt;$E$17,$E$15&gt;$E$18),($E$30),(IF(AND($E$16&gt;$E$15,$E$16&gt;$E$17,$E$16&gt;$E$18),($E$31),(IF(AND($E$17&gt;$E$15,$E$17&gt;$E$16,$E$17&gt;$E$18),($E$32),($E$33)))))),0)</f>
        <v>0</v>
      </c>
      <c r="F50" s="128">
        <f>IFERROR(F26/IF(AND($E$15&gt;$E$16,$E$15&gt;$E$17,$E$15&gt;$E$18),($E$30),(IF(AND($E$16&gt;$E$15,$E$16&gt;$E$17,$E$16&gt;$E$18),($E$31),(IF(AND($E$17&gt;$E$15,$E$17&gt;$E$16,$E$17&gt;$E$18),($E$32),($E$33)))))),0)</f>
        <v>0</v>
      </c>
    </row>
    <row r="51" spans="1:6" ht="28.25" customHeight="1" x14ac:dyDescent="0.35">
      <c r="A51" s="387" t="s">
        <v>1148</v>
      </c>
      <c r="B51" s="397" t="s">
        <v>2189</v>
      </c>
      <c r="C51" s="126"/>
      <c r="D51" s="127" t="s">
        <v>2127</v>
      </c>
      <c r="E51" s="130">
        <f>IFERROR((E21*('Form-Sb'!H837*'Base line Parameters'!E65+'Form-Sb'!H838*1000))/('Form-Sb'!H829*1000+('Form-Sb'!H830+'Form-Sb'!H831)*'Form-Sb'!H71),0)</f>
        <v>0</v>
      </c>
      <c r="F51" s="130">
        <f>IFERROR((F21*('Form-Sb'!I837*'Base line Parameters'!F65+'Form-Sb'!I838*1000))/('Form-Sb'!I829*1000+('Form-Sb'!I830+'Form-Sb'!I831)*'Form-Sb'!I71),0)</f>
        <v>0</v>
      </c>
    </row>
    <row r="52" spans="1:6" x14ac:dyDescent="0.35">
      <c r="A52" s="387" t="s">
        <v>1153</v>
      </c>
      <c r="B52" s="125" t="s">
        <v>2190</v>
      </c>
      <c r="C52" s="398" t="s">
        <v>2191</v>
      </c>
      <c r="D52" s="127" t="s">
        <v>2127</v>
      </c>
      <c r="E52" s="708">
        <f>IF(C4="Grinding",SUM(E43:E48)+E51,SUM(E43:E49)+E51)</f>
        <v>0</v>
      </c>
      <c r="F52" s="708">
        <f>IF(D4="Grinding",SUM(F43:F48)+F51,SUM(F43:F49)+F51)</f>
        <v>0</v>
      </c>
    </row>
    <row r="53" spans="1:6" ht="29" customHeight="1" x14ac:dyDescent="0.35">
      <c r="A53" s="675">
        <v>9</v>
      </c>
      <c r="B53" s="682" t="s">
        <v>1900</v>
      </c>
      <c r="C53" s="677"/>
      <c r="D53" s="679" t="s">
        <v>1011</v>
      </c>
      <c r="E53" s="680" t="str">
        <f>E42</f>
        <v>Baseline Year(s)</v>
      </c>
      <c r="F53" s="681" t="str">
        <f>F42</f>
        <v xml:space="preserve">Current/Assessment /Target Year   </v>
      </c>
    </row>
    <row r="54" spans="1:6" ht="14.25" customHeight="1" x14ac:dyDescent="0.35">
      <c r="A54" s="124" t="s">
        <v>1073</v>
      </c>
      <c r="B54" s="125" t="s">
        <v>1901</v>
      </c>
      <c r="C54" s="126" t="s">
        <v>56</v>
      </c>
      <c r="D54" s="127" t="s">
        <v>1902</v>
      </c>
      <c r="E54" s="137" t="e">
        <f>'Base line Parameters'!E41</f>
        <v>#DIV/0!</v>
      </c>
      <c r="F54" s="138">
        <f>'Base line Parameters'!F41</f>
        <v>0</v>
      </c>
    </row>
    <row r="55" spans="1:6" ht="28.5" customHeight="1" x14ac:dyDescent="0.35">
      <c r="A55" s="124" t="s">
        <v>1079</v>
      </c>
      <c r="B55" s="125" t="s">
        <v>1904</v>
      </c>
      <c r="C55" s="126" t="s">
        <v>56</v>
      </c>
      <c r="D55" s="127" t="s">
        <v>1905</v>
      </c>
      <c r="E55" s="139">
        <f>'Base line Parameters'!E42</f>
        <v>0</v>
      </c>
      <c r="F55" s="140">
        <f>'Base line Parameters'!F42</f>
        <v>0</v>
      </c>
    </row>
    <row r="56" spans="1:6" ht="28.5" customHeight="1" x14ac:dyDescent="0.35">
      <c r="A56" s="124" t="s">
        <v>1082</v>
      </c>
      <c r="B56" s="125" t="s">
        <v>1906</v>
      </c>
      <c r="C56" s="126" t="s">
        <v>56</v>
      </c>
      <c r="D56" s="127" t="s">
        <v>1907</v>
      </c>
      <c r="E56" s="139">
        <f>'Base line Parameters'!E43</f>
        <v>29.876666666666665</v>
      </c>
      <c r="F56" s="140">
        <f>'Base line Parameters'!F43</f>
        <v>0</v>
      </c>
    </row>
    <row r="57" spans="1:6" ht="29" customHeight="1" x14ac:dyDescent="0.35">
      <c r="A57" s="675">
        <v>10</v>
      </c>
      <c r="B57" s="1064" t="s">
        <v>2192</v>
      </c>
      <c r="C57" s="931"/>
      <c r="D57" s="679" t="s">
        <v>1011</v>
      </c>
      <c r="E57" s="680" t="str">
        <f>E53</f>
        <v>Baseline Year(s)</v>
      </c>
      <c r="F57" s="681" t="str">
        <f>F53</f>
        <v xml:space="preserve">Current/Assessment /Target Year   </v>
      </c>
    </row>
    <row r="58" spans="1:6" s="23" customFormat="1" ht="42.75" customHeight="1" x14ac:dyDescent="0.35">
      <c r="A58" s="124" t="s">
        <v>1073</v>
      </c>
      <c r="B58" s="125" t="s">
        <v>2193</v>
      </c>
      <c r="C58" s="126" t="s">
        <v>2194</v>
      </c>
      <c r="D58" s="127" t="s">
        <v>1034</v>
      </c>
      <c r="E58" s="128">
        <f>(E49*E56*'Base line Parameters'!E65/10)</f>
        <v>0</v>
      </c>
      <c r="F58" s="129">
        <f>(F49*F56*'Base line Parameters'!F65/10)</f>
        <v>0</v>
      </c>
    </row>
    <row r="59" spans="1:6" s="23" customFormat="1" ht="42.75" customHeight="1" x14ac:dyDescent="0.35">
      <c r="A59" s="387" t="s">
        <v>2195</v>
      </c>
      <c r="B59" s="397" t="s">
        <v>2196</v>
      </c>
      <c r="C59" s="398"/>
      <c r="D59" s="500" t="s">
        <v>2197</v>
      </c>
      <c r="E59" s="708">
        <f>(E49*10^5*E56*'Form-Sb'!H387/10^3)</f>
        <v>0</v>
      </c>
      <c r="F59" s="708">
        <f>(F49*10^5*F56*'Form-Sb'!I387/10^3)</f>
        <v>0</v>
      </c>
    </row>
    <row r="60" spans="1:6" s="23" customFormat="1" ht="50.5" customHeight="1" x14ac:dyDescent="0.35">
      <c r="A60" s="124" t="s">
        <v>1079</v>
      </c>
      <c r="B60" s="125" t="s">
        <v>2198</v>
      </c>
      <c r="C60" s="126" t="s">
        <v>2199</v>
      </c>
      <c r="D60" s="127" t="s">
        <v>1034</v>
      </c>
      <c r="E60" s="139" t="e">
        <f>(E26*(E54*1000+E55*'Base line Parameters'!E65)/10)</f>
        <v>#DIV/0!</v>
      </c>
      <c r="F60" s="129">
        <f>(F26*(F54*1000+F55*'Base line Parameters'!F65)/10)</f>
        <v>0</v>
      </c>
    </row>
    <row r="61" spans="1:6" s="23" customFormat="1" ht="29" customHeight="1" x14ac:dyDescent="0.35">
      <c r="A61" s="387" t="s">
        <v>2200</v>
      </c>
      <c r="B61" s="397" t="s">
        <v>2201</v>
      </c>
      <c r="C61" s="126"/>
      <c r="D61" s="500" t="s">
        <v>2197</v>
      </c>
      <c r="E61" s="139">
        <f>E26*'Form-Sb'!H912*10^5</f>
        <v>0</v>
      </c>
      <c r="F61" s="139">
        <f>F26*'Form-Sb'!I912*10^5</f>
        <v>0</v>
      </c>
    </row>
    <row r="62" spans="1:6" s="23" customFormat="1" ht="29" customHeight="1" x14ac:dyDescent="0.35">
      <c r="A62" s="387" t="s">
        <v>2202</v>
      </c>
      <c r="B62" s="397" t="s">
        <v>2203</v>
      </c>
      <c r="C62" s="126"/>
      <c r="D62" s="500" t="s">
        <v>2197</v>
      </c>
      <c r="E62" s="139" t="e">
        <f>E26*E54*1000*'Form-Sb'!H379/10+E26*10^5*E55*'Form-Sb'!H387/10^3</f>
        <v>#DIV/0!</v>
      </c>
      <c r="F62" s="139">
        <f>F26*F54*1000*'Form-Sb'!I379/10+F26*10^5*F55*'Form-Sb'!I387/10^3</f>
        <v>0</v>
      </c>
    </row>
    <row r="63" spans="1:6" s="23" customFormat="1" ht="28.5" customHeight="1" x14ac:dyDescent="0.35">
      <c r="A63" s="124" t="s">
        <v>1082</v>
      </c>
      <c r="B63" s="125" t="s">
        <v>2204</v>
      </c>
      <c r="C63" s="141" t="s">
        <v>2205</v>
      </c>
      <c r="D63" s="127" t="s">
        <v>1034</v>
      </c>
      <c r="E63" s="128">
        <f>E39*(3208-860)/10</f>
        <v>0</v>
      </c>
      <c r="F63" s="129">
        <f>F39*(3208-860)/10</f>
        <v>0</v>
      </c>
    </row>
    <row r="64" spans="1:6" s="23" customFormat="1" ht="25.5" customHeight="1" x14ac:dyDescent="0.35">
      <c r="A64" s="124" t="s">
        <v>1085</v>
      </c>
      <c r="B64" s="125" t="s">
        <v>2206</v>
      </c>
      <c r="C64" s="126" t="s">
        <v>2207</v>
      </c>
      <c r="D64" s="127" t="s">
        <v>1034</v>
      </c>
      <c r="E64" s="139" t="e">
        <f>E41+E58+E60+E63</f>
        <v>#DIV/0!</v>
      </c>
      <c r="F64" s="129">
        <f>F41+F58+F60+F63</f>
        <v>0</v>
      </c>
    </row>
    <row r="65" spans="1:965" s="142" customFormat="1" ht="29" customHeight="1" x14ac:dyDescent="0.35">
      <c r="A65" s="316">
        <v>11</v>
      </c>
      <c r="B65" s="313" t="s">
        <v>2208</v>
      </c>
      <c r="C65" s="314" t="s">
        <v>2209</v>
      </c>
      <c r="D65" s="316" t="str">
        <f>IF($C$4="Clinkerization", "kcal/kg of equivalent Clinker", "kcal/kg of equivalent Cement")</f>
        <v>kcal/kg of equivalent Cement</v>
      </c>
      <c r="E65" s="317">
        <f>IFERROR(IF(C4="Clinkerization", E64/(E7*100), E64/(E52*100)),0)</f>
        <v>0</v>
      </c>
      <c r="F65" s="317">
        <f>IFERROR(IF(C4="Clinkerization", F64/(F7*100), F64/(F52*100)),0)</f>
        <v>0</v>
      </c>
      <c r="IR65" s="12"/>
      <c r="IS65" s="12"/>
      <c r="IT65" s="12"/>
      <c r="IU65" s="12"/>
      <c r="IV65" s="12"/>
      <c r="IW65" s="12"/>
      <c r="IX65" s="12"/>
      <c r="IY65" s="12"/>
      <c r="IZ65" s="12"/>
      <c r="JA65" s="12"/>
      <c r="JB65" s="12"/>
      <c r="JC65" s="12"/>
      <c r="JD65" s="12"/>
      <c r="JE65" s="12"/>
      <c r="JF65" s="12"/>
      <c r="JG65" s="12"/>
      <c r="JH65" s="12"/>
      <c r="JI65" s="12"/>
      <c r="JJ65" s="12"/>
      <c r="JK65" s="12"/>
      <c r="JL65" s="12"/>
      <c r="JM65" s="12"/>
      <c r="JN65" s="12"/>
      <c r="JO65" s="12"/>
      <c r="JP65" s="12"/>
      <c r="JQ65" s="12"/>
      <c r="JR65" s="12"/>
      <c r="JS65" s="12"/>
      <c r="JT65" s="12"/>
      <c r="JU65" s="12"/>
      <c r="JV65" s="12"/>
      <c r="JW65" s="12"/>
      <c r="JX65" s="12"/>
      <c r="JY65" s="12"/>
      <c r="JZ65" s="12"/>
      <c r="KA65" s="12"/>
      <c r="KB65" s="12"/>
      <c r="KC65" s="12"/>
      <c r="KD65" s="12"/>
      <c r="KE65" s="12"/>
      <c r="KF65" s="12"/>
      <c r="KG65" s="12"/>
      <c r="KH65" s="12"/>
      <c r="KI65" s="12"/>
      <c r="KJ65" s="12"/>
      <c r="KK65" s="12"/>
      <c r="KL65" s="12"/>
      <c r="KM65" s="12"/>
      <c r="KN65" s="12"/>
      <c r="KO65" s="12"/>
      <c r="KP65" s="12"/>
      <c r="KQ65" s="12"/>
      <c r="KR65" s="12"/>
      <c r="KS65" s="12"/>
      <c r="KT65" s="12"/>
      <c r="KU65" s="12"/>
      <c r="KV65" s="12"/>
      <c r="KW65" s="12"/>
      <c r="KX65" s="12"/>
      <c r="KY65" s="12"/>
      <c r="KZ65" s="12"/>
      <c r="LA65" s="12"/>
      <c r="LB65" s="12"/>
      <c r="LC65" s="12"/>
      <c r="LD65" s="12"/>
      <c r="LE65" s="12"/>
      <c r="LF65" s="12"/>
      <c r="LG65" s="12"/>
      <c r="LH65" s="12"/>
      <c r="LI65" s="12"/>
      <c r="LJ65" s="12"/>
      <c r="LK65" s="12"/>
      <c r="LL65" s="12"/>
      <c r="LM65" s="12"/>
      <c r="LN65" s="12"/>
      <c r="LO65" s="12"/>
      <c r="LP65" s="12"/>
      <c r="LQ65" s="12"/>
      <c r="LR65" s="12"/>
      <c r="LS65" s="12"/>
      <c r="LT65" s="12"/>
      <c r="LU65" s="12"/>
      <c r="LV65" s="12"/>
      <c r="LW65" s="12"/>
      <c r="LX65" s="12"/>
      <c r="LY65" s="12"/>
      <c r="LZ65" s="12"/>
      <c r="MA65" s="12"/>
      <c r="MB65" s="12"/>
      <c r="MC65" s="12"/>
      <c r="MD65" s="12"/>
      <c r="ME65" s="12"/>
      <c r="MF65" s="12"/>
      <c r="MG65" s="12"/>
      <c r="MH65" s="12"/>
      <c r="MI65" s="12"/>
      <c r="MJ65" s="12"/>
      <c r="MK65" s="12"/>
      <c r="ML65" s="12"/>
      <c r="MM65" s="12"/>
      <c r="MN65" s="12"/>
      <c r="MO65" s="12"/>
      <c r="MP65" s="12"/>
      <c r="MQ65" s="12"/>
      <c r="MR65" s="12"/>
      <c r="MS65" s="12"/>
      <c r="MT65" s="12"/>
      <c r="MU65" s="12"/>
      <c r="MV65" s="12"/>
      <c r="MW65" s="12"/>
      <c r="MX65" s="12"/>
      <c r="MY65" s="12"/>
      <c r="MZ65" s="12"/>
      <c r="NA65" s="12"/>
      <c r="NB65" s="12"/>
      <c r="NC65" s="12"/>
      <c r="ND65" s="12"/>
      <c r="NE65" s="12"/>
      <c r="NF65" s="12"/>
      <c r="NG65" s="12"/>
      <c r="NH65" s="12"/>
      <c r="NI65" s="12"/>
      <c r="NJ65" s="12"/>
      <c r="NK65" s="12"/>
      <c r="NL65" s="12"/>
      <c r="NM65" s="12"/>
      <c r="NN65" s="12"/>
      <c r="NO65" s="12"/>
      <c r="NP65" s="12"/>
      <c r="NQ65" s="12"/>
      <c r="NR65" s="12"/>
      <c r="NS65" s="12"/>
      <c r="NT65" s="12"/>
      <c r="NU65" s="12"/>
      <c r="NV65" s="12"/>
      <c r="NW65" s="12"/>
      <c r="NX65" s="12"/>
      <c r="NY65" s="12"/>
      <c r="NZ65" s="12"/>
      <c r="OA65" s="12"/>
      <c r="OB65" s="12"/>
      <c r="OC65" s="12"/>
      <c r="OD65" s="12"/>
      <c r="OE65" s="12"/>
      <c r="OF65" s="12"/>
      <c r="OG65" s="12"/>
      <c r="OH65" s="12"/>
      <c r="OI65" s="12"/>
      <c r="OJ65" s="12"/>
      <c r="OK65" s="12"/>
      <c r="OL65" s="12"/>
      <c r="OM65" s="12"/>
      <c r="ON65" s="12"/>
      <c r="OO65" s="12"/>
      <c r="OP65" s="12"/>
      <c r="OQ65" s="12"/>
      <c r="OR65" s="12"/>
      <c r="OS65" s="12"/>
      <c r="OT65" s="12"/>
      <c r="OU65" s="12"/>
      <c r="OV65" s="12"/>
      <c r="OW65" s="12"/>
      <c r="OX65" s="12"/>
      <c r="OY65" s="12"/>
      <c r="OZ65" s="12"/>
      <c r="PA65" s="12"/>
      <c r="PB65" s="12"/>
      <c r="PC65" s="12"/>
      <c r="PD65" s="12"/>
      <c r="PE65" s="12"/>
      <c r="PF65" s="12"/>
      <c r="PG65" s="12"/>
      <c r="PH65" s="12"/>
      <c r="PI65" s="12"/>
      <c r="PJ65" s="12"/>
      <c r="PK65" s="12"/>
      <c r="PL65" s="12"/>
      <c r="PM65" s="12"/>
      <c r="PN65" s="12"/>
      <c r="PO65" s="12"/>
      <c r="PP65" s="12"/>
      <c r="PQ65" s="12"/>
      <c r="PR65" s="12"/>
      <c r="PS65" s="12"/>
      <c r="PT65" s="12"/>
      <c r="PU65" s="12"/>
      <c r="PV65" s="12"/>
      <c r="PW65" s="12"/>
      <c r="PX65" s="12"/>
      <c r="PY65" s="12"/>
      <c r="PZ65" s="12"/>
      <c r="QA65" s="12"/>
      <c r="QB65" s="12"/>
      <c r="QC65" s="12"/>
      <c r="QD65" s="12"/>
      <c r="QE65" s="12"/>
      <c r="QF65" s="12"/>
      <c r="QG65" s="12"/>
      <c r="QH65" s="12"/>
      <c r="QI65" s="12"/>
      <c r="QJ65" s="12"/>
      <c r="QK65" s="12"/>
      <c r="QL65" s="12"/>
      <c r="QM65" s="12"/>
      <c r="QN65" s="12"/>
      <c r="QO65" s="12"/>
      <c r="QP65" s="12"/>
      <c r="QQ65" s="12"/>
      <c r="QR65" s="12"/>
      <c r="QS65" s="12"/>
      <c r="QT65" s="12"/>
      <c r="QU65" s="12"/>
      <c r="QV65" s="12"/>
      <c r="QW65" s="12"/>
      <c r="QX65" s="12"/>
      <c r="QY65" s="12"/>
      <c r="QZ65" s="12"/>
      <c r="RA65" s="12"/>
      <c r="RB65" s="12"/>
      <c r="RC65" s="12"/>
      <c r="RD65" s="12"/>
      <c r="RE65" s="12"/>
      <c r="RF65" s="12"/>
      <c r="RG65" s="12"/>
      <c r="RH65" s="12"/>
      <c r="RI65" s="12"/>
      <c r="RJ65" s="12"/>
      <c r="RK65" s="12"/>
      <c r="RL65" s="12"/>
      <c r="RM65" s="12"/>
      <c r="RN65" s="12"/>
      <c r="RO65" s="12"/>
      <c r="RP65" s="12"/>
      <c r="RQ65" s="12"/>
      <c r="RR65" s="12"/>
      <c r="RS65" s="12"/>
      <c r="RT65" s="12"/>
      <c r="RU65" s="12"/>
      <c r="RV65" s="12"/>
      <c r="RW65" s="12"/>
      <c r="RX65" s="12"/>
      <c r="RY65" s="12"/>
      <c r="RZ65" s="12"/>
      <c r="SA65" s="12"/>
      <c r="SB65" s="12"/>
      <c r="SC65" s="12"/>
      <c r="SD65" s="12"/>
      <c r="SE65" s="12"/>
      <c r="SF65" s="12"/>
      <c r="SG65" s="12"/>
      <c r="SH65" s="12"/>
      <c r="SI65" s="12"/>
      <c r="SJ65" s="12"/>
      <c r="SK65" s="12"/>
      <c r="SL65" s="12"/>
      <c r="SM65" s="12"/>
      <c r="SN65" s="12"/>
      <c r="SO65" s="12"/>
      <c r="SP65" s="12"/>
      <c r="SQ65" s="12"/>
      <c r="SR65" s="12"/>
      <c r="SS65" s="12"/>
      <c r="ST65" s="12"/>
      <c r="SU65" s="12"/>
      <c r="SV65" s="12"/>
      <c r="SW65" s="12"/>
      <c r="SX65" s="12"/>
      <c r="SY65" s="12"/>
      <c r="SZ65" s="12"/>
      <c r="TA65" s="12"/>
      <c r="TB65" s="12"/>
      <c r="TC65" s="12"/>
      <c r="TD65" s="12"/>
      <c r="TE65" s="12"/>
      <c r="TF65" s="12"/>
      <c r="TG65" s="12"/>
      <c r="TH65" s="12"/>
      <c r="TI65" s="12"/>
      <c r="TJ65" s="12"/>
      <c r="TK65" s="12"/>
      <c r="TL65" s="12"/>
      <c r="TM65" s="12"/>
      <c r="TN65" s="12"/>
      <c r="TO65" s="12"/>
      <c r="TP65" s="12"/>
      <c r="TQ65" s="12"/>
      <c r="TR65" s="12"/>
      <c r="TS65" s="12"/>
      <c r="TT65" s="12"/>
      <c r="TU65" s="12"/>
      <c r="TV65" s="12"/>
      <c r="TW65" s="12"/>
      <c r="TX65" s="12"/>
      <c r="TY65" s="12"/>
      <c r="TZ65" s="12"/>
      <c r="UA65" s="12"/>
      <c r="UB65" s="12"/>
      <c r="UC65" s="12"/>
      <c r="UD65" s="12"/>
      <c r="UE65" s="12"/>
      <c r="UF65" s="12"/>
      <c r="UG65" s="12"/>
      <c r="UH65" s="12"/>
      <c r="UI65" s="12"/>
      <c r="UJ65" s="12"/>
      <c r="UK65" s="12"/>
      <c r="UL65" s="12"/>
      <c r="UM65" s="12"/>
      <c r="UN65" s="12"/>
      <c r="UO65" s="12"/>
      <c r="UP65" s="12"/>
      <c r="UQ65" s="12"/>
      <c r="UR65" s="12"/>
      <c r="US65" s="12"/>
      <c r="UT65" s="12"/>
      <c r="UU65" s="12"/>
      <c r="UV65" s="12"/>
      <c r="UW65" s="12"/>
      <c r="UX65" s="12"/>
      <c r="UY65" s="12"/>
      <c r="UZ65" s="12"/>
      <c r="VA65" s="12"/>
      <c r="VB65" s="12"/>
      <c r="VC65" s="12"/>
      <c r="VD65" s="12"/>
      <c r="VE65" s="12"/>
      <c r="VF65" s="12"/>
      <c r="VG65" s="12"/>
      <c r="VH65" s="12"/>
      <c r="VI65" s="12"/>
      <c r="VJ65" s="12"/>
      <c r="VK65" s="12"/>
      <c r="VL65" s="12"/>
      <c r="VM65" s="12"/>
      <c r="VN65" s="12"/>
      <c r="VO65" s="12"/>
      <c r="VP65" s="12"/>
      <c r="VQ65" s="12"/>
      <c r="VR65" s="12"/>
      <c r="VS65" s="12"/>
      <c r="VT65" s="12"/>
      <c r="VU65" s="12"/>
      <c r="VV65" s="12"/>
      <c r="VW65" s="12"/>
      <c r="VX65" s="12"/>
      <c r="VY65" s="12"/>
      <c r="VZ65" s="12"/>
      <c r="WA65" s="12"/>
      <c r="WB65" s="12"/>
      <c r="WC65" s="12"/>
      <c r="WD65" s="12"/>
      <c r="WE65" s="12"/>
      <c r="WF65" s="12"/>
      <c r="WG65" s="12"/>
      <c r="WH65" s="12"/>
      <c r="WI65" s="12"/>
      <c r="WJ65" s="12"/>
      <c r="WK65" s="12"/>
      <c r="WL65" s="12"/>
      <c r="WM65" s="12"/>
      <c r="WN65" s="12"/>
      <c r="WO65" s="12"/>
      <c r="WP65" s="12"/>
      <c r="WQ65" s="12"/>
      <c r="WR65" s="12"/>
      <c r="WS65" s="12"/>
      <c r="WT65" s="12"/>
      <c r="WU65" s="12"/>
      <c r="WV65" s="12"/>
      <c r="WW65" s="12"/>
      <c r="WX65" s="12"/>
      <c r="WY65" s="12"/>
      <c r="WZ65" s="12"/>
      <c r="XA65" s="12"/>
      <c r="XB65" s="12"/>
      <c r="XC65" s="12"/>
      <c r="XD65" s="12"/>
      <c r="XE65" s="12"/>
      <c r="XF65" s="12"/>
      <c r="XG65" s="12"/>
      <c r="XH65" s="12"/>
      <c r="XI65" s="12"/>
      <c r="XJ65" s="12"/>
      <c r="XK65" s="12"/>
      <c r="XL65" s="12"/>
      <c r="XM65" s="12"/>
      <c r="XN65" s="12"/>
      <c r="XO65" s="12"/>
      <c r="XP65" s="12"/>
      <c r="XQ65" s="12"/>
      <c r="XR65" s="12"/>
      <c r="XS65" s="12"/>
      <c r="XT65" s="12"/>
      <c r="XU65" s="12"/>
      <c r="XV65" s="12"/>
      <c r="XW65" s="12"/>
      <c r="XX65" s="12"/>
      <c r="XY65" s="12"/>
      <c r="XZ65" s="12"/>
      <c r="YA65" s="12"/>
      <c r="YB65" s="12"/>
      <c r="YC65" s="12"/>
      <c r="YD65" s="12"/>
      <c r="YE65" s="12"/>
      <c r="YF65" s="12"/>
      <c r="YG65" s="12"/>
      <c r="YH65" s="12"/>
      <c r="YI65" s="12"/>
      <c r="YJ65" s="12"/>
      <c r="YK65" s="12"/>
      <c r="YL65" s="12"/>
      <c r="YM65" s="12"/>
      <c r="YN65" s="12"/>
      <c r="YO65" s="12"/>
      <c r="YP65" s="12"/>
      <c r="YQ65" s="12"/>
      <c r="YR65" s="12"/>
      <c r="YS65" s="12"/>
      <c r="YT65" s="12"/>
      <c r="YU65" s="12"/>
      <c r="YV65" s="12"/>
      <c r="YW65" s="12"/>
      <c r="YX65" s="12"/>
      <c r="YY65" s="12"/>
      <c r="YZ65" s="12"/>
      <c r="ZA65" s="12"/>
      <c r="ZB65" s="12"/>
      <c r="ZC65" s="12"/>
      <c r="ZD65" s="12"/>
      <c r="ZE65" s="12"/>
      <c r="ZF65" s="12"/>
      <c r="ZG65" s="12"/>
      <c r="ZH65" s="12"/>
      <c r="ZI65" s="12"/>
      <c r="ZJ65" s="12"/>
      <c r="ZK65" s="12"/>
      <c r="ZL65" s="12"/>
      <c r="ZM65" s="12"/>
      <c r="ZN65" s="12"/>
      <c r="ZO65" s="12"/>
      <c r="ZP65" s="12"/>
      <c r="ZQ65" s="12"/>
      <c r="ZR65" s="12"/>
      <c r="ZS65" s="12"/>
      <c r="ZT65" s="12"/>
      <c r="ZU65" s="12"/>
      <c r="ZV65" s="12"/>
      <c r="ZW65" s="12"/>
      <c r="ZX65" s="12"/>
      <c r="ZY65" s="12"/>
      <c r="ZZ65" s="12"/>
      <c r="AAA65" s="12"/>
      <c r="AAB65" s="12"/>
      <c r="AAC65" s="12"/>
      <c r="AAD65" s="12"/>
      <c r="AAE65" s="12"/>
      <c r="AAF65" s="12"/>
      <c r="AAG65" s="12"/>
      <c r="AAH65" s="12"/>
      <c r="AAI65" s="12"/>
      <c r="AAJ65" s="12"/>
      <c r="AAK65" s="12"/>
      <c r="AAL65" s="12"/>
      <c r="AAM65" s="12"/>
      <c r="AAN65" s="12"/>
      <c r="AAO65" s="12"/>
      <c r="AAP65" s="12"/>
      <c r="AAQ65" s="12"/>
      <c r="AAR65" s="12"/>
      <c r="AAS65" s="12"/>
      <c r="AAT65" s="12"/>
      <c r="AAU65" s="12"/>
      <c r="AAV65" s="12"/>
      <c r="AAW65" s="12"/>
      <c r="AAX65" s="12"/>
      <c r="AAY65" s="12"/>
      <c r="AAZ65" s="12"/>
      <c r="ABA65" s="12"/>
      <c r="ABB65" s="12"/>
      <c r="ABC65" s="12"/>
      <c r="ABD65" s="12"/>
      <c r="ABE65" s="12"/>
      <c r="ABF65" s="12"/>
      <c r="ABG65" s="12"/>
      <c r="ABH65" s="12"/>
      <c r="ABI65" s="12"/>
      <c r="ABJ65" s="12"/>
      <c r="ABK65" s="12"/>
      <c r="ABL65" s="12"/>
      <c r="ABM65" s="12"/>
      <c r="ABN65" s="12"/>
      <c r="ABO65" s="12"/>
      <c r="ABP65" s="12"/>
      <c r="ABQ65" s="12"/>
      <c r="ABR65" s="12"/>
      <c r="ABS65" s="12"/>
      <c r="ABT65" s="12"/>
      <c r="ABU65" s="12"/>
      <c r="ABV65" s="12"/>
      <c r="ABW65" s="12"/>
      <c r="ABX65" s="12"/>
      <c r="ABY65" s="12"/>
      <c r="ABZ65" s="12"/>
      <c r="ACA65" s="12"/>
      <c r="ACB65" s="12"/>
      <c r="ACC65" s="12"/>
      <c r="ACD65" s="12"/>
      <c r="ACE65" s="12"/>
      <c r="ACF65" s="12"/>
      <c r="ACG65" s="12"/>
      <c r="ACH65" s="12"/>
      <c r="ACI65" s="12"/>
      <c r="ACJ65" s="12"/>
      <c r="ACK65" s="12"/>
      <c r="ACL65" s="12"/>
      <c r="ACM65" s="12"/>
      <c r="ACN65" s="12"/>
      <c r="ACO65" s="12"/>
      <c r="ACP65" s="12"/>
      <c r="ACQ65" s="12"/>
      <c r="ACR65" s="12"/>
      <c r="ACS65" s="12"/>
      <c r="ACT65" s="12"/>
      <c r="ACU65" s="12"/>
      <c r="ACV65" s="12"/>
      <c r="ACW65" s="12"/>
      <c r="ACX65" s="12"/>
      <c r="ACY65" s="12"/>
      <c r="ACZ65" s="12"/>
      <c r="ADA65" s="12"/>
      <c r="ADB65" s="12"/>
      <c r="ADC65" s="12"/>
      <c r="ADD65" s="12"/>
      <c r="ADE65" s="12"/>
      <c r="ADF65" s="12"/>
      <c r="ADG65" s="12"/>
      <c r="ADH65" s="12"/>
      <c r="ADI65" s="12"/>
      <c r="ADJ65" s="12"/>
      <c r="ADK65" s="12"/>
      <c r="ADL65" s="12"/>
      <c r="ADM65" s="12"/>
      <c r="ADN65" s="12"/>
      <c r="ADO65" s="12"/>
      <c r="ADP65" s="12"/>
      <c r="ADQ65" s="12"/>
      <c r="ADR65" s="12"/>
      <c r="ADS65" s="12"/>
      <c r="ADT65" s="12"/>
      <c r="ADU65" s="12"/>
      <c r="ADV65" s="12"/>
      <c r="ADW65" s="12"/>
      <c r="ADX65" s="12"/>
      <c r="ADY65" s="12"/>
      <c r="ADZ65" s="12"/>
      <c r="AEA65" s="12"/>
      <c r="AEB65" s="12"/>
      <c r="AEC65" s="12"/>
      <c r="AED65" s="12"/>
      <c r="AEE65" s="12"/>
      <c r="AEF65" s="12"/>
      <c r="AEG65" s="12"/>
      <c r="AEH65" s="12"/>
      <c r="AEI65" s="12"/>
      <c r="AEJ65" s="12"/>
      <c r="AEK65" s="12"/>
      <c r="AEL65" s="12"/>
      <c r="AEM65" s="12"/>
      <c r="AEN65" s="12"/>
      <c r="AEO65" s="12"/>
      <c r="AEP65" s="12"/>
      <c r="AEQ65" s="12"/>
      <c r="AER65" s="12"/>
      <c r="AES65" s="12"/>
      <c r="AET65" s="12"/>
      <c r="AEU65" s="12"/>
      <c r="AEV65" s="12"/>
      <c r="AEW65" s="12"/>
      <c r="AEX65" s="12"/>
      <c r="AEY65" s="12"/>
      <c r="AEZ65" s="12"/>
      <c r="AFA65" s="12"/>
      <c r="AFB65" s="12"/>
      <c r="AFC65" s="12"/>
      <c r="AFD65" s="12"/>
      <c r="AFE65" s="12"/>
      <c r="AFF65" s="12"/>
      <c r="AFG65" s="12"/>
      <c r="AFH65" s="12"/>
      <c r="AFI65" s="12"/>
      <c r="AFJ65" s="12"/>
      <c r="AFK65" s="12"/>
      <c r="AFL65" s="12"/>
      <c r="AFM65" s="12"/>
      <c r="AFN65" s="12"/>
      <c r="AFO65" s="12"/>
      <c r="AFP65" s="12"/>
      <c r="AFQ65" s="12"/>
      <c r="AFR65" s="12"/>
      <c r="AFS65" s="12"/>
      <c r="AFT65" s="12"/>
      <c r="AFU65" s="12"/>
      <c r="AFV65" s="12"/>
      <c r="AFW65" s="12"/>
      <c r="AFX65" s="12"/>
      <c r="AFY65" s="12"/>
      <c r="AFZ65" s="12"/>
      <c r="AGA65" s="12"/>
      <c r="AGB65" s="12"/>
      <c r="AGC65" s="12"/>
      <c r="AGD65" s="12"/>
      <c r="AGE65" s="12"/>
      <c r="AGF65" s="12"/>
      <c r="AGG65" s="12"/>
      <c r="AGH65" s="12"/>
      <c r="AGI65" s="12"/>
      <c r="AGJ65" s="12"/>
      <c r="AGK65" s="12"/>
      <c r="AGL65" s="12"/>
      <c r="AGM65" s="12"/>
      <c r="AGN65" s="12"/>
      <c r="AGO65" s="12"/>
      <c r="AGP65" s="12"/>
      <c r="AGQ65" s="12"/>
      <c r="AGR65" s="12"/>
      <c r="AGS65" s="12"/>
      <c r="AGT65" s="12"/>
      <c r="AGU65" s="12"/>
      <c r="AGV65" s="12"/>
      <c r="AGW65" s="12"/>
      <c r="AGX65" s="12"/>
      <c r="AGY65" s="12"/>
      <c r="AGZ65" s="12"/>
      <c r="AHA65" s="12"/>
      <c r="AHB65" s="12"/>
      <c r="AHC65" s="12"/>
      <c r="AHD65" s="12"/>
      <c r="AHE65" s="12"/>
      <c r="AHF65" s="12"/>
      <c r="AHG65" s="12"/>
      <c r="AHH65" s="12"/>
      <c r="AHI65" s="12"/>
      <c r="AHJ65" s="12"/>
      <c r="AHK65" s="12"/>
      <c r="AHL65" s="12"/>
      <c r="AHM65" s="12"/>
      <c r="AHN65" s="12"/>
      <c r="AHO65" s="12"/>
      <c r="AHP65" s="12"/>
      <c r="AHQ65" s="12"/>
      <c r="AHR65" s="12"/>
      <c r="AHS65" s="12"/>
      <c r="AHT65" s="12"/>
      <c r="AHU65" s="12"/>
      <c r="AHV65" s="12"/>
      <c r="AHW65" s="12"/>
      <c r="AHX65" s="12"/>
      <c r="AHY65" s="12"/>
      <c r="AHZ65" s="12"/>
      <c r="AIA65" s="12"/>
      <c r="AIB65" s="12"/>
      <c r="AIC65" s="12"/>
      <c r="AID65" s="12"/>
      <c r="AIE65" s="12"/>
      <c r="AIF65" s="12"/>
      <c r="AIG65" s="12"/>
      <c r="AIH65" s="12"/>
      <c r="AII65" s="12"/>
      <c r="AIJ65" s="12"/>
      <c r="AIK65" s="12"/>
      <c r="AIL65" s="12"/>
      <c r="AIM65" s="12"/>
      <c r="AIN65" s="12"/>
      <c r="AIO65" s="12"/>
      <c r="AIP65" s="12"/>
      <c r="AIQ65" s="12"/>
      <c r="AIR65" s="12"/>
      <c r="AIS65" s="12"/>
      <c r="AIT65" s="12"/>
      <c r="AIU65" s="12"/>
      <c r="AIV65" s="12"/>
      <c r="AIW65" s="12"/>
      <c r="AIX65" s="12"/>
      <c r="AIY65" s="12"/>
      <c r="AIZ65" s="12"/>
      <c r="AJA65" s="12"/>
      <c r="AJB65" s="12"/>
      <c r="AJC65" s="12"/>
      <c r="AJD65" s="12"/>
      <c r="AJE65" s="12"/>
      <c r="AJF65" s="12"/>
      <c r="AJG65" s="12"/>
      <c r="AJH65" s="12"/>
      <c r="AJI65" s="12"/>
      <c r="AJJ65" s="12"/>
      <c r="AJK65" s="12"/>
      <c r="AJL65" s="12"/>
      <c r="AJM65" s="12"/>
      <c r="AJN65" s="12"/>
      <c r="AJO65" s="12"/>
      <c r="AJP65" s="12"/>
      <c r="AJQ65" s="12"/>
      <c r="AJR65" s="12"/>
      <c r="AJS65" s="12"/>
      <c r="AJT65" s="12"/>
      <c r="AJU65" s="12"/>
      <c r="AJV65" s="12"/>
      <c r="AJW65" s="12"/>
      <c r="AJX65" s="12"/>
      <c r="AJY65" s="12"/>
      <c r="AJZ65" s="12"/>
      <c r="AKA65" s="12"/>
      <c r="AKB65" s="12"/>
      <c r="AKC65" s="12"/>
    </row>
    <row r="66" spans="1:965" s="142" customFormat="1" ht="29" customHeight="1" x14ac:dyDescent="0.35">
      <c r="A66" s="316">
        <v>11.1</v>
      </c>
      <c r="B66" s="313" t="s">
        <v>2208</v>
      </c>
      <c r="C66" s="314" t="s">
        <v>2210</v>
      </c>
      <c r="D66" s="316" t="str">
        <f>IF($C$4="Clinkerization","toe/tonne of equivalent Clinker","toe/tonne of equivalent Cement")</f>
        <v>toe/tonne of equivalent Cement</v>
      </c>
      <c r="E66" s="381">
        <f t="shared" ref="E66:BP66" si="1">E65/10000</f>
        <v>0</v>
      </c>
      <c r="F66" s="381">
        <f t="shared" si="1"/>
        <v>0</v>
      </c>
      <c r="G66" s="315">
        <f t="shared" si="1"/>
        <v>0</v>
      </c>
      <c r="H66" s="312">
        <f t="shared" si="1"/>
        <v>0</v>
      </c>
      <c r="I66" s="312">
        <f t="shared" si="1"/>
        <v>0</v>
      </c>
      <c r="J66" s="312">
        <f t="shared" si="1"/>
        <v>0</v>
      </c>
      <c r="K66" s="312">
        <f t="shared" si="1"/>
        <v>0</v>
      </c>
      <c r="L66" s="312">
        <f t="shared" si="1"/>
        <v>0</v>
      </c>
      <c r="M66" s="312">
        <f t="shared" si="1"/>
        <v>0</v>
      </c>
      <c r="N66" s="312">
        <f t="shared" si="1"/>
        <v>0</v>
      </c>
      <c r="O66" s="312">
        <f t="shared" si="1"/>
        <v>0</v>
      </c>
      <c r="P66" s="312">
        <f t="shared" si="1"/>
        <v>0</v>
      </c>
      <c r="Q66" s="312">
        <f t="shared" si="1"/>
        <v>0</v>
      </c>
      <c r="R66" s="312">
        <f t="shared" si="1"/>
        <v>0</v>
      </c>
      <c r="S66" s="312">
        <f t="shared" si="1"/>
        <v>0</v>
      </c>
      <c r="T66" s="312">
        <f t="shared" si="1"/>
        <v>0</v>
      </c>
      <c r="U66" s="312">
        <f t="shared" si="1"/>
        <v>0</v>
      </c>
      <c r="V66" s="312">
        <f t="shared" si="1"/>
        <v>0</v>
      </c>
      <c r="W66" s="312">
        <f t="shared" si="1"/>
        <v>0</v>
      </c>
      <c r="X66" s="312">
        <f t="shared" si="1"/>
        <v>0</v>
      </c>
      <c r="Y66" s="312">
        <f t="shared" si="1"/>
        <v>0</v>
      </c>
      <c r="Z66" s="312">
        <f t="shared" si="1"/>
        <v>0</v>
      </c>
      <c r="AA66" s="312">
        <f t="shared" si="1"/>
        <v>0</v>
      </c>
      <c r="AB66" s="312">
        <f t="shared" si="1"/>
        <v>0</v>
      </c>
      <c r="AC66" s="312">
        <f t="shared" si="1"/>
        <v>0</v>
      </c>
      <c r="AD66" s="312">
        <f t="shared" si="1"/>
        <v>0</v>
      </c>
      <c r="AE66" s="312">
        <f t="shared" si="1"/>
        <v>0</v>
      </c>
      <c r="AF66" s="312">
        <f t="shared" si="1"/>
        <v>0</v>
      </c>
      <c r="AG66" s="312">
        <f t="shared" si="1"/>
        <v>0</v>
      </c>
      <c r="AH66" s="312">
        <f t="shared" si="1"/>
        <v>0</v>
      </c>
      <c r="AI66" s="312">
        <f t="shared" si="1"/>
        <v>0</v>
      </c>
      <c r="AJ66" s="312">
        <f t="shared" si="1"/>
        <v>0</v>
      </c>
      <c r="AK66" s="312">
        <f t="shared" si="1"/>
        <v>0</v>
      </c>
      <c r="AL66" s="312">
        <f t="shared" si="1"/>
        <v>0</v>
      </c>
      <c r="AM66" s="312">
        <f t="shared" si="1"/>
        <v>0</v>
      </c>
      <c r="AN66" s="312">
        <f t="shared" si="1"/>
        <v>0</v>
      </c>
      <c r="AO66" s="312">
        <f t="shared" si="1"/>
        <v>0</v>
      </c>
      <c r="AP66" s="312">
        <f t="shared" si="1"/>
        <v>0</v>
      </c>
      <c r="AQ66" s="312">
        <f t="shared" si="1"/>
        <v>0</v>
      </c>
      <c r="AR66" s="312">
        <f t="shared" si="1"/>
        <v>0</v>
      </c>
      <c r="AS66" s="312">
        <f t="shared" si="1"/>
        <v>0</v>
      </c>
      <c r="AT66" s="312">
        <f t="shared" si="1"/>
        <v>0</v>
      </c>
      <c r="AU66" s="312">
        <f t="shared" si="1"/>
        <v>0</v>
      </c>
      <c r="AV66" s="312">
        <f t="shared" si="1"/>
        <v>0</v>
      </c>
      <c r="AW66" s="312">
        <f t="shared" si="1"/>
        <v>0</v>
      </c>
      <c r="AX66" s="312">
        <f t="shared" si="1"/>
        <v>0</v>
      </c>
      <c r="AY66" s="312">
        <f t="shared" si="1"/>
        <v>0</v>
      </c>
      <c r="AZ66" s="312">
        <f t="shared" si="1"/>
        <v>0</v>
      </c>
      <c r="BA66" s="312">
        <f t="shared" si="1"/>
        <v>0</v>
      </c>
      <c r="BB66" s="312">
        <f t="shared" si="1"/>
        <v>0</v>
      </c>
      <c r="BC66" s="312">
        <f t="shared" si="1"/>
        <v>0</v>
      </c>
      <c r="BD66" s="312">
        <f t="shared" si="1"/>
        <v>0</v>
      </c>
      <c r="BE66" s="312">
        <f t="shared" si="1"/>
        <v>0</v>
      </c>
      <c r="BF66" s="312">
        <f t="shared" si="1"/>
        <v>0</v>
      </c>
      <c r="BG66" s="312">
        <f t="shared" si="1"/>
        <v>0</v>
      </c>
      <c r="BH66" s="312">
        <f t="shared" si="1"/>
        <v>0</v>
      </c>
      <c r="BI66" s="312">
        <f t="shared" si="1"/>
        <v>0</v>
      </c>
      <c r="BJ66" s="312">
        <f t="shared" si="1"/>
        <v>0</v>
      </c>
      <c r="BK66" s="312">
        <f t="shared" si="1"/>
        <v>0</v>
      </c>
      <c r="BL66" s="312">
        <f t="shared" si="1"/>
        <v>0</v>
      </c>
      <c r="BM66" s="312">
        <f t="shared" si="1"/>
        <v>0</v>
      </c>
      <c r="BN66" s="312">
        <f t="shared" si="1"/>
        <v>0</v>
      </c>
      <c r="BO66" s="312">
        <f t="shared" si="1"/>
        <v>0</v>
      </c>
      <c r="BP66" s="312">
        <f t="shared" si="1"/>
        <v>0</v>
      </c>
      <c r="BQ66" s="312">
        <f t="shared" ref="BQ66:EB66" si="2">BQ65/10000</f>
        <v>0</v>
      </c>
      <c r="BR66" s="312">
        <f t="shared" si="2"/>
        <v>0</v>
      </c>
      <c r="BS66" s="312">
        <f t="shared" si="2"/>
        <v>0</v>
      </c>
      <c r="BT66" s="312">
        <f t="shared" si="2"/>
        <v>0</v>
      </c>
      <c r="BU66" s="312">
        <f t="shared" si="2"/>
        <v>0</v>
      </c>
      <c r="BV66" s="312">
        <f t="shared" si="2"/>
        <v>0</v>
      </c>
      <c r="BW66" s="312">
        <f t="shared" si="2"/>
        <v>0</v>
      </c>
      <c r="BX66" s="312">
        <f t="shared" si="2"/>
        <v>0</v>
      </c>
      <c r="BY66" s="312">
        <f t="shared" si="2"/>
        <v>0</v>
      </c>
      <c r="BZ66" s="312">
        <f t="shared" si="2"/>
        <v>0</v>
      </c>
      <c r="CA66" s="312">
        <f t="shared" si="2"/>
        <v>0</v>
      </c>
      <c r="CB66" s="312">
        <f t="shared" si="2"/>
        <v>0</v>
      </c>
      <c r="CC66" s="312">
        <f t="shared" si="2"/>
        <v>0</v>
      </c>
      <c r="CD66" s="312">
        <f t="shared" si="2"/>
        <v>0</v>
      </c>
      <c r="CE66" s="312">
        <f t="shared" si="2"/>
        <v>0</v>
      </c>
      <c r="CF66" s="312">
        <f t="shared" si="2"/>
        <v>0</v>
      </c>
      <c r="CG66" s="312">
        <f t="shared" si="2"/>
        <v>0</v>
      </c>
      <c r="CH66" s="312">
        <f t="shared" si="2"/>
        <v>0</v>
      </c>
      <c r="CI66" s="312">
        <f t="shared" si="2"/>
        <v>0</v>
      </c>
      <c r="CJ66" s="312">
        <f t="shared" si="2"/>
        <v>0</v>
      </c>
      <c r="CK66" s="312">
        <f t="shared" si="2"/>
        <v>0</v>
      </c>
      <c r="CL66" s="312">
        <f t="shared" si="2"/>
        <v>0</v>
      </c>
      <c r="CM66" s="312">
        <f t="shared" si="2"/>
        <v>0</v>
      </c>
      <c r="CN66" s="312">
        <f t="shared" si="2"/>
        <v>0</v>
      </c>
      <c r="CO66" s="312">
        <f t="shared" si="2"/>
        <v>0</v>
      </c>
      <c r="CP66" s="312">
        <f t="shared" si="2"/>
        <v>0</v>
      </c>
      <c r="CQ66" s="312">
        <f t="shared" si="2"/>
        <v>0</v>
      </c>
      <c r="CR66" s="312">
        <f t="shared" si="2"/>
        <v>0</v>
      </c>
      <c r="CS66" s="312">
        <f t="shared" si="2"/>
        <v>0</v>
      </c>
      <c r="CT66" s="312">
        <f t="shared" si="2"/>
        <v>0</v>
      </c>
      <c r="CU66" s="312">
        <f t="shared" si="2"/>
        <v>0</v>
      </c>
      <c r="CV66" s="312">
        <f t="shared" si="2"/>
        <v>0</v>
      </c>
      <c r="CW66" s="312">
        <f t="shared" si="2"/>
        <v>0</v>
      </c>
      <c r="CX66" s="312">
        <f t="shared" si="2"/>
        <v>0</v>
      </c>
      <c r="CY66" s="312">
        <f t="shared" si="2"/>
        <v>0</v>
      </c>
      <c r="CZ66" s="312">
        <f t="shared" si="2"/>
        <v>0</v>
      </c>
      <c r="DA66" s="312">
        <f t="shared" si="2"/>
        <v>0</v>
      </c>
      <c r="DB66" s="312">
        <f t="shared" si="2"/>
        <v>0</v>
      </c>
      <c r="DC66" s="312">
        <f t="shared" si="2"/>
        <v>0</v>
      </c>
      <c r="DD66" s="312">
        <f t="shared" si="2"/>
        <v>0</v>
      </c>
      <c r="DE66" s="312">
        <f t="shared" si="2"/>
        <v>0</v>
      </c>
      <c r="DF66" s="312">
        <f t="shared" si="2"/>
        <v>0</v>
      </c>
      <c r="DG66" s="312">
        <f t="shared" si="2"/>
        <v>0</v>
      </c>
      <c r="DH66" s="312">
        <f t="shared" si="2"/>
        <v>0</v>
      </c>
      <c r="DI66" s="312">
        <f t="shared" si="2"/>
        <v>0</v>
      </c>
      <c r="DJ66" s="312">
        <f t="shared" si="2"/>
        <v>0</v>
      </c>
      <c r="DK66" s="312">
        <f t="shared" si="2"/>
        <v>0</v>
      </c>
      <c r="DL66" s="312">
        <f t="shared" si="2"/>
        <v>0</v>
      </c>
      <c r="DM66" s="312">
        <f t="shared" si="2"/>
        <v>0</v>
      </c>
      <c r="DN66" s="312">
        <f t="shared" si="2"/>
        <v>0</v>
      </c>
      <c r="DO66" s="312">
        <f t="shared" si="2"/>
        <v>0</v>
      </c>
      <c r="DP66" s="312">
        <f t="shared" si="2"/>
        <v>0</v>
      </c>
      <c r="DQ66" s="312">
        <f t="shared" si="2"/>
        <v>0</v>
      </c>
      <c r="DR66" s="312">
        <f t="shared" si="2"/>
        <v>0</v>
      </c>
      <c r="DS66" s="312">
        <f t="shared" si="2"/>
        <v>0</v>
      </c>
      <c r="DT66" s="312">
        <f t="shared" si="2"/>
        <v>0</v>
      </c>
      <c r="DU66" s="312">
        <f t="shared" si="2"/>
        <v>0</v>
      </c>
      <c r="DV66" s="312">
        <f t="shared" si="2"/>
        <v>0</v>
      </c>
      <c r="DW66" s="312">
        <f t="shared" si="2"/>
        <v>0</v>
      </c>
      <c r="DX66" s="312">
        <f t="shared" si="2"/>
        <v>0</v>
      </c>
      <c r="DY66" s="312">
        <f t="shared" si="2"/>
        <v>0</v>
      </c>
      <c r="DZ66" s="312">
        <f t="shared" si="2"/>
        <v>0</v>
      </c>
      <c r="EA66" s="312">
        <f t="shared" si="2"/>
        <v>0</v>
      </c>
      <c r="EB66" s="312">
        <f t="shared" si="2"/>
        <v>0</v>
      </c>
      <c r="EC66" s="312">
        <f t="shared" ref="EC66:GN66" si="3">EC65/10000</f>
        <v>0</v>
      </c>
      <c r="ED66" s="312">
        <f t="shared" si="3"/>
        <v>0</v>
      </c>
      <c r="EE66" s="312">
        <f t="shared" si="3"/>
        <v>0</v>
      </c>
      <c r="EF66" s="312">
        <f t="shared" si="3"/>
        <v>0</v>
      </c>
      <c r="EG66" s="312">
        <f t="shared" si="3"/>
        <v>0</v>
      </c>
      <c r="EH66" s="312">
        <f t="shared" si="3"/>
        <v>0</v>
      </c>
      <c r="EI66" s="312">
        <f t="shared" si="3"/>
        <v>0</v>
      </c>
      <c r="EJ66" s="312">
        <f t="shared" si="3"/>
        <v>0</v>
      </c>
      <c r="EK66" s="312">
        <f t="shared" si="3"/>
        <v>0</v>
      </c>
      <c r="EL66" s="312">
        <f t="shared" si="3"/>
        <v>0</v>
      </c>
      <c r="EM66" s="312">
        <f t="shared" si="3"/>
        <v>0</v>
      </c>
      <c r="EN66" s="312">
        <f t="shared" si="3"/>
        <v>0</v>
      </c>
      <c r="EO66" s="312">
        <f t="shared" si="3"/>
        <v>0</v>
      </c>
      <c r="EP66" s="312">
        <f t="shared" si="3"/>
        <v>0</v>
      </c>
      <c r="EQ66" s="312">
        <f t="shared" si="3"/>
        <v>0</v>
      </c>
      <c r="ER66" s="312">
        <f t="shared" si="3"/>
        <v>0</v>
      </c>
      <c r="ES66" s="312">
        <f t="shared" si="3"/>
        <v>0</v>
      </c>
      <c r="ET66" s="312">
        <f t="shared" si="3"/>
        <v>0</v>
      </c>
      <c r="EU66" s="312">
        <f t="shared" si="3"/>
        <v>0</v>
      </c>
      <c r="EV66" s="312">
        <f t="shared" si="3"/>
        <v>0</v>
      </c>
      <c r="EW66" s="312">
        <f t="shared" si="3"/>
        <v>0</v>
      </c>
      <c r="EX66" s="312">
        <f t="shared" si="3"/>
        <v>0</v>
      </c>
      <c r="EY66" s="312">
        <f t="shared" si="3"/>
        <v>0</v>
      </c>
      <c r="EZ66" s="312">
        <f t="shared" si="3"/>
        <v>0</v>
      </c>
      <c r="FA66" s="312">
        <f t="shared" si="3"/>
        <v>0</v>
      </c>
      <c r="FB66" s="312">
        <f t="shared" si="3"/>
        <v>0</v>
      </c>
      <c r="FC66" s="312">
        <f t="shared" si="3"/>
        <v>0</v>
      </c>
      <c r="FD66" s="312">
        <f t="shared" si="3"/>
        <v>0</v>
      </c>
      <c r="FE66" s="312">
        <f t="shared" si="3"/>
        <v>0</v>
      </c>
      <c r="FF66" s="312">
        <f t="shared" si="3"/>
        <v>0</v>
      </c>
      <c r="FG66" s="312">
        <f t="shared" si="3"/>
        <v>0</v>
      </c>
      <c r="FH66" s="312">
        <f t="shared" si="3"/>
        <v>0</v>
      </c>
      <c r="FI66" s="312">
        <f t="shared" si="3"/>
        <v>0</v>
      </c>
      <c r="FJ66" s="312">
        <f t="shared" si="3"/>
        <v>0</v>
      </c>
      <c r="FK66" s="312">
        <f t="shared" si="3"/>
        <v>0</v>
      </c>
      <c r="FL66" s="312">
        <f t="shared" si="3"/>
        <v>0</v>
      </c>
      <c r="FM66" s="312">
        <f t="shared" si="3"/>
        <v>0</v>
      </c>
      <c r="FN66" s="312">
        <f t="shared" si="3"/>
        <v>0</v>
      </c>
      <c r="FO66" s="312">
        <f t="shared" si="3"/>
        <v>0</v>
      </c>
      <c r="FP66" s="312">
        <f t="shared" si="3"/>
        <v>0</v>
      </c>
      <c r="FQ66" s="312">
        <f t="shared" si="3"/>
        <v>0</v>
      </c>
      <c r="FR66" s="312">
        <f t="shared" si="3"/>
        <v>0</v>
      </c>
      <c r="FS66" s="312">
        <f t="shared" si="3"/>
        <v>0</v>
      </c>
      <c r="FT66" s="312">
        <f t="shared" si="3"/>
        <v>0</v>
      </c>
      <c r="FU66" s="312">
        <f t="shared" si="3"/>
        <v>0</v>
      </c>
      <c r="FV66" s="312">
        <f t="shared" si="3"/>
        <v>0</v>
      </c>
      <c r="FW66" s="312">
        <f t="shared" si="3"/>
        <v>0</v>
      </c>
      <c r="FX66" s="312">
        <f t="shared" si="3"/>
        <v>0</v>
      </c>
      <c r="FY66" s="312">
        <f t="shared" si="3"/>
        <v>0</v>
      </c>
      <c r="FZ66" s="312">
        <f t="shared" si="3"/>
        <v>0</v>
      </c>
      <c r="GA66" s="312">
        <f t="shared" si="3"/>
        <v>0</v>
      </c>
      <c r="GB66" s="312">
        <f t="shared" si="3"/>
        <v>0</v>
      </c>
      <c r="GC66" s="312">
        <f t="shared" si="3"/>
        <v>0</v>
      </c>
      <c r="GD66" s="312">
        <f t="shared" si="3"/>
        <v>0</v>
      </c>
      <c r="GE66" s="312">
        <f t="shared" si="3"/>
        <v>0</v>
      </c>
      <c r="GF66" s="312">
        <f t="shared" si="3"/>
        <v>0</v>
      </c>
      <c r="GG66" s="312">
        <f t="shared" si="3"/>
        <v>0</v>
      </c>
      <c r="GH66" s="312">
        <f t="shared" si="3"/>
        <v>0</v>
      </c>
      <c r="GI66" s="312">
        <f t="shared" si="3"/>
        <v>0</v>
      </c>
      <c r="GJ66" s="312">
        <f t="shared" si="3"/>
        <v>0</v>
      </c>
      <c r="GK66" s="312">
        <f t="shared" si="3"/>
        <v>0</v>
      </c>
      <c r="GL66" s="312">
        <f t="shared" si="3"/>
        <v>0</v>
      </c>
      <c r="GM66" s="312">
        <f t="shared" si="3"/>
        <v>0</v>
      </c>
      <c r="GN66" s="312">
        <f t="shared" si="3"/>
        <v>0</v>
      </c>
      <c r="GO66" s="312">
        <f t="shared" ref="GO66:IZ66" si="4">GO65/10000</f>
        <v>0</v>
      </c>
      <c r="GP66" s="312">
        <f t="shared" si="4"/>
        <v>0</v>
      </c>
      <c r="GQ66" s="312">
        <f t="shared" si="4"/>
        <v>0</v>
      </c>
      <c r="GR66" s="312">
        <f t="shared" si="4"/>
        <v>0</v>
      </c>
      <c r="GS66" s="312">
        <f t="shared" si="4"/>
        <v>0</v>
      </c>
      <c r="GT66" s="312">
        <f t="shared" si="4"/>
        <v>0</v>
      </c>
      <c r="GU66" s="312">
        <f t="shared" si="4"/>
        <v>0</v>
      </c>
      <c r="GV66" s="312">
        <f t="shared" si="4"/>
        <v>0</v>
      </c>
      <c r="GW66" s="312">
        <f t="shared" si="4"/>
        <v>0</v>
      </c>
      <c r="GX66" s="312">
        <f t="shared" si="4"/>
        <v>0</v>
      </c>
      <c r="GY66" s="312">
        <f t="shared" si="4"/>
        <v>0</v>
      </c>
      <c r="GZ66" s="312">
        <f t="shared" si="4"/>
        <v>0</v>
      </c>
      <c r="HA66" s="312">
        <f t="shared" si="4"/>
        <v>0</v>
      </c>
      <c r="HB66" s="312">
        <f t="shared" si="4"/>
        <v>0</v>
      </c>
      <c r="HC66" s="312">
        <f t="shared" si="4"/>
        <v>0</v>
      </c>
      <c r="HD66" s="312">
        <f t="shared" si="4"/>
        <v>0</v>
      </c>
      <c r="HE66" s="312">
        <f t="shared" si="4"/>
        <v>0</v>
      </c>
      <c r="HF66" s="312">
        <f t="shared" si="4"/>
        <v>0</v>
      </c>
      <c r="HG66" s="312">
        <f t="shared" si="4"/>
        <v>0</v>
      </c>
      <c r="HH66" s="312">
        <f t="shared" si="4"/>
        <v>0</v>
      </c>
      <c r="HI66" s="312">
        <f t="shared" si="4"/>
        <v>0</v>
      </c>
      <c r="HJ66" s="312">
        <f t="shared" si="4"/>
        <v>0</v>
      </c>
      <c r="HK66" s="312">
        <f t="shared" si="4"/>
        <v>0</v>
      </c>
      <c r="HL66" s="312">
        <f t="shared" si="4"/>
        <v>0</v>
      </c>
      <c r="HM66" s="312">
        <f t="shared" si="4"/>
        <v>0</v>
      </c>
      <c r="HN66" s="312">
        <f t="shared" si="4"/>
        <v>0</v>
      </c>
      <c r="HO66" s="312">
        <f t="shared" si="4"/>
        <v>0</v>
      </c>
      <c r="HP66" s="312">
        <f t="shared" si="4"/>
        <v>0</v>
      </c>
      <c r="HQ66" s="312">
        <f t="shared" si="4"/>
        <v>0</v>
      </c>
      <c r="HR66" s="312">
        <f t="shared" si="4"/>
        <v>0</v>
      </c>
      <c r="HS66" s="312">
        <f t="shared" si="4"/>
        <v>0</v>
      </c>
      <c r="HT66" s="312">
        <f t="shared" si="4"/>
        <v>0</v>
      </c>
      <c r="HU66" s="312">
        <f t="shared" si="4"/>
        <v>0</v>
      </c>
      <c r="HV66" s="312">
        <f t="shared" si="4"/>
        <v>0</v>
      </c>
      <c r="HW66" s="312">
        <f t="shared" si="4"/>
        <v>0</v>
      </c>
      <c r="HX66" s="312">
        <f t="shared" si="4"/>
        <v>0</v>
      </c>
      <c r="HY66" s="312">
        <f t="shared" si="4"/>
        <v>0</v>
      </c>
      <c r="HZ66" s="312">
        <f t="shared" si="4"/>
        <v>0</v>
      </c>
      <c r="IA66" s="312">
        <f t="shared" si="4"/>
        <v>0</v>
      </c>
      <c r="IB66" s="312">
        <f t="shared" si="4"/>
        <v>0</v>
      </c>
      <c r="IC66" s="312">
        <f t="shared" si="4"/>
        <v>0</v>
      </c>
      <c r="ID66" s="312">
        <f t="shared" si="4"/>
        <v>0</v>
      </c>
      <c r="IE66" s="312">
        <f t="shared" si="4"/>
        <v>0</v>
      </c>
      <c r="IF66" s="312">
        <f t="shared" si="4"/>
        <v>0</v>
      </c>
      <c r="IG66" s="312">
        <f t="shared" si="4"/>
        <v>0</v>
      </c>
      <c r="IH66" s="312">
        <f t="shared" si="4"/>
        <v>0</v>
      </c>
      <c r="II66" s="312">
        <f t="shared" si="4"/>
        <v>0</v>
      </c>
      <c r="IJ66" s="312">
        <f t="shared" si="4"/>
        <v>0</v>
      </c>
      <c r="IK66" s="312">
        <f t="shared" si="4"/>
        <v>0</v>
      </c>
      <c r="IL66" s="312">
        <f t="shared" si="4"/>
        <v>0</v>
      </c>
      <c r="IM66" s="312">
        <f t="shared" si="4"/>
        <v>0</v>
      </c>
      <c r="IN66" s="312">
        <f t="shared" si="4"/>
        <v>0</v>
      </c>
      <c r="IO66" s="312">
        <f t="shared" si="4"/>
        <v>0</v>
      </c>
      <c r="IP66" s="312">
        <f t="shared" si="4"/>
        <v>0</v>
      </c>
      <c r="IQ66" s="312">
        <f t="shared" si="4"/>
        <v>0</v>
      </c>
      <c r="IR66" s="12"/>
      <c r="IS66" s="12"/>
      <c r="IT66" s="12"/>
      <c r="IU66" s="12"/>
      <c r="IV66" s="12"/>
      <c r="IW66" s="12"/>
      <c r="IX66" s="12"/>
      <c r="IY66" s="12"/>
      <c r="IZ66" s="12"/>
      <c r="JA66" s="12"/>
      <c r="JB66" s="12"/>
      <c r="JC66" s="12"/>
      <c r="JD66" s="12"/>
      <c r="JE66" s="12"/>
      <c r="JF66" s="12"/>
      <c r="JG66" s="12"/>
      <c r="JH66" s="12"/>
      <c r="JI66" s="12"/>
      <c r="JJ66" s="12"/>
      <c r="JK66" s="12"/>
      <c r="JL66" s="12"/>
      <c r="JM66" s="12"/>
      <c r="JN66" s="12"/>
      <c r="JO66" s="12"/>
      <c r="JP66" s="12"/>
      <c r="JQ66" s="12"/>
      <c r="JR66" s="12"/>
      <c r="JS66" s="12"/>
      <c r="JT66" s="12"/>
      <c r="JU66" s="12"/>
      <c r="JV66" s="12"/>
      <c r="JW66" s="12"/>
      <c r="JX66" s="12"/>
      <c r="JY66" s="12"/>
      <c r="JZ66" s="12"/>
      <c r="KA66" s="12"/>
      <c r="KB66" s="12"/>
      <c r="KC66" s="12"/>
      <c r="KD66" s="12"/>
      <c r="KE66" s="12"/>
      <c r="KF66" s="12"/>
      <c r="KG66" s="12"/>
      <c r="KH66" s="12"/>
      <c r="KI66" s="12"/>
      <c r="KJ66" s="12"/>
      <c r="KK66" s="12"/>
      <c r="KL66" s="12"/>
      <c r="KM66" s="12"/>
      <c r="KN66" s="12"/>
      <c r="KO66" s="12"/>
      <c r="KP66" s="12"/>
      <c r="KQ66" s="12"/>
      <c r="KR66" s="12"/>
      <c r="KS66" s="12"/>
      <c r="KT66" s="12"/>
      <c r="KU66" s="12"/>
      <c r="KV66" s="12"/>
      <c r="KW66" s="12"/>
      <c r="KX66" s="12"/>
      <c r="KY66" s="12"/>
      <c r="KZ66" s="12"/>
      <c r="LA66" s="12"/>
      <c r="LB66" s="12"/>
      <c r="LC66" s="12"/>
      <c r="LD66" s="12"/>
      <c r="LE66" s="12"/>
      <c r="LF66" s="12"/>
      <c r="LG66" s="12"/>
      <c r="LH66" s="12"/>
      <c r="LI66" s="12"/>
      <c r="LJ66" s="12"/>
      <c r="LK66" s="12"/>
      <c r="LL66" s="12"/>
      <c r="LM66" s="12"/>
      <c r="LN66" s="12"/>
      <c r="LO66" s="12"/>
      <c r="LP66" s="12"/>
      <c r="LQ66" s="12"/>
      <c r="LR66" s="12"/>
      <c r="LS66" s="12"/>
      <c r="LT66" s="12"/>
      <c r="LU66" s="12"/>
      <c r="LV66" s="12"/>
      <c r="LW66" s="12"/>
      <c r="LX66" s="12"/>
      <c r="LY66" s="12"/>
      <c r="LZ66" s="12"/>
      <c r="MA66" s="12"/>
      <c r="MB66" s="12"/>
      <c r="MC66" s="12"/>
      <c r="MD66" s="12"/>
      <c r="ME66" s="12"/>
      <c r="MF66" s="12"/>
      <c r="MG66" s="12"/>
      <c r="MH66" s="12"/>
      <c r="MI66" s="12"/>
      <c r="MJ66" s="12"/>
      <c r="MK66" s="12"/>
      <c r="ML66" s="12"/>
      <c r="MM66" s="12"/>
      <c r="MN66" s="12"/>
      <c r="MO66" s="12"/>
      <c r="MP66" s="12"/>
      <c r="MQ66" s="12"/>
      <c r="MR66" s="12"/>
      <c r="MS66" s="12"/>
      <c r="MT66" s="12"/>
      <c r="MU66" s="12"/>
      <c r="MV66" s="12"/>
      <c r="MW66" s="12"/>
      <c r="MX66" s="12"/>
      <c r="MY66" s="12"/>
      <c r="MZ66" s="12"/>
      <c r="NA66" s="12"/>
      <c r="NB66" s="12"/>
      <c r="NC66" s="12"/>
      <c r="ND66" s="12"/>
      <c r="NE66" s="12"/>
      <c r="NF66" s="12"/>
      <c r="NG66" s="12"/>
      <c r="NH66" s="12"/>
      <c r="NI66" s="12"/>
      <c r="NJ66" s="12"/>
      <c r="NK66" s="12"/>
      <c r="NL66" s="12"/>
      <c r="NM66" s="12"/>
      <c r="NN66" s="12"/>
      <c r="NO66" s="12"/>
      <c r="NP66" s="12"/>
      <c r="NQ66" s="12"/>
      <c r="NR66" s="12"/>
      <c r="NS66" s="12"/>
      <c r="NT66" s="12"/>
      <c r="NU66" s="12"/>
      <c r="NV66" s="12"/>
      <c r="NW66" s="12"/>
      <c r="NX66" s="12"/>
      <c r="NY66" s="12"/>
      <c r="NZ66" s="12"/>
      <c r="OA66" s="12"/>
      <c r="OB66" s="12"/>
      <c r="OC66" s="12"/>
      <c r="OD66" s="12"/>
      <c r="OE66" s="12"/>
      <c r="OF66" s="12"/>
      <c r="OG66" s="12"/>
      <c r="OH66" s="12"/>
      <c r="OI66" s="12"/>
      <c r="OJ66" s="12"/>
      <c r="OK66" s="12"/>
      <c r="OL66" s="12"/>
      <c r="OM66" s="12"/>
      <c r="ON66" s="12"/>
      <c r="OO66" s="12"/>
      <c r="OP66" s="12"/>
      <c r="OQ66" s="12"/>
      <c r="OR66" s="12"/>
      <c r="OS66" s="12"/>
      <c r="OT66" s="12"/>
      <c r="OU66" s="12"/>
      <c r="OV66" s="12"/>
      <c r="OW66" s="12"/>
      <c r="OX66" s="12"/>
      <c r="OY66" s="12"/>
      <c r="OZ66" s="12"/>
      <c r="PA66" s="12"/>
      <c r="PB66" s="12"/>
      <c r="PC66" s="12"/>
      <c r="PD66" s="12"/>
      <c r="PE66" s="12"/>
      <c r="PF66" s="12"/>
      <c r="PG66" s="12"/>
      <c r="PH66" s="12"/>
      <c r="PI66" s="12"/>
      <c r="PJ66" s="12"/>
      <c r="PK66" s="12"/>
      <c r="PL66" s="12"/>
      <c r="PM66" s="12"/>
      <c r="PN66" s="12"/>
      <c r="PO66" s="12"/>
      <c r="PP66" s="12"/>
      <c r="PQ66" s="12"/>
      <c r="PR66" s="12"/>
      <c r="PS66" s="12"/>
      <c r="PT66" s="12"/>
      <c r="PU66" s="12"/>
      <c r="PV66" s="12"/>
      <c r="PW66" s="12"/>
      <c r="PX66" s="12"/>
      <c r="PY66" s="12"/>
      <c r="PZ66" s="12"/>
      <c r="QA66" s="12"/>
      <c r="QB66" s="12"/>
      <c r="QC66" s="12"/>
      <c r="QD66" s="12"/>
      <c r="QE66" s="12"/>
      <c r="QF66" s="12"/>
      <c r="QG66" s="12"/>
      <c r="QH66" s="12"/>
      <c r="QI66" s="12"/>
      <c r="QJ66" s="12"/>
      <c r="QK66" s="12"/>
      <c r="QL66" s="12"/>
      <c r="QM66" s="12"/>
      <c r="QN66" s="12"/>
      <c r="QO66" s="12"/>
      <c r="QP66" s="12"/>
      <c r="QQ66" s="12"/>
      <c r="QR66" s="12"/>
      <c r="QS66" s="12"/>
      <c r="QT66" s="12"/>
      <c r="QU66" s="12"/>
      <c r="QV66" s="12"/>
      <c r="QW66" s="12"/>
      <c r="QX66" s="12"/>
      <c r="QY66" s="12"/>
      <c r="QZ66" s="12"/>
      <c r="RA66" s="12"/>
      <c r="RB66" s="12"/>
      <c r="RC66" s="12"/>
      <c r="RD66" s="12"/>
      <c r="RE66" s="12"/>
      <c r="RF66" s="12"/>
      <c r="RG66" s="12"/>
      <c r="RH66" s="12"/>
      <c r="RI66" s="12"/>
      <c r="RJ66" s="12"/>
      <c r="RK66" s="12"/>
      <c r="RL66" s="12"/>
      <c r="RM66" s="12"/>
      <c r="RN66" s="12"/>
      <c r="RO66" s="12"/>
      <c r="RP66" s="12"/>
      <c r="RQ66" s="12"/>
      <c r="RR66" s="12"/>
      <c r="RS66" s="12"/>
      <c r="RT66" s="12"/>
      <c r="RU66" s="12"/>
      <c r="RV66" s="12"/>
      <c r="RW66" s="12"/>
      <c r="RX66" s="12"/>
      <c r="RY66" s="12"/>
      <c r="RZ66" s="12"/>
      <c r="SA66" s="12"/>
      <c r="SB66" s="12"/>
      <c r="SC66" s="12"/>
      <c r="SD66" s="12"/>
      <c r="SE66" s="12"/>
      <c r="SF66" s="12"/>
      <c r="SG66" s="12"/>
      <c r="SH66" s="12"/>
      <c r="SI66" s="12"/>
      <c r="SJ66" s="12"/>
      <c r="SK66" s="12"/>
      <c r="SL66" s="12"/>
      <c r="SM66" s="12"/>
      <c r="SN66" s="12"/>
      <c r="SO66" s="12"/>
      <c r="SP66" s="12"/>
      <c r="SQ66" s="12"/>
      <c r="SR66" s="12"/>
      <c r="SS66" s="12"/>
      <c r="ST66" s="12"/>
      <c r="SU66" s="12"/>
      <c r="SV66" s="12"/>
      <c r="SW66" s="12"/>
      <c r="SX66" s="12"/>
      <c r="SY66" s="12"/>
      <c r="SZ66" s="12"/>
      <c r="TA66" s="12"/>
      <c r="TB66" s="12"/>
      <c r="TC66" s="12"/>
      <c r="TD66" s="12"/>
      <c r="TE66" s="12"/>
      <c r="TF66" s="12"/>
      <c r="TG66" s="12"/>
      <c r="TH66" s="12"/>
      <c r="TI66" s="12"/>
      <c r="TJ66" s="12"/>
      <c r="TK66" s="12"/>
      <c r="TL66" s="12"/>
      <c r="TM66" s="12"/>
      <c r="TN66" s="12"/>
      <c r="TO66" s="12"/>
      <c r="TP66" s="12"/>
      <c r="TQ66" s="12"/>
      <c r="TR66" s="12"/>
      <c r="TS66" s="12"/>
      <c r="TT66" s="12"/>
      <c r="TU66" s="12"/>
      <c r="TV66" s="12"/>
      <c r="TW66" s="12"/>
      <c r="TX66" s="12"/>
      <c r="TY66" s="12"/>
      <c r="TZ66" s="12"/>
      <c r="UA66" s="12"/>
      <c r="UB66" s="12"/>
      <c r="UC66" s="12"/>
      <c r="UD66" s="12"/>
      <c r="UE66" s="12"/>
      <c r="UF66" s="12"/>
      <c r="UG66" s="12"/>
      <c r="UH66" s="12"/>
      <c r="UI66" s="12"/>
      <c r="UJ66" s="12"/>
      <c r="UK66" s="12"/>
      <c r="UL66" s="12"/>
      <c r="UM66" s="12"/>
      <c r="UN66" s="12"/>
      <c r="UO66" s="12"/>
      <c r="UP66" s="12"/>
      <c r="UQ66" s="12"/>
      <c r="UR66" s="12"/>
      <c r="US66" s="12"/>
      <c r="UT66" s="12"/>
      <c r="UU66" s="12"/>
      <c r="UV66" s="12"/>
      <c r="UW66" s="12"/>
      <c r="UX66" s="12"/>
      <c r="UY66" s="12"/>
      <c r="UZ66" s="12"/>
      <c r="VA66" s="12"/>
      <c r="VB66" s="12"/>
      <c r="VC66" s="12"/>
      <c r="VD66" s="12"/>
      <c r="VE66" s="12"/>
      <c r="VF66" s="12"/>
      <c r="VG66" s="12"/>
      <c r="VH66" s="12"/>
      <c r="VI66" s="12"/>
      <c r="VJ66" s="12"/>
      <c r="VK66" s="12"/>
      <c r="VL66" s="12"/>
      <c r="VM66" s="12"/>
      <c r="VN66" s="12"/>
      <c r="VO66" s="12"/>
      <c r="VP66" s="12"/>
      <c r="VQ66" s="12"/>
      <c r="VR66" s="12"/>
      <c r="VS66" s="12"/>
      <c r="VT66" s="12"/>
      <c r="VU66" s="12"/>
      <c r="VV66" s="12"/>
      <c r="VW66" s="12"/>
      <c r="VX66" s="12"/>
      <c r="VY66" s="12"/>
      <c r="VZ66" s="12"/>
      <c r="WA66" s="12"/>
      <c r="WB66" s="12"/>
      <c r="WC66" s="12"/>
      <c r="WD66" s="12"/>
      <c r="WE66" s="12"/>
      <c r="WF66" s="12"/>
      <c r="WG66" s="12"/>
      <c r="WH66" s="12"/>
      <c r="WI66" s="12"/>
      <c r="WJ66" s="12"/>
      <c r="WK66" s="12"/>
      <c r="WL66" s="12"/>
      <c r="WM66" s="12"/>
      <c r="WN66" s="12"/>
      <c r="WO66" s="12"/>
      <c r="WP66" s="12"/>
      <c r="WQ66" s="12"/>
      <c r="WR66" s="12"/>
      <c r="WS66" s="12"/>
      <c r="WT66" s="12"/>
      <c r="WU66" s="12"/>
      <c r="WV66" s="12"/>
      <c r="WW66" s="12"/>
      <c r="WX66" s="12"/>
      <c r="WY66" s="12"/>
      <c r="WZ66" s="12"/>
      <c r="XA66" s="12"/>
      <c r="XB66" s="12"/>
      <c r="XC66" s="12"/>
      <c r="XD66" s="12"/>
      <c r="XE66" s="12"/>
      <c r="XF66" s="12"/>
      <c r="XG66" s="12"/>
      <c r="XH66" s="12"/>
      <c r="XI66" s="12"/>
      <c r="XJ66" s="12"/>
      <c r="XK66" s="12"/>
      <c r="XL66" s="12"/>
      <c r="XM66" s="12"/>
      <c r="XN66" s="12"/>
      <c r="XO66" s="12"/>
      <c r="XP66" s="12"/>
      <c r="XQ66" s="12"/>
      <c r="XR66" s="12"/>
      <c r="XS66" s="12"/>
      <c r="XT66" s="12"/>
      <c r="XU66" s="12"/>
      <c r="XV66" s="12"/>
      <c r="XW66" s="12"/>
      <c r="XX66" s="12"/>
      <c r="XY66" s="12"/>
      <c r="XZ66" s="12"/>
      <c r="YA66" s="12"/>
      <c r="YB66" s="12"/>
      <c r="YC66" s="12"/>
      <c r="YD66" s="12"/>
      <c r="YE66" s="12"/>
      <c r="YF66" s="12"/>
      <c r="YG66" s="12"/>
      <c r="YH66" s="12"/>
      <c r="YI66" s="12"/>
      <c r="YJ66" s="12"/>
      <c r="YK66" s="12"/>
      <c r="YL66" s="12"/>
      <c r="YM66" s="12"/>
      <c r="YN66" s="12"/>
      <c r="YO66" s="12"/>
      <c r="YP66" s="12"/>
      <c r="YQ66" s="12"/>
      <c r="YR66" s="12"/>
      <c r="YS66" s="12"/>
      <c r="YT66" s="12"/>
      <c r="YU66" s="12"/>
      <c r="YV66" s="12"/>
      <c r="YW66" s="12"/>
      <c r="YX66" s="12"/>
      <c r="YY66" s="12"/>
      <c r="YZ66" s="12"/>
      <c r="ZA66" s="12"/>
      <c r="ZB66" s="12"/>
      <c r="ZC66" s="12"/>
      <c r="ZD66" s="12"/>
      <c r="ZE66" s="12"/>
      <c r="ZF66" s="12"/>
      <c r="ZG66" s="12"/>
      <c r="ZH66" s="12"/>
      <c r="ZI66" s="12"/>
      <c r="ZJ66" s="12"/>
      <c r="ZK66" s="12"/>
      <c r="ZL66" s="12"/>
      <c r="ZM66" s="12"/>
      <c r="ZN66" s="12"/>
      <c r="ZO66" s="12"/>
      <c r="ZP66" s="12"/>
      <c r="ZQ66" s="12"/>
      <c r="ZR66" s="12"/>
      <c r="ZS66" s="12"/>
      <c r="ZT66" s="12"/>
      <c r="ZU66" s="12"/>
      <c r="ZV66" s="12"/>
      <c r="ZW66" s="12"/>
      <c r="ZX66" s="12"/>
      <c r="ZY66" s="12"/>
      <c r="ZZ66" s="12"/>
      <c r="AAA66" s="12"/>
      <c r="AAB66" s="12"/>
      <c r="AAC66" s="12"/>
      <c r="AAD66" s="12"/>
      <c r="AAE66" s="12"/>
      <c r="AAF66" s="12"/>
      <c r="AAG66" s="12"/>
      <c r="AAH66" s="12"/>
      <c r="AAI66" s="12"/>
      <c r="AAJ66" s="12"/>
      <c r="AAK66" s="12"/>
      <c r="AAL66" s="12"/>
      <c r="AAM66" s="12"/>
      <c r="AAN66" s="12"/>
      <c r="AAO66" s="12"/>
      <c r="AAP66" s="12"/>
      <c r="AAQ66" s="12"/>
      <c r="AAR66" s="12"/>
      <c r="AAS66" s="12"/>
      <c r="AAT66" s="12"/>
      <c r="AAU66" s="12"/>
      <c r="AAV66" s="12"/>
      <c r="AAW66" s="12"/>
      <c r="AAX66" s="12"/>
      <c r="AAY66" s="12"/>
      <c r="AAZ66" s="12"/>
      <c r="ABA66" s="12"/>
      <c r="ABB66" s="12"/>
      <c r="ABC66" s="12"/>
      <c r="ABD66" s="12"/>
      <c r="ABE66" s="12"/>
      <c r="ABF66" s="12"/>
      <c r="ABG66" s="12"/>
      <c r="ABH66" s="12"/>
      <c r="ABI66" s="12"/>
      <c r="ABJ66" s="12"/>
      <c r="ABK66" s="12"/>
      <c r="ABL66" s="12"/>
      <c r="ABM66" s="12"/>
      <c r="ABN66" s="12"/>
      <c r="ABO66" s="12"/>
      <c r="ABP66" s="12"/>
      <c r="ABQ66" s="12"/>
      <c r="ABR66" s="12"/>
      <c r="ABS66" s="12"/>
      <c r="ABT66" s="12"/>
      <c r="ABU66" s="12"/>
      <c r="ABV66" s="12"/>
      <c r="ABW66" s="12"/>
      <c r="ABX66" s="12"/>
      <c r="ABY66" s="12"/>
      <c r="ABZ66" s="12"/>
      <c r="ACA66" s="12"/>
      <c r="ACB66" s="12"/>
      <c r="ACC66" s="12"/>
      <c r="ACD66" s="12"/>
      <c r="ACE66" s="12"/>
      <c r="ACF66" s="12"/>
      <c r="ACG66" s="12"/>
      <c r="ACH66" s="12"/>
      <c r="ACI66" s="12"/>
      <c r="ACJ66" s="12"/>
      <c r="ACK66" s="12"/>
      <c r="ACL66" s="12"/>
      <c r="ACM66" s="12"/>
      <c r="ACN66" s="12"/>
      <c r="ACO66" s="12"/>
      <c r="ACP66" s="12"/>
      <c r="ACQ66" s="12"/>
      <c r="ACR66" s="12"/>
      <c r="ACS66" s="12"/>
      <c r="ACT66" s="12"/>
      <c r="ACU66" s="12"/>
      <c r="ACV66" s="12"/>
      <c r="ACW66" s="12"/>
      <c r="ACX66" s="12"/>
      <c r="ACY66" s="12"/>
      <c r="ACZ66" s="12"/>
      <c r="ADA66" s="12"/>
      <c r="ADB66" s="12"/>
      <c r="ADC66" s="12"/>
      <c r="ADD66" s="12"/>
      <c r="ADE66" s="12"/>
      <c r="ADF66" s="12"/>
      <c r="ADG66" s="12"/>
      <c r="ADH66" s="12"/>
      <c r="ADI66" s="12"/>
      <c r="ADJ66" s="12"/>
      <c r="ADK66" s="12"/>
      <c r="ADL66" s="12"/>
      <c r="ADM66" s="12"/>
      <c r="ADN66" s="12"/>
      <c r="ADO66" s="12"/>
      <c r="ADP66" s="12"/>
      <c r="ADQ66" s="12"/>
      <c r="ADR66" s="12"/>
      <c r="ADS66" s="12"/>
      <c r="ADT66" s="12"/>
      <c r="ADU66" s="12"/>
      <c r="ADV66" s="12"/>
      <c r="ADW66" s="12"/>
      <c r="ADX66" s="12"/>
      <c r="ADY66" s="12"/>
      <c r="ADZ66" s="12"/>
      <c r="AEA66" s="12"/>
      <c r="AEB66" s="12"/>
      <c r="AEC66" s="12"/>
      <c r="AED66" s="12"/>
      <c r="AEE66" s="12"/>
      <c r="AEF66" s="12"/>
      <c r="AEG66" s="12"/>
      <c r="AEH66" s="12"/>
      <c r="AEI66" s="12"/>
      <c r="AEJ66" s="12"/>
      <c r="AEK66" s="12"/>
      <c r="AEL66" s="12"/>
      <c r="AEM66" s="12"/>
      <c r="AEN66" s="12"/>
      <c r="AEO66" s="12"/>
      <c r="AEP66" s="12"/>
      <c r="AEQ66" s="12"/>
      <c r="AER66" s="12"/>
      <c r="AES66" s="12"/>
      <c r="AET66" s="12"/>
      <c r="AEU66" s="12"/>
      <c r="AEV66" s="12"/>
      <c r="AEW66" s="12"/>
      <c r="AEX66" s="12"/>
      <c r="AEY66" s="12"/>
      <c r="AEZ66" s="12"/>
      <c r="AFA66" s="12"/>
      <c r="AFB66" s="12"/>
      <c r="AFC66" s="12"/>
      <c r="AFD66" s="12"/>
      <c r="AFE66" s="12"/>
      <c r="AFF66" s="12"/>
      <c r="AFG66" s="12"/>
      <c r="AFH66" s="12"/>
      <c r="AFI66" s="12"/>
      <c r="AFJ66" s="12"/>
      <c r="AFK66" s="12"/>
      <c r="AFL66" s="12"/>
      <c r="AFM66" s="12"/>
      <c r="AFN66" s="12"/>
      <c r="AFO66" s="12"/>
      <c r="AFP66" s="12"/>
      <c r="AFQ66" s="12"/>
      <c r="AFR66" s="12"/>
      <c r="AFS66" s="12"/>
      <c r="AFT66" s="12"/>
      <c r="AFU66" s="12"/>
      <c r="AFV66" s="12"/>
      <c r="AFW66" s="12"/>
      <c r="AFX66" s="12"/>
      <c r="AFY66" s="12"/>
      <c r="AFZ66" s="12"/>
      <c r="AGA66" s="12"/>
      <c r="AGB66" s="12"/>
      <c r="AGC66" s="12"/>
      <c r="AGD66" s="12"/>
      <c r="AGE66" s="12"/>
      <c r="AGF66" s="12"/>
      <c r="AGG66" s="12"/>
      <c r="AGH66" s="12"/>
      <c r="AGI66" s="12"/>
      <c r="AGJ66" s="12"/>
      <c r="AGK66" s="12"/>
      <c r="AGL66" s="12"/>
      <c r="AGM66" s="12"/>
      <c r="AGN66" s="12"/>
      <c r="AGO66" s="12"/>
      <c r="AGP66" s="12"/>
      <c r="AGQ66" s="12"/>
      <c r="AGR66" s="12"/>
      <c r="AGS66" s="12"/>
      <c r="AGT66" s="12"/>
      <c r="AGU66" s="12"/>
      <c r="AGV66" s="12"/>
      <c r="AGW66" s="12"/>
      <c r="AGX66" s="12"/>
      <c r="AGY66" s="12"/>
      <c r="AGZ66" s="12"/>
      <c r="AHA66" s="12"/>
      <c r="AHB66" s="12"/>
      <c r="AHC66" s="12"/>
      <c r="AHD66" s="12"/>
      <c r="AHE66" s="12"/>
      <c r="AHF66" s="12"/>
      <c r="AHG66" s="12"/>
      <c r="AHH66" s="12"/>
      <c r="AHI66" s="12"/>
      <c r="AHJ66" s="12"/>
      <c r="AHK66" s="12"/>
      <c r="AHL66" s="12"/>
      <c r="AHM66" s="12"/>
      <c r="AHN66" s="12"/>
      <c r="AHO66" s="12"/>
      <c r="AHP66" s="12"/>
      <c r="AHQ66" s="12"/>
      <c r="AHR66" s="12"/>
      <c r="AHS66" s="12"/>
      <c r="AHT66" s="12"/>
      <c r="AHU66" s="12"/>
      <c r="AHV66" s="12"/>
      <c r="AHW66" s="12"/>
      <c r="AHX66" s="12"/>
      <c r="AHY66" s="12"/>
      <c r="AHZ66" s="12"/>
      <c r="AIA66" s="12"/>
      <c r="AIB66" s="12"/>
      <c r="AIC66" s="12"/>
      <c r="AID66" s="12"/>
      <c r="AIE66" s="12"/>
      <c r="AIF66" s="12"/>
      <c r="AIG66" s="12"/>
      <c r="AIH66" s="12"/>
      <c r="AII66" s="12"/>
      <c r="AIJ66" s="12"/>
      <c r="AIK66" s="12"/>
      <c r="AIL66" s="12"/>
      <c r="AIM66" s="12"/>
      <c r="AIN66" s="12"/>
      <c r="AIO66" s="12"/>
      <c r="AIP66" s="12"/>
      <c r="AIQ66" s="12"/>
      <c r="AIR66" s="12"/>
      <c r="AIS66" s="12"/>
      <c r="AIT66" s="12"/>
      <c r="AIU66" s="12"/>
      <c r="AIV66" s="12"/>
      <c r="AIW66" s="12"/>
      <c r="AIX66" s="12"/>
      <c r="AIY66" s="12"/>
      <c r="AIZ66" s="12"/>
      <c r="AJA66" s="12"/>
      <c r="AJB66" s="12"/>
      <c r="AJC66" s="12"/>
      <c r="AJD66" s="12"/>
      <c r="AJE66" s="12"/>
      <c r="AJF66" s="12"/>
      <c r="AJG66" s="12"/>
      <c r="AJH66" s="12"/>
      <c r="AJI66" s="12"/>
      <c r="AJJ66" s="12"/>
      <c r="AJK66" s="12"/>
      <c r="AJL66" s="12"/>
      <c r="AJM66" s="12"/>
      <c r="AJN66" s="12"/>
      <c r="AJO66" s="12"/>
      <c r="AJP66" s="12"/>
      <c r="AJQ66" s="12"/>
      <c r="AJR66" s="12"/>
      <c r="AJS66" s="12"/>
      <c r="AJT66" s="12"/>
      <c r="AJU66" s="12"/>
      <c r="AJV66" s="12"/>
      <c r="AJW66" s="12"/>
      <c r="AJX66" s="12"/>
      <c r="AJY66" s="12"/>
      <c r="AJZ66" s="12"/>
      <c r="AKA66" s="12"/>
      <c r="AKB66" s="12"/>
      <c r="AKC66" s="12"/>
    </row>
    <row r="67" spans="1:965" s="47" customFormat="1" ht="29" customHeight="1" x14ac:dyDescent="0.35">
      <c r="A67" s="683">
        <v>12</v>
      </c>
      <c r="B67" s="1061" t="s">
        <v>2211</v>
      </c>
      <c r="C67" s="942"/>
      <c r="D67" s="684" t="s">
        <v>1011</v>
      </c>
      <c r="E67" s="685" t="str">
        <f>E57</f>
        <v>Baseline Year(s)</v>
      </c>
      <c r="F67" s="686" t="str">
        <f>F57</f>
        <v xml:space="preserve">Current/Assessment /Target Year   </v>
      </c>
      <c r="IR67" s="12"/>
      <c r="IS67" s="12"/>
      <c r="IT67" s="12"/>
      <c r="IU67" s="12"/>
      <c r="IV67" s="12"/>
      <c r="IW67" s="12"/>
      <c r="IX67" s="12"/>
      <c r="IY67" s="12"/>
      <c r="IZ67" s="12"/>
      <c r="JA67" s="12"/>
      <c r="JB67" s="12"/>
      <c r="JC67" s="12"/>
      <c r="JD67" s="12"/>
      <c r="JE67" s="12"/>
      <c r="JF67" s="12"/>
      <c r="JG67" s="12"/>
      <c r="JH67" s="12"/>
      <c r="JI67" s="12"/>
      <c r="JJ67" s="12"/>
      <c r="JK67" s="12"/>
      <c r="JL67" s="12"/>
      <c r="JM67" s="12"/>
      <c r="JN67" s="12"/>
      <c r="JO67" s="12"/>
      <c r="JP67" s="12"/>
      <c r="JQ67" s="12"/>
      <c r="JR67" s="12"/>
      <c r="JS67" s="12"/>
      <c r="JT67" s="12"/>
      <c r="JU67" s="12"/>
      <c r="JV67" s="12"/>
      <c r="JW67" s="12"/>
      <c r="JX67" s="12"/>
      <c r="JY67" s="12"/>
      <c r="JZ67" s="12"/>
      <c r="KA67" s="12"/>
      <c r="KB67" s="12"/>
      <c r="KC67" s="12"/>
      <c r="KD67" s="12"/>
      <c r="KE67" s="12"/>
      <c r="KF67" s="12"/>
      <c r="KG67" s="12"/>
      <c r="KH67" s="12"/>
      <c r="KI67" s="12"/>
      <c r="KJ67" s="12"/>
      <c r="KK67" s="12"/>
      <c r="KL67" s="12"/>
      <c r="KM67" s="12"/>
      <c r="KN67" s="12"/>
      <c r="KO67" s="12"/>
      <c r="KP67" s="12"/>
      <c r="KQ67" s="12"/>
      <c r="KR67" s="12"/>
      <c r="KS67" s="12"/>
      <c r="KT67" s="12"/>
      <c r="KU67" s="12"/>
      <c r="KV67" s="12"/>
      <c r="KW67" s="12"/>
      <c r="KX67" s="12"/>
      <c r="KY67" s="12"/>
      <c r="KZ67" s="12"/>
      <c r="LA67" s="12"/>
      <c r="LB67" s="12"/>
      <c r="LC67" s="12"/>
      <c r="LD67" s="12"/>
      <c r="LE67" s="12"/>
      <c r="LF67" s="12"/>
      <c r="LG67" s="12"/>
      <c r="LH67" s="12"/>
      <c r="LI67" s="12"/>
      <c r="LJ67" s="12"/>
      <c r="LK67" s="12"/>
      <c r="LL67" s="12"/>
      <c r="LM67" s="12"/>
      <c r="LN67" s="12"/>
      <c r="LO67" s="12"/>
      <c r="LP67" s="12"/>
      <c r="LQ67" s="12"/>
      <c r="LR67" s="12"/>
      <c r="LS67" s="12"/>
      <c r="LT67" s="12"/>
      <c r="LU67" s="12"/>
      <c r="LV67" s="12"/>
      <c r="LW67" s="12"/>
      <c r="LX67" s="12"/>
      <c r="LY67" s="12"/>
      <c r="LZ67" s="12"/>
      <c r="MA67" s="12"/>
      <c r="MB67" s="12"/>
      <c r="MC67" s="12"/>
      <c r="MD67" s="12"/>
      <c r="ME67" s="12"/>
      <c r="MF67" s="12"/>
      <c r="MG67" s="12"/>
      <c r="MH67" s="12"/>
      <c r="MI67" s="12"/>
      <c r="MJ67" s="12"/>
      <c r="MK67" s="12"/>
      <c r="ML67" s="12"/>
      <c r="MM67" s="12"/>
      <c r="MN67" s="12"/>
      <c r="MO67" s="12"/>
      <c r="MP67" s="12"/>
      <c r="MQ67" s="12"/>
      <c r="MR67" s="12"/>
      <c r="MS67" s="12"/>
      <c r="MT67" s="12"/>
      <c r="MU67" s="12"/>
      <c r="MV67" s="12"/>
      <c r="MW67" s="12"/>
      <c r="MX67" s="12"/>
      <c r="MY67" s="12"/>
      <c r="MZ67" s="12"/>
      <c r="NA67" s="12"/>
      <c r="NB67" s="12"/>
      <c r="NC67" s="12"/>
      <c r="ND67" s="12"/>
      <c r="NE67" s="12"/>
      <c r="NF67" s="12"/>
      <c r="NG67" s="12"/>
      <c r="NH67" s="12"/>
      <c r="NI67" s="12"/>
      <c r="NJ67" s="12"/>
      <c r="NK67" s="12"/>
      <c r="NL67" s="12"/>
      <c r="NM67" s="12"/>
      <c r="NN67" s="12"/>
      <c r="NO67" s="12"/>
      <c r="NP67" s="12"/>
      <c r="NQ67" s="12"/>
      <c r="NR67" s="12"/>
      <c r="NS67" s="12"/>
      <c r="NT67" s="12"/>
      <c r="NU67" s="12"/>
      <c r="NV67" s="12"/>
      <c r="NW67" s="12"/>
      <c r="NX67" s="12"/>
      <c r="NY67" s="12"/>
      <c r="NZ67" s="12"/>
      <c r="OA67" s="12"/>
      <c r="OB67" s="12"/>
      <c r="OC67" s="12"/>
      <c r="OD67" s="12"/>
      <c r="OE67" s="12"/>
      <c r="OF67" s="12"/>
      <c r="OG67" s="12"/>
      <c r="OH67" s="12"/>
      <c r="OI67" s="12"/>
      <c r="OJ67" s="12"/>
      <c r="OK67" s="12"/>
      <c r="OL67" s="12"/>
      <c r="OM67" s="12"/>
      <c r="ON67" s="12"/>
      <c r="OO67" s="12"/>
      <c r="OP67" s="12"/>
      <c r="OQ67" s="12"/>
      <c r="OR67" s="12"/>
      <c r="OS67" s="12"/>
      <c r="OT67" s="12"/>
      <c r="OU67" s="12"/>
      <c r="OV67" s="12"/>
      <c r="OW67" s="12"/>
      <c r="OX67" s="12"/>
      <c r="OY67" s="12"/>
      <c r="OZ67" s="12"/>
      <c r="PA67" s="12"/>
      <c r="PB67" s="12"/>
      <c r="PC67" s="12"/>
      <c r="PD67" s="12"/>
      <c r="PE67" s="12"/>
      <c r="PF67" s="12"/>
      <c r="PG67" s="12"/>
      <c r="PH67" s="12"/>
      <c r="PI67" s="12"/>
      <c r="PJ67" s="12"/>
      <c r="PK67" s="12"/>
      <c r="PL67" s="12"/>
      <c r="PM67" s="12"/>
      <c r="PN67" s="12"/>
      <c r="PO67" s="12"/>
      <c r="PP67" s="12"/>
      <c r="PQ67" s="12"/>
      <c r="PR67" s="12"/>
      <c r="PS67" s="12"/>
      <c r="PT67" s="12"/>
      <c r="PU67" s="12"/>
      <c r="PV67" s="12"/>
      <c r="PW67" s="12"/>
      <c r="PX67" s="12"/>
      <c r="PY67" s="12"/>
      <c r="PZ67" s="12"/>
      <c r="QA67" s="12"/>
      <c r="QB67" s="12"/>
      <c r="QC67" s="12"/>
      <c r="QD67" s="12"/>
      <c r="QE67" s="12"/>
      <c r="QF67" s="12"/>
      <c r="QG67" s="12"/>
      <c r="QH67" s="12"/>
      <c r="QI67" s="12"/>
      <c r="QJ67" s="12"/>
      <c r="QK67" s="12"/>
      <c r="QL67" s="12"/>
      <c r="QM67" s="12"/>
      <c r="QN67" s="12"/>
      <c r="QO67" s="12"/>
      <c r="QP67" s="12"/>
      <c r="QQ67" s="12"/>
      <c r="QR67" s="12"/>
      <c r="QS67" s="12"/>
      <c r="QT67" s="12"/>
      <c r="QU67" s="12"/>
      <c r="QV67" s="12"/>
      <c r="QW67" s="12"/>
      <c r="QX67" s="12"/>
      <c r="QY67" s="12"/>
      <c r="QZ67" s="12"/>
      <c r="RA67" s="12"/>
      <c r="RB67" s="12"/>
      <c r="RC67" s="12"/>
      <c r="RD67" s="12"/>
      <c r="RE67" s="12"/>
      <c r="RF67" s="12"/>
      <c r="RG67" s="12"/>
      <c r="RH67" s="12"/>
      <c r="RI67" s="12"/>
      <c r="RJ67" s="12"/>
      <c r="RK67" s="12"/>
      <c r="RL67" s="12"/>
      <c r="RM67" s="12"/>
      <c r="RN67" s="12"/>
      <c r="RO67" s="12"/>
      <c r="RP67" s="12"/>
      <c r="RQ67" s="12"/>
      <c r="RR67" s="12"/>
      <c r="RS67" s="12"/>
      <c r="RT67" s="12"/>
      <c r="RU67" s="12"/>
      <c r="RV67" s="12"/>
      <c r="RW67" s="12"/>
      <c r="RX67" s="12"/>
      <c r="RY67" s="12"/>
      <c r="RZ67" s="12"/>
      <c r="SA67" s="12"/>
      <c r="SB67" s="12"/>
      <c r="SC67" s="12"/>
      <c r="SD67" s="12"/>
      <c r="SE67" s="12"/>
      <c r="SF67" s="12"/>
      <c r="SG67" s="12"/>
      <c r="SH67" s="12"/>
      <c r="SI67" s="12"/>
      <c r="SJ67" s="12"/>
      <c r="SK67" s="12"/>
      <c r="SL67" s="12"/>
      <c r="SM67" s="12"/>
      <c r="SN67" s="12"/>
      <c r="SO67" s="12"/>
      <c r="SP67" s="12"/>
      <c r="SQ67" s="12"/>
      <c r="SR67" s="12"/>
      <c r="SS67" s="12"/>
      <c r="ST67" s="12"/>
      <c r="SU67" s="12"/>
      <c r="SV67" s="12"/>
      <c r="SW67" s="12"/>
      <c r="SX67" s="12"/>
      <c r="SY67" s="12"/>
      <c r="SZ67" s="12"/>
      <c r="TA67" s="12"/>
      <c r="TB67" s="12"/>
      <c r="TC67" s="12"/>
      <c r="TD67" s="12"/>
      <c r="TE67" s="12"/>
      <c r="TF67" s="12"/>
      <c r="TG67" s="12"/>
      <c r="TH67" s="12"/>
      <c r="TI67" s="12"/>
      <c r="TJ67" s="12"/>
      <c r="TK67" s="12"/>
      <c r="TL67" s="12"/>
      <c r="TM67" s="12"/>
      <c r="TN67" s="12"/>
      <c r="TO67" s="12"/>
      <c r="TP67" s="12"/>
      <c r="TQ67" s="12"/>
      <c r="TR67" s="12"/>
      <c r="TS67" s="12"/>
      <c r="TT67" s="12"/>
      <c r="TU67" s="12"/>
      <c r="TV67" s="12"/>
      <c r="TW67" s="12"/>
      <c r="TX67" s="12"/>
      <c r="TY67" s="12"/>
      <c r="TZ67" s="12"/>
      <c r="UA67" s="12"/>
      <c r="UB67" s="12"/>
      <c r="UC67" s="12"/>
      <c r="UD67" s="12"/>
      <c r="UE67" s="12"/>
      <c r="UF67" s="12"/>
      <c r="UG67" s="12"/>
      <c r="UH67" s="12"/>
      <c r="UI67" s="12"/>
      <c r="UJ67" s="12"/>
      <c r="UK67" s="12"/>
      <c r="UL67" s="12"/>
      <c r="UM67" s="12"/>
      <c r="UN67" s="12"/>
      <c r="UO67" s="12"/>
      <c r="UP67" s="12"/>
      <c r="UQ67" s="12"/>
      <c r="UR67" s="12"/>
      <c r="US67" s="12"/>
      <c r="UT67" s="12"/>
      <c r="UU67" s="12"/>
      <c r="UV67" s="12"/>
      <c r="UW67" s="12"/>
      <c r="UX67" s="12"/>
      <c r="UY67" s="12"/>
      <c r="UZ67" s="12"/>
      <c r="VA67" s="12"/>
      <c r="VB67" s="12"/>
      <c r="VC67" s="12"/>
      <c r="VD67" s="12"/>
      <c r="VE67" s="12"/>
      <c r="VF67" s="12"/>
      <c r="VG67" s="12"/>
      <c r="VH67" s="12"/>
      <c r="VI67" s="12"/>
      <c r="VJ67" s="12"/>
      <c r="VK67" s="12"/>
      <c r="VL67" s="12"/>
      <c r="VM67" s="12"/>
      <c r="VN67" s="12"/>
      <c r="VO67" s="12"/>
      <c r="VP67" s="12"/>
      <c r="VQ67" s="12"/>
      <c r="VR67" s="12"/>
      <c r="VS67" s="12"/>
      <c r="VT67" s="12"/>
      <c r="VU67" s="12"/>
      <c r="VV67" s="12"/>
      <c r="VW67" s="12"/>
      <c r="VX67" s="12"/>
      <c r="VY67" s="12"/>
      <c r="VZ67" s="12"/>
      <c r="WA67" s="12"/>
      <c r="WB67" s="12"/>
      <c r="WC67" s="12"/>
      <c r="WD67" s="12"/>
      <c r="WE67" s="12"/>
      <c r="WF67" s="12"/>
      <c r="WG67" s="12"/>
      <c r="WH67" s="12"/>
      <c r="WI67" s="12"/>
      <c r="WJ67" s="12"/>
      <c r="WK67" s="12"/>
      <c r="WL67" s="12"/>
      <c r="WM67" s="12"/>
      <c r="WN67" s="12"/>
      <c r="WO67" s="12"/>
      <c r="WP67" s="12"/>
      <c r="WQ67" s="12"/>
      <c r="WR67" s="12"/>
      <c r="WS67" s="12"/>
      <c r="WT67" s="12"/>
      <c r="WU67" s="12"/>
      <c r="WV67" s="12"/>
      <c r="WW67" s="12"/>
      <c r="WX67" s="12"/>
      <c r="WY67" s="12"/>
      <c r="WZ67" s="12"/>
      <c r="XA67" s="12"/>
      <c r="XB67" s="12"/>
      <c r="XC67" s="12"/>
      <c r="XD67" s="12"/>
      <c r="XE67" s="12"/>
      <c r="XF67" s="12"/>
      <c r="XG67" s="12"/>
      <c r="XH67" s="12"/>
      <c r="XI67" s="12"/>
      <c r="XJ67" s="12"/>
      <c r="XK67" s="12"/>
      <c r="XL67" s="12"/>
      <c r="XM67" s="12"/>
      <c r="XN67" s="12"/>
      <c r="XO67" s="12"/>
      <c r="XP67" s="12"/>
      <c r="XQ67" s="12"/>
      <c r="XR67" s="12"/>
      <c r="XS67" s="12"/>
      <c r="XT67" s="12"/>
      <c r="XU67" s="12"/>
      <c r="XV67" s="12"/>
      <c r="XW67" s="12"/>
      <c r="XX67" s="12"/>
      <c r="XY67" s="12"/>
      <c r="XZ67" s="12"/>
      <c r="YA67" s="12"/>
      <c r="YB67" s="12"/>
      <c r="YC67" s="12"/>
      <c r="YD67" s="12"/>
      <c r="YE67" s="12"/>
      <c r="YF67" s="12"/>
      <c r="YG67" s="12"/>
      <c r="YH67" s="12"/>
      <c r="YI67" s="12"/>
      <c r="YJ67" s="12"/>
      <c r="YK67" s="12"/>
      <c r="YL67" s="12"/>
      <c r="YM67" s="12"/>
      <c r="YN67" s="12"/>
      <c r="YO67" s="12"/>
      <c r="YP67" s="12"/>
      <c r="YQ67" s="12"/>
      <c r="YR67" s="12"/>
      <c r="YS67" s="12"/>
      <c r="YT67" s="12"/>
      <c r="YU67" s="12"/>
      <c r="YV67" s="12"/>
      <c r="YW67" s="12"/>
      <c r="YX67" s="12"/>
      <c r="YY67" s="12"/>
      <c r="YZ67" s="12"/>
      <c r="ZA67" s="12"/>
      <c r="ZB67" s="12"/>
      <c r="ZC67" s="12"/>
      <c r="ZD67" s="12"/>
      <c r="ZE67" s="12"/>
      <c r="ZF67" s="12"/>
      <c r="ZG67" s="12"/>
      <c r="ZH67" s="12"/>
      <c r="ZI67" s="12"/>
      <c r="ZJ67" s="12"/>
      <c r="ZK67" s="12"/>
      <c r="ZL67" s="12"/>
      <c r="ZM67" s="12"/>
      <c r="ZN67" s="12"/>
      <c r="ZO67" s="12"/>
      <c r="ZP67" s="12"/>
      <c r="ZQ67" s="12"/>
      <c r="ZR67" s="12"/>
      <c r="ZS67" s="12"/>
      <c r="ZT67" s="12"/>
      <c r="ZU67" s="12"/>
      <c r="ZV67" s="12"/>
      <c r="ZW67" s="12"/>
      <c r="ZX67" s="12"/>
      <c r="ZY67" s="12"/>
      <c r="ZZ67" s="12"/>
      <c r="AAA67" s="12"/>
      <c r="AAB67" s="12"/>
      <c r="AAC67" s="12"/>
      <c r="AAD67" s="12"/>
      <c r="AAE67" s="12"/>
      <c r="AAF67" s="12"/>
      <c r="AAG67" s="12"/>
      <c r="AAH67" s="12"/>
      <c r="AAI67" s="12"/>
      <c r="AAJ67" s="12"/>
      <c r="AAK67" s="12"/>
      <c r="AAL67" s="12"/>
      <c r="AAM67" s="12"/>
      <c r="AAN67" s="12"/>
      <c r="AAO67" s="12"/>
      <c r="AAP67" s="12"/>
      <c r="AAQ67" s="12"/>
      <c r="AAR67" s="12"/>
      <c r="AAS67" s="12"/>
      <c r="AAT67" s="12"/>
      <c r="AAU67" s="12"/>
      <c r="AAV67" s="12"/>
      <c r="AAW67" s="12"/>
      <c r="AAX67" s="12"/>
      <c r="AAY67" s="12"/>
      <c r="AAZ67" s="12"/>
      <c r="ABA67" s="12"/>
      <c r="ABB67" s="12"/>
      <c r="ABC67" s="12"/>
      <c r="ABD67" s="12"/>
      <c r="ABE67" s="12"/>
      <c r="ABF67" s="12"/>
      <c r="ABG67" s="12"/>
      <c r="ABH67" s="12"/>
      <c r="ABI67" s="12"/>
      <c r="ABJ67" s="12"/>
      <c r="ABK67" s="12"/>
      <c r="ABL67" s="12"/>
      <c r="ABM67" s="12"/>
      <c r="ABN67" s="12"/>
      <c r="ABO67" s="12"/>
      <c r="ABP67" s="12"/>
      <c r="ABQ67" s="12"/>
      <c r="ABR67" s="12"/>
      <c r="ABS67" s="12"/>
      <c r="ABT67" s="12"/>
      <c r="ABU67" s="12"/>
      <c r="ABV67" s="12"/>
      <c r="ABW67" s="12"/>
      <c r="ABX67" s="12"/>
      <c r="ABY67" s="12"/>
      <c r="ABZ67" s="12"/>
      <c r="ACA67" s="12"/>
      <c r="ACB67" s="12"/>
      <c r="ACC67" s="12"/>
      <c r="ACD67" s="12"/>
      <c r="ACE67" s="12"/>
      <c r="ACF67" s="12"/>
      <c r="ACG67" s="12"/>
      <c r="ACH67" s="12"/>
      <c r="ACI67" s="12"/>
      <c r="ACJ67" s="12"/>
      <c r="ACK67" s="12"/>
      <c r="ACL67" s="12"/>
      <c r="ACM67" s="12"/>
      <c r="ACN67" s="12"/>
      <c r="ACO67" s="12"/>
      <c r="ACP67" s="12"/>
      <c r="ACQ67" s="12"/>
      <c r="ACR67" s="12"/>
      <c r="ACS67" s="12"/>
      <c r="ACT67" s="12"/>
      <c r="ACU67" s="12"/>
      <c r="ACV67" s="12"/>
      <c r="ACW67" s="12"/>
      <c r="ACX67" s="12"/>
      <c r="ACY67" s="12"/>
      <c r="ACZ67" s="12"/>
      <c r="ADA67" s="12"/>
      <c r="ADB67" s="12"/>
      <c r="ADC67" s="12"/>
      <c r="ADD67" s="12"/>
      <c r="ADE67" s="12"/>
      <c r="ADF67" s="12"/>
      <c r="ADG67" s="12"/>
      <c r="ADH67" s="12"/>
      <c r="ADI67" s="12"/>
      <c r="ADJ67" s="12"/>
      <c r="ADK67" s="12"/>
      <c r="ADL67" s="12"/>
      <c r="ADM67" s="12"/>
      <c r="ADN67" s="12"/>
      <c r="ADO67" s="12"/>
      <c r="ADP67" s="12"/>
      <c r="ADQ67" s="12"/>
      <c r="ADR67" s="12"/>
      <c r="ADS67" s="12"/>
      <c r="ADT67" s="12"/>
      <c r="ADU67" s="12"/>
      <c r="ADV67" s="12"/>
      <c r="ADW67" s="12"/>
      <c r="ADX67" s="12"/>
      <c r="ADY67" s="12"/>
      <c r="ADZ67" s="12"/>
      <c r="AEA67" s="12"/>
      <c r="AEB67" s="12"/>
      <c r="AEC67" s="12"/>
      <c r="AED67" s="12"/>
      <c r="AEE67" s="12"/>
      <c r="AEF67" s="12"/>
      <c r="AEG67" s="12"/>
      <c r="AEH67" s="12"/>
      <c r="AEI67" s="12"/>
      <c r="AEJ67" s="12"/>
      <c r="AEK67" s="12"/>
      <c r="AEL67" s="12"/>
      <c r="AEM67" s="12"/>
      <c r="AEN67" s="12"/>
      <c r="AEO67" s="12"/>
      <c r="AEP67" s="12"/>
      <c r="AEQ67" s="12"/>
      <c r="AER67" s="12"/>
      <c r="AES67" s="12"/>
      <c r="AET67" s="12"/>
      <c r="AEU67" s="12"/>
      <c r="AEV67" s="12"/>
      <c r="AEW67" s="12"/>
      <c r="AEX67" s="12"/>
      <c r="AEY67" s="12"/>
      <c r="AEZ67" s="12"/>
      <c r="AFA67" s="12"/>
      <c r="AFB67" s="12"/>
      <c r="AFC67" s="12"/>
      <c r="AFD67" s="12"/>
      <c r="AFE67" s="12"/>
      <c r="AFF67" s="12"/>
      <c r="AFG67" s="12"/>
      <c r="AFH67" s="12"/>
      <c r="AFI67" s="12"/>
      <c r="AFJ67" s="12"/>
      <c r="AFK67" s="12"/>
      <c r="AFL67" s="12"/>
      <c r="AFM67" s="12"/>
      <c r="AFN67" s="12"/>
      <c r="AFO67" s="12"/>
      <c r="AFP67" s="12"/>
      <c r="AFQ67" s="12"/>
      <c r="AFR67" s="12"/>
      <c r="AFS67" s="12"/>
      <c r="AFT67" s="12"/>
      <c r="AFU67" s="12"/>
      <c r="AFV67" s="12"/>
      <c r="AFW67" s="12"/>
      <c r="AFX67" s="12"/>
      <c r="AFY67" s="12"/>
      <c r="AFZ67" s="12"/>
      <c r="AGA67" s="12"/>
      <c r="AGB67" s="12"/>
      <c r="AGC67" s="12"/>
      <c r="AGD67" s="12"/>
      <c r="AGE67" s="12"/>
      <c r="AGF67" s="12"/>
      <c r="AGG67" s="12"/>
      <c r="AGH67" s="12"/>
      <c r="AGI67" s="12"/>
      <c r="AGJ67" s="12"/>
      <c r="AGK67" s="12"/>
      <c r="AGL67" s="12"/>
      <c r="AGM67" s="12"/>
      <c r="AGN67" s="12"/>
      <c r="AGO67" s="12"/>
      <c r="AGP67" s="12"/>
      <c r="AGQ67" s="12"/>
      <c r="AGR67" s="12"/>
      <c r="AGS67" s="12"/>
      <c r="AGT67" s="12"/>
      <c r="AGU67" s="12"/>
      <c r="AGV67" s="12"/>
      <c r="AGW67" s="12"/>
      <c r="AGX67" s="12"/>
      <c r="AGY67" s="12"/>
      <c r="AGZ67" s="12"/>
      <c r="AHA67" s="12"/>
      <c r="AHB67" s="12"/>
      <c r="AHC67" s="12"/>
      <c r="AHD67" s="12"/>
      <c r="AHE67" s="12"/>
      <c r="AHF67" s="12"/>
      <c r="AHG67" s="12"/>
      <c r="AHH67" s="12"/>
      <c r="AHI67" s="12"/>
      <c r="AHJ67" s="12"/>
      <c r="AHK67" s="12"/>
      <c r="AHL67" s="12"/>
      <c r="AHM67" s="12"/>
      <c r="AHN67" s="12"/>
      <c r="AHO67" s="12"/>
      <c r="AHP67" s="12"/>
      <c r="AHQ67" s="12"/>
      <c r="AHR67" s="12"/>
      <c r="AHS67" s="12"/>
      <c r="AHT67" s="12"/>
      <c r="AHU67" s="12"/>
      <c r="AHV67" s="12"/>
      <c r="AHW67" s="12"/>
      <c r="AHX67" s="12"/>
      <c r="AHY67" s="12"/>
      <c r="AHZ67" s="12"/>
      <c r="AIA67" s="12"/>
      <c r="AIB67" s="12"/>
      <c r="AIC67" s="12"/>
      <c r="AID67" s="12"/>
      <c r="AIE67" s="12"/>
      <c r="AIF67" s="12"/>
      <c r="AIG67" s="12"/>
      <c r="AIH67" s="12"/>
      <c r="AII67" s="12"/>
      <c r="AIJ67" s="12"/>
      <c r="AIK67" s="12"/>
      <c r="AIL67" s="12"/>
      <c r="AIM67" s="12"/>
      <c r="AIN67" s="12"/>
      <c r="AIO67" s="12"/>
      <c r="AIP67" s="12"/>
      <c r="AIQ67" s="12"/>
      <c r="AIR67" s="12"/>
      <c r="AIS67" s="12"/>
      <c r="AIT67" s="12"/>
      <c r="AIU67" s="12"/>
      <c r="AIV67" s="12"/>
      <c r="AIW67" s="12"/>
      <c r="AIX67" s="12"/>
      <c r="AIY67" s="12"/>
      <c r="AIZ67" s="12"/>
      <c r="AJA67" s="12"/>
      <c r="AJB67" s="12"/>
      <c r="AJC67" s="12"/>
      <c r="AJD67" s="12"/>
      <c r="AJE67" s="12"/>
      <c r="AJF67" s="12"/>
      <c r="AJG67" s="12"/>
      <c r="AJH67" s="12"/>
      <c r="AJI67" s="12"/>
      <c r="AJJ67" s="12"/>
      <c r="AJK67" s="12"/>
      <c r="AJL67" s="12"/>
      <c r="AJM67" s="12"/>
      <c r="AJN67" s="12"/>
      <c r="AJO67" s="12"/>
      <c r="AJP67" s="12"/>
      <c r="AJQ67" s="12"/>
      <c r="AJR67" s="12"/>
      <c r="AJS67" s="12"/>
      <c r="AJT67" s="12"/>
      <c r="AJU67" s="12"/>
      <c r="AJV67" s="12"/>
      <c r="AJW67" s="12"/>
      <c r="AJX67" s="12"/>
      <c r="AJY67" s="12"/>
      <c r="AJZ67" s="12"/>
      <c r="AKA67" s="12"/>
      <c r="AKB67" s="12"/>
      <c r="AKC67" s="12"/>
    </row>
    <row r="68" spans="1:965" s="23" customFormat="1" ht="26.25" customHeight="1" x14ac:dyDescent="0.35">
      <c r="A68" s="124" t="s">
        <v>1073</v>
      </c>
      <c r="B68" s="37" t="s">
        <v>2212</v>
      </c>
      <c r="C68" s="141" t="s">
        <v>2213</v>
      </c>
      <c r="D68" s="127" t="s">
        <v>1034</v>
      </c>
      <c r="E68" s="128"/>
      <c r="F68" s="129">
        <f>'NF-1 CU'!E26</f>
        <v>0</v>
      </c>
    </row>
    <row r="69" spans="1:965" s="23" customFormat="1" x14ac:dyDescent="0.35">
      <c r="A69" s="124" t="s">
        <v>1079</v>
      </c>
      <c r="B69" s="37" t="s">
        <v>2214</v>
      </c>
      <c r="C69" s="141" t="s">
        <v>2215</v>
      </c>
      <c r="D69" s="127" t="s">
        <v>1034</v>
      </c>
      <c r="E69" s="128"/>
      <c r="F69" s="129">
        <f>'NF-2 Fuel Quality in CPP'!F14</f>
        <v>0</v>
      </c>
    </row>
    <row r="70" spans="1:965" s="23" customFormat="1" x14ac:dyDescent="0.35">
      <c r="A70" s="124" t="s">
        <v>1082</v>
      </c>
      <c r="B70" s="37" t="s">
        <v>2216</v>
      </c>
      <c r="C70" s="141" t="s">
        <v>2217</v>
      </c>
      <c r="D70" s="127" t="s">
        <v>1034</v>
      </c>
      <c r="E70" s="128"/>
      <c r="F70" s="129">
        <f>'NF-3 Petcoke'!F14</f>
        <v>0</v>
      </c>
    </row>
    <row r="71" spans="1:965" s="23" customFormat="1" x14ac:dyDescent="0.35">
      <c r="A71" s="124" t="s">
        <v>1085</v>
      </c>
      <c r="B71" s="37" t="s">
        <v>2218</v>
      </c>
      <c r="C71" s="141" t="s">
        <v>2219</v>
      </c>
      <c r="D71" s="127" t="s">
        <v>1034</v>
      </c>
      <c r="E71" s="128"/>
      <c r="F71" s="129">
        <f>'NF-4 PLF'!F13</f>
        <v>0</v>
      </c>
    </row>
    <row r="72" spans="1:965" s="23" customFormat="1" x14ac:dyDescent="0.35">
      <c r="A72" s="124" t="s">
        <v>1088</v>
      </c>
      <c r="B72" s="37" t="s">
        <v>2220</v>
      </c>
      <c r="C72" s="141" t="s">
        <v>2221</v>
      </c>
      <c r="D72" s="127" t="s">
        <v>1034</v>
      </c>
      <c r="E72" s="128"/>
      <c r="F72" s="129">
        <f>'NF-5 Power Mix'!F49</f>
        <v>0</v>
      </c>
    </row>
    <row r="73" spans="1:965" s="23" customFormat="1" x14ac:dyDescent="0.35">
      <c r="A73" s="124" t="s">
        <v>1094</v>
      </c>
      <c r="B73" s="37" t="s">
        <v>2222</v>
      </c>
      <c r="C73" s="141" t="s">
        <v>2223</v>
      </c>
      <c r="D73" s="127" t="s">
        <v>1034</v>
      </c>
      <c r="E73" s="128"/>
      <c r="F73" s="129">
        <f>'NF-6 Product Mix'!F38</f>
        <v>0</v>
      </c>
    </row>
    <row r="74" spans="1:965" s="23" customFormat="1" x14ac:dyDescent="0.35">
      <c r="A74" s="124" t="s">
        <v>1097</v>
      </c>
      <c r="B74" s="38" t="s">
        <v>2224</v>
      </c>
      <c r="C74" s="141" t="s">
        <v>2225</v>
      </c>
      <c r="D74" s="127" t="s">
        <v>1034</v>
      </c>
      <c r="E74" s="128"/>
      <c r="F74" s="306">
        <f>'NF-7 Others'!F26-'NF-7 Others'!F25</f>
        <v>0</v>
      </c>
    </row>
    <row r="75" spans="1:965" s="23" customFormat="1" x14ac:dyDescent="0.35">
      <c r="A75" s="387" t="s">
        <v>1107</v>
      </c>
      <c r="B75" s="385" t="s">
        <v>2226</v>
      </c>
      <c r="C75" s="386" t="s">
        <v>17</v>
      </c>
      <c r="D75" s="127" t="s">
        <v>1034</v>
      </c>
      <c r="E75" s="128"/>
      <c r="F75" s="306">
        <f>'NF-8 Bond Index'!E11</f>
        <v>0</v>
      </c>
    </row>
    <row r="76" spans="1:965" s="23" customFormat="1" ht="25.5" customHeight="1" x14ac:dyDescent="0.35">
      <c r="A76" s="387" t="s">
        <v>1148</v>
      </c>
      <c r="B76" s="125" t="s">
        <v>2206</v>
      </c>
      <c r="C76" s="126" t="s">
        <v>2227</v>
      </c>
      <c r="D76" s="127" t="s">
        <v>1034</v>
      </c>
      <c r="E76" s="128" t="e">
        <f>E64</f>
        <v>#DIV/0!</v>
      </c>
      <c r="F76" s="129">
        <f>F64-F68-F69-F70-F71-F72-F73-F74-F75</f>
        <v>0</v>
      </c>
    </row>
    <row r="77" spans="1:965" s="143" customFormat="1" ht="29" customHeight="1" x14ac:dyDescent="0.35">
      <c r="A77" s="206">
        <v>13</v>
      </c>
      <c r="B77" s="207" t="s">
        <v>2228</v>
      </c>
      <c r="C77" s="208" t="s">
        <v>2229</v>
      </c>
      <c r="D77" s="209" t="str">
        <f>IF($C$4="Clinkerization", "kcal/kg of equivalent Clinker", "kcal/kg of equivalent Cement")</f>
        <v>kcal/kg of equivalent Cement</v>
      </c>
      <c r="E77" s="209">
        <f>IFERROR(IF(C4="Clinkerization", E76/(E7*100), E76/(E52*100)),0)</f>
        <v>0</v>
      </c>
      <c r="F77" s="209">
        <f>IFERROR(IF(C4="Clinkerization", F76/(F7*100), F76/(F52*100)),0)</f>
        <v>0</v>
      </c>
      <c r="IR77" s="12"/>
      <c r="IS77" s="12"/>
      <c r="IT77" s="12"/>
      <c r="IU77" s="12"/>
      <c r="IV77" s="12"/>
      <c r="IW77" s="12"/>
      <c r="IX77" s="12"/>
      <c r="IY77" s="12"/>
      <c r="IZ77" s="12"/>
      <c r="JA77" s="12"/>
      <c r="JB77" s="12"/>
      <c r="JC77" s="12"/>
      <c r="JD77" s="12"/>
      <c r="JE77" s="12"/>
      <c r="JF77" s="12"/>
      <c r="JG77" s="12"/>
      <c r="JH77" s="12"/>
      <c r="JI77" s="12"/>
      <c r="JJ77" s="12"/>
      <c r="JK77" s="12"/>
      <c r="JL77" s="12"/>
      <c r="JM77" s="12"/>
      <c r="JN77" s="12"/>
      <c r="JO77" s="12"/>
      <c r="JP77" s="12"/>
      <c r="JQ77" s="12"/>
      <c r="JR77" s="12"/>
      <c r="JS77" s="12"/>
      <c r="JT77" s="12"/>
      <c r="JU77" s="12"/>
      <c r="JV77" s="12"/>
      <c r="JW77" s="12"/>
      <c r="JX77" s="12"/>
      <c r="JY77" s="12"/>
      <c r="JZ77" s="12"/>
      <c r="KA77" s="12"/>
      <c r="KB77" s="12"/>
      <c r="KC77" s="12"/>
      <c r="KD77" s="12"/>
      <c r="KE77" s="12"/>
      <c r="KF77" s="12"/>
      <c r="KG77" s="12"/>
      <c r="KH77" s="12"/>
      <c r="KI77" s="12"/>
      <c r="KJ77" s="12"/>
      <c r="KK77" s="12"/>
      <c r="KL77" s="12"/>
      <c r="KM77" s="12"/>
      <c r="KN77" s="12"/>
      <c r="KO77" s="12"/>
      <c r="KP77" s="12"/>
      <c r="KQ77" s="12"/>
      <c r="KR77" s="12"/>
      <c r="KS77" s="12"/>
      <c r="KT77" s="12"/>
      <c r="KU77" s="12"/>
      <c r="KV77" s="12"/>
      <c r="KW77" s="12"/>
      <c r="KX77" s="12"/>
      <c r="KY77" s="12"/>
      <c r="KZ77" s="12"/>
      <c r="LA77" s="12"/>
      <c r="LB77" s="12"/>
      <c r="LC77" s="12"/>
      <c r="LD77" s="12"/>
      <c r="LE77" s="12"/>
      <c r="LF77" s="12"/>
      <c r="LG77" s="12"/>
      <c r="LH77" s="12"/>
      <c r="LI77" s="12"/>
      <c r="LJ77" s="12"/>
      <c r="LK77" s="12"/>
      <c r="LL77" s="12"/>
      <c r="LM77" s="12"/>
      <c r="LN77" s="12"/>
      <c r="LO77" s="12"/>
      <c r="LP77" s="12"/>
      <c r="LQ77" s="12"/>
      <c r="LR77" s="12"/>
      <c r="LS77" s="12"/>
      <c r="LT77" s="12"/>
      <c r="LU77" s="12"/>
      <c r="LV77" s="12"/>
      <c r="LW77" s="12"/>
      <c r="LX77" s="12"/>
      <c r="LY77" s="12"/>
      <c r="LZ77" s="12"/>
      <c r="MA77" s="12"/>
      <c r="MB77" s="12"/>
      <c r="MC77" s="12"/>
      <c r="MD77" s="12"/>
      <c r="ME77" s="12"/>
      <c r="MF77" s="12"/>
      <c r="MG77" s="12"/>
      <c r="MH77" s="12"/>
      <c r="MI77" s="12"/>
      <c r="MJ77" s="12"/>
      <c r="MK77" s="12"/>
      <c r="ML77" s="12"/>
      <c r="MM77" s="12"/>
      <c r="MN77" s="12"/>
      <c r="MO77" s="12"/>
      <c r="MP77" s="12"/>
      <c r="MQ77" s="12"/>
      <c r="MR77" s="12"/>
      <c r="MS77" s="12"/>
      <c r="MT77" s="12"/>
      <c r="MU77" s="12"/>
      <c r="MV77" s="12"/>
      <c r="MW77" s="12"/>
      <c r="MX77" s="12"/>
      <c r="MY77" s="12"/>
      <c r="MZ77" s="12"/>
      <c r="NA77" s="12"/>
      <c r="NB77" s="12"/>
      <c r="NC77" s="12"/>
      <c r="ND77" s="12"/>
      <c r="NE77" s="12"/>
      <c r="NF77" s="12"/>
      <c r="NG77" s="12"/>
      <c r="NH77" s="12"/>
      <c r="NI77" s="12"/>
      <c r="NJ77" s="12"/>
      <c r="NK77" s="12"/>
      <c r="NL77" s="12"/>
      <c r="NM77" s="12"/>
      <c r="NN77" s="12"/>
      <c r="NO77" s="12"/>
      <c r="NP77" s="12"/>
      <c r="NQ77" s="12"/>
      <c r="NR77" s="12"/>
      <c r="NS77" s="12"/>
      <c r="NT77" s="12"/>
      <c r="NU77" s="12"/>
      <c r="NV77" s="12"/>
      <c r="NW77" s="12"/>
      <c r="NX77" s="12"/>
      <c r="NY77" s="12"/>
      <c r="NZ77" s="12"/>
      <c r="OA77" s="12"/>
      <c r="OB77" s="12"/>
      <c r="OC77" s="12"/>
      <c r="OD77" s="12"/>
      <c r="OE77" s="12"/>
      <c r="OF77" s="12"/>
      <c r="OG77" s="12"/>
      <c r="OH77" s="12"/>
      <c r="OI77" s="12"/>
      <c r="OJ77" s="12"/>
      <c r="OK77" s="12"/>
      <c r="OL77" s="12"/>
      <c r="OM77" s="12"/>
      <c r="ON77" s="12"/>
      <c r="OO77" s="12"/>
      <c r="OP77" s="12"/>
      <c r="OQ77" s="12"/>
      <c r="OR77" s="12"/>
      <c r="OS77" s="12"/>
      <c r="OT77" s="12"/>
      <c r="OU77" s="12"/>
      <c r="OV77" s="12"/>
      <c r="OW77" s="12"/>
      <c r="OX77" s="12"/>
      <c r="OY77" s="12"/>
      <c r="OZ77" s="12"/>
      <c r="PA77" s="12"/>
      <c r="PB77" s="12"/>
      <c r="PC77" s="12"/>
      <c r="PD77" s="12"/>
      <c r="PE77" s="12"/>
      <c r="PF77" s="12"/>
      <c r="PG77" s="12"/>
      <c r="PH77" s="12"/>
      <c r="PI77" s="12"/>
      <c r="PJ77" s="12"/>
      <c r="PK77" s="12"/>
      <c r="PL77" s="12"/>
      <c r="PM77" s="12"/>
      <c r="PN77" s="12"/>
      <c r="PO77" s="12"/>
      <c r="PP77" s="12"/>
      <c r="PQ77" s="12"/>
      <c r="PR77" s="12"/>
      <c r="PS77" s="12"/>
      <c r="PT77" s="12"/>
      <c r="PU77" s="12"/>
      <c r="PV77" s="12"/>
      <c r="PW77" s="12"/>
      <c r="PX77" s="12"/>
      <c r="PY77" s="12"/>
      <c r="PZ77" s="12"/>
      <c r="QA77" s="12"/>
      <c r="QB77" s="12"/>
      <c r="QC77" s="12"/>
      <c r="QD77" s="12"/>
      <c r="QE77" s="12"/>
      <c r="QF77" s="12"/>
      <c r="QG77" s="12"/>
      <c r="QH77" s="12"/>
      <c r="QI77" s="12"/>
      <c r="QJ77" s="12"/>
      <c r="QK77" s="12"/>
      <c r="QL77" s="12"/>
      <c r="QM77" s="12"/>
      <c r="QN77" s="12"/>
      <c r="QO77" s="12"/>
      <c r="QP77" s="12"/>
      <c r="QQ77" s="12"/>
      <c r="QR77" s="12"/>
      <c r="QS77" s="12"/>
      <c r="QT77" s="12"/>
      <c r="QU77" s="12"/>
      <c r="QV77" s="12"/>
      <c r="QW77" s="12"/>
      <c r="QX77" s="12"/>
      <c r="QY77" s="12"/>
      <c r="QZ77" s="12"/>
      <c r="RA77" s="12"/>
      <c r="RB77" s="12"/>
      <c r="RC77" s="12"/>
      <c r="RD77" s="12"/>
      <c r="RE77" s="12"/>
      <c r="RF77" s="12"/>
      <c r="RG77" s="12"/>
      <c r="RH77" s="12"/>
      <c r="RI77" s="12"/>
      <c r="RJ77" s="12"/>
      <c r="RK77" s="12"/>
      <c r="RL77" s="12"/>
      <c r="RM77" s="12"/>
      <c r="RN77" s="12"/>
      <c r="RO77" s="12"/>
      <c r="RP77" s="12"/>
      <c r="RQ77" s="12"/>
      <c r="RR77" s="12"/>
      <c r="RS77" s="12"/>
      <c r="RT77" s="12"/>
      <c r="RU77" s="12"/>
      <c r="RV77" s="12"/>
      <c r="RW77" s="12"/>
      <c r="RX77" s="12"/>
      <c r="RY77" s="12"/>
      <c r="RZ77" s="12"/>
      <c r="SA77" s="12"/>
      <c r="SB77" s="12"/>
      <c r="SC77" s="12"/>
      <c r="SD77" s="12"/>
      <c r="SE77" s="12"/>
      <c r="SF77" s="12"/>
      <c r="SG77" s="12"/>
      <c r="SH77" s="12"/>
      <c r="SI77" s="12"/>
      <c r="SJ77" s="12"/>
      <c r="SK77" s="12"/>
      <c r="SL77" s="12"/>
      <c r="SM77" s="12"/>
      <c r="SN77" s="12"/>
      <c r="SO77" s="12"/>
      <c r="SP77" s="12"/>
      <c r="SQ77" s="12"/>
      <c r="SR77" s="12"/>
      <c r="SS77" s="12"/>
      <c r="ST77" s="12"/>
      <c r="SU77" s="12"/>
      <c r="SV77" s="12"/>
      <c r="SW77" s="12"/>
      <c r="SX77" s="12"/>
      <c r="SY77" s="12"/>
      <c r="SZ77" s="12"/>
      <c r="TA77" s="12"/>
      <c r="TB77" s="12"/>
      <c r="TC77" s="12"/>
      <c r="TD77" s="12"/>
      <c r="TE77" s="12"/>
      <c r="TF77" s="12"/>
      <c r="TG77" s="12"/>
      <c r="TH77" s="12"/>
      <c r="TI77" s="12"/>
      <c r="TJ77" s="12"/>
      <c r="TK77" s="12"/>
      <c r="TL77" s="12"/>
      <c r="TM77" s="12"/>
      <c r="TN77" s="12"/>
      <c r="TO77" s="12"/>
      <c r="TP77" s="12"/>
      <c r="TQ77" s="12"/>
      <c r="TR77" s="12"/>
      <c r="TS77" s="12"/>
      <c r="TT77" s="12"/>
      <c r="TU77" s="12"/>
      <c r="TV77" s="12"/>
      <c r="TW77" s="12"/>
      <c r="TX77" s="12"/>
      <c r="TY77" s="12"/>
      <c r="TZ77" s="12"/>
      <c r="UA77" s="12"/>
      <c r="UB77" s="12"/>
      <c r="UC77" s="12"/>
      <c r="UD77" s="12"/>
      <c r="UE77" s="12"/>
      <c r="UF77" s="12"/>
      <c r="UG77" s="12"/>
      <c r="UH77" s="12"/>
      <c r="UI77" s="12"/>
      <c r="UJ77" s="12"/>
      <c r="UK77" s="12"/>
      <c r="UL77" s="12"/>
      <c r="UM77" s="12"/>
      <c r="UN77" s="12"/>
      <c r="UO77" s="12"/>
      <c r="UP77" s="12"/>
      <c r="UQ77" s="12"/>
      <c r="UR77" s="12"/>
      <c r="US77" s="12"/>
      <c r="UT77" s="12"/>
      <c r="UU77" s="12"/>
      <c r="UV77" s="12"/>
      <c r="UW77" s="12"/>
      <c r="UX77" s="12"/>
      <c r="UY77" s="12"/>
      <c r="UZ77" s="12"/>
      <c r="VA77" s="12"/>
      <c r="VB77" s="12"/>
      <c r="VC77" s="12"/>
      <c r="VD77" s="12"/>
      <c r="VE77" s="12"/>
      <c r="VF77" s="12"/>
      <c r="VG77" s="12"/>
      <c r="VH77" s="12"/>
      <c r="VI77" s="12"/>
      <c r="VJ77" s="12"/>
      <c r="VK77" s="12"/>
      <c r="VL77" s="12"/>
      <c r="VM77" s="12"/>
      <c r="VN77" s="12"/>
      <c r="VO77" s="12"/>
      <c r="VP77" s="12"/>
      <c r="VQ77" s="12"/>
      <c r="VR77" s="12"/>
      <c r="VS77" s="12"/>
      <c r="VT77" s="12"/>
      <c r="VU77" s="12"/>
      <c r="VV77" s="12"/>
      <c r="VW77" s="12"/>
      <c r="VX77" s="12"/>
      <c r="VY77" s="12"/>
      <c r="VZ77" s="12"/>
      <c r="WA77" s="12"/>
      <c r="WB77" s="12"/>
      <c r="WC77" s="12"/>
      <c r="WD77" s="12"/>
      <c r="WE77" s="12"/>
      <c r="WF77" s="12"/>
      <c r="WG77" s="12"/>
      <c r="WH77" s="12"/>
      <c r="WI77" s="12"/>
      <c r="WJ77" s="12"/>
      <c r="WK77" s="12"/>
      <c r="WL77" s="12"/>
      <c r="WM77" s="12"/>
      <c r="WN77" s="12"/>
      <c r="WO77" s="12"/>
      <c r="WP77" s="12"/>
      <c r="WQ77" s="12"/>
      <c r="WR77" s="12"/>
      <c r="WS77" s="12"/>
      <c r="WT77" s="12"/>
      <c r="WU77" s="12"/>
      <c r="WV77" s="12"/>
      <c r="WW77" s="12"/>
      <c r="WX77" s="12"/>
      <c r="WY77" s="12"/>
      <c r="WZ77" s="12"/>
      <c r="XA77" s="12"/>
      <c r="XB77" s="12"/>
      <c r="XC77" s="12"/>
      <c r="XD77" s="12"/>
      <c r="XE77" s="12"/>
      <c r="XF77" s="12"/>
      <c r="XG77" s="12"/>
      <c r="XH77" s="12"/>
      <c r="XI77" s="12"/>
      <c r="XJ77" s="12"/>
      <c r="XK77" s="12"/>
      <c r="XL77" s="12"/>
      <c r="XM77" s="12"/>
      <c r="XN77" s="12"/>
      <c r="XO77" s="12"/>
      <c r="XP77" s="12"/>
      <c r="XQ77" s="12"/>
      <c r="XR77" s="12"/>
      <c r="XS77" s="12"/>
      <c r="XT77" s="12"/>
      <c r="XU77" s="12"/>
      <c r="XV77" s="12"/>
      <c r="XW77" s="12"/>
      <c r="XX77" s="12"/>
      <c r="XY77" s="12"/>
      <c r="XZ77" s="12"/>
      <c r="YA77" s="12"/>
      <c r="YB77" s="12"/>
      <c r="YC77" s="12"/>
      <c r="YD77" s="12"/>
      <c r="YE77" s="12"/>
      <c r="YF77" s="12"/>
      <c r="YG77" s="12"/>
      <c r="YH77" s="12"/>
      <c r="YI77" s="12"/>
      <c r="YJ77" s="12"/>
      <c r="YK77" s="12"/>
      <c r="YL77" s="12"/>
      <c r="YM77" s="12"/>
      <c r="YN77" s="12"/>
      <c r="YO77" s="12"/>
      <c r="YP77" s="12"/>
      <c r="YQ77" s="12"/>
      <c r="YR77" s="12"/>
      <c r="YS77" s="12"/>
      <c r="YT77" s="12"/>
      <c r="YU77" s="12"/>
      <c r="YV77" s="12"/>
      <c r="YW77" s="12"/>
      <c r="YX77" s="12"/>
      <c r="YY77" s="12"/>
      <c r="YZ77" s="12"/>
      <c r="ZA77" s="12"/>
      <c r="ZB77" s="12"/>
      <c r="ZC77" s="12"/>
      <c r="ZD77" s="12"/>
      <c r="ZE77" s="12"/>
      <c r="ZF77" s="12"/>
      <c r="ZG77" s="12"/>
      <c r="ZH77" s="12"/>
      <c r="ZI77" s="12"/>
      <c r="ZJ77" s="12"/>
      <c r="ZK77" s="12"/>
      <c r="ZL77" s="12"/>
      <c r="ZM77" s="12"/>
      <c r="ZN77" s="12"/>
      <c r="ZO77" s="12"/>
      <c r="ZP77" s="12"/>
      <c r="ZQ77" s="12"/>
      <c r="ZR77" s="12"/>
      <c r="ZS77" s="12"/>
      <c r="ZT77" s="12"/>
      <c r="ZU77" s="12"/>
      <c r="ZV77" s="12"/>
      <c r="ZW77" s="12"/>
      <c r="ZX77" s="12"/>
      <c r="ZY77" s="12"/>
      <c r="ZZ77" s="12"/>
      <c r="AAA77" s="12"/>
      <c r="AAB77" s="12"/>
      <c r="AAC77" s="12"/>
      <c r="AAD77" s="12"/>
      <c r="AAE77" s="12"/>
      <c r="AAF77" s="12"/>
      <c r="AAG77" s="12"/>
      <c r="AAH77" s="12"/>
      <c r="AAI77" s="12"/>
      <c r="AAJ77" s="12"/>
      <c r="AAK77" s="12"/>
      <c r="AAL77" s="12"/>
      <c r="AAM77" s="12"/>
      <c r="AAN77" s="12"/>
      <c r="AAO77" s="12"/>
      <c r="AAP77" s="12"/>
      <c r="AAQ77" s="12"/>
      <c r="AAR77" s="12"/>
      <c r="AAS77" s="12"/>
      <c r="AAT77" s="12"/>
      <c r="AAU77" s="12"/>
      <c r="AAV77" s="12"/>
      <c r="AAW77" s="12"/>
      <c r="AAX77" s="12"/>
      <c r="AAY77" s="12"/>
      <c r="AAZ77" s="12"/>
      <c r="ABA77" s="12"/>
      <c r="ABB77" s="12"/>
      <c r="ABC77" s="12"/>
      <c r="ABD77" s="12"/>
      <c r="ABE77" s="12"/>
      <c r="ABF77" s="12"/>
      <c r="ABG77" s="12"/>
      <c r="ABH77" s="12"/>
      <c r="ABI77" s="12"/>
      <c r="ABJ77" s="12"/>
      <c r="ABK77" s="12"/>
      <c r="ABL77" s="12"/>
      <c r="ABM77" s="12"/>
      <c r="ABN77" s="12"/>
      <c r="ABO77" s="12"/>
      <c r="ABP77" s="12"/>
      <c r="ABQ77" s="12"/>
      <c r="ABR77" s="12"/>
      <c r="ABS77" s="12"/>
      <c r="ABT77" s="12"/>
      <c r="ABU77" s="12"/>
      <c r="ABV77" s="12"/>
      <c r="ABW77" s="12"/>
      <c r="ABX77" s="12"/>
      <c r="ABY77" s="12"/>
      <c r="ABZ77" s="12"/>
      <c r="ACA77" s="12"/>
      <c r="ACB77" s="12"/>
      <c r="ACC77" s="12"/>
      <c r="ACD77" s="12"/>
      <c r="ACE77" s="12"/>
      <c r="ACF77" s="12"/>
      <c r="ACG77" s="12"/>
      <c r="ACH77" s="12"/>
      <c r="ACI77" s="12"/>
      <c r="ACJ77" s="12"/>
      <c r="ACK77" s="12"/>
      <c r="ACL77" s="12"/>
      <c r="ACM77" s="12"/>
      <c r="ACN77" s="12"/>
      <c r="ACO77" s="12"/>
      <c r="ACP77" s="12"/>
      <c r="ACQ77" s="12"/>
      <c r="ACR77" s="12"/>
      <c r="ACS77" s="12"/>
      <c r="ACT77" s="12"/>
      <c r="ACU77" s="12"/>
      <c r="ACV77" s="12"/>
      <c r="ACW77" s="12"/>
      <c r="ACX77" s="12"/>
      <c r="ACY77" s="12"/>
      <c r="ACZ77" s="12"/>
      <c r="ADA77" s="12"/>
      <c r="ADB77" s="12"/>
      <c r="ADC77" s="12"/>
      <c r="ADD77" s="12"/>
      <c r="ADE77" s="12"/>
      <c r="ADF77" s="12"/>
      <c r="ADG77" s="12"/>
      <c r="ADH77" s="12"/>
      <c r="ADI77" s="12"/>
      <c r="ADJ77" s="12"/>
      <c r="ADK77" s="12"/>
      <c r="ADL77" s="12"/>
      <c r="ADM77" s="12"/>
      <c r="ADN77" s="12"/>
      <c r="ADO77" s="12"/>
      <c r="ADP77" s="12"/>
      <c r="ADQ77" s="12"/>
      <c r="ADR77" s="12"/>
      <c r="ADS77" s="12"/>
      <c r="ADT77" s="12"/>
      <c r="ADU77" s="12"/>
      <c r="ADV77" s="12"/>
      <c r="ADW77" s="12"/>
      <c r="ADX77" s="12"/>
      <c r="ADY77" s="12"/>
      <c r="ADZ77" s="12"/>
      <c r="AEA77" s="12"/>
      <c r="AEB77" s="12"/>
      <c r="AEC77" s="12"/>
      <c r="AED77" s="12"/>
      <c r="AEE77" s="12"/>
      <c r="AEF77" s="12"/>
      <c r="AEG77" s="12"/>
      <c r="AEH77" s="12"/>
      <c r="AEI77" s="12"/>
      <c r="AEJ77" s="12"/>
      <c r="AEK77" s="12"/>
      <c r="AEL77" s="12"/>
      <c r="AEM77" s="12"/>
      <c r="AEN77" s="12"/>
      <c r="AEO77" s="12"/>
      <c r="AEP77" s="12"/>
      <c r="AEQ77" s="12"/>
      <c r="AER77" s="12"/>
      <c r="AES77" s="12"/>
      <c r="AET77" s="12"/>
      <c r="AEU77" s="12"/>
      <c r="AEV77" s="12"/>
      <c r="AEW77" s="12"/>
      <c r="AEX77" s="12"/>
      <c r="AEY77" s="12"/>
      <c r="AEZ77" s="12"/>
      <c r="AFA77" s="12"/>
      <c r="AFB77" s="12"/>
      <c r="AFC77" s="12"/>
      <c r="AFD77" s="12"/>
      <c r="AFE77" s="12"/>
      <c r="AFF77" s="12"/>
      <c r="AFG77" s="12"/>
      <c r="AFH77" s="12"/>
      <c r="AFI77" s="12"/>
      <c r="AFJ77" s="12"/>
      <c r="AFK77" s="12"/>
      <c r="AFL77" s="12"/>
      <c r="AFM77" s="12"/>
      <c r="AFN77" s="12"/>
      <c r="AFO77" s="12"/>
      <c r="AFP77" s="12"/>
      <c r="AFQ77" s="12"/>
      <c r="AFR77" s="12"/>
      <c r="AFS77" s="12"/>
      <c r="AFT77" s="12"/>
      <c r="AFU77" s="12"/>
      <c r="AFV77" s="12"/>
      <c r="AFW77" s="12"/>
      <c r="AFX77" s="12"/>
      <c r="AFY77" s="12"/>
      <c r="AFZ77" s="12"/>
      <c r="AGA77" s="12"/>
      <c r="AGB77" s="12"/>
      <c r="AGC77" s="12"/>
      <c r="AGD77" s="12"/>
      <c r="AGE77" s="12"/>
      <c r="AGF77" s="12"/>
      <c r="AGG77" s="12"/>
      <c r="AGH77" s="12"/>
      <c r="AGI77" s="12"/>
      <c r="AGJ77" s="12"/>
      <c r="AGK77" s="12"/>
      <c r="AGL77" s="12"/>
      <c r="AGM77" s="12"/>
      <c r="AGN77" s="12"/>
      <c r="AGO77" s="12"/>
      <c r="AGP77" s="12"/>
      <c r="AGQ77" s="12"/>
      <c r="AGR77" s="12"/>
      <c r="AGS77" s="12"/>
      <c r="AGT77" s="12"/>
      <c r="AGU77" s="12"/>
      <c r="AGV77" s="12"/>
      <c r="AGW77" s="12"/>
      <c r="AGX77" s="12"/>
      <c r="AGY77" s="12"/>
      <c r="AGZ77" s="12"/>
      <c r="AHA77" s="12"/>
      <c r="AHB77" s="12"/>
      <c r="AHC77" s="12"/>
      <c r="AHD77" s="12"/>
      <c r="AHE77" s="12"/>
      <c r="AHF77" s="12"/>
      <c r="AHG77" s="12"/>
      <c r="AHH77" s="12"/>
      <c r="AHI77" s="12"/>
      <c r="AHJ77" s="12"/>
      <c r="AHK77" s="12"/>
      <c r="AHL77" s="12"/>
      <c r="AHM77" s="12"/>
      <c r="AHN77" s="12"/>
      <c r="AHO77" s="12"/>
      <c r="AHP77" s="12"/>
      <c r="AHQ77" s="12"/>
      <c r="AHR77" s="12"/>
      <c r="AHS77" s="12"/>
      <c r="AHT77" s="12"/>
      <c r="AHU77" s="12"/>
      <c r="AHV77" s="12"/>
      <c r="AHW77" s="12"/>
      <c r="AHX77" s="12"/>
      <c r="AHY77" s="12"/>
      <c r="AHZ77" s="12"/>
      <c r="AIA77" s="12"/>
      <c r="AIB77" s="12"/>
      <c r="AIC77" s="12"/>
      <c r="AID77" s="12"/>
      <c r="AIE77" s="12"/>
      <c r="AIF77" s="12"/>
      <c r="AIG77" s="12"/>
      <c r="AIH77" s="12"/>
      <c r="AII77" s="12"/>
      <c r="AIJ77" s="12"/>
      <c r="AIK77" s="12"/>
      <c r="AIL77" s="12"/>
      <c r="AIM77" s="12"/>
      <c r="AIN77" s="12"/>
      <c r="AIO77" s="12"/>
      <c r="AIP77" s="12"/>
      <c r="AIQ77" s="12"/>
      <c r="AIR77" s="12"/>
      <c r="AIS77" s="12"/>
      <c r="AIT77" s="12"/>
      <c r="AIU77" s="12"/>
      <c r="AIV77" s="12"/>
      <c r="AIW77" s="12"/>
      <c r="AIX77" s="12"/>
      <c r="AIY77" s="12"/>
      <c r="AIZ77" s="12"/>
      <c r="AJA77" s="12"/>
      <c r="AJB77" s="12"/>
      <c r="AJC77" s="12"/>
      <c r="AJD77" s="12"/>
      <c r="AJE77" s="12"/>
      <c r="AJF77" s="12"/>
      <c r="AJG77" s="12"/>
      <c r="AJH77" s="12"/>
      <c r="AJI77" s="12"/>
      <c r="AJJ77" s="12"/>
      <c r="AJK77" s="12"/>
      <c r="AJL77" s="12"/>
      <c r="AJM77" s="12"/>
      <c r="AJN77" s="12"/>
      <c r="AJO77" s="12"/>
      <c r="AJP77" s="12"/>
      <c r="AJQ77" s="12"/>
      <c r="AJR77" s="12"/>
      <c r="AJS77" s="12"/>
      <c r="AJT77" s="12"/>
      <c r="AJU77" s="12"/>
      <c r="AJV77" s="12"/>
      <c r="AJW77" s="12"/>
      <c r="AJX77" s="12"/>
      <c r="AJY77" s="12"/>
      <c r="AJZ77" s="12"/>
      <c r="AKA77" s="12"/>
      <c r="AKB77" s="12"/>
      <c r="AKC77" s="12"/>
    </row>
    <row r="78" spans="1:965" s="143" customFormat="1" ht="29" customHeight="1" x14ac:dyDescent="0.35">
      <c r="A78" s="206">
        <v>13.1</v>
      </c>
      <c r="B78" s="207" t="s">
        <v>2228</v>
      </c>
      <c r="C78" s="208" t="s">
        <v>2230</v>
      </c>
      <c r="D78" s="209" t="str">
        <f>IF($C$4="Clinkerization","toe/tonne of equivalent Clinker","toe/tonne of equivalent Cement")</f>
        <v>toe/tonne of equivalent Cement</v>
      </c>
      <c r="E78" s="382">
        <f>E77/10000</f>
        <v>0</v>
      </c>
      <c r="F78" s="382">
        <f>F77/10000</f>
        <v>0</v>
      </c>
      <c r="IR78" s="12"/>
      <c r="IS78" s="12"/>
      <c r="IT78" s="12"/>
      <c r="IU78" s="12"/>
      <c r="IV78" s="12"/>
      <c r="IW78" s="12"/>
      <c r="IX78" s="12"/>
      <c r="IY78" s="12"/>
      <c r="IZ78" s="12"/>
      <c r="JA78" s="12"/>
      <c r="JB78" s="12"/>
      <c r="JC78" s="12"/>
      <c r="JD78" s="12"/>
      <c r="JE78" s="12"/>
      <c r="JF78" s="12"/>
      <c r="JG78" s="12"/>
      <c r="JH78" s="12"/>
      <c r="JI78" s="12"/>
      <c r="JJ78" s="12"/>
      <c r="JK78" s="12"/>
      <c r="JL78" s="12"/>
      <c r="JM78" s="12"/>
      <c r="JN78" s="12"/>
      <c r="JO78" s="12"/>
      <c r="JP78" s="12"/>
      <c r="JQ78" s="12"/>
      <c r="JR78" s="12"/>
      <c r="JS78" s="12"/>
      <c r="JT78" s="12"/>
      <c r="JU78" s="12"/>
      <c r="JV78" s="12"/>
      <c r="JW78" s="12"/>
      <c r="JX78" s="12"/>
      <c r="JY78" s="12"/>
      <c r="JZ78" s="12"/>
      <c r="KA78" s="12"/>
      <c r="KB78" s="12"/>
      <c r="KC78" s="12"/>
      <c r="KD78" s="12"/>
      <c r="KE78" s="12"/>
      <c r="KF78" s="12"/>
      <c r="KG78" s="12"/>
      <c r="KH78" s="12"/>
      <c r="KI78" s="12"/>
      <c r="KJ78" s="12"/>
      <c r="KK78" s="12"/>
      <c r="KL78" s="12"/>
      <c r="KM78" s="12"/>
      <c r="KN78" s="12"/>
      <c r="KO78" s="12"/>
      <c r="KP78" s="12"/>
      <c r="KQ78" s="12"/>
      <c r="KR78" s="12"/>
      <c r="KS78" s="12"/>
      <c r="KT78" s="12"/>
      <c r="KU78" s="12"/>
      <c r="KV78" s="12"/>
      <c r="KW78" s="12"/>
      <c r="KX78" s="12"/>
      <c r="KY78" s="12"/>
      <c r="KZ78" s="12"/>
      <c r="LA78" s="12"/>
      <c r="LB78" s="12"/>
      <c r="LC78" s="12"/>
      <c r="LD78" s="12"/>
      <c r="LE78" s="12"/>
      <c r="LF78" s="12"/>
      <c r="LG78" s="12"/>
      <c r="LH78" s="12"/>
      <c r="LI78" s="12"/>
      <c r="LJ78" s="12"/>
      <c r="LK78" s="12"/>
      <c r="LL78" s="12"/>
      <c r="LM78" s="12"/>
      <c r="LN78" s="12"/>
      <c r="LO78" s="12"/>
      <c r="LP78" s="12"/>
      <c r="LQ78" s="12"/>
      <c r="LR78" s="12"/>
      <c r="LS78" s="12"/>
      <c r="LT78" s="12"/>
      <c r="LU78" s="12"/>
      <c r="LV78" s="12"/>
      <c r="LW78" s="12"/>
      <c r="LX78" s="12"/>
      <c r="LY78" s="12"/>
      <c r="LZ78" s="12"/>
      <c r="MA78" s="12"/>
      <c r="MB78" s="12"/>
      <c r="MC78" s="12"/>
      <c r="MD78" s="12"/>
      <c r="ME78" s="12"/>
      <c r="MF78" s="12"/>
      <c r="MG78" s="12"/>
      <c r="MH78" s="12"/>
      <c r="MI78" s="12"/>
      <c r="MJ78" s="12"/>
      <c r="MK78" s="12"/>
      <c r="ML78" s="12"/>
      <c r="MM78" s="12"/>
      <c r="MN78" s="12"/>
      <c r="MO78" s="12"/>
      <c r="MP78" s="12"/>
      <c r="MQ78" s="12"/>
      <c r="MR78" s="12"/>
      <c r="MS78" s="12"/>
      <c r="MT78" s="12"/>
      <c r="MU78" s="12"/>
      <c r="MV78" s="12"/>
      <c r="MW78" s="12"/>
      <c r="MX78" s="12"/>
      <c r="MY78" s="12"/>
      <c r="MZ78" s="12"/>
      <c r="NA78" s="12"/>
      <c r="NB78" s="12"/>
      <c r="NC78" s="12"/>
      <c r="ND78" s="12"/>
      <c r="NE78" s="12"/>
      <c r="NF78" s="12"/>
      <c r="NG78" s="12"/>
      <c r="NH78" s="12"/>
      <c r="NI78" s="12"/>
      <c r="NJ78" s="12"/>
      <c r="NK78" s="12"/>
      <c r="NL78" s="12"/>
      <c r="NM78" s="12"/>
      <c r="NN78" s="12"/>
      <c r="NO78" s="12"/>
      <c r="NP78" s="12"/>
      <c r="NQ78" s="12"/>
      <c r="NR78" s="12"/>
      <c r="NS78" s="12"/>
      <c r="NT78" s="12"/>
      <c r="NU78" s="12"/>
      <c r="NV78" s="12"/>
      <c r="NW78" s="12"/>
      <c r="NX78" s="12"/>
      <c r="NY78" s="12"/>
      <c r="NZ78" s="12"/>
      <c r="OA78" s="12"/>
      <c r="OB78" s="12"/>
      <c r="OC78" s="12"/>
      <c r="OD78" s="12"/>
      <c r="OE78" s="12"/>
      <c r="OF78" s="12"/>
      <c r="OG78" s="12"/>
      <c r="OH78" s="12"/>
      <c r="OI78" s="12"/>
      <c r="OJ78" s="12"/>
      <c r="OK78" s="12"/>
      <c r="OL78" s="12"/>
      <c r="OM78" s="12"/>
      <c r="ON78" s="12"/>
      <c r="OO78" s="12"/>
      <c r="OP78" s="12"/>
      <c r="OQ78" s="12"/>
      <c r="OR78" s="12"/>
      <c r="OS78" s="12"/>
      <c r="OT78" s="12"/>
      <c r="OU78" s="12"/>
      <c r="OV78" s="12"/>
      <c r="OW78" s="12"/>
      <c r="OX78" s="12"/>
      <c r="OY78" s="12"/>
      <c r="OZ78" s="12"/>
      <c r="PA78" s="12"/>
      <c r="PB78" s="12"/>
      <c r="PC78" s="12"/>
      <c r="PD78" s="12"/>
      <c r="PE78" s="12"/>
      <c r="PF78" s="12"/>
      <c r="PG78" s="12"/>
      <c r="PH78" s="12"/>
      <c r="PI78" s="12"/>
      <c r="PJ78" s="12"/>
      <c r="PK78" s="12"/>
      <c r="PL78" s="12"/>
      <c r="PM78" s="12"/>
      <c r="PN78" s="12"/>
      <c r="PO78" s="12"/>
      <c r="PP78" s="12"/>
      <c r="PQ78" s="12"/>
      <c r="PR78" s="12"/>
      <c r="PS78" s="12"/>
      <c r="PT78" s="12"/>
      <c r="PU78" s="12"/>
      <c r="PV78" s="12"/>
      <c r="PW78" s="12"/>
      <c r="PX78" s="12"/>
      <c r="PY78" s="12"/>
      <c r="PZ78" s="12"/>
      <c r="QA78" s="12"/>
      <c r="QB78" s="12"/>
      <c r="QC78" s="12"/>
      <c r="QD78" s="12"/>
      <c r="QE78" s="12"/>
      <c r="QF78" s="12"/>
      <c r="QG78" s="12"/>
      <c r="QH78" s="12"/>
      <c r="QI78" s="12"/>
      <c r="QJ78" s="12"/>
      <c r="QK78" s="12"/>
      <c r="QL78" s="12"/>
      <c r="QM78" s="12"/>
      <c r="QN78" s="12"/>
      <c r="QO78" s="12"/>
      <c r="QP78" s="12"/>
      <c r="QQ78" s="12"/>
      <c r="QR78" s="12"/>
      <c r="QS78" s="12"/>
      <c r="QT78" s="12"/>
      <c r="QU78" s="12"/>
      <c r="QV78" s="12"/>
      <c r="QW78" s="12"/>
      <c r="QX78" s="12"/>
      <c r="QY78" s="12"/>
      <c r="QZ78" s="12"/>
      <c r="RA78" s="12"/>
      <c r="RB78" s="12"/>
      <c r="RC78" s="12"/>
      <c r="RD78" s="12"/>
      <c r="RE78" s="12"/>
      <c r="RF78" s="12"/>
      <c r="RG78" s="12"/>
      <c r="RH78" s="12"/>
      <c r="RI78" s="12"/>
      <c r="RJ78" s="12"/>
      <c r="RK78" s="12"/>
      <c r="RL78" s="12"/>
      <c r="RM78" s="12"/>
      <c r="RN78" s="12"/>
      <c r="RO78" s="12"/>
      <c r="RP78" s="12"/>
      <c r="RQ78" s="12"/>
      <c r="RR78" s="12"/>
      <c r="RS78" s="12"/>
      <c r="RT78" s="12"/>
      <c r="RU78" s="12"/>
      <c r="RV78" s="12"/>
      <c r="RW78" s="12"/>
      <c r="RX78" s="12"/>
      <c r="RY78" s="12"/>
      <c r="RZ78" s="12"/>
      <c r="SA78" s="12"/>
      <c r="SB78" s="12"/>
      <c r="SC78" s="12"/>
      <c r="SD78" s="12"/>
      <c r="SE78" s="12"/>
      <c r="SF78" s="12"/>
      <c r="SG78" s="12"/>
      <c r="SH78" s="12"/>
      <c r="SI78" s="12"/>
      <c r="SJ78" s="12"/>
      <c r="SK78" s="12"/>
      <c r="SL78" s="12"/>
      <c r="SM78" s="12"/>
      <c r="SN78" s="12"/>
      <c r="SO78" s="12"/>
      <c r="SP78" s="12"/>
      <c r="SQ78" s="12"/>
      <c r="SR78" s="12"/>
      <c r="SS78" s="12"/>
      <c r="ST78" s="12"/>
      <c r="SU78" s="12"/>
      <c r="SV78" s="12"/>
      <c r="SW78" s="12"/>
      <c r="SX78" s="12"/>
      <c r="SY78" s="12"/>
      <c r="SZ78" s="12"/>
      <c r="TA78" s="12"/>
      <c r="TB78" s="12"/>
      <c r="TC78" s="12"/>
      <c r="TD78" s="12"/>
      <c r="TE78" s="12"/>
      <c r="TF78" s="12"/>
      <c r="TG78" s="12"/>
      <c r="TH78" s="12"/>
      <c r="TI78" s="12"/>
      <c r="TJ78" s="12"/>
      <c r="TK78" s="12"/>
      <c r="TL78" s="12"/>
      <c r="TM78" s="12"/>
      <c r="TN78" s="12"/>
      <c r="TO78" s="12"/>
      <c r="TP78" s="12"/>
      <c r="TQ78" s="12"/>
      <c r="TR78" s="12"/>
      <c r="TS78" s="12"/>
      <c r="TT78" s="12"/>
      <c r="TU78" s="12"/>
      <c r="TV78" s="12"/>
      <c r="TW78" s="12"/>
      <c r="TX78" s="12"/>
      <c r="TY78" s="12"/>
      <c r="TZ78" s="12"/>
      <c r="UA78" s="12"/>
      <c r="UB78" s="12"/>
      <c r="UC78" s="12"/>
      <c r="UD78" s="12"/>
      <c r="UE78" s="12"/>
      <c r="UF78" s="12"/>
      <c r="UG78" s="12"/>
      <c r="UH78" s="12"/>
      <c r="UI78" s="12"/>
      <c r="UJ78" s="12"/>
      <c r="UK78" s="12"/>
      <c r="UL78" s="12"/>
      <c r="UM78" s="12"/>
      <c r="UN78" s="12"/>
      <c r="UO78" s="12"/>
      <c r="UP78" s="12"/>
      <c r="UQ78" s="12"/>
      <c r="UR78" s="12"/>
      <c r="US78" s="12"/>
      <c r="UT78" s="12"/>
      <c r="UU78" s="12"/>
      <c r="UV78" s="12"/>
      <c r="UW78" s="12"/>
      <c r="UX78" s="12"/>
      <c r="UY78" s="12"/>
      <c r="UZ78" s="12"/>
      <c r="VA78" s="12"/>
      <c r="VB78" s="12"/>
      <c r="VC78" s="12"/>
      <c r="VD78" s="12"/>
      <c r="VE78" s="12"/>
      <c r="VF78" s="12"/>
      <c r="VG78" s="12"/>
      <c r="VH78" s="12"/>
      <c r="VI78" s="12"/>
      <c r="VJ78" s="12"/>
      <c r="VK78" s="12"/>
      <c r="VL78" s="12"/>
      <c r="VM78" s="12"/>
      <c r="VN78" s="12"/>
      <c r="VO78" s="12"/>
      <c r="VP78" s="12"/>
      <c r="VQ78" s="12"/>
      <c r="VR78" s="12"/>
      <c r="VS78" s="12"/>
      <c r="VT78" s="12"/>
      <c r="VU78" s="12"/>
      <c r="VV78" s="12"/>
      <c r="VW78" s="12"/>
      <c r="VX78" s="12"/>
      <c r="VY78" s="12"/>
      <c r="VZ78" s="12"/>
      <c r="WA78" s="12"/>
      <c r="WB78" s="12"/>
      <c r="WC78" s="12"/>
      <c r="WD78" s="12"/>
      <c r="WE78" s="12"/>
      <c r="WF78" s="12"/>
      <c r="WG78" s="12"/>
      <c r="WH78" s="12"/>
      <c r="WI78" s="12"/>
      <c r="WJ78" s="12"/>
      <c r="WK78" s="12"/>
      <c r="WL78" s="12"/>
      <c r="WM78" s="12"/>
      <c r="WN78" s="12"/>
      <c r="WO78" s="12"/>
      <c r="WP78" s="12"/>
      <c r="WQ78" s="12"/>
      <c r="WR78" s="12"/>
      <c r="WS78" s="12"/>
      <c r="WT78" s="12"/>
      <c r="WU78" s="12"/>
      <c r="WV78" s="12"/>
      <c r="WW78" s="12"/>
      <c r="WX78" s="12"/>
      <c r="WY78" s="12"/>
      <c r="WZ78" s="12"/>
      <c r="XA78" s="12"/>
      <c r="XB78" s="12"/>
      <c r="XC78" s="12"/>
      <c r="XD78" s="12"/>
      <c r="XE78" s="12"/>
      <c r="XF78" s="12"/>
      <c r="XG78" s="12"/>
      <c r="XH78" s="12"/>
      <c r="XI78" s="12"/>
      <c r="XJ78" s="12"/>
      <c r="XK78" s="12"/>
      <c r="XL78" s="12"/>
      <c r="XM78" s="12"/>
      <c r="XN78" s="12"/>
      <c r="XO78" s="12"/>
      <c r="XP78" s="12"/>
      <c r="XQ78" s="12"/>
      <c r="XR78" s="12"/>
      <c r="XS78" s="12"/>
      <c r="XT78" s="12"/>
      <c r="XU78" s="12"/>
      <c r="XV78" s="12"/>
      <c r="XW78" s="12"/>
      <c r="XX78" s="12"/>
      <c r="XY78" s="12"/>
      <c r="XZ78" s="12"/>
      <c r="YA78" s="12"/>
      <c r="YB78" s="12"/>
      <c r="YC78" s="12"/>
      <c r="YD78" s="12"/>
      <c r="YE78" s="12"/>
      <c r="YF78" s="12"/>
      <c r="YG78" s="12"/>
      <c r="YH78" s="12"/>
      <c r="YI78" s="12"/>
      <c r="YJ78" s="12"/>
      <c r="YK78" s="12"/>
      <c r="YL78" s="12"/>
      <c r="YM78" s="12"/>
      <c r="YN78" s="12"/>
      <c r="YO78" s="12"/>
      <c r="YP78" s="12"/>
      <c r="YQ78" s="12"/>
      <c r="YR78" s="12"/>
      <c r="YS78" s="12"/>
      <c r="YT78" s="12"/>
      <c r="YU78" s="12"/>
      <c r="YV78" s="12"/>
      <c r="YW78" s="12"/>
      <c r="YX78" s="12"/>
      <c r="YY78" s="12"/>
      <c r="YZ78" s="12"/>
      <c r="ZA78" s="12"/>
      <c r="ZB78" s="12"/>
      <c r="ZC78" s="12"/>
      <c r="ZD78" s="12"/>
      <c r="ZE78" s="12"/>
      <c r="ZF78" s="12"/>
      <c r="ZG78" s="12"/>
      <c r="ZH78" s="12"/>
      <c r="ZI78" s="12"/>
      <c r="ZJ78" s="12"/>
      <c r="ZK78" s="12"/>
      <c r="ZL78" s="12"/>
      <c r="ZM78" s="12"/>
      <c r="ZN78" s="12"/>
      <c r="ZO78" s="12"/>
      <c r="ZP78" s="12"/>
      <c r="ZQ78" s="12"/>
      <c r="ZR78" s="12"/>
      <c r="ZS78" s="12"/>
      <c r="ZT78" s="12"/>
      <c r="ZU78" s="12"/>
      <c r="ZV78" s="12"/>
      <c r="ZW78" s="12"/>
      <c r="ZX78" s="12"/>
      <c r="ZY78" s="12"/>
      <c r="ZZ78" s="12"/>
      <c r="AAA78" s="12"/>
      <c r="AAB78" s="12"/>
      <c r="AAC78" s="12"/>
      <c r="AAD78" s="12"/>
      <c r="AAE78" s="12"/>
      <c r="AAF78" s="12"/>
      <c r="AAG78" s="12"/>
      <c r="AAH78" s="12"/>
      <c r="AAI78" s="12"/>
      <c r="AAJ78" s="12"/>
      <c r="AAK78" s="12"/>
      <c r="AAL78" s="12"/>
      <c r="AAM78" s="12"/>
      <c r="AAN78" s="12"/>
      <c r="AAO78" s="12"/>
      <c r="AAP78" s="12"/>
      <c r="AAQ78" s="12"/>
      <c r="AAR78" s="12"/>
      <c r="AAS78" s="12"/>
      <c r="AAT78" s="12"/>
      <c r="AAU78" s="12"/>
      <c r="AAV78" s="12"/>
      <c r="AAW78" s="12"/>
      <c r="AAX78" s="12"/>
      <c r="AAY78" s="12"/>
      <c r="AAZ78" s="12"/>
      <c r="ABA78" s="12"/>
      <c r="ABB78" s="12"/>
      <c r="ABC78" s="12"/>
      <c r="ABD78" s="12"/>
      <c r="ABE78" s="12"/>
      <c r="ABF78" s="12"/>
      <c r="ABG78" s="12"/>
      <c r="ABH78" s="12"/>
      <c r="ABI78" s="12"/>
      <c r="ABJ78" s="12"/>
      <c r="ABK78" s="12"/>
      <c r="ABL78" s="12"/>
      <c r="ABM78" s="12"/>
      <c r="ABN78" s="12"/>
      <c r="ABO78" s="12"/>
      <c r="ABP78" s="12"/>
      <c r="ABQ78" s="12"/>
      <c r="ABR78" s="12"/>
      <c r="ABS78" s="12"/>
      <c r="ABT78" s="12"/>
      <c r="ABU78" s="12"/>
      <c r="ABV78" s="12"/>
      <c r="ABW78" s="12"/>
      <c r="ABX78" s="12"/>
      <c r="ABY78" s="12"/>
      <c r="ABZ78" s="12"/>
      <c r="ACA78" s="12"/>
      <c r="ACB78" s="12"/>
      <c r="ACC78" s="12"/>
      <c r="ACD78" s="12"/>
      <c r="ACE78" s="12"/>
      <c r="ACF78" s="12"/>
      <c r="ACG78" s="12"/>
      <c r="ACH78" s="12"/>
      <c r="ACI78" s="12"/>
      <c r="ACJ78" s="12"/>
      <c r="ACK78" s="12"/>
      <c r="ACL78" s="12"/>
      <c r="ACM78" s="12"/>
      <c r="ACN78" s="12"/>
      <c r="ACO78" s="12"/>
      <c r="ACP78" s="12"/>
      <c r="ACQ78" s="12"/>
      <c r="ACR78" s="12"/>
      <c r="ACS78" s="12"/>
      <c r="ACT78" s="12"/>
      <c r="ACU78" s="12"/>
      <c r="ACV78" s="12"/>
      <c r="ACW78" s="12"/>
      <c r="ACX78" s="12"/>
      <c r="ACY78" s="12"/>
      <c r="ACZ78" s="12"/>
      <c r="ADA78" s="12"/>
      <c r="ADB78" s="12"/>
      <c r="ADC78" s="12"/>
      <c r="ADD78" s="12"/>
      <c r="ADE78" s="12"/>
      <c r="ADF78" s="12"/>
      <c r="ADG78" s="12"/>
      <c r="ADH78" s="12"/>
      <c r="ADI78" s="12"/>
      <c r="ADJ78" s="12"/>
      <c r="ADK78" s="12"/>
      <c r="ADL78" s="12"/>
      <c r="ADM78" s="12"/>
      <c r="ADN78" s="12"/>
      <c r="ADO78" s="12"/>
      <c r="ADP78" s="12"/>
      <c r="ADQ78" s="12"/>
      <c r="ADR78" s="12"/>
      <c r="ADS78" s="12"/>
      <c r="ADT78" s="12"/>
      <c r="ADU78" s="12"/>
      <c r="ADV78" s="12"/>
      <c r="ADW78" s="12"/>
      <c r="ADX78" s="12"/>
      <c r="ADY78" s="12"/>
      <c r="ADZ78" s="12"/>
      <c r="AEA78" s="12"/>
      <c r="AEB78" s="12"/>
      <c r="AEC78" s="12"/>
      <c r="AED78" s="12"/>
      <c r="AEE78" s="12"/>
      <c r="AEF78" s="12"/>
      <c r="AEG78" s="12"/>
      <c r="AEH78" s="12"/>
      <c r="AEI78" s="12"/>
      <c r="AEJ78" s="12"/>
      <c r="AEK78" s="12"/>
      <c r="AEL78" s="12"/>
      <c r="AEM78" s="12"/>
      <c r="AEN78" s="12"/>
      <c r="AEO78" s="12"/>
      <c r="AEP78" s="12"/>
      <c r="AEQ78" s="12"/>
      <c r="AER78" s="12"/>
      <c r="AES78" s="12"/>
      <c r="AET78" s="12"/>
      <c r="AEU78" s="12"/>
      <c r="AEV78" s="12"/>
      <c r="AEW78" s="12"/>
      <c r="AEX78" s="12"/>
      <c r="AEY78" s="12"/>
      <c r="AEZ78" s="12"/>
      <c r="AFA78" s="12"/>
      <c r="AFB78" s="12"/>
      <c r="AFC78" s="12"/>
      <c r="AFD78" s="12"/>
      <c r="AFE78" s="12"/>
      <c r="AFF78" s="12"/>
      <c r="AFG78" s="12"/>
      <c r="AFH78" s="12"/>
      <c r="AFI78" s="12"/>
      <c r="AFJ78" s="12"/>
      <c r="AFK78" s="12"/>
      <c r="AFL78" s="12"/>
      <c r="AFM78" s="12"/>
      <c r="AFN78" s="12"/>
      <c r="AFO78" s="12"/>
      <c r="AFP78" s="12"/>
      <c r="AFQ78" s="12"/>
      <c r="AFR78" s="12"/>
      <c r="AFS78" s="12"/>
      <c r="AFT78" s="12"/>
      <c r="AFU78" s="12"/>
      <c r="AFV78" s="12"/>
      <c r="AFW78" s="12"/>
      <c r="AFX78" s="12"/>
      <c r="AFY78" s="12"/>
      <c r="AFZ78" s="12"/>
      <c r="AGA78" s="12"/>
      <c r="AGB78" s="12"/>
      <c r="AGC78" s="12"/>
      <c r="AGD78" s="12"/>
      <c r="AGE78" s="12"/>
      <c r="AGF78" s="12"/>
      <c r="AGG78" s="12"/>
      <c r="AGH78" s="12"/>
      <c r="AGI78" s="12"/>
      <c r="AGJ78" s="12"/>
      <c r="AGK78" s="12"/>
      <c r="AGL78" s="12"/>
      <c r="AGM78" s="12"/>
      <c r="AGN78" s="12"/>
      <c r="AGO78" s="12"/>
      <c r="AGP78" s="12"/>
      <c r="AGQ78" s="12"/>
      <c r="AGR78" s="12"/>
      <c r="AGS78" s="12"/>
      <c r="AGT78" s="12"/>
      <c r="AGU78" s="12"/>
      <c r="AGV78" s="12"/>
      <c r="AGW78" s="12"/>
      <c r="AGX78" s="12"/>
      <c r="AGY78" s="12"/>
      <c r="AGZ78" s="12"/>
      <c r="AHA78" s="12"/>
      <c r="AHB78" s="12"/>
      <c r="AHC78" s="12"/>
      <c r="AHD78" s="12"/>
      <c r="AHE78" s="12"/>
      <c r="AHF78" s="12"/>
      <c r="AHG78" s="12"/>
      <c r="AHH78" s="12"/>
      <c r="AHI78" s="12"/>
      <c r="AHJ78" s="12"/>
      <c r="AHK78" s="12"/>
      <c r="AHL78" s="12"/>
      <c r="AHM78" s="12"/>
      <c r="AHN78" s="12"/>
      <c r="AHO78" s="12"/>
      <c r="AHP78" s="12"/>
      <c r="AHQ78" s="12"/>
      <c r="AHR78" s="12"/>
      <c r="AHS78" s="12"/>
      <c r="AHT78" s="12"/>
      <c r="AHU78" s="12"/>
      <c r="AHV78" s="12"/>
      <c r="AHW78" s="12"/>
      <c r="AHX78" s="12"/>
      <c r="AHY78" s="12"/>
      <c r="AHZ78" s="12"/>
      <c r="AIA78" s="12"/>
      <c r="AIB78" s="12"/>
      <c r="AIC78" s="12"/>
      <c r="AID78" s="12"/>
      <c r="AIE78" s="12"/>
      <c r="AIF78" s="12"/>
      <c r="AIG78" s="12"/>
      <c r="AIH78" s="12"/>
      <c r="AII78" s="12"/>
      <c r="AIJ78" s="12"/>
      <c r="AIK78" s="12"/>
      <c r="AIL78" s="12"/>
      <c r="AIM78" s="12"/>
      <c r="AIN78" s="12"/>
      <c r="AIO78" s="12"/>
      <c r="AIP78" s="12"/>
      <c r="AIQ78" s="12"/>
      <c r="AIR78" s="12"/>
      <c r="AIS78" s="12"/>
      <c r="AIT78" s="12"/>
      <c r="AIU78" s="12"/>
      <c r="AIV78" s="12"/>
      <c r="AIW78" s="12"/>
      <c r="AIX78" s="12"/>
      <c r="AIY78" s="12"/>
      <c r="AIZ78" s="12"/>
      <c r="AJA78" s="12"/>
      <c r="AJB78" s="12"/>
      <c r="AJC78" s="12"/>
      <c r="AJD78" s="12"/>
      <c r="AJE78" s="12"/>
      <c r="AJF78" s="12"/>
      <c r="AJG78" s="12"/>
      <c r="AJH78" s="12"/>
      <c r="AJI78" s="12"/>
      <c r="AJJ78" s="12"/>
      <c r="AJK78" s="12"/>
      <c r="AJL78" s="12"/>
      <c r="AJM78" s="12"/>
      <c r="AJN78" s="12"/>
      <c r="AJO78" s="12"/>
      <c r="AJP78" s="12"/>
      <c r="AJQ78" s="12"/>
      <c r="AJR78" s="12"/>
      <c r="AJS78" s="12"/>
      <c r="AJT78" s="12"/>
      <c r="AJU78" s="12"/>
      <c r="AJV78" s="12"/>
      <c r="AJW78" s="12"/>
      <c r="AJX78" s="12"/>
      <c r="AJY78" s="12"/>
      <c r="AJZ78" s="12"/>
      <c r="AKA78" s="12"/>
      <c r="AKB78" s="12"/>
      <c r="AKC78" s="12"/>
    </row>
    <row r="79" spans="1:965" s="210" customFormat="1" ht="29" customHeight="1" x14ac:dyDescent="0.35">
      <c r="A79" s="265">
        <v>14</v>
      </c>
      <c r="B79" s="205" t="s">
        <v>2231</v>
      </c>
      <c r="C79" s="131"/>
      <c r="D79" s="133" t="s">
        <v>1139</v>
      </c>
      <c r="E79" s="134"/>
      <c r="F79" s="266">
        <f>'NF-7 Others'!F35</f>
        <v>0</v>
      </c>
      <c r="IR79" s="177"/>
      <c r="IS79" s="177"/>
      <c r="IT79" s="177"/>
      <c r="IU79" s="177"/>
      <c r="IV79" s="177"/>
      <c r="IW79" s="177"/>
      <c r="IX79" s="177"/>
      <c r="IY79" s="177"/>
      <c r="IZ79" s="177"/>
      <c r="JA79" s="177"/>
      <c r="JB79" s="177"/>
      <c r="JC79" s="177"/>
      <c r="JD79" s="177"/>
      <c r="JE79" s="177"/>
      <c r="JF79" s="177"/>
      <c r="JG79" s="177"/>
      <c r="JH79" s="177"/>
      <c r="JI79" s="177"/>
      <c r="JJ79" s="177"/>
      <c r="JK79" s="177"/>
      <c r="JL79" s="177"/>
      <c r="JM79" s="177"/>
      <c r="JN79" s="177"/>
      <c r="JO79" s="177"/>
      <c r="JP79" s="177"/>
      <c r="JQ79" s="177"/>
      <c r="JR79" s="177"/>
      <c r="JS79" s="177"/>
      <c r="JT79" s="177"/>
      <c r="JU79" s="177"/>
      <c r="JV79" s="177"/>
      <c r="JW79" s="177"/>
      <c r="JX79" s="177"/>
      <c r="JY79" s="177"/>
      <c r="JZ79" s="177"/>
      <c r="KA79" s="177"/>
      <c r="KB79" s="177"/>
      <c r="KC79" s="177"/>
      <c r="KD79" s="177"/>
      <c r="KE79" s="177"/>
      <c r="KF79" s="177"/>
      <c r="KG79" s="177"/>
      <c r="KH79" s="177"/>
      <c r="KI79" s="177"/>
      <c r="KJ79" s="177"/>
      <c r="KK79" s="177"/>
      <c r="KL79" s="177"/>
      <c r="KM79" s="177"/>
      <c r="KN79" s="177"/>
      <c r="KO79" s="177"/>
      <c r="KP79" s="177"/>
      <c r="KQ79" s="177"/>
      <c r="KR79" s="177"/>
      <c r="KS79" s="177"/>
      <c r="KT79" s="177"/>
      <c r="KU79" s="177"/>
      <c r="KV79" s="177"/>
      <c r="KW79" s="177"/>
      <c r="KX79" s="177"/>
      <c r="KY79" s="177"/>
      <c r="KZ79" s="177"/>
      <c r="LA79" s="177"/>
      <c r="LB79" s="177"/>
      <c r="LC79" s="177"/>
      <c r="LD79" s="177"/>
      <c r="LE79" s="177"/>
      <c r="LF79" s="177"/>
      <c r="LG79" s="177"/>
      <c r="LH79" s="177"/>
      <c r="LI79" s="177"/>
      <c r="LJ79" s="177"/>
      <c r="LK79" s="177"/>
      <c r="LL79" s="177"/>
      <c r="LM79" s="177"/>
      <c r="LN79" s="177"/>
      <c r="LO79" s="177"/>
      <c r="LP79" s="177"/>
      <c r="LQ79" s="177"/>
      <c r="LR79" s="177"/>
      <c r="LS79" s="177"/>
      <c r="LT79" s="177"/>
      <c r="LU79" s="177"/>
      <c r="LV79" s="177"/>
      <c r="LW79" s="177"/>
      <c r="LX79" s="177"/>
      <c r="LY79" s="177"/>
      <c r="LZ79" s="177"/>
      <c r="MA79" s="177"/>
      <c r="MB79" s="177"/>
      <c r="MC79" s="177"/>
      <c r="MD79" s="177"/>
      <c r="ME79" s="177"/>
      <c r="MF79" s="177"/>
      <c r="MG79" s="177"/>
      <c r="MH79" s="177"/>
      <c r="MI79" s="177"/>
      <c r="MJ79" s="177"/>
      <c r="MK79" s="177"/>
      <c r="ML79" s="177"/>
      <c r="MM79" s="177"/>
      <c r="MN79" s="177"/>
      <c r="MO79" s="177"/>
      <c r="MP79" s="177"/>
      <c r="MQ79" s="177"/>
      <c r="MR79" s="177"/>
      <c r="MS79" s="177"/>
      <c r="MT79" s="177"/>
      <c r="MU79" s="177"/>
      <c r="MV79" s="177"/>
      <c r="MW79" s="177"/>
      <c r="MX79" s="177"/>
      <c r="MY79" s="177"/>
      <c r="MZ79" s="177"/>
      <c r="NA79" s="177"/>
      <c r="NB79" s="177"/>
      <c r="NC79" s="177"/>
      <c r="ND79" s="177"/>
      <c r="NE79" s="177"/>
      <c r="NF79" s="177"/>
      <c r="NG79" s="177"/>
      <c r="NH79" s="177"/>
      <c r="NI79" s="177"/>
      <c r="NJ79" s="177"/>
      <c r="NK79" s="177"/>
      <c r="NL79" s="177"/>
      <c r="NM79" s="177"/>
      <c r="NN79" s="177"/>
      <c r="NO79" s="177"/>
      <c r="NP79" s="177"/>
      <c r="NQ79" s="177"/>
      <c r="NR79" s="177"/>
      <c r="NS79" s="177"/>
      <c r="NT79" s="177"/>
      <c r="NU79" s="177"/>
      <c r="NV79" s="177"/>
      <c r="NW79" s="177"/>
      <c r="NX79" s="177"/>
      <c r="NY79" s="177"/>
      <c r="NZ79" s="177"/>
      <c r="OA79" s="177"/>
      <c r="OB79" s="177"/>
      <c r="OC79" s="177"/>
      <c r="OD79" s="177"/>
      <c r="OE79" s="177"/>
      <c r="OF79" s="177"/>
      <c r="OG79" s="177"/>
      <c r="OH79" s="177"/>
      <c r="OI79" s="177"/>
      <c r="OJ79" s="177"/>
      <c r="OK79" s="177"/>
      <c r="OL79" s="177"/>
      <c r="OM79" s="177"/>
      <c r="ON79" s="177"/>
      <c r="OO79" s="177"/>
      <c r="OP79" s="177"/>
      <c r="OQ79" s="177"/>
      <c r="OR79" s="177"/>
      <c r="OS79" s="177"/>
      <c r="OT79" s="177"/>
      <c r="OU79" s="177"/>
      <c r="OV79" s="177"/>
      <c r="OW79" s="177"/>
      <c r="OX79" s="177"/>
      <c r="OY79" s="177"/>
      <c r="OZ79" s="177"/>
      <c r="PA79" s="177"/>
      <c r="PB79" s="177"/>
      <c r="PC79" s="177"/>
      <c r="PD79" s="177"/>
      <c r="PE79" s="177"/>
      <c r="PF79" s="177"/>
      <c r="PG79" s="177"/>
      <c r="PH79" s="177"/>
      <c r="PI79" s="177"/>
      <c r="PJ79" s="177"/>
      <c r="PK79" s="177"/>
      <c r="PL79" s="177"/>
      <c r="PM79" s="177"/>
      <c r="PN79" s="177"/>
      <c r="PO79" s="177"/>
      <c r="PP79" s="177"/>
      <c r="PQ79" s="177"/>
      <c r="PR79" s="177"/>
      <c r="PS79" s="177"/>
      <c r="PT79" s="177"/>
      <c r="PU79" s="177"/>
      <c r="PV79" s="177"/>
      <c r="PW79" s="177"/>
      <c r="PX79" s="177"/>
      <c r="PY79" s="177"/>
      <c r="PZ79" s="177"/>
      <c r="QA79" s="177"/>
      <c r="QB79" s="177"/>
      <c r="QC79" s="177"/>
      <c r="QD79" s="177"/>
      <c r="QE79" s="177"/>
      <c r="QF79" s="177"/>
      <c r="QG79" s="177"/>
      <c r="QH79" s="177"/>
      <c r="QI79" s="177"/>
      <c r="QJ79" s="177"/>
      <c r="QK79" s="177"/>
      <c r="QL79" s="177"/>
      <c r="QM79" s="177"/>
      <c r="QN79" s="177"/>
      <c r="QO79" s="177"/>
      <c r="QP79" s="177"/>
      <c r="QQ79" s="177"/>
      <c r="QR79" s="177"/>
      <c r="QS79" s="177"/>
      <c r="QT79" s="177"/>
      <c r="QU79" s="177"/>
      <c r="QV79" s="177"/>
      <c r="QW79" s="177"/>
      <c r="QX79" s="177"/>
      <c r="QY79" s="177"/>
      <c r="QZ79" s="177"/>
      <c r="RA79" s="177"/>
      <c r="RB79" s="177"/>
      <c r="RC79" s="177"/>
      <c r="RD79" s="177"/>
      <c r="RE79" s="177"/>
      <c r="RF79" s="177"/>
      <c r="RG79" s="177"/>
      <c r="RH79" s="177"/>
      <c r="RI79" s="177"/>
      <c r="RJ79" s="177"/>
      <c r="RK79" s="177"/>
      <c r="RL79" s="177"/>
      <c r="RM79" s="177"/>
      <c r="RN79" s="177"/>
      <c r="RO79" s="177"/>
      <c r="RP79" s="177"/>
      <c r="RQ79" s="177"/>
      <c r="RR79" s="177"/>
      <c r="RS79" s="177"/>
      <c r="RT79" s="177"/>
      <c r="RU79" s="177"/>
      <c r="RV79" s="177"/>
      <c r="RW79" s="177"/>
      <c r="RX79" s="177"/>
      <c r="RY79" s="177"/>
      <c r="RZ79" s="177"/>
      <c r="SA79" s="177"/>
      <c r="SB79" s="177"/>
      <c r="SC79" s="177"/>
      <c r="SD79" s="177"/>
      <c r="SE79" s="177"/>
      <c r="SF79" s="177"/>
      <c r="SG79" s="177"/>
      <c r="SH79" s="177"/>
      <c r="SI79" s="177"/>
      <c r="SJ79" s="177"/>
      <c r="SK79" s="177"/>
      <c r="SL79" s="177"/>
      <c r="SM79" s="177"/>
      <c r="SN79" s="177"/>
      <c r="SO79" s="177"/>
      <c r="SP79" s="177"/>
      <c r="SQ79" s="177"/>
      <c r="SR79" s="177"/>
      <c r="SS79" s="177"/>
      <c r="ST79" s="177"/>
      <c r="SU79" s="177"/>
      <c r="SV79" s="177"/>
      <c r="SW79" s="177"/>
      <c r="SX79" s="177"/>
      <c r="SY79" s="177"/>
      <c r="SZ79" s="177"/>
      <c r="TA79" s="177"/>
      <c r="TB79" s="177"/>
      <c r="TC79" s="177"/>
      <c r="TD79" s="177"/>
      <c r="TE79" s="177"/>
      <c r="TF79" s="177"/>
      <c r="TG79" s="177"/>
      <c r="TH79" s="177"/>
      <c r="TI79" s="177"/>
      <c r="TJ79" s="177"/>
      <c r="TK79" s="177"/>
      <c r="TL79" s="177"/>
      <c r="TM79" s="177"/>
      <c r="TN79" s="177"/>
      <c r="TO79" s="177"/>
      <c r="TP79" s="177"/>
      <c r="TQ79" s="177"/>
      <c r="TR79" s="177"/>
      <c r="TS79" s="177"/>
      <c r="TT79" s="177"/>
      <c r="TU79" s="177"/>
      <c r="TV79" s="177"/>
      <c r="TW79" s="177"/>
      <c r="TX79" s="177"/>
      <c r="TY79" s="177"/>
      <c r="TZ79" s="177"/>
      <c r="UA79" s="177"/>
      <c r="UB79" s="177"/>
      <c r="UC79" s="177"/>
      <c r="UD79" s="177"/>
      <c r="UE79" s="177"/>
      <c r="UF79" s="177"/>
      <c r="UG79" s="177"/>
      <c r="UH79" s="177"/>
      <c r="UI79" s="177"/>
      <c r="UJ79" s="177"/>
      <c r="UK79" s="177"/>
      <c r="UL79" s="177"/>
      <c r="UM79" s="177"/>
      <c r="UN79" s="177"/>
      <c r="UO79" s="177"/>
      <c r="UP79" s="177"/>
      <c r="UQ79" s="177"/>
      <c r="UR79" s="177"/>
      <c r="US79" s="177"/>
      <c r="UT79" s="177"/>
      <c r="UU79" s="177"/>
      <c r="UV79" s="177"/>
      <c r="UW79" s="177"/>
      <c r="UX79" s="177"/>
      <c r="UY79" s="177"/>
      <c r="UZ79" s="177"/>
      <c r="VA79" s="177"/>
      <c r="VB79" s="177"/>
      <c r="VC79" s="177"/>
      <c r="VD79" s="177"/>
      <c r="VE79" s="177"/>
      <c r="VF79" s="177"/>
      <c r="VG79" s="177"/>
      <c r="VH79" s="177"/>
      <c r="VI79" s="177"/>
      <c r="VJ79" s="177"/>
      <c r="VK79" s="177"/>
      <c r="VL79" s="177"/>
      <c r="VM79" s="177"/>
      <c r="VN79" s="177"/>
      <c r="VO79" s="177"/>
      <c r="VP79" s="177"/>
      <c r="VQ79" s="177"/>
      <c r="VR79" s="177"/>
      <c r="VS79" s="177"/>
      <c r="VT79" s="177"/>
      <c r="VU79" s="177"/>
      <c r="VV79" s="177"/>
      <c r="VW79" s="177"/>
      <c r="VX79" s="177"/>
      <c r="VY79" s="177"/>
      <c r="VZ79" s="177"/>
      <c r="WA79" s="177"/>
      <c r="WB79" s="177"/>
      <c r="WC79" s="177"/>
      <c r="WD79" s="177"/>
      <c r="WE79" s="177"/>
      <c r="WF79" s="177"/>
      <c r="WG79" s="177"/>
      <c r="WH79" s="177"/>
      <c r="WI79" s="177"/>
      <c r="WJ79" s="177"/>
      <c r="WK79" s="177"/>
      <c r="WL79" s="177"/>
      <c r="WM79" s="177"/>
      <c r="WN79" s="177"/>
      <c r="WO79" s="177"/>
      <c r="WP79" s="177"/>
      <c r="WQ79" s="177"/>
      <c r="WR79" s="177"/>
      <c r="WS79" s="177"/>
      <c r="WT79" s="177"/>
      <c r="WU79" s="177"/>
      <c r="WV79" s="177"/>
      <c r="WW79" s="177"/>
      <c r="WX79" s="177"/>
      <c r="WY79" s="177"/>
      <c r="WZ79" s="177"/>
      <c r="XA79" s="177"/>
      <c r="XB79" s="177"/>
      <c r="XC79" s="177"/>
      <c r="XD79" s="177"/>
      <c r="XE79" s="177"/>
      <c r="XF79" s="177"/>
      <c r="XG79" s="177"/>
      <c r="XH79" s="177"/>
      <c r="XI79" s="177"/>
      <c r="XJ79" s="177"/>
      <c r="XK79" s="177"/>
      <c r="XL79" s="177"/>
      <c r="XM79" s="177"/>
      <c r="XN79" s="177"/>
      <c r="XO79" s="177"/>
      <c r="XP79" s="177"/>
      <c r="XQ79" s="177"/>
      <c r="XR79" s="177"/>
      <c r="XS79" s="177"/>
      <c r="XT79" s="177"/>
      <c r="XU79" s="177"/>
      <c r="XV79" s="177"/>
      <c r="XW79" s="177"/>
      <c r="XX79" s="177"/>
      <c r="XY79" s="177"/>
      <c r="XZ79" s="177"/>
      <c r="YA79" s="177"/>
      <c r="YB79" s="177"/>
      <c r="YC79" s="177"/>
      <c r="YD79" s="177"/>
      <c r="YE79" s="177"/>
      <c r="YF79" s="177"/>
      <c r="YG79" s="177"/>
      <c r="YH79" s="177"/>
      <c r="YI79" s="177"/>
      <c r="YJ79" s="177"/>
      <c r="YK79" s="177"/>
      <c r="YL79" s="177"/>
      <c r="YM79" s="177"/>
      <c r="YN79" s="177"/>
      <c r="YO79" s="177"/>
      <c r="YP79" s="177"/>
      <c r="YQ79" s="177"/>
      <c r="YR79" s="177"/>
      <c r="YS79" s="177"/>
      <c r="YT79" s="177"/>
      <c r="YU79" s="177"/>
      <c r="YV79" s="177"/>
      <c r="YW79" s="177"/>
      <c r="YX79" s="177"/>
      <c r="YY79" s="177"/>
      <c r="YZ79" s="177"/>
      <c r="ZA79" s="177"/>
      <c r="ZB79" s="177"/>
      <c r="ZC79" s="177"/>
      <c r="ZD79" s="177"/>
      <c r="ZE79" s="177"/>
      <c r="ZF79" s="177"/>
      <c r="ZG79" s="177"/>
      <c r="ZH79" s="177"/>
      <c r="ZI79" s="177"/>
      <c r="ZJ79" s="177"/>
      <c r="ZK79" s="177"/>
      <c r="ZL79" s="177"/>
      <c r="ZM79" s="177"/>
      <c r="ZN79" s="177"/>
      <c r="ZO79" s="177"/>
      <c r="ZP79" s="177"/>
      <c r="ZQ79" s="177"/>
      <c r="ZR79" s="177"/>
      <c r="ZS79" s="177"/>
      <c r="ZT79" s="177"/>
      <c r="ZU79" s="177"/>
      <c r="ZV79" s="177"/>
      <c r="ZW79" s="177"/>
      <c r="ZX79" s="177"/>
      <c r="ZY79" s="177"/>
      <c r="ZZ79" s="177"/>
      <c r="AAA79" s="177"/>
      <c r="AAB79" s="177"/>
      <c r="AAC79" s="177"/>
      <c r="AAD79" s="177"/>
      <c r="AAE79" s="177"/>
      <c r="AAF79" s="177"/>
      <c r="AAG79" s="177"/>
      <c r="AAH79" s="177"/>
      <c r="AAI79" s="177"/>
      <c r="AAJ79" s="177"/>
      <c r="AAK79" s="177"/>
      <c r="AAL79" s="177"/>
      <c r="AAM79" s="177"/>
      <c r="AAN79" s="177"/>
      <c r="AAO79" s="177"/>
      <c r="AAP79" s="177"/>
      <c r="AAQ79" s="177"/>
      <c r="AAR79" s="177"/>
      <c r="AAS79" s="177"/>
      <c r="AAT79" s="177"/>
      <c r="AAU79" s="177"/>
      <c r="AAV79" s="177"/>
      <c r="AAW79" s="177"/>
      <c r="AAX79" s="177"/>
      <c r="AAY79" s="177"/>
      <c r="AAZ79" s="177"/>
      <c r="ABA79" s="177"/>
      <c r="ABB79" s="177"/>
      <c r="ABC79" s="177"/>
      <c r="ABD79" s="177"/>
      <c r="ABE79" s="177"/>
      <c r="ABF79" s="177"/>
      <c r="ABG79" s="177"/>
      <c r="ABH79" s="177"/>
      <c r="ABI79" s="177"/>
      <c r="ABJ79" s="177"/>
      <c r="ABK79" s="177"/>
      <c r="ABL79" s="177"/>
      <c r="ABM79" s="177"/>
      <c r="ABN79" s="177"/>
      <c r="ABO79" s="177"/>
      <c r="ABP79" s="177"/>
      <c r="ABQ79" s="177"/>
      <c r="ABR79" s="177"/>
      <c r="ABS79" s="177"/>
      <c r="ABT79" s="177"/>
      <c r="ABU79" s="177"/>
      <c r="ABV79" s="177"/>
      <c r="ABW79" s="177"/>
      <c r="ABX79" s="177"/>
      <c r="ABY79" s="177"/>
      <c r="ABZ79" s="177"/>
      <c r="ACA79" s="177"/>
      <c r="ACB79" s="177"/>
      <c r="ACC79" s="177"/>
      <c r="ACD79" s="177"/>
      <c r="ACE79" s="177"/>
      <c r="ACF79" s="177"/>
      <c r="ACG79" s="177"/>
      <c r="ACH79" s="177"/>
      <c r="ACI79" s="177"/>
      <c r="ACJ79" s="177"/>
      <c r="ACK79" s="177"/>
      <c r="ACL79" s="177"/>
      <c r="ACM79" s="177"/>
      <c r="ACN79" s="177"/>
      <c r="ACO79" s="177"/>
      <c r="ACP79" s="177"/>
      <c r="ACQ79" s="177"/>
      <c r="ACR79" s="177"/>
      <c r="ACS79" s="177"/>
      <c r="ACT79" s="177"/>
      <c r="ACU79" s="177"/>
      <c r="ACV79" s="177"/>
      <c r="ACW79" s="177"/>
      <c r="ACX79" s="177"/>
      <c r="ACY79" s="177"/>
      <c r="ACZ79" s="177"/>
      <c r="ADA79" s="177"/>
      <c r="ADB79" s="177"/>
      <c r="ADC79" s="177"/>
      <c r="ADD79" s="177"/>
      <c r="ADE79" s="177"/>
      <c r="ADF79" s="177"/>
      <c r="ADG79" s="177"/>
      <c r="ADH79" s="177"/>
      <c r="ADI79" s="177"/>
      <c r="ADJ79" s="177"/>
      <c r="ADK79" s="177"/>
      <c r="ADL79" s="177"/>
      <c r="ADM79" s="177"/>
      <c r="ADN79" s="177"/>
      <c r="ADO79" s="177"/>
      <c r="ADP79" s="177"/>
      <c r="ADQ79" s="177"/>
      <c r="ADR79" s="177"/>
      <c r="ADS79" s="177"/>
      <c r="ADT79" s="177"/>
      <c r="ADU79" s="177"/>
      <c r="ADV79" s="177"/>
      <c r="ADW79" s="177"/>
      <c r="ADX79" s="177"/>
      <c r="ADY79" s="177"/>
      <c r="ADZ79" s="177"/>
      <c r="AEA79" s="177"/>
      <c r="AEB79" s="177"/>
      <c r="AEC79" s="177"/>
      <c r="AED79" s="177"/>
      <c r="AEE79" s="177"/>
      <c r="AEF79" s="177"/>
      <c r="AEG79" s="177"/>
      <c r="AEH79" s="177"/>
      <c r="AEI79" s="177"/>
      <c r="AEJ79" s="177"/>
      <c r="AEK79" s="177"/>
      <c r="AEL79" s="177"/>
      <c r="AEM79" s="177"/>
      <c r="AEN79" s="177"/>
      <c r="AEO79" s="177"/>
      <c r="AEP79" s="177"/>
      <c r="AEQ79" s="177"/>
      <c r="AER79" s="177"/>
      <c r="AES79" s="177"/>
      <c r="AET79" s="177"/>
      <c r="AEU79" s="177"/>
      <c r="AEV79" s="177"/>
      <c r="AEW79" s="177"/>
      <c r="AEX79" s="177"/>
      <c r="AEY79" s="177"/>
      <c r="AEZ79" s="177"/>
      <c r="AFA79" s="177"/>
      <c r="AFB79" s="177"/>
      <c r="AFC79" s="177"/>
      <c r="AFD79" s="177"/>
      <c r="AFE79" s="177"/>
      <c r="AFF79" s="177"/>
      <c r="AFG79" s="177"/>
      <c r="AFH79" s="177"/>
      <c r="AFI79" s="177"/>
      <c r="AFJ79" s="177"/>
      <c r="AFK79" s="177"/>
      <c r="AFL79" s="177"/>
      <c r="AFM79" s="177"/>
      <c r="AFN79" s="177"/>
      <c r="AFO79" s="177"/>
      <c r="AFP79" s="177"/>
      <c r="AFQ79" s="177"/>
      <c r="AFR79" s="177"/>
      <c r="AFS79" s="177"/>
      <c r="AFT79" s="177"/>
      <c r="AFU79" s="177"/>
      <c r="AFV79" s="177"/>
      <c r="AFW79" s="177"/>
      <c r="AFX79" s="177"/>
      <c r="AFY79" s="177"/>
      <c r="AFZ79" s="177"/>
      <c r="AGA79" s="177"/>
      <c r="AGB79" s="177"/>
      <c r="AGC79" s="177"/>
      <c r="AGD79" s="177"/>
      <c r="AGE79" s="177"/>
      <c r="AGF79" s="177"/>
      <c r="AGG79" s="177"/>
      <c r="AGH79" s="177"/>
      <c r="AGI79" s="177"/>
      <c r="AGJ79" s="177"/>
      <c r="AGK79" s="177"/>
      <c r="AGL79" s="177"/>
      <c r="AGM79" s="177"/>
      <c r="AGN79" s="177"/>
      <c r="AGO79" s="177"/>
      <c r="AGP79" s="177"/>
      <c r="AGQ79" s="177"/>
      <c r="AGR79" s="177"/>
      <c r="AGS79" s="177"/>
      <c r="AGT79" s="177"/>
      <c r="AGU79" s="177"/>
      <c r="AGV79" s="177"/>
      <c r="AGW79" s="177"/>
      <c r="AGX79" s="177"/>
      <c r="AGY79" s="177"/>
      <c r="AGZ79" s="177"/>
      <c r="AHA79" s="177"/>
      <c r="AHB79" s="177"/>
      <c r="AHC79" s="177"/>
      <c r="AHD79" s="177"/>
      <c r="AHE79" s="177"/>
      <c r="AHF79" s="177"/>
      <c r="AHG79" s="177"/>
      <c r="AHH79" s="177"/>
      <c r="AHI79" s="177"/>
      <c r="AHJ79" s="177"/>
      <c r="AHK79" s="177"/>
      <c r="AHL79" s="177"/>
      <c r="AHM79" s="177"/>
      <c r="AHN79" s="177"/>
      <c r="AHO79" s="177"/>
      <c r="AHP79" s="177"/>
      <c r="AHQ79" s="177"/>
      <c r="AHR79" s="177"/>
      <c r="AHS79" s="177"/>
      <c r="AHT79" s="177"/>
      <c r="AHU79" s="177"/>
      <c r="AHV79" s="177"/>
      <c r="AHW79" s="177"/>
      <c r="AHX79" s="177"/>
      <c r="AHY79" s="177"/>
      <c r="AHZ79" s="177"/>
      <c r="AIA79" s="177"/>
      <c r="AIB79" s="177"/>
      <c r="AIC79" s="177"/>
      <c r="AID79" s="177"/>
      <c r="AIE79" s="177"/>
      <c r="AIF79" s="177"/>
      <c r="AIG79" s="177"/>
      <c r="AIH79" s="177"/>
      <c r="AII79" s="177"/>
      <c r="AIJ79" s="177"/>
      <c r="AIK79" s="177"/>
      <c r="AIL79" s="177"/>
      <c r="AIM79" s="177"/>
      <c r="AIN79" s="177"/>
      <c r="AIO79" s="177"/>
      <c r="AIP79" s="177"/>
      <c r="AIQ79" s="177"/>
      <c r="AIR79" s="177"/>
      <c r="AIS79" s="177"/>
      <c r="AIT79" s="177"/>
      <c r="AIU79" s="177"/>
      <c r="AIV79" s="177"/>
      <c r="AIW79" s="177"/>
      <c r="AIX79" s="177"/>
      <c r="AIY79" s="177"/>
      <c r="AIZ79" s="177"/>
      <c r="AJA79" s="177"/>
      <c r="AJB79" s="177"/>
      <c r="AJC79" s="177"/>
      <c r="AJD79" s="177"/>
      <c r="AJE79" s="177"/>
      <c r="AJF79" s="177"/>
      <c r="AJG79" s="177"/>
      <c r="AJH79" s="177"/>
      <c r="AJI79" s="177"/>
      <c r="AJJ79" s="177"/>
      <c r="AJK79" s="177"/>
      <c r="AJL79" s="177"/>
      <c r="AJM79" s="177"/>
      <c r="AJN79" s="177"/>
      <c r="AJO79" s="177"/>
      <c r="AJP79" s="177"/>
      <c r="AJQ79" s="177"/>
      <c r="AJR79" s="177"/>
      <c r="AJS79" s="177"/>
      <c r="AJT79" s="177"/>
      <c r="AJU79" s="177"/>
      <c r="AJV79" s="177"/>
      <c r="AJW79" s="177"/>
      <c r="AJX79" s="177"/>
      <c r="AJY79" s="177"/>
      <c r="AJZ79" s="177"/>
      <c r="AKA79" s="177"/>
      <c r="AKB79" s="177"/>
      <c r="AKC79" s="177"/>
    </row>
    <row r="80" spans="1:965" s="143" customFormat="1" ht="29" customHeight="1" x14ac:dyDescent="0.35">
      <c r="A80" s="267" t="s">
        <v>1073</v>
      </c>
      <c r="B80" s="125" t="s">
        <v>2232</v>
      </c>
      <c r="C80" s="126"/>
      <c r="D80" s="127" t="s">
        <v>1139</v>
      </c>
      <c r="E80" s="128"/>
      <c r="F80" s="268">
        <f>F76+F79</f>
        <v>0</v>
      </c>
      <c r="IR80" s="12"/>
      <c r="IS80" s="12"/>
      <c r="IT80" s="12"/>
      <c r="IU80" s="12"/>
      <c r="IV80" s="12"/>
      <c r="IW80" s="12"/>
      <c r="IX80" s="12"/>
      <c r="IY80" s="12"/>
      <c r="IZ80" s="12"/>
      <c r="JA80" s="12"/>
      <c r="JB80" s="12"/>
      <c r="JC80" s="12"/>
      <c r="JD80" s="12"/>
      <c r="JE80" s="12"/>
      <c r="JF80" s="12"/>
      <c r="JG80" s="12"/>
      <c r="JH80" s="12"/>
      <c r="JI80" s="12"/>
      <c r="JJ80" s="12"/>
      <c r="JK80" s="12"/>
      <c r="JL80" s="12"/>
      <c r="JM80" s="12"/>
      <c r="JN80" s="12"/>
      <c r="JO80" s="12"/>
      <c r="JP80" s="12"/>
      <c r="JQ80" s="12"/>
      <c r="JR80" s="12"/>
      <c r="JS80" s="12"/>
      <c r="JT80" s="12"/>
      <c r="JU80" s="12"/>
      <c r="JV80" s="12"/>
      <c r="JW80" s="12"/>
      <c r="JX80" s="12"/>
      <c r="JY80" s="12"/>
      <c r="JZ80" s="12"/>
      <c r="KA80" s="12"/>
      <c r="KB80" s="12"/>
      <c r="KC80" s="12"/>
      <c r="KD80" s="12"/>
      <c r="KE80" s="12"/>
      <c r="KF80" s="12"/>
      <c r="KG80" s="12"/>
      <c r="KH80" s="12"/>
      <c r="KI80" s="12"/>
      <c r="KJ80" s="12"/>
      <c r="KK80" s="12"/>
      <c r="KL80" s="12"/>
      <c r="KM80" s="12"/>
      <c r="KN80" s="12"/>
      <c r="KO80" s="12"/>
      <c r="KP80" s="12"/>
      <c r="KQ80" s="12"/>
      <c r="KR80" s="12"/>
      <c r="KS80" s="12"/>
      <c r="KT80" s="12"/>
      <c r="KU80" s="12"/>
      <c r="KV80" s="12"/>
      <c r="KW80" s="12"/>
      <c r="KX80" s="12"/>
      <c r="KY80" s="12"/>
      <c r="KZ80" s="12"/>
      <c r="LA80" s="12"/>
      <c r="LB80" s="12"/>
      <c r="LC80" s="12"/>
      <c r="LD80" s="12"/>
      <c r="LE80" s="12"/>
      <c r="LF80" s="12"/>
      <c r="LG80" s="12"/>
      <c r="LH80" s="12"/>
      <c r="LI80" s="12"/>
      <c r="LJ80" s="12"/>
      <c r="LK80" s="12"/>
      <c r="LL80" s="12"/>
      <c r="LM80" s="12"/>
      <c r="LN80" s="12"/>
      <c r="LO80" s="12"/>
      <c r="LP80" s="12"/>
      <c r="LQ80" s="12"/>
      <c r="LR80" s="12"/>
      <c r="LS80" s="12"/>
      <c r="LT80" s="12"/>
      <c r="LU80" s="12"/>
      <c r="LV80" s="12"/>
      <c r="LW80" s="12"/>
      <c r="LX80" s="12"/>
      <c r="LY80" s="12"/>
      <c r="LZ80" s="12"/>
      <c r="MA80" s="12"/>
      <c r="MB80" s="12"/>
      <c r="MC80" s="12"/>
      <c r="MD80" s="12"/>
      <c r="ME80" s="12"/>
      <c r="MF80" s="12"/>
      <c r="MG80" s="12"/>
      <c r="MH80" s="12"/>
      <c r="MI80" s="12"/>
      <c r="MJ80" s="12"/>
      <c r="MK80" s="12"/>
      <c r="ML80" s="12"/>
      <c r="MM80" s="12"/>
      <c r="MN80" s="12"/>
      <c r="MO80" s="12"/>
      <c r="MP80" s="12"/>
      <c r="MQ80" s="12"/>
      <c r="MR80" s="12"/>
      <c r="MS80" s="12"/>
      <c r="MT80" s="12"/>
      <c r="MU80" s="12"/>
      <c r="MV80" s="12"/>
      <c r="MW80" s="12"/>
      <c r="MX80" s="12"/>
      <c r="MY80" s="12"/>
      <c r="MZ80" s="12"/>
      <c r="NA80" s="12"/>
      <c r="NB80" s="12"/>
      <c r="NC80" s="12"/>
      <c r="ND80" s="12"/>
      <c r="NE80" s="12"/>
      <c r="NF80" s="12"/>
      <c r="NG80" s="12"/>
      <c r="NH80" s="12"/>
      <c r="NI80" s="12"/>
      <c r="NJ80" s="12"/>
      <c r="NK80" s="12"/>
      <c r="NL80" s="12"/>
      <c r="NM80" s="12"/>
      <c r="NN80" s="12"/>
      <c r="NO80" s="12"/>
      <c r="NP80" s="12"/>
      <c r="NQ80" s="12"/>
      <c r="NR80" s="12"/>
      <c r="NS80" s="12"/>
      <c r="NT80" s="12"/>
      <c r="NU80" s="12"/>
      <c r="NV80" s="12"/>
      <c r="NW80" s="12"/>
      <c r="NX80" s="12"/>
      <c r="NY80" s="12"/>
      <c r="NZ80" s="12"/>
      <c r="OA80" s="12"/>
      <c r="OB80" s="12"/>
      <c r="OC80" s="12"/>
      <c r="OD80" s="12"/>
      <c r="OE80" s="12"/>
      <c r="OF80" s="12"/>
      <c r="OG80" s="12"/>
      <c r="OH80" s="12"/>
      <c r="OI80" s="12"/>
      <c r="OJ80" s="12"/>
      <c r="OK80" s="12"/>
      <c r="OL80" s="12"/>
      <c r="OM80" s="12"/>
      <c r="ON80" s="12"/>
      <c r="OO80" s="12"/>
      <c r="OP80" s="12"/>
      <c r="OQ80" s="12"/>
      <c r="OR80" s="12"/>
      <c r="OS80" s="12"/>
      <c r="OT80" s="12"/>
      <c r="OU80" s="12"/>
      <c r="OV80" s="12"/>
      <c r="OW80" s="12"/>
      <c r="OX80" s="12"/>
      <c r="OY80" s="12"/>
      <c r="OZ80" s="12"/>
      <c r="PA80" s="12"/>
      <c r="PB80" s="12"/>
      <c r="PC80" s="12"/>
      <c r="PD80" s="12"/>
      <c r="PE80" s="12"/>
      <c r="PF80" s="12"/>
      <c r="PG80" s="12"/>
      <c r="PH80" s="12"/>
      <c r="PI80" s="12"/>
      <c r="PJ80" s="12"/>
      <c r="PK80" s="12"/>
      <c r="PL80" s="12"/>
      <c r="PM80" s="12"/>
      <c r="PN80" s="12"/>
      <c r="PO80" s="12"/>
      <c r="PP80" s="12"/>
      <c r="PQ80" s="12"/>
      <c r="PR80" s="12"/>
      <c r="PS80" s="12"/>
      <c r="PT80" s="12"/>
      <c r="PU80" s="12"/>
      <c r="PV80" s="12"/>
      <c r="PW80" s="12"/>
      <c r="PX80" s="12"/>
      <c r="PY80" s="12"/>
      <c r="PZ80" s="12"/>
      <c r="QA80" s="12"/>
      <c r="QB80" s="12"/>
      <c r="QC80" s="12"/>
      <c r="QD80" s="12"/>
      <c r="QE80" s="12"/>
      <c r="QF80" s="12"/>
      <c r="QG80" s="12"/>
      <c r="QH80" s="12"/>
      <c r="QI80" s="12"/>
      <c r="QJ80" s="12"/>
      <c r="QK80" s="12"/>
      <c r="QL80" s="12"/>
      <c r="QM80" s="12"/>
      <c r="QN80" s="12"/>
      <c r="QO80" s="12"/>
      <c r="QP80" s="12"/>
      <c r="QQ80" s="12"/>
      <c r="QR80" s="12"/>
      <c r="QS80" s="12"/>
      <c r="QT80" s="12"/>
      <c r="QU80" s="12"/>
      <c r="QV80" s="12"/>
      <c r="QW80" s="12"/>
      <c r="QX80" s="12"/>
      <c r="QY80" s="12"/>
      <c r="QZ80" s="12"/>
      <c r="RA80" s="12"/>
      <c r="RB80" s="12"/>
      <c r="RC80" s="12"/>
      <c r="RD80" s="12"/>
      <c r="RE80" s="12"/>
      <c r="RF80" s="12"/>
      <c r="RG80" s="12"/>
      <c r="RH80" s="12"/>
      <c r="RI80" s="12"/>
      <c r="RJ80" s="12"/>
      <c r="RK80" s="12"/>
      <c r="RL80" s="12"/>
      <c r="RM80" s="12"/>
      <c r="RN80" s="12"/>
      <c r="RO80" s="12"/>
      <c r="RP80" s="12"/>
      <c r="RQ80" s="12"/>
      <c r="RR80" s="12"/>
      <c r="RS80" s="12"/>
      <c r="RT80" s="12"/>
      <c r="RU80" s="12"/>
      <c r="RV80" s="12"/>
      <c r="RW80" s="12"/>
      <c r="RX80" s="12"/>
      <c r="RY80" s="12"/>
      <c r="RZ80" s="12"/>
      <c r="SA80" s="12"/>
      <c r="SB80" s="12"/>
      <c r="SC80" s="12"/>
      <c r="SD80" s="12"/>
      <c r="SE80" s="12"/>
      <c r="SF80" s="12"/>
      <c r="SG80" s="12"/>
      <c r="SH80" s="12"/>
      <c r="SI80" s="12"/>
      <c r="SJ80" s="12"/>
      <c r="SK80" s="12"/>
      <c r="SL80" s="12"/>
      <c r="SM80" s="12"/>
      <c r="SN80" s="12"/>
      <c r="SO80" s="12"/>
      <c r="SP80" s="12"/>
      <c r="SQ80" s="12"/>
      <c r="SR80" s="12"/>
      <c r="SS80" s="12"/>
      <c r="ST80" s="12"/>
      <c r="SU80" s="12"/>
      <c r="SV80" s="12"/>
      <c r="SW80" s="12"/>
      <c r="SX80" s="12"/>
      <c r="SY80" s="12"/>
      <c r="SZ80" s="12"/>
      <c r="TA80" s="12"/>
      <c r="TB80" s="12"/>
      <c r="TC80" s="12"/>
      <c r="TD80" s="12"/>
      <c r="TE80" s="12"/>
      <c r="TF80" s="12"/>
      <c r="TG80" s="12"/>
      <c r="TH80" s="12"/>
      <c r="TI80" s="12"/>
      <c r="TJ80" s="12"/>
      <c r="TK80" s="12"/>
      <c r="TL80" s="12"/>
      <c r="TM80" s="12"/>
      <c r="TN80" s="12"/>
      <c r="TO80" s="12"/>
      <c r="TP80" s="12"/>
      <c r="TQ80" s="12"/>
      <c r="TR80" s="12"/>
      <c r="TS80" s="12"/>
      <c r="TT80" s="12"/>
      <c r="TU80" s="12"/>
      <c r="TV80" s="12"/>
      <c r="TW80" s="12"/>
      <c r="TX80" s="12"/>
      <c r="TY80" s="12"/>
      <c r="TZ80" s="12"/>
      <c r="UA80" s="12"/>
      <c r="UB80" s="12"/>
      <c r="UC80" s="12"/>
      <c r="UD80" s="12"/>
      <c r="UE80" s="12"/>
      <c r="UF80" s="12"/>
      <c r="UG80" s="12"/>
      <c r="UH80" s="12"/>
      <c r="UI80" s="12"/>
      <c r="UJ80" s="12"/>
      <c r="UK80" s="12"/>
      <c r="UL80" s="12"/>
      <c r="UM80" s="12"/>
      <c r="UN80" s="12"/>
      <c r="UO80" s="12"/>
      <c r="UP80" s="12"/>
      <c r="UQ80" s="12"/>
      <c r="UR80" s="12"/>
      <c r="US80" s="12"/>
      <c r="UT80" s="12"/>
      <c r="UU80" s="12"/>
      <c r="UV80" s="12"/>
      <c r="UW80" s="12"/>
      <c r="UX80" s="12"/>
      <c r="UY80" s="12"/>
      <c r="UZ80" s="12"/>
      <c r="VA80" s="12"/>
      <c r="VB80" s="12"/>
      <c r="VC80" s="12"/>
      <c r="VD80" s="12"/>
      <c r="VE80" s="12"/>
      <c r="VF80" s="12"/>
      <c r="VG80" s="12"/>
      <c r="VH80" s="12"/>
      <c r="VI80" s="12"/>
      <c r="VJ80" s="12"/>
      <c r="VK80" s="12"/>
      <c r="VL80" s="12"/>
      <c r="VM80" s="12"/>
      <c r="VN80" s="12"/>
      <c r="VO80" s="12"/>
      <c r="VP80" s="12"/>
      <c r="VQ80" s="12"/>
      <c r="VR80" s="12"/>
      <c r="VS80" s="12"/>
      <c r="VT80" s="12"/>
      <c r="VU80" s="12"/>
      <c r="VV80" s="12"/>
      <c r="VW80" s="12"/>
      <c r="VX80" s="12"/>
      <c r="VY80" s="12"/>
      <c r="VZ80" s="12"/>
      <c r="WA80" s="12"/>
      <c r="WB80" s="12"/>
      <c r="WC80" s="12"/>
      <c r="WD80" s="12"/>
      <c r="WE80" s="12"/>
      <c r="WF80" s="12"/>
      <c r="WG80" s="12"/>
      <c r="WH80" s="12"/>
      <c r="WI80" s="12"/>
      <c r="WJ80" s="12"/>
      <c r="WK80" s="12"/>
      <c r="WL80" s="12"/>
      <c r="WM80" s="12"/>
      <c r="WN80" s="12"/>
      <c r="WO80" s="12"/>
      <c r="WP80" s="12"/>
      <c r="WQ80" s="12"/>
      <c r="WR80" s="12"/>
      <c r="WS80" s="12"/>
      <c r="WT80" s="12"/>
      <c r="WU80" s="12"/>
      <c r="WV80" s="12"/>
      <c r="WW80" s="12"/>
      <c r="WX80" s="12"/>
      <c r="WY80" s="12"/>
      <c r="WZ80" s="12"/>
      <c r="XA80" s="12"/>
      <c r="XB80" s="12"/>
      <c r="XC80" s="12"/>
      <c r="XD80" s="12"/>
      <c r="XE80" s="12"/>
      <c r="XF80" s="12"/>
      <c r="XG80" s="12"/>
      <c r="XH80" s="12"/>
      <c r="XI80" s="12"/>
      <c r="XJ80" s="12"/>
      <c r="XK80" s="12"/>
      <c r="XL80" s="12"/>
      <c r="XM80" s="12"/>
      <c r="XN80" s="12"/>
      <c r="XO80" s="12"/>
      <c r="XP80" s="12"/>
      <c r="XQ80" s="12"/>
      <c r="XR80" s="12"/>
      <c r="XS80" s="12"/>
      <c r="XT80" s="12"/>
      <c r="XU80" s="12"/>
      <c r="XV80" s="12"/>
      <c r="XW80" s="12"/>
      <c r="XX80" s="12"/>
      <c r="XY80" s="12"/>
      <c r="XZ80" s="12"/>
      <c r="YA80" s="12"/>
      <c r="YB80" s="12"/>
      <c r="YC80" s="12"/>
      <c r="YD80" s="12"/>
      <c r="YE80" s="12"/>
      <c r="YF80" s="12"/>
      <c r="YG80" s="12"/>
      <c r="YH80" s="12"/>
      <c r="YI80" s="12"/>
      <c r="YJ80" s="12"/>
      <c r="YK80" s="12"/>
      <c r="YL80" s="12"/>
      <c r="YM80" s="12"/>
      <c r="YN80" s="12"/>
      <c r="YO80" s="12"/>
      <c r="YP80" s="12"/>
      <c r="YQ80" s="12"/>
      <c r="YR80" s="12"/>
      <c r="YS80" s="12"/>
      <c r="YT80" s="12"/>
      <c r="YU80" s="12"/>
      <c r="YV80" s="12"/>
      <c r="YW80" s="12"/>
      <c r="YX80" s="12"/>
      <c r="YY80" s="12"/>
      <c r="YZ80" s="12"/>
      <c r="ZA80" s="12"/>
      <c r="ZB80" s="12"/>
      <c r="ZC80" s="12"/>
      <c r="ZD80" s="12"/>
      <c r="ZE80" s="12"/>
      <c r="ZF80" s="12"/>
      <c r="ZG80" s="12"/>
      <c r="ZH80" s="12"/>
      <c r="ZI80" s="12"/>
      <c r="ZJ80" s="12"/>
      <c r="ZK80" s="12"/>
      <c r="ZL80" s="12"/>
      <c r="ZM80" s="12"/>
      <c r="ZN80" s="12"/>
      <c r="ZO80" s="12"/>
      <c r="ZP80" s="12"/>
      <c r="ZQ80" s="12"/>
      <c r="ZR80" s="12"/>
      <c r="ZS80" s="12"/>
      <c r="ZT80" s="12"/>
      <c r="ZU80" s="12"/>
      <c r="ZV80" s="12"/>
      <c r="ZW80" s="12"/>
      <c r="ZX80" s="12"/>
      <c r="ZY80" s="12"/>
      <c r="ZZ80" s="12"/>
      <c r="AAA80" s="12"/>
      <c r="AAB80" s="12"/>
      <c r="AAC80" s="12"/>
      <c r="AAD80" s="12"/>
      <c r="AAE80" s="12"/>
      <c r="AAF80" s="12"/>
      <c r="AAG80" s="12"/>
      <c r="AAH80" s="12"/>
      <c r="AAI80" s="12"/>
      <c r="AAJ80" s="12"/>
      <c r="AAK80" s="12"/>
      <c r="AAL80" s="12"/>
      <c r="AAM80" s="12"/>
      <c r="AAN80" s="12"/>
      <c r="AAO80" s="12"/>
      <c r="AAP80" s="12"/>
      <c r="AAQ80" s="12"/>
      <c r="AAR80" s="12"/>
      <c r="AAS80" s="12"/>
      <c r="AAT80" s="12"/>
      <c r="AAU80" s="12"/>
      <c r="AAV80" s="12"/>
      <c r="AAW80" s="12"/>
      <c r="AAX80" s="12"/>
      <c r="AAY80" s="12"/>
      <c r="AAZ80" s="12"/>
      <c r="ABA80" s="12"/>
      <c r="ABB80" s="12"/>
      <c r="ABC80" s="12"/>
      <c r="ABD80" s="12"/>
      <c r="ABE80" s="12"/>
      <c r="ABF80" s="12"/>
      <c r="ABG80" s="12"/>
      <c r="ABH80" s="12"/>
      <c r="ABI80" s="12"/>
      <c r="ABJ80" s="12"/>
      <c r="ABK80" s="12"/>
      <c r="ABL80" s="12"/>
      <c r="ABM80" s="12"/>
      <c r="ABN80" s="12"/>
      <c r="ABO80" s="12"/>
      <c r="ABP80" s="12"/>
      <c r="ABQ80" s="12"/>
      <c r="ABR80" s="12"/>
      <c r="ABS80" s="12"/>
      <c r="ABT80" s="12"/>
      <c r="ABU80" s="12"/>
      <c r="ABV80" s="12"/>
      <c r="ABW80" s="12"/>
      <c r="ABX80" s="12"/>
      <c r="ABY80" s="12"/>
      <c r="ABZ80" s="12"/>
      <c r="ACA80" s="12"/>
      <c r="ACB80" s="12"/>
      <c r="ACC80" s="12"/>
      <c r="ACD80" s="12"/>
      <c r="ACE80" s="12"/>
      <c r="ACF80" s="12"/>
      <c r="ACG80" s="12"/>
      <c r="ACH80" s="12"/>
      <c r="ACI80" s="12"/>
      <c r="ACJ80" s="12"/>
      <c r="ACK80" s="12"/>
      <c r="ACL80" s="12"/>
      <c r="ACM80" s="12"/>
      <c r="ACN80" s="12"/>
      <c r="ACO80" s="12"/>
      <c r="ACP80" s="12"/>
      <c r="ACQ80" s="12"/>
      <c r="ACR80" s="12"/>
      <c r="ACS80" s="12"/>
      <c r="ACT80" s="12"/>
      <c r="ACU80" s="12"/>
      <c r="ACV80" s="12"/>
      <c r="ACW80" s="12"/>
      <c r="ACX80" s="12"/>
      <c r="ACY80" s="12"/>
      <c r="ACZ80" s="12"/>
      <c r="ADA80" s="12"/>
      <c r="ADB80" s="12"/>
      <c r="ADC80" s="12"/>
      <c r="ADD80" s="12"/>
      <c r="ADE80" s="12"/>
      <c r="ADF80" s="12"/>
      <c r="ADG80" s="12"/>
      <c r="ADH80" s="12"/>
      <c r="ADI80" s="12"/>
      <c r="ADJ80" s="12"/>
      <c r="ADK80" s="12"/>
      <c r="ADL80" s="12"/>
      <c r="ADM80" s="12"/>
      <c r="ADN80" s="12"/>
      <c r="ADO80" s="12"/>
      <c r="ADP80" s="12"/>
      <c r="ADQ80" s="12"/>
      <c r="ADR80" s="12"/>
      <c r="ADS80" s="12"/>
      <c r="ADT80" s="12"/>
      <c r="ADU80" s="12"/>
      <c r="ADV80" s="12"/>
      <c r="ADW80" s="12"/>
      <c r="ADX80" s="12"/>
      <c r="ADY80" s="12"/>
      <c r="ADZ80" s="12"/>
      <c r="AEA80" s="12"/>
      <c r="AEB80" s="12"/>
      <c r="AEC80" s="12"/>
      <c r="AED80" s="12"/>
      <c r="AEE80" s="12"/>
      <c r="AEF80" s="12"/>
      <c r="AEG80" s="12"/>
      <c r="AEH80" s="12"/>
      <c r="AEI80" s="12"/>
      <c r="AEJ80" s="12"/>
      <c r="AEK80" s="12"/>
      <c r="AEL80" s="12"/>
      <c r="AEM80" s="12"/>
      <c r="AEN80" s="12"/>
      <c r="AEO80" s="12"/>
      <c r="AEP80" s="12"/>
      <c r="AEQ80" s="12"/>
      <c r="AER80" s="12"/>
      <c r="AES80" s="12"/>
      <c r="AET80" s="12"/>
      <c r="AEU80" s="12"/>
      <c r="AEV80" s="12"/>
      <c r="AEW80" s="12"/>
      <c r="AEX80" s="12"/>
      <c r="AEY80" s="12"/>
      <c r="AEZ80" s="12"/>
      <c r="AFA80" s="12"/>
      <c r="AFB80" s="12"/>
      <c r="AFC80" s="12"/>
      <c r="AFD80" s="12"/>
      <c r="AFE80" s="12"/>
      <c r="AFF80" s="12"/>
      <c r="AFG80" s="12"/>
      <c r="AFH80" s="12"/>
      <c r="AFI80" s="12"/>
      <c r="AFJ80" s="12"/>
      <c r="AFK80" s="12"/>
      <c r="AFL80" s="12"/>
      <c r="AFM80" s="12"/>
      <c r="AFN80" s="12"/>
      <c r="AFO80" s="12"/>
      <c r="AFP80" s="12"/>
      <c r="AFQ80" s="12"/>
      <c r="AFR80" s="12"/>
      <c r="AFS80" s="12"/>
      <c r="AFT80" s="12"/>
      <c r="AFU80" s="12"/>
      <c r="AFV80" s="12"/>
      <c r="AFW80" s="12"/>
      <c r="AFX80" s="12"/>
      <c r="AFY80" s="12"/>
      <c r="AFZ80" s="12"/>
      <c r="AGA80" s="12"/>
      <c r="AGB80" s="12"/>
      <c r="AGC80" s="12"/>
      <c r="AGD80" s="12"/>
      <c r="AGE80" s="12"/>
      <c r="AGF80" s="12"/>
      <c r="AGG80" s="12"/>
      <c r="AGH80" s="12"/>
      <c r="AGI80" s="12"/>
      <c r="AGJ80" s="12"/>
      <c r="AGK80" s="12"/>
      <c r="AGL80" s="12"/>
      <c r="AGM80" s="12"/>
      <c r="AGN80" s="12"/>
      <c r="AGO80" s="12"/>
      <c r="AGP80" s="12"/>
      <c r="AGQ80" s="12"/>
      <c r="AGR80" s="12"/>
      <c r="AGS80" s="12"/>
      <c r="AGT80" s="12"/>
      <c r="AGU80" s="12"/>
      <c r="AGV80" s="12"/>
      <c r="AGW80" s="12"/>
      <c r="AGX80" s="12"/>
      <c r="AGY80" s="12"/>
      <c r="AGZ80" s="12"/>
      <c r="AHA80" s="12"/>
      <c r="AHB80" s="12"/>
      <c r="AHC80" s="12"/>
      <c r="AHD80" s="12"/>
      <c r="AHE80" s="12"/>
      <c r="AHF80" s="12"/>
      <c r="AHG80" s="12"/>
      <c r="AHH80" s="12"/>
      <c r="AHI80" s="12"/>
      <c r="AHJ80" s="12"/>
      <c r="AHK80" s="12"/>
      <c r="AHL80" s="12"/>
      <c r="AHM80" s="12"/>
      <c r="AHN80" s="12"/>
      <c r="AHO80" s="12"/>
      <c r="AHP80" s="12"/>
      <c r="AHQ80" s="12"/>
      <c r="AHR80" s="12"/>
      <c r="AHS80" s="12"/>
      <c r="AHT80" s="12"/>
      <c r="AHU80" s="12"/>
      <c r="AHV80" s="12"/>
      <c r="AHW80" s="12"/>
      <c r="AHX80" s="12"/>
      <c r="AHY80" s="12"/>
      <c r="AHZ80" s="12"/>
      <c r="AIA80" s="12"/>
      <c r="AIB80" s="12"/>
      <c r="AIC80" s="12"/>
      <c r="AID80" s="12"/>
      <c r="AIE80" s="12"/>
      <c r="AIF80" s="12"/>
      <c r="AIG80" s="12"/>
      <c r="AIH80" s="12"/>
      <c r="AII80" s="12"/>
      <c r="AIJ80" s="12"/>
      <c r="AIK80" s="12"/>
      <c r="AIL80" s="12"/>
      <c r="AIM80" s="12"/>
      <c r="AIN80" s="12"/>
      <c r="AIO80" s="12"/>
      <c r="AIP80" s="12"/>
      <c r="AIQ80" s="12"/>
      <c r="AIR80" s="12"/>
      <c r="AIS80" s="12"/>
      <c r="AIT80" s="12"/>
      <c r="AIU80" s="12"/>
      <c r="AIV80" s="12"/>
      <c r="AIW80" s="12"/>
      <c r="AIX80" s="12"/>
      <c r="AIY80" s="12"/>
      <c r="AIZ80" s="12"/>
      <c r="AJA80" s="12"/>
      <c r="AJB80" s="12"/>
      <c r="AJC80" s="12"/>
      <c r="AJD80" s="12"/>
      <c r="AJE80" s="12"/>
      <c r="AJF80" s="12"/>
      <c r="AJG80" s="12"/>
      <c r="AJH80" s="12"/>
      <c r="AJI80" s="12"/>
      <c r="AJJ80" s="12"/>
      <c r="AJK80" s="12"/>
      <c r="AJL80" s="12"/>
      <c r="AJM80" s="12"/>
      <c r="AJN80" s="12"/>
      <c r="AJO80" s="12"/>
      <c r="AJP80" s="12"/>
      <c r="AJQ80" s="12"/>
      <c r="AJR80" s="12"/>
      <c r="AJS80" s="12"/>
      <c r="AJT80" s="12"/>
      <c r="AJU80" s="12"/>
      <c r="AJV80" s="12"/>
      <c r="AJW80" s="12"/>
      <c r="AJX80" s="12"/>
      <c r="AJY80" s="12"/>
      <c r="AJZ80" s="12"/>
      <c r="AKA80" s="12"/>
      <c r="AKB80" s="12"/>
      <c r="AKC80" s="12"/>
    </row>
    <row r="81" spans="1:6" ht="29" customHeight="1" x14ac:dyDescent="0.35">
      <c r="A81" s="471">
        <v>15</v>
      </c>
      <c r="B81" s="472" t="s">
        <v>2233</v>
      </c>
      <c r="C81" s="472"/>
      <c r="D81" s="473" t="str">
        <f>IF($C$4="Clinkerization", "kcal/kg of equivalent Clinker", "kcal/kg of equivalent Cement")</f>
        <v>kcal/kg of equivalent Cement</v>
      </c>
      <c r="E81" s="472"/>
      <c r="F81" s="474">
        <f>IFERROR(IF(C4="Clinkerization", F80/(F7*100), F80/(F52*100)),0)</f>
        <v>0</v>
      </c>
    </row>
    <row r="82" spans="1:6" ht="29" customHeight="1" x14ac:dyDescent="0.35">
      <c r="A82" s="471">
        <v>16</v>
      </c>
      <c r="B82" s="472" t="s">
        <v>2233</v>
      </c>
      <c r="C82" s="472"/>
      <c r="D82" s="473" t="str">
        <f>IF($C$4="Clinkerization","toe/tonne of equivalent Clinker","toe/tonne of equivalent Cement")</f>
        <v>toe/tonne of equivalent Cement</v>
      </c>
      <c r="E82" s="472"/>
      <c r="F82" s="475">
        <f>(F81/10000)</f>
        <v>0</v>
      </c>
    </row>
    <row r="83" spans="1:6" x14ac:dyDescent="0.35">
      <c r="A83" s="727">
        <v>18</v>
      </c>
      <c r="B83" s="728" t="s">
        <v>2234</v>
      </c>
      <c r="C83" s="728"/>
      <c r="D83" s="729"/>
      <c r="E83" s="728"/>
      <c r="F83" s="730"/>
    </row>
    <row r="84" spans="1:6" x14ac:dyDescent="0.35">
      <c r="A84" s="727">
        <v>18.100000000000001</v>
      </c>
      <c r="B84" s="731" t="s">
        <v>2235</v>
      </c>
      <c r="C84" s="728"/>
      <c r="D84" s="729"/>
      <c r="E84" s="728"/>
      <c r="F84" s="730"/>
    </row>
    <row r="85" spans="1:6" x14ac:dyDescent="0.35">
      <c r="A85" s="732" t="s">
        <v>1073</v>
      </c>
      <c r="B85" s="733" t="str">
        <f>'NF-5 Power Mix'!B6</f>
        <v>Electricity imported from Grid</v>
      </c>
      <c r="C85" s="734"/>
      <c r="D85" s="735" t="s">
        <v>1336</v>
      </c>
      <c r="E85" s="736">
        <f>'NF-5 Power Mix'!E6</f>
        <v>0</v>
      </c>
      <c r="F85" s="736">
        <f>'NF-5 Power Mix'!F6</f>
        <v>0</v>
      </c>
    </row>
    <row r="86" spans="1:6" x14ac:dyDescent="0.35">
      <c r="A86" s="732" t="s">
        <v>1079</v>
      </c>
      <c r="B86" s="733" t="str">
        <f>'NF-5 Power Mix'!B7</f>
        <v>Electricity generated from DG</v>
      </c>
      <c r="C86" s="734"/>
      <c r="D86" s="735" t="s">
        <v>1336</v>
      </c>
      <c r="E86" s="736">
        <f>'NF-5 Power Mix'!E7</f>
        <v>0</v>
      </c>
      <c r="F86" s="736">
        <f>'NF-5 Power Mix'!F7</f>
        <v>0</v>
      </c>
    </row>
    <row r="87" spans="1:6" x14ac:dyDescent="0.35">
      <c r="A87" s="732" t="s">
        <v>1082</v>
      </c>
      <c r="B87" s="733" t="str">
        <f>'NF-5 Power Mix'!B8</f>
        <v>Electricity generated from Steam Turbine</v>
      </c>
      <c r="C87" s="734"/>
      <c r="D87" s="735" t="s">
        <v>1336</v>
      </c>
      <c r="E87" s="736">
        <f>'NF-5 Power Mix'!E8</f>
        <v>953.28</v>
      </c>
      <c r="F87" s="736">
        <f>'NF-5 Power Mix'!F8</f>
        <v>0</v>
      </c>
    </row>
    <row r="88" spans="1:6" x14ac:dyDescent="0.35">
      <c r="A88" s="732" t="s">
        <v>1085</v>
      </c>
      <c r="B88" s="733" t="str">
        <f>'NF-5 Power Mix'!B9</f>
        <v>Electricity generated from Gas Turbine</v>
      </c>
      <c r="C88" s="734"/>
      <c r="D88" s="735" t="s">
        <v>1336</v>
      </c>
      <c r="E88" s="736">
        <f>'NF-5 Power Mix'!E9</f>
        <v>0</v>
      </c>
      <c r="F88" s="736">
        <f>'NF-5 Power Mix'!F9</f>
        <v>0</v>
      </c>
    </row>
    <row r="89" spans="1:6" x14ac:dyDescent="0.35">
      <c r="A89" s="732" t="s">
        <v>1088</v>
      </c>
      <c r="B89" s="733" t="str">
        <f>'NF-5 Power Mix'!B10</f>
        <v>Electricity generated from WHR</v>
      </c>
      <c r="C89" s="734"/>
      <c r="D89" s="735" t="s">
        <v>1336</v>
      </c>
      <c r="E89" s="736">
        <f>'NF-5 Power Mix'!E10</f>
        <v>0</v>
      </c>
      <c r="F89" s="736">
        <f>'NF-5 Power Mix'!F10</f>
        <v>0</v>
      </c>
    </row>
    <row r="90" spans="1:6" ht="28" customHeight="1" x14ac:dyDescent="0.35">
      <c r="A90" s="732" t="s">
        <v>1094</v>
      </c>
      <c r="B90" s="733" t="s">
        <v>2236</v>
      </c>
      <c r="C90" s="734"/>
      <c r="D90" s="735" t="s">
        <v>1336</v>
      </c>
      <c r="E90" s="736">
        <f>'Form-Sb'!H373</f>
        <v>0</v>
      </c>
      <c r="F90" s="736">
        <f>'Form-Sb'!I373</f>
        <v>0</v>
      </c>
    </row>
    <row r="91" spans="1:6" ht="28" customHeight="1" x14ac:dyDescent="0.35">
      <c r="A91" s="732" t="s">
        <v>1097</v>
      </c>
      <c r="B91" s="733" t="str">
        <f>'Form-Sb'!B352</f>
        <v>Electricity through dedicated Line from Captive Power Plant (CPP)</v>
      </c>
      <c r="C91" s="734"/>
      <c r="D91" s="735" t="s">
        <v>1336</v>
      </c>
      <c r="E91" s="736">
        <f>'Form-Sb'!H352</f>
        <v>0</v>
      </c>
      <c r="F91" s="736">
        <f>'Form-Sb'!I352</f>
        <v>0</v>
      </c>
    </row>
    <row r="92" spans="1:6" ht="28" customHeight="1" x14ac:dyDescent="0.35">
      <c r="A92" s="732" t="s">
        <v>1107</v>
      </c>
      <c r="B92" s="737" t="str">
        <f>'Form-Sb'!B205</f>
        <v>Electricity from CPP located outside from plant boundary (Through Wheeling)</v>
      </c>
      <c r="C92" s="734"/>
      <c r="D92" s="735" t="s">
        <v>1336</v>
      </c>
      <c r="E92" s="736">
        <f>'Form-Sb'!H205</f>
        <v>0</v>
      </c>
      <c r="F92" s="736">
        <f>'Form-Sb'!I205</f>
        <v>0</v>
      </c>
    </row>
    <row r="93" spans="1:6" x14ac:dyDescent="0.35">
      <c r="A93" s="732" t="s">
        <v>1148</v>
      </c>
      <c r="B93" s="733" t="str">
        <f>'Form-Sb'!B204</f>
        <v xml:space="preserve">Renewable Electricity through dedicated line </v>
      </c>
      <c r="C93" s="734"/>
      <c r="D93" s="735" t="s">
        <v>1336</v>
      </c>
      <c r="E93" s="738">
        <f>'Form-Sb'!H204</f>
        <v>0</v>
      </c>
      <c r="F93" s="738">
        <f>'Form-Sb'!I204</f>
        <v>0</v>
      </c>
    </row>
    <row r="94" spans="1:6" ht="28" customHeight="1" x14ac:dyDescent="0.35">
      <c r="A94" s="732" t="s">
        <v>1153</v>
      </c>
      <c r="B94" s="733" t="s">
        <v>2237</v>
      </c>
      <c r="C94" s="734"/>
      <c r="D94" s="735" t="s">
        <v>1336</v>
      </c>
      <c r="E94" s="738">
        <f>SUM('Form-Sb'!H200:H203)</f>
        <v>0</v>
      </c>
      <c r="F94" s="738">
        <f>SUM('Form-Sb'!I200:I203)</f>
        <v>0</v>
      </c>
    </row>
    <row r="95" spans="1:6" x14ac:dyDescent="0.35">
      <c r="A95" s="727" t="s">
        <v>2134</v>
      </c>
      <c r="B95" s="739" t="s">
        <v>2238</v>
      </c>
      <c r="C95" s="728"/>
      <c r="D95" s="729" t="s">
        <v>1336</v>
      </c>
      <c r="E95" s="740">
        <f>SUM(E85:E94)</f>
        <v>953.28</v>
      </c>
      <c r="F95" s="740">
        <f>SUM(F85:F94)</f>
        <v>0</v>
      </c>
    </row>
    <row r="96" spans="1:6" x14ac:dyDescent="0.35">
      <c r="A96" s="687">
        <v>18.2</v>
      </c>
      <c r="B96" s="688" t="s">
        <v>2239</v>
      </c>
      <c r="C96" s="689"/>
      <c r="D96" s="690"/>
      <c r="E96" s="689"/>
      <c r="F96" s="691"/>
    </row>
    <row r="97" spans="1:6" x14ac:dyDescent="0.35">
      <c r="A97" s="727" t="s">
        <v>1073</v>
      </c>
      <c r="B97" s="739" t="s">
        <v>2240</v>
      </c>
      <c r="C97" s="728"/>
      <c r="D97" s="729" t="s">
        <v>2241</v>
      </c>
      <c r="E97" s="741">
        <f>IFERROR((E86+E87+E88+E91+E92)/E95,0)</f>
        <v>1</v>
      </c>
      <c r="F97" s="741">
        <f>IFERROR((F86+F87+F88+F91+F92)/F95,0)</f>
        <v>0</v>
      </c>
    </row>
    <row r="98" spans="1:6" x14ac:dyDescent="0.35">
      <c r="A98" s="727" t="s">
        <v>1079</v>
      </c>
      <c r="B98" s="739" t="s">
        <v>2242</v>
      </c>
      <c r="C98" s="728"/>
      <c r="D98" s="729" t="s">
        <v>1057</v>
      </c>
      <c r="E98" s="741">
        <f>IFERROR(E85/E95,0)</f>
        <v>0</v>
      </c>
      <c r="F98" s="741">
        <f>IFERROR(F85/F95,0)</f>
        <v>0</v>
      </c>
    </row>
    <row r="99" spans="1:6" ht="28" customHeight="1" x14ac:dyDescent="0.35">
      <c r="A99" s="727" t="s">
        <v>1082</v>
      </c>
      <c r="B99" s="739" t="s">
        <v>2243</v>
      </c>
      <c r="C99" s="728"/>
      <c r="D99" s="729" t="s">
        <v>1057</v>
      </c>
      <c r="E99" s="741">
        <f>IFERROR((E91+E92)/E95,0)</f>
        <v>0</v>
      </c>
      <c r="F99" s="741">
        <f>IFERROR((F91+F92)/F95,0)</f>
        <v>0</v>
      </c>
    </row>
    <row r="100" spans="1:6" x14ac:dyDescent="0.35">
      <c r="A100" s="727" t="s">
        <v>1085</v>
      </c>
      <c r="B100" s="739" t="s">
        <v>2244</v>
      </c>
      <c r="C100" s="728"/>
      <c r="D100" s="729" t="s">
        <v>1057</v>
      </c>
      <c r="E100" s="741">
        <f>IFERROR(E90/E95,0)</f>
        <v>0</v>
      </c>
      <c r="F100" s="741">
        <f>IFERROR(F90/F95,0)</f>
        <v>0</v>
      </c>
    </row>
    <row r="101" spans="1:6" x14ac:dyDescent="0.35">
      <c r="A101" s="727" t="s">
        <v>1088</v>
      </c>
      <c r="B101" s="739" t="s">
        <v>2245</v>
      </c>
      <c r="C101" s="728"/>
      <c r="D101" s="729" t="s">
        <v>1057</v>
      </c>
      <c r="E101" s="741">
        <f>IFERROR((E93+E94)/E95,0)</f>
        <v>0</v>
      </c>
      <c r="F101" s="741">
        <f>IFERROR((F93+F94)/F95,0)</f>
        <v>0</v>
      </c>
    </row>
    <row r="102" spans="1:6" x14ac:dyDescent="0.35">
      <c r="A102" s="727" t="s">
        <v>1094</v>
      </c>
      <c r="B102" s="739" t="s">
        <v>2246</v>
      </c>
      <c r="C102" s="728"/>
      <c r="D102" s="729" t="s">
        <v>1057</v>
      </c>
      <c r="E102" s="741">
        <f>IFERROR((E90+E93+E94)/E95,0)</f>
        <v>0</v>
      </c>
      <c r="F102" s="741">
        <f>IFERROR((F90+F93+F94)/F95,0)</f>
        <v>0</v>
      </c>
    </row>
    <row r="103" spans="1:6" x14ac:dyDescent="0.35">
      <c r="A103" s="727" t="s">
        <v>1097</v>
      </c>
      <c r="B103" s="739" t="s">
        <v>2247</v>
      </c>
      <c r="C103" s="728"/>
      <c r="D103" s="729" t="s">
        <v>1057</v>
      </c>
      <c r="E103" s="741">
        <f>IFERROR(E89/E95,0)</f>
        <v>0</v>
      </c>
      <c r="F103" s="741">
        <f>IFERROR(F89/F95,0)</f>
        <v>0</v>
      </c>
    </row>
    <row r="104" spans="1:6" x14ac:dyDescent="0.35">
      <c r="A104" s="727" t="s">
        <v>1107</v>
      </c>
      <c r="B104" s="739" t="s">
        <v>2248</v>
      </c>
      <c r="C104" s="728"/>
      <c r="D104" s="729" t="s">
        <v>1057</v>
      </c>
      <c r="E104" s="741">
        <f>IFERROR((E90+E93+E94)*860*10^5/(E76*10^7),0)</f>
        <v>0</v>
      </c>
      <c r="F104" s="741">
        <f>IFERROR((F90+F93+F94)*860*10^5/(F76*10^7),0)</f>
        <v>0</v>
      </c>
    </row>
    <row r="105" spans="1:6" s="536" customFormat="1" ht="14" customHeight="1" x14ac:dyDescent="0.35">
      <c r="A105" s="687">
        <v>19</v>
      </c>
      <c r="B105" s="689" t="s">
        <v>2249</v>
      </c>
      <c r="C105" s="689"/>
      <c r="D105" s="690"/>
      <c r="E105" s="689"/>
      <c r="F105" s="691"/>
    </row>
    <row r="106" spans="1:6" x14ac:dyDescent="0.35">
      <c r="A106" s="679">
        <v>19.100000000000001</v>
      </c>
      <c r="B106" s="692" t="s">
        <v>2250</v>
      </c>
      <c r="C106" s="693"/>
      <c r="D106" s="679"/>
      <c r="E106" s="693"/>
      <c r="F106" s="695"/>
    </row>
    <row r="107" spans="1:6" s="527" customFormat="1" x14ac:dyDescent="0.35">
      <c r="A107" s="760" t="s">
        <v>1073</v>
      </c>
      <c r="B107" s="894" t="s">
        <v>2251</v>
      </c>
      <c r="C107" s="895"/>
      <c r="D107" s="505" t="s">
        <v>2197</v>
      </c>
      <c r="E107" s="525">
        <f>'Form-Sb'!H636</f>
        <v>0</v>
      </c>
      <c r="F107" s="526">
        <f>'Form-Sb'!I636</f>
        <v>0</v>
      </c>
    </row>
    <row r="108" spans="1:6" s="702" customFormat="1" ht="13" customHeight="1" x14ac:dyDescent="0.35">
      <c r="A108" s="896" t="s">
        <v>2195</v>
      </c>
      <c r="B108" s="897" t="s">
        <v>2252</v>
      </c>
      <c r="C108" s="898"/>
      <c r="D108" s="700" t="s">
        <v>2197</v>
      </c>
      <c r="E108" s="703">
        <f>'Form-Sb'!H634</f>
        <v>0</v>
      </c>
      <c r="F108" s="701">
        <f>'Form-Sb'!I634</f>
        <v>0</v>
      </c>
    </row>
    <row r="109" spans="1:6" s="702" customFormat="1" ht="13" customHeight="1" x14ac:dyDescent="0.35">
      <c r="A109" s="896" t="s">
        <v>2253</v>
      </c>
      <c r="B109" s="897" t="s">
        <v>2254</v>
      </c>
      <c r="C109" s="898"/>
      <c r="D109" s="700" t="s">
        <v>2197</v>
      </c>
      <c r="E109" s="703">
        <f>'Form-Sb'!H635</f>
        <v>0</v>
      </c>
      <c r="F109" s="701">
        <f>'Form-Sb'!I635</f>
        <v>0</v>
      </c>
    </row>
    <row r="110" spans="1:6" s="527" customFormat="1" x14ac:dyDescent="0.35">
      <c r="A110" s="760" t="s">
        <v>1079</v>
      </c>
      <c r="B110" s="894" t="s">
        <v>2255</v>
      </c>
      <c r="C110" s="895"/>
      <c r="D110" s="505" t="s">
        <v>2197</v>
      </c>
      <c r="E110" s="526">
        <f>'Form-Sb'!H770</f>
        <v>0</v>
      </c>
      <c r="F110" s="526">
        <f>'Form-Sb'!I760</f>
        <v>0</v>
      </c>
    </row>
    <row r="111" spans="1:6" s="702" customFormat="1" ht="13" customHeight="1" x14ac:dyDescent="0.35">
      <c r="A111" s="896" t="s">
        <v>2256</v>
      </c>
      <c r="B111" s="897" t="s">
        <v>2252</v>
      </c>
      <c r="C111" s="898"/>
      <c r="D111" s="700" t="s">
        <v>2197</v>
      </c>
      <c r="E111" s="701">
        <f>'Form-Sb'!H767+'Form-Sb'!H768</f>
        <v>0</v>
      </c>
      <c r="F111" s="701">
        <f>'Form-Sb'!I767+'Form-Sb'!I768</f>
        <v>0</v>
      </c>
    </row>
    <row r="112" spans="1:6" s="702" customFormat="1" ht="13" customHeight="1" x14ac:dyDescent="0.35">
      <c r="A112" s="896" t="s">
        <v>2257</v>
      </c>
      <c r="B112" s="897" t="s">
        <v>2254</v>
      </c>
      <c r="C112" s="898"/>
      <c r="D112" s="700" t="s">
        <v>2197</v>
      </c>
      <c r="E112" s="701">
        <f>'Form-Sb'!H769</f>
        <v>0</v>
      </c>
      <c r="F112" s="701">
        <f>'Form-Sb'!I769</f>
        <v>0</v>
      </c>
    </row>
    <row r="113" spans="1:6" s="527" customFormat="1" x14ac:dyDescent="0.35">
      <c r="A113" s="760" t="s">
        <v>1082</v>
      </c>
      <c r="B113" s="894" t="s">
        <v>2258</v>
      </c>
      <c r="C113" s="895"/>
      <c r="D113" s="505" t="s">
        <v>2197</v>
      </c>
      <c r="E113" s="526">
        <f>'Form-Sb'!H812</f>
        <v>0</v>
      </c>
      <c r="F113" s="526">
        <f>'Form-Sb'!I812</f>
        <v>0</v>
      </c>
    </row>
    <row r="114" spans="1:6" s="702" customFormat="1" ht="13" customHeight="1" x14ac:dyDescent="0.35">
      <c r="A114" s="896" t="s">
        <v>2259</v>
      </c>
      <c r="B114" s="897" t="s">
        <v>2252</v>
      </c>
      <c r="C114" s="898"/>
      <c r="D114" s="700" t="s">
        <v>2197</v>
      </c>
      <c r="E114" s="701">
        <f>'Form-Sb'!H810</f>
        <v>0</v>
      </c>
      <c r="F114" s="701">
        <f>'Form-Sb'!I810</f>
        <v>0</v>
      </c>
    </row>
    <row r="115" spans="1:6" s="702" customFormat="1" ht="13" customHeight="1" x14ac:dyDescent="0.35">
      <c r="A115" s="896" t="s">
        <v>2260</v>
      </c>
      <c r="B115" s="897" t="s">
        <v>2254</v>
      </c>
      <c r="C115" s="898"/>
      <c r="D115" s="700" t="s">
        <v>2197</v>
      </c>
      <c r="E115" s="701">
        <f>'Form-Sb'!H811</f>
        <v>0</v>
      </c>
      <c r="F115" s="701">
        <f>'Form-Sb'!I811</f>
        <v>0</v>
      </c>
    </row>
    <row r="116" spans="1:6" s="527" customFormat="1" x14ac:dyDescent="0.35">
      <c r="A116" s="760" t="s">
        <v>1085</v>
      </c>
      <c r="B116" s="894" t="s">
        <v>2261</v>
      </c>
      <c r="C116" s="895"/>
      <c r="D116" s="505" t="s">
        <v>2197</v>
      </c>
      <c r="E116" s="525">
        <f>'Form-Sb'!H959</f>
        <v>0</v>
      </c>
      <c r="F116" s="526">
        <f>'Form-Sb'!F959</f>
        <v>0</v>
      </c>
    </row>
    <row r="117" spans="1:6" x14ac:dyDescent="0.35">
      <c r="A117" s="760" t="s">
        <v>1088</v>
      </c>
      <c r="B117" s="894" t="s">
        <v>2262</v>
      </c>
      <c r="C117" s="205"/>
      <c r="D117" s="502" t="s">
        <v>2197</v>
      </c>
      <c r="E117" s="503">
        <f>E107+E110+E113+E116</f>
        <v>0</v>
      </c>
      <c r="F117" s="504">
        <f>SUM(F107:F116)</f>
        <v>0</v>
      </c>
    </row>
    <row r="118" spans="1:6" x14ac:dyDescent="0.35">
      <c r="A118" s="133"/>
      <c r="B118" s="899"/>
      <c r="C118" s="205"/>
      <c r="D118" s="502"/>
      <c r="E118" s="501"/>
      <c r="F118" s="501"/>
    </row>
    <row r="119" spans="1:6" x14ac:dyDescent="0.35">
      <c r="A119" s="679">
        <v>19.2</v>
      </c>
      <c r="B119" s="692" t="s">
        <v>2263</v>
      </c>
      <c r="C119" s="693"/>
      <c r="D119" s="694"/>
      <c r="E119" s="679"/>
      <c r="F119" s="679"/>
    </row>
    <row r="120" spans="1:6" s="527" customFormat="1" ht="28" customHeight="1" x14ac:dyDescent="0.35">
      <c r="A120" s="760" t="s">
        <v>1073</v>
      </c>
      <c r="B120" s="894" t="s">
        <v>2264</v>
      </c>
      <c r="C120" s="895"/>
      <c r="D120" s="505" t="s">
        <v>2197</v>
      </c>
      <c r="E120" s="526">
        <f>'Form-Sb'!H227</f>
        <v>0</v>
      </c>
      <c r="F120" s="526">
        <f>'Form-Sb'!I227</f>
        <v>0</v>
      </c>
    </row>
    <row r="121" spans="1:6" s="527" customFormat="1" ht="28" customHeight="1" x14ac:dyDescent="0.35">
      <c r="A121" s="760" t="s">
        <v>1079</v>
      </c>
      <c r="B121" s="894" t="s">
        <v>2265</v>
      </c>
      <c r="C121" s="895"/>
      <c r="D121" s="505" t="s">
        <v>2197</v>
      </c>
      <c r="E121" s="526">
        <f>'Form-Sb'!H390</f>
        <v>0</v>
      </c>
      <c r="F121" s="526">
        <f>'Form-Sb'!I390</f>
        <v>0</v>
      </c>
    </row>
    <row r="122" spans="1:6" s="527" customFormat="1" x14ac:dyDescent="0.35">
      <c r="A122" s="760" t="s">
        <v>1082</v>
      </c>
      <c r="B122" s="894" t="s">
        <v>2266</v>
      </c>
      <c r="C122" s="895"/>
      <c r="D122" s="505" t="s">
        <v>2197</v>
      </c>
      <c r="E122" s="526" t="e">
        <f>E123+E124</f>
        <v>#DIV/0!</v>
      </c>
      <c r="F122" s="526">
        <f>F123+F124</f>
        <v>0</v>
      </c>
    </row>
    <row r="123" spans="1:6" s="702" customFormat="1" x14ac:dyDescent="0.35">
      <c r="A123" s="896" t="s">
        <v>2259</v>
      </c>
      <c r="B123" s="897" t="s">
        <v>2267</v>
      </c>
      <c r="C123" s="898"/>
      <c r="D123" s="700" t="s">
        <v>2197</v>
      </c>
      <c r="E123" s="530" t="e">
        <f>E62</f>
        <v>#DIV/0!</v>
      </c>
      <c r="F123" s="530">
        <f>F60*'Form-Sb'!I379</f>
        <v>0</v>
      </c>
    </row>
    <row r="124" spans="1:6" s="702" customFormat="1" ht="13" customHeight="1" x14ac:dyDescent="0.35">
      <c r="A124" s="896" t="s">
        <v>2260</v>
      </c>
      <c r="B124" s="897" t="s">
        <v>2268</v>
      </c>
      <c r="C124" s="898"/>
      <c r="D124" s="700" t="s">
        <v>2197</v>
      </c>
      <c r="E124" s="701">
        <f>E61</f>
        <v>0</v>
      </c>
      <c r="F124" s="701">
        <f>F61</f>
        <v>0</v>
      </c>
    </row>
    <row r="125" spans="1:6" s="537" customFormat="1" x14ac:dyDescent="0.35">
      <c r="A125" s="760" t="s">
        <v>1085</v>
      </c>
      <c r="B125" s="899" t="s">
        <v>2269</v>
      </c>
      <c r="C125" s="900"/>
      <c r="D125" s="887" t="s">
        <v>2197</v>
      </c>
      <c r="E125" s="526">
        <f>E59</f>
        <v>0</v>
      </c>
      <c r="F125" s="526">
        <f>F59</f>
        <v>0</v>
      </c>
    </row>
    <row r="126" spans="1:6" x14ac:dyDescent="0.35">
      <c r="A126" s="760" t="s">
        <v>1088</v>
      </c>
      <c r="B126" s="894" t="s">
        <v>2270</v>
      </c>
      <c r="C126" s="205"/>
      <c r="D126" s="505" t="s">
        <v>2197</v>
      </c>
      <c r="E126" s="526" t="e">
        <f>IF(C4="Grinding",E120-E121,E120-E121+E122+E125)</f>
        <v>#DIV/0!</v>
      </c>
      <c r="F126" s="526">
        <f>IF(D4="Grinding",F120-F121,F120-F121+F122+F125)</f>
        <v>0</v>
      </c>
    </row>
    <row r="127" spans="1:6" x14ac:dyDescent="0.35">
      <c r="A127" s="133"/>
      <c r="B127" s="901"/>
      <c r="C127" s="205"/>
      <c r="D127" s="505"/>
      <c r="E127" s="501"/>
      <c r="F127" s="501"/>
    </row>
    <row r="128" spans="1:6" x14ac:dyDescent="0.35">
      <c r="A128" s="133">
        <v>20</v>
      </c>
      <c r="B128" s="894" t="s">
        <v>2271</v>
      </c>
      <c r="C128" s="205"/>
      <c r="D128" s="502" t="s">
        <v>2272</v>
      </c>
      <c r="E128" s="504" t="e">
        <f>E126+E117</f>
        <v>#DIV/0!</v>
      </c>
      <c r="F128" s="504">
        <f>F126+F117</f>
        <v>0</v>
      </c>
    </row>
    <row r="129" spans="1:16384" x14ac:dyDescent="0.35">
      <c r="A129" s="679">
        <v>21</v>
      </c>
      <c r="B129" s="692" t="s">
        <v>2273</v>
      </c>
      <c r="C129" s="693"/>
      <c r="D129" s="694"/>
      <c r="E129" s="679"/>
      <c r="F129" s="679"/>
    </row>
    <row r="130" spans="1:16384" ht="15" customHeight="1" thickBot="1" x14ac:dyDescent="0.4">
      <c r="A130" s="902">
        <v>21.1</v>
      </c>
      <c r="B130" s="903" t="s">
        <v>2274</v>
      </c>
      <c r="C130" s="904"/>
      <c r="D130" s="706" t="s">
        <v>2275</v>
      </c>
      <c r="E130" s="707">
        <f>IF($C$4="Clinkerization",E7,E52)</f>
        <v>0</v>
      </c>
      <c r="F130" s="707">
        <f>IF($C$4="Clinkerisation",F7,F52)</f>
        <v>0</v>
      </c>
    </row>
    <row r="131" spans="1:16384" ht="42.5" customHeight="1" thickBot="1" x14ac:dyDescent="0.4">
      <c r="A131" s="905">
        <v>21.2</v>
      </c>
      <c r="B131" s="906" t="s">
        <v>2276</v>
      </c>
      <c r="C131" s="907"/>
      <c r="D131" s="534" t="s">
        <v>2277</v>
      </c>
      <c r="E131" s="535">
        <f>IFERROR(E128/(E130*10^5),0)</f>
        <v>0</v>
      </c>
      <c r="F131" s="535">
        <f>IFERROR(F128/(F130*10^5),0)</f>
        <v>0</v>
      </c>
    </row>
    <row r="132" spans="1:16384" s="529" customFormat="1" ht="33.75" customHeight="1" x14ac:dyDescent="0.35">
      <c r="A132" s="908" t="s">
        <v>1073</v>
      </c>
      <c r="B132" s="909" t="s">
        <v>2278</v>
      </c>
      <c r="C132" s="910"/>
      <c r="D132" s="532" t="s">
        <v>2277</v>
      </c>
      <c r="E132" s="533">
        <f>IFERROR((E128-E116-E124)/(E130*10^5),0)</f>
        <v>0</v>
      </c>
      <c r="F132" s="533">
        <f>IFERROR((F128-F116)/(F130*10^5),0)</f>
        <v>0</v>
      </c>
      <c r="G132" s="531" t="e">
        <f t="shared" ref="G132:BR132" si="5">(G128-G116)/(G52*10^5)</f>
        <v>#DIV/0!</v>
      </c>
      <c r="H132" s="531" t="e">
        <f t="shared" si="5"/>
        <v>#DIV/0!</v>
      </c>
      <c r="I132" s="531" t="e">
        <f t="shared" si="5"/>
        <v>#DIV/0!</v>
      </c>
      <c r="J132" s="531" t="e">
        <f t="shared" si="5"/>
        <v>#DIV/0!</v>
      </c>
      <c r="K132" s="531" t="e">
        <f t="shared" si="5"/>
        <v>#DIV/0!</v>
      </c>
      <c r="L132" s="531" t="e">
        <f t="shared" si="5"/>
        <v>#DIV/0!</v>
      </c>
      <c r="M132" s="531" t="e">
        <f t="shared" si="5"/>
        <v>#DIV/0!</v>
      </c>
      <c r="N132" s="531" t="e">
        <f t="shared" si="5"/>
        <v>#DIV/0!</v>
      </c>
      <c r="O132" s="531" t="e">
        <f t="shared" si="5"/>
        <v>#DIV/0!</v>
      </c>
      <c r="P132" s="531" t="e">
        <f t="shared" si="5"/>
        <v>#DIV/0!</v>
      </c>
      <c r="Q132" s="531" t="e">
        <f t="shared" si="5"/>
        <v>#DIV/0!</v>
      </c>
      <c r="R132" s="531" t="e">
        <f t="shared" si="5"/>
        <v>#DIV/0!</v>
      </c>
      <c r="S132" s="531" t="e">
        <f t="shared" si="5"/>
        <v>#DIV/0!</v>
      </c>
      <c r="T132" s="531" t="e">
        <f t="shared" si="5"/>
        <v>#DIV/0!</v>
      </c>
      <c r="U132" s="531" t="e">
        <f t="shared" si="5"/>
        <v>#DIV/0!</v>
      </c>
      <c r="V132" s="531" t="e">
        <f t="shared" si="5"/>
        <v>#DIV/0!</v>
      </c>
      <c r="W132" s="531" t="e">
        <f t="shared" si="5"/>
        <v>#DIV/0!</v>
      </c>
      <c r="X132" s="531" t="e">
        <f t="shared" si="5"/>
        <v>#DIV/0!</v>
      </c>
      <c r="Y132" s="531" t="e">
        <f t="shared" si="5"/>
        <v>#DIV/0!</v>
      </c>
      <c r="Z132" s="531" t="e">
        <f t="shared" si="5"/>
        <v>#DIV/0!</v>
      </c>
      <c r="AA132" s="531" t="e">
        <f t="shared" si="5"/>
        <v>#DIV/0!</v>
      </c>
      <c r="AB132" s="531" t="e">
        <f t="shared" si="5"/>
        <v>#DIV/0!</v>
      </c>
      <c r="AC132" s="531" t="e">
        <f t="shared" si="5"/>
        <v>#DIV/0!</v>
      </c>
      <c r="AD132" s="531" t="e">
        <f t="shared" si="5"/>
        <v>#DIV/0!</v>
      </c>
      <c r="AE132" s="531" t="e">
        <f t="shared" si="5"/>
        <v>#DIV/0!</v>
      </c>
      <c r="AF132" s="531" t="e">
        <f t="shared" si="5"/>
        <v>#DIV/0!</v>
      </c>
      <c r="AG132" s="531" t="e">
        <f t="shared" si="5"/>
        <v>#DIV/0!</v>
      </c>
      <c r="AH132" s="531" t="e">
        <f t="shared" si="5"/>
        <v>#DIV/0!</v>
      </c>
      <c r="AI132" s="531" t="e">
        <f t="shared" si="5"/>
        <v>#DIV/0!</v>
      </c>
      <c r="AJ132" s="531" t="e">
        <f t="shared" si="5"/>
        <v>#DIV/0!</v>
      </c>
      <c r="AK132" s="531" t="e">
        <f t="shared" si="5"/>
        <v>#DIV/0!</v>
      </c>
      <c r="AL132" s="531" t="e">
        <f t="shared" si="5"/>
        <v>#DIV/0!</v>
      </c>
      <c r="AM132" s="531" t="e">
        <f t="shared" si="5"/>
        <v>#DIV/0!</v>
      </c>
      <c r="AN132" s="531" t="e">
        <f t="shared" si="5"/>
        <v>#DIV/0!</v>
      </c>
      <c r="AO132" s="531" t="e">
        <f t="shared" si="5"/>
        <v>#DIV/0!</v>
      </c>
      <c r="AP132" s="531" t="e">
        <f t="shared" si="5"/>
        <v>#DIV/0!</v>
      </c>
      <c r="AQ132" s="531" t="e">
        <f t="shared" si="5"/>
        <v>#DIV/0!</v>
      </c>
      <c r="AR132" s="531" t="e">
        <f t="shared" si="5"/>
        <v>#DIV/0!</v>
      </c>
      <c r="AS132" s="531" t="e">
        <f t="shared" si="5"/>
        <v>#DIV/0!</v>
      </c>
      <c r="AT132" s="531" t="e">
        <f t="shared" si="5"/>
        <v>#DIV/0!</v>
      </c>
      <c r="AU132" s="531" t="e">
        <f t="shared" si="5"/>
        <v>#DIV/0!</v>
      </c>
      <c r="AV132" s="531" t="e">
        <f t="shared" si="5"/>
        <v>#DIV/0!</v>
      </c>
      <c r="AW132" s="531" t="e">
        <f t="shared" si="5"/>
        <v>#DIV/0!</v>
      </c>
      <c r="AX132" s="531" t="e">
        <f t="shared" si="5"/>
        <v>#DIV/0!</v>
      </c>
      <c r="AY132" s="531" t="e">
        <f t="shared" si="5"/>
        <v>#DIV/0!</v>
      </c>
      <c r="AZ132" s="531" t="e">
        <f t="shared" si="5"/>
        <v>#DIV/0!</v>
      </c>
      <c r="BA132" s="531" t="e">
        <f t="shared" si="5"/>
        <v>#DIV/0!</v>
      </c>
      <c r="BB132" s="531" t="e">
        <f t="shared" si="5"/>
        <v>#DIV/0!</v>
      </c>
      <c r="BC132" s="531" t="e">
        <f t="shared" si="5"/>
        <v>#DIV/0!</v>
      </c>
      <c r="BD132" s="531" t="e">
        <f t="shared" si="5"/>
        <v>#DIV/0!</v>
      </c>
      <c r="BE132" s="531" t="e">
        <f t="shared" si="5"/>
        <v>#DIV/0!</v>
      </c>
      <c r="BF132" s="531" t="e">
        <f t="shared" si="5"/>
        <v>#DIV/0!</v>
      </c>
      <c r="BG132" s="531" t="e">
        <f t="shared" si="5"/>
        <v>#DIV/0!</v>
      </c>
      <c r="BH132" s="531" t="e">
        <f t="shared" si="5"/>
        <v>#DIV/0!</v>
      </c>
      <c r="BI132" s="531" t="e">
        <f t="shared" si="5"/>
        <v>#DIV/0!</v>
      </c>
      <c r="BJ132" s="531" t="e">
        <f t="shared" si="5"/>
        <v>#DIV/0!</v>
      </c>
      <c r="BK132" s="531" t="e">
        <f t="shared" si="5"/>
        <v>#DIV/0!</v>
      </c>
      <c r="BL132" s="531" t="e">
        <f t="shared" si="5"/>
        <v>#DIV/0!</v>
      </c>
      <c r="BM132" s="531" t="e">
        <f t="shared" si="5"/>
        <v>#DIV/0!</v>
      </c>
      <c r="BN132" s="531" t="e">
        <f t="shared" si="5"/>
        <v>#DIV/0!</v>
      </c>
      <c r="BO132" s="531" t="e">
        <f t="shared" si="5"/>
        <v>#DIV/0!</v>
      </c>
      <c r="BP132" s="531" t="e">
        <f t="shared" si="5"/>
        <v>#DIV/0!</v>
      </c>
      <c r="BQ132" s="531" t="e">
        <f t="shared" si="5"/>
        <v>#DIV/0!</v>
      </c>
      <c r="BR132" s="531" t="e">
        <f t="shared" si="5"/>
        <v>#DIV/0!</v>
      </c>
      <c r="BS132" s="531" t="e">
        <f t="shared" ref="BS132:ED132" si="6">(BS128-BS116)/(BS52*10^5)</f>
        <v>#DIV/0!</v>
      </c>
      <c r="BT132" s="531" t="e">
        <f t="shared" si="6"/>
        <v>#DIV/0!</v>
      </c>
      <c r="BU132" s="531" t="e">
        <f t="shared" si="6"/>
        <v>#DIV/0!</v>
      </c>
      <c r="BV132" s="531" t="e">
        <f t="shared" si="6"/>
        <v>#DIV/0!</v>
      </c>
      <c r="BW132" s="531" t="e">
        <f t="shared" si="6"/>
        <v>#DIV/0!</v>
      </c>
      <c r="BX132" s="531" t="e">
        <f t="shared" si="6"/>
        <v>#DIV/0!</v>
      </c>
      <c r="BY132" s="531" t="e">
        <f t="shared" si="6"/>
        <v>#DIV/0!</v>
      </c>
      <c r="BZ132" s="531" t="e">
        <f t="shared" si="6"/>
        <v>#DIV/0!</v>
      </c>
      <c r="CA132" s="531" t="e">
        <f t="shared" si="6"/>
        <v>#DIV/0!</v>
      </c>
      <c r="CB132" s="531" t="e">
        <f t="shared" si="6"/>
        <v>#DIV/0!</v>
      </c>
      <c r="CC132" s="531" t="e">
        <f t="shared" si="6"/>
        <v>#DIV/0!</v>
      </c>
      <c r="CD132" s="531" t="e">
        <f t="shared" si="6"/>
        <v>#DIV/0!</v>
      </c>
      <c r="CE132" s="531" t="e">
        <f t="shared" si="6"/>
        <v>#DIV/0!</v>
      </c>
      <c r="CF132" s="531" t="e">
        <f t="shared" si="6"/>
        <v>#DIV/0!</v>
      </c>
      <c r="CG132" s="531" t="e">
        <f t="shared" si="6"/>
        <v>#DIV/0!</v>
      </c>
      <c r="CH132" s="531" t="e">
        <f t="shared" si="6"/>
        <v>#DIV/0!</v>
      </c>
      <c r="CI132" s="531" t="e">
        <f t="shared" si="6"/>
        <v>#DIV/0!</v>
      </c>
      <c r="CJ132" s="531" t="e">
        <f t="shared" si="6"/>
        <v>#DIV/0!</v>
      </c>
      <c r="CK132" s="531" t="e">
        <f t="shared" si="6"/>
        <v>#DIV/0!</v>
      </c>
      <c r="CL132" s="531" t="e">
        <f t="shared" si="6"/>
        <v>#DIV/0!</v>
      </c>
      <c r="CM132" s="531" t="e">
        <f t="shared" si="6"/>
        <v>#DIV/0!</v>
      </c>
      <c r="CN132" s="531" t="e">
        <f t="shared" si="6"/>
        <v>#DIV/0!</v>
      </c>
      <c r="CO132" s="531" t="e">
        <f t="shared" si="6"/>
        <v>#DIV/0!</v>
      </c>
      <c r="CP132" s="531" t="e">
        <f t="shared" si="6"/>
        <v>#DIV/0!</v>
      </c>
      <c r="CQ132" s="531" t="e">
        <f t="shared" si="6"/>
        <v>#DIV/0!</v>
      </c>
      <c r="CR132" s="531" t="e">
        <f t="shared" si="6"/>
        <v>#DIV/0!</v>
      </c>
      <c r="CS132" s="531" t="e">
        <f t="shared" si="6"/>
        <v>#DIV/0!</v>
      </c>
      <c r="CT132" s="531" t="e">
        <f t="shared" si="6"/>
        <v>#DIV/0!</v>
      </c>
      <c r="CU132" s="531" t="e">
        <f t="shared" si="6"/>
        <v>#DIV/0!</v>
      </c>
      <c r="CV132" s="531" t="e">
        <f t="shared" si="6"/>
        <v>#DIV/0!</v>
      </c>
      <c r="CW132" s="531" t="e">
        <f t="shared" si="6"/>
        <v>#DIV/0!</v>
      </c>
      <c r="CX132" s="531" t="e">
        <f t="shared" si="6"/>
        <v>#DIV/0!</v>
      </c>
      <c r="CY132" s="531" t="e">
        <f t="shared" si="6"/>
        <v>#DIV/0!</v>
      </c>
      <c r="CZ132" s="531" t="e">
        <f t="shared" si="6"/>
        <v>#DIV/0!</v>
      </c>
      <c r="DA132" s="531" t="e">
        <f t="shared" si="6"/>
        <v>#DIV/0!</v>
      </c>
      <c r="DB132" s="531" t="e">
        <f t="shared" si="6"/>
        <v>#DIV/0!</v>
      </c>
      <c r="DC132" s="531" t="e">
        <f t="shared" si="6"/>
        <v>#DIV/0!</v>
      </c>
      <c r="DD132" s="531" t="e">
        <f t="shared" si="6"/>
        <v>#DIV/0!</v>
      </c>
      <c r="DE132" s="531" t="e">
        <f t="shared" si="6"/>
        <v>#DIV/0!</v>
      </c>
      <c r="DF132" s="531" t="e">
        <f t="shared" si="6"/>
        <v>#DIV/0!</v>
      </c>
      <c r="DG132" s="531" t="e">
        <f t="shared" si="6"/>
        <v>#DIV/0!</v>
      </c>
      <c r="DH132" s="531" t="e">
        <f t="shared" si="6"/>
        <v>#DIV/0!</v>
      </c>
      <c r="DI132" s="531" t="e">
        <f t="shared" si="6"/>
        <v>#DIV/0!</v>
      </c>
      <c r="DJ132" s="531" t="e">
        <f t="shared" si="6"/>
        <v>#DIV/0!</v>
      </c>
      <c r="DK132" s="531" t="e">
        <f t="shared" si="6"/>
        <v>#DIV/0!</v>
      </c>
      <c r="DL132" s="531" t="e">
        <f t="shared" si="6"/>
        <v>#DIV/0!</v>
      </c>
      <c r="DM132" s="531" t="e">
        <f t="shared" si="6"/>
        <v>#DIV/0!</v>
      </c>
      <c r="DN132" s="531" t="e">
        <f t="shared" si="6"/>
        <v>#DIV/0!</v>
      </c>
      <c r="DO132" s="531" t="e">
        <f t="shared" si="6"/>
        <v>#DIV/0!</v>
      </c>
      <c r="DP132" s="531" t="e">
        <f t="shared" si="6"/>
        <v>#DIV/0!</v>
      </c>
      <c r="DQ132" s="531" t="e">
        <f t="shared" si="6"/>
        <v>#DIV/0!</v>
      </c>
      <c r="DR132" s="531" t="e">
        <f t="shared" si="6"/>
        <v>#DIV/0!</v>
      </c>
      <c r="DS132" s="531" t="e">
        <f t="shared" si="6"/>
        <v>#DIV/0!</v>
      </c>
      <c r="DT132" s="531" t="e">
        <f t="shared" si="6"/>
        <v>#DIV/0!</v>
      </c>
      <c r="DU132" s="531" t="e">
        <f t="shared" si="6"/>
        <v>#DIV/0!</v>
      </c>
      <c r="DV132" s="531" t="e">
        <f t="shared" si="6"/>
        <v>#DIV/0!</v>
      </c>
      <c r="DW132" s="531" t="e">
        <f t="shared" si="6"/>
        <v>#DIV/0!</v>
      </c>
      <c r="DX132" s="531" t="e">
        <f t="shared" si="6"/>
        <v>#DIV/0!</v>
      </c>
      <c r="DY132" s="531" t="e">
        <f t="shared" si="6"/>
        <v>#DIV/0!</v>
      </c>
      <c r="DZ132" s="531" t="e">
        <f t="shared" si="6"/>
        <v>#DIV/0!</v>
      </c>
      <c r="EA132" s="531" t="e">
        <f t="shared" si="6"/>
        <v>#DIV/0!</v>
      </c>
      <c r="EB132" s="531" t="e">
        <f t="shared" si="6"/>
        <v>#DIV/0!</v>
      </c>
      <c r="EC132" s="531" t="e">
        <f t="shared" si="6"/>
        <v>#DIV/0!</v>
      </c>
      <c r="ED132" s="531" t="e">
        <f t="shared" si="6"/>
        <v>#DIV/0!</v>
      </c>
      <c r="EE132" s="531" t="e">
        <f t="shared" ref="EE132:GP132" si="7">(EE128-EE116)/(EE52*10^5)</f>
        <v>#DIV/0!</v>
      </c>
      <c r="EF132" s="531" t="e">
        <f t="shared" si="7"/>
        <v>#DIV/0!</v>
      </c>
      <c r="EG132" s="531" t="e">
        <f t="shared" si="7"/>
        <v>#DIV/0!</v>
      </c>
      <c r="EH132" s="531" t="e">
        <f t="shared" si="7"/>
        <v>#DIV/0!</v>
      </c>
      <c r="EI132" s="531" t="e">
        <f t="shared" si="7"/>
        <v>#DIV/0!</v>
      </c>
      <c r="EJ132" s="531" t="e">
        <f t="shared" si="7"/>
        <v>#DIV/0!</v>
      </c>
      <c r="EK132" s="531" t="e">
        <f t="shared" si="7"/>
        <v>#DIV/0!</v>
      </c>
      <c r="EL132" s="531" t="e">
        <f t="shared" si="7"/>
        <v>#DIV/0!</v>
      </c>
      <c r="EM132" s="531" t="e">
        <f t="shared" si="7"/>
        <v>#DIV/0!</v>
      </c>
      <c r="EN132" s="531" t="e">
        <f t="shared" si="7"/>
        <v>#DIV/0!</v>
      </c>
      <c r="EO132" s="531" t="e">
        <f t="shared" si="7"/>
        <v>#DIV/0!</v>
      </c>
      <c r="EP132" s="531" t="e">
        <f t="shared" si="7"/>
        <v>#DIV/0!</v>
      </c>
      <c r="EQ132" s="531" t="e">
        <f t="shared" si="7"/>
        <v>#DIV/0!</v>
      </c>
      <c r="ER132" s="531" t="e">
        <f t="shared" si="7"/>
        <v>#DIV/0!</v>
      </c>
      <c r="ES132" s="531" t="e">
        <f t="shared" si="7"/>
        <v>#DIV/0!</v>
      </c>
      <c r="ET132" s="531" t="e">
        <f t="shared" si="7"/>
        <v>#DIV/0!</v>
      </c>
      <c r="EU132" s="531" t="e">
        <f t="shared" si="7"/>
        <v>#DIV/0!</v>
      </c>
      <c r="EV132" s="531" t="e">
        <f t="shared" si="7"/>
        <v>#DIV/0!</v>
      </c>
      <c r="EW132" s="531" t="e">
        <f t="shared" si="7"/>
        <v>#DIV/0!</v>
      </c>
      <c r="EX132" s="531" t="e">
        <f t="shared" si="7"/>
        <v>#DIV/0!</v>
      </c>
      <c r="EY132" s="531" t="e">
        <f t="shared" si="7"/>
        <v>#DIV/0!</v>
      </c>
      <c r="EZ132" s="531" t="e">
        <f t="shared" si="7"/>
        <v>#DIV/0!</v>
      </c>
      <c r="FA132" s="531" t="e">
        <f t="shared" si="7"/>
        <v>#DIV/0!</v>
      </c>
      <c r="FB132" s="531" t="e">
        <f t="shared" si="7"/>
        <v>#DIV/0!</v>
      </c>
      <c r="FC132" s="531" t="e">
        <f t="shared" si="7"/>
        <v>#DIV/0!</v>
      </c>
      <c r="FD132" s="531" t="e">
        <f t="shared" si="7"/>
        <v>#DIV/0!</v>
      </c>
      <c r="FE132" s="531" t="e">
        <f t="shared" si="7"/>
        <v>#DIV/0!</v>
      </c>
      <c r="FF132" s="531" t="e">
        <f t="shared" si="7"/>
        <v>#DIV/0!</v>
      </c>
      <c r="FG132" s="531" t="e">
        <f t="shared" si="7"/>
        <v>#DIV/0!</v>
      </c>
      <c r="FH132" s="531" t="e">
        <f t="shared" si="7"/>
        <v>#DIV/0!</v>
      </c>
      <c r="FI132" s="531" t="e">
        <f t="shared" si="7"/>
        <v>#DIV/0!</v>
      </c>
      <c r="FJ132" s="531" t="e">
        <f t="shared" si="7"/>
        <v>#DIV/0!</v>
      </c>
      <c r="FK132" s="531" t="e">
        <f t="shared" si="7"/>
        <v>#DIV/0!</v>
      </c>
      <c r="FL132" s="531" t="e">
        <f t="shared" si="7"/>
        <v>#DIV/0!</v>
      </c>
      <c r="FM132" s="531" t="e">
        <f t="shared" si="7"/>
        <v>#DIV/0!</v>
      </c>
      <c r="FN132" s="531" t="e">
        <f t="shared" si="7"/>
        <v>#DIV/0!</v>
      </c>
      <c r="FO132" s="531" t="e">
        <f t="shared" si="7"/>
        <v>#DIV/0!</v>
      </c>
      <c r="FP132" s="531" t="e">
        <f t="shared" si="7"/>
        <v>#DIV/0!</v>
      </c>
      <c r="FQ132" s="531" t="e">
        <f t="shared" si="7"/>
        <v>#DIV/0!</v>
      </c>
      <c r="FR132" s="531" t="e">
        <f t="shared" si="7"/>
        <v>#DIV/0!</v>
      </c>
      <c r="FS132" s="531" t="e">
        <f t="shared" si="7"/>
        <v>#DIV/0!</v>
      </c>
      <c r="FT132" s="531" t="e">
        <f t="shared" si="7"/>
        <v>#DIV/0!</v>
      </c>
      <c r="FU132" s="531" t="e">
        <f t="shared" si="7"/>
        <v>#DIV/0!</v>
      </c>
      <c r="FV132" s="531" t="e">
        <f t="shared" si="7"/>
        <v>#DIV/0!</v>
      </c>
      <c r="FW132" s="531" t="e">
        <f t="shared" si="7"/>
        <v>#DIV/0!</v>
      </c>
      <c r="FX132" s="531" t="e">
        <f t="shared" si="7"/>
        <v>#DIV/0!</v>
      </c>
      <c r="FY132" s="531" t="e">
        <f t="shared" si="7"/>
        <v>#DIV/0!</v>
      </c>
      <c r="FZ132" s="531" t="e">
        <f t="shared" si="7"/>
        <v>#DIV/0!</v>
      </c>
      <c r="GA132" s="531" t="e">
        <f t="shared" si="7"/>
        <v>#DIV/0!</v>
      </c>
      <c r="GB132" s="531" t="e">
        <f t="shared" si="7"/>
        <v>#DIV/0!</v>
      </c>
      <c r="GC132" s="531" t="e">
        <f t="shared" si="7"/>
        <v>#DIV/0!</v>
      </c>
      <c r="GD132" s="531" t="e">
        <f t="shared" si="7"/>
        <v>#DIV/0!</v>
      </c>
      <c r="GE132" s="531" t="e">
        <f t="shared" si="7"/>
        <v>#DIV/0!</v>
      </c>
      <c r="GF132" s="531" t="e">
        <f t="shared" si="7"/>
        <v>#DIV/0!</v>
      </c>
      <c r="GG132" s="531" t="e">
        <f t="shared" si="7"/>
        <v>#DIV/0!</v>
      </c>
      <c r="GH132" s="531" t="e">
        <f t="shared" si="7"/>
        <v>#DIV/0!</v>
      </c>
      <c r="GI132" s="531" t="e">
        <f t="shared" si="7"/>
        <v>#DIV/0!</v>
      </c>
      <c r="GJ132" s="531" t="e">
        <f t="shared" si="7"/>
        <v>#DIV/0!</v>
      </c>
      <c r="GK132" s="531" t="e">
        <f t="shared" si="7"/>
        <v>#DIV/0!</v>
      </c>
      <c r="GL132" s="531" t="e">
        <f t="shared" si="7"/>
        <v>#DIV/0!</v>
      </c>
      <c r="GM132" s="531" t="e">
        <f t="shared" si="7"/>
        <v>#DIV/0!</v>
      </c>
      <c r="GN132" s="531" t="e">
        <f t="shared" si="7"/>
        <v>#DIV/0!</v>
      </c>
      <c r="GO132" s="531" t="e">
        <f t="shared" si="7"/>
        <v>#DIV/0!</v>
      </c>
      <c r="GP132" s="531" t="e">
        <f t="shared" si="7"/>
        <v>#DIV/0!</v>
      </c>
      <c r="GQ132" s="531" t="e">
        <f t="shared" ref="GQ132:JB132" si="8">(GQ128-GQ116)/(GQ52*10^5)</f>
        <v>#DIV/0!</v>
      </c>
      <c r="GR132" s="531" t="e">
        <f t="shared" si="8"/>
        <v>#DIV/0!</v>
      </c>
      <c r="GS132" s="531" t="e">
        <f t="shared" si="8"/>
        <v>#DIV/0!</v>
      </c>
      <c r="GT132" s="531" t="e">
        <f t="shared" si="8"/>
        <v>#DIV/0!</v>
      </c>
      <c r="GU132" s="531" t="e">
        <f t="shared" si="8"/>
        <v>#DIV/0!</v>
      </c>
      <c r="GV132" s="531" t="e">
        <f t="shared" si="8"/>
        <v>#DIV/0!</v>
      </c>
      <c r="GW132" s="531" t="e">
        <f t="shared" si="8"/>
        <v>#DIV/0!</v>
      </c>
      <c r="GX132" s="531" t="e">
        <f t="shared" si="8"/>
        <v>#DIV/0!</v>
      </c>
      <c r="GY132" s="531" t="e">
        <f t="shared" si="8"/>
        <v>#DIV/0!</v>
      </c>
      <c r="GZ132" s="531" t="e">
        <f t="shared" si="8"/>
        <v>#DIV/0!</v>
      </c>
      <c r="HA132" s="531" t="e">
        <f t="shared" si="8"/>
        <v>#DIV/0!</v>
      </c>
      <c r="HB132" s="531" t="e">
        <f t="shared" si="8"/>
        <v>#DIV/0!</v>
      </c>
      <c r="HC132" s="531" t="e">
        <f t="shared" si="8"/>
        <v>#DIV/0!</v>
      </c>
      <c r="HD132" s="531" t="e">
        <f t="shared" si="8"/>
        <v>#DIV/0!</v>
      </c>
      <c r="HE132" s="531" t="e">
        <f t="shared" si="8"/>
        <v>#DIV/0!</v>
      </c>
      <c r="HF132" s="531" t="e">
        <f t="shared" si="8"/>
        <v>#DIV/0!</v>
      </c>
      <c r="HG132" s="531" t="e">
        <f t="shared" si="8"/>
        <v>#DIV/0!</v>
      </c>
      <c r="HH132" s="531" t="e">
        <f t="shared" si="8"/>
        <v>#DIV/0!</v>
      </c>
      <c r="HI132" s="531" t="e">
        <f t="shared" si="8"/>
        <v>#DIV/0!</v>
      </c>
      <c r="HJ132" s="531" t="e">
        <f t="shared" si="8"/>
        <v>#DIV/0!</v>
      </c>
      <c r="HK132" s="531" t="e">
        <f t="shared" si="8"/>
        <v>#DIV/0!</v>
      </c>
      <c r="HL132" s="531" t="e">
        <f t="shared" si="8"/>
        <v>#DIV/0!</v>
      </c>
      <c r="HM132" s="531" t="e">
        <f t="shared" si="8"/>
        <v>#DIV/0!</v>
      </c>
      <c r="HN132" s="531" t="e">
        <f t="shared" si="8"/>
        <v>#DIV/0!</v>
      </c>
      <c r="HO132" s="531" t="e">
        <f t="shared" si="8"/>
        <v>#DIV/0!</v>
      </c>
      <c r="HP132" s="531" t="e">
        <f t="shared" si="8"/>
        <v>#DIV/0!</v>
      </c>
      <c r="HQ132" s="531" t="e">
        <f t="shared" si="8"/>
        <v>#DIV/0!</v>
      </c>
      <c r="HR132" s="531" t="e">
        <f t="shared" si="8"/>
        <v>#DIV/0!</v>
      </c>
      <c r="HS132" s="531" t="e">
        <f t="shared" si="8"/>
        <v>#DIV/0!</v>
      </c>
      <c r="HT132" s="531" t="e">
        <f t="shared" si="8"/>
        <v>#DIV/0!</v>
      </c>
      <c r="HU132" s="531" t="e">
        <f t="shared" si="8"/>
        <v>#DIV/0!</v>
      </c>
      <c r="HV132" s="531" t="e">
        <f t="shared" si="8"/>
        <v>#DIV/0!</v>
      </c>
      <c r="HW132" s="531" t="e">
        <f t="shared" si="8"/>
        <v>#DIV/0!</v>
      </c>
      <c r="HX132" s="531" t="e">
        <f t="shared" si="8"/>
        <v>#DIV/0!</v>
      </c>
      <c r="HY132" s="531" t="e">
        <f t="shared" si="8"/>
        <v>#DIV/0!</v>
      </c>
      <c r="HZ132" s="531" t="e">
        <f t="shared" si="8"/>
        <v>#DIV/0!</v>
      </c>
      <c r="IA132" s="531" t="e">
        <f t="shared" si="8"/>
        <v>#DIV/0!</v>
      </c>
      <c r="IB132" s="531" t="e">
        <f t="shared" si="8"/>
        <v>#DIV/0!</v>
      </c>
      <c r="IC132" s="531" t="e">
        <f t="shared" si="8"/>
        <v>#DIV/0!</v>
      </c>
      <c r="ID132" s="531" t="e">
        <f t="shared" si="8"/>
        <v>#DIV/0!</v>
      </c>
      <c r="IE132" s="531" t="e">
        <f t="shared" si="8"/>
        <v>#DIV/0!</v>
      </c>
      <c r="IF132" s="531" t="e">
        <f t="shared" si="8"/>
        <v>#DIV/0!</v>
      </c>
      <c r="IG132" s="531" t="e">
        <f t="shared" si="8"/>
        <v>#DIV/0!</v>
      </c>
      <c r="IH132" s="531" t="e">
        <f t="shared" si="8"/>
        <v>#DIV/0!</v>
      </c>
      <c r="II132" s="531" t="e">
        <f t="shared" si="8"/>
        <v>#DIV/0!</v>
      </c>
      <c r="IJ132" s="531" t="e">
        <f t="shared" si="8"/>
        <v>#DIV/0!</v>
      </c>
      <c r="IK132" s="531" t="e">
        <f t="shared" si="8"/>
        <v>#DIV/0!</v>
      </c>
      <c r="IL132" s="531" t="e">
        <f t="shared" si="8"/>
        <v>#DIV/0!</v>
      </c>
      <c r="IM132" s="531" t="e">
        <f t="shared" si="8"/>
        <v>#DIV/0!</v>
      </c>
      <c r="IN132" s="531" t="e">
        <f t="shared" si="8"/>
        <v>#DIV/0!</v>
      </c>
      <c r="IO132" s="531" t="e">
        <f t="shared" si="8"/>
        <v>#DIV/0!</v>
      </c>
      <c r="IP132" s="531" t="e">
        <f t="shared" si="8"/>
        <v>#DIV/0!</v>
      </c>
      <c r="IQ132" s="531" t="e">
        <f t="shared" si="8"/>
        <v>#DIV/0!</v>
      </c>
      <c r="IR132" s="531" t="e">
        <f t="shared" si="8"/>
        <v>#DIV/0!</v>
      </c>
      <c r="IS132" s="531" t="e">
        <f t="shared" si="8"/>
        <v>#DIV/0!</v>
      </c>
      <c r="IT132" s="531" t="e">
        <f t="shared" si="8"/>
        <v>#DIV/0!</v>
      </c>
      <c r="IU132" s="531" t="e">
        <f t="shared" si="8"/>
        <v>#DIV/0!</v>
      </c>
      <c r="IV132" s="531" t="e">
        <f t="shared" si="8"/>
        <v>#DIV/0!</v>
      </c>
      <c r="IW132" s="531" t="e">
        <f t="shared" si="8"/>
        <v>#DIV/0!</v>
      </c>
      <c r="IX132" s="531" t="e">
        <f t="shared" si="8"/>
        <v>#DIV/0!</v>
      </c>
      <c r="IY132" s="531" t="e">
        <f t="shared" si="8"/>
        <v>#DIV/0!</v>
      </c>
      <c r="IZ132" s="531" t="e">
        <f t="shared" si="8"/>
        <v>#DIV/0!</v>
      </c>
      <c r="JA132" s="531" t="e">
        <f t="shared" si="8"/>
        <v>#DIV/0!</v>
      </c>
      <c r="JB132" s="531" t="e">
        <f t="shared" si="8"/>
        <v>#DIV/0!</v>
      </c>
      <c r="JC132" s="531" t="e">
        <f t="shared" ref="JC132:LN132" si="9">(JC128-JC116)/(JC52*10^5)</f>
        <v>#DIV/0!</v>
      </c>
      <c r="JD132" s="531" t="e">
        <f t="shared" si="9"/>
        <v>#DIV/0!</v>
      </c>
      <c r="JE132" s="531" t="e">
        <f t="shared" si="9"/>
        <v>#DIV/0!</v>
      </c>
      <c r="JF132" s="531" t="e">
        <f t="shared" si="9"/>
        <v>#DIV/0!</v>
      </c>
      <c r="JG132" s="531" t="e">
        <f t="shared" si="9"/>
        <v>#DIV/0!</v>
      </c>
      <c r="JH132" s="531" t="e">
        <f t="shared" si="9"/>
        <v>#DIV/0!</v>
      </c>
      <c r="JI132" s="531" t="e">
        <f t="shared" si="9"/>
        <v>#DIV/0!</v>
      </c>
      <c r="JJ132" s="531" t="e">
        <f t="shared" si="9"/>
        <v>#DIV/0!</v>
      </c>
      <c r="JK132" s="531" t="e">
        <f t="shared" si="9"/>
        <v>#DIV/0!</v>
      </c>
      <c r="JL132" s="531" t="e">
        <f t="shared" si="9"/>
        <v>#DIV/0!</v>
      </c>
      <c r="JM132" s="531" t="e">
        <f t="shared" si="9"/>
        <v>#DIV/0!</v>
      </c>
      <c r="JN132" s="531" t="e">
        <f t="shared" si="9"/>
        <v>#DIV/0!</v>
      </c>
      <c r="JO132" s="531" t="e">
        <f t="shared" si="9"/>
        <v>#DIV/0!</v>
      </c>
      <c r="JP132" s="531" t="e">
        <f t="shared" si="9"/>
        <v>#DIV/0!</v>
      </c>
      <c r="JQ132" s="531" t="e">
        <f t="shared" si="9"/>
        <v>#DIV/0!</v>
      </c>
      <c r="JR132" s="531" t="e">
        <f t="shared" si="9"/>
        <v>#DIV/0!</v>
      </c>
      <c r="JS132" s="531" t="e">
        <f t="shared" si="9"/>
        <v>#DIV/0!</v>
      </c>
      <c r="JT132" s="531" t="e">
        <f t="shared" si="9"/>
        <v>#DIV/0!</v>
      </c>
      <c r="JU132" s="531" t="e">
        <f t="shared" si="9"/>
        <v>#DIV/0!</v>
      </c>
      <c r="JV132" s="531" t="e">
        <f t="shared" si="9"/>
        <v>#DIV/0!</v>
      </c>
      <c r="JW132" s="531" t="e">
        <f t="shared" si="9"/>
        <v>#DIV/0!</v>
      </c>
      <c r="JX132" s="531" t="e">
        <f t="shared" si="9"/>
        <v>#DIV/0!</v>
      </c>
      <c r="JY132" s="531" t="e">
        <f t="shared" si="9"/>
        <v>#DIV/0!</v>
      </c>
      <c r="JZ132" s="531" t="e">
        <f t="shared" si="9"/>
        <v>#DIV/0!</v>
      </c>
      <c r="KA132" s="531" t="e">
        <f t="shared" si="9"/>
        <v>#DIV/0!</v>
      </c>
      <c r="KB132" s="531" t="e">
        <f t="shared" si="9"/>
        <v>#DIV/0!</v>
      </c>
      <c r="KC132" s="531" t="e">
        <f t="shared" si="9"/>
        <v>#DIV/0!</v>
      </c>
      <c r="KD132" s="531" t="e">
        <f t="shared" si="9"/>
        <v>#DIV/0!</v>
      </c>
      <c r="KE132" s="531" t="e">
        <f t="shared" si="9"/>
        <v>#DIV/0!</v>
      </c>
      <c r="KF132" s="531" t="e">
        <f t="shared" si="9"/>
        <v>#DIV/0!</v>
      </c>
      <c r="KG132" s="531" t="e">
        <f t="shared" si="9"/>
        <v>#DIV/0!</v>
      </c>
      <c r="KH132" s="531" t="e">
        <f t="shared" si="9"/>
        <v>#DIV/0!</v>
      </c>
      <c r="KI132" s="531" t="e">
        <f t="shared" si="9"/>
        <v>#DIV/0!</v>
      </c>
      <c r="KJ132" s="531" t="e">
        <f t="shared" si="9"/>
        <v>#DIV/0!</v>
      </c>
      <c r="KK132" s="531" t="e">
        <f t="shared" si="9"/>
        <v>#DIV/0!</v>
      </c>
      <c r="KL132" s="531" t="e">
        <f t="shared" si="9"/>
        <v>#DIV/0!</v>
      </c>
      <c r="KM132" s="531" t="e">
        <f t="shared" si="9"/>
        <v>#DIV/0!</v>
      </c>
      <c r="KN132" s="531" t="e">
        <f t="shared" si="9"/>
        <v>#DIV/0!</v>
      </c>
      <c r="KO132" s="531" t="e">
        <f t="shared" si="9"/>
        <v>#DIV/0!</v>
      </c>
      <c r="KP132" s="531" t="e">
        <f t="shared" si="9"/>
        <v>#DIV/0!</v>
      </c>
      <c r="KQ132" s="531" t="e">
        <f t="shared" si="9"/>
        <v>#DIV/0!</v>
      </c>
      <c r="KR132" s="531" t="e">
        <f t="shared" si="9"/>
        <v>#DIV/0!</v>
      </c>
      <c r="KS132" s="531" t="e">
        <f t="shared" si="9"/>
        <v>#DIV/0!</v>
      </c>
      <c r="KT132" s="531" t="e">
        <f t="shared" si="9"/>
        <v>#DIV/0!</v>
      </c>
      <c r="KU132" s="531" t="e">
        <f t="shared" si="9"/>
        <v>#DIV/0!</v>
      </c>
      <c r="KV132" s="531" t="e">
        <f t="shared" si="9"/>
        <v>#DIV/0!</v>
      </c>
      <c r="KW132" s="531" t="e">
        <f t="shared" si="9"/>
        <v>#DIV/0!</v>
      </c>
      <c r="KX132" s="531" t="e">
        <f t="shared" si="9"/>
        <v>#DIV/0!</v>
      </c>
      <c r="KY132" s="531" t="e">
        <f t="shared" si="9"/>
        <v>#DIV/0!</v>
      </c>
      <c r="KZ132" s="531" t="e">
        <f t="shared" si="9"/>
        <v>#DIV/0!</v>
      </c>
      <c r="LA132" s="531" t="e">
        <f t="shared" si="9"/>
        <v>#DIV/0!</v>
      </c>
      <c r="LB132" s="531" t="e">
        <f t="shared" si="9"/>
        <v>#DIV/0!</v>
      </c>
      <c r="LC132" s="531" t="e">
        <f t="shared" si="9"/>
        <v>#DIV/0!</v>
      </c>
      <c r="LD132" s="531" t="e">
        <f t="shared" si="9"/>
        <v>#DIV/0!</v>
      </c>
      <c r="LE132" s="531" t="e">
        <f t="shared" si="9"/>
        <v>#DIV/0!</v>
      </c>
      <c r="LF132" s="531" t="e">
        <f t="shared" si="9"/>
        <v>#DIV/0!</v>
      </c>
      <c r="LG132" s="531" t="e">
        <f t="shared" si="9"/>
        <v>#DIV/0!</v>
      </c>
      <c r="LH132" s="531" t="e">
        <f t="shared" si="9"/>
        <v>#DIV/0!</v>
      </c>
      <c r="LI132" s="531" t="e">
        <f t="shared" si="9"/>
        <v>#DIV/0!</v>
      </c>
      <c r="LJ132" s="531" t="e">
        <f t="shared" si="9"/>
        <v>#DIV/0!</v>
      </c>
      <c r="LK132" s="531" t="e">
        <f t="shared" si="9"/>
        <v>#DIV/0!</v>
      </c>
      <c r="LL132" s="531" t="e">
        <f t="shared" si="9"/>
        <v>#DIV/0!</v>
      </c>
      <c r="LM132" s="531" t="e">
        <f t="shared" si="9"/>
        <v>#DIV/0!</v>
      </c>
      <c r="LN132" s="531" t="e">
        <f t="shared" si="9"/>
        <v>#DIV/0!</v>
      </c>
      <c r="LO132" s="531" t="e">
        <f t="shared" ref="LO132:NZ132" si="10">(LO128-LO116)/(LO52*10^5)</f>
        <v>#DIV/0!</v>
      </c>
      <c r="LP132" s="531" t="e">
        <f t="shared" si="10"/>
        <v>#DIV/0!</v>
      </c>
      <c r="LQ132" s="531" t="e">
        <f t="shared" si="10"/>
        <v>#DIV/0!</v>
      </c>
      <c r="LR132" s="531" t="e">
        <f t="shared" si="10"/>
        <v>#DIV/0!</v>
      </c>
      <c r="LS132" s="531" t="e">
        <f t="shared" si="10"/>
        <v>#DIV/0!</v>
      </c>
      <c r="LT132" s="531" t="e">
        <f t="shared" si="10"/>
        <v>#DIV/0!</v>
      </c>
      <c r="LU132" s="531" t="e">
        <f t="shared" si="10"/>
        <v>#DIV/0!</v>
      </c>
      <c r="LV132" s="531" t="e">
        <f t="shared" si="10"/>
        <v>#DIV/0!</v>
      </c>
      <c r="LW132" s="531" t="e">
        <f t="shared" si="10"/>
        <v>#DIV/0!</v>
      </c>
      <c r="LX132" s="531" t="e">
        <f t="shared" si="10"/>
        <v>#DIV/0!</v>
      </c>
      <c r="LY132" s="531" t="e">
        <f t="shared" si="10"/>
        <v>#DIV/0!</v>
      </c>
      <c r="LZ132" s="531" t="e">
        <f t="shared" si="10"/>
        <v>#DIV/0!</v>
      </c>
      <c r="MA132" s="531" t="e">
        <f t="shared" si="10"/>
        <v>#DIV/0!</v>
      </c>
      <c r="MB132" s="531" t="e">
        <f t="shared" si="10"/>
        <v>#DIV/0!</v>
      </c>
      <c r="MC132" s="531" t="e">
        <f t="shared" si="10"/>
        <v>#DIV/0!</v>
      </c>
      <c r="MD132" s="531" t="e">
        <f t="shared" si="10"/>
        <v>#DIV/0!</v>
      </c>
      <c r="ME132" s="531" t="e">
        <f t="shared" si="10"/>
        <v>#DIV/0!</v>
      </c>
      <c r="MF132" s="531" t="e">
        <f t="shared" si="10"/>
        <v>#DIV/0!</v>
      </c>
      <c r="MG132" s="531" t="e">
        <f t="shared" si="10"/>
        <v>#DIV/0!</v>
      </c>
      <c r="MH132" s="531" t="e">
        <f t="shared" si="10"/>
        <v>#DIV/0!</v>
      </c>
      <c r="MI132" s="531" t="e">
        <f t="shared" si="10"/>
        <v>#DIV/0!</v>
      </c>
      <c r="MJ132" s="531" t="e">
        <f t="shared" si="10"/>
        <v>#DIV/0!</v>
      </c>
      <c r="MK132" s="531" t="e">
        <f t="shared" si="10"/>
        <v>#DIV/0!</v>
      </c>
      <c r="ML132" s="531" t="e">
        <f t="shared" si="10"/>
        <v>#DIV/0!</v>
      </c>
      <c r="MM132" s="531" t="e">
        <f t="shared" si="10"/>
        <v>#DIV/0!</v>
      </c>
      <c r="MN132" s="531" t="e">
        <f t="shared" si="10"/>
        <v>#DIV/0!</v>
      </c>
      <c r="MO132" s="531" t="e">
        <f t="shared" si="10"/>
        <v>#DIV/0!</v>
      </c>
      <c r="MP132" s="531" t="e">
        <f t="shared" si="10"/>
        <v>#DIV/0!</v>
      </c>
      <c r="MQ132" s="531" t="e">
        <f t="shared" si="10"/>
        <v>#DIV/0!</v>
      </c>
      <c r="MR132" s="531" t="e">
        <f t="shared" si="10"/>
        <v>#DIV/0!</v>
      </c>
      <c r="MS132" s="531" t="e">
        <f t="shared" si="10"/>
        <v>#DIV/0!</v>
      </c>
      <c r="MT132" s="531" t="e">
        <f t="shared" si="10"/>
        <v>#DIV/0!</v>
      </c>
      <c r="MU132" s="531" t="e">
        <f t="shared" si="10"/>
        <v>#DIV/0!</v>
      </c>
      <c r="MV132" s="531" t="e">
        <f t="shared" si="10"/>
        <v>#DIV/0!</v>
      </c>
      <c r="MW132" s="531" t="e">
        <f t="shared" si="10"/>
        <v>#DIV/0!</v>
      </c>
      <c r="MX132" s="531" t="e">
        <f t="shared" si="10"/>
        <v>#DIV/0!</v>
      </c>
      <c r="MY132" s="531" t="e">
        <f t="shared" si="10"/>
        <v>#DIV/0!</v>
      </c>
      <c r="MZ132" s="531" t="e">
        <f t="shared" si="10"/>
        <v>#DIV/0!</v>
      </c>
      <c r="NA132" s="531" t="e">
        <f t="shared" si="10"/>
        <v>#DIV/0!</v>
      </c>
      <c r="NB132" s="531" t="e">
        <f t="shared" si="10"/>
        <v>#DIV/0!</v>
      </c>
      <c r="NC132" s="531" t="e">
        <f t="shared" si="10"/>
        <v>#DIV/0!</v>
      </c>
      <c r="ND132" s="531" t="e">
        <f t="shared" si="10"/>
        <v>#DIV/0!</v>
      </c>
      <c r="NE132" s="531" t="e">
        <f t="shared" si="10"/>
        <v>#DIV/0!</v>
      </c>
      <c r="NF132" s="531" t="e">
        <f t="shared" si="10"/>
        <v>#DIV/0!</v>
      </c>
      <c r="NG132" s="531" t="e">
        <f t="shared" si="10"/>
        <v>#DIV/0!</v>
      </c>
      <c r="NH132" s="531" t="e">
        <f t="shared" si="10"/>
        <v>#DIV/0!</v>
      </c>
      <c r="NI132" s="531" t="e">
        <f t="shared" si="10"/>
        <v>#DIV/0!</v>
      </c>
      <c r="NJ132" s="531" t="e">
        <f t="shared" si="10"/>
        <v>#DIV/0!</v>
      </c>
      <c r="NK132" s="531" t="e">
        <f t="shared" si="10"/>
        <v>#DIV/0!</v>
      </c>
      <c r="NL132" s="531" t="e">
        <f t="shared" si="10"/>
        <v>#DIV/0!</v>
      </c>
      <c r="NM132" s="531" t="e">
        <f t="shared" si="10"/>
        <v>#DIV/0!</v>
      </c>
      <c r="NN132" s="531" t="e">
        <f t="shared" si="10"/>
        <v>#DIV/0!</v>
      </c>
      <c r="NO132" s="531" t="e">
        <f t="shared" si="10"/>
        <v>#DIV/0!</v>
      </c>
      <c r="NP132" s="531" t="e">
        <f t="shared" si="10"/>
        <v>#DIV/0!</v>
      </c>
      <c r="NQ132" s="531" t="e">
        <f t="shared" si="10"/>
        <v>#DIV/0!</v>
      </c>
      <c r="NR132" s="531" t="e">
        <f t="shared" si="10"/>
        <v>#DIV/0!</v>
      </c>
      <c r="NS132" s="531" t="e">
        <f t="shared" si="10"/>
        <v>#DIV/0!</v>
      </c>
      <c r="NT132" s="531" t="e">
        <f t="shared" si="10"/>
        <v>#DIV/0!</v>
      </c>
      <c r="NU132" s="531" t="e">
        <f t="shared" si="10"/>
        <v>#DIV/0!</v>
      </c>
      <c r="NV132" s="531" t="e">
        <f t="shared" si="10"/>
        <v>#DIV/0!</v>
      </c>
      <c r="NW132" s="531" t="e">
        <f t="shared" si="10"/>
        <v>#DIV/0!</v>
      </c>
      <c r="NX132" s="531" t="e">
        <f t="shared" si="10"/>
        <v>#DIV/0!</v>
      </c>
      <c r="NY132" s="531" t="e">
        <f t="shared" si="10"/>
        <v>#DIV/0!</v>
      </c>
      <c r="NZ132" s="531" t="e">
        <f t="shared" si="10"/>
        <v>#DIV/0!</v>
      </c>
      <c r="OA132" s="531" t="e">
        <f t="shared" ref="OA132:QL132" si="11">(OA128-OA116)/(OA52*10^5)</f>
        <v>#DIV/0!</v>
      </c>
      <c r="OB132" s="531" t="e">
        <f t="shared" si="11"/>
        <v>#DIV/0!</v>
      </c>
      <c r="OC132" s="531" t="e">
        <f t="shared" si="11"/>
        <v>#DIV/0!</v>
      </c>
      <c r="OD132" s="531" t="e">
        <f t="shared" si="11"/>
        <v>#DIV/0!</v>
      </c>
      <c r="OE132" s="531" t="e">
        <f t="shared" si="11"/>
        <v>#DIV/0!</v>
      </c>
      <c r="OF132" s="531" t="e">
        <f t="shared" si="11"/>
        <v>#DIV/0!</v>
      </c>
      <c r="OG132" s="531" t="e">
        <f t="shared" si="11"/>
        <v>#DIV/0!</v>
      </c>
      <c r="OH132" s="531" t="e">
        <f t="shared" si="11"/>
        <v>#DIV/0!</v>
      </c>
      <c r="OI132" s="531" t="e">
        <f t="shared" si="11"/>
        <v>#DIV/0!</v>
      </c>
      <c r="OJ132" s="531" t="e">
        <f t="shared" si="11"/>
        <v>#DIV/0!</v>
      </c>
      <c r="OK132" s="531" t="e">
        <f t="shared" si="11"/>
        <v>#DIV/0!</v>
      </c>
      <c r="OL132" s="531" t="e">
        <f t="shared" si="11"/>
        <v>#DIV/0!</v>
      </c>
      <c r="OM132" s="531" t="e">
        <f t="shared" si="11"/>
        <v>#DIV/0!</v>
      </c>
      <c r="ON132" s="531" t="e">
        <f t="shared" si="11"/>
        <v>#DIV/0!</v>
      </c>
      <c r="OO132" s="531" t="e">
        <f t="shared" si="11"/>
        <v>#DIV/0!</v>
      </c>
      <c r="OP132" s="531" t="e">
        <f t="shared" si="11"/>
        <v>#DIV/0!</v>
      </c>
      <c r="OQ132" s="531" t="e">
        <f t="shared" si="11"/>
        <v>#DIV/0!</v>
      </c>
      <c r="OR132" s="531" t="e">
        <f t="shared" si="11"/>
        <v>#DIV/0!</v>
      </c>
      <c r="OS132" s="531" t="e">
        <f t="shared" si="11"/>
        <v>#DIV/0!</v>
      </c>
      <c r="OT132" s="531" t="e">
        <f t="shared" si="11"/>
        <v>#DIV/0!</v>
      </c>
      <c r="OU132" s="531" t="e">
        <f t="shared" si="11"/>
        <v>#DIV/0!</v>
      </c>
      <c r="OV132" s="531" t="e">
        <f t="shared" si="11"/>
        <v>#DIV/0!</v>
      </c>
      <c r="OW132" s="531" t="e">
        <f t="shared" si="11"/>
        <v>#DIV/0!</v>
      </c>
      <c r="OX132" s="531" t="e">
        <f t="shared" si="11"/>
        <v>#DIV/0!</v>
      </c>
      <c r="OY132" s="531" t="e">
        <f t="shared" si="11"/>
        <v>#DIV/0!</v>
      </c>
      <c r="OZ132" s="531" t="e">
        <f t="shared" si="11"/>
        <v>#DIV/0!</v>
      </c>
      <c r="PA132" s="531" t="e">
        <f t="shared" si="11"/>
        <v>#DIV/0!</v>
      </c>
      <c r="PB132" s="531" t="e">
        <f t="shared" si="11"/>
        <v>#DIV/0!</v>
      </c>
      <c r="PC132" s="531" t="e">
        <f t="shared" si="11"/>
        <v>#DIV/0!</v>
      </c>
      <c r="PD132" s="531" t="e">
        <f t="shared" si="11"/>
        <v>#DIV/0!</v>
      </c>
      <c r="PE132" s="531" t="e">
        <f t="shared" si="11"/>
        <v>#DIV/0!</v>
      </c>
      <c r="PF132" s="531" t="e">
        <f t="shared" si="11"/>
        <v>#DIV/0!</v>
      </c>
      <c r="PG132" s="531" t="e">
        <f t="shared" si="11"/>
        <v>#DIV/0!</v>
      </c>
      <c r="PH132" s="531" t="e">
        <f t="shared" si="11"/>
        <v>#DIV/0!</v>
      </c>
      <c r="PI132" s="531" t="e">
        <f t="shared" si="11"/>
        <v>#DIV/0!</v>
      </c>
      <c r="PJ132" s="531" t="e">
        <f t="shared" si="11"/>
        <v>#DIV/0!</v>
      </c>
      <c r="PK132" s="531" t="e">
        <f t="shared" si="11"/>
        <v>#DIV/0!</v>
      </c>
      <c r="PL132" s="531" t="e">
        <f t="shared" si="11"/>
        <v>#DIV/0!</v>
      </c>
      <c r="PM132" s="531" t="e">
        <f t="shared" si="11"/>
        <v>#DIV/0!</v>
      </c>
      <c r="PN132" s="531" t="e">
        <f t="shared" si="11"/>
        <v>#DIV/0!</v>
      </c>
      <c r="PO132" s="531" t="e">
        <f t="shared" si="11"/>
        <v>#DIV/0!</v>
      </c>
      <c r="PP132" s="531" t="e">
        <f t="shared" si="11"/>
        <v>#DIV/0!</v>
      </c>
      <c r="PQ132" s="531" t="e">
        <f t="shared" si="11"/>
        <v>#DIV/0!</v>
      </c>
      <c r="PR132" s="531" t="e">
        <f t="shared" si="11"/>
        <v>#DIV/0!</v>
      </c>
      <c r="PS132" s="531" t="e">
        <f t="shared" si="11"/>
        <v>#DIV/0!</v>
      </c>
      <c r="PT132" s="531" t="e">
        <f t="shared" si="11"/>
        <v>#DIV/0!</v>
      </c>
      <c r="PU132" s="531" t="e">
        <f t="shared" si="11"/>
        <v>#DIV/0!</v>
      </c>
      <c r="PV132" s="531" t="e">
        <f t="shared" si="11"/>
        <v>#DIV/0!</v>
      </c>
      <c r="PW132" s="531" t="e">
        <f t="shared" si="11"/>
        <v>#DIV/0!</v>
      </c>
      <c r="PX132" s="531" t="e">
        <f t="shared" si="11"/>
        <v>#DIV/0!</v>
      </c>
      <c r="PY132" s="531" t="e">
        <f t="shared" si="11"/>
        <v>#DIV/0!</v>
      </c>
      <c r="PZ132" s="531" t="e">
        <f t="shared" si="11"/>
        <v>#DIV/0!</v>
      </c>
      <c r="QA132" s="531" t="e">
        <f t="shared" si="11"/>
        <v>#DIV/0!</v>
      </c>
      <c r="QB132" s="531" t="e">
        <f t="shared" si="11"/>
        <v>#DIV/0!</v>
      </c>
      <c r="QC132" s="531" t="e">
        <f t="shared" si="11"/>
        <v>#DIV/0!</v>
      </c>
      <c r="QD132" s="531" t="e">
        <f t="shared" si="11"/>
        <v>#DIV/0!</v>
      </c>
      <c r="QE132" s="531" t="e">
        <f t="shared" si="11"/>
        <v>#DIV/0!</v>
      </c>
      <c r="QF132" s="531" t="e">
        <f t="shared" si="11"/>
        <v>#DIV/0!</v>
      </c>
      <c r="QG132" s="531" t="e">
        <f t="shared" si="11"/>
        <v>#DIV/0!</v>
      </c>
      <c r="QH132" s="531" t="e">
        <f t="shared" si="11"/>
        <v>#DIV/0!</v>
      </c>
      <c r="QI132" s="531" t="e">
        <f t="shared" si="11"/>
        <v>#DIV/0!</v>
      </c>
      <c r="QJ132" s="531" t="e">
        <f t="shared" si="11"/>
        <v>#DIV/0!</v>
      </c>
      <c r="QK132" s="531" t="e">
        <f t="shared" si="11"/>
        <v>#DIV/0!</v>
      </c>
      <c r="QL132" s="531" t="e">
        <f t="shared" si="11"/>
        <v>#DIV/0!</v>
      </c>
      <c r="QM132" s="531" t="e">
        <f t="shared" ref="QM132:SX132" si="12">(QM128-QM116)/(QM52*10^5)</f>
        <v>#DIV/0!</v>
      </c>
      <c r="QN132" s="531" t="e">
        <f t="shared" si="12"/>
        <v>#DIV/0!</v>
      </c>
      <c r="QO132" s="531" t="e">
        <f t="shared" si="12"/>
        <v>#DIV/0!</v>
      </c>
      <c r="QP132" s="531" t="e">
        <f t="shared" si="12"/>
        <v>#DIV/0!</v>
      </c>
      <c r="QQ132" s="531" t="e">
        <f t="shared" si="12"/>
        <v>#DIV/0!</v>
      </c>
      <c r="QR132" s="531" t="e">
        <f t="shared" si="12"/>
        <v>#DIV/0!</v>
      </c>
      <c r="QS132" s="531" t="e">
        <f t="shared" si="12"/>
        <v>#DIV/0!</v>
      </c>
      <c r="QT132" s="531" t="e">
        <f t="shared" si="12"/>
        <v>#DIV/0!</v>
      </c>
      <c r="QU132" s="531" t="e">
        <f t="shared" si="12"/>
        <v>#DIV/0!</v>
      </c>
      <c r="QV132" s="531" t="e">
        <f t="shared" si="12"/>
        <v>#DIV/0!</v>
      </c>
      <c r="QW132" s="531" t="e">
        <f t="shared" si="12"/>
        <v>#DIV/0!</v>
      </c>
      <c r="QX132" s="531" t="e">
        <f t="shared" si="12"/>
        <v>#DIV/0!</v>
      </c>
      <c r="QY132" s="531" t="e">
        <f t="shared" si="12"/>
        <v>#DIV/0!</v>
      </c>
      <c r="QZ132" s="531" t="e">
        <f t="shared" si="12"/>
        <v>#DIV/0!</v>
      </c>
      <c r="RA132" s="531" t="e">
        <f t="shared" si="12"/>
        <v>#DIV/0!</v>
      </c>
      <c r="RB132" s="531" t="e">
        <f t="shared" si="12"/>
        <v>#DIV/0!</v>
      </c>
      <c r="RC132" s="531" t="e">
        <f t="shared" si="12"/>
        <v>#DIV/0!</v>
      </c>
      <c r="RD132" s="531" t="e">
        <f t="shared" si="12"/>
        <v>#DIV/0!</v>
      </c>
      <c r="RE132" s="531" t="e">
        <f t="shared" si="12"/>
        <v>#DIV/0!</v>
      </c>
      <c r="RF132" s="531" t="e">
        <f t="shared" si="12"/>
        <v>#DIV/0!</v>
      </c>
      <c r="RG132" s="531" t="e">
        <f t="shared" si="12"/>
        <v>#DIV/0!</v>
      </c>
      <c r="RH132" s="531" t="e">
        <f t="shared" si="12"/>
        <v>#DIV/0!</v>
      </c>
      <c r="RI132" s="531" t="e">
        <f t="shared" si="12"/>
        <v>#DIV/0!</v>
      </c>
      <c r="RJ132" s="531" t="e">
        <f t="shared" si="12"/>
        <v>#DIV/0!</v>
      </c>
      <c r="RK132" s="531" t="e">
        <f t="shared" si="12"/>
        <v>#DIV/0!</v>
      </c>
      <c r="RL132" s="531" t="e">
        <f t="shared" si="12"/>
        <v>#DIV/0!</v>
      </c>
      <c r="RM132" s="531" t="e">
        <f t="shared" si="12"/>
        <v>#DIV/0!</v>
      </c>
      <c r="RN132" s="531" t="e">
        <f t="shared" si="12"/>
        <v>#DIV/0!</v>
      </c>
      <c r="RO132" s="531" t="e">
        <f t="shared" si="12"/>
        <v>#DIV/0!</v>
      </c>
      <c r="RP132" s="531" t="e">
        <f t="shared" si="12"/>
        <v>#DIV/0!</v>
      </c>
      <c r="RQ132" s="531" t="e">
        <f t="shared" si="12"/>
        <v>#DIV/0!</v>
      </c>
      <c r="RR132" s="531" t="e">
        <f t="shared" si="12"/>
        <v>#DIV/0!</v>
      </c>
      <c r="RS132" s="531" t="e">
        <f t="shared" si="12"/>
        <v>#DIV/0!</v>
      </c>
      <c r="RT132" s="531" t="e">
        <f t="shared" si="12"/>
        <v>#DIV/0!</v>
      </c>
      <c r="RU132" s="531" t="e">
        <f t="shared" si="12"/>
        <v>#DIV/0!</v>
      </c>
      <c r="RV132" s="531" t="e">
        <f t="shared" si="12"/>
        <v>#DIV/0!</v>
      </c>
      <c r="RW132" s="531" t="e">
        <f t="shared" si="12"/>
        <v>#DIV/0!</v>
      </c>
      <c r="RX132" s="531" t="e">
        <f t="shared" si="12"/>
        <v>#DIV/0!</v>
      </c>
      <c r="RY132" s="531" t="e">
        <f t="shared" si="12"/>
        <v>#DIV/0!</v>
      </c>
      <c r="RZ132" s="531" t="e">
        <f t="shared" si="12"/>
        <v>#DIV/0!</v>
      </c>
      <c r="SA132" s="531" t="e">
        <f t="shared" si="12"/>
        <v>#DIV/0!</v>
      </c>
      <c r="SB132" s="531" t="e">
        <f t="shared" si="12"/>
        <v>#DIV/0!</v>
      </c>
      <c r="SC132" s="531" t="e">
        <f t="shared" si="12"/>
        <v>#DIV/0!</v>
      </c>
      <c r="SD132" s="531" t="e">
        <f t="shared" si="12"/>
        <v>#DIV/0!</v>
      </c>
      <c r="SE132" s="531" t="e">
        <f t="shared" si="12"/>
        <v>#DIV/0!</v>
      </c>
      <c r="SF132" s="531" t="e">
        <f t="shared" si="12"/>
        <v>#DIV/0!</v>
      </c>
      <c r="SG132" s="531" t="e">
        <f t="shared" si="12"/>
        <v>#DIV/0!</v>
      </c>
      <c r="SH132" s="531" t="e">
        <f t="shared" si="12"/>
        <v>#DIV/0!</v>
      </c>
      <c r="SI132" s="531" t="e">
        <f t="shared" si="12"/>
        <v>#DIV/0!</v>
      </c>
      <c r="SJ132" s="531" t="e">
        <f t="shared" si="12"/>
        <v>#DIV/0!</v>
      </c>
      <c r="SK132" s="531" t="e">
        <f t="shared" si="12"/>
        <v>#DIV/0!</v>
      </c>
      <c r="SL132" s="531" t="e">
        <f t="shared" si="12"/>
        <v>#DIV/0!</v>
      </c>
      <c r="SM132" s="531" t="e">
        <f t="shared" si="12"/>
        <v>#DIV/0!</v>
      </c>
      <c r="SN132" s="531" t="e">
        <f t="shared" si="12"/>
        <v>#DIV/0!</v>
      </c>
      <c r="SO132" s="531" t="e">
        <f t="shared" si="12"/>
        <v>#DIV/0!</v>
      </c>
      <c r="SP132" s="531" t="e">
        <f t="shared" si="12"/>
        <v>#DIV/0!</v>
      </c>
      <c r="SQ132" s="531" t="e">
        <f t="shared" si="12"/>
        <v>#DIV/0!</v>
      </c>
      <c r="SR132" s="531" t="e">
        <f t="shared" si="12"/>
        <v>#DIV/0!</v>
      </c>
      <c r="SS132" s="531" t="e">
        <f t="shared" si="12"/>
        <v>#DIV/0!</v>
      </c>
      <c r="ST132" s="531" t="e">
        <f t="shared" si="12"/>
        <v>#DIV/0!</v>
      </c>
      <c r="SU132" s="531" t="e">
        <f t="shared" si="12"/>
        <v>#DIV/0!</v>
      </c>
      <c r="SV132" s="531" t="e">
        <f t="shared" si="12"/>
        <v>#DIV/0!</v>
      </c>
      <c r="SW132" s="531" t="e">
        <f t="shared" si="12"/>
        <v>#DIV/0!</v>
      </c>
      <c r="SX132" s="531" t="e">
        <f t="shared" si="12"/>
        <v>#DIV/0!</v>
      </c>
      <c r="SY132" s="531" t="e">
        <f t="shared" ref="SY132:VJ132" si="13">(SY128-SY116)/(SY52*10^5)</f>
        <v>#DIV/0!</v>
      </c>
      <c r="SZ132" s="531" t="e">
        <f t="shared" si="13"/>
        <v>#DIV/0!</v>
      </c>
      <c r="TA132" s="531" t="e">
        <f t="shared" si="13"/>
        <v>#DIV/0!</v>
      </c>
      <c r="TB132" s="531" t="e">
        <f t="shared" si="13"/>
        <v>#DIV/0!</v>
      </c>
      <c r="TC132" s="531" t="e">
        <f t="shared" si="13"/>
        <v>#DIV/0!</v>
      </c>
      <c r="TD132" s="531" t="e">
        <f t="shared" si="13"/>
        <v>#DIV/0!</v>
      </c>
      <c r="TE132" s="531" t="e">
        <f t="shared" si="13"/>
        <v>#DIV/0!</v>
      </c>
      <c r="TF132" s="531" t="e">
        <f t="shared" si="13"/>
        <v>#DIV/0!</v>
      </c>
      <c r="TG132" s="531" t="e">
        <f t="shared" si="13"/>
        <v>#DIV/0!</v>
      </c>
      <c r="TH132" s="531" t="e">
        <f t="shared" si="13"/>
        <v>#DIV/0!</v>
      </c>
      <c r="TI132" s="531" t="e">
        <f t="shared" si="13"/>
        <v>#DIV/0!</v>
      </c>
      <c r="TJ132" s="531" t="e">
        <f t="shared" si="13"/>
        <v>#DIV/0!</v>
      </c>
      <c r="TK132" s="531" t="e">
        <f t="shared" si="13"/>
        <v>#DIV/0!</v>
      </c>
      <c r="TL132" s="531" t="e">
        <f t="shared" si="13"/>
        <v>#DIV/0!</v>
      </c>
      <c r="TM132" s="531" t="e">
        <f t="shared" si="13"/>
        <v>#DIV/0!</v>
      </c>
      <c r="TN132" s="531" t="e">
        <f t="shared" si="13"/>
        <v>#DIV/0!</v>
      </c>
      <c r="TO132" s="531" t="e">
        <f t="shared" si="13"/>
        <v>#DIV/0!</v>
      </c>
      <c r="TP132" s="531" t="e">
        <f t="shared" si="13"/>
        <v>#DIV/0!</v>
      </c>
      <c r="TQ132" s="531" t="e">
        <f t="shared" si="13"/>
        <v>#DIV/0!</v>
      </c>
      <c r="TR132" s="531" t="e">
        <f t="shared" si="13"/>
        <v>#DIV/0!</v>
      </c>
      <c r="TS132" s="531" t="e">
        <f t="shared" si="13"/>
        <v>#DIV/0!</v>
      </c>
      <c r="TT132" s="531" t="e">
        <f t="shared" si="13"/>
        <v>#DIV/0!</v>
      </c>
      <c r="TU132" s="531" t="e">
        <f t="shared" si="13"/>
        <v>#DIV/0!</v>
      </c>
      <c r="TV132" s="531" t="e">
        <f t="shared" si="13"/>
        <v>#DIV/0!</v>
      </c>
      <c r="TW132" s="531" t="e">
        <f t="shared" si="13"/>
        <v>#DIV/0!</v>
      </c>
      <c r="TX132" s="531" t="e">
        <f t="shared" si="13"/>
        <v>#DIV/0!</v>
      </c>
      <c r="TY132" s="531" t="e">
        <f t="shared" si="13"/>
        <v>#DIV/0!</v>
      </c>
      <c r="TZ132" s="531" t="e">
        <f t="shared" si="13"/>
        <v>#DIV/0!</v>
      </c>
      <c r="UA132" s="531" t="e">
        <f t="shared" si="13"/>
        <v>#DIV/0!</v>
      </c>
      <c r="UB132" s="531" t="e">
        <f t="shared" si="13"/>
        <v>#DIV/0!</v>
      </c>
      <c r="UC132" s="531" t="e">
        <f t="shared" si="13"/>
        <v>#DIV/0!</v>
      </c>
      <c r="UD132" s="531" t="e">
        <f t="shared" si="13"/>
        <v>#DIV/0!</v>
      </c>
      <c r="UE132" s="531" t="e">
        <f t="shared" si="13"/>
        <v>#DIV/0!</v>
      </c>
      <c r="UF132" s="531" t="e">
        <f t="shared" si="13"/>
        <v>#DIV/0!</v>
      </c>
      <c r="UG132" s="531" t="e">
        <f t="shared" si="13"/>
        <v>#DIV/0!</v>
      </c>
      <c r="UH132" s="531" t="e">
        <f t="shared" si="13"/>
        <v>#DIV/0!</v>
      </c>
      <c r="UI132" s="531" t="e">
        <f t="shared" si="13"/>
        <v>#DIV/0!</v>
      </c>
      <c r="UJ132" s="531" t="e">
        <f t="shared" si="13"/>
        <v>#DIV/0!</v>
      </c>
      <c r="UK132" s="531" t="e">
        <f t="shared" si="13"/>
        <v>#DIV/0!</v>
      </c>
      <c r="UL132" s="531" t="e">
        <f t="shared" si="13"/>
        <v>#DIV/0!</v>
      </c>
      <c r="UM132" s="531" t="e">
        <f t="shared" si="13"/>
        <v>#DIV/0!</v>
      </c>
      <c r="UN132" s="531" t="e">
        <f t="shared" si="13"/>
        <v>#DIV/0!</v>
      </c>
      <c r="UO132" s="531" t="e">
        <f t="shared" si="13"/>
        <v>#DIV/0!</v>
      </c>
      <c r="UP132" s="531" t="e">
        <f t="shared" si="13"/>
        <v>#DIV/0!</v>
      </c>
      <c r="UQ132" s="531" t="e">
        <f t="shared" si="13"/>
        <v>#DIV/0!</v>
      </c>
      <c r="UR132" s="531" t="e">
        <f t="shared" si="13"/>
        <v>#DIV/0!</v>
      </c>
      <c r="US132" s="531" t="e">
        <f t="shared" si="13"/>
        <v>#DIV/0!</v>
      </c>
      <c r="UT132" s="531" t="e">
        <f t="shared" si="13"/>
        <v>#DIV/0!</v>
      </c>
      <c r="UU132" s="531" t="e">
        <f t="shared" si="13"/>
        <v>#DIV/0!</v>
      </c>
      <c r="UV132" s="531" t="e">
        <f t="shared" si="13"/>
        <v>#DIV/0!</v>
      </c>
      <c r="UW132" s="531" t="e">
        <f t="shared" si="13"/>
        <v>#DIV/0!</v>
      </c>
      <c r="UX132" s="531" t="e">
        <f t="shared" si="13"/>
        <v>#DIV/0!</v>
      </c>
      <c r="UY132" s="531" t="e">
        <f t="shared" si="13"/>
        <v>#DIV/0!</v>
      </c>
      <c r="UZ132" s="531" t="e">
        <f t="shared" si="13"/>
        <v>#DIV/0!</v>
      </c>
      <c r="VA132" s="531" t="e">
        <f t="shared" si="13"/>
        <v>#DIV/0!</v>
      </c>
      <c r="VB132" s="531" t="e">
        <f t="shared" si="13"/>
        <v>#DIV/0!</v>
      </c>
      <c r="VC132" s="531" t="e">
        <f t="shared" si="13"/>
        <v>#DIV/0!</v>
      </c>
      <c r="VD132" s="531" t="e">
        <f t="shared" si="13"/>
        <v>#DIV/0!</v>
      </c>
      <c r="VE132" s="531" t="e">
        <f t="shared" si="13"/>
        <v>#DIV/0!</v>
      </c>
      <c r="VF132" s="531" t="e">
        <f t="shared" si="13"/>
        <v>#DIV/0!</v>
      </c>
      <c r="VG132" s="531" t="e">
        <f t="shared" si="13"/>
        <v>#DIV/0!</v>
      </c>
      <c r="VH132" s="531" t="e">
        <f t="shared" si="13"/>
        <v>#DIV/0!</v>
      </c>
      <c r="VI132" s="531" t="e">
        <f t="shared" si="13"/>
        <v>#DIV/0!</v>
      </c>
      <c r="VJ132" s="531" t="e">
        <f t="shared" si="13"/>
        <v>#DIV/0!</v>
      </c>
      <c r="VK132" s="531" t="e">
        <f t="shared" ref="VK132:XV132" si="14">(VK128-VK116)/(VK52*10^5)</f>
        <v>#DIV/0!</v>
      </c>
      <c r="VL132" s="531" t="e">
        <f t="shared" si="14"/>
        <v>#DIV/0!</v>
      </c>
      <c r="VM132" s="531" t="e">
        <f t="shared" si="14"/>
        <v>#DIV/0!</v>
      </c>
      <c r="VN132" s="531" t="e">
        <f t="shared" si="14"/>
        <v>#DIV/0!</v>
      </c>
      <c r="VO132" s="531" t="e">
        <f t="shared" si="14"/>
        <v>#DIV/0!</v>
      </c>
      <c r="VP132" s="531" t="e">
        <f t="shared" si="14"/>
        <v>#DIV/0!</v>
      </c>
      <c r="VQ132" s="531" t="e">
        <f t="shared" si="14"/>
        <v>#DIV/0!</v>
      </c>
      <c r="VR132" s="531" t="e">
        <f t="shared" si="14"/>
        <v>#DIV/0!</v>
      </c>
      <c r="VS132" s="531" t="e">
        <f t="shared" si="14"/>
        <v>#DIV/0!</v>
      </c>
      <c r="VT132" s="531" t="e">
        <f t="shared" si="14"/>
        <v>#DIV/0!</v>
      </c>
      <c r="VU132" s="531" t="e">
        <f t="shared" si="14"/>
        <v>#DIV/0!</v>
      </c>
      <c r="VV132" s="531" t="e">
        <f t="shared" si="14"/>
        <v>#DIV/0!</v>
      </c>
      <c r="VW132" s="531" t="e">
        <f t="shared" si="14"/>
        <v>#DIV/0!</v>
      </c>
      <c r="VX132" s="531" t="e">
        <f t="shared" si="14"/>
        <v>#DIV/0!</v>
      </c>
      <c r="VY132" s="531" t="e">
        <f t="shared" si="14"/>
        <v>#DIV/0!</v>
      </c>
      <c r="VZ132" s="531" t="e">
        <f t="shared" si="14"/>
        <v>#DIV/0!</v>
      </c>
      <c r="WA132" s="531" t="e">
        <f t="shared" si="14"/>
        <v>#DIV/0!</v>
      </c>
      <c r="WB132" s="531" t="e">
        <f t="shared" si="14"/>
        <v>#DIV/0!</v>
      </c>
      <c r="WC132" s="531" t="e">
        <f t="shared" si="14"/>
        <v>#DIV/0!</v>
      </c>
      <c r="WD132" s="531" t="e">
        <f t="shared" si="14"/>
        <v>#DIV/0!</v>
      </c>
      <c r="WE132" s="531" t="e">
        <f t="shared" si="14"/>
        <v>#DIV/0!</v>
      </c>
      <c r="WF132" s="531" t="e">
        <f t="shared" si="14"/>
        <v>#DIV/0!</v>
      </c>
      <c r="WG132" s="531" t="e">
        <f t="shared" si="14"/>
        <v>#DIV/0!</v>
      </c>
      <c r="WH132" s="531" t="e">
        <f t="shared" si="14"/>
        <v>#DIV/0!</v>
      </c>
      <c r="WI132" s="531" t="e">
        <f t="shared" si="14"/>
        <v>#DIV/0!</v>
      </c>
      <c r="WJ132" s="531" t="e">
        <f t="shared" si="14"/>
        <v>#DIV/0!</v>
      </c>
      <c r="WK132" s="531" t="e">
        <f t="shared" si="14"/>
        <v>#DIV/0!</v>
      </c>
      <c r="WL132" s="531" t="e">
        <f t="shared" si="14"/>
        <v>#DIV/0!</v>
      </c>
      <c r="WM132" s="531" t="e">
        <f t="shared" si="14"/>
        <v>#DIV/0!</v>
      </c>
      <c r="WN132" s="531" t="e">
        <f t="shared" si="14"/>
        <v>#DIV/0!</v>
      </c>
      <c r="WO132" s="531" t="e">
        <f t="shared" si="14"/>
        <v>#DIV/0!</v>
      </c>
      <c r="WP132" s="531" t="e">
        <f t="shared" si="14"/>
        <v>#DIV/0!</v>
      </c>
      <c r="WQ132" s="531" t="e">
        <f t="shared" si="14"/>
        <v>#DIV/0!</v>
      </c>
      <c r="WR132" s="531" t="e">
        <f t="shared" si="14"/>
        <v>#DIV/0!</v>
      </c>
      <c r="WS132" s="531" t="e">
        <f t="shared" si="14"/>
        <v>#DIV/0!</v>
      </c>
      <c r="WT132" s="531" t="e">
        <f t="shared" si="14"/>
        <v>#DIV/0!</v>
      </c>
      <c r="WU132" s="531" t="e">
        <f t="shared" si="14"/>
        <v>#DIV/0!</v>
      </c>
      <c r="WV132" s="531" t="e">
        <f t="shared" si="14"/>
        <v>#DIV/0!</v>
      </c>
      <c r="WW132" s="531" t="e">
        <f t="shared" si="14"/>
        <v>#DIV/0!</v>
      </c>
      <c r="WX132" s="531" t="e">
        <f t="shared" si="14"/>
        <v>#DIV/0!</v>
      </c>
      <c r="WY132" s="531" t="e">
        <f t="shared" si="14"/>
        <v>#DIV/0!</v>
      </c>
      <c r="WZ132" s="531" t="e">
        <f t="shared" si="14"/>
        <v>#DIV/0!</v>
      </c>
      <c r="XA132" s="531" t="e">
        <f t="shared" si="14"/>
        <v>#DIV/0!</v>
      </c>
      <c r="XB132" s="531" t="e">
        <f t="shared" si="14"/>
        <v>#DIV/0!</v>
      </c>
      <c r="XC132" s="531" t="e">
        <f t="shared" si="14"/>
        <v>#DIV/0!</v>
      </c>
      <c r="XD132" s="531" t="e">
        <f t="shared" si="14"/>
        <v>#DIV/0!</v>
      </c>
      <c r="XE132" s="531" t="e">
        <f t="shared" si="14"/>
        <v>#DIV/0!</v>
      </c>
      <c r="XF132" s="531" t="e">
        <f t="shared" si="14"/>
        <v>#DIV/0!</v>
      </c>
      <c r="XG132" s="531" t="e">
        <f t="shared" si="14"/>
        <v>#DIV/0!</v>
      </c>
      <c r="XH132" s="531" t="e">
        <f t="shared" si="14"/>
        <v>#DIV/0!</v>
      </c>
      <c r="XI132" s="531" t="e">
        <f t="shared" si="14"/>
        <v>#DIV/0!</v>
      </c>
      <c r="XJ132" s="531" t="e">
        <f t="shared" si="14"/>
        <v>#DIV/0!</v>
      </c>
      <c r="XK132" s="531" t="e">
        <f t="shared" si="14"/>
        <v>#DIV/0!</v>
      </c>
      <c r="XL132" s="531" t="e">
        <f t="shared" si="14"/>
        <v>#DIV/0!</v>
      </c>
      <c r="XM132" s="531" t="e">
        <f t="shared" si="14"/>
        <v>#DIV/0!</v>
      </c>
      <c r="XN132" s="531" t="e">
        <f t="shared" si="14"/>
        <v>#DIV/0!</v>
      </c>
      <c r="XO132" s="531" t="e">
        <f t="shared" si="14"/>
        <v>#DIV/0!</v>
      </c>
      <c r="XP132" s="531" t="e">
        <f t="shared" si="14"/>
        <v>#DIV/0!</v>
      </c>
      <c r="XQ132" s="531" t="e">
        <f t="shared" si="14"/>
        <v>#DIV/0!</v>
      </c>
      <c r="XR132" s="531" t="e">
        <f t="shared" si="14"/>
        <v>#DIV/0!</v>
      </c>
      <c r="XS132" s="531" t="e">
        <f t="shared" si="14"/>
        <v>#DIV/0!</v>
      </c>
      <c r="XT132" s="531" t="e">
        <f t="shared" si="14"/>
        <v>#DIV/0!</v>
      </c>
      <c r="XU132" s="531" t="e">
        <f t="shared" si="14"/>
        <v>#DIV/0!</v>
      </c>
      <c r="XV132" s="531" t="e">
        <f t="shared" si="14"/>
        <v>#DIV/0!</v>
      </c>
      <c r="XW132" s="531" t="e">
        <f t="shared" ref="XW132:AAH132" si="15">(XW128-XW116)/(XW52*10^5)</f>
        <v>#DIV/0!</v>
      </c>
      <c r="XX132" s="531" t="e">
        <f t="shared" si="15"/>
        <v>#DIV/0!</v>
      </c>
      <c r="XY132" s="531" t="e">
        <f t="shared" si="15"/>
        <v>#DIV/0!</v>
      </c>
      <c r="XZ132" s="531" t="e">
        <f t="shared" si="15"/>
        <v>#DIV/0!</v>
      </c>
      <c r="YA132" s="531" t="e">
        <f t="shared" si="15"/>
        <v>#DIV/0!</v>
      </c>
      <c r="YB132" s="531" t="e">
        <f t="shared" si="15"/>
        <v>#DIV/0!</v>
      </c>
      <c r="YC132" s="531" t="e">
        <f t="shared" si="15"/>
        <v>#DIV/0!</v>
      </c>
      <c r="YD132" s="531" t="e">
        <f t="shared" si="15"/>
        <v>#DIV/0!</v>
      </c>
      <c r="YE132" s="531" t="e">
        <f t="shared" si="15"/>
        <v>#DIV/0!</v>
      </c>
      <c r="YF132" s="531" t="e">
        <f t="shared" si="15"/>
        <v>#DIV/0!</v>
      </c>
      <c r="YG132" s="531" t="e">
        <f t="shared" si="15"/>
        <v>#DIV/0!</v>
      </c>
      <c r="YH132" s="531" t="e">
        <f t="shared" si="15"/>
        <v>#DIV/0!</v>
      </c>
      <c r="YI132" s="531" t="e">
        <f t="shared" si="15"/>
        <v>#DIV/0!</v>
      </c>
      <c r="YJ132" s="531" t="e">
        <f t="shared" si="15"/>
        <v>#DIV/0!</v>
      </c>
      <c r="YK132" s="531" t="e">
        <f t="shared" si="15"/>
        <v>#DIV/0!</v>
      </c>
      <c r="YL132" s="531" t="e">
        <f t="shared" si="15"/>
        <v>#DIV/0!</v>
      </c>
      <c r="YM132" s="531" t="e">
        <f t="shared" si="15"/>
        <v>#DIV/0!</v>
      </c>
      <c r="YN132" s="531" t="e">
        <f t="shared" si="15"/>
        <v>#DIV/0!</v>
      </c>
      <c r="YO132" s="531" t="e">
        <f t="shared" si="15"/>
        <v>#DIV/0!</v>
      </c>
      <c r="YP132" s="531" t="e">
        <f t="shared" si="15"/>
        <v>#DIV/0!</v>
      </c>
      <c r="YQ132" s="531" t="e">
        <f t="shared" si="15"/>
        <v>#DIV/0!</v>
      </c>
      <c r="YR132" s="531" t="e">
        <f t="shared" si="15"/>
        <v>#DIV/0!</v>
      </c>
      <c r="YS132" s="531" t="e">
        <f t="shared" si="15"/>
        <v>#DIV/0!</v>
      </c>
      <c r="YT132" s="531" t="e">
        <f t="shared" si="15"/>
        <v>#DIV/0!</v>
      </c>
      <c r="YU132" s="531" t="e">
        <f t="shared" si="15"/>
        <v>#DIV/0!</v>
      </c>
      <c r="YV132" s="531" t="e">
        <f t="shared" si="15"/>
        <v>#DIV/0!</v>
      </c>
      <c r="YW132" s="531" t="e">
        <f t="shared" si="15"/>
        <v>#DIV/0!</v>
      </c>
      <c r="YX132" s="531" t="e">
        <f t="shared" si="15"/>
        <v>#DIV/0!</v>
      </c>
      <c r="YY132" s="531" t="e">
        <f t="shared" si="15"/>
        <v>#DIV/0!</v>
      </c>
      <c r="YZ132" s="531" t="e">
        <f t="shared" si="15"/>
        <v>#DIV/0!</v>
      </c>
      <c r="ZA132" s="531" t="e">
        <f t="shared" si="15"/>
        <v>#DIV/0!</v>
      </c>
      <c r="ZB132" s="531" t="e">
        <f t="shared" si="15"/>
        <v>#DIV/0!</v>
      </c>
      <c r="ZC132" s="531" t="e">
        <f t="shared" si="15"/>
        <v>#DIV/0!</v>
      </c>
      <c r="ZD132" s="531" t="e">
        <f t="shared" si="15"/>
        <v>#DIV/0!</v>
      </c>
      <c r="ZE132" s="531" t="e">
        <f t="shared" si="15"/>
        <v>#DIV/0!</v>
      </c>
      <c r="ZF132" s="531" t="e">
        <f t="shared" si="15"/>
        <v>#DIV/0!</v>
      </c>
      <c r="ZG132" s="531" t="e">
        <f t="shared" si="15"/>
        <v>#DIV/0!</v>
      </c>
      <c r="ZH132" s="531" t="e">
        <f t="shared" si="15"/>
        <v>#DIV/0!</v>
      </c>
      <c r="ZI132" s="531" t="e">
        <f t="shared" si="15"/>
        <v>#DIV/0!</v>
      </c>
      <c r="ZJ132" s="531" t="e">
        <f t="shared" si="15"/>
        <v>#DIV/0!</v>
      </c>
      <c r="ZK132" s="531" t="e">
        <f t="shared" si="15"/>
        <v>#DIV/0!</v>
      </c>
      <c r="ZL132" s="531" t="e">
        <f t="shared" si="15"/>
        <v>#DIV/0!</v>
      </c>
      <c r="ZM132" s="531" t="e">
        <f t="shared" si="15"/>
        <v>#DIV/0!</v>
      </c>
      <c r="ZN132" s="531" t="e">
        <f t="shared" si="15"/>
        <v>#DIV/0!</v>
      </c>
      <c r="ZO132" s="531" t="e">
        <f t="shared" si="15"/>
        <v>#DIV/0!</v>
      </c>
      <c r="ZP132" s="531" t="e">
        <f t="shared" si="15"/>
        <v>#DIV/0!</v>
      </c>
      <c r="ZQ132" s="531" t="e">
        <f t="shared" si="15"/>
        <v>#DIV/0!</v>
      </c>
      <c r="ZR132" s="531" t="e">
        <f t="shared" si="15"/>
        <v>#DIV/0!</v>
      </c>
      <c r="ZS132" s="531" t="e">
        <f t="shared" si="15"/>
        <v>#DIV/0!</v>
      </c>
      <c r="ZT132" s="531" t="e">
        <f t="shared" si="15"/>
        <v>#DIV/0!</v>
      </c>
      <c r="ZU132" s="531" t="e">
        <f t="shared" si="15"/>
        <v>#DIV/0!</v>
      </c>
      <c r="ZV132" s="531" t="e">
        <f t="shared" si="15"/>
        <v>#DIV/0!</v>
      </c>
      <c r="ZW132" s="531" t="e">
        <f t="shared" si="15"/>
        <v>#DIV/0!</v>
      </c>
      <c r="ZX132" s="531" t="e">
        <f t="shared" si="15"/>
        <v>#DIV/0!</v>
      </c>
      <c r="ZY132" s="531" t="e">
        <f t="shared" si="15"/>
        <v>#DIV/0!</v>
      </c>
      <c r="ZZ132" s="531" t="e">
        <f t="shared" si="15"/>
        <v>#DIV/0!</v>
      </c>
      <c r="AAA132" s="531" t="e">
        <f t="shared" si="15"/>
        <v>#DIV/0!</v>
      </c>
      <c r="AAB132" s="531" t="e">
        <f t="shared" si="15"/>
        <v>#DIV/0!</v>
      </c>
      <c r="AAC132" s="531" t="e">
        <f t="shared" si="15"/>
        <v>#DIV/0!</v>
      </c>
      <c r="AAD132" s="531" t="e">
        <f t="shared" si="15"/>
        <v>#DIV/0!</v>
      </c>
      <c r="AAE132" s="531" t="e">
        <f t="shared" si="15"/>
        <v>#DIV/0!</v>
      </c>
      <c r="AAF132" s="531" t="e">
        <f t="shared" si="15"/>
        <v>#DIV/0!</v>
      </c>
      <c r="AAG132" s="531" t="e">
        <f t="shared" si="15"/>
        <v>#DIV/0!</v>
      </c>
      <c r="AAH132" s="531" t="e">
        <f t="shared" si="15"/>
        <v>#DIV/0!</v>
      </c>
      <c r="AAI132" s="531" t="e">
        <f t="shared" ref="AAI132:ACT132" si="16">(AAI128-AAI116)/(AAI52*10^5)</f>
        <v>#DIV/0!</v>
      </c>
      <c r="AAJ132" s="531" t="e">
        <f t="shared" si="16"/>
        <v>#DIV/0!</v>
      </c>
      <c r="AAK132" s="531" t="e">
        <f t="shared" si="16"/>
        <v>#DIV/0!</v>
      </c>
      <c r="AAL132" s="531" t="e">
        <f t="shared" si="16"/>
        <v>#DIV/0!</v>
      </c>
      <c r="AAM132" s="531" t="e">
        <f t="shared" si="16"/>
        <v>#DIV/0!</v>
      </c>
      <c r="AAN132" s="531" t="e">
        <f t="shared" si="16"/>
        <v>#DIV/0!</v>
      </c>
      <c r="AAO132" s="531" t="e">
        <f t="shared" si="16"/>
        <v>#DIV/0!</v>
      </c>
      <c r="AAP132" s="531" t="e">
        <f t="shared" si="16"/>
        <v>#DIV/0!</v>
      </c>
      <c r="AAQ132" s="531" t="e">
        <f t="shared" si="16"/>
        <v>#DIV/0!</v>
      </c>
      <c r="AAR132" s="531" t="e">
        <f t="shared" si="16"/>
        <v>#DIV/0!</v>
      </c>
      <c r="AAS132" s="531" t="e">
        <f t="shared" si="16"/>
        <v>#DIV/0!</v>
      </c>
      <c r="AAT132" s="531" t="e">
        <f t="shared" si="16"/>
        <v>#DIV/0!</v>
      </c>
      <c r="AAU132" s="531" t="e">
        <f t="shared" si="16"/>
        <v>#DIV/0!</v>
      </c>
      <c r="AAV132" s="531" t="e">
        <f t="shared" si="16"/>
        <v>#DIV/0!</v>
      </c>
      <c r="AAW132" s="531" t="e">
        <f t="shared" si="16"/>
        <v>#DIV/0!</v>
      </c>
      <c r="AAX132" s="531" t="e">
        <f t="shared" si="16"/>
        <v>#DIV/0!</v>
      </c>
      <c r="AAY132" s="531" t="e">
        <f t="shared" si="16"/>
        <v>#DIV/0!</v>
      </c>
      <c r="AAZ132" s="531" t="e">
        <f t="shared" si="16"/>
        <v>#DIV/0!</v>
      </c>
      <c r="ABA132" s="531" t="e">
        <f t="shared" si="16"/>
        <v>#DIV/0!</v>
      </c>
      <c r="ABB132" s="531" t="e">
        <f t="shared" si="16"/>
        <v>#DIV/0!</v>
      </c>
      <c r="ABC132" s="531" t="e">
        <f t="shared" si="16"/>
        <v>#DIV/0!</v>
      </c>
      <c r="ABD132" s="531" t="e">
        <f t="shared" si="16"/>
        <v>#DIV/0!</v>
      </c>
      <c r="ABE132" s="531" t="e">
        <f t="shared" si="16"/>
        <v>#DIV/0!</v>
      </c>
      <c r="ABF132" s="531" t="e">
        <f t="shared" si="16"/>
        <v>#DIV/0!</v>
      </c>
      <c r="ABG132" s="531" t="e">
        <f t="shared" si="16"/>
        <v>#DIV/0!</v>
      </c>
      <c r="ABH132" s="531" t="e">
        <f t="shared" si="16"/>
        <v>#DIV/0!</v>
      </c>
      <c r="ABI132" s="531" t="e">
        <f t="shared" si="16"/>
        <v>#DIV/0!</v>
      </c>
      <c r="ABJ132" s="531" t="e">
        <f t="shared" si="16"/>
        <v>#DIV/0!</v>
      </c>
      <c r="ABK132" s="531" t="e">
        <f t="shared" si="16"/>
        <v>#DIV/0!</v>
      </c>
      <c r="ABL132" s="531" t="e">
        <f t="shared" si="16"/>
        <v>#DIV/0!</v>
      </c>
      <c r="ABM132" s="531" t="e">
        <f t="shared" si="16"/>
        <v>#DIV/0!</v>
      </c>
      <c r="ABN132" s="531" t="e">
        <f t="shared" si="16"/>
        <v>#DIV/0!</v>
      </c>
      <c r="ABO132" s="531" t="e">
        <f t="shared" si="16"/>
        <v>#DIV/0!</v>
      </c>
      <c r="ABP132" s="531" t="e">
        <f t="shared" si="16"/>
        <v>#DIV/0!</v>
      </c>
      <c r="ABQ132" s="531" t="e">
        <f t="shared" si="16"/>
        <v>#DIV/0!</v>
      </c>
      <c r="ABR132" s="531" t="e">
        <f t="shared" si="16"/>
        <v>#DIV/0!</v>
      </c>
      <c r="ABS132" s="531" t="e">
        <f t="shared" si="16"/>
        <v>#DIV/0!</v>
      </c>
      <c r="ABT132" s="531" t="e">
        <f t="shared" si="16"/>
        <v>#DIV/0!</v>
      </c>
      <c r="ABU132" s="531" t="e">
        <f t="shared" si="16"/>
        <v>#DIV/0!</v>
      </c>
      <c r="ABV132" s="531" t="e">
        <f t="shared" si="16"/>
        <v>#DIV/0!</v>
      </c>
      <c r="ABW132" s="531" t="e">
        <f t="shared" si="16"/>
        <v>#DIV/0!</v>
      </c>
      <c r="ABX132" s="531" t="e">
        <f t="shared" si="16"/>
        <v>#DIV/0!</v>
      </c>
      <c r="ABY132" s="531" t="e">
        <f t="shared" si="16"/>
        <v>#DIV/0!</v>
      </c>
      <c r="ABZ132" s="531" t="e">
        <f t="shared" si="16"/>
        <v>#DIV/0!</v>
      </c>
      <c r="ACA132" s="531" t="e">
        <f t="shared" si="16"/>
        <v>#DIV/0!</v>
      </c>
      <c r="ACB132" s="531" t="e">
        <f t="shared" si="16"/>
        <v>#DIV/0!</v>
      </c>
      <c r="ACC132" s="531" t="e">
        <f t="shared" si="16"/>
        <v>#DIV/0!</v>
      </c>
      <c r="ACD132" s="531" t="e">
        <f t="shared" si="16"/>
        <v>#DIV/0!</v>
      </c>
      <c r="ACE132" s="531" t="e">
        <f t="shared" si="16"/>
        <v>#DIV/0!</v>
      </c>
      <c r="ACF132" s="531" t="e">
        <f t="shared" si="16"/>
        <v>#DIV/0!</v>
      </c>
      <c r="ACG132" s="531" t="e">
        <f t="shared" si="16"/>
        <v>#DIV/0!</v>
      </c>
      <c r="ACH132" s="531" t="e">
        <f t="shared" si="16"/>
        <v>#DIV/0!</v>
      </c>
      <c r="ACI132" s="531" t="e">
        <f t="shared" si="16"/>
        <v>#DIV/0!</v>
      </c>
      <c r="ACJ132" s="531" t="e">
        <f t="shared" si="16"/>
        <v>#DIV/0!</v>
      </c>
      <c r="ACK132" s="531" t="e">
        <f t="shared" si="16"/>
        <v>#DIV/0!</v>
      </c>
      <c r="ACL132" s="531" t="e">
        <f t="shared" si="16"/>
        <v>#DIV/0!</v>
      </c>
      <c r="ACM132" s="531" t="e">
        <f t="shared" si="16"/>
        <v>#DIV/0!</v>
      </c>
      <c r="ACN132" s="531" t="e">
        <f t="shared" si="16"/>
        <v>#DIV/0!</v>
      </c>
      <c r="ACO132" s="531" t="e">
        <f t="shared" si="16"/>
        <v>#DIV/0!</v>
      </c>
      <c r="ACP132" s="531" t="e">
        <f t="shared" si="16"/>
        <v>#DIV/0!</v>
      </c>
      <c r="ACQ132" s="531" t="e">
        <f t="shared" si="16"/>
        <v>#DIV/0!</v>
      </c>
      <c r="ACR132" s="531" t="e">
        <f t="shared" si="16"/>
        <v>#DIV/0!</v>
      </c>
      <c r="ACS132" s="531" t="e">
        <f t="shared" si="16"/>
        <v>#DIV/0!</v>
      </c>
      <c r="ACT132" s="531" t="e">
        <f t="shared" si="16"/>
        <v>#DIV/0!</v>
      </c>
      <c r="ACU132" s="531" t="e">
        <f t="shared" ref="ACU132:AFF132" si="17">(ACU128-ACU116)/(ACU52*10^5)</f>
        <v>#DIV/0!</v>
      </c>
      <c r="ACV132" s="531" t="e">
        <f t="shared" si="17"/>
        <v>#DIV/0!</v>
      </c>
      <c r="ACW132" s="531" t="e">
        <f t="shared" si="17"/>
        <v>#DIV/0!</v>
      </c>
      <c r="ACX132" s="531" t="e">
        <f t="shared" si="17"/>
        <v>#DIV/0!</v>
      </c>
      <c r="ACY132" s="531" t="e">
        <f t="shared" si="17"/>
        <v>#DIV/0!</v>
      </c>
      <c r="ACZ132" s="531" t="e">
        <f t="shared" si="17"/>
        <v>#DIV/0!</v>
      </c>
      <c r="ADA132" s="531" t="e">
        <f t="shared" si="17"/>
        <v>#DIV/0!</v>
      </c>
      <c r="ADB132" s="531" t="e">
        <f t="shared" si="17"/>
        <v>#DIV/0!</v>
      </c>
      <c r="ADC132" s="531" t="e">
        <f t="shared" si="17"/>
        <v>#DIV/0!</v>
      </c>
      <c r="ADD132" s="531" t="e">
        <f t="shared" si="17"/>
        <v>#DIV/0!</v>
      </c>
      <c r="ADE132" s="531" t="e">
        <f t="shared" si="17"/>
        <v>#DIV/0!</v>
      </c>
      <c r="ADF132" s="531" t="e">
        <f t="shared" si="17"/>
        <v>#DIV/0!</v>
      </c>
      <c r="ADG132" s="531" t="e">
        <f t="shared" si="17"/>
        <v>#DIV/0!</v>
      </c>
      <c r="ADH132" s="531" t="e">
        <f t="shared" si="17"/>
        <v>#DIV/0!</v>
      </c>
      <c r="ADI132" s="531" t="e">
        <f t="shared" si="17"/>
        <v>#DIV/0!</v>
      </c>
      <c r="ADJ132" s="531" t="e">
        <f t="shared" si="17"/>
        <v>#DIV/0!</v>
      </c>
      <c r="ADK132" s="531" t="e">
        <f t="shared" si="17"/>
        <v>#DIV/0!</v>
      </c>
      <c r="ADL132" s="531" t="e">
        <f t="shared" si="17"/>
        <v>#DIV/0!</v>
      </c>
      <c r="ADM132" s="531" t="e">
        <f t="shared" si="17"/>
        <v>#DIV/0!</v>
      </c>
      <c r="ADN132" s="531" t="e">
        <f t="shared" si="17"/>
        <v>#DIV/0!</v>
      </c>
      <c r="ADO132" s="531" t="e">
        <f t="shared" si="17"/>
        <v>#DIV/0!</v>
      </c>
      <c r="ADP132" s="531" t="e">
        <f t="shared" si="17"/>
        <v>#DIV/0!</v>
      </c>
      <c r="ADQ132" s="531" t="e">
        <f t="shared" si="17"/>
        <v>#DIV/0!</v>
      </c>
      <c r="ADR132" s="531" t="e">
        <f t="shared" si="17"/>
        <v>#DIV/0!</v>
      </c>
      <c r="ADS132" s="531" t="e">
        <f t="shared" si="17"/>
        <v>#DIV/0!</v>
      </c>
      <c r="ADT132" s="531" t="e">
        <f t="shared" si="17"/>
        <v>#DIV/0!</v>
      </c>
      <c r="ADU132" s="531" t="e">
        <f t="shared" si="17"/>
        <v>#DIV/0!</v>
      </c>
      <c r="ADV132" s="531" t="e">
        <f t="shared" si="17"/>
        <v>#DIV/0!</v>
      </c>
      <c r="ADW132" s="531" t="e">
        <f t="shared" si="17"/>
        <v>#DIV/0!</v>
      </c>
      <c r="ADX132" s="531" t="e">
        <f t="shared" si="17"/>
        <v>#DIV/0!</v>
      </c>
      <c r="ADY132" s="531" t="e">
        <f t="shared" si="17"/>
        <v>#DIV/0!</v>
      </c>
      <c r="ADZ132" s="531" t="e">
        <f t="shared" si="17"/>
        <v>#DIV/0!</v>
      </c>
      <c r="AEA132" s="531" t="e">
        <f t="shared" si="17"/>
        <v>#DIV/0!</v>
      </c>
      <c r="AEB132" s="531" t="e">
        <f t="shared" si="17"/>
        <v>#DIV/0!</v>
      </c>
      <c r="AEC132" s="531" t="e">
        <f t="shared" si="17"/>
        <v>#DIV/0!</v>
      </c>
      <c r="AED132" s="531" t="e">
        <f t="shared" si="17"/>
        <v>#DIV/0!</v>
      </c>
      <c r="AEE132" s="531" t="e">
        <f t="shared" si="17"/>
        <v>#DIV/0!</v>
      </c>
      <c r="AEF132" s="531" t="e">
        <f t="shared" si="17"/>
        <v>#DIV/0!</v>
      </c>
      <c r="AEG132" s="531" t="e">
        <f t="shared" si="17"/>
        <v>#DIV/0!</v>
      </c>
      <c r="AEH132" s="531" t="e">
        <f t="shared" si="17"/>
        <v>#DIV/0!</v>
      </c>
      <c r="AEI132" s="531" t="e">
        <f t="shared" si="17"/>
        <v>#DIV/0!</v>
      </c>
      <c r="AEJ132" s="531" t="e">
        <f t="shared" si="17"/>
        <v>#DIV/0!</v>
      </c>
      <c r="AEK132" s="531" t="e">
        <f t="shared" si="17"/>
        <v>#DIV/0!</v>
      </c>
      <c r="AEL132" s="531" t="e">
        <f t="shared" si="17"/>
        <v>#DIV/0!</v>
      </c>
      <c r="AEM132" s="531" t="e">
        <f t="shared" si="17"/>
        <v>#DIV/0!</v>
      </c>
      <c r="AEN132" s="531" t="e">
        <f t="shared" si="17"/>
        <v>#DIV/0!</v>
      </c>
      <c r="AEO132" s="531" t="e">
        <f t="shared" si="17"/>
        <v>#DIV/0!</v>
      </c>
      <c r="AEP132" s="531" t="e">
        <f t="shared" si="17"/>
        <v>#DIV/0!</v>
      </c>
      <c r="AEQ132" s="531" t="e">
        <f t="shared" si="17"/>
        <v>#DIV/0!</v>
      </c>
      <c r="AER132" s="531" t="e">
        <f t="shared" si="17"/>
        <v>#DIV/0!</v>
      </c>
      <c r="AES132" s="531" t="e">
        <f t="shared" si="17"/>
        <v>#DIV/0!</v>
      </c>
      <c r="AET132" s="531" t="e">
        <f t="shared" si="17"/>
        <v>#DIV/0!</v>
      </c>
      <c r="AEU132" s="531" t="e">
        <f t="shared" si="17"/>
        <v>#DIV/0!</v>
      </c>
      <c r="AEV132" s="531" t="e">
        <f t="shared" si="17"/>
        <v>#DIV/0!</v>
      </c>
      <c r="AEW132" s="531" t="e">
        <f t="shared" si="17"/>
        <v>#DIV/0!</v>
      </c>
      <c r="AEX132" s="531" t="e">
        <f t="shared" si="17"/>
        <v>#DIV/0!</v>
      </c>
      <c r="AEY132" s="531" t="e">
        <f t="shared" si="17"/>
        <v>#DIV/0!</v>
      </c>
      <c r="AEZ132" s="531" t="e">
        <f t="shared" si="17"/>
        <v>#DIV/0!</v>
      </c>
      <c r="AFA132" s="531" t="e">
        <f t="shared" si="17"/>
        <v>#DIV/0!</v>
      </c>
      <c r="AFB132" s="531" t="e">
        <f t="shared" si="17"/>
        <v>#DIV/0!</v>
      </c>
      <c r="AFC132" s="531" t="e">
        <f t="shared" si="17"/>
        <v>#DIV/0!</v>
      </c>
      <c r="AFD132" s="531" t="e">
        <f t="shared" si="17"/>
        <v>#DIV/0!</v>
      </c>
      <c r="AFE132" s="531" t="e">
        <f t="shared" si="17"/>
        <v>#DIV/0!</v>
      </c>
      <c r="AFF132" s="531" t="e">
        <f t="shared" si="17"/>
        <v>#DIV/0!</v>
      </c>
      <c r="AFG132" s="531" t="e">
        <f t="shared" ref="AFG132:AHR132" si="18">(AFG128-AFG116)/(AFG52*10^5)</f>
        <v>#DIV/0!</v>
      </c>
      <c r="AFH132" s="531" t="e">
        <f t="shared" si="18"/>
        <v>#DIV/0!</v>
      </c>
      <c r="AFI132" s="531" t="e">
        <f t="shared" si="18"/>
        <v>#DIV/0!</v>
      </c>
      <c r="AFJ132" s="531" t="e">
        <f t="shared" si="18"/>
        <v>#DIV/0!</v>
      </c>
      <c r="AFK132" s="531" t="e">
        <f t="shared" si="18"/>
        <v>#DIV/0!</v>
      </c>
      <c r="AFL132" s="531" t="e">
        <f t="shared" si="18"/>
        <v>#DIV/0!</v>
      </c>
      <c r="AFM132" s="531" t="e">
        <f t="shared" si="18"/>
        <v>#DIV/0!</v>
      </c>
      <c r="AFN132" s="531" t="e">
        <f t="shared" si="18"/>
        <v>#DIV/0!</v>
      </c>
      <c r="AFO132" s="531" t="e">
        <f t="shared" si="18"/>
        <v>#DIV/0!</v>
      </c>
      <c r="AFP132" s="531" t="e">
        <f t="shared" si="18"/>
        <v>#DIV/0!</v>
      </c>
      <c r="AFQ132" s="531" t="e">
        <f t="shared" si="18"/>
        <v>#DIV/0!</v>
      </c>
      <c r="AFR132" s="531" t="e">
        <f t="shared" si="18"/>
        <v>#DIV/0!</v>
      </c>
      <c r="AFS132" s="531" t="e">
        <f t="shared" si="18"/>
        <v>#DIV/0!</v>
      </c>
      <c r="AFT132" s="531" t="e">
        <f t="shared" si="18"/>
        <v>#DIV/0!</v>
      </c>
      <c r="AFU132" s="531" t="e">
        <f t="shared" si="18"/>
        <v>#DIV/0!</v>
      </c>
      <c r="AFV132" s="531" t="e">
        <f t="shared" si="18"/>
        <v>#DIV/0!</v>
      </c>
      <c r="AFW132" s="531" t="e">
        <f t="shared" si="18"/>
        <v>#DIV/0!</v>
      </c>
      <c r="AFX132" s="531" t="e">
        <f t="shared" si="18"/>
        <v>#DIV/0!</v>
      </c>
      <c r="AFY132" s="531" t="e">
        <f t="shared" si="18"/>
        <v>#DIV/0!</v>
      </c>
      <c r="AFZ132" s="531" t="e">
        <f t="shared" si="18"/>
        <v>#DIV/0!</v>
      </c>
      <c r="AGA132" s="531" t="e">
        <f t="shared" si="18"/>
        <v>#DIV/0!</v>
      </c>
      <c r="AGB132" s="531" t="e">
        <f t="shared" si="18"/>
        <v>#DIV/0!</v>
      </c>
      <c r="AGC132" s="531" t="e">
        <f t="shared" si="18"/>
        <v>#DIV/0!</v>
      </c>
      <c r="AGD132" s="531" t="e">
        <f t="shared" si="18"/>
        <v>#DIV/0!</v>
      </c>
      <c r="AGE132" s="531" t="e">
        <f t="shared" si="18"/>
        <v>#DIV/0!</v>
      </c>
      <c r="AGF132" s="531" t="e">
        <f t="shared" si="18"/>
        <v>#DIV/0!</v>
      </c>
      <c r="AGG132" s="531" t="e">
        <f t="shared" si="18"/>
        <v>#DIV/0!</v>
      </c>
      <c r="AGH132" s="531" t="e">
        <f t="shared" si="18"/>
        <v>#DIV/0!</v>
      </c>
      <c r="AGI132" s="531" t="e">
        <f t="shared" si="18"/>
        <v>#DIV/0!</v>
      </c>
      <c r="AGJ132" s="531" t="e">
        <f t="shared" si="18"/>
        <v>#DIV/0!</v>
      </c>
      <c r="AGK132" s="531" t="e">
        <f t="shared" si="18"/>
        <v>#DIV/0!</v>
      </c>
      <c r="AGL132" s="531" t="e">
        <f t="shared" si="18"/>
        <v>#DIV/0!</v>
      </c>
      <c r="AGM132" s="531" t="e">
        <f t="shared" si="18"/>
        <v>#DIV/0!</v>
      </c>
      <c r="AGN132" s="531" t="e">
        <f t="shared" si="18"/>
        <v>#DIV/0!</v>
      </c>
      <c r="AGO132" s="531" t="e">
        <f t="shared" si="18"/>
        <v>#DIV/0!</v>
      </c>
      <c r="AGP132" s="531" t="e">
        <f t="shared" si="18"/>
        <v>#DIV/0!</v>
      </c>
      <c r="AGQ132" s="531" t="e">
        <f t="shared" si="18"/>
        <v>#DIV/0!</v>
      </c>
      <c r="AGR132" s="531" t="e">
        <f t="shared" si="18"/>
        <v>#DIV/0!</v>
      </c>
      <c r="AGS132" s="531" t="e">
        <f t="shared" si="18"/>
        <v>#DIV/0!</v>
      </c>
      <c r="AGT132" s="531" t="e">
        <f t="shared" si="18"/>
        <v>#DIV/0!</v>
      </c>
      <c r="AGU132" s="531" t="e">
        <f t="shared" si="18"/>
        <v>#DIV/0!</v>
      </c>
      <c r="AGV132" s="531" t="e">
        <f t="shared" si="18"/>
        <v>#DIV/0!</v>
      </c>
      <c r="AGW132" s="531" t="e">
        <f t="shared" si="18"/>
        <v>#DIV/0!</v>
      </c>
      <c r="AGX132" s="531" t="e">
        <f t="shared" si="18"/>
        <v>#DIV/0!</v>
      </c>
      <c r="AGY132" s="531" t="e">
        <f t="shared" si="18"/>
        <v>#DIV/0!</v>
      </c>
      <c r="AGZ132" s="531" t="e">
        <f t="shared" si="18"/>
        <v>#DIV/0!</v>
      </c>
      <c r="AHA132" s="531" t="e">
        <f t="shared" si="18"/>
        <v>#DIV/0!</v>
      </c>
      <c r="AHB132" s="531" t="e">
        <f t="shared" si="18"/>
        <v>#DIV/0!</v>
      </c>
      <c r="AHC132" s="531" t="e">
        <f t="shared" si="18"/>
        <v>#DIV/0!</v>
      </c>
      <c r="AHD132" s="531" t="e">
        <f t="shared" si="18"/>
        <v>#DIV/0!</v>
      </c>
      <c r="AHE132" s="531" t="e">
        <f t="shared" si="18"/>
        <v>#DIV/0!</v>
      </c>
      <c r="AHF132" s="531" t="e">
        <f t="shared" si="18"/>
        <v>#DIV/0!</v>
      </c>
      <c r="AHG132" s="531" t="e">
        <f t="shared" si="18"/>
        <v>#DIV/0!</v>
      </c>
      <c r="AHH132" s="531" t="e">
        <f t="shared" si="18"/>
        <v>#DIV/0!</v>
      </c>
      <c r="AHI132" s="531" t="e">
        <f t="shared" si="18"/>
        <v>#DIV/0!</v>
      </c>
      <c r="AHJ132" s="531" t="e">
        <f t="shared" si="18"/>
        <v>#DIV/0!</v>
      </c>
      <c r="AHK132" s="531" t="e">
        <f t="shared" si="18"/>
        <v>#DIV/0!</v>
      </c>
      <c r="AHL132" s="531" t="e">
        <f t="shared" si="18"/>
        <v>#DIV/0!</v>
      </c>
      <c r="AHM132" s="531" t="e">
        <f t="shared" si="18"/>
        <v>#DIV/0!</v>
      </c>
      <c r="AHN132" s="531" t="e">
        <f t="shared" si="18"/>
        <v>#DIV/0!</v>
      </c>
      <c r="AHO132" s="531" t="e">
        <f t="shared" si="18"/>
        <v>#DIV/0!</v>
      </c>
      <c r="AHP132" s="531" t="e">
        <f t="shared" si="18"/>
        <v>#DIV/0!</v>
      </c>
      <c r="AHQ132" s="531" t="e">
        <f t="shared" si="18"/>
        <v>#DIV/0!</v>
      </c>
      <c r="AHR132" s="531" t="e">
        <f t="shared" si="18"/>
        <v>#DIV/0!</v>
      </c>
      <c r="AHS132" s="531" t="e">
        <f t="shared" ref="AHS132:AKD132" si="19">(AHS128-AHS116)/(AHS52*10^5)</f>
        <v>#DIV/0!</v>
      </c>
      <c r="AHT132" s="531" t="e">
        <f t="shared" si="19"/>
        <v>#DIV/0!</v>
      </c>
      <c r="AHU132" s="531" t="e">
        <f t="shared" si="19"/>
        <v>#DIV/0!</v>
      </c>
      <c r="AHV132" s="531" t="e">
        <f t="shared" si="19"/>
        <v>#DIV/0!</v>
      </c>
      <c r="AHW132" s="531" t="e">
        <f t="shared" si="19"/>
        <v>#DIV/0!</v>
      </c>
      <c r="AHX132" s="531" t="e">
        <f t="shared" si="19"/>
        <v>#DIV/0!</v>
      </c>
      <c r="AHY132" s="531" t="e">
        <f t="shared" si="19"/>
        <v>#DIV/0!</v>
      </c>
      <c r="AHZ132" s="531" t="e">
        <f t="shared" si="19"/>
        <v>#DIV/0!</v>
      </c>
      <c r="AIA132" s="531" t="e">
        <f t="shared" si="19"/>
        <v>#DIV/0!</v>
      </c>
      <c r="AIB132" s="531" t="e">
        <f t="shared" si="19"/>
        <v>#DIV/0!</v>
      </c>
      <c r="AIC132" s="531" t="e">
        <f t="shared" si="19"/>
        <v>#DIV/0!</v>
      </c>
      <c r="AID132" s="531" t="e">
        <f t="shared" si="19"/>
        <v>#DIV/0!</v>
      </c>
      <c r="AIE132" s="531" t="e">
        <f t="shared" si="19"/>
        <v>#DIV/0!</v>
      </c>
      <c r="AIF132" s="531" t="e">
        <f t="shared" si="19"/>
        <v>#DIV/0!</v>
      </c>
      <c r="AIG132" s="531" t="e">
        <f t="shared" si="19"/>
        <v>#DIV/0!</v>
      </c>
      <c r="AIH132" s="531" t="e">
        <f t="shared" si="19"/>
        <v>#DIV/0!</v>
      </c>
      <c r="AII132" s="531" t="e">
        <f t="shared" si="19"/>
        <v>#DIV/0!</v>
      </c>
      <c r="AIJ132" s="531" t="e">
        <f t="shared" si="19"/>
        <v>#DIV/0!</v>
      </c>
      <c r="AIK132" s="531" t="e">
        <f t="shared" si="19"/>
        <v>#DIV/0!</v>
      </c>
      <c r="AIL132" s="531" t="e">
        <f t="shared" si="19"/>
        <v>#DIV/0!</v>
      </c>
      <c r="AIM132" s="531" t="e">
        <f t="shared" si="19"/>
        <v>#DIV/0!</v>
      </c>
      <c r="AIN132" s="531" t="e">
        <f t="shared" si="19"/>
        <v>#DIV/0!</v>
      </c>
      <c r="AIO132" s="531" t="e">
        <f t="shared" si="19"/>
        <v>#DIV/0!</v>
      </c>
      <c r="AIP132" s="531" t="e">
        <f t="shared" si="19"/>
        <v>#DIV/0!</v>
      </c>
      <c r="AIQ132" s="531" t="e">
        <f t="shared" si="19"/>
        <v>#DIV/0!</v>
      </c>
      <c r="AIR132" s="531" t="e">
        <f t="shared" si="19"/>
        <v>#DIV/0!</v>
      </c>
      <c r="AIS132" s="531" t="e">
        <f t="shared" si="19"/>
        <v>#DIV/0!</v>
      </c>
      <c r="AIT132" s="531" t="e">
        <f t="shared" si="19"/>
        <v>#DIV/0!</v>
      </c>
      <c r="AIU132" s="531" t="e">
        <f t="shared" si="19"/>
        <v>#DIV/0!</v>
      </c>
      <c r="AIV132" s="531" t="e">
        <f t="shared" si="19"/>
        <v>#DIV/0!</v>
      </c>
      <c r="AIW132" s="531" t="e">
        <f t="shared" si="19"/>
        <v>#DIV/0!</v>
      </c>
      <c r="AIX132" s="531" t="e">
        <f t="shared" si="19"/>
        <v>#DIV/0!</v>
      </c>
      <c r="AIY132" s="531" t="e">
        <f t="shared" si="19"/>
        <v>#DIV/0!</v>
      </c>
      <c r="AIZ132" s="531" t="e">
        <f t="shared" si="19"/>
        <v>#DIV/0!</v>
      </c>
      <c r="AJA132" s="531" t="e">
        <f t="shared" si="19"/>
        <v>#DIV/0!</v>
      </c>
      <c r="AJB132" s="531" t="e">
        <f t="shared" si="19"/>
        <v>#DIV/0!</v>
      </c>
      <c r="AJC132" s="531" t="e">
        <f t="shared" si="19"/>
        <v>#DIV/0!</v>
      </c>
      <c r="AJD132" s="531" t="e">
        <f t="shared" si="19"/>
        <v>#DIV/0!</v>
      </c>
      <c r="AJE132" s="531" t="e">
        <f t="shared" si="19"/>
        <v>#DIV/0!</v>
      </c>
      <c r="AJF132" s="531" t="e">
        <f t="shared" si="19"/>
        <v>#DIV/0!</v>
      </c>
      <c r="AJG132" s="531" t="e">
        <f t="shared" si="19"/>
        <v>#DIV/0!</v>
      </c>
      <c r="AJH132" s="531" t="e">
        <f t="shared" si="19"/>
        <v>#DIV/0!</v>
      </c>
      <c r="AJI132" s="531" t="e">
        <f t="shared" si="19"/>
        <v>#DIV/0!</v>
      </c>
      <c r="AJJ132" s="531" t="e">
        <f t="shared" si="19"/>
        <v>#DIV/0!</v>
      </c>
      <c r="AJK132" s="531" t="e">
        <f t="shared" si="19"/>
        <v>#DIV/0!</v>
      </c>
      <c r="AJL132" s="531" t="e">
        <f t="shared" si="19"/>
        <v>#DIV/0!</v>
      </c>
      <c r="AJM132" s="531" t="e">
        <f t="shared" si="19"/>
        <v>#DIV/0!</v>
      </c>
      <c r="AJN132" s="531" t="e">
        <f t="shared" si="19"/>
        <v>#DIV/0!</v>
      </c>
      <c r="AJO132" s="531" t="e">
        <f t="shared" si="19"/>
        <v>#DIV/0!</v>
      </c>
      <c r="AJP132" s="531" t="e">
        <f t="shared" si="19"/>
        <v>#DIV/0!</v>
      </c>
      <c r="AJQ132" s="531" t="e">
        <f t="shared" si="19"/>
        <v>#DIV/0!</v>
      </c>
      <c r="AJR132" s="531" t="e">
        <f t="shared" si="19"/>
        <v>#DIV/0!</v>
      </c>
      <c r="AJS132" s="531" t="e">
        <f t="shared" si="19"/>
        <v>#DIV/0!</v>
      </c>
      <c r="AJT132" s="531" t="e">
        <f t="shared" si="19"/>
        <v>#DIV/0!</v>
      </c>
      <c r="AJU132" s="531" t="e">
        <f t="shared" si="19"/>
        <v>#DIV/0!</v>
      </c>
      <c r="AJV132" s="531" t="e">
        <f t="shared" si="19"/>
        <v>#DIV/0!</v>
      </c>
      <c r="AJW132" s="531" t="e">
        <f t="shared" si="19"/>
        <v>#DIV/0!</v>
      </c>
      <c r="AJX132" s="531" t="e">
        <f t="shared" si="19"/>
        <v>#DIV/0!</v>
      </c>
      <c r="AJY132" s="531" t="e">
        <f t="shared" si="19"/>
        <v>#DIV/0!</v>
      </c>
      <c r="AJZ132" s="531" t="e">
        <f t="shared" si="19"/>
        <v>#DIV/0!</v>
      </c>
      <c r="AKA132" s="531" t="e">
        <f t="shared" si="19"/>
        <v>#DIV/0!</v>
      </c>
      <c r="AKB132" s="531" t="e">
        <f t="shared" si="19"/>
        <v>#DIV/0!</v>
      </c>
      <c r="AKC132" s="531" t="e">
        <f t="shared" si="19"/>
        <v>#DIV/0!</v>
      </c>
      <c r="AKD132" s="531" t="e">
        <f t="shared" si="19"/>
        <v>#DIV/0!</v>
      </c>
      <c r="AKE132" s="531" t="e">
        <f t="shared" ref="AKE132:AMP132" si="20">(AKE128-AKE116)/(AKE52*10^5)</f>
        <v>#DIV/0!</v>
      </c>
      <c r="AKF132" s="531" t="e">
        <f t="shared" si="20"/>
        <v>#DIV/0!</v>
      </c>
      <c r="AKG132" s="531" t="e">
        <f t="shared" si="20"/>
        <v>#DIV/0!</v>
      </c>
      <c r="AKH132" s="531" t="e">
        <f t="shared" si="20"/>
        <v>#DIV/0!</v>
      </c>
      <c r="AKI132" s="531" t="e">
        <f t="shared" si="20"/>
        <v>#DIV/0!</v>
      </c>
      <c r="AKJ132" s="531" t="e">
        <f t="shared" si="20"/>
        <v>#DIV/0!</v>
      </c>
      <c r="AKK132" s="531" t="e">
        <f t="shared" si="20"/>
        <v>#DIV/0!</v>
      </c>
      <c r="AKL132" s="531" t="e">
        <f t="shared" si="20"/>
        <v>#DIV/0!</v>
      </c>
      <c r="AKM132" s="531" t="e">
        <f t="shared" si="20"/>
        <v>#DIV/0!</v>
      </c>
      <c r="AKN132" s="531" t="e">
        <f t="shared" si="20"/>
        <v>#DIV/0!</v>
      </c>
      <c r="AKO132" s="531" t="e">
        <f t="shared" si="20"/>
        <v>#DIV/0!</v>
      </c>
      <c r="AKP132" s="531" t="e">
        <f t="shared" si="20"/>
        <v>#DIV/0!</v>
      </c>
      <c r="AKQ132" s="531" t="e">
        <f t="shared" si="20"/>
        <v>#DIV/0!</v>
      </c>
      <c r="AKR132" s="531" t="e">
        <f t="shared" si="20"/>
        <v>#DIV/0!</v>
      </c>
      <c r="AKS132" s="531" t="e">
        <f t="shared" si="20"/>
        <v>#DIV/0!</v>
      </c>
      <c r="AKT132" s="531" t="e">
        <f t="shared" si="20"/>
        <v>#DIV/0!</v>
      </c>
      <c r="AKU132" s="531" t="e">
        <f t="shared" si="20"/>
        <v>#DIV/0!</v>
      </c>
      <c r="AKV132" s="531" t="e">
        <f t="shared" si="20"/>
        <v>#DIV/0!</v>
      </c>
      <c r="AKW132" s="531" t="e">
        <f t="shared" si="20"/>
        <v>#DIV/0!</v>
      </c>
      <c r="AKX132" s="531" t="e">
        <f t="shared" si="20"/>
        <v>#DIV/0!</v>
      </c>
      <c r="AKY132" s="531" t="e">
        <f t="shared" si="20"/>
        <v>#DIV/0!</v>
      </c>
      <c r="AKZ132" s="531" t="e">
        <f t="shared" si="20"/>
        <v>#DIV/0!</v>
      </c>
      <c r="ALA132" s="531" t="e">
        <f t="shared" si="20"/>
        <v>#DIV/0!</v>
      </c>
      <c r="ALB132" s="531" t="e">
        <f t="shared" si="20"/>
        <v>#DIV/0!</v>
      </c>
      <c r="ALC132" s="531" t="e">
        <f t="shared" si="20"/>
        <v>#DIV/0!</v>
      </c>
      <c r="ALD132" s="531" t="e">
        <f t="shared" si="20"/>
        <v>#DIV/0!</v>
      </c>
      <c r="ALE132" s="531" t="e">
        <f t="shared" si="20"/>
        <v>#DIV/0!</v>
      </c>
      <c r="ALF132" s="531" t="e">
        <f t="shared" si="20"/>
        <v>#DIV/0!</v>
      </c>
      <c r="ALG132" s="531" t="e">
        <f t="shared" si="20"/>
        <v>#DIV/0!</v>
      </c>
      <c r="ALH132" s="531" t="e">
        <f t="shared" si="20"/>
        <v>#DIV/0!</v>
      </c>
      <c r="ALI132" s="531" t="e">
        <f t="shared" si="20"/>
        <v>#DIV/0!</v>
      </c>
      <c r="ALJ132" s="531" t="e">
        <f t="shared" si="20"/>
        <v>#DIV/0!</v>
      </c>
      <c r="ALK132" s="531" t="e">
        <f t="shared" si="20"/>
        <v>#DIV/0!</v>
      </c>
      <c r="ALL132" s="531" t="e">
        <f t="shared" si="20"/>
        <v>#DIV/0!</v>
      </c>
      <c r="ALM132" s="531" t="e">
        <f t="shared" si="20"/>
        <v>#DIV/0!</v>
      </c>
      <c r="ALN132" s="531" t="e">
        <f t="shared" si="20"/>
        <v>#DIV/0!</v>
      </c>
      <c r="ALO132" s="531" t="e">
        <f t="shared" si="20"/>
        <v>#DIV/0!</v>
      </c>
      <c r="ALP132" s="531" t="e">
        <f t="shared" si="20"/>
        <v>#DIV/0!</v>
      </c>
      <c r="ALQ132" s="531" t="e">
        <f t="shared" si="20"/>
        <v>#DIV/0!</v>
      </c>
      <c r="ALR132" s="531" t="e">
        <f t="shared" si="20"/>
        <v>#DIV/0!</v>
      </c>
      <c r="ALS132" s="531" t="e">
        <f t="shared" si="20"/>
        <v>#DIV/0!</v>
      </c>
      <c r="ALT132" s="531" t="e">
        <f t="shared" si="20"/>
        <v>#DIV/0!</v>
      </c>
      <c r="ALU132" s="531" t="e">
        <f t="shared" si="20"/>
        <v>#DIV/0!</v>
      </c>
      <c r="ALV132" s="531" t="e">
        <f t="shared" si="20"/>
        <v>#DIV/0!</v>
      </c>
      <c r="ALW132" s="531" t="e">
        <f t="shared" si="20"/>
        <v>#DIV/0!</v>
      </c>
      <c r="ALX132" s="531" t="e">
        <f t="shared" si="20"/>
        <v>#DIV/0!</v>
      </c>
      <c r="ALY132" s="531" t="e">
        <f t="shared" si="20"/>
        <v>#DIV/0!</v>
      </c>
      <c r="ALZ132" s="531" t="e">
        <f t="shared" si="20"/>
        <v>#DIV/0!</v>
      </c>
      <c r="AMA132" s="531" t="e">
        <f t="shared" si="20"/>
        <v>#DIV/0!</v>
      </c>
      <c r="AMB132" s="531" t="e">
        <f t="shared" si="20"/>
        <v>#DIV/0!</v>
      </c>
      <c r="AMC132" s="531" t="e">
        <f t="shared" si="20"/>
        <v>#DIV/0!</v>
      </c>
      <c r="AMD132" s="531" t="e">
        <f t="shared" si="20"/>
        <v>#DIV/0!</v>
      </c>
      <c r="AME132" s="531" t="e">
        <f t="shared" si="20"/>
        <v>#DIV/0!</v>
      </c>
      <c r="AMF132" s="531" t="e">
        <f t="shared" si="20"/>
        <v>#DIV/0!</v>
      </c>
      <c r="AMG132" s="531" t="e">
        <f t="shared" si="20"/>
        <v>#DIV/0!</v>
      </c>
      <c r="AMH132" s="531" t="e">
        <f t="shared" si="20"/>
        <v>#DIV/0!</v>
      </c>
      <c r="AMI132" s="531" t="e">
        <f t="shared" si="20"/>
        <v>#DIV/0!</v>
      </c>
      <c r="AMJ132" s="531" t="e">
        <f t="shared" si="20"/>
        <v>#DIV/0!</v>
      </c>
      <c r="AMK132" s="531" t="e">
        <f t="shared" si="20"/>
        <v>#DIV/0!</v>
      </c>
      <c r="AML132" s="531" t="e">
        <f t="shared" si="20"/>
        <v>#DIV/0!</v>
      </c>
      <c r="AMM132" s="531" t="e">
        <f t="shared" si="20"/>
        <v>#DIV/0!</v>
      </c>
      <c r="AMN132" s="531" t="e">
        <f t="shared" si="20"/>
        <v>#DIV/0!</v>
      </c>
      <c r="AMO132" s="531" t="e">
        <f t="shared" si="20"/>
        <v>#DIV/0!</v>
      </c>
      <c r="AMP132" s="531" t="e">
        <f t="shared" si="20"/>
        <v>#DIV/0!</v>
      </c>
      <c r="AMQ132" s="531" t="e">
        <f t="shared" ref="AMQ132:APB132" si="21">(AMQ128-AMQ116)/(AMQ52*10^5)</f>
        <v>#DIV/0!</v>
      </c>
      <c r="AMR132" s="531" t="e">
        <f t="shared" si="21"/>
        <v>#DIV/0!</v>
      </c>
      <c r="AMS132" s="531" t="e">
        <f t="shared" si="21"/>
        <v>#DIV/0!</v>
      </c>
      <c r="AMT132" s="531" t="e">
        <f t="shared" si="21"/>
        <v>#DIV/0!</v>
      </c>
      <c r="AMU132" s="531" t="e">
        <f t="shared" si="21"/>
        <v>#DIV/0!</v>
      </c>
      <c r="AMV132" s="531" t="e">
        <f t="shared" si="21"/>
        <v>#DIV/0!</v>
      </c>
      <c r="AMW132" s="531" t="e">
        <f t="shared" si="21"/>
        <v>#DIV/0!</v>
      </c>
      <c r="AMX132" s="531" t="e">
        <f t="shared" si="21"/>
        <v>#DIV/0!</v>
      </c>
      <c r="AMY132" s="531" t="e">
        <f t="shared" si="21"/>
        <v>#DIV/0!</v>
      </c>
      <c r="AMZ132" s="531" t="e">
        <f t="shared" si="21"/>
        <v>#DIV/0!</v>
      </c>
      <c r="ANA132" s="531" t="e">
        <f t="shared" si="21"/>
        <v>#DIV/0!</v>
      </c>
      <c r="ANB132" s="531" t="e">
        <f t="shared" si="21"/>
        <v>#DIV/0!</v>
      </c>
      <c r="ANC132" s="531" t="e">
        <f t="shared" si="21"/>
        <v>#DIV/0!</v>
      </c>
      <c r="AND132" s="531" t="e">
        <f t="shared" si="21"/>
        <v>#DIV/0!</v>
      </c>
      <c r="ANE132" s="531" t="e">
        <f t="shared" si="21"/>
        <v>#DIV/0!</v>
      </c>
      <c r="ANF132" s="531" t="e">
        <f t="shared" si="21"/>
        <v>#DIV/0!</v>
      </c>
      <c r="ANG132" s="531" t="e">
        <f t="shared" si="21"/>
        <v>#DIV/0!</v>
      </c>
      <c r="ANH132" s="531" t="e">
        <f t="shared" si="21"/>
        <v>#DIV/0!</v>
      </c>
      <c r="ANI132" s="531" t="e">
        <f t="shared" si="21"/>
        <v>#DIV/0!</v>
      </c>
      <c r="ANJ132" s="531" t="e">
        <f t="shared" si="21"/>
        <v>#DIV/0!</v>
      </c>
      <c r="ANK132" s="531" t="e">
        <f t="shared" si="21"/>
        <v>#DIV/0!</v>
      </c>
      <c r="ANL132" s="531" t="e">
        <f t="shared" si="21"/>
        <v>#DIV/0!</v>
      </c>
      <c r="ANM132" s="531" t="e">
        <f t="shared" si="21"/>
        <v>#DIV/0!</v>
      </c>
      <c r="ANN132" s="531" t="e">
        <f t="shared" si="21"/>
        <v>#DIV/0!</v>
      </c>
      <c r="ANO132" s="531" t="e">
        <f t="shared" si="21"/>
        <v>#DIV/0!</v>
      </c>
      <c r="ANP132" s="531" t="e">
        <f t="shared" si="21"/>
        <v>#DIV/0!</v>
      </c>
      <c r="ANQ132" s="531" t="e">
        <f t="shared" si="21"/>
        <v>#DIV/0!</v>
      </c>
      <c r="ANR132" s="531" t="e">
        <f t="shared" si="21"/>
        <v>#DIV/0!</v>
      </c>
      <c r="ANS132" s="531" t="e">
        <f t="shared" si="21"/>
        <v>#DIV/0!</v>
      </c>
      <c r="ANT132" s="531" t="e">
        <f t="shared" si="21"/>
        <v>#DIV/0!</v>
      </c>
      <c r="ANU132" s="531" t="e">
        <f t="shared" si="21"/>
        <v>#DIV/0!</v>
      </c>
      <c r="ANV132" s="531" t="e">
        <f t="shared" si="21"/>
        <v>#DIV/0!</v>
      </c>
      <c r="ANW132" s="531" t="e">
        <f t="shared" si="21"/>
        <v>#DIV/0!</v>
      </c>
      <c r="ANX132" s="531" t="e">
        <f t="shared" si="21"/>
        <v>#DIV/0!</v>
      </c>
      <c r="ANY132" s="531" t="e">
        <f t="shared" si="21"/>
        <v>#DIV/0!</v>
      </c>
      <c r="ANZ132" s="531" t="e">
        <f t="shared" si="21"/>
        <v>#DIV/0!</v>
      </c>
      <c r="AOA132" s="531" t="e">
        <f t="shared" si="21"/>
        <v>#DIV/0!</v>
      </c>
      <c r="AOB132" s="531" t="e">
        <f t="shared" si="21"/>
        <v>#DIV/0!</v>
      </c>
      <c r="AOC132" s="531" t="e">
        <f t="shared" si="21"/>
        <v>#DIV/0!</v>
      </c>
      <c r="AOD132" s="531" t="e">
        <f t="shared" si="21"/>
        <v>#DIV/0!</v>
      </c>
      <c r="AOE132" s="531" t="e">
        <f t="shared" si="21"/>
        <v>#DIV/0!</v>
      </c>
      <c r="AOF132" s="531" t="e">
        <f t="shared" si="21"/>
        <v>#DIV/0!</v>
      </c>
      <c r="AOG132" s="531" t="e">
        <f t="shared" si="21"/>
        <v>#DIV/0!</v>
      </c>
      <c r="AOH132" s="531" t="e">
        <f t="shared" si="21"/>
        <v>#DIV/0!</v>
      </c>
      <c r="AOI132" s="531" t="e">
        <f t="shared" si="21"/>
        <v>#DIV/0!</v>
      </c>
      <c r="AOJ132" s="531" t="e">
        <f t="shared" si="21"/>
        <v>#DIV/0!</v>
      </c>
      <c r="AOK132" s="531" t="e">
        <f t="shared" si="21"/>
        <v>#DIV/0!</v>
      </c>
      <c r="AOL132" s="531" t="e">
        <f t="shared" si="21"/>
        <v>#DIV/0!</v>
      </c>
      <c r="AOM132" s="531" t="e">
        <f t="shared" si="21"/>
        <v>#DIV/0!</v>
      </c>
      <c r="AON132" s="531" t="e">
        <f t="shared" si="21"/>
        <v>#DIV/0!</v>
      </c>
      <c r="AOO132" s="531" t="e">
        <f t="shared" si="21"/>
        <v>#DIV/0!</v>
      </c>
      <c r="AOP132" s="531" t="e">
        <f t="shared" si="21"/>
        <v>#DIV/0!</v>
      </c>
      <c r="AOQ132" s="531" t="e">
        <f t="shared" si="21"/>
        <v>#DIV/0!</v>
      </c>
      <c r="AOR132" s="531" t="e">
        <f t="shared" si="21"/>
        <v>#DIV/0!</v>
      </c>
      <c r="AOS132" s="531" t="e">
        <f t="shared" si="21"/>
        <v>#DIV/0!</v>
      </c>
      <c r="AOT132" s="531" t="e">
        <f t="shared" si="21"/>
        <v>#DIV/0!</v>
      </c>
      <c r="AOU132" s="531" t="e">
        <f t="shared" si="21"/>
        <v>#DIV/0!</v>
      </c>
      <c r="AOV132" s="531" t="e">
        <f t="shared" si="21"/>
        <v>#DIV/0!</v>
      </c>
      <c r="AOW132" s="531" t="e">
        <f t="shared" si="21"/>
        <v>#DIV/0!</v>
      </c>
      <c r="AOX132" s="531" t="e">
        <f t="shared" si="21"/>
        <v>#DIV/0!</v>
      </c>
      <c r="AOY132" s="531" t="e">
        <f t="shared" si="21"/>
        <v>#DIV/0!</v>
      </c>
      <c r="AOZ132" s="531" t="e">
        <f t="shared" si="21"/>
        <v>#DIV/0!</v>
      </c>
      <c r="APA132" s="531" t="e">
        <f t="shared" si="21"/>
        <v>#DIV/0!</v>
      </c>
      <c r="APB132" s="531" t="e">
        <f t="shared" si="21"/>
        <v>#DIV/0!</v>
      </c>
      <c r="APC132" s="531" t="e">
        <f t="shared" ref="APC132:ARN132" si="22">(APC128-APC116)/(APC52*10^5)</f>
        <v>#DIV/0!</v>
      </c>
      <c r="APD132" s="531" t="e">
        <f t="shared" si="22"/>
        <v>#DIV/0!</v>
      </c>
      <c r="APE132" s="531" t="e">
        <f t="shared" si="22"/>
        <v>#DIV/0!</v>
      </c>
      <c r="APF132" s="531" t="e">
        <f t="shared" si="22"/>
        <v>#DIV/0!</v>
      </c>
      <c r="APG132" s="531" t="e">
        <f t="shared" si="22"/>
        <v>#DIV/0!</v>
      </c>
      <c r="APH132" s="531" t="e">
        <f t="shared" si="22"/>
        <v>#DIV/0!</v>
      </c>
      <c r="API132" s="531" t="e">
        <f t="shared" si="22"/>
        <v>#DIV/0!</v>
      </c>
      <c r="APJ132" s="531" t="e">
        <f t="shared" si="22"/>
        <v>#DIV/0!</v>
      </c>
      <c r="APK132" s="531" t="e">
        <f t="shared" si="22"/>
        <v>#DIV/0!</v>
      </c>
      <c r="APL132" s="531" t="e">
        <f t="shared" si="22"/>
        <v>#DIV/0!</v>
      </c>
      <c r="APM132" s="531" t="e">
        <f t="shared" si="22"/>
        <v>#DIV/0!</v>
      </c>
      <c r="APN132" s="531" t="e">
        <f t="shared" si="22"/>
        <v>#DIV/0!</v>
      </c>
      <c r="APO132" s="531" t="e">
        <f t="shared" si="22"/>
        <v>#DIV/0!</v>
      </c>
      <c r="APP132" s="531" t="e">
        <f t="shared" si="22"/>
        <v>#DIV/0!</v>
      </c>
      <c r="APQ132" s="531" t="e">
        <f t="shared" si="22"/>
        <v>#DIV/0!</v>
      </c>
      <c r="APR132" s="531" t="e">
        <f t="shared" si="22"/>
        <v>#DIV/0!</v>
      </c>
      <c r="APS132" s="531" t="e">
        <f t="shared" si="22"/>
        <v>#DIV/0!</v>
      </c>
      <c r="APT132" s="531" t="e">
        <f t="shared" si="22"/>
        <v>#DIV/0!</v>
      </c>
      <c r="APU132" s="531" t="e">
        <f t="shared" si="22"/>
        <v>#DIV/0!</v>
      </c>
      <c r="APV132" s="531" t="e">
        <f t="shared" si="22"/>
        <v>#DIV/0!</v>
      </c>
      <c r="APW132" s="531" t="e">
        <f t="shared" si="22"/>
        <v>#DIV/0!</v>
      </c>
      <c r="APX132" s="531" t="e">
        <f t="shared" si="22"/>
        <v>#DIV/0!</v>
      </c>
      <c r="APY132" s="531" t="e">
        <f t="shared" si="22"/>
        <v>#DIV/0!</v>
      </c>
      <c r="APZ132" s="531" t="e">
        <f t="shared" si="22"/>
        <v>#DIV/0!</v>
      </c>
      <c r="AQA132" s="531" t="e">
        <f t="shared" si="22"/>
        <v>#DIV/0!</v>
      </c>
      <c r="AQB132" s="531" t="e">
        <f t="shared" si="22"/>
        <v>#DIV/0!</v>
      </c>
      <c r="AQC132" s="531" t="e">
        <f t="shared" si="22"/>
        <v>#DIV/0!</v>
      </c>
      <c r="AQD132" s="531" t="e">
        <f t="shared" si="22"/>
        <v>#DIV/0!</v>
      </c>
      <c r="AQE132" s="531" t="e">
        <f t="shared" si="22"/>
        <v>#DIV/0!</v>
      </c>
      <c r="AQF132" s="531" t="e">
        <f t="shared" si="22"/>
        <v>#DIV/0!</v>
      </c>
      <c r="AQG132" s="531" t="e">
        <f t="shared" si="22"/>
        <v>#DIV/0!</v>
      </c>
      <c r="AQH132" s="531" t="e">
        <f t="shared" si="22"/>
        <v>#DIV/0!</v>
      </c>
      <c r="AQI132" s="531" t="e">
        <f t="shared" si="22"/>
        <v>#DIV/0!</v>
      </c>
      <c r="AQJ132" s="531" t="e">
        <f t="shared" si="22"/>
        <v>#DIV/0!</v>
      </c>
      <c r="AQK132" s="531" t="e">
        <f t="shared" si="22"/>
        <v>#DIV/0!</v>
      </c>
      <c r="AQL132" s="531" t="e">
        <f t="shared" si="22"/>
        <v>#DIV/0!</v>
      </c>
      <c r="AQM132" s="531" t="e">
        <f t="shared" si="22"/>
        <v>#DIV/0!</v>
      </c>
      <c r="AQN132" s="531" t="e">
        <f t="shared" si="22"/>
        <v>#DIV/0!</v>
      </c>
      <c r="AQO132" s="531" t="e">
        <f t="shared" si="22"/>
        <v>#DIV/0!</v>
      </c>
      <c r="AQP132" s="531" t="e">
        <f t="shared" si="22"/>
        <v>#DIV/0!</v>
      </c>
      <c r="AQQ132" s="531" t="e">
        <f t="shared" si="22"/>
        <v>#DIV/0!</v>
      </c>
      <c r="AQR132" s="531" t="e">
        <f t="shared" si="22"/>
        <v>#DIV/0!</v>
      </c>
      <c r="AQS132" s="531" t="e">
        <f t="shared" si="22"/>
        <v>#DIV/0!</v>
      </c>
      <c r="AQT132" s="531" t="e">
        <f t="shared" si="22"/>
        <v>#DIV/0!</v>
      </c>
      <c r="AQU132" s="531" t="e">
        <f t="shared" si="22"/>
        <v>#DIV/0!</v>
      </c>
      <c r="AQV132" s="531" t="e">
        <f t="shared" si="22"/>
        <v>#DIV/0!</v>
      </c>
      <c r="AQW132" s="531" t="e">
        <f t="shared" si="22"/>
        <v>#DIV/0!</v>
      </c>
      <c r="AQX132" s="531" t="e">
        <f t="shared" si="22"/>
        <v>#DIV/0!</v>
      </c>
      <c r="AQY132" s="531" t="e">
        <f t="shared" si="22"/>
        <v>#DIV/0!</v>
      </c>
      <c r="AQZ132" s="531" t="e">
        <f t="shared" si="22"/>
        <v>#DIV/0!</v>
      </c>
      <c r="ARA132" s="531" t="e">
        <f t="shared" si="22"/>
        <v>#DIV/0!</v>
      </c>
      <c r="ARB132" s="531" t="e">
        <f t="shared" si="22"/>
        <v>#DIV/0!</v>
      </c>
      <c r="ARC132" s="531" t="e">
        <f t="shared" si="22"/>
        <v>#DIV/0!</v>
      </c>
      <c r="ARD132" s="531" t="e">
        <f t="shared" si="22"/>
        <v>#DIV/0!</v>
      </c>
      <c r="ARE132" s="531" t="e">
        <f t="shared" si="22"/>
        <v>#DIV/0!</v>
      </c>
      <c r="ARF132" s="531" t="e">
        <f t="shared" si="22"/>
        <v>#DIV/0!</v>
      </c>
      <c r="ARG132" s="531" t="e">
        <f t="shared" si="22"/>
        <v>#DIV/0!</v>
      </c>
      <c r="ARH132" s="531" t="e">
        <f t="shared" si="22"/>
        <v>#DIV/0!</v>
      </c>
      <c r="ARI132" s="531" t="e">
        <f t="shared" si="22"/>
        <v>#DIV/0!</v>
      </c>
      <c r="ARJ132" s="531" t="e">
        <f t="shared" si="22"/>
        <v>#DIV/0!</v>
      </c>
      <c r="ARK132" s="531" t="e">
        <f t="shared" si="22"/>
        <v>#DIV/0!</v>
      </c>
      <c r="ARL132" s="531" t="e">
        <f t="shared" si="22"/>
        <v>#DIV/0!</v>
      </c>
      <c r="ARM132" s="531" t="e">
        <f t="shared" si="22"/>
        <v>#DIV/0!</v>
      </c>
      <c r="ARN132" s="531" t="e">
        <f t="shared" si="22"/>
        <v>#DIV/0!</v>
      </c>
      <c r="ARO132" s="531" t="e">
        <f t="shared" ref="ARO132:ATZ132" si="23">(ARO128-ARO116)/(ARO52*10^5)</f>
        <v>#DIV/0!</v>
      </c>
      <c r="ARP132" s="531" t="e">
        <f t="shared" si="23"/>
        <v>#DIV/0!</v>
      </c>
      <c r="ARQ132" s="531" t="e">
        <f t="shared" si="23"/>
        <v>#DIV/0!</v>
      </c>
      <c r="ARR132" s="531" t="e">
        <f t="shared" si="23"/>
        <v>#DIV/0!</v>
      </c>
      <c r="ARS132" s="531" t="e">
        <f t="shared" si="23"/>
        <v>#DIV/0!</v>
      </c>
      <c r="ART132" s="531" t="e">
        <f t="shared" si="23"/>
        <v>#DIV/0!</v>
      </c>
      <c r="ARU132" s="531" t="e">
        <f t="shared" si="23"/>
        <v>#DIV/0!</v>
      </c>
      <c r="ARV132" s="531" t="e">
        <f t="shared" si="23"/>
        <v>#DIV/0!</v>
      </c>
      <c r="ARW132" s="531" t="e">
        <f t="shared" si="23"/>
        <v>#DIV/0!</v>
      </c>
      <c r="ARX132" s="531" t="e">
        <f t="shared" si="23"/>
        <v>#DIV/0!</v>
      </c>
      <c r="ARY132" s="531" t="e">
        <f t="shared" si="23"/>
        <v>#DIV/0!</v>
      </c>
      <c r="ARZ132" s="531" t="e">
        <f t="shared" si="23"/>
        <v>#DIV/0!</v>
      </c>
      <c r="ASA132" s="531" t="e">
        <f t="shared" si="23"/>
        <v>#DIV/0!</v>
      </c>
      <c r="ASB132" s="531" t="e">
        <f t="shared" si="23"/>
        <v>#DIV/0!</v>
      </c>
      <c r="ASC132" s="531" t="e">
        <f t="shared" si="23"/>
        <v>#DIV/0!</v>
      </c>
      <c r="ASD132" s="531" t="e">
        <f t="shared" si="23"/>
        <v>#DIV/0!</v>
      </c>
      <c r="ASE132" s="531" t="e">
        <f t="shared" si="23"/>
        <v>#DIV/0!</v>
      </c>
      <c r="ASF132" s="531" t="e">
        <f t="shared" si="23"/>
        <v>#DIV/0!</v>
      </c>
      <c r="ASG132" s="531" t="e">
        <f t="shared" si="23"/>
        <v>#DIV/0!</v>
      </c>
      <c r="ASH132" s="531" t="e">
        <f t="shared" si="23"/>
        <v>#DIV/0!</v>
      </c>
      <c r="ASI132" s="531" t="e">
        <f t="shared" si="23"/>
        <v>#DIV/0!</v>
      </c>
      <c r="ASJ132" s="531" t="e">
        <f t="shared" si="23"/>
        <v>#DIV/0!</v>
      </c>
      <c r="ASK132" s="531" t="e">
        <f t="shared" si="23"/>
        <v>#DIV/0!</v>
      </c>
      <c r="ASL132" s="531" t="e">
        <f t="shared" si="23"/>
        <v>#DIV/0!</v>
      </c>
      <c r="ASM132" s="531" t="e">
        <f t="shared" si="23"/>
        <v>#DIV/0!</v>
      </c>
      <c r="ASN132" s="531" t="e">
        <f t="shared" si="23"/>
        <v>#DIV/0!</v>
      </c>
      <c r="ASO132" s="531" t="e">
        <f t="shared" si="23"/>
        <v>#DIV/0!</v>
      </c>
      <c r="ASP132" s="531" t="e">
        <f t="shared" si="23"/>
        <v>#DIV/0!</v>
      </c>
      <c r="ASQ132" s="531" t="e">
        <f t="shared" si="23"/>
        <v>#DIV/0!</v>
      </c>
      <c r="ASR132" s="531" t="e">
        <f t="shared" si="23"/>
        <v>#DIV/0!</v>
      </c>
      <c r="ASS132" s="531" t="e">
        <f t="shared" si="23"/>
        <v>#DIV/0!</v>
      </c>
      <c r="AST132" s="531" t="e">
        <f t="shared" si="23"/>
        <v>#DIV/0!</v>
      </c>
      <c r="ASU132" s="531" t="e">
        <f t="shared" si="23"/>
        <v>#DIV/0!</v>
      </c>
      <c r="ASV132" s="531" t="e">
        <f t="shared" si="23"/>
        <v>#DIV/0!</v>
      </c>
      <c r="ASW132" s="531" t="e">
        <f t="shared" si="23"/>
        <v>#DIV/0!</v>
      </c>
      <c r="ASX132" s="531" t="e">
        <f t="shared" si="23"/>
        <v>#DIV/0!</v>
      </c>
      <c r="ASY132" s="531" t="e">
        <f t="shared" si="23"/>
        <v>#DIV/0!</v>
      </c>
      <c r="ASZ132" s="531" t="e">
        <f t="shared" si="23"/>
        <v>#DIV/0!</v>
      </c>
      <c r="ATA132" s="531" t="e">
        <f t="shared" si="23"/>
        <v>#DIV/0!</v>
      </c>
      <c r="ATB132" s="531" t="e">
        <f t="shared" si="23"/>
        <v>#DIV/0!</v>
      </c>
      <c r="ATC132" s="531" t="e">
        <f t="shared" si="23"/>
        <v>#DIV/0!</v>
      </c>
      <c r="ATD132" s="531" t="e">
        <f t="shared" si="23"/>
        <v>#DIV/0!</v>
      </c>
      <c r="ATE132" s="531" t="e">
        <f t="shared" si="23"/>
        <v>#DIV/0!</v>
      </c>
      <c r="ATF132" s="531" t="e">
        <f t="shared" si="23"/>
        <v>#DIV/0!</v>
      </c>
      <c r="ATG132" s="531" t="e">
        <f t="shared" si="23"/>
        <v>#DIV/0!</v>
      </c>
      <c r="ATH132" s="531" t="e">
        <f t="shared" si="23"/>
        <v>#DIV/0!</v>
      </c>
      <c r="ATI132" s="531" t="e">
        <f t="shared" si="23"/>
        <v>#DIV/0!</v>
      </c>
      <c r="ATJ132" s="531" t="e">
        <f t="shared" si="23"/>
        <v>#DIV/0!</v>
      </c>
      <c r="ATK132" s="531" t="e">
        <f t="shared" si="23"/>
        <v>#DIV/0!</v>
      </c>
      <c r="ATL132" s="531" t="e">
        <f t="shared" si="23"/>
        <v>#DIV/0!</v>
      </c>
      <c r="ATM132" s="531" t="e">
        <f t="shared" si="23"/>
        <v>#DIV/0!</v>
      </c>
      <c r="ATN132" s="531" t="e">
        <f t="shared" si="23"/>
        <v>#DIV/0!</v>
      </c>
      <c r="ATO132" s="531" t="e">
        <f t="shared" si="23"/>
        <v>#DIV/0!</v>
      </c>
      <c r="ATP132" s="531" t="e">
        <f t="shared" si="23"/>
        <v>#DIV/0!</v>
      </c>
      <c r="ATQ132" s="531" t="e">
        <f t="shared" si="23"/>
        <v>#DIV/0!</v>
      </c>
      <c r="ATR132" s="531" t="e">
        <f t="shared" si="23"/>
        <v>#DIV/0!</v>
      </c>
      <c r="ATS132" s="531" t="e">
        <f t="shared" si="23"/>
        <v>#DIV/0!</v>
      </c>
      <c r="ATT132" s="531" t="e">
        <f t="shared" si="23"/>
        <v>#DIV/0!</v>
      </c>
      <c r="ATU132" s="531" t="e">
        <f t="shared" si="23"/>
        <v>#DIV/0!</v>
      </c>
      <c r="ATV132" s="531" t="e">
        <f t="shared" si="23"/>
        <v>#DIV/0!</v>
      </c>
      <c r="ATW132" s="531" t="e">
        <f t="shared" si="23"/>
        <v>#DIV/0!</v>
      </c>
      <c r="ATX132" s="531" t="e">
        <f t="shared" si="23"/>
        <v>#DIV/0!</v>
      </c>
      <c r="ATY132" s="531" t="e">
        <f t="shared" si="23"/>
        <v>#DIV/0!</v>
      </c>
      <c r="ATZ132" s="531" t="e">
        <f t="shared" si="23"/>
        <v>#DIV/0!</v>
      </c>
      <c r="AUA132" s="531" t="e">
        <f t="shared" ref="AUA132:AWL132" si="24">(AUA128-AUA116)/(AUA52*10^5)</f>
        <v>#DIV/0!</v>
      </c>
      <c r="AUB132" s="531" t="e">
        <f t="shared" si="24"/>
        <v>#DIV/0!</v>
      </c>
      <c r="AUC132" s="531" t="e">
        <f t="shared" si="24"/>
        <v>#DIV/0!</v>
      </c>
      <c r="AUD132" s="531" t="e">
        <f t="shared" si="24"/>
        <v>#DIV/0!</v>
      </c>
      <c r="AUE132" s="531" t="e">
        <f t="shared" si="24"/>
        <v>#DIV/0!</v>
      </c>
      <c r="AUF132" s="531" t="e">
        <f t="shared" si="24"/>
        <v>#DIV/0!</v>
      </c>
      <c r="AUG132" s="531" t="e">
        <f t="shared" si="24"/>
        <v>#DIV/0!</v>
      </c>
      <c r="AUH132" s="531" t="e">
        <f t="shared" si="24"/>
        <v>#DIV/0!</v>
      </c>
      <c r="AUI132" s="531" t="e">
        <f t="shared" si="24"/>
        <v>#DIV/0!</v>
      </c>
      <c r="AUJ132" s="531" t="e">
        <f t="shared" si="24"/>
        <v>#DIV/0!</v>
      </c>
      <c r="AUK132" s="531" t="e">
        <f t="shared" si="24"/>
        <v>#DIV/0!</v>
      </c>
      <c r="AUL132" s="531" t="e">
        <f t="shared" si="24"/>
        <v>#DIV/0!</v>
      </c>
      <c r="AUM132" s="531" t="e">
        <f t="shared" si="24"/>
        <v>#DIV/0!</v>
      </c>
      <c r="AUN132" s="531" t="e">
        <f t="shared" si="24"/>
        <v>#DIV/0!</v>
      </c>
      <c r="AUO132" s="531" t="e">
        <f t="shared" si="24"/>
        <v>#DIV/0!</v>
      </c>
      <c r="AUP132" s="531" t="e">
        <f t="shared" si="24"/>
        <v>#DIV/0!</v>
      </c>
      <c r="AUQ132" s="531" t="e">
        <f t="shared" si="24"/>
        <v>#DIV/0!</v>
      </c>
      <c r="AUR132" s="531" t="e">
        <f t="shared" si="24"/>
        <v>#DIV/0!</v>
      </c>
      <c r="AUS132" s="531" t="e">
        <f t="shared" si="24"/>
        <v>#DIV/0!</v>
      </c>
      <c r="AUT132" s="531" t="e">
        <f t="shared" si="24"/>
        <v>#DIV/0!</v>
      </c>
      <c r="AUU132" s="531" t="e">
        <f t="shared" si="24"/>
        <v>#DIV/0!</v>
      </c>
      <c r="AUV132" s="531" t="e">
        <f t="shared" si="24"/>
        <v>#DIV/0!</v>
      </c>
      <c r="AUW132" s="531" t="e">
        <f t="shared" si="24"/>
        <v>#DIV/0!</v>
      </c>
      <c r="AUX132" s="531" t="e">
        <f t="shared" si="24"/>
        <v>#DIV/0!</v>
      </c>
      <c r="AUY132" s="531" t="e">
        <f t="shared" si="24"/>
        <v>#DIV/0!</v>
      </c>
      <c r="AUZ132" s="531" t="e">
        <f t="shared" si="24"/>
        <v>#DIV/0!</v>
      </c>
      <c r="AVA132" s="531" t="e">
        <f t="shared" si="24"/>
        <v>#DIV/0!</v>
      </c>
      <c r="AVB132" s="531" t="e">
        <f t="shared" si="24"/>
        <v>#DIV/0!</v>
      </c>
      <c r="AVC132" s="531" t="e">
        <f t="shared" si="24"/>
        <v>#DIV/0!</v>
      </c>
      <c r="AVD132" s="531" t="e">
        <f t="shared" si="24"/>
        <v>#DIV/0!</v>
      </c>
      <c r="AVE132" s="531" t="e">
        <f t="shared" si="24"/>
        <v>#DIV/0!</v>
      </c>
      <c r="AVF132" s="531" t="e">
        <f t="shared" si="24"/>
        <v>#DIV/0!</v>
      </c>
      <c r="AVG132" s="531" t="e">
        <f t="shared" si="24"/>
        <v>#DIV/0!</v>
      </c>
      <c r="AVH132" s="531" t="e">
        <f t="shared" si="24"/>
        <v>#DIV/0!</v>
      </c>
      <c r="AVI132" s="531" t="e">
        <f t="shared" si="24"/>
        <v>#DIV/0!</v>
      </c>
      <c r="AVJ132" s="531" t="e">
        <f t="shared" si="24"/>
        <v>#DIV/0!</v>
      </c>
      <c r="AVK132" s="531" t="e">
        <f t="shared" si="24"/>
        <v>#DIV/0!</v>
      </c>
      <c r="AVL132" s="531" t="e">
        <f t="shared" si="24"/>
        <v>#DIV/0!</v>
      </c>
      <c r="AVM132" s="531" t="e">
        <f t="shared" si="24"/>
        <v>#DIV/0!</v>
      </c>
      <c r="AVN132" s="531" t="e">
        <f t="shared" si="24"/>
        <v>#DIV/0!</v>
      </c>
      <c r="AVO132" s="531" t="e">
        <f t="shared" si="24"/>
        <v>#DIV/0!</v>
      </c>
      <c r="AVP132" s="531" t="e">
        <f t="shared" si="24"/>
        <v>#DIV/0!</v>
      </c>
      <c r="AVQ132" s="531" t="e">
        <f t="shared" si="24"/>
        <v>#DIV/0!</v>
      </c>
      <c r="AVR132" s="531" t="e">
        <f t="shared" si="24"/>
        <v>#DIV/0!</v>
      </c>
      <c r="AVS132" s="531" t="e">
        <f t="shared" si="24"/>
        <v>#DIV/0!</v>
      </c>
      <c r="AVT132" s="531" t="e">
        <f t="shared" si="24"/>
        <v>#DIV/0!</v>
      </c>
      <c r="AVU132" s="531" t="e">
        <f t="shared" si="24"/>
        <v>#DIV/0!</v>
      </c>
      <c r="AVV132" s="531" t="e">
        <f t="shared" si="24"/>
        <v>#DIV/0!</v>
      </c>
      <c r="AVW132" s="531" t="e">
        <f t="shared" si="24"/>
        <v>#DIV/0!</v>
      </c>
      <c r="AVX132" s="531" t="e">
        <f t="shared" si="24"/>
        <v>#DIV/0!</v>
      </c>
      <c r="AVY132" s="531" t="e">
        <f t="shared" si="24"/>
        <v>#DIV/0!</v>
      </c>
      <c r="AVZ132" s="531" t="e">
        <f t="shared" si="24"/>
        <v>#DIV/0!</v>
      </c>
      <c r="AWA132" s="531" t="e">
        <f t="shared" si="24"/>
        <v>#DIV/0!</v>
      </c>
      <c r="AWB132" s="531" t="e">
        <f t="shared" si="24"/>
        <v>#DIV/0!</v>
      </c>
      <c r="AWC132" s="531" t="e">
        <f t="shared" si="24"/>
        <v>#DIV/0!</v>
      </c>
      <c r="AWD132" s="531" t="e">
        <f t="shared" si="24"/>
        <v>#DIV/0!</v>
      </c>
      <c r="AWE132" s="531" t="e">
        <f t="shared" si="24"/>
        <v>#DIV/0!</v>
      </c>
      <c r="AWF132" s="531" t="e">
        <f t="shared" si="24"/>
        <v>#DIV/0!</v>
      </c>
      <c r="AWG132" s="531" t="e">
        <f t="shared" si="24"/>
        <v>#DIV/0!</v>
      </c>
      <c r="AWH132" s="531" t="e">
        <f t="shared" si="24"/>
        <v>#DIV/0!</v>
      </c>
      <c r="AWI132" s="531" t="e">
        <f t="shared" si="24"/>
        <v>#DIV/0!</v>
      </c>
      <c r="AWJ132" s="531" t="e">
        <f t="shared" si="24"/>
        <v>#DIV/0!</v>
      </c>
      <c r="AWK132" s="531" t="e">
        <f t="shared" si="24"/>
        <v>#DIV/0!</v>
      </c>
      <c r="AWL132" s="531" t="e">
        <f t="shared" si="24"/>
        <v>#DIV/0!</v>
      </c>
      <c r="AWM132" s="531" t="e">
        <f t="shared" ref="AWM132:AYX132" si="25">(AWM128-AWM116)/(AWM52*10^5)</f>
        <v>#DIV/0!</v>
      </c>
      <c r="AWN132" s="531" t="e">
        <f t="shared" si="25"/>
        <v>#DIV/0!</v>
      </c>
      <c r="AWO132" s="531" t="e">
        <f t="shared" si="25"/>
        <v>#DIV/0!</v>
      </c>
      <c r="AWP132" s="531" t="e">
        <f t="shared" si="25"/>
        <v>#DIV/0!</v>
      </c>
      <c r="AWQ132" s="531" t="e">
        <f t="shared" si="25"/>
        <v>#DIV/0!</v>
      </c>
      <c r="AWR132" s="531" t="e">
        <f t="shared" si="25"/>
        <v>#DIV/0!</v>
      </c>
      <c r="AWS132" s="531" t="e">
        <f t="shared" si="25"/>
        <v>#DIV/0!</v>
      </c>
      <c r="AWT132" s="531" t="e">
        <f t="shared" si="25"/>
        <v>#DIV/0!</v>
      </c>
      <c r="AWU132" s="531" t="e">
        <f t="shared" si="25"/>
        <v>#DIV/0!</v>
      </c>
      <c r="AWV132" s="531" t="e">
        <f t="shared" si="25"/>
        <v>#DIV/0!</v>
      </c>
      <c r="AWW132" s="531" t="e">
        <f t="shared" si="25"/>
        <v>#DIV/0!</v>
      </c>
      <c r="AWX132" s="531" t="e">
        <f t="shared" si="25"/>
        <v>#DIV/0!</v>
      </c>
      <c r="AWY132" s="531" t="e">
        <f t="shared" si="25"/>
        <v>#DIV/0!</v>
      </c>
      <c r="AWZ132" s="531" t="e">
        <f t="shared" si="25"/>
        <v>#DIV/0!</v>
      </c>
      <c r="AXA132" s="531" t="e">
        <f t="shared" si="25"/>
        <v>#DIV/0!</v>
      </c>
      <c r="AXB132" s="531" t="e">
        <f t="shared" si="25"/>
        <v>#DIV/0!</v>
      </c>
      <c r="AXC132" s="531" t="e">
        <f t="shared" si="25"/>
        <v>#DIV/0!</v>
      </c>
      <c r="AXD132" s="531" t="e">
        <f t="shared" si="25"/>
        <v>#DIV/0!</v>
      </c>
      <c r="AXE132" s="531" t="e">
        <f t="shared" si="25"/>
        <v>#DIV/0!</v>
      </c>
      <c r="AXF132" s="531" t="e">
        <f t="shared" si="25"/>
        <v>#DIV/0!</v>
      </c>
      <c r="AXG132" s="531" t="e">
        <f t="shared" si="25"/>
        <v>#DIV/0!</v>
      </c>
      <c r="AXH132" s="531" t="e">
        <f t="shared" si="25"/>
        <v>#DIV/0!</v>
      </c>
      <c r="AXI132" s="531" t="e">
        <f t="shared" si="25"/>
        <v>#DIV/0!</v>
      </c>
      <c r="AXJ132" s="531" t="e">
        <f t="shared" si="25"/>
        <v>#DIV/0!</v>
      </c>
      <c r="AXK132" s="531" t="e">
        <f t="shared" si="25"/>
        <v>#DIV/0!</v>
      </c>
      <c r="AXL132" s="531" t="e">
        <f t="shared" si="25"/>
        <v>#DIV/0!</v>
      </c>
      <c r="AXM132" s="531" t="e">
        <f t="shared" si="25"/>
        <v>#DIV/0!</v>
      </c>
      <c r="AXN132" s="531" t="e">
        <f t="shared" si="25"/>
        <v>#DIV/0!</v>
      </c>
      <c r="AXO132" s="531" t="e">
        <f t="shared" si="25"/>
        <v>#DIV/0!</v>
      </c>
      <c r="AXP132" s="531" t="e">
        <f t="shared" si="25"/>
        <v>#DIV/0!</v>
      </c>
      <c r="AXQ132" s="531" t="e">
        <f t="shared" si="25"/>
        <v>#DIV/0!</v>
      </c>
      <c r="AXR132" s="531" t="e">
        <f t="shared" si="25"/>
        <v>#DIV/0!</v>
      </c>
      <c r="AXS132" s="531" t="e">
        <f t="shared" si="25"/>
        <v>#DIV/0!</v>
      </c>
      <c r="AXT132" s="531" t="e">
        <f t="shared" si="25"/>
        <v>#DIV/0!</v>
      </c>
      <c r="AXU132" s="531" t="e">
        <f t="shared" si="25"/>
        <v>#DIV/0!</v>
      </c>
      <c r="AXV132" s="531" t="e">
        <f t="shared" si="25"/>
        <v>#DIV/0!</v>
      </c>
      <c r="AXW132" s="531" t="e">
        <f t="shared" si="25"/>
        <v>#DIV/0!</v>
      </c>
      <c r="AXX132" s="531" t="e">
        <f t="shared" si="25"/>
        <v>#DIV/0!</v>
      </c>
      <c r="AXY132" s="531" t="e">
        <f t="shared" si="25"/>
        <v>#DIV/0!</v>
      </c>
      <c r="AXZ132" s="531" t="e">
        <f t="shared" si="25"/>
        <v>#DIV/0!</v>
      </c>
      <c r="AYA132" s="531" t="e">
        <f t="shared" si="25"/>
        <v>#DIV/0!</v>
      </c>
      <c r="AYB132" s="531" t="e">
        <f t="shared" si="25"/>
        <v>#DIV/0!</v>
      </c>
      <c r="AYC132" s="531" t="e">
        <f t="shared" si="25"/>
        <v>#DIV/0!</v>
      </c>
      <c r="AYD132" s="531" t="e">
        <f t="shared" si="25"/>
        <v>#DIV/0!</v>
      </c>
      <c r="AYE132" s="531" t="e">
        <f t="shared" si="25"/>
        <v>#DIV/0!</v>
      </c>
      <c r="AYF132" s="531" t="e">
        <f t="shared" si="25"/>
        <v>#DIV/0!</v>
      </c>
      <c r="AYG132" s="531" t="e">
        <f t="shared" si="25"/>
        <v>#DIV/0!</v>
      </c>
      <c r="AYH132" s="531" t="e">
        <f t="shared" si="25"/>
        <v>#DIV/0!</v>
      </c>
      <c r="AYI132" s="531" t="e">
        <f t="shared" si="25"/>
        <v>#DIV/0!</v>
      </c>
      <c r="AYJ132" s="531" t="e">
        <f t="shared" si="25"/>
        <v>#DIV/0!</v>
      </c>
      <c r="AYK132" s="531" t="e">
        <f t="shared" si="25"/>
        <v>#DIV/0!</v>
      </c>
      <c r="AYL132" s="531" t="e">
        <f t="shared" si="25"/>
        <v>#DIV/0!</v>
      </c>
      <c r="AYM132" s="531" t="e">
        <f t="shared" si="25"/>
        <v>#DIV/0!</v>
      </c>
      <c r="AYN132" s="531" t="e">
        <f t="shared" si="25"/>
        <v>#DIV/0!</v>
      </c>
      <c r="AYO132" s="531" t="e">
        <f t="shared" si="25"/>
        <v>#DIV/0!</v>
      </c>
      <c r="AYP132" s="531" t="e">
        <f t="shared" si="25"/>
        <v>#DIV/0!</v>
      </c>
      <c r="AYQ132" s="531" t="e">
        <f t="shared" si="25"/>
        <v>#DIV/0!</v>
      </c>
      <c r="AYR132" s="531" t="e">
        <f t="shared" si="25"/>
        <v>#DIV/0!</v>
      </c>
      <c r="AYS132" s="531" t="e">
        <f t="shared" si="25"/>
        <v>#DIV/0!</v>
      </c>
      <c r="AYT132" s="531" t="e">
        <f t="shared" si="25"/>
        <v>#DIV/0!</v>
      </c>
      <c r="AYU132" s="531" t="e">
        <f t="shared" si="25"/>
        <v>#DIV/0!</v>
      </c>
      <c r="AYV132" s="531" t="e">
        <f t="shared" si="25"/>
        <v>#DIV/0!</v>
      </c>
      <c r="AYW132" s="531" t="e">
        <f t="shared" si="25"/>
        <v>#DIV/0!</v>
      </c>
      <c r="AYX132" s="531" t="e">
        <f t="shared" si="25"/>
        <v>#DIV/0!</v>
      </c>
      <c r="AYY132" s="531" t="e">
        <f t="shared" ref="AYY132:BBJ132" si="26">(AYY128-AYY116)/(AYY52*10^5)</f>
        <v>#DIV/0!</v>
      </c>
      <c r="AYZ132" s="531" t="e">
        <f t="shared" si="26"/>
        <v>#DIV/0!</v>
      </c>
      <c r="AZA132" s="531" t="e">
        <f t="shared" si="26"/>
        <v>#DIV/0!</v>
      </c>
      <c r="AZB132" s="531" t="e">
        <f t="shared" si="26"/>
        <v>#DIV/0!</v>
      </c>
      <c r="AZC132" s="531" t="e">
        <f t="shared" si="26"/>
        <v>#DIV/0!</v>
      </c>
      <c r="AZD132" s="531" t="e">
        <f t="shared" si="26"/>
        <v>#DIV/0!</v>
      </c>
      <c r="AZE132" s="531" t="e">
        <f t="shared" si="26"/>
        <v>#DIV/0!</v>
      </c>
      <c r="AZF132" s="531" t="e">
        <f t="shared" si="26"/>
        <v>#DIV/0!</v>
      </c>
      <c r="AZG132" s="531" t="e">
        <f t="shared" si="26"/>
        <v>#DIV/0!</v>
      </c>
      <c r="AZH132" s="531" t="e">
        <f t="shared" si="26"/>
        <v>#DIV/0!</v>
      </c>
      <c r="AZI132" s="531" t="e">
        <f t="shared" si="26"/>
        <v>#DIV/0!</v>
      </c>
      <c r="AZJ132" s="531" t="e">
        <f t="shared" si="26"/>
        <v>#DIV/0!</v>
      </c>
      <c r="AZK132" s="531" t="e">
        <f t="shared" si="26"/>
        <v>#DIV/0!</v>
      </c>
      <c r="AZL132" s="531" t="e">
        <f t="shared" si="26"/>
        <v>#DIV/0!</v>
      </c>
      <c r="AZM132" s="531" t="e">
        <f t="shared" si="26"/>
        <v>#DIV/0!</v>
      </c>
      <c r="AZN132" s="531" t="e">
        <f t="shared" si="26"/>
        <v>#DIV/0!</v>
      </c>
      <c r="AZO132" s="531" t="e">
        <f t="shared" si="26"/>
        <v>#DIV/0!</v>
      </c>
      <c r="AZP132" s="531" t="e">
        <f t="shared" si="26"/>
        <v>#DIV/0!</v>
      </c>
      <c r="AZQ132" s="531" t="e">
        <f t="shared" si="26"/>
        <v>#DIV/0!</v>
      </c>
      <c r="AZR132" s="531" t="e">
        <f t="shared" si="26"/>
        <v>#DIV/0!</v>
      </c>
      <c r="AZS132" s="531" t="e">
        <f t="shared" si="26"/>
        <v>#DIV/0!</v>
      </c>
      <c r="AZT132" s="531" t="e">
        <f t="shared" si="26"/>
        <v>#DIV/0!</v>
      </c>
      <c r="AZU132" s="531" t="e">
        <f t="shared" si="26"/>
        <v>#DIV/0!</v>
      </c>
      <c r="AZV132" s="531" t="e">
        <f t="shared" si="26"/>
        <v>#DIV/0!</v>
      </c>
      <c r="AZW132" s="531" t="e">
        <f t="shared" si="26"/>
        <v>#DIV/0!</v>
      </c>
      <c r="AZX132" s="531" t="e">
        <f t="shared" si="26"/>
        <v>#DIV/0!</v>
      </c>
      <c r="AZY132" s="531" t="e">
        <f t="shared" si="26"/>
        <v>#DIV/0!</v>
      </c>
      <c r="AZZ132" s="531" t="e">
        <f t="shared" si="26"/>
        <v>#DIV/0!</v>
      </c>
      <c r="BAA132" s="531" t="e">
        <f t="shared" si="26"/>
        <v>#DIV/0!</v>
      </c>
      <c r="BAB132" s="531" t="e">
        <f t="shared" si="26"/>
        <v>#DIV/0!</v>
      </c>
      <c r="BAC132" s="531" t="e">
        <f t="shared" si="26"/>
        <v>#DIV/0!</v>
      </c>
      <c r="BAD132" s="531" t="e">
        <f t="shared" si="26"/>
        <v>#DIV/0!</v>
      </c>
      <c r="BAE132" s="531" t="e">
        <f t="shared" si="26"/>
        <v>#DIV/0!</v>
      </c>
      <c r="BAF132" s="531" t="e">
        <f t="shared" si="26"/>
        <v>#DIV/0!</v>
      </c>
      <c r="BAG132" s="531" t="e">
        <f t="shared" si="26"/>
        <v>#DIV/0!</v>
      </c>
      <c r="BAH132" s="531" t="e">
        <f t="shared" si="26"/>
        <v>#DIV/0!</v>
      </c>
      <c r="BAI132" s="531" t="e">
        <f t="shared" si="26"/>
        <v>#DIV/0!</v>
      </c>
      <c r="BAJ132" s="531" t="e">
        <f t="shared" si="26"/>
        <v>#DIV/0!</v>
      </c>
      <c r="BAK132" s="531" t="e">
        <f t="shared" si="26"/>
        <v>#DIV/0!</v>
      </c>
      <c r="BAL132" s="531" t="e">
        <f t="shared" si="26"/>
        <v>#DIV/0!</v>
      </c>
      <c r="BAM132" s="531" t="e">
        <f t="shared" si="26"/>
        <v>#DIV/0!</v>
      </c>
      <c r="BAN132" s="531" t="e">
        <f t="shared" si="26"/>
        <v>#DIV/0!</v>
      </c>
      <c r="BAO132" s="531" t="e">
        <f t="shared" si="26"/>
        <v>#DIV/0!</v>
      </c>
      <c r="BAP132" s="531" t="e">
        <f t="shared" si="26"/>
        <v>#DIV/0!</v>
      </c>
      <c r="BAQ132" s="531" t="e">
        <f t="shared" si="26"/>
        <v>#DIV/0!</v>
      </c>
      <c r="BAR132" s="531" t="e">
        <f t="shared" si="26"/>
        <v>#DIV/0!</v>
      </c>
      <c r="BAS132" s="531" t="e">
        <f t="shared" si="26"/>
        <v>#DIV/0!</v>
      </c>
      <c r="BAT132" s="531" t="e">
        <f t="shared" si="26"/>
        <v>#DIV/0!</v>
      </c>
      <c r="BAU132" s="531" t="e">
        <f t="shared" si="26"/>
        <v>#DIV/0!</v>
      </c>
      <c r="BAV132" s="531" t="e">
        <f t="shared" si="26"/>
        <v>#DIV/0!</v>
      </c>
      <c r="BAW132" s="531" t="e">
        <f t="shared" si="26"/>
        <v>#DIV/0!</v>
      </c>
      <c r="BAX132" s="531" t="e">
        <f t="shared" si="26"/>
        <v>#DIV/0!</v>
      </c>
      <c r="BAY132" s="531" t="e">
        <f t="shared" si="26"/>
        <v>#DIV/0!</v>
      </c>
      <c r="BAZ132" s="531" t="e">
        <f t="shared" si="26"/>
        <v>#DIV/0!</v>
      </c>
      <c r="BBA132" s="531" t="e">
        <f t="shared" si="26"/>
        <v>#DIV/0!</v>
      </c>
      <c r="BBB132" s="531" t="e">
        <f t="shared" si="26"/>
        <v>#DIV/0!</v>
      </c>
      <c r="BBC132" s="531" t="e">
        <f t="shared" si="26"/>
        <v>#DIV/0!</v>
      </c>
      <c r="BBD132" s="531" t="e">
        <f t="shared" si="26"/>
        <v>#DIV/0!</v>
      </c>
      <c r="BBE132" s="531" t="e">
        <f t="shared" si="26"/>
        <v>#DIV/0!</v>
      </c>
      <c r="BBF132" s="531" t="e">
        <f t="shared" si="26"/>
        <v>#DIV/0!</v>
      </c>
      <c r="BBG132" s="531" t="e">
        <f t="shared" si="26"/>
        <v>#DIV/0!</v>
      </c>
      <c r="BBH132" s="531" t="e">
        <f t="shared" si="26"/>
        <v>#DIV/0!</v>
      </c>
      <c r="BBI132" s="531" t="e">
        <f t="shared" si="26"/>
        <v>#DIV/0!</v>
      </c>
      <c r="BBJ132" s="531" t="e">
        <f t="shared" si="26"/>
        <v>#DIV/0!</v>
      </c>
      <c r="BBK132" s="531" t="e">
        <f t="shared" ref="BBK132:BDV132" si="27">(BBK128-BBK116)/(BBK52*10^5)</f>
        <v>#DIV/0!</v>
      </c>
      <c r="BBL132" s="531" t="e">
        <f t="shared" si="27"/>
        <v>#DIV/0!</v>
      </c>
      <c r="BBM132" s="531" t="e">
        <f t="shared" si="27"/>
        <v>#DIV/0!</v>
      </c>
      <c r="BBN132" s="531" t="e">
        <f t="shared" si="27"/>
        <v>#DIV/0!</v>
      </c>
      <c r="BBO132" s="531" t="e">
        <f t="shared" si="27"/>
        <v>#DIV/0!</v>
      </c>
      <c r="BBP132" s="531" t="e">
        <f t="shared" si="27"/>
        <v>#DIV/0!</v>
      </c>
      <c r="BBQ132" s="531" t="e">
        <f t="shared" si="27"/>
        <v>#DIV/0!</v>
      </c>
      <c r="BBR132" s="531" t="e">
        <f t="shared" si="27"/>
        <v>#DIV/0!</v>
      </c>
      <c r="BBS132" s="531" t="e">
        <f t="shared" si="27"/>
        <v>#DIV/0!</v>
      </c>
      <c r="BBT132" s="531" t="e">
        <f t="shared" si="27"/>
        <v>#DIV/0!</v>
      </c>
      <c r="BBU132" s="531" t="e">
        <f t="shared" si="27"/>
        <v>#DIV/0!</v>
      </c>
      <c r="BBV132" s="531" t="e">
        <f t="shared" si="27"/>
        <v>#DIV/0!</v>
      </c>
      <c r="BBW132" s="531" t="e">
        <f t="shared" si="27"/>
        <v>#DIV/0!</v>
      </c>
      <c r="BBX132" s="531" t="e">
        <f t="shared" si="27"/>
        <v>#DIV/0!</v>
      </c>
      <c r="BBY132" s="531" t="e">
        <f t="shared" si="27"/>
        <v>#DIV/0!</v>
      </c>
      <c r="BBZ132" s="531" t="e">
        <f t="shared" si="27"/>
        <v>#DIV/0!</v>
      </c>
      <c r="BCA132" s="531" t="e">
        <f t="shared" si="27"/>
        <v>#DIV/0!</v>
      </c>
      <c r="BCB132" s="531" t="e">
        <f t="shared" si="27"/>
        <v>#DIV/0!</v>
      </c>
      <c r="BCC132" s="531" t="e">
        <f t="shared" si="27"/>
        <v>#DIV/0!</v>
      </c>
      <c r="BCD132" s="531" t="e">
        <f t="shared" si="27"/>
        <v>#DIV/0!</v>
      </c>
      <c r="BCE132" s="531" t="e">
        <f t="shared" si="27"/>
        <v>#DIV/0!</v>
      </c>
      <c r="BCF132" s="531" t="e">
        <f t="shared" si="27"/>
        <v>#DIV/0!</v>
      </c>
      <c r="BCG132" s="531" t="e">
        <f t="shared" si="27"/>
        <v>#DIV/0!</v>
      </c>
      <c r="BCH132" s="531" t="e">
        <f t="shared" si="27"/>
        <v>#DIV/0!</v>
      </c>
      <c r="BCI132" s="531" t="e">
        <f t="shared" si="27"/>
        <v>#DIV/0!</v>
      </c>
      <c r="BCJ132" s="531" t="e">
        <f t="shared" si="27"/>
        <v>#DIV/0!</v>
      </c>
      <c r="BCK132" s="531" t="e">
        <f t="shared" si="27"/>
        <v>#DIV/0!</v>
      </c>
      <c r="BCL132" s="531" t="e">
        <f t="shared" si="27"/>
        <v>#DIV/0!</v>
      </c>
      <c r="BCM132" s="531" t="e">
        <f t="shared" si="27"/>
        <v>#DIV/0!</v>
      </c>
      <c r="BCN132" s="531" t="e">
        <f t="shared" si="27"/>
        <v>#DIV/0!</v>
      </c>
      <c r="BCO132" s="531" t="e">
        <f t="shared" si="27"/>
        <v>#DIV/0!</v>
      </c>
      <c r="BCP132" s="531" t="e">
        <f t="shared" si="27"/>
        <v>#DIV/0!</v>
      </c>
      <c r="BCQ132" s="531" t="e">
        <f t="shared" si="27"/>
        <v>#DIV/0!</v>
      </c>
      <c r="BCR132" s="531" t="e">
        <f t="shared" si="27"/>
        <v>#DIV/0!</v>
      </c>
      <c r="BCS132" s="531" t="e">
        <f t="shared" si="27"/>
        <v>#DIV/0!</v>
      </c>
      <c r="BCT132" s="531" t="e">
        <f t="shared" si="27"/>
        <v>#DIV/0!</v>
      </c>
      <c r="BCU132" s="531" t="e">
        <f t="shared" si="27"/>
        <v>#DIV/0!</v>
      </c>
      <c r="BCV132" s="531" t="e">
        <f t="shared" si="27"/>
        <v>#DIV/0!</v>
      </c>
      <c r="BCW132" s="531" t="e">
        <f t="shared" si="27"/>
        <v>#DIV/0!</v>
      </c>
      <c r="BCX132" s="531" t="e">
        <f t="shared" si="27"/>
        <v>#DIV/0!</v>
      </c>
      <c r="BCY132" s="531" t="e">
        <f t="shared" si="27"/>
        <v>#DIV/0!</v>
      </c>
      <c r="BCZ132" s="531" t="e">
        <f t="shared" si="27"/>
        <v>#DIV/0!</v>
      </c>
      <c r="BDA132" s="531" t="e">
        <f t="shared" si="27"/>
        <v>#DIV/0!</v>
      </c>
      <c r="BDB132" s="531" t="e">
        <f t="shared" si="27"/>
        <v>#DIV/0!</v>
      </c>
      <c r="BDC132" s="531" t="e">
        <f t="shared" si="27"/>
        <v>#DIV/0!</v>
      </c>
      <c r="BDD132" s="531" t="e">
        <f t="shared" si="27"/>
        <v>#DIV/0!</v>
      </c>
      <c r="BDE132" s="531" t="e">
        <f t="shared" si="27"/>
        <v>#DIV/0!</v>
      </c>
      <c r="BDF132" s="531" t="e">
        <f t="shared" si="27"/>
        <v>#DIV/0!</v>
      </c>
      <c r="BDG132" s="531" t="e">
        <f t="shared" si="27"/>
        <v>#DIV/0!</v>
      </c>
      <c r="BDH132" s="531" t="e">
        <f t="shared" si="27"/>
        <v>#DIV/0!</v>
      </c>
      <c r="BDI132" s="531" t="e">
        <f t="shared" si="27"/>
        <v>#DIV/0!</v>
      </c>
      <c r="BDJ132" s="531" t="e">
        <f t="shared" si="27"/>
        <v>#DIV/0!</v>
      </c>
      <c r="BDK132" s="531" t="e">
        <f t="shared" si="27"/>
        <v>#DIV/0!</v>
      </c>
      <c r="BDL132" s="531" t="e">
        <f t="shared" si="27"/>
        <v>#DIV/0!</v>
      </c>
      <c r="BDM132" s="531" t="e">
        <f t="shared" si="27"/>
        <v>#DIV/0!</v>
      </c>
      <c r="BDN132" s="531" t="e">
        <f t="shared" si="27"/>
        <v>#DIV/0!</v>
      </c>
      <c r="BDO132" s="531" t="e">
        <f t="shared" si="27"/>
        <v>#DIV/0!</v>
      </c>
      <c r="BDP132" s="531" t="e">
        <f t="shared" si="27"/>
        <v>#DIV/0!</v>
      </c>
      <c r="BDQ132" s="531" t="e">
        <f t="shared" si="27"/>
        <v>#DIV/0!</v>
      </c>
      <c r="BDR132" s="531" t="e">
        <f t="shared" si="27"/>
        <v>#DIV/0!</v>
      </c>
      <c r="BDS132" s="531" t="e">
        <f t="shared" si="27"/>
        <v>#DIV/0!</v>
      </c>
      <c r="BDT132" s="531" t="e">
        <f t="shared" si="27"/>
        <v>#DIV/0!</v>
      </c>
      <c r="BDU132" s="531" t="e">
        <f t="shared" si="27"/>
        <v>#DIV/0!</v>
      </c>
      <c r="BDV132" s="531" t="e">
        <f t="shared" si="27"/>
        <v>#DIV/0!</v>
      </c>
      <c r="BDW132" s="531" t="e">
        <f t="shared" ref="BDW132:BGH132" si="28">(BDW128-BDW116)/(BDW52*10^5)</f>
        <v>#DIV/0!</v>
      </c>
      <c r="BDX132" s="531" t="e">
        <f t="shared" si="28"/>
        <v>#DIV/0!</v>
      </c>
      <c r="BDY132" s="531" t="e">
        <f t="shared" si="28"/>
        <v>#DIV/0!</v>
      </c>
      <c r="BDZ132" s="531" t="e">
        <f t="shared" si="28"/>
        <v>#DIV/0!</v>
      </c>
      <c r="BEA132" s="531" t="e">
        <f t="shared" si="28"/>
        <v>#DIV/0!</v>
      </c>
      <c r="BEB132" s="531" t="e">
        <f t="shared" si="28"/>
        <v>#DIV/0!</v>
      </c>
      <c r="BEC132" s="531" t="e">
        <f t="shared" si="28"/>
        <v>#DIV/0!</v>
      </c>
      <c r="BED132" s="531" t="e">
        <f t="shared" si="28"/>
        <v>#DIV/0!</v>
      </c>
      <c r="BEE132" s="531" t="e">
        <f t="shared" si="28"/>
        <v>#DIV/0!</v>
      </c>
      <c r="BEF132" s="531" t="e">
        <f t="shared" si="28"/>
        <v>#DIV/0!</v>
      </c>
      <c r="BEG132" s="531" t="e">
        <f t="shared" si="28"/>
        <v>#DIV/0!</v>
      </c>
      <c r="BEH132" s="531" t="e">
        <f t="shared" si="28"/>
        <v>#DIV/0!</v>
      </c>
      <c r="BEI132" s="531" t="e">
        <f t="shared" si="28"/>
        <v>#DIV/0!</v>
      </c>
      <c r="BEJ132" s="531" t="e">
        <f t="shared" si="28"/>
        <v>#DIV/0!</v>
      </c>
      <c r="BEK132" s="531" t="e">
        <f t="shared" si="28"/>
        <v>#DIV/0!</v>
      </c>
      <c r="BEL132" s="531" t="e">
        <f t="shared" si="28"/>
        <v>#DIV/0!</v>
      </c>
      <c r="BEM132" s="531" t="e">
        <f t="shared" si="28"/>
        <v>#DIV/0!</v>
      </c>
      <c r="BEN132" s="531" t="e">
        <f t="shared" si="28"/>
        <v>#DIV/0!</v>
      </c>
      <c r="BEO132" s="531" t="e">
        <f t="shared" si="28"/>
        <v>#DIV/0!</v>
      </c>
      <c r="BEP132" s="531" t="e">
        <f t="shared" si="28"/>
        <v>#DIV/0!</v>
      </c>
      <c r="BEQ132" s="531" t="e">
        <f t="shared" si="28"/>
        <v>#DIV/0!</v>
      </c>
      <c r="BER132" s="531" t="e">
        <f t="shared" si="28"/>
        <v>#DIV/0!</v>
      </c>
      <c r="BES132" s="531" t="e">
        <f t="shared" si="28"/>
        <v>#DIV/0!</v>
      </c>
      <c r="BET132" s="531" t="e">
        <f t="shared" si="28"/>
        <v>#DIV/0!</v>
      </c>
      <c r="BEU132" s="531" t="e">
        <f t="shared" si="28"/>
        <v>#DIV/0!</v>
      </c>
      <c r="BEV132" s="531" t="e">
        <f t="shared" si="28"/>
        <v>#DIV/0!</v>
      </c>
      <c r="BEW132" s="531" t="e">
        <f t="shared" si="28"/>
        <v>#DIV/0!</v>
      </c>
      <c r="BEX132" s="531" t="e">
        <f t="shared" si="28"/>
        <v>#DIV/0!</v>
      </c>
      <c r="BEY132" s="531" t="e">
        <f t="shared" si="28"/>
        <v>#DIV/0!</v>
      </c>
      <c r="BEZ132" s="531" t="e">
        <f t="shared" si="28"/>
        <v>#DIV/0!</v>
      </c>
      <c r="BFA132" s="531" t="e">
        <f t="shared" si="28"/>
        <v>#DIV/0!</v>
      </c>
      <c r="BFB132" s="531" t="e">
        <f t="shared" si="28"/>
        <v>#DIV/0!</v>
      </c>
      <c r="BFC132" s="531" t="e">
        <f t="shared" si="28"/>
        <v>#DIV/0!</v>
      </c>
      <c r="BFD132" s="531" t="e">
        <f t="shared" si="28"/>
        <v>#DIV/0!</v>
      </c>
      <c r="BFE132" s="531" t="e">
        <f t="shared" si="28"/>
        <v>#DIV/0!</v>
      </c>
      <c r="BFF132" s="531" t="e">
        <f t="shared" si="28"/>
        <v>#DIV/0!</v>
      </c>
      <c r="BFG132" s="531" t="e">
        <f t="shared" si="28"/>
        <v>#DIV/0!</v>
      </c>
      <c r="BFH132" s="531" t="e">
        <f t="shared" si="28"/>
        <v>#DIV/0!</v>
      </c>
      <c r="BFI132" s="531" t="e">
        <f t="shared" si="28"/>
        <v>#DIV/0!</v>
      </c>
      <c r="BFJ132" s="531" t="e">
        <f t="shared" si="28"/>
        <v>#DIV/0!</v>
      </c>
      <c r="BFK132" s="531" t="e">
        <f t="shared" si="28"/>
        <v>#DIV/0!</v>
      </c>
      <c r="BFL132" s="531" t="e">
        <f t="shared" si="28"/>
        <v>#DIV/0!</v>
      </c>
      <c r="BFM132" s="531" t="e">
        <f t="shared" si="28"/>
        <v>#DIV/0!</v>
      </c>
      <c r="BFN132" s="531" t="e">
        <f t="shared" si="28"/>
        <v>#DIV/0!</v>
      </c>
      <c r="BFO132" s="531" t="e">
        <f t="shared" si="28"/>
        <v>#DIV/0!</v>
      </c>
      <c r="BFP132" s="531" t="e">
        <f t="shared" si="28"/>
        <v>#DIV/0!</v>
      </c>
      <c r="BFQ132" s="531" t="e">
        <f t="shared" si="28"/>
        <v>#DIV/0!</v>
      </c>
      <c r="BFR132" s="531" t="e">
        <f t="shared" si="28"/>
        <v>#DIV/0!</v>
      </c>
      <c r="BFS132" s="531" t="e">
        <f t="shared" si="28"/>
        <v>#DIV/0!</v>
      </c>
      <c r="BFT132" s="531" t="e">
        <f t="shared" si="28"/>
        <v>#DIV/0!</v>
      </c>
      <c r="BFU132" s="531" t="e">
        <f t="shared" si="28"/>
        <v>#DIV/0!</v>
      </c>
      <c r="BFV132" s="531" t="e">
        <f t="shared" si="28"/>
        <v>#DIV/0!</v>
      </c>
      <c r="BFW132" s="531" t="e">
        <f t="shared" si="28"/>
        <v>#DIV/0!</v>
      </c>
      <c r="BFX132" s="531" t="e">
        <f t="shared" si="28"/>
        <v>#DIV/0!</v>
      </c>
      <c r="BFY132" s="531" t="e">
        <f t="shared" si="28"/>
        <v>#DIV/0!</v>
      </c>
      <c r="BFZ132" s="531" t="e">
        <f t="shared" si="28"/>
        <v>#DIV/0!</v>
      </c>
      <c r="BGA132" s="531" t="e">
        <f t="shared" si="28"/>
        <v>#DIV/0!</v>
      </c>
      <c r="BGB132" s="531" t="e">
        <f t="shared" si="28"/>
        <v>#DIV/0!</v>
      </c>
      <c r="BGC132" s="531" t="e">
        <f t="shared" si="28"/>
        <v>#DIV/0!</v>
      </c>
      <c r="BGD132" s="531" t="e">
        <f t="shared" si="28"/>
        <v>#DIV/0!</v>
      </c>
      <c r="BGE132" s="531" t="e">
        <f t="shared" si="28"/>
        <v>#DIV/0!</v>
      </c>
      <c r="BGF132" s="531" t="e">
        <f t="shared" si="28"/>
        <v>#DIV/0!</v>
      </c>
      <c r="BGG132" s="531" t="e">
        <f t="shared" si="28"/>
        <v>#DIV/0!</v>
      </c>
      <c r="BGH132" s="531" t="e">
        <f t="shared" si="28"/>
        <v>#DIV/0!</v>
      </c>
      <c r="BGI132" s="531" t="e">
        <f t="shared" ref="BGI132:BIT132" si="29">(BGI128-BGI116)/(BGI52*10^5)</f>
        <v>#DIV/0!</v>
      </c>
      <c r="BGJ132" s="531" t="e">
        <f t="shared" si="29"/>
        <v>#DIV/0!</v>
      </c>
      <c r="BGK132" s="531" t="e">
        <f t="shared" si="29"/>
        <v>#DIV/0!</v>
      </c>
      <c r="BGL132" s="531" t="e">
        <f t="shared" si="29"/>
        <v>#DIV/0!</v>
      </c>
      <c r="BGM132" s="531" t="e">
        <f t="shared" si="29"/>
        <v>#DIV/0!</v>
      </c>
      <c r="BGN132" s="531" t="e">
        <f t="shared" si="29"/>
        <v>#DIV/0!</v>
      </c>
      <c r="BGO132" s="531" t="e">
        <f t="shared" si="29"/>
        <v>#DIV/0!</v>
      </c>
      <c r="BGP132" s="531" t="e">
        <f t="shared" si="29"/>
        <v>#DIV/0!</v>
      </c>
      <c r="BGQ132" s="531" t="e">
        <f t="shared" si="29"/>
        <v>#DIV/0!</v>
      </c>
      <c r="BGR132" s="531" t="e">
        <f t="shared" si="29"/>
        <v>#DIV/0!</v>
      </c>
      <c r="BGS132" s="531" t="e">
        <f t="shared" si="29"/>
        <v>#DIV/0!</v>
      </c>
      <c r="BGT132" s="531" t="e">
        <f t="shared" si="29"/>
        <v>#DIV/0!</v>
      </c>
      <c r="BGU132" s="531" t="e">
        <f t="shared" si="29"/>
        <v>#DIV/0!</v>
      </c>
      <c r="BGV132" s="531" t="e">
        <f t="shared" si="29"/>
        <v>#DIV/0!</v>
      </c>
      <c r="BGW132" s="531" t="e">
        <f t="shared" si="29"/>
        <v>#DIV/0!</v>
      </c>
      <c r="BGX132" s="531" t="e">
        <f t="shared" si="29"/>
        <v>#DIV/0!</v>
      </c>
      <c r="BGY132" s="531" t="e">
        <f t="shared" si="29"/>
        <v>#DIV/0!</v>
      </c>
      <c r="BGZ132" s="531" t="e">
        <f t="shared" si="29"/>
        <v>#DIV/0!</v>
      </c>
      <c r="BHA132" s="531" t="e">
        <f t="shared" si="29"/>
        <v>#DIV/0!</v>
      </c>
      <c r="BHB132" s="531" t="e">
        <f t="shared" si="29"/>
        <v>#DIV/0!</v>
      </c>
      <c r="BHC132" s="531" t="e">
        <f t="shared" si="29"/>
        <v>#DIV/0!</v>
      </c>
      <c r="BHD132" s="531" t="e">
        <f t="shared" si="29"/>
        <v>#DIV/0!</v>
      </c>
      <c r="BHE132" s="531" t="e">
        <f t="shared" si="29"/>
        <v>#DIV/0!</v>
      </c>
      <c r="BHF132" s="531" t="e">
        <f t="shared" si="29"/>
        <v>#DIV/0!</v>
      </c>
      <c r="BHG132" s="531" t="e">
        <f t="shared" si="29"/>
        <v>#DIV/0!</v>
      </c>
      <c r="BHH132" s="531" t="e">
        <f t="shared" si="29"/>
        <v>#DIV/0!</v>
      </c>
      <c r="BHI132" s="531" t="e">
        <f t="shared" si="29"/>
        <v>#DIV/0!</v>
      </c>
      <c r="BHJ132" s="531" t="e">
        <f t="shared" si="29"/>
        <v>#DIV/0!</v>
      </c>
      <c r="BHK132" s="531" t="e">
        <f t="shared" si="29"/>
        <v>#DIV/0!</v>
      </c>
      <c r="BHL132" s="531" t="e">
        <f t="shared" si="29"/>
        <v>#DIV/0!</v>
      </c>
      <c r="BHM132" s="531" t="e">
        <f t="shared" si="29"/>
        <v>#DIV/0!</v>
      </c>
      <c r="BHN132" s="531" t="e">
        <f t="shared" si="29"/>
        <v>#DIV/0!</v>
      </c>
      <c r="BHO132" s="531" t="e">
        <f t="shared" si="29"/>
        <v>#DIV/0!</v>
      </c>
      <c r="BHP132" s="531" t="e">
        <f t="shared" si="29"/>
        <v>#DIV/0!</v>
      </c>
      <c r="BHQ132" s="531" t="e">
        <f t="shared" si="29"/>
        <v>#DIV/0!</v>
      </c>
      <c r="BHR132" s="531" t="e">
        <f t="shared" si="29"/>
        <v>#DIV/0!</v>
      </c>
      <c r="BHS132" s="531" t="e">
        <f t="shared" si="29"/>
        <v>#DIV/0!</v>
      </c>
      <c r="BHT132" s="531" t="e">
        <f t="shared" si="29"/>
        <v>#DIV/0!</v>
      </c>
      <c r="BHU132" s="531" t="e">
        <f t="shared" si="29"/>
        <v>#DIV/0!</v>
      </c>
      <c r="BHV132" s="531" t="e">
        <f t="shared" si="29"/>
        <v>#DIV/0!</v>
      </c>
      <c r="BHW132" s="531" t="e">
        <f t="shared" si="29"/>
        <v>#DIV/0!</v>
      </c>
      <c r="BHX132" s="531" t="e">
        <f t="shared" si="29"/>
        <v>#DIV/0!</v>
      </c>
      <c r="BHY132" s="531" t="e">
        <f t="shared" si="29"/>
        <v>#DIV/0!</v>
      </c>
      <c r="BHZ132" s="531" t="e">
        <f t="shared" si="29"/>
        <v>#DIV/0!</v>
      </c>
      <c r="BIA132" s="531" t="e">
        <f t="shared" si="29"/>
        <v>#DIV/0!</v>
      </c>
      <c r="BIB132" s="531" t="e">
        <f t="shared" si="29"/>
        <v>#DIV/0!</v>
      </c>
      <c r="BIC132" s="531" t="e">
        <f t="shared" si="29"/>
        <v>#DIV/0!</v>
      </c>
      <c r="BID132" s="531" t="e">
        <f t="shared" si="29"/>
        <v>#DIV/0!</v>
      </c>
      <c r="BIE132" s="531" t="e">
        <f t="shared" si="29"/>
        <v>#DIV/0!</v>
      </c>
      <c r="BIF132" s="531" t="e">
        <f t="shared" si="29"/>
        <v>#DIV/0!</v>
      </c>
      <c r="BIG132" s="531" t="e">
        <f t="shared" si="29"/>
        <v>#DIV/0!</v>
      </c>
      <c r="BIH132" s="531" t="e">
        <f t="shared" si="29"/>
        <v>#DIV/0!</v>
      </c>
      <c r="BII132" s="531" t="e">
        <f t="shared" si="29"/>
        <v>#DIV/0!</v>
      </c>
      <c r="BIJ132" s="531" t="e">
        <f t="shared" si="29"/>
        <v>#DIV/0!</v>
      </c>
      <c r="BIK132" s="531" t="e">
        <f t="shared" si="29"/>
        <v>#DIV/0!</v>
      </c>
      <c r="BIL132" s="531" t="e">
        <f t="shared" si="29"/>
        <v>#DIV/0!</v>
      </c>
      <c r="BIM132" s="531" t="e">
        <f t="shared" si="29"/>
        <v>#DIV/0!</v>
      </c>
      <c r="BIN132" s="531" t="e">
        <f t="shared" si="29"/>
        <v>#DIV/0!</v>
      </c>
      <c r="BIO132" s="531" t="e">
        <f t="shared" si="29"/>
        <v>#DIV/0!</v>
      </c>
      <c r="BIP132" s="531" t="e">
        <f t="shared" si="29"/>
        <v>#DIV/0!</v>
      </c>
      <c r="BIQ132" s="531" t="e">
        <f t="shared" si="29"/>
        <v>#DIV/0!</v>
      </c>
      <c r="BIR132" s="531" t="e">
        <f t="shared" si="29"/>
        <v>#DIV/0!</v>
      </c>
      <c r="BIS132" s="531" t="e">
        <f t="shared" si="29"/>
        <v>#DIV/0!</v>
      </c>
      <c r="BIT132" s="531" t="e">
        <f t="shared" si="29"/>
        <v>#DIV/0!</v>
      </c>
      <c r="BIU132" s="531" t="e">
        <f t="shared" ref="BIU132:BLF132" si="30">(BIU128-BIU116)/(BIU52*10^5)</f>
        <v>#DIV/0!</v>
      </c>
      <c r="BIV132" s="531" t="e">
        <f t="shared" si="30"/>
        <v>#DIV/0!</v>
      </c>
      <c r="BIW132" s="531" t="e">
        <f t="shared" si="30"/>
        <v>#DIV/0!</v>
      </c>
      <c r="BIX132" s="531" t="e">
        <f t="shared" si="30"/>
        <v>#DIV/0!</v>
      </c>
      <c r="BIY132" s="531" t="e">
        <f t="shared" si="30"/>
        <v>#DIV/0!</v>
      </c>
      <c r="BIZ132" s="531" t="e">
        <f t="shared" si="30"/>
        <v>#DIV/0!</v>
      </c>
      <c r="BJA132" s="531" t="e">
        <f t="shared" si="30"/>
        <v>#DIV/0!</v>
      </c>
      <c r="BJB132" s="531" t="e">
        <f t="shared" si="30"/>
        <v>#DIV/0!</v>
      </c>
      <c r="BJC132" s="531" t="e">
        <f t="shared" si="30"/>
        <v>#DIV/0!</v>
      </c>
      <c r="BJD132" s="531" t="e">
        <f t="shared" si="30"/>
        <v>#DIV/0!</v>
      </c>
      <c r="BJE132" s="531" t="e">
        <f t="shared" si="30"/>
        <v>#DIV/0!</v>
      </c>
      <c r="BJF132" s="531" t="e">
        <f t="shared" si="30"/>
        <v>#DIV/0!</v>
      </c>
      <c r="BJG132" s="531" t="e">
        <f t="shared" si="30"/>
        <v>#DIV/0!</v>
      </c>
      <c r="BJH132" s="531" t="e">
        <f t="shared" si="30"/>
        <v>#DIV/0!</v>
      </c>
      <c r="BJI132" s="531" t="e">
        <f t="shared" si="30"/>
        <v>#DIV/0!</v>
      </c>
      <c r="BJJ132" s="531" t="e">
        <f t="shared" si="30"/>
        <v>#DIV/0!</v>
      </c>
      <c r="BJK132" s="531" t="e">
        <f t="shared" si="30"/>
        <v>#DIV/0!</v>
      </c>
      <c r="BJL132" s="531" t="e">
        <f t="shared" si="30"/>
        <v>#DIV/0!</v>
      </c>
      <c r="BJM132" s="531" t="e">
        <f t="shared" si="30"/>
        <v>#DIV/0!</v>
      </c>
      <c r="BJN132" s="531" t="e">
        <f t="shared" si="30"/>
        <v>#DIV/0!</v>
      </c>
      <c r="BJO132" s="531" t="e">
        <f t="shared" si="30"/>
        <v>#DIV/0!</v>
      </c>
      <c r="BJP132" s="531" t="e">
        <f t="shared" si="30"/>
        <v>#DIV/0!</v>
      </c>
      <c r="BJQ132" s="531" t="e">
        <f t="shared" si="30"/>
        <v>#DIV/0!</v>
      </c>
      <c r="BJR132" s="531" t="e">
        <f t="shared" si="30"/>
        <v>#DIV/0!</v>
      </c>
      <c r="BJS132" s="531" t="e">
        <f t="shared" si="30"/>
        <v>#DIV/0!</v>
      </c>
      <c r="BJT132" s="531" t="e">
        <f t="shared" si="30"/>
        <v>#DIV/0!</v>
      </c>
      <c r="BJU132" s="531" t="e">
        <f t="shared" si="30"/>
        <v>#DIV/0!</v>
      </c>
      <c r="BJV132" s="531" t="e">
        <f t="shared" si="30"/>
        <v>#DIV/0!</v>
      </c>
      <c r="BJW132" s="531" t="e">
        <f t="shared" si="30"/>
        <v>#DIV/0!</v>
      </c>
      <c r="BJX132" s="531" t="e">
        <f t="shared" si="30"/>
        <v>#DIV/0!</v>
      </c>
      <c r="BJY132" s="531" t="e">
        <f t="shared" si="30"/>
        <v>#DIV/0!</v>
      </c>
      <c r="BJZ132" s="531" t="e">
        <f t="shared" si="30"/>
        <v>#DIV/0!</v>
      </c>
      <c r="BKA132" s="531" t="e">
        <f t="shared" si="30"/>
        <v>#DIV/0!</v>
      </c>
      <c r="BKB132" s="531" t="e">
        <f t="shared" si="30"/>
        <v>#DIV/0!</v>
      </c>
      <c r="BKC132" s="531" t="e">
        <f t="shared" si="30"/>
        <v>#DIV/0!</v>
      </c>
      <c r="BKD132" s="531" t="e">
        <f t="shared" si="30"/>
        <v>#DIV/0!</v>
      </c>
      <c r="BKE132" s="531" t="e">
        <f t="shared" si="30"/>
        <v>#DIV/0!</v>
      </c>
      <c r="BKF132" s="531" t="e">
        <f t="shared" si="30"/>
        <v>#DIV/0!</v>
      </c>
      <c r="BKG132" s="531" t="e">
        <f t="shared" si="30"/>
        <v>#DIV/0!</v>
      </c>
      <c r="BKH132" s="531" t="e">
        <f t="shared" si="30"/>
        <v>#DIV/0!</v>
      </c>
      <c r="BKI132" s="531" t="e">
        <f t="shared" si="30"/>
        <v>#DIV/0!</v>
      </c>
      <c r="BKJ132" s="531" t="e">
        <f t="shared" si="30"/>
        <v>#DIV/0!</v>
      </c>
      <c r="BKK132" s="531" t="e">
        <f t="shared" si="30"/>
        <v>#DIV/0!</v>
      </c>
      <c r="BKL132" s="531" t="e">
        <f t="shared" si="30"/>
        <v>#DIV/0!</v>
      </c>
      <c r="BKM132" s="531" t="e">
        <f t="shared" si="30"/>
        <v>#DIV/0!</v>
      </c>
      <c r="BKN132" s="531" t="e">
        <f t="shared" si="30"/>
        <v>#DIV/0!</v>
      </c>
      <c r="BKO132" s="531" t="e">
        <f t="shared" si="30"/>
        <v>#DIV/0!</v>
      </c>
      <c r="BKP132" s="531" t="e">
        <f t="shared" si="30"/>
        <v>#DIV/0!</v>
      </c>
      <c r="BKQ132" s="531" t="e">
        <f t="shared" si="30"/>
        <v>#DIV/0!</v>
      </c>
      <c r="BKR132" s="531" t="e">
        <f t="shared" si="30"/>
        <v>#DIV/0!</v>
      </c>
      <c r="BKS132" s="531" t="e">
        <f t="shared" si="30"/>
        <v>#DIV/0!</v>
      </c>
      <c r="BKT132" s="531" t="e">
        <f t="shared" si="30"/>
        <v>#DIV/0!</v>
      </c>
      <c r="BKU132" s="531" t="e">
        <f t="shared" si="30"/>
        <v>#DIV/0!</v>
      </c>
      <c r="BKV132" s="531" t="e">
        <f t="shared" si="30"/>
        <v>#DIV/0!</v>
      </c>
      <c r="BKW132" s="531" t="e">
        <f t="shared" si="30"/>
        <v>#DIV/0!</v>
      </c>
      <c r="BKX132" s="531" t="e">
        <f t="shared" si="30"/>
        <v>#DIV/0!</v>
      </c>
      <c r="BKY132" s="531" t="e">
        <f t="shared" si="30"/>
        <v>#DIV/0!</v>
      </c>
      <c r="BKZ132" s="531" t="e">
        <f t="shared" si="30"/>
        <v>#DIV/0!</v>
      </c>
      <c r="BLA132" s="531" t="e">
        <f t="shared" si="30"/>
        <v>#DIV/0!</v>
      </c>
      <c r="BLB132" s="531" t="e">
        <f t="shared" si="30"/>
        <v>#DIV/0!</v>
      </c>
      <c r="BLC132" s="531" t="e">
        <f t="shared" si="30"/>
        <v>#DIV/0!</v>
      </c>
      <c r="BLD132" s="531" t="e">
        <f t="shared" si="30"/>
        <v>#DIV/0!</v>
      </c>
      <c r="BLE132" s="531" t="e">
        <f t="shared" si="30"/>
        <v>#DIV/0!</v>
      </c>
      <c r="BLF132" s="531" t="e">
        <f t="shared" si="30"/>
        <v>#DIV/0!</v>
      </c>
      <c r="BLG132" s="531" t="e">
        <f t="shared" ref="BLG132:BNR132" si="31">(BLG128-BLG116)/(BLG52*10^5)</f>
        <v>#DIV/0!</v>
      </c>
      <c r="BLH132" s="531" t="e">
        <f t="shared" si="31"/>
        <v>#DIV/0!</v>
      </c>
      <c r="BLI132" s="531" t="e">
        <f t="shared" si="31"/>
        <v>#DIV/0!</v>
      </c>
      <c r="BLJ132" s="531" t="e">
        <f t="shared" si="31"/>
        <v>#DIV/0!</v>
      </c>
      <c r="BLK132" s="531" t="e">
        <f t="shared" si="31"/>
        <v>#DIV/0!</v>
      </c>
      <c r="BLL132" s="531" t="e">
        <f t="shared" si="31"/>
        <v>#DIV/0!</v>
      </c>
      <c r="BLM132" s="531" t="e">
        <f t="shared" si="31"/>
        <v>#DIV/0!</v>
      </c>
      <c r="BLN132" s="531" t="e">
        <f t="shared" si="31"/>
        <v>#DIV/0!</v>
      </c>
      <c r="BLO132" s="531" t="e">
        <f t="shared" si="31"/>
        <v>#DIV/0!</v>
      </c>
      <c r="BLP132" s="531" t="e">
        <f t="shared" si="31"/>
        <v>#DIV/0!</v>
      </c>
      <c r="BLQ132" s="531" t="e">
        <f t="shared" si="31"/>
        <v>#DIV/0!</v>
      </c>
      <c r="BLR132" s="531" t="e">
        <f t="shared" si="31"/>
        <v>#DIV/0!</v>
      </c>
      <c r="BLS132" s="531" t="e">
        <f t="shared" si="31"/>
        <v>#DIV/0!</v>
      </c>
      <c r="BLT132" s="531" t="e">
        <f t="shared" si="31"/>
        <v>#DIV/0!</v>
      </c>
      <c r="BLU132" s="531" t="e">
        <f t="shared" si="31"/>
        <v>#DIV/0!</v>
      </c>
      <c r="BLV132" s="531" t="e">
        <f t="shared" si="31"/>
        <v>#DIV/0!</v>
      </c>
      <c r="BLW132" s="531" t="e">
        <f t="shared" si="31"/>
        <v>#DIV/0!</v>
      </c>
      <c r="BLX132" s="531" t="e">
        <f t="shared" si="31"/>
        <v>#DIV/0!</v>
      </c>
      <c r="BLY132" s="531" t="e">
        <f t="shared" si="31"/>
        <v>#DIV/0!</v>
      </c>
      <c r="BLZ132" s="531" t="e">
        <f t="shared" si="31"/>
        <v>#DIV/0!</v>
      </c>
      <c r="BMA132" s="531" t="e">
        <f t="shared" si="31"/>
        <v>#DIV/0!</v>
      </c>
      <c r="BMB132" s="531" t="e">
        <f t="shared" si="31"/>
        <v>#DIV/0!</v>
      </c>
      <c r="BMC132" s="531" t="e">
        <f t="shared" si="31"/>
        <v>#DIV/0!</v>
      </c>
      <c r="BMD132" s="531" t="e">
        <f t="shared" si="31"/>
        <v>#DIV/0!</v>
      </c>
      <c r="BME132" s="531" t="e">
        <f t="shared" si="31"/>
        <v>#DIV/0!</v>
      </c>
      <c r="BMF132" s="531" t="e">
        <f t="shared" si="31"/>
        <v>#DIV/0!</v>
      </c>
      <c r="BMG132" s="531" t="e">
        <f t="shared" si="31"/>
        <v>#DIV/0!</v>
      </c>
      <c r="BMH132" s="531" t="e">
        <f t="shared" si="31"/>
        <v>#DIV/0!</v>
      </c>
      <c r="BMI132" s="531" t="e">
        <f t="shared" si="31"/>
        <v>#DIV/0!</v>
      </c>
      <c r="BMJ132" s="531" t="e">
        <f t="shared" si="31"/>
        <v>#DIV/0!</v>
      </c>
      <c r="BMK132" s="531" t="e">
        <f t="shared" si="31"/>
        <v>#DIV/0!</v>
      </c>
      <c r="BML132" s="531" t="e">
        <f t="shared" si="31"/>
        <v>#DIV/0!</v>
      </c>
      <c r="BMM132" s="531" t="e">
        <f t="shared" si="31"/>
        <v>#DIV/0!</v>
      </c>
      <c r="BMN132" s="531" t="e">
        <f t="shared" si="31"/>
        <v>#DIV/0!</v>
      </c>
      <c r="BMO132" s="531" t="e">
        <f t="shared" si="31"/>
        <v>#DIV/0!</v>
      </c>
      <c r="BMP132" s="531" t="e">
        <f t="shared" si="31"/>
        <v>#DIV/0!</v>
      </c>
      <c r="BMQ132" s="531" t="e">
        <f t="shared" si="31"/>
        <v>#DIV/0!</v>
      </c>
      <c r="BMR132" s="531" t="e">
        <f t="shared" si="31"/>
        <v>#DIV/0!</v>
      </c>
      <c r="BMS132" s="531" t="e">
        <f t="shared" si="31"/>
        <v>#DIV/0!</v>
      </c>
      <c r="BMT132" s="531" t="e">
        <f t="shared" si="31"/>
        <v>#DIV/0!</v>
      </c>
      <c r="BMU132" s="531" t="e">
        <f t="shared" si="31"/>
        <v>#DIV/0!</v>
      </c>
      <c r="BMV132" s="531" t="e">
        <f t="shared" si="31"/>
        <v>#DIV/0!</v>
      </c>
      <c r="BMW132" s="531" t="e">
        <f t="shared" si="31"/>
        <v>#DIV/0!</v>
      </c>
      <c r="BMX132" s="531" t="e">
        <f t="shared" si="31"/>
        <v>#DIV/0!</v>
      </c>
      <c r="BMY132" s="531" t="e">
        <f t="shared" si="31"/>
        <v>#DIV/0!</v>
      </c>
      <c r="BMZ132" s="531" t="e">
        <f t="shared" si="31"/>
        <v>#DIV/0!</v>
      </c>
      <c r="BNA132" s="531" t="e">
        <f t="shared" si="31"/>
        <v>#DIV/0!</v>
      </c>
      <c r="BNB132" s="531" t="e">
        <f t="shared" si="31"/>
        <v>#DIV/0!</v>
      </c>
      <c r="BNC132" s="531" t="e">
        <f t="shared" si="31"/>
        <v>#DIV/0!</v>
      </c>
      <c r="BND132" s="531" t="e">
        <f t="shared" si="31"/>
        <v>#DIV/0!</v>
      </c>
      <c r="BNE132" s="531" t="e">
        <f t="shared" si="31"/>
        <v>#DIV/0!</v>
      </c>
      <c r="BNF132" s="531" t="e">
        <f t="shared" si="31"/>
        <v>#DIV/0!</v>
      </c>
      <c r="BNG132" s="531" t="e">
        <f t="shared" si="31"/>
        <v>#DIV/0!</v>
      </c>
      <c r="BNH132" s="531" t="e">
        <f t="shared" si="31"/>
        <v>#DIV/0!</v>
      </c>
      <c r="BNI132" s="531" t="e">
        <f t="shared" si="31"/>
        <v>#DIV/0!</v>
      </c>
      <c r="BNJ132" s="531" t="e">
        <f t="shared" si="31"/>
        <v>#DIV/0!</v>
      </c>
      <c r="BNK132" s="531" t="e">
        <f t="shared" si="31"/>
        <v>#DIV/0!</v>
      </c>
      <c r="BNL132" s="531" t="e">
        <f t="shared" si="31"/>
        <v>#DIV/0!</v>
      </c>
      <c r="BNM132" s="531" t="e">
        <f t="shared" si="31"/>
        <v>#DIV/0!</v>
      </c>
      <c r="BNN132" s="531" t="e">
        <f t="shared" si="31"/>
        <v>#DIV/0!</v>
      </c>
      <c r="BNO132" s="531" t="e">
        <f t="shared" si="31"/>
        <v>#DIV/0!</v>
      </c>
      <c r="BNP132" s="531" t="e">
        <f t="shared" si="31"/>
        <v>#DIV/0!</v>
      </c>
      <c r="BNQ132" s="531" t="e">
        <f t="shared" si="31"/>
        <v>#DIV/0!</v>
      </c>
      <c r="BNR132" s="531" t="e">
        <f t="shared" si="31"/>
        <v>#DIV/0!</v>
      </c>
      <c r="BNS132" s="531" t="e">
        <f t="shared" ref="BNS132:BQD132" si="32">(BNS128-BNS116)/(BNS52*10^5)</f>
        <v>#DIV/0!</v>
      </c>
      <c r="BNT132" s="531" t="e">
        <f t="shared" si="32"/>
        <v>#DIV/0!</v>
      </c>
      <c r="BNU132" s="531" t="e">
        <f t="shared" si="32"/>
        <v>#DIV/0!</v>
      </c>
      <c r="BNV132" s="531" t="e">
        <f t="shared" si="32"/>
        <v>#DIV/0!</v>
      </c>
      <c r="BNW132" s="531" t="e">
        <f t="shared" si="32"/>
        <v>#DIV/0!</v>
      </c>
      <c r="BNX132" s="531" t="e">
        <f t="shared" si="32"/>
        <v>#DIV/0!</v>
      </c>
      <c r="BNY132" s="531" t="e">
        <f t="shared" si="32"/>
        <v>#DIV/0!</v>
      </c>
      <c r="BNZ132" s="531" t="e">
        <f t="shared" si="32"/>
        <v>#DIV/0!</v>
      </c>
      <c r="BOA132" s="531" t="e">
        <f t="shared" si="32"/>
        <v>#DIV/0!</v>
      </c>
      <c r="BOB132" s="531" t="e">
        <f t="shared" si="32"/>
        <v>#DIV/0!</v>
      </c>
      <c r="BOC132" s="531" t="e">
        <f t="shared" si="32"/>
        <v>#DIV/0!</v>
      </c>
      <c r="BOD132" s="531" t="e">
        <f t="shared" si="32"/>
        <v>#DIV/0!</v>
      </c>
      <c r="BOE132" s="531" t="e">
        <f t="shared" si="32"/>
        <v>#DIV/0!</v>
      </c>
      <c r="BOF132" s="531" t="e">
        <f t="shared" si="32"/>
        <v>#DIV/0!</v>
      </c>
      <c r="BOG132" s="531" t="e">
        <f t="shared" si="32"/>
        <v>#DIV/0!</v>
      </c>
      <c r="BOH132" s="531" t="e">
        <f t="shared" si="32"/>
        <v>#DIV/0!</v>
      </c>
      <c r="BOI132" s="531" t="e">
        <f t="shared" si="32"/>
        <v>#DIV/0!</v>
      </c>
      <c r="BOJ132" s="531" t="e">
        <f t="shared" si="32"/>
        <v>#DIV/0!</v>
      </c>
      <c r="BOK132" s="531" t="e">
        <f t="shared" si="32"/>
        <v>#DIV/0!</v>
      </c>
      <c r="BOL132" s="531" t="e">
        <f t="shared" si="32"/>
        <v>#DIV/0!</v>
      </c>
      <c r="BOM132" s="531" t="e">
        <f t="shared" si="32"/>
        <v>#DIV/0!</v>
      </c>
      <c r="BON132" s="531" t="e">
        <f t="shared" si="32"/>
        <v>#DIV/0!</v>
      </c>
      <c r="BOO132" s="531" t="e">
        <f t="shared" si="32"/>
        <v>#DIV/0!</v>
      </c>
      <c r="BOP132" s="531" t="e">
        <f t="shared" si="32"/>
        <v>#DIV/0!</v>
      </c>
      <c r="BOQ132" s="531" t="e">
        <f t="shared" si="32"/>
        <v>#DIV/0!</v>
      </c>
      <c r="BOR132" s="531" t="e">
        <f t="shared" si="32"/>
        <v>#DIV/0!</v>
      </c>
      <c r="BOS132" s="531" t="e">
        <f t="shared" si="32"/>
        <v>#DIV/0!</v>
      </c>
      <c r="BOT132" s="531" t="e">
        <f t="shared" si="32"/>
        <v>#DIV/0!</v>
      </c>
      <c r="BOU132" s="531" t="e">
        <f t="shared" si="32"/>
        <v>#DIV/0!</v>
      </c>
      <c r="BOV132" s="531" t="e">
        <f t="shared" si="32"/>
        <v>#DIV/0!</v>
      </c>
      <c r="BOW132" s="531" t="e">
        <f t="shared" si="32"/>
        <v>#DIV/0!</v>
      </c>
      <c r="BOX132" s="531" t="e">
        <f t="shared" si="32"/>
        <v>#DIV/0!</v>
      </c>
      <c r="BOY132" s="531" t="e">
        <f t="shared" si="32"/>
        <v>#DIV/0!</v>
      </c>
      <c r="BOZ132" s="531" t="e">
        <f t="shared" si="32"/>
        <v>#DIV/0!</v>
      </c>
      <c r="BPA132" s="531" t="e">
        <f t="shared" si="32"/>
        <v>#DIV/0!</v>
      </c>
      <c r="BPB132" s="531" t="e">
        <f t="shared" si="32"/>
        <v>#DIV/0!</v>
      </c>
      <c r="BPC132" s="531" t="e">
        <f t="shared" si="32"/>
        <v>#DIV/0!</v>
      </c>
      <c r="BPD132" s="531" t="e">
        <f t="shared" si="32"/>
        <v>#DIV/0!</v>
      </c>
      <c r="BPE132" s="531" t="e">
        <f t="shared" si="32"/>
        <v>#DIV/0!</v>
      </c>
      <c r="BPF132" s="531" t="e">
        <f t="shared" si="32"/>
        <v>#DIV/0!</v>
      </c>
      <c r="BPG132" s="531" t="e">
        <f t="shared" si="32"/>
        <v>#DIV/0!</v>
      </c>
      <c r="BPH132" s="531" t="e">
        <f t="shared" si="32"/>
        <v>#DIV/0!</v>
      </c>
      <c r="BPI132" s="531" t="e">
        <f t="shared" si="32"/>
        <v>#DIV/0!</v>
      </c>
      <c r="BPJ132" s="531" t="e">
        <f t="shared" si="32"/>
        <v>#DIV/0!</v>
      </c>
      <c r="BPK132" s="531" t="e">
        <f t="shared" si="32"/>
        <v>#DIV/0!</v>
      </c>
      <c r="BPL132" s="531" t="e">
        <f t="shared" si="32"/>
        <v>#DIV/0!</v>
      </c>
      <c r="BPM132" s="531" t="e">
        <f t="shared" si="32"/>
        <v>#DIV/0!</v>
      </c>
      <c r="BPN132" s="531" t="e">
        <f t="shared" si="32"/>
        <v>#DIV/0!</v>
      </c>
      <c r="BPO132" s="531" t="e">
        <f t="shared" si="32"/>
        <v>#DIV/0!</v>
      </c>
      <c r="BPP132" s="531" t="e">
        <f t="shared" si="32"/>
        <v>#DIV/0!</v>
      </c>
      <c r="BPQ132" s="531" t="e">
        <f t="shared" si="32"/>
        <v>#DIV/0!</v>
      </c>
      <c r="BPR132" s="531" t="e">
        <f t="shared" si="32"/>
        <v>#DIV/0!</v>
      </c>
      <c r="BPS132" s="531" t="e">
        <f t="shared" si="32"/>
        <v>#DIV/0!</v>
      </c>
      <c r="BPT132" s="531" t="e">
        <f t="shared" si="32"/>
        <v>#DIV/0!</v>
      </c>
      <c r="BPU132" s="531" t="e">
        <f t="shared" si="32"/>
        <v>#DIV/0!</v>
      </c>
      <c r="BPV132" s="531" t="e">
        <f t="shared" si="32"/>
        <v>#DIV/0!</v>
      </c>
      <c r="BPW132" s="531" t="e">
        <f t="shared" si="32"/>
        <v>#DIV/0!</v>
      </c>
      <c r="BPX132" s="531" t="e">
        <f t="shared" si="32"/>
        <v>#DIV/0!</v>
      </c>
      <c r="BPY132" s="531" t="e">
        <f t="shared" si="32"/>
        <v>#DIV/0!</v>
      </c>
      <c r="BPZ132" s="531" t="e">
        <f t="shared" si="32"/>
        <v>#DIV/0!</v>
      </c>
      <c r="BQA132" s="531" t="e">
        <f t="shared" si="32"/>
        <v>#DIV/0!</v>
      </c>
      <c r="BQB132" s="531" t="e">
        <f t="shared" si="32"/>
        <v>#DIV/0!</v>
      </c>
      <c r="BQC132" s="531" t="e">
        <f t="shared" si="32"/>
        <v>#DIV/0!</v>
      </c>
      <c r="BQD132" s="531" t="e">
        <f t="shared" si="32"/>
        <v>#DIV/0!</v>
      </c>
      <c r="BQE132" s="531" t="e">
        <f t="shared" ref="BQE132:BSP132" si="33">(BQE128-BQE116)/(BQE52*10^5)</f>
        <v>#DIV/0!</v>
      </c>
      <c r="BQF132" s="531" t="e">
        <f t="shared" si="33"/>
        <v>#DIV/0!</v>
      </c>
      <c r="BQG132" s="531" t="e">
        <f t="shared" si="33"/>
        <v>#DIV/0!</v>
      </c>
      <c r="BQH132" s="531" t="e">
        <f t="shared" si="33"/>
        <v>#DIV/0!</v>
      </c>
      <c r="BQI132" s="531" t="e">
        <f t="shared" si="33"/>
        <v>#DIV/0!</v>
      </c>
      <c r="BQJ132" s="531" t="e">
        <f t="shared" si="33"/>
        <v>#DIV/0!</v>
      </c>
      <c r="BQK132" s="531" t="e">
        <f t="shared" si="33"/>
        <v>#DIV/0!</v>
      </c>
      <c r="BQL132" s="531" t="e">
        <f t="shared" si="33"/>
        <v>#DIV/0!</v>
      </c>
      <c r="BQM132" s="531" t="e">
        <f t="shared" si="33"/>
        <v>#DIV/0!</v>
      </c>
      <c r="BQN132" s="531" t="e">
        <f t="shared" si="33"/>
        <v>#DIV/0!</v>
      </c>
      <c r="BQO132" s="531" t="e">
        <f t="shared" si="33"/>
        <v>#DIV/0!</v>
      </c>
      <c r="BQP132" s="531" t="e">
        <f t="shared" si="33"/>
        <v>#DIV/0!</v>
      </c>
      <c r="BQQ132" s="531" t="e">
        <f t="shared" si="33"/>
        <v>#DIV/0!</v>
      </c>
      <c r="BQR132" s="531" t="e">
        <f t="shared" si="33"/>
        <v>#DIV/0!</v>
      </c>
      <c r="BQS132" s="531" t="e">
        <f t="shared" si="33"/>
        <v>#DIV/0!</v>
      </c>
      <c r="BQT132" s="531" t="e">
        <f t="shared" si="33"/>
        <v>#DIV/0!</v>
      </c>
      <c r="BQU132" s="531" t="e">
        <f t="shared" si="33"/>
        <v>#DIV/0!</v>
      </c>
      <c r="BQV132" s="531" t="e">
        <f t="shared" si="33"/>
        <v>#DIV/0!</v>
      </c>
      <c r="BQW132" s="531" t="e">
        <f t="shared" si="33"/>
        <v>#DIV/0!</v>
      </c>
      <c r="BQX132" s="531" t="e">
        <f t="shared" si="33"/>
        <v>#DIV/0!</v>
      </c>
      <c r="BQY132" s="531" t="e">
        <f t="shared" si="33"/>
        <v>#DIV/0!</v>
      </c>
      <c r="BQZ132" s="531" t="e">
        <f t="shared" si="33"/>
        <v>#DIV/0!</v>
      </c>
      <c r="BRA132" s="531" t="e">
        <f t="shared" si="33"/>
        <v>#DIV/0!</v>
      </c>
      <c r="BRB132" s="531" t="e">
        <f t="shared" si="33"/>
        <v>#DIV/0!</v>
      </c>
      <c r="BRC132" s="531" t="e">
        <f t="shared" si="33"/>
        <v>#DIV/0!</v>
      </c>
      <c r="BRD132" s="531" t="e">
        <f t="shared" si="33"/>
        <v>#DIV/0!</v>
      </c>
      <c r="BRE132" s="531" t="e">
        <f t="shared" si="33"/>
        <v>#DIV/0!</v>
      </c>
      <c r="BRF132" s="531" t="e">
        <f t="shared" si="33"/>
        <v>#DIV/0!</v>
      </c>
      <c r="BRG132" s="531" t="e">
        <f t="shared" si="33"/>
        <v>#DIV/0!</v>
      </c>
      <c r="BRH132" s="531" t="e">
        <f t="shared" si="33"/>
        <v>#DIV/0!</v>
      </c>
      <c r="BRI132" s="531" t="e">
        <f t="shared" si="33"/>
        <v>#DIV/0!</v>
      </c>
      <c r="BRJ132" s="531" t="e">
        <f t="shared" si="33"/>
        <v>#DIV/0!</v>
      </c>
      <c r="BRK132" s="531" t="e">
        <f t="shared" si="33"/>
        <v>#DIV/0!</v>
      </c>
      <c r="BRL132" s="531" t="e">
        <f t="shared" si="33"/>
        <v>#DIV/0!</v>
      </c>
      <c r="BRM132" s="531" t="e">
        <f t="shared" si="33"/>
        <v>#DIV/0!</v>
      </c>
      <c r="BRN132" s="531" t="e">
        <f t="shared" si="33"/>
        <v>#DIV/0!</v>
      </c>
      <c r="BRO132" s="531" t="e">
        <f t="shared" si="33"/>
        <v>#DIV/0!</v>
      </c>
      <c r="BRP132" s="531" t="e">
        <f t="shared" si="33"/>
        <v>#DIV/0!</v>
      </c>
      <c r="BRQ132" s="531" t="e">
        <f t="shared" si="33"/>
        <v>#DIV/0!</v>
      </c>
      <c r="BRR132" s="531" t="e">
        <f t="shared" si="33"/>
        <v>#DIV/0!</v>
      </c>
      <c r="BRS132" s="531" t="e">
        <f t="shared" si="33"/>
        <v>#DIV/0!</v>
      </c>
      <c r="BRT132" s="531" t="e">
        <f t="shared" si="33"/>
        <v>#DIV/0!</v>
      </c>
      <c r="BRU132" s="531" t="e">
        <f t="shared" si="33"/>
        <v>#DIV/0!</v>
      </c>
      <c r="BRV132" s="531" t="e">
        <f t="shared" si="33"/>
        <v>#DIV/0!</v>
      </c>
      <c r="BRW132" s="531" t="e">
        <f t="shared" si="33"/>
        <v>#DIV/0!</v>
      </c>
      <c r="BRX132" s="531" t="e">
        <f t="shared" si="33"/>
        <v>#DIV/0!</v>
      </c>
      <c r="BRY132" s="531" t="e">
        <f t="shared" si="33"/>
        <v>#DIV/0!</v>
      </c>
      <c r="BRZ132" s="531" t="e">
        <f t="shared" si="33"/>
        <v>#DIV/0!</v>
      </c>
      <c r="BSA132" s="531" t="e">
        <f t="shared" si="33"/>
        <v>#DIV/0!</v>
      </c>
      <c r="BSB132" s="531" t="e">
        <f t="shared" si="33"/>
        <v>#DIV/0!</v>
      </c>
      <c r="BSC132" s="531" t="e">
        <f t="shared" si="33"/>
        <v>#DIV/0!</v>
      </c>
      <c r="BSD132" s="531" t="e">
        <f t="shared" si="33"/>
        <v>#DIV/0!</v>
      </c>
      <c r="BSE132" s="531" t="e">
        <f t="shared" si="33"/>
        <v>#DIV/0!</v>
      </c>
      <c r="BSF132" s="531" t="e">
        <f t="shared" si="33"/>
        <v>#DIV/0!</v>
      </c>
      <c r="BSG132" s="531" t="e">
        <f t="shared" si="33"/>
        <v>#DIV/0!</v>
      </c>
      <c r="BSH132" s="531" t="e">
        <f t="shared" si="33"/>
        <v>#DIV/0!</v>
      </c>
      <c r="BSI132" s="531" t="e">
        <f t="shared" si="33"/>
        <v>#DIV/0!</v>
      </c>
      <c r="BSJ132" s="531" t="e">
        <f t="shared" si="33"/>
        <v>#DIV/0!</v>
      </c>
      <c r="BSK132" s="531" t="e">
        <f t="shared" si="33"/>
        <v>#DIV/0!</v>
      </c>
      <c r="BSL132" s="531" t="e">
        <f t="shared" si="33"/>
        <v>#DIV/0!</v>
      </c>
      <c r="BSM132" s="531" t="e">
        <f t="shared" si="33"/>
        <v>#DIV/0!</v>
      </c>
      <c r="BSN132" s="531" t="e">
        <f t="shared" si="33"/>
        <v>#DIV/0!</v>
      </c>
      <c r="BSO132" s="531" t="e">
        <f t="shared" si="33"/>
        <v>#DIV/0!</v>
      </c>
      <c r="BSP132" s="531" t="e">
        <f t="shared" si="33"/>
        <v>#DIV/0!</v>
      </c>
      <c r="BSQ132" s="531" t="e">
        <f t="shared" ref="BSQ132:BVB132" si="34">(BSQ128-BSQ116)/(BSQ52*10^5)</f>
        <v>#DIV/0!</v>
      </c>
      <c r="BSR132" s="531" t="e">
        <f t="shared" si="34"/>
        <v>#DIV/0!</v>
      </c>
      <c r="BSS132" s="531" t="e">
        <f t="shared" si="34"/>
        <v>#DIV/0!</v>
      </c>
      <c r="BST132" s="531" t="e">
        <f t="shared" si="34"/>
        <v>#DIV/0!</v>
      </c>
      <c r="BSU132" s="531" t="e">
        <f t="shared" si="34"/>
        <v>#DIV/0!</v>
      </c>
      <c r="BSV132" s="531" t="e">
        <f t="shared" si="34"/>
        <v>#DIV/0!</v>
      </c>
      <c r="BSW132" s="531" t="e">
        <f t="shared" si="34"/>
        <v>#DIV/0!</v>
      </c>
      <c r="BSX132" s="531" t="e">
        <f t="shared" si="34"/>
        <v>#DIV/0!</v>
      </c>
      <c r="BSY132" s="531" t="e">
        <f t="shared" si="34"/>
        <v>#DIV/0!</v>
      </c>
      <c r="BSZ132" s="531" t="e">
        <f t="shared" si="34"/>
        <v>#DIV/0!</v>
      </c>
      <c r="BTA132" s="531" t="e">
        <f t="shared" si="34"/>
        <v>#DIV/0!</v>
      </c>
      <c r="BTB132" s="531" t="e">
        <f t="shared" si="34"/>
        <v>#DIV/0!</v>
      </c>
      <c r="BTC132" s="531" t="e">
        <f t="shared" si="34"/>
        <v>#DIV/0!</v>
      </c>
      <c r="BTD132" s="531" t="e">
        <f t="shared" si="34"/>
        <v>#DIV/0!</v>
      </c>
      <c r="BTE132" s="531" t="e">
        <f t="shared" si="34"/>
        <v>#DIV/0!</v>
      </c>
      <c r="BTF132" s="531" t="e">
        <f t="shared" si="34"/>
        <v>#DIV/0!</v>
      </c>
      <c r="BTG132" s="531" t="e">
        <f t="shared" si="34"/>
        <v>#DIV/0!</v>
      </c>
      <c r="BTH132" s="531" t="e">
        <f t="shared" si="34"/>
        <v>#DIV/0!</v>
      </c>
      <c r="BTI132" s="531" t="e">
        <f t="shared" si="34"/>
        <v>#DIV/0!</v>
      </c>
      <c r="BTJ132" s="531" t="e">
        <f t="shared" si="34"/>
        <v>#DIV/0!</v>
      </c>
      <c r="BTK132" s="531" t="e">
        <f t="shared" si="34"/>
        <v>#DIV/0!</v>
      </c>
      <c r="BTL132" s="531" t="e">
        <f t="shared" si="34"/>
        <v>#DIV/0!</v>
      </c>
      <c r="BTM132" s="531" t="e">
        <f t="shared" si="34"/>
        <v>#DIV/0!</v>
      </c>
      <c r="BTN132" s="531" t="e">
        <f t="shared" si="34"/>
        <v>#DIV/0!</v>
      </c>
      <c r="BTO132" s="531" t="e">
        <f t="shared" si="34"/>
        <v>#DIV/0!</v>
      </c>
      <c r="BTP132" s="531" t="e">
        <f t="shared" si="34"/>
        <v>#DIV/0!</v>
      </c>
      <c r="BTQ132" s="531" t="e">
        <f t="shared" si="34"/>
        <v>#DIV/0!</v>
      </c>
      <c r="BTR132" s="531" t="e">
        <f t="shared" si="34"/>
        <v>#DIV/0!</v>
      </c>
      <c r="BTS132" s="531" t="e">
        <f t="shared" si="34"/>
        <v>#DIV/0!</v>
      </c>
      <c r="BTT132" s="531" t="e">
        <f t="shared" si="34"/>
        <v>#DIV/0!</v>
      </c>
      <c r="BTU132" s="531" t="e">
        <f t="shared" si="34"/>
        <v>#DIV/0!</v>
      </c>
      <c r="BTV132" s="531" t="e">
        <f t="shared" si="34"/>
        <v>#DIV/0!</v>
      </c>
      <c r="BTW132" s="531" t="e">
        <f t="shared" si="34"/>
        <v>#DIV/0!</v>
      </c>
      <c r="BTX132" s="531" t="e">
        <f t="shared" si="34"/>
        <v>#DIV/0!</v>
      </c>
      <c r="BTY132" s="531" t="e">
        <f t="shared" si="34"/>
        <v>#DIV/0!</v>
      </c>
      <c r="BTZ132" s="531" t="e">
        <f t="shared" si="34"/>
        <v>#DIV/0!</v>
      </c>
      <c r="BUA132" s="531" t="e">
        <f t="shared" si="34"/>
        <v>#DIV/0!</v>
      </c>
      <c r="BUB132" s="531" t="e">
        <f t="shared" si="34"/>
        <v>#DIV/0!</v>
      </c>
      <c r="BUC132" s="531" t="e">
        <f t="shared" si="34"/>
        <v>#DIV/0!</v>
      </c>
      <c r="BUD132" s="531" t="e">
        <f t="shared" si="34"/>
        <v>#DIV/0!</v>
      </c>
      <c r="BUE132" s="531" t="e">
        <f t="shared" si="34"/>
        <v>#DIV/0!</v>
      </c>
      <c r="BUF132" s="531" t="e">
        <f t="shared" si="34"/>
        <v>#DIV/0!</v>
      </c>
      <c r="BUG132" s="531" t="e">
        <f t="shared" si="34"/>
        <v>#DIV/0!</v>
      </c>
      <c r="BUH132" s="531" t="e">
        <f t="shared" si="34"/>
        <v>#DIV/0!</v>
      </c>
      <c r="BUI132" s="531" t="e">
        <f t="shared" si="34"/>
        <v>#DIV/0!</v>
      </c>
      <c r="BUJ132" s="531" t="e">
        <f t="shared" si="34"/>
        <v>#DIV/0!</v>
      </c>
      <c r="BUK132" s="531" t="e">
        <f t="shared" si="34"/>
        <v>#DIV/0!</v>
      </c>
      <c r="BUL132" s="531" t="e">
        <f t="shared" si="34"/>
        <v>#DIV/0!</v>
      </c>
      <c r="BUM132" s="531" t="e">
        <f t="shared" si="34"/>
        <v>#DIV/0!</v>
      </c>
      <c r="BUN132" s="531" t="e">
        <f t="shared" si="34"/>
        <v>#DIV/0!</v>
      </c>
      <c r="BUO132" s="531" t="e">
        <f t="shared" si="34"/>
        <v>#DIV/0!</v>
      </c>
      <c r="BUP132" s="531" t="e">
        <f t="shared" si="34"/>
        <v>#DIV/0!</v>
      </c>
      <c r="BUQ132" s="531" t="e">
        <f t="shared" si="34"/>
        <v>#DIV/0!</v>
      </c>
      <c r="BUR132" s="531" t="e">
        <f t="shared" si="34"/>
        <v>#DIV/0!</v>
      </c>
      <c r="BUS132" s="531" t="e">
        <f t="shared" si="34"/>
        <v>#DIV/0!</v>
      </c>
      <c r="BUT132" s="531" t="e">
        <f t="shared" si="34"/>
        <v>#DIV/0!</v>
      </c>
      <c r="BUU132" s="531" t="e">
        <f t="shared" si="34"/>
        <v>#DIV/0!</v>
      </c>
      <c r="BUV132" s="531" t="e">
        <f t="shared" si="34"/>
        <v>#DIV/0!</v>
      </c>
      <c r="BUW132" s="531" t="e">
        <f t="shared" si="34"/>
        <v>#DIV/0!</v>
      </c>
      <c r="BUX132" s="531" t="e">
        <f t="shared" si="34"/>
        <v>#DIV/0!</v>
      </c>
      <c r="BUY132" s="531" t="e">
        <f t="shared" si="34"/>
        <v>#DIV/0!</v>
      </c>
      <c r="BUZ132" s="531" t="e">
        <f t="shared" si="34"/>
        <v>#DIV/0!</v>
      </c>
      <c r="BVA132" s="531" t="e">
        <f t="shared" si="34"/>
        <v>#DIV/0!</v>
      </c>
      <c r="BVB132" s="531" t="e">
        <f t="shared" si="34"/>
        <v>#DIV/0!</v>
      </c>
      <c r="BVC132" s="531" t="e">
        <f t="shared" ref="BVC132:BXN132" si="35">(BVC128-BVC116)/(BVC52*10^5)</f>
        <v>#DIV/0!</v>
      </c>
      <c r="BVD132" s="531" t="e">
        <f t="shared" si="35"/>
        <v>#DIV/0!</v>
      </c>
      <c r="BVE132" s="531" t="e">
        <f t="shared" si="35"/>
        <v>#DIV/0!</v>
      </c>
      <c r="BVF132" s="531" t="e">
        <f t="shared" si="35"/>
        <v>#DIV/0!</v>
      </c>
      <c r="BVG132" s="531" t="e">
        <f t="shared" si="35"/>
        <v>#DIV/0!</v>
      </c>
      <c r="BVH132" s="531" t="e">
        <f t="shared" si="35"/>
        <v>#DIV/0!</v>
      </c>
      <c r="BVI132" s="531" t="e">
        <f t="shared" si="35"/>
        <v>#DIV/0!</v>
      </c>
      <c r="BVJ132" s="531" t="e">
        <f t="shared" si="35"/>
        <v>#DIV/0!</v>
      </c>
      <c r="BVK132" s="531" t="e">
        <f t="shared" si="35"/>
        <v>#DIV/0!</v>
      </c>
      <c r="BVL132" s="531" t="e">
        <f t="shared" si="35"/>
        <v>#DIV/0!</v>
      </c>
      <c r="BVM132" s="531" t="e">
        <f t="shared" si="35"/>
        <v>#DIV/0!</v>
      </c>
      <c r="BVN132" s="531" t="e">
        <f t="shared" si="35"/>
        <v>#DIV/0!</v>
      </c>
      <c r="BVO132" s="531" t="e">
        <f t="shared" si="35"/>
        <v>#DIV/0!</v>
      </c>
      <c r="BVP132" s="531" t="e">
        <f t="shared" si="35"/>
        <v>#DIV/0!</v>
      </c>
      <c r="BVQ132" s="531" t="e">
        <f t="shared" si="35"/>
        <v>#DIV/0!</v>
      </c>
      <c r="BVR132" s="531" t="e">
        <f t="shared" si="35"/>
        <v>#DIV/0!</v>
      </c>
      <c r="BVS132" s="531" t="e">
        <f t="shared" si="35"/>
        <v>#DIV/0!</v>
      </c>
      <c r="BVT132" s="531" t="e">
        <f t="shared" si="35"/>
        <v>#DIV/0!</v>
      </c>
      <c r="BVU132" s="531" t="e">
        <f t="shared" si="35"/>
        <v>#DIV/0!</v>
      </c>
      <c r="BVV132" s="531" t="e">
        <f t="shared" si="35"/>
        <v>#DIV/0!</v>
      </c>
      <c r="BVW132" s="531" t="e">
        <f t="shared" si="35"/>
        <v>#DIV/0!</v>
      </c>
      <c r="BVX132" s="531" t="e">
        <f t="shared" si="35"/>
        <v>#DIV/0!</v>
      </c>
      <c r="BVY132" s="531" t="e">
        <f t="shared" si="35"/>
        <v>#DIV/0!</v>
      </c>
      <c r="BVZ132" s="531" t="e">
        <f t="shared" si="35"/>
        <v>#DIV/0!</v>
      </c>
      <c r="BWA132" s="531" t="e">
        <f t="shared" si="35"/>
        <v>#DIV/0!</v>
      </c>
      <c r="BWB132" s="531" t="e">
        <f t="shared" si="35"/>
        <v>#DIV/0!</v>
      </c>
      <c r="BWC132" s="531" t="e">
        <f t="shared" si="35"/>
        <v>#DIV/0!</v>
      </c>
      <c r="BWD132" s="531" t="e">
        <f t="shared" si="35"/>
        <v>#DIV/0!</v>
      </c>
      <c r="BWE132" s="531" t="e">
        <f t="shared" si="35"/>
        <v>#DIV/0!</v>
      </c>
      <c r="BWF132" s="531" t="e">
        <f t="shared" si="35"/>
        <v>#DIV/0!</v>
      </c>
      <c r="BWG132" s="531" t="e">
        <f t="shared" si="35"/>
        <v>#DIV/0!</v>
      </c>
      <c r="BWH132" s="531" t="e">
        <f t="shared" si="35"/>
        <v>#DIV/0!</v>
      </c>
      <c r="BWI132" s="531" t="e">
        <f t="shared" si="35"/>
        <v>#DIV/0!</v>
      </c>
      <c r="BWJ132" s="531" t="e">
        <f t="shared" si="35"/>
        <v>#DIV/0!</v>
      </c>
      <c r="BWK132" s="531" t="e">
        <f t="shared" si="35"/>
        <v>#DIV/0!</v>
      </c>
      <c r="BWL132" s="531" t="e">
        <f t="shared" si="35"/>
        <v>#DIV/0!</v>
      </c>
      <c r="BWM132" s="531" t="e">
        <f t="shared" si="35"/>
        <v>#DIV/0!</v>
      </c>
      <c r="BWN132" s="531" t="e">
        <f t="shared" si="35"/>
        <v>#DIV/0!</v>
      </c>
      <c r="BWO132" s="531" t="e">
        <f t="shared" si="35"/>
        <v>#DIV/0!</v>
      </c>
      <c r="BWP132" s="531" t="e">
        <f t="shared" si="35"/>
        <v>#DIV/0!</v>
      </c>
      <c r="BWQ132" s="531" t="e">
        <f t="shared" si="35"/>
        <v>#DIV/0!</v>
      </c>
      <c r="BWR132" s="531" t="e">
        <f t="shared" si="35"/>
        <v>#DIV/0!</v>
      </c>
      <c r="BWS132" s="531" t="e">
        <f t="shared" si="35"/>
        <v>#DIV/0!</v>
      </c>
      <c r="BWT132" s="531" t="e">
        <f t="shared" si="35"/>
        <v>#DIV/0!</v>
      </c>
      <c r="BWU132" s="531" t="e">
        <f t="shared" si="35"/>
        <v>#DIV/0!</v>
      </c>
      <c r="BWV132" s="531" t="e">
        <f t="shared" si="35"/>
        <v>#DIV/0!</v>
      </c>
      <c r="BWW132" s="531" t="e">
        <f t="shared" si="35"/>
        <v>#DIV/0!</v>
      </c>
      <c r="BWX132" s="531" t="e">
        <f t="shared" si="35"/>
        <v>#DIV/0!</v>
      </c>
      <c r="BWY132" s="531" t="e">
        <f t="shared" si="35"/>
        <v>#DIV/0!</v>
      </c>
      <c r="BWZ132" s="531" t="e">
        <f t="shared" si="35"/>
        <v>#DIV/0!</v>
      </c>
      <c r="BXA132" s="531" t="e">
        <f t="shared" si="35"/>
        <v>#DIV/0!</v>
      </c>
      <c r="BXB132" s="531" t="e">
        <f t="shared" si="35"/>
        <v>#DIV/0!</v>
      </c>
      <c r="BXC132" s="531" t="e">
        <f t="shared" si="35"/>
        <v>#DIV/0!</v>
      </c>
      <c r="BXD132" s="531" t="e">
        <f t="shared" si="35"/>
        <v>#DIV/0!</v>
      </c>
      <c r="BXE132" s="531" t="e">
        <f t="shared" si="35"/>
        <v>#DIV/0!</v>
      </c>
      <c r="BXF132" s="531" t="e">
        <f t="shared" si="35"/>
        <v>#DIV/0!</v>
      </c>
      <c r="BXG132" s="531" t="e">
        <f t="shared" si="35"/>
        <v>#DIV/0!</v>
      </c>
      <c r="BXH132" s="531" t="e">
        <f t="shared" si="35"/>
        <v>#DIV/0!</v>
      </c>
      <c r="BXI132" s="531" t="e">
        <f t="shared" si="35"/>
        <v>#DIV/0!</v>
      </c>
      <c r="BXJ132" s="531" t="e">
        <f t="shared" si="35"/>
        <v>#DIV/0!</v>
      </c>
      <c r="BXK132" s="531" t="e">
        <f t="shared" si="35"/>
        <v>#DIV/0!</v>
      </c>
      <c r="BXL132" s="531" t="e">
        <f t="shared" si="35"/>
        <v>#DIV/0!</v>
      </c>
      <c r="BXM132" s="531" t="e">
        <f t="shared" si="35"/>
        <v>#DIV/0!</v>
      </c>
      <c r="BXN132" s="531" t="e">
        <f t="shared" si="35"/>
        <v>#DIV/0!</v>
      </c>
      <c r="BXO132" s="531" t="e">
        <f t="shared" ref="BXO132:BZZ132" si="36">(BXO128-BXO116)/(BXO52*10^5)</f>
        <v>#DIV/0!</v>
      </c>
      <c r="BXP132" s="531" t="e">
        <f t="shared" si="36"/>
        <v>#DIV/0!</v>
      </c>
      <c r="BXQ132" s="531" t="e">
        <f t="shared" si="36"/>
        <v>#DIV/0!</v>
      </c>
      <c r="BXR132" s="531" t="e">
        <f t="shared" si="36"/>
        <v>#DIV/0!</v>
      </c>
      <c r="BXS132" s="531" t="e">
        <f t="shared" si="36"/>
        <v>#DIV/0!</v>
      </c>
      <c r="BXT132" s="531" t="e">
        <f t="shared" si="36"/>
        <v>#DIV/0!</v>
      </c>
      <c r="BXU132" s="531" t="e">
        <f t="shared" si="36"/>
        <v>#DIV/0!</v>
      </c>
      <c r="BXV132" s="531" t="e">
        <f t="shared" si="36"/>
        <v>#DIV/0!</v>
      </c>
      <c r="BXW132" s="531" t="e">
        <f t="shared" si="36"/>
        <v>#DIV/0!</v>
      </c>
      <c r="BXX132" s="531" t="e">
        <f t="shared" si="36"/>
        <v>#DIV/0!</v>
      </c>
      <c r="BXY132" s="531" t="e">
        <f t="shared" si="36"/>
        <v>#DIV/0!</v>
      </c>
      <c r="BXZ132" s="531" t="e">
        <f t="shared" si="36"/>
        <v>#DIV/0!</v>
      </c>
      <c r="BYA132" s="531" t="e">
        <f t="shared" si="36"/>
        <v>#DIV/0!</v>
      </c>
      <c r="BYB132" s="531" t="e">
        <f t="shared" si="36"/>
        <v>#DIV/0!</v>
      </c>
      <c r="BYC132" s="531" t="e">
        <f t="shared" si="36"/>
        <v>#DIV/0!</v>
      </c>
      <c r="BYD132" s="531" t="e">
        <f t="shared" si="36"/>
        <v>#DIV/0!</v>
      </c>
      <c r="BYE132" s="531" t="e">
        <f t="shared" si="36"/>
        <v>#DIV/0!</v>
      </c>
      <c r="BYF132" s="531" t="e">
        <f t="shared" si="36"/>
        <v>#DIV/0!</v>
      </c>
      <c r="BYG132" s="531" t="e">
        <f t="shared" si="36"/>
        <v>#DIV/0!</v>
      </c>
      <c r="BYH132" s="531" t="e">
        <f t="shared" si="36"/>
        <v>#DIV/0!</v>
      </c>
      <c r="BYI132" s="531" t="e">
        <f t="shared" si="36"/>
        <v>#DIV/0!</v>
      </c>
      <c r="BYJ132" s="531" t="e">
        <f t="shared" si="36"/>
        <v>#DIV/0!</v>
      </c>
      <c r="BYK132" s="531" t="e">
        <f t="shared" si="36"/>
        <v>#DIV/0!</v>
      </c>
      <c r="BYL132" s="531" t="e">
        <f t="shared" si="36"/>
        <v>#DIV/0!</v>
      </c>
      <c r="BYM132" s="531" t="e">
        <f t="shared" si="36"/>
        <v>#DIV/0!</v>
      </c>
      <c r="BYN132" s="531" t="e">
        <f t="shared" si="36"/>
        <v>#DIV/0!</v>
      </c>
      <c r="BYO132" s="531" t="e">
        <f t="shared" si="36"/>
        <v>#DIV/0!</v>
      </c>
      <c r="BYP132" s="531" t="e">
        <f t="shared" si="36"/>
        <v>#DIV/0!</v>
      </c>
      <c r="BYQ132" s="531" t="e">
        <f t="shared" si="36"/>
        <v>#DIV/0!</v>
      </c>
      <c r="BYR132" s="531" t="e">
        <f t="shared" si="36"/>
        <v>#DIV/0!</v>
      </c>
      <c r="BYS132" s="531" t="e">
        <f t="shared" si="36"/>
        <v>#DIV/0!</v>
      </c>
      <c r="BYT132" s="531" t="e">
        <f t="shared" si="36"/>
        <v>#DIV/0!</v>
      </c>
      <c r="BYU132" s="531" t="e">
        <f t="shared" si="36"/>
        <v>#DIV/0!</v>
      </c>
      <c r="BYV132" s="531" t="e">
        <f t="shared" si="36"/>
        <v>#DIV/0!</v>
      </c>
      <c r="BYW132" s="531" t="e">
        <f t="shared" si="36"/>
        <v>#DIV/0!</v>
      </c>
      <c r="BYX132" s="531" t="e">
        <f t="shared" si="36"/>
        <v>#DIV/0!</v>
      </c>
      <c r="BYY132" s="531" t="e">
        <f t="shared" si="36"/>
        <v>#DIV/0!</v>
      </c>
      <c r="BYZ132" s="531" t="e">
        <f t="shared" si="36"/>
        <v>#DIV/0!</v>
      </c>
      <c r="BZA132" s="531" t="e">
        <f t="shared" si="36"/>
        <v>#DIV/0!</v>
      </c>
      <c r="BZB132" s="531" t="e">
        <f t="shared" si="36"/>
        <v>#DIV/0!</v>
      </c>
      <c r="BZC132" s="531" t="e">
        <f t="shared" si="36"/>
        <v>#DIV/0!</v>
      </c>
      <c r="BZD132" s="531" t="e">
        <f t="shared" si="36"/>
        <v>#DIV/0!</v>
      </c>
      <c r="BZE132" s="531" t="e">
        <f t="shared" si="36"/>
        <v>#DIV/0!</v>
      </c>
      <c r="BZF132" s="531" t="e">
        <f t="shared" si="36"/>
        <v>#DIV/0!</v>
      </c>
      <c r="BZG132" s="531" t="e">
        <f t="shared" si="36"/>
        <v>#DIV/0!</v>
      </c>
      <c r="BZH132" s="531" t="e">
        <f t="shared" si="36"/>
        <v>#DIV/0!</v>
      </c>
      <c r="BZI132" s="531" t="e">
        <f t="shared" si="36"/>
        <v>#DIV/0!</v>
      </c>
      <c r="BZJ132" s="531" t="e">
        <f t="shared" si="36"/>
        <v>#DIV/0!</v>
      </c>
      <c r="BZK132" s="531" t="e">
        <f t="shared" si="36"/>
        <v>#DIV/0!</v>
      </c>
      <c r="BZL132" s="531" t="e">
        <f t="shared" si="36"/>
        <v>#DIV/0!</v>
      </c>
      <c r="BZM132" s="531" t="e">
        <f t="shared" si="36"/>
        <v>#DIV/0!</v>
      </c>
      <c r="BZN132" s="531" t="e">
        <f t="shared" si="36"/>
        <v>#DIV/0!</v>
      </c>
      <c r="BZO132" s="531" t="e">
        <f t="shared" si="36"/>
        <v>#DIV/0!</v>
      </c>
      <c r="BZP132" s="531" t="e">
        <f t="shared" si="36"/>
        <v>#DIV/0!</v>
      </c>
      <c r="BZQ132" s="531" t="e">
        <f t="shared" si="36"/>
        <v>#DIV/0!</v>
      </c>
      <c r="BZR132" s="531" t="e">
        <f t="shared" si="36"/>
        <v>#DIV/0!</v>
      </c>
      <c r="BZS132" s="531" t="e">
        <f t="shared" si="36"/>
        <v>#DIV/0!</v>
      </c>
      <c r="BZT132" s="531" t="e">
        <f t="shared" si="36"/>
        <v>#DIV/0!</v>
      </c>
      <c r="BZU132" s="531" t="e">
        <f t="shared" si="36"/>
        <v>#DIV/0!</v>
      </c>
      <c r="BZV132" s="531" t="e">
        <f t="shared" si="36"/>
        <v>#DIV/0!</v>
      </c>
      <c r="BZW132" s="531" t="e">
        <f t="shared" si="36"/>
        <v>#DIV/0!</v>
      </c>
      <c r="BZX132" s="531" t="e">
        <f t="shared" si="36"/>
        <v>#DIV/0!</v>
      </c>
      <c r="BZY132" s="531" t="e">
        <f t="shared" si="36"/>
        <v>#DIV/0!</v>
      </c>
      <c r="BZZ132" s="531" t="e">
        <f t="shared" si="36"/>
        <v>#DIV/0!</v>
      </c>
      <c r="CAA132" s="531" t="e">
        <f t="shared" ref="CAA132:CCL132" si="37">(CAA128-CAA116)/(CAA52*10^5)</f>
        <v>#DIV/0!</v>
      </c>
      <c r="CAB132" s="531" t="e">
        <f t="shared" si="37"/>
        <v>#DIV/0!</v>
      </c>
      <c r="CAC132" s="531" t="e">
        <f t="shared" si="37"/>
        <v>#DIV/0!</v>
      </c>
      <c r="CAD132" s="531" t="e">
        <f t="shared" si="37"/>
        <v>#DIV/0!</v>
      </c>
      <c r="CAE132" s="531" t="e">
        <f t="shared" si="37"/>
        <v>#DIV/0!</v>
      </c>
      <c r="CAF132" s="531" t="e">
        <f t="shared" si="37"/>
        <v>#DIV/0!</v>
      </c>
      <c r="CAG132" s="531" t="e">
        <f t="shared" si="37"/>
        <v>#DIV/0!</v>
      </c>
      <c r="CAH132" s="531" t="e">
        <f t="shared" si="37"/>
        <v>#DIV/0!</v>
      </c>
      <c r="CAI132" s="531" t="e">
        <f t="shared" si="37"/>
        <v>#DIV/0!</v>
      </c>
      <c r="CAJ132" s="531" t="e">
        <f t="shared" si="37"/>
        <v>#DIV/0!</v>
      </c>
      <c r="CAK132" s="531" t="e">
        <f t="shared" si="37"/>
        <v>#DIV/0!</v>
      </c>
      <c r="CAL132" s="531" t="e">
        <f t="shared" si="37"/>
        <v>#DIV/0!</v>
      </c>
      <c r="CAM132" s="531" t="e">
        <f t="shared" si="37"/>
        <v>#DIV/0!</v>
      </c>
      <c r="CAN132" s="531" t="e">
        <f t="shared" si="37"/>
        <v>#DIV/0!</v>
      </c>
      <c r="CAO132" s="531" t="e">
        <f t="shared" si="37"/>
        <v>#DIV/0!</v>
      </c>
      <c r="CAP132" s="531" t="e">
        <f t="shared" si="37"/>
        <v>#DIV/0!</v>
      </c>
      <c r="CAQ132" s="531" t="e">
        <f t="shared" si="37"/>
        <v>#DIV/0!</v>
      </c>
      <c r="CAR132" s="531" t="e">
        <f t="shared" si="37"/>
        <v>#DIV/0!</v>
      </c>
      <c r="CAS132" s="531" t="e">
        <f t="shared" si="37"/>
        <v>#DIV/0!</v>
      </c>
      <c r="CAT132" s="531" t="e">
        <f t="shared" si="37"/>
        <v>#DIV/0!</v>
      </c>
      <c r="CAU132" s="531" t="e">
        <f t="shared" si="37"/>
        <v>#DIV/0!</v>
      </c>
      <c r="CAV132" s="531" t="e">
        <f t="shared" si="37"/>
        <v>#DIV/0!</v>
      </c>
      <c r="CAW132" s="531" t="e">
        <f t="shared" si="37"/>
        <v>#DIV/0!</v>
      </c>
      <c r="CAX132" s="531" t="e">
        <f t="shared" si="37"/>
        <v>#DIV/0!</v>
      </c>
      <c r="CAY132" s="531" t="e">
        <f t="shared" si="37"/>
        <v>#DIV/0!</v>
      </c>
      <c r="CAZ132" s="531" t="e">
        <f t="shared" si="37"/>
        <v>#DIV/0!</v>
      </c>
      <c r="CBA132" s="531" t="e">
        <f t="shared" si="37"/>
        <v>#DIV/0!</v>
      </c>
      <c r="CBB132" s="531" t="e">
        <f t="shared" si="37"/>
        <v>#DIV/0!</v>
      </c>
      <c r="CBC132" s="531" t="e">
        <f t="shared" si="37"/>
        <v>#DIV/0!</v>
      </c>
      <c r="CBD132" s="531" t="e">
        <f t="shared" si="37"/>
        <v>#DIV/0!</v>
      </c>
      <c r="CBE132" s="531" t="e">
        <f t="shared" si="37"/>
        <v>#DIV/0!</v>
      </c>
      <c r="CBF132" s="531" t="e">
        <f t="shared" si="37"/>
        <v>#DIV/0!</v>
      </c>
      <c r="CBG132" s="531" t="e">
        <f t="shared" si="37"/>
        <v>#DIV/0!</v>
      </c>
      <c r="CBH132" s="531" t="e">
        <f t="shared" si="37"/>
        <v>#DIV/0!</v>
      </c>
      <c r="CBI132" s="531" t="e">
        <f t="shared" si="37"/>
        <v>#DIV/0!</v>
      </c>
      <c r="CBJ132" s="531" t="e">
        <f t="shared" si="37"/>
        <v>#DIV/0!</v>
      </c>
      <c r="CBK132" s="531" t="e">
        <f t="shared" si="37"/>
        <v>#DIV/0!</v>
      </c>
      <c r="CBL132" s="531" t="e">
        <f t="shared" si="37"/>
        <v>#DIV/0!</v>
      </c>
      <c r="CBM132" s="531" t="e">
        <f t="shared" si="37"/>
        <v>#DIV/0!</v>
      </c>
      <c r="CBN132" s="531" t="e">
        <f t="shared" si="37"/>
        <v>#DIV/0!</v>
      </c>
      <c r="CBO132" s="531" t="e">
        <f t="shared" si="37"/>
        <v>#DIV/0!</v>
      </c>
      <c r="CBP132" s="531" t="e">
        <f t="shared" si="37"/>
        <v>#DIV/0!</v>
      </c>
      <c r="CBQ132" s="531" t="e">
        <f t="shared" si="37"/>
        <v>#DIV/0!</v>
      </c>
      <c r="CBR132" s="531" t="e">
        <f t="shared" si="37"/>
        <v>#DIV/0!</v>
      </c>
      <c r="CBS132" s="531" t="e">
        <f t="shared" si="37"/>
        <v>#DIV/0!</v>
      </c>
      <c r="CBT132" s="531" t="e">
        <f t="shared" si="37"/>
        <v>#DIV/0!</v>
      </c>
      <c r="CBU132" s="531" t="e">
        <f t="shared" si="37"/>
        <v>#DIV/0!</v>
      </c>
      <c r="CBV132" s="531" t="e">
        <f t="shared" si="37"/>
        <v>#DIV/0!</v>
      </c>
      <c r="CBW132" s="531" t="e">
        <f t="shared" si="37"/>
        <v>#DIV/0!</v>
      </c>
      <c r="CBX132" s="531" t="e">
        <f t="shared" si="37"/>
        <v>#DIV/0!</v>
      </c>
      <c r="CBY132" s="531" t="e">
        <f t="shared" si="37"/>
        <v>#DIV/0!</v>
      </c>
      <c r="CBZ132" s="531" t="e">
        <f t="shared" si="37"/>
        <v>#DIV/0!</v>
      </c>
      <c r="CCA132" s="531" t="e">
        <f t="shared" si="37"/>
        <v>#DIV/0!</v>
      </c>
      <c r="CCB132" s="531" t="e">
        <f t="shared" si="37"/>
        <v>#DIV/0!</v>
      </c>
      <c r="CCC132" s="531" t="e">
        <f t="shared" si="37"/>
        <v>#DIV/0!</v>
      </c>
      <c r="CCD132" s="531" t="e">
        <f t="shared" si="37"/>
        <v>#DIV/0!</v>
      </c>
      <c r="CCE132" s="531" t="e">
        <f t="shared" si="37"/>
        <v>#DIV/0!</v>
      </c>
      <c r="CCF132" s="531" t="e">
        <f t="shared" si="37"/>
        <v>#DIV/0!</v>
      </c>
      <c r="CCG132" s="531" t="e">
        <f t="shared" si="37"/>
        <v>#DIV/0!</v>
      </c>
      <c r="CCH132" s="531" t="e">
        <f t="shared" si="37"/>
        <v>#DIV/0!</v>
      </c>
      <c r="CCI132" s="531" t="e">
        <f t="shared" si="37"/>
        <v>#DIV/0!</v>
      </c>
      <c r="CCJ132" s="531" t="e">
        <f t="shared" si="37"/>
        <v>#DIV/0!</v>
      </c>
      <c r="CCK132" s="531" t="e">
        <f t="shared" si="37"/>
        <v>#DIV/0!</v>
      </c>
      <c r="CCL132" s="531" t="e">
        <f t="shared" si="37"/>
        <v>#DIV/0!</v>
      </c>
      <c r="CCM132" s="531" t="e">
        <f t="shared" ref="CCM132:CEX132" si="38">(CCM128-CCM116)/(CCM52*10^5)</f>
        <v>#DIV/0!</v>
      </c>
      <c r="CCN132" s="531" t="e">
        <f t="shared" si="38"/>
        <v>#DIV/0!</v>
      </c>
      <c r="CCO132" s="531" t="e">
        <f t="shared" si="38"/>
        <v>#DIV/0!</v>
      </c>
      <c r="CCP132" s="531" t="e">
        <f t="shared" si="38"/>
        <v>#DIV/0!</v>
      </c>
      <c r="CCQ132" s="531" t="e">
        <f t="shared" si="38"/>
        <v>#DIV/0!</v>
      </c>
      <c r="CCR132" s="531" t="e">
        <f t="shared" si="38"/>
        <v>#DIV/0!</v>
      </c>
      <c r="CCS132" s="531" t="e">
        <f t="shared" si="38"/>
        <v>#DIV/0!</v>
      </c>
      <c r="CCT132" s="531" t="e">
        <f t="shared" si="38"/>
        <v>#DIV/0!</v>
      </c>
      <c r="CCU132" s="531" t="e">
        <f t="shared" si="38"/>
        <v>#DIV/0!</v>
      </c>
      <c r="CCV132" s="531" t="e">
        <f t="shared" si="38"/>
        <v>#DIV/0!</v>
      </c>
      <c r="CCW132" s="531" t="e">
        <f t="shared" si="38"/>
        <v>#DIV/0!</v>
      </c>
      <c r="CCX132" s="531" t="e">
        <f t="shared" si="38"/>
        <v>#DIV/0!</v>
      </c>
      <c r="CCY132" s="531" t="e">
        <f t="shared" si="38"/>
        <v>#DIV/0!</v>
      </c>
      <c r="CCZ132" s="531" t="e">
        <f t="shared" si="38"/>
        <v>#DIV/0!</v>
      </c>
      <c r="CDA132" s="531" t="e">
        <f t="shared" si="38"/>
        <v>#DIV/0!</v>
      </c>
      <c r="CDB132" s="531" t="e">
        <f t="shared" si="38"/>
        <v>#DIV/0!</v>
      </c>
      <c r="CDC132" s="531" t="e">
        <f t="shared" si="38"/>
        <v>#DIV/0!</v>
      </c>
      <c r="CDD132" s="531" t="e">
        <f t="shared" si="38"/>
        <v>#DIV/0!</v>
      </c>
      <c r="CDE132" s="531" t="e">
        <f t="shared" si="38"/>
        <v>#DIV/0!</v>
      </c>
      <c r="CDF132" s="531" t="e">
        <f t="shared" si="38"/>
        <v>#DIV/0!</v>
      </c>
      <c r="CDG132" s="531" t="e">
        <f t="shared" si="38"/>
        <v>#DIV/0!</v>
      </c>
      <c r="CDH132" s="531" t="e">
        <f t="shared" si="38"/>
        <v>#DIV/0!</v>
      </c>
      <c r="CDI132" s="531" t="e">
        <f t="shared" si="38"/>
        <v>#DIV/0!</v>
      </c>
      <c r="CDJ132" s="531" t="e">
        <f t="shared" si="38"/>
        <v>#DIV/0!</v>
      </c>
      <c r="CDK132" s="531" t="e">
        <f t="shared" si="38"/>
        <v>#DIV/0!</v>
      </c>
      <c r="CDL132" s="531" t="e">
        <f t="shared" si="38"/>
        <v>#DIV/0!</v>
      </c>
      <c r="CDM132" s="531" t="e">
        <f t="shared" si="38"/>
        <v>#DIV/0!</v>
      </c>
      <c r="CDN132" s="531" t="e">
        <f t="shared" si="38"/>
        <v>#DIV/0!</v>
      </c>
      <c r="CDO132" s="531" t="e">
        <f t="shared" si="38"/>
        <v>#DIV/0!</v>
      </c>
      <c r="CDP132" s="531" t="e">
        <f t="shared" si="38"/>
        <v>#DIV/0!</v>
      </c>
      <c r="CDQ132" s="531" t="e">
        <f t="shared" si="38"/>
        <v>#DIV/0!</v>
      </c>
      <c r="CDR132" s="531" t="e">
        <f t="shared" si="38"/>
        <v>#DIV/0!</v>
      </c>
      <c r="CDS132" s="531" t="e">
        <f t="shared" si="38"/>
        <v>#DIV/0!</v>
      </c>
      <c r="CDT132" s="531" t="e">
        <f t="shared" si="38"/>
        <v>#DIV/0!</v>
      </c>
      <c r="CDU132" s="531" t="e">
        <f t="shared" si="38"/>
        <v>#DIV/0!</v>
      </c>
      <c r="CDV132" s="531" t="e">
        <f t="shared" si="38"/>
        <v>#DIV/0!</v>
      </c>
      <c r="CDW132" s="531" t="e">
        <f t="shared" si="38"/>
        <v>#DIV/0!</v>
      </c>
      <c r="CDX132" s="531" t="e">
        <f t="shared" si="38"/>
        <v>#DIV/0!</v>
      </c>
      <c r="CDY132" s="531" t="e">
        <f t="shared" si="38"/>
        <v>#DIV/0!</v>
      </c>
      <c r="CDZ132" s="531" t="e">
        <f t="shared" si="38"/>
        <v>#DIV/0!</v>
      </c>
      <c r="CEA132" s="531" t="e">
        <f t="shared" si="38"/>
        <v>#DIV/0!</v>
      </c>
      <c r="CEB132" s="531" t="e">
        <f t="shared" si="38"/>
        <v>#DIV/0!</v>
      </c>
      <c r="CEC132" s="531" t="e">
        <f t="shared" si="38"/>
        <v>#DIV/0!</v>
      </c>
      <c r="CED132" s="531" t="e">
        <f t="shared" si="38"/>
        <v>#DIV/0!</v>
      </c>
      <c r="CEE132" s="531" t="e">
        <f t="shared" si="38"/>
        <v>#DIV/0!</v>
      </c>
      <c r="CEF132" s="531" t="e">
        <f t="shared" si="38"/>
        <v>#DIV/0!</v>
      </c>
      <c r="CEG132" s="531" t="e">
        <f t="shared" si="38"/>
        <v>#DIV/0!</v>
      </c>
      <c r="CEH132" s="531" t="e">
        <f t="shared" si="38"/>
        <v>#DIV/0!</v>
      </c>
      <c r="CEI132" s="531" t="e">
        <f t="shared" si="38"/>
        <v>#DIV/0!</v>
      </c>
      <c r="CEJ132" s="531" t="e">
        <f t="shared" si="38"/>
        <v>#DIV/0!</v>
      </c>
      <c r="CEK132" s="531" t="e">
        <f t="shared" si="38"/>
        <v>#DIV/0!</v>
      </c>
      <c r="CEL132" s="531" t="e">
        <f t="shared" si="38"/>
        <v>#DIV/0!</v>
      </c>
      <c r="CEM132" s="531" t="e">
        <f t="shared" si="38"/>
        <v>#DIV/0!</v>
      </c>
      <c r="CEN132" s="531" t="e">
        <f t="shared" si="38"/>
        <v>#DIV/0!</v>
      </c>
      <c r="CEO132" s="531" t="e">
        <f t="shared" si="38"/>
        <v>#DIV/0!</v>
      </c>
      <c r="CEP132" s="531" t="e">
        <f t="shared" si="38"/>
        <v>#DIV/0!</v>
      </c>
      <c r="CEQ132" s="531" t="e">
        <f t="shared" si="38"/>
        <v>#DIV/0!</v>
      </c>
      <c r="CER132" s="531" t="e">
        <f t="shared" si="38"/>
        <v>#DIV/0!</v>
      </c>
      <c r="CES132" s="531" t="e">
        <f t="shared" si="38"/>
        <v>#DIV/0!</v>
      </c>
      <c r="CET132" s="531" t="e">
        <f t="shared" si="38"/>
        <v>#DIV/0!</v>
      </c>
      <c r="CEU132" s="531" t="e">
        <f t="shared" si="38"/>
        <v>#DIV/0!</v>
      </c>
      <c r="CEV132" s="531" t="e">
        <f t="shared" si="38"/>
        <v>#DIV/0!</v>
      </c>
      <c r="CEW132" s="531" t="e">
        <f t="shared" si="38"/>
        <v>#DIV/0!</v>
      </c>
      <c r="CEX132" s="531" t="e">
        <f t="shared" si="38"/>
        <v>#DIV/0!</v>
      </c>
      <c r="CEY132" s="531" t="e">
        <f t="shared" ref="CEY132:CHJ132" si="39">(CEY128-CEY116)/(CEY52*10^5)</f>
        <v>#DIV/0!</v>
      </c>
      <c r="CEZ132" s="531" t="e">
        <f t="shared" si="39"/>
        <v>#DIV/0!</v>
      </c>
      <c r="CFA132" s="531" t="e">
        <f t="shared" si="39"/>
        <v>#DIV/0!</v>
      </c>
      <c r="CFB132" s="531" t="e">
        <f t="shared" si="39"/>
        <v>#DIV/0!</v>
      </c>
      <c r="CFC132" s="531" t="e">
        <f t="shared" si="39"/>
        <v>#DIV/0!</v>
      </c>
      <c r="CFD132" s="531" t="e">
        <f t="shared" si="39"/>
        <v>#DIV/0!</v>
      </c>
      <c r="CFE132" s="531" t="e">
        <f t="shared" si="39"/>
        <v>#DIV/0!</v>
      </c>
      <c r="CFF132" s="531" t="e">
        <f t="shared" si="39"/>
        <v>#DIV/0!</v>
      </c>
      <c r="CFG132" s="531" t="e">
        <f t="shared" si="39"/>
        <v>#DIV/0!</v>
      </c>
      <c r="CFH132" s="531" t="e">
        <f t="shared" si="39"/>
        <v>#DIV/0!</v>
      </c>
      <c r="CFI132" s="531" t="e">
        <f t="shared" si="39"/>
        <v>#DIV/0!</v>
      </c>
      <c r="CFJ132" s="531" t="e">
        <f t="shared" si="39"/>
        <v>#DIV/0!</v>
      </c>
      <c r="CFK132" s="531" t="e">
        <f t="shared" si="39"/>
        <v>#DIV/0!</v>
      </c>
      <c r="CFL132" s="531" t="e">
        <f t="shared" si="39"/>
        <v>#DIV/0!</v>
      </c>
      <c r="CFM132" s="531" t="e">
        <f t="shared" si="39"/>
        <v>#DIV/0!</v>
      </c>
      <c r="CFN132" s="531" t="e">
        <f t="shared" si="39"/>
        <v>#DIV/0!</v>
      </c>
      <c r="CFO132" s="531" t="e">
        <f t="shared" si="39"/>
        <v>#DIV/0!</v>
      </c>
      <c r="CFP132" s="531" t="e">
        <f t="shared" si="39"/>
        <v>#DIV/0!</v>
      </c>
      <c r="CFQ132" s="531" t="e">
        <f t="shared" si="39"/>
        <v>#DIV/0!</v>
      </c>
      <c r="CFR132" s="531" t="e">
        <f t="shared" si="39"/>
        <v>#DIV/0!</v>
      </c>
      <c r="CFS132" s="531" t="e">
        <f t="shared" si="39"/>
        <v>#DIV/0!</v>
      </c>
      <c r="CFT132" s="531" t="e">
        <f t="shared" si="39"/>
        <v>#DIV/0!</v>
      </c>
      <c r="CFU132" s="531" t="e">
        <f t="shared" si="39"/>
        <v>#DIV/0!</v>
      </c>
      <c r="CFV132" s="531" t="e">
        <f t="shared" si="39"/>
        <v>#DIV/0!</v>
      </c>
      <c r="CFW132" s="531" t="e">
        <f t="shared" si="39"/>
        <v>#DIV/0!</v>
      </c>
      <c r="CFX132" s="531" t="e">
        <f t="shared" si="39"/>
        <v>#DIV/0!</v>
      </c>
      <c r="CFY132" s="531" t="e">
        <f t="shared" si="39"/>
        <v>#DIV/0!</v>
      </c>
      <c r="CFZ132" s="531" t="e">
        <f t="shared" si="39"/>
        <v>#DIV/0!</v>
      </c>
      <c r="CGA132" s="531" t="e">
        <f t="shared" si="39"/>
        <v>#DIV/0!</v>
      </c>
      <c r="CGB132" s="531" t="e">
        <f t="shared" si="39"/>
        <v>#DIV/0!</v>
      </c>
      <c r="CGC132" s="531" t="e">
        <f t="shared" si="39"/>
        <v>#DIV/0!</v>
      </c>
      <c r="CGD132" s="531" t="e">
        <f t="shared" si="39"/>
        <v>#DIV/0!</v>
      </c>
      <c r="CGE132" s="531" t="e">
        <f t="shared" si="39"/>
        <v>#DIV/0!</v>
      </c>
      <c r="CGF132" s="531" t="e">
        <f t="shared" si="39"/>
        <v>#DIV/0!</v>
      </c>
      <c r="CGG132" s="531" t="e">
        <f t="shared" si="39"/>
        <v>#DIV/0!</v>
      </c>
      <c r="CGH132" s="531" t="e">
        <f t="shared" si="39"/>
        <v>#DIV/0!</v>
      </c>
      <c r="CGI132" s="531" t="e">
        <f t="shared" si="39"/>
        <v>#DIV/0!</v>
      </c>
      <c r="CGJ132" s="531" t="e">
        <f t="shared" si="39"/>
        <v>#DIV/0!</v>
      </c>
      <c r="CGK132" s="531" t="e">
        <f t="shared" si="39"/>
        <v>#DIV/0!</v>
      </c>
      <c r="CGL132" s="531" t="e">
        <f t="shared" si="39"/>
        <v>#DIV/0!</v>
      </c>
      <c r="CGM132" s="531" t="e">
        <f t="shared" si="39"/>
        <v>#DIV/0!</v>
      </c>
      <c r="CGN132" s="531" t="e">
        <f t="shared" si="39"/>
        <v>#DIV/0!</v>
      </c>
      <c r="CGO132" s="531" t="e">
        <f t="shared" si="39"/>
        <v>#DIV/0!</v>
      </c>
      <c r="CGP132" s="531" t="e">
        <f t="shared" si="39"/>
        <v>#DIV/0!</v>
      </c>
      <c r="CGQ132" s="531" t="e">
        <f t="shared" si="39"/>
        <v>#DIV/0!</v>
      </c>
      <c r="CGR132" s="531" t="e">
        <f t="shared" si="39"/>
        <v>#DIV/0!</v>
      </c>
      <c r="CGS132" s="531" t="e">
        <f t="shared" si="39"/>
        <v>#DIV/0!</v>
      </c>
      <c r="CGT132" s="531" t="e">
        <f t="shared" si="39"/>
        <v>#DIV/0!</v>
      </c>
      <c r="CGU132" s="531" t="e">
        <f t="shared" si="39"/>
        <v>#DIV/0!</v>
      </c>
      <c r="CGV132" s="531" t="e">
        <f t="shared" si="39"/>
        <v>#DIV/0!</v>
      </c>
      <c r="CGW132" s="531" t="e">
        <f t="shared" si="39"/>
        <v>#DIV/0!</v>
      </c>
      <c r="CGX132" s="531" t="e">
        <f t="shared" si="39"/>
        <v>#DIV/0!</v>
      </c>
      <c r="CGY132" s="531" t="e">
        <f t="shared" si="39"/>
        <v>#DIV/0!</v>
      </c>
      <c r="CGZ132" s="531" t="e">
        <f t="shared" si="39"/>
        <v>#DIV/0!</v>
      </c>
      <c r="CHA132" s="531" t="e">
        <f t="shared" si="39"/>
        <v>#DIV/0!</v>
      </c>
      <c r="CHB132" s="531" t="e">
        <f t="shared" si="39"/>
        <v>#DIV/0!</v>
      </c>
      <c r="CHC132" s="531" t="e">
        <f t="shared" si="39"/>
        <v>#DIV/0!</v>
      </c>
      <c r="CHD132" s="531" t="e">
        <f t="shared" si="39"/>
        <v>#DIV/0!</v>
      </c>
      <c r="CHE132" s="531" t="e">
        <f t="shared" si="39"/>
        <v>#DIV/0!</v>
      </c>
      <c r="CHF132" s="531" t="e">
        <f t="shared" si="39"/>
        <v>#DIV/0!</v>
      </c>
      <c r="CHG132" s="531" t="e">
        <f t="shared" si="39"/>
        <v>#DIV/0!</v>
      </c>
      <c r="CHH132" s="531" t="e">
        <f t="shared" si="39"/>
        <v>#DIV/0!</v>
      </c>
      <c r="CHI132" s="531" t="e">
        <f t="shared" si="39"/>
        <v>#DIV/0!</v>
      </c>
      <c r="CHJ132" s="531" t="e">
        <f t="shared" si="39"/>
        <v>#DIV/0!</v>
      </c>
      <c r="CHK132" s="531" t="e">
        <f t="shared" ref="CHK132:CJV132" si="40">(CHK128-CHK116)/(CHK52*10^5)</f>
        <v>#DIV/0!</v>
      </c>
      <c r="CHL132" s="531" t="e">
        <f t="shared" si="40"/>
        <v>#DIV/0!</v>
      </c>
      <c r="CHM132" s="531" t="e">
        <f t="shared" si="40"/>
        <v>#DIV/0!</v>
      </c>
      <c r="CHN132" s="531" t="e">
        <f t="shared" si="40"/>
        <v>#DIV/0!</v>
      </c>
      <c r="CHO132" s="531" t="e">
        <f t="shared" si="40"/>
        <v>#DIV/0!</v>
      </c>
      <c r="CHP132" s="531" t="e">
        <f t="shared" si="40"/>
        <v>#DIV/0!</v>
      </c>
      <c r="CHQ132" s="531" t="e">
        <f t="shared" si="40"/>
        <v>#DIV/0!</v>
      </c>
      <c r="CHR132" s="531" t="e">
        <f t="shared" si="40"/>
        <v>#DIV/0!</v>
      </c>
      <c r="CHS132" s="531" t="e">
        <f t="shared" si="40"/>
        <v>#DIV/0!</v>
      </c>
      <c r="CHT132" s="531" t="e">
        <f t="shared" si="40"/>
        <v>#DIV/0!</v>
      </c>
      <c r="CHU132" s="531" t="e">
        <f t="shared" si="40"/>
        <v>#DIV/0!</v>
      </c>
      <c r="CHV132" s="531" t="e">
        <f t="shared" si="40"/>
        <v>#DIV/0!</v>
      </c>
      <c r="CHW132" s="531" t="e">
        <f t="shared" si="40"/>
        <v>#DIV/0!</v>
      </c>
      <c r="CHX132" s="531" t="e">
        <f t="shared" si="40"/>
        <v>#DIV/0!</v>
      </c>
      <c r="CHY132" s="531" t="e">
        <f t="shared" si="40"/>
        <v>#DIV/0!</v>
      </c>
      <c r="CHZ132" s="531" t="e">
        <f t="shared" si="40"/>
        <v>#DIV/0!</v>
      </c>
      <c r="CIA132" s="531" t="e">
        <f t="shared" si="40"/>
        <v>#DIV/0!</v>
      </c>
      <c r="CIB132" s="531" t="e">
        <f t="shared" si="40"/>
        <v>#DIV/0!</v>
      </c>
      <c r="CIC132" s="531" t="e">
        <f t="shared" si="40"/>
        <v>#DIV/0!</v>
      </c>
      <c r="CID132" s="531" t="e">
        <f t="shared" si="40"/>
        <v>#DIV/0!</v>
      </c>
      <c r="CIE132" s="531" t="e">
        <f t="shared" si="40"/>
        <v>#DIV/0!</v>
      </c>
      <c r="CIF132" s="531" t="e">
        <f t="shared" si="40"/>
        <v>#DIV/0!</v>
      </c>
      <c r="CIG132" s="531" t="e">
        <f t="shared" si="40"/>
        <v>#DIV/0!</v>
      </c>
      <c r="CIH132" s="531" t="e">
        <f t="shared" si="40"/>
        <v>#DIV/0!</v>
      </c>
      <c r="CII132" s="531" t="e">
        <f t="shared" si="40"/>
        <v>#DIV/0!</v>
      </c>
      <c r="CIJ132" s="531" t="e">
        <f t="shared" si="40"/>
        <v>#DIV/0!</v>
      </c>
      <c r="CIK132" s="531" t="e">
        <f t="shared" si="40"/>
        <v>#DIV/0!</v>
      </c>
      <c r="CIL132" s="531" t="e">
        <f t="shared" si="40"/>
        <v>#DIV/0!</v>
      </c>
      <c r="CIM132" s="531" t="e">
        <f t="shared" si="40"/>
        <v>#DIV/0!</v>
      </c>
      <c r="CIN132" s="531" t="e">
        <f t="shared" si="40"/>
        <v>#DIV/0!</v>
      </c>
      <c r="CIO132" s="531" t="e">
        <f t="shared" si="40"/>
        <v>#DIV/0!</v>
      </c>
      <c r="CIP132" s="531" t="e">
        <f t="shared" si="40"/>
        <v>#DIV/0!</v>
      </c>
      <c r="CIQ132" s="531" t="e">
        <f t="shared" si="40"/>
        <v>#DIV/0!</v>
      </c>
      <c r="CIR132" s="531" t="e">
        <f t="shared" si="40"/>
        <v>#DIV/0!</v>
      </c>
      <c r="CIS132" s="531" t="e">
        <f t="shared" si="40"/>
        <v>#DIV/0!</v>
      </c>
      <c r="CIT132" s="531" t="e">
        <f t="shared" si="40"/>
        <v>#DIV/0!</v>
      </c>
      <c r="CIU132" s="531" t="e">
        <f t="shared" si="40"/>
        <v>#DIV/0!</v>
      </c>
      <c r="CIV132" s="531" t="e">
        <f t="shared" si="40"/>
        <v>#DIV/0!</v>
      </c>
      <c r="CIW132" s="531" t="e">
        <f t="shared" si="40"/>
        <v>#DIV/0!</v>
      </c>
      <c r="CIX132" s="531" t="e">
        <f t="shared" si="40"/>
        <v>#DIV/0!</v>
      </c>
      <c r="CIY132" s="531" t="e">
        <f t="shared" si="40"/>
        <v>#DIV/0!</v>
      </c>
      <c r="CIZ132" s="531" t="e">
        <f t="shared" si="40"/>
        <v>#DIV/0!</v>
      </c>
      <c r="CJA132" s="531" t="e">
        <f t="shared" si="40"/>
        <v>#DIV/0!</v>
      </c>
      <c r="CJB132" s="531" t="e">
        <f t="shared" si="40"/>
        <v>#DIV/0!</v>
      </c>
      <c r="CJC132" s="531" t="e">
        <f t="shared" si="40"/>
        <v>#DIV/0!</v>
      </c>
      <c r="CJD132" s="531" t="e">
        <f t="shared" si="40"/>
        <v>#DIV/0!</v>
      </c>
      <c r="CJE132" s="531" t="e">
        <f t="shared" si="40"/>
        <v>#DIV/0!</v>
      </c>
      <c r="CJF132" s="531" t="e">
        <f t="shared" si="40"/>
        <v>#DIV/0!</v>
      </c>
      <c r="CJG132" s="531" t="e">
        <f t="shared" si="40"/>
        <v>#DIV/0!</v>
      </c>
      <c r="CJH132" s="531" t="e">
        <f t="shared" si="40"/>
        <v>#DIV/0!</v>
      </c>
      <c r="CJI132" s="531" t="e">
        <f t="shared" si="40"/>
        <v>#DIV/0!</v>
      </c>
      <c r="CJJ132" s="531" t="e">
        <f t="shared" si="40"/>
        <v>#DIV/0!</v>
      </c>
      <c r="CJK132" s="531" t="e">
        <f t="shared" si="40"/>
        <v>#DIV/0!</v>
      </c>
      <c r="CJL132" s="531" t="e">
        <f t="shared" si="40"/>
        <v>#DIV/0!</v>
      </c>
      <c r="CJM132" s="531" t="e">
        <f t="shared" si="40"/>
        <v>#DIV/0!</v>
      </c>
      <c r="CJN132" s="531" t="e">
        <f t="shared" si="40"/>
        <v>#DIV/0!</v>
      </c>
      <c r="CJO132" s="531" t="e">
        <f t="shared" si="40"/>
        <v>#DIV/0!</v>
      </c>
      <c r="CJP132" s="531" t="e">
        <f t="shared" si="40"/>
        <v>#DIV/0!</v>
      </c>
      <c r="CJQ132" s="531" t="e">
        <f t="shared" si="40"/>
        <v>#DIV/0!</v>
      </c>
      <c r="CJR132" s="531" t="e">
        <f t="shared" si="40"/>
        <v>#DIV/0!</v>
      </c>
      <c r="CJS132" s="531" t="e">
        <f t="shared" si="40"/>
        <v>#DIV/0!</v>
      </c>
      <c r="CJT132" s="531" t="e">
        <f t="shared" si="40"/>
        <v>#DIV/0!</v>
      </c>
      <c r="CJU132" s="531" t="e">
        <f t="shared" si="40"/>
        <v>#DIV/0!</v>
      </c>
      <c r="CJV132" s="531" t="e">
        <f t="shared" si="40"/>
        <v>#DIV/0!</v>
      </c>
      <c r="CJW132" s="531" t="e">
        <f t="shared" ref="CJW132:CMH132" si="41">(CJW128-CJW116)/(CJW52*10^5)</f>
        <v>#DIV/0!</v>
      </c>
      <c r="CJX132" s="531" t="e">
        <f t="shared" si="41"/>
        <v>#DIV/0!</v>
      </c>
      <c r="CJY132" s="531" t="e">
        <f t="shared" si="41"/>
        <v>#DIV/0!</v>
      </c>
      <c r="CJZ132" s="531" t="e">
        <f t="shared" si="41"/>
        <v>#DIV/0!</v>
      </c>
      <c r="CKA132" s="531" t="e">
        <f t="shared" si="41"/>
        <v>#DIV/0!</v>
      </c>
      <c r="CKB132" s="531" t="e">
        <f t="shared" si="41"/>
        <v>#DIV/0!</v>
      </c>
      <c r="CKC132" s="531" t="e">
        <f t="shared" si="41"/>
        <v>#DIV/0!</v>
      </c>
      <c r="CKD132" s="531" t="e">
        <f t="shared" si="41"/>
        <v>#DIV/0!</v>
      </c>
      <c r="CKE132" s="531" t="e">
        <f t="shared" si="41"/>
        <v>#DIV/0!</v>
      </c>
      <c r="CKF132" s="531" t="e">
        <f t="shared" si="41"/>
        <v>#DIV/0!</v>
      </c>
      <c r="CKG132" s="531" t="e">
        <f t="shared" si="41"/>
        <v>#DIV/0!</v>
      </c>
      <c r="CKH132" s="531" t="e">
        <f t="shared" si="41"/>
        <v>#DIV/0!</v>
      </c>
      <c r="CKI132" s="531" t="e">
        <f t="shared" si="41"/>
        <v>#DIV/0!</v>
      </c>
      <c r="CKJ132" s="531" t="e">
        <f t="shared" si="41"/>
        <v>#DIV/0!</v>
      </c>
      <c r="CKK132" s="531" t="e">
        <f t="shared" si="41"/>
        <v>#DIV/0!</v>
      </c>
      <c r="CKL132" s="531" t="e">
        <f t="shared" si="41"/>
        <v>#DIV/0!</v>
      </c>
      <c r="CKM132" s="531" t="e">
        <f t="shared" si="41"/>
        <v>#DIV/0!</v>
      </c>
      <c r="CKN132" s="531" t="e">
        <f t="shared" si="41"/>
        <v>#DIV/0!</v>
      </c>
      <c r="CKO132" s="531" t="e">
        <f t="shared" si="41"/>
        <v>#DIV/0!</v>
      </c>
      <c r="CKP132" s="531" t="e">
        <f t="shared" si="41"/>
        <v>#DIV/0!</v>
      </c>
      <c r="CKQ132" s="531" t="e">
        <f t="shared" si="41"/>
        <v>#DIV/0!</v>
      </c>
      <c r="CKR132" s="531" t="e">
        <f t="shared" si="41"/>
        <v>#DIV/0!</v>
      </c>
      <c r="CKS132" s="531" t="e">
        <f t="shared" si="41"/>
        <v>#DIV/0!</v>
      </c>
      <c r="CKT132" s="531" t="e">
        <f t="shared" si="41"/>
        <v>#DIV/0!</v>
      </c>
      <c r="CKU132" s="531" t="e">
        <f t="shared" si="41"/>
        <v>#DIV/0!</v>
      </c>
      <c r="CKV132" s="531" t="e">
        <f t="shared" si="41"/>
        <v>#DIV/0!</v>
      </c>
      <c r="CKW132" s="531" t="e">
        <f t="shared" si="41"/>
        <v>#DIV/0!</v>
      </c>
      <c r="CKX132" s="531" t="e">
        <f t="shared" si="41"/>
        <v>#DIV/0!</v>
      </c>
      <c r="CKY132" s="531" t="e">
        <f t="shared" si="41"/>
        <v>#DIV/0!</v>
      </c>
      <c r="CKZ132" s="531" t="e">
        <f t="shared" si="41"/>
        <v>#DIV/0!</v>
      </c>
      <c r="CLA132" s="531" t="e">
        <f t="shared" si="41"/>
        <v>#DIV/0!</v>
      </c>
      <c r="CLB132" s="531" t="e">
        <f t="shared" si="41"/>
        <v>#DIV/0!</v>
      </c>
      <c r="CLC132" s="531" t="e">
        <f t="shared" si="41"/>
        <v>#DIV/0!</v>
      </c>
      <c r="CLD132" s="531" t="e">
        <f t="shared" si="41"/>
        <v>#DIV/0!</v>
      </c>
      <c r="CLE132" s="531" t="e">
        <f t="shared" si="41"/>
        <v>#DIV/0!</v>
      </c>
      <c r="CLF132" s="531" t="e">
        <f t="shared" si="41"/>
        <v>#DIV/0!</v>
      </c>
      <c r="CLG132" s="531" t="e">
        <f t="shared" si="41"/>
        <v>#DIV/0!</v>
      </c>
      <c r="CLH132" s="531" t="e">
        <f t="shared" si="41"/>
        <v>#DIV/0!</v>
      </c>
      <c r="CLI132" s="531" t="e">
        <f t="shared" si="41"/>
        <v>#DIV/0!</v>
      </c>
      <c r="CLJ132" s="531" t="e">
        <f t="shared" si="41"/>
        <v>#DIV/0!</v>
      </c>
      <c r="CLK132" s="531" t="e">
        <f t="shared" si="41"/>
        <v>#DIV/0!</v>
      </c>
      <c r="CLL132" s="531" t="e">
        <f t="shared" si="41"/>
        <v>#DIV/0!</v>
      </c>
      <c r="CLM132" s="531" t="e">
        <f t="shared" si="41"/>
        <v>#DIV/0!</v>
      </c>
      <c r="CLN132" s="531" t="e">
        <f t="shared" si="41"/>
        <v>#DIV/0!</v>
      </c>
      <c r="CLO132" s="531" t="e">
        <f t="shared" si="41"/>
        <v>#DIV/0!</v>
      </c>
      <c r="CLP132" s="531" t="e">
        <f t="shared" si="41"/>
        <v>#DIV/0!</v>
      </c>
      <c r="CLQ132" s="531" t="e">
        <f t="shared" si="41"/>
        <v>#DIV/0!</v>
      </c>
      <c r="CLR132" s="531" t="e">
        <f t="shared" si="41"/>
        <v>#DIV/0!</v>
      </c>
      <c r="CLS132" s="531" t="e">
        <f t="shared" si="41"/>
        <v>#DIV/0!</v>
      </c>
      <c r="CLT132" s="531" t="e">
        <f t="shared" si="41"/>
        <v>#DIV/0!</v>
      </c>
      <c r="CLU132" s="531" t="e">
        <f t="shared" si="41"/>
        <v>#DIV/0!</v>
      </c>
      <c r="CLV132" s="531" t="e">
        <f t="shared" si="41"/>
        <v>#DIV/0!</v>
      </c>
      <c r="CLW132" s="531" t="e">
        <f t="shared" si="41"/>
        <v>#DIV/0!</v>
      </c>
      <c r="CLX132" s="531" t="e">
        <f t="shared" si="41"/>
        <v>#DIV/0!</v>
      </c>
      <c r="CLY132" s="531" t="e">
        <f t="shared" si="41"/>
        <v>#DIV/0!</v>
      </c>
      <c r="CLZ132" s="531" t="e">
        <f t="shared" si="41"/>
        <v>#DIV/0!</v>
      </c>
      <c r="CMA132" s="531" t="e">
        <f t="shared" si="41"/>
        <v>#DIV/0!</v>
      </c>
      <c r="CMB132" s="531" t="e">
        <f t="shared" si="41"/>
        <v>#DIV/0!</v>
      </c>
      <c r="CMC132" s="531" t="e">
        <f t="shared" si="41"/>
        <v>#DIV/0!</v>
      </c>
      <c r="CMD132" s="531" t="e">
        <f t="shared" si="41"/>
        <v>#DIV/0!</v>
      </c>
      <c r="CME132" s="531" t="e">
        <f t="shared" si="41"/>
        <v>#DIV/0!</v>
      </c>
      <c r="CMF132" s="531" t="e">
        <f t="shared" si="41"/>
        <v>#DIV/0!</v>
      </c>
      <c r="CMG132" s="531" t="e">
        <f t="shared" si="41"/>
        <v>#DIV/0!</v>
      </c>
      <c r="CMH132" s="531" t="e">
        <f t="shared" si="41"/>
        <v>#DIV/0!</v>
      </c>
      <c r="CMI132" s="531" t="e">
        <f t="shared" ref="CMI132:COT132" si="42">(CMI128-CMI116)/(CMI52*10^5)</f>
        <v>#DIV/0!</v>
      </c>
      <c r="CMJ132" s="531" t="e">
        <f t="shared" si="42"/>
        <v>#DIV/0!</v>
      </c>
      <c r="CMK132" s="531" t="e">
        <f t="shared" si="42"/>
        <v>#DIV/0!</v>
      </c>
      <c r="CML132" s="531" t="e">
        <f t="shared" si="42"/>
        <v>#DIV/0!</v>
      </c>
      <c r="CMM132" s="531" t="e">
        <f t="shared" si="42"/>
        <v>#DIV/0!</v>
      </c>
      <c r="CMN132" s="531" t="e">
        <f t="shared" si="42"/>
        <v>#DIV/0!</v>
      </c>
      <c r="CMO132" s="531" t="e">
        <f t="shared" si="42"/>
        <v>#DIV/0!</v>
      </c>
      <c r="CMP132" s="531" t="e">
        <f t="shared" si="42"/>
        <v>#DIV/0!</v>
      </c>
      <c r="CMQ132" s="531" t="e">
        <f t="shared" si="42"/>
        <v>#DIV/0!</v>
      </c>
      <c r="CMR132" s="531" t="e">
        <f t="shared" si="42"/>
        <v>#DIV/0!</v>
      </c>
      <c r="CMS132" s="531" t="e">
        <f t="shared" si="42"/>
        <v>#DIV/0!</v>
      </c>
      <c r="CMT132" s="531" t="e">
        <f t="shared" si="42"/>
        <v>#DIV/0!</v>
      </c>
      <c r="CMU132" s="531" t="e">
        <f t="shared" si="42"/>
        <v>#DIV/0!</v>
      </c>
      <c r="CMV132" s="531" t="e">
        <f t="shared" si="42"/>
        <v>#DIV/0!</v>
      </c>
      <c r="CMW132" s="531" t="e">
        <f t="shared" si="42"/>
        <v>#DIV/0!</v>
      </c>
      <c r="CMX132" s="531" t="e">
        <f t="shared" si="42"/>
        <v>#DIV/0!</v>
      </c>
      <c r="CMY132" s="531" t="e">
        <f t="shared" si="42"/>
        <v>#DIV/0!</v>
      </c>
      <c r="CMZ132" s="531" t="e">
        <f t="shared" si="42"/>
        <v>#DIV/0!</v>
      </c>
      <c r="CNA132" s="531" t="e">
        <f t="shared" si="42"/>
        <v>#DIV/0!</v>
      </c>
      <c r="CNB132" s="531" t="e">
        <f t="shared" si="42"/>
        <v>#DIV/0!</v>
      </c>
      <c r="CNC132" s="531" t="e">
        <f t="shared" si="42"/>
        <v>#DIV/0!</v>
      </c>
      <c r="CND132" s="531" t="e">
        <f t="shared" si="42"/>
        <v>#DIV/0!</v>
      </c>
      <c r="CNE132" s="531" t="e">
        <f t="shared" si="42"/>
        <v>#DIV/0!</v>
      </c>
      <c r="CNF132" s="531" t="e">
        <f t="shared" si="42"/>
        <v>#DIV/0!</v>
      </c>
      <c r="CNG132" s="531" t="e">
        <f t="shared" si="42"/>
        <v>#DIV/0!</v>
      </c>
      <c r="CNH132" s="531" t="e">
        <f t="shared" si="42"/>
        <v>#DIV/0!</v>
      </c>
      <c r="CNI132" s="531" t="e">
        <f t="shared" si="42"/>
        <v>#DIV/0!</v>
      </c>
      <c r="CNJ132" s="531" t="e">
        <f t="shared" si="42"/>
        <v>#DIV/0!</v>
      </c>
      <c r="CNK132" s="531" t="e">
        <f t="shared" si="42"/>
        <v>#DIV/0!</v>
      </c>
      <c r="CNL132" s="531" t="e">
        <f t="shared" si="42"/>
        <v>#DIV/0!</v>
      </c>
      <c r="CNM132" s="531" t="e">
        <f t="shared" si="42"/>
        <v>#DIV/0!</v>
      </c>
      <c r="CNN132" s="531" t="e">
        <f t="shared" si="42"/>
        <v>#DIV/0!</v>
      </c>
      <c r="CNO132" s="531" t="e">
        <f t="shared" si="42"/>
        <v>#DIV/0!</v>
      </c>
      <c r="CNP132" s="531" t="e">
        <f t="shared" si="42"/>
        <v>#DIV/0!</v>
      </c>
      <c r="CNQ132" s="531" t="e">
        <f t="shared" si="42"/>
        <v>#DIV/0!</v>
      </c>
      <c r="CNR132" s="531" t="e">
        <f t="shared" si="42"/>
        <v>#DIV/0!</v>
      </c>
      <c r="CNS132" s="531" t="e">
        <f t="shared" si="42"/>
        <v>#DIV/0!</v>
      </c>
      <c r="CNT132" s="531" t="e">
        <f t="shared" si="42"/>
        <v>#DIV/0!</v>
      </c>
      <c r="CNU132" s="531" t="e">
        <f t="shared" si="42"/>
        <v>#DIV/0!</v>
      </c>
      <c r="CNV132" s="531" t="e">
        <f t="shared" si="42"/>
        <v>#DIV/0!</v>
      </c>
      <c r="CNW132" s="531" t="e">
        <f t="shared" si="42"/>
        <v>#DIV/0!</v>
      </c>
      <c r="CNX132" s="531" t="e">
        <f t="shared" si="42"/>
        <v>#DIV/0!</v>
      </c>
      <c r="CNY132" s="531" t="e">
        <f t="shared" si="42"/>
        <v>#DIV/0!</v>
      </c>
      <c r="CNZ132" s="531" t="e">
        <f t="shared" si="42"/>
        <v>#DIV/0!</v>
      </c>
      <c r="COA132" s="531" t="e">
        <f t="shared" si="42"/>
        <v>#DIV/0!</v>
      </c>
      <c r="COB132" s="531" t="e">
        <f t="shared" si="42"/>
        <v>#DIV/0!</v>
      </c>
      <c r="COC132" s="531" t="e">
        <f t="shared" si="42"/>
        <v>#DIV/0!</v>
      </c>
      <c r="COD132" s="531" t="e">
        <f t="shared" si="42"/>
        <v>#DIV/0!</v>
      </c>
      <c r="COE132" s="531" t="e">
        <f t="shared" si="42"/>
        <v>#DIV/0!</v>
      </c>
      <c r="COF132" s="531" t="e">
        <f t="shared" si="42"/>
        <v>#DIV/0!</v>
      </c>
      <c r="COG132" s="531" t="e">
        <f t="shared" si="42"/>
        <v>#DIV/0!</v>
      </c>
      <c r="COH132" s="531" t="e">
        <f t="shared" si="42"/>
        <v>#DIV/0!</v>
      </c>
      <c r="COI132" s="531" t="e">
        <f t="shared" si="42"/>
        <v>#DIV/0!</v>
      </c>
      <c r="COJ132" s="531" t="e">
        <f t="shared" si="42"/>
        <v>#DIV/0!</v>
      </c>
      <c r="COK132" s="531" t="e">
        <f t="shared" si="42"/>
        <v>#DIV/0!</v>
      </c>
      <c r="COL132" s="531" t="e">
        <f t="shared" si="42"/>
        <v>#DIV/0!</v>
      </c>
      <c r="COM132" s="531" t="e">
        <f t="shared" si="42"/>
        <v>#DIV/0!</v>
      </c>
      <c r="CON132" s="531" t="e">
        <f t="shared" si="42"/>
        <v>#DIV/0!</v>
      </c>
      <c r="COO132" s="531" t="e">
        <f t="shared" si="42"/>
        <v>#DIV/0!</v>
      </c>
      <c r="COP132" s="531" t="e">
        <f t="shared" si="42"/>
        <v>#DIV/0!</v>
      </c>
      <c r="COQ132" s="531" t="e">
        <f t="shared" si="42"/>
        <v>#DIV/0!</v>
      </c>
      <c r="COR132" s="531" t="e">
        <f t="shared" si="42"/>
        <v>#DIV/0!</v>
      </c>
      <c r="COS132" s="531" t="e">
        <f t="shared" si="42"/>
        <v>#DIV/0!</v>
      </c>
      <c r="COT132" s="531" t="e">
        <f t="shared" si="42"/>
        <v>#DIV/0!</v>
      </c>
      <c r="COU132" s="531" t="e">
        <f t="shared" ref="COU132:CRF132" si="43">(COU128-COU116)/(COU52*10^5)</f>
        <v>#DIV/0!</v>
      </c>
      <c r="COV132" s="531" t="e">
        <f t="shared" si="43"/>
        <v>#DIV/0!</v>
      </c>
      <c r="COW132" s="531" t="e">
        <f t="shared" si="43"/>
        <v>#DIV/0!</v>
      </c>
      <c r="COX132" s="531" t="e">
        <f t="shared" si="43"/>
        <v>#DIV/0!</v>
      </c>
      <c r="COY132" s="531" t="e">
        <f t="shared" si="43"/>
        <v>#DIV/0!</v>
      </c>
      <c r="COZ132" s="531" t="e">
        <f t="shared" si="43"/>
        <v>#DIV/0!</v>
      </c>
      <c r="CPA132" s="531" t="e">
        <f t="shared" si="43"/>
        <v>#DIV/0!</v>
      </c>
      <c r="CPB132" s="531" t="e">
        <f t="shared" si="43"/>
        <v>#DIV/0!</v>
      </c>
      <c r="CPC132" s="531" t="e">
        <f t="shared" si="43"/>
        <v>#DIV/0!</v>
      </c>
      <c r="CPD132" s="531" t="e">
        <f t="shared" si="43"/>
        <v>#DIV/0!</v>
      </c>
      <c r="CPE132" s="531" t="e">
        <f t="shared" si="43"/>
        <v>#DIV/0!</v>
      </c>
      <c r="CPF132" s="531" t="e">
        <f t="shared" si="43"/>
        <v>#DIV/0!</v>
      </c>
      <c r="CPG132" s="531" t="e">
        <f t="shared" si="43"/>
        <v>#DIV/0!</v>
      </c>
      <c r="CPH132" s="531" t="e">
        <f t="shared" si="43"/>
        <v>#DIV/0!</v>
      </c>
      <c r="CPI132" s="531" t="e">
        <f t="shared" si="43"/>
        <v>#DIV/0!</v>
      </c>
      <c r="CPJ132" s="531" t="e">
        <f t="shared" si="43"/>
        <v>#DIV/0!</v>
      </c>
      <c r="CPK132" s="531" t="e">
        <f t="shared" si="43"/>
        <v>#DIV/0!</v>
      </c>
      <c r="CPL132" s="531" t="e">
        <f t="shared" si="43"/>
        <v>#DIV/0!</v>
      </c>
      <c r="CPM132" s="531" t="e">
        <f t="shared" si="43"/>
        <v>#DIV/0!</v>
      </c>
      <c r="CPN132" s="531" t="e">
        <f t="shared" si="43"/>
        <v>#DIV/0!</v>
      </c>
      <c r="CPO132" s="531" t="e">
        <f t="shared" si="43"/>
        <v>#DIV/0!</v>
      </c>
      <c r="CPP132" s="531" t="e">
        <f t="shared" si="43"/>
        <v>#DIV/0!</v>
      </c>
      <c r="CPQ132" s="531" t="e">
        <f t="shared" si="43"/>
        <v>#DIV/0!</v>
      </c>
      <c r="CPR132" s="531" t="e">
        <f t="shared" si="43"/>
        <v>#DIV/0!</v>
      </c>
      <c r="CPS132" s="531" t="e">
        <f t="shared" si="43"/>
        <v>#DIV/0!</v>
      </c>
      <c r="CPT132" s="531" t="e">
        <f t="shared" si="43"/>
        <v>#DIV/0!</v>
      </c>
      <c r="CPU132" s="531" t="e">
        <f t="shared" si="43"/>
        <v>#DIV/0!</v>
      </c>
      <c r="CPV132" s="531" t="e">
        <f t="shared" si="43"/>
        <v>#DIV/0!</v>
      </c>
      <c r="CPW132" s="531" t="e">
        <f t="shared" si="43"/>
        <v>#DIV/0!</v>
      </c>
      <c r="CPX132" s="531" t="e">
        <f t="shared" si="43"/>
        <v>#DIV/0!</v>
      </c>
      <c r="CPY132" s="531" t="e">
        <f t="shared" si="43"/>
        <v>#DIV/0!</v>
      </c>
      <c r="CPZ132" s="531" t="e">
        <f t="shared" si="43"/>
        <v>#DIV/0!</v>
      </c>
      <c r="CQA132" s="531" t="e">
        <f t="shared" si="43"/>
        <v>#DIV/0!</v>
      </c>
      <c r="CQB132" s="531" t="e">
        <f t="shared" si="43"/>
        <v>#DIV/0!</v>
      </c>
      <c r="CQC132" s="531" t="e">
        <f t="shared" si="43"/>
        <v>#DIV/0!</v>
      </c>
      <c r="CQD132" s="531" t="e">
        <f t="shared" si="43"/>
        <v>#DIV/0!</v>
      </c>
      <c r="CQE132" s="531" t="e">
        <f t="shared" si="43"/>
        <v>#DIV/0!</v>
      </c>
      <c r="CQF132" s="531" t="e">
        <f t="shared" si="43"/>
        <v>#DIV/0!</v>
      </c>
      <c r="CQG132" s="531" t="e">
        <f t="shared" si="43"/>
        <v>#DIV/0!</v>
      </c>
      <c r="CQH132" s="531" t="e">
        <f t="shared" si="43"/>
        <v>#DIV/0!</v>
      </c>
      <c r="CQI132" s="531" t="e">
        <f t="shared" si="43"/>
        <v>#DIV/0!</v>
      </c>
      <c r="CQJ132" s="531" t="e">
        <f t="shared" si="43"/>
        <v>#DIV/0!</v>
      </c>
      <c r="CQK132" s="531" t="e">
        <f t="shared" si="43"/>
        <v>#DIV/0!</v>
      </c>
      <c r="CQL132" s="531" t="e">
        <f t="shared" si="43"/>
        <v>#DIV/0!</v>
      </c>
      <c r="CQM132" s="531" t="e">
        <f t="shared" si="43"/>
        <v>#DIV/0!</v>
      </c>
      <c r="CQN132" s="531" t="e">
        <f t="shared" si="43"/>
        <v>#DIV/0!</v>
      </c>
      <c r="CQO132" s="531" t="e">
        <f t="shared" si="43"/>
        <v>#DIV/0!</v>
      </c>
      <c r="CQP132" s="531" t="e">
        <f t="shared" si="43"/>
        <v>#DIV/0!</v>
      </c>
      <c r="CQQ132" s="531" t="e">
        <f t="shared" si="43"/>
        <v>#DIV/0!</v>
      </c>
      <c r="CQR132" s="531" t="e">
        <f t="shared" si="43"/>
        <v>#DIV/0!</v>
      </c>
      <c r="CQS132" s="531" t="e">
        <f t="shared" si="43"/>
        <v>#DIV/0!</v>
      </c>
      <c r="CQT132" s="531" t="e">
        <f t="shared" si="43"/>
        <v>#DIV/0!</v>
      </c>
      <c r="CQU132" s="531" t="e">
        <f t="shared" si="43"/>
        <v>#DIV/0!</v>
      </c>
      <c r="CQV132" s="531" t="e">
        <f t="shared" si="43"/>
        <v>#DIV/0!</v>
      </c>
      <c r="CQW132" s="531" t="e">
        <f t="shared" si="43"/>
        <v>#DIV/0!</v>
      </c>
      <c r="CQX132" s="531" t="e">
        <f t="shared" si="43"/>
        <v>#DIV/0!</v>
      </c>
      <c r="CQY132" s="531" t="e">
        <f t="shared" si="43"/>
        <v>#DIV/0!</v>
      </c>
      <c r="CQZ132" s="531" t="e">
        <f t="shared" si="43"/>
        <v>#DIV/0!</v>
      </c>
      <c r="CRA132" s="531" t="e">
        <f t="shared" si="43"/>
        <v>#DIV/0!</v>
      </c>
      <c r="CRB132" s="531" t="e">
        <f t="shared" si="43"/>
        <v>#DIV/0!</v>
      </c>
      <c r="CRC132" s="531" t="e">
        <f t="shared" si="43"/>
        <v>#DIV/0!</v>
      </c>
      <c r="CRD132" s="531" t="e">
        <f t="shared" si="43"/>
        <v>#DIV/0!</v>
      </c>
      <c r="CRE132" s="531" t="e">
        <f t="shared" si="43"/>
        <v>#DIV/0!</v>
      </c>
      <c r="CRF132" s="531" t="e">
        <f t="shared" si="43"/>
        <v>#DIV/0!</v>
      </c>
      <c r="CRG132" s="531" t="e">
        <f t="shared" ref="CRG132:CTR132" si="44">(CRG128-CRG116)/(CRG52*10^5)</f>
        <v>#DIV/0!</v>
      </c>
      <c r="CRH132" s="531" t="e">
        <f t="shared" si="44"/>
        <v>#DIV/0!</v>
      </c>
      <c r="CRI132" s="531" t="e">
        <f t="shared" si="44"/>
        <v>#DIV/0!</v>
      </c>
      <c r="CRJ132" s="531" t="e">
        <f t="shared" si="44"/>
        <v>#DIV/0!</v>
      </c>
      <c r="CRK132" s="531" t="e">
        <f t="shared" si="44"/>
        <v>#DIV/0!</v>
      </c>
      <c r="CRL132" s="531" t="e">
        <f t="shared" si="44"/>
        <v>#DIV/0!</v>
      </c>
      <c r="CRM132" s="531" t="e">
        <f t="shared" si="44"/>
        <v>#DIV/0!</v>
      </c>
      <c r="CRN132" s="531" t="e">
        <f t="shared" si="44"/>
        <v>#DIV/0!</v>
      </c>
      <c r="CRO132" s="531" t="e">
        <f t="shared" si="44"/>
        <v>#DIV/0!</v>
      </c>
      <c r="CRP132" s="531" t="e">
        <f t="shared" si="44"/>
        <v>#DIV/0!</v>
      </c>
      <c r="CRQ132" s="531" t="e">
        <f t="shared" si="44"/>
        <v>#DIV/0!</v>
      </c>
      <c r="CRR132" s="531" t="e">
        <f t="shared" si="44"/>
        <v>#DIV/0!</v>
      </c>
      <c r="CRS132" s="531" t="e">
        <f t="shared" si="44"/>
        <v>#DIV/0!</v>
      </c>
      <c r="CRT132" s="531" t="e">
        <f t="shared" si="44"/>
        <v>#DIV/0!</v>
      </c>
      <c r="CRU132" s="531" t="e">
        <f t="shared" si="44"/>
        <v>#DIV/0!</v>
      </c>
      <c r="CRV132" s="531" t="e">
        <f t="shared" si="44"/>
        <v>#DIV/0!</v>
      </c>
      <c r="CRW132" s="531" t="e">
        <f t="shared" si="44"/>
        <v>#DIV/0!</v>
      </c>
      <c r="CRX132" s="531" t="e">
        <f t="shared" si="44"/>
        <v>#DIV/0!</v>
      </c>
      <c r="CRY132" s="531" t="e">
        <f t="shared" si="44"/>
        <v>#DIV/0!</v>
      </c>
      <c r="CRZ132" s="531" t="e">
        <f t="shared" si="44"/>
        <v>#DIV/0!</v>
      </c>
      <c r="CSA132" s="531" t="e">
        <f t="shared" si="44"/>
        <v>#DIV/0!</v>
      </c>
      <c r="CSB132" s="531" t="e">
        <f t="shared" si="44"/>
        <v>#DIV/0!</v>
      </c>
      <c r="CSC132" s="531" t="e">
        <f t="shared" si="44"/>
        <v>#DIV/0!</v>
      </c>
      <c r="CSD132" s="531" t="e">
        <f t="shared" si="44"/>
        <v>#DIV/0!</v>
      </c>
      <c r="CSE132" s="531" t="e">
        <f t="shared" si="44"/>
        <v>#DIV/0!</v>
      </c>
      <c r="CSF132" s="531" t="e">
        <f t="shared" si="44"/>
        <v>#DIV/0!</v>
      </c>
      <c r="CSG132" s="531" t="e">
        <f t="shared" si="44"/>
        <v>#DIV/0!</v>
      </c>
      <c r="CSH132" s="531" t="e">
        <f t="shared" si="44"/>
        <v>#DIV/0!</v>
      </c>
      <c r="CSI132" s="531" t="e">
        <f t="shared" si="44"/>
        <v>#DIV/0!</v>
      </c>
      <c r="CSJ132" s="531" t="e">
        <f t="shared" si="44"/>
        <v>#DIV/0!</v>
      </c>
      <c r="CSK132" s="531" t="e">
        <f t="shared" si="44"/>
        <v>#DIV/0!</v>
      </c>
      <c r="CSL132" s="531" t="e">
        <f t="shared" si="44"/>
        <v>#DIV/0!</v>
      </c>
      <c r="CSM132" s="531" t="e">
        <f t="shared" si="44"/>
        <v>#DIV/0!</v>
      </c>
      <c r="CSN132" s="531" t="e">
        <f t="shared" si="44"/>
        <v>#DIV/0!</v>
      </c>
      <c r="CSO132" s="531" t="e">
        <f t="shared" si="44"/>
        <v>#DIV/0!</v>
      </c>
      <c r="CSP132" s="531" t="e">
        <f t="shared" si="44"/>
        <v>#DIV/0!</v>
      </c>
      <c r="CSQ132" s="531" t="e">
        <f t="shared" si="44"/>
        <v>#DIV/0!</v>
      </c>
      <c r="CSR132" s="531" t="e">
        <f t="shared" si="44"/>
        <v>#DIV/0!</v>
      </c>
      <c r="CSS132" s="531" t="e">
        <f t="shared" si="44"/>
        <v>#DIV/0!</v>
      </c>
      <c r="CST132" s="531" t="e">
        <f t="shared" si="44"/>
        <v>#DIV/0!</v>
      </c>
      <c r="CSU132" s="531" t="e">
        <f t="shared" si="44"/>
        <v>#DIV/0!</v>
      </c>
      <c r="CSV132" s="531" t="e">
        <f t="shared" si="44"/>
        <v>#DIV/0!</v>
      </c>
      <c r="CSW132" s="531" t="e">
        <f t="shared" si="44"/>
        <v>#DIV/0!</v>
      </c>
      <c r="CSX132" s="531" t="e">
        <f t="shared" si="44"/>
        <v>#DIV/0!</v>
      </c>
      <c r="CSY132" s="531" t="e">
        <f t="shared" si="44"/>
        <v>#DIV/0!</v>
      </c>
      <c r="CSZ132" s="531" t="e">
        <f t="shared" si="44"/>
        <v>#DIV/0!</v>
      </c>
      <c r="CTA132" s="531" t="e">
        <f t="shared" si="44"/>
        <v>#DIV/0!</v>
      </c>
      <c r="CTB132" s="531" t="e">
        <f t="shared" si="44"/>
        <v>#DIV/0!</v>
      </c>
      <c r="CTC132" s="531" t="e">
        <f t="shared" si="44"/>
        <v>#DIV/0!</v>
      </c>
      <c r="CTD132" s="531" t="e">
        <f t="shared" si="44"/>
        <v>#DIV/0!</v>
      </c>
      <c r="CTE132" s="531" t="e">
        <f t="shared" si="44"/>
        <v>#DIV/0!</v>
      </c>
      <c r="CTF132" s="531" t="e">
        <f t="shared" si="44"/>
        <v>#DIV/0!</v>
      </c>
      <c r="CTG132" s="531" t="e">
        <f t="shared" si="44"/>
        <v>#DIV/0!</v>
      </c>
      <c r="CTH132" s="531" t="e">
        <f t="shared" si="44"/>
        <v>#DIV/0!</v>
      </c>
      <c r="CTI132" s="531" t="e">
        <f t="shared" si="44"/>
        <v>#DIV/0!</v>
      </c>
      <c r="CTJ132" s="531" t="e">
        <f t="shared" si="44"/>
        <v>#DIV/0!</v>
      </c>
      <c r="CTK132" s="531" t="e">
        <f t="shared" si="44"/>
        <v>#DIV/0!</v>
      </c>
      <c r="CTL132" s="531" t="e">
        <f t="shared" si="44"/>
        <v>#DIV/0!</v>
      </c>
      <c r="CTM132" s="531" t="e">
        <f t="shared" si="44"/>
        <v>#DIV/0!</v>
      </c>
      <c r="CTN132" s="531" t="e">
        <f t="shared" si="44"/>
        <v>#DIV/0!</v>
      </c>
      <c r="CTO132" s="531" t="e">
        <f t="shared" si="44"/>
        <v>#DIV/0!</v>
      </c>
      <c r="CTP132" s="531" t="e">
        <f t="shared" si="44"/>
        <v>#DIV/0!</v>
      </c>
      <c r="CTQ132" s="531" t="e">
        <f t="shared" si="44"/>
        <v>#DIV/0!</v>
      </c>
      <c r="CTR132" s="531" t="e">
        <f t="shared" si="44"/>
        <v>#DIV/0!</v>
      </c>
      <c r="CTS132" s="531" t="e">
        <f t="shared" ref="CTS132:CWD132" si="45">(CTS128-CTS116)/(CTS52*10^5)</f>
        <v>#DIV/0!</v>
      </c>
      <c r="CTT132" s="531" t="e">
        <f t="shared" si="45"/>
        <v>#DIV/0!</v>
      </c>
      <c r="CTU132" s="531" t="e">
        <f t="shared" si="45"/>
        <v>#DIV/0!</v>
      </c>
      <c r="CTV132" s="531" t="e">
        <f t="shared" si="45"/>
        <v>#DIV/0!</v>
      </c>
      <c r="CTW132" s="531" t="e">
        <f t="shared" si="45"/>
        <v>#DIV/0!</v>
      </c>
      <c r="CTX132" s="531" t="e">
        <f t="shared" si="45"/>
        <v>#DIV/0!</v>
      </c>
      <c r="CTY132" s="531" t="e">
        <f t="shared" si="45"/>
        <v>#DIV/0!</v>
      </c>
      <c r="CTZ132" s="531" t="e">
        <f t="shared" si="45"/>
        <v>#DIV/0!</v>
      </c>
      <c r="CUA132" s="531" t="e">
        <f t="shared" si="45"/>
        <v>#DIV/0!</v>
      </c>
      <c r="CUB132" s="531" t="e">
        <f t="shared" si="45"/>
        <v>#DIV/0!</v>
      </c>
      <c r="CUC132" s="531" t="e">
        <f t="shared" si="45"/>
        <v>#DIV/0!</v>
      </c>
      <c r="CUD132" s="531" t="e">
        <f t="shared" si="45"/>
        <v>#DIV/0!</v>
      </c>
      <c r="CUE132" s="531" t="e">
        <f t="shared" si="45"/>
        <v>#DIV/0!</v>
      </c>
      <c r="CUF132" s="531" t="e">
        <f t="shared" si="45"/>
        <v>#DIV/0!</v>
      </c>
      <c r="CUG132" s="531" t="e">
        <f t="shared" si="45"/>
        <v>#DIV/0!</v>
      </c>
      <c r="CUH132" s="531" t="e">
        <f t="shared" si="45"/>
        <v>#DIV/0!</v>
      </c>
      <c r="CUI132" s="531" t="e">
        <f t="shared" si="45"/>
        <v>#DIV/0!</v>
      </c>
      <c r="CUJ132" s="531" t="e">
        <f t="shared" si="45"/>
        <v>#DIV/0!</v>
      </c>
      <c r="CUK132" s="531" t="e">
        <f t="shared" si="45"/>
        <v>#DIV/0!</v>
      </c>
      <c r="CUL132" s="531" t="e">
        <f t="shared" si="45"/>
        <v>#DIV/0!</v>
      </c>
      <c r="CUM132" s="531" t="e">
        <f t="shared" si="45"/>
        <v>#DIV/0!</v>
      </c>
      <c r="CUN132" s="531" t="e">
        <f t="shared" si="45"/>
        <v>#DIV/0!</v>
      </c>
      <c r="CUO132" s="531" t="e">
        <f t="shared" si="45"/>
        <v>#DIV/0!</v>
      </c>
      <c r="CUP132" s="531" t="e">
        <f t="shared" si="45"/>
        <v>#DIV/0!</v>
      </c>
      <c r="CUQ132" s="531" t="e">
        <f t="shared" si="45"/>
        <v>#DIV/0!</v>
      </c>
      <c r="CUR132" s="531" t="e">
        <f t="shared" si="45"/>
        <v>#DIV/0!</v>
      </c>
      <c r="CUS132" s="531" t="e">
        <f t="shared" si="45"/>
        <v>#DIV/0!</v>
      </c>
      <c r="CUT132" s="531" t="e">
        <f t="shared" si="45"/>
        <v>#DIV/0!</v>
      </c>
      <c r="CUU132" s="531" t="e">
        <f t="shared" si="45"/>
        <v>#DIV/0!</v>
      </c>
      <c r="CUV132" s="531" t="e">
        <f t="shared" si="45"/>
        <v>#DIV/0!</v>
      </c>
      <c r="CUW132" s="531" t="e">
        <f t="shared" si="45"/>
        <v>#DIV/0!</v>
      </c>
      <c r="CUX132" s="531" t="e">
        <f t="shared" si="45"/>
        <v>#DIV/0!</v>
      </c>
      <c r="CUY132" s="531" t="e">
        <f t="shared" si="45"/>
        <v>#DIV/0!</v>
      </c>
      <c r="CUZ132" s="531" t="e">
        <f t="shared" si="45"/>
        <v>#DIV/0!</v>
      </c>
      <c r="CVA132" s="531" t="e">
        <f t="shared" si="45"/>
        <v>#DIV/0!</v>
      </c>
      <c r="CVB132" s="531" t="e">
        <f t="shared" si="45"/>
        <v>#DIV/0!</v>
      </c>
      <c r="CVC132" s="531" t="e">
        <f t="shared" si="45"/>
        <v>#DIV/0!</v>
      </c>
      <c r="CVD132" s="531" t="e">
        <f t="shared" si="45"/>
        <v>#DIV/0!</v>
      </c>
      <c r="CVE132" s="531" t="e">
        <f t="shared" si="45"/>
        <v>#DIV/0!</v>
      </c>
      <c r="CVF132" s="531" t="e">
        <f t="shared" si="45"/>
        <v>#DIV/0!</v>
      </c>
      <c r="CVG132" s="531" t="e">
        <f t="shared" si="45"/>
        <v>#DIV/0!</v>
      </c>
      <c r="CVH132" s="531" t="e">
        <f t="shared" si="45"/>
        <v>#DIV/0!</v>
      </c>
      <c r="CVI132" s="531" t="e">
        <f t="shared" si="45"/>
        <v>#DIV/0!</v>
      </c>
      <c r="CVJ132" s="531" t="e">
        <f t="shared" si="45"/>
        <v>#DIV/0!</v>
      </c>
      <c r="CVK132" s="531" t="e">
        <f t="shared" si="45"/>
        <v>#DIV/0!</v>
      </c>
      <c r="CVL132" s="531" t="e">
        <f t="shared" si="45"/>
        <v>#DIV/0!</v>
      </c>
      <c r="CVM132" s="531" t="e">
        <f t="shared" si="45"/>
        <v>#DIV/0!</v>
      </c>
      <c r="CVN132" s="531" t="e">
        <f t="shared" si="45"/>
        <v>#DIV/0!</v>
      </c>
      <c r="CVO132" s="531" t="e">
        <f t="shared" si="45"/>
        <v>#DIV/0!</v>
      </c>
      <c r="CVP132" s="531" t="e">
        <f t="shared" si="45"/>
        <v>#DIV/0!</v>
      </c>
      <c r="CVQ132" s="531" t="e">
        <f t="shared" si="45"/>
        <v>#DIV/0!</v>
      </c>
      <c r="CVR132" s="531" t="e">
        <f t="shared" si="45"/>
        <v>#DIV/0!</v>
      </c>
      <c r="CVS132" s="531" t="e">
        <f t="shared" si="45"/>
        <v>#DIV/0!</v>
      </c>
      <c r="CVT132" s="531" t="e">
        <f t="shared" si="45"/>
        <v>#DIV/0!</v>
      </c>
      <c r="CVU132" s="531" t="e">
        <f t="shared" si="45"/>
        <v>#DIV/0!</v>
      </c>
      <c r="CVV132" s="531" t="e">
        <f t="shared" si="45"/>
        <v>#DIV/0!</v>
      </c>
      <c r="CVW132" s="531" t="e">
        <f t="shared" si="45"/>
        <v>#DIV/0!</v>
      </c>
      <c r="CVX132" s="531" t="e">
        <f t="shared" si="45"/>
        <v>#DIV/0!</v>
      </c>
      <c r="CVY132" s="531" t="e">
        <f t="shared" si="45"/>
        <v>#DIV/0!</v>
      </c>
      <c r="CVZ132" s="531" t="e">
        <f t="shared" si="45"/>
        <v>#DIV/0!</v>
      </c>
      <c r="CWA132" s="531" t="e">
        <f t="shared" si="45"/>
        <v>#DIV/0!</v>
      </c>
      <c r="CWB132" s="531" t="e">
        <f t="shared" si="45"/>
        <v>#DIV/0!</v>
      </c>
      <c r="CWC132" s="531" t="e">
        <f t="shared" si="45"/>
        <v>#DIV/0!</v>
      </c>
      <c r="CWD132" s="531" t="e">
        <f t="shared" si="45"/>
        <v>#DIV/0!</v>
      </c>
      <c r="CWE132" s="531" t="e">
        <f t="shared" ref="CWE132:CYP132" si="46">(CWE128-CWE116)/(CWE52*10^5)</f>
        <v>#DIV/0!</v>
      </c>
      <c r="CWF132" s="531" t="e">
        <f t="shared" si="46"/>
        <v>#DIV/0!</v>
      </c>
      <c r="CWG132" s="531" t="e">
        <f t="shared" si="46"/>
        <v>#DIV/0!</v>
      </c>
      <c r="CWH132" s="531" t="e">
        <f t="shared" si="46"/>
        <v>#DIV/0!</v>
      </c>
      <c r="CWI132" s="531" t="e">
        <f t="shared" si="46"/>
        <v>#DIV/0!</v>
      </c>
      <c r="CWJ132" s="531" t="e">
        <f t="shared" si="46"/>
        <v>#DIV/0!</v>
      </c>
      <c r="CWK132" s="531" t="e">
        <f t="shared" si="46"/>
        <v>#DIV/0!</v>
      </c>
      <c r="CWL132" s="531" t="e">
        <f t="shared" si="46"/>
        <v>#DIV/0!</v>
      </c>
      <c r="CWM132" s="531" t="e">
        <f t="shared" si="46"/>
        <v>#DIV/0!</v>
      </c>
      <c r="CWN132" s="531" t="e">
        <f t="shared" si="46"/>
        <v>#DIV/0!</v>
      </c>
      <c r="CWO132" s="531" t="e">
        <f t="shared" si="46"/>
        <v>#DIV/0!</v>
      </c>
      <c r="CWP132" s="531" t="e">
        <f t="shared" si="46"/>
        <v>#DIV/0!</v>
      </c>
      <c r="CWQ132" s="531" t="e">
        <f t="shared" si="46"/>
        <v>#DIV/0!</v>
      </c>
      <c r="CWR132" s="531" t="e">
        <f t="shared" si="46"/>
        <v>#DIV/0!</v>
      </c>
      <c r="CWS132" s="531" t="e">
        <f t="shared" si="46"/>
        <v>#DIV/0!</v>
      </c>
      <c r="CWT132" s="531" t="e">
        <f t="shared" si="46"/>
        <v>#DIV/0!</v>
      </c>
      <c r="CWU132" s="531" t="e">
        <f t="shared" si="46"/>
        <v>#DIV/0!</v>
      </c>
      <c r="CWV132" s="531" t="e">
        <f t="shared" si="46"/>
        <v>#DIV/0!</v>
      </c>
      <c r="CWW132" s="531" t="e">
        <f t="shared" si="46"/>
        <v>#DIV/0!</v>
      </c>
      <c r="CWX132" s="531" t="e">
        <f t="shared" si="46"/>
        <v>#DIV/0!</v>
      </c>
      <c r="CWY132" s="531" t="e">
        <f t="shared" si="46"/>
        <v>#DIV/0!</v>
      </c>
      <c r="CWZ132" s="531" t="e">
        <f t="shared" si="46"/>
        <v>#DIV/0!</v>
      </c>
      <c r="CXA132" s="531" t="e">
        <f t="shared" si="46"/>
        <v>#DIV/0!</v>
      </c>
      <c r="CXB132" s="531" t="e">
        <f t="shared" si="46"/>
        <v>#DIV/0!</v>
      </c>
      <c r="CXC132" s="531" t="e">
        <f t="shared" si="46"/>
        <v>#DIV/0!</v>
      </c>
      <c r="CXD132" s="531" t="e">
        <f t="shared" si="46"/>
        <v>#DIV/0!</v>
      </c>
      <c r="CXE132" s="531" t="e">
        <f t="shared" si="46"/>
        <v>#DIV/0!</v>
      </c>
      <c r="CXF132" s="531" t="e">
        <f t="shared" si="46"/>
        <v>#DIV/0!</v>
      </c>
      <c r="CXG132" s="531" t="e">
        <f t="shared" si="46"/>
        <v>#DIV/0!</v>
      </c>
      <c r="CXH132" s="531" t="e">
        <f t="shared" si="46"/>
        <v>#DIV/0!</v>
      </c>
      <c r="CXI132" s="531" t="e">
        <f t="shared" si="46"/>
        <v>#DIV/0!</v>
      </c>
      <c r="CXJ132" s="531" t="e">
        <f t="shared" si="46"/>
        <v>#DIV/0!</v>
      </c>
      <c r="CXK132" s="531" t="e">
        <f t="shared" si="46"/>
        <v>#DIV/0!</v>
      </c>
      <c r="CXL132" s="531" t="e">
        <f t="shared" si="46"/>
        <v>#DIV/0!</v>
      </c>
      <c r="CXM132" s="531" t="e">
        <f t="shared" si="46"/>
        <v>#DIV/0!</v>
      </c>
      <c r="CXN132" s="531" t="e">
        <f t="shared" si="46"/>
        <v>#DIV/0!</v>
      </c>
      <c r="CXO132" s="531" t="e">
        <f t="shared" si="46"/>
        <v>#DIV/0!</v>
      </c>
      <c r="CXP132" s="531" t="e">
        <f t="shared" si="46"/>
        <v>#DIV/0!</v>
      </c>
      <c r="CXQ132" s="531" t="e">
        <f t="shared" si="46"/>
        <v>#DIV/0!</v>
      </c>
      <c r="CXR132" s="531" t="e">
        <f t="shared" si="46"/>
        <v>#DIV/0!</v>
      </c>
      <c r="CXS132" s="531" t="e">
        <f t="shared" si="46"/>
        <v>#DIV/0!</v>
      </c>
      <c r="CXT132" s="531" t="e">
        <f t="shared" si="46"/>
        <v>#DIV/0!</v>
      </c>
      <c r="CXU132" s="531" t="e">
        <f t="shared" si="46"/>
        <v>#DIV/0!</v>
      </c>
      <c r="CXV132" s="531" t="e">
        <f t="shared" si="46"/>
        <v>#DIV/0!</v>
      </c>
      <c r="CXW132" s="531" t="e">
        <f t="shared" si="46"/>
        <v>#DIV/0!</v>
      </c>
      <c r="CXX132" s="531" t="e">
        <f t="shared" si="46"/>
        <v>#DIV/0!</v>
      </c>
      <c r="CXY132" s="531" t="e">
        <f t="shared" si="46"/>
        <v>#DIV/0!</v>
      </c>
      <c r="CXZ132" s="531" t="e">
        <f t="shared" si="46"/>
        <v>#DIV/0!</v>
      </c>
      <c r="CYA132" s="531" t="e">
        <f t="shared" si="46"/>
        <v>#DIV/0!</v>
      </c>
      <c r="CYB132" s="531" t="e">
        <f t="shared" si="46"/>
        <v>#DIV/0!</v>
      </c>
      <c r="CYC132" s="531" t="e">
        <f t="shared" si="46"/>
        <v>#DIV/0!</v>
      </c>
      <c r="CYD132" s="531" t="e">
        <f t="shared" si="46"/>
        <v>#DIV/0!</v>
      </c>
      <c r="CYE132" s="531" t="e">
        <f t="shared" si="46"/>
        <v>#DIV/0!</v>
      </c>
      <c r="CYF132" s="531" t="e">
        <f t="shared" si="46"/>
        <v>#DIV/0!</v>
      </c>
      <c r="CYG132" s="531" t="e">
        <f t="shared" si="46"/>
        <v>#DIV/0!</v>
      </c>
      <c r="CYH132" s="531" t="e">
        <f t="shared" si="46"/>
        <v>#DIV/0!</v>
      </c>
      <c r="CYI132" s="531" t="e">
        <f t="shared" si="46"/>
        <v>#DIV/0!</v>
      </c>
      <c r="CYJ132" s="531" t="e">
        <f t="shared" si="46"/>
        <v>#DIV/0!</v>
      </c>
      <c r="CYK132" s="531" t="e">
        <f t="shared" si="46"/>
        <v>#DIV/0!</v>
      </c>
      <c r="CYL132" s="531" t="e">
        <f t="shared" si="46"/>
        <v>#DIV/0!</v>
      </c>
      <c r="CYM132" s="531" t="e">
        <f t="shared" si="46"/>
        <v>#DIV/0!</v>
      </c>
      <c r="CYN132" s="531" t="e">
        <f t="shared" si="46"/>
        <v>#DIV/0!</v>
      </c>
      <c r="CYO132" s="531" t="e">
        <f t="shared" si="46"/>
        <v>#DIV/0!</v>
      </c>
      <c r="CYP132" s="531" t="e">
        <f t="shared" si="46"/>
        <v>#DIV/0!</v>
      </c>
      <c r="CYQ132" s="531" t="e">
        <f t="shared" ref="CYQ132:DBB132" si="47">(CYQ128-CYQ116)/(CYQ52*10^5)</f>
        <v>#DIV/0!</v>
      </c>
      <c r="CYR132" s="531" t="e">
        <f t="shared" si="47"/>
        <v>#DIV/0!</v>
      </c>
      <c r="CYS132" s="531" t="e">
        <f t="shared" si="47"/>
        <v>#DIV/0!</v>
      </c>
      <c r="CYT132" s="531" t="e">
        <f t="shared" si="47"/>
        <v>#DIV/0!</v>
      </c>
      <c r="CYU132" s="531" t="e">
        <f t="shared" si="47"/>
        <v>#DIV/0!</v>
      </c>
      <c r="CYV132" s="531" t="e">
        <f t="shared" si="47"/>
        <v>#DIV/0!</v>
      </c>
      <c r="CYW132" s="531" t="e">
        <f t="shared" si="47"/>
        <v>#DIV/0!</v>
      </c>
      <c r="CYX132" s="531" t="e">
        <f t="shared" si="47"/>
        <v>#DIV/0!</v>
      </c>
      <c r="CYY132" s="531" t="e">
        <f t="shared" si="47"/>
        <v>#DIV/0!</v>
      </c>
      <c r="CYZ132" s="531" t="e">
        <f t="shared" si="47"/>
        <v>#DIV/0!</v>
      </c>
      <c r="CZA132" s="531" t="e">
        <f t="shared" si="47"/>
        <v>#DIV/0!</v>
      </c>
      <c r="CZB132" s="531" t="e">
        <f t="shared" si="47"/>
        <v>#DIV/0!</v>
      </c>
      <c r="CZC132" s="531" t="e">
        <f t="shared" si="47"/>
        <v>#DIV/0!</v>
      </c>
      <c r="CZD132" s="531" t="e">
        <f t="shared" si="47"/>
        <v>#DIV/0!</v>
      </c>
      <c r="CZE132" s="531" t="e">
        <f t="shared" si="47"/>
        <v>#DIV/0!</v>
      </c>
      <c r="CZF132" s="531" t="e">
        <f t="shared" si="47"/>
        <v>#DIV/0!</v>
      </c>
      <c r="CZG132" s="531" t="e">
        <f t="shared" si="47"/>
        <v>#DIV/0!</v>
      </c>
      <c r="CZH132" s="531" t="e">
        <f t="shared" si="47"/>
        <v>#DIV/0!</v>
      </c>
      <c r="CZI132" s="531" t="e">
        <f t="shared" si="47"/>
        <v>#DIV/0!</v>
      </c>
      <c r="CZJ132" s="531" t="e">
        <f t="shared" si="47"/>
        <v>#DIV/0!</v>
      </c>
      <c r="CZK132" s="531" t="e">
        <f t="shared" si="47"/>
        <v>#DIV/0!</v>
      </c>
      <c r="CZL132" s="531" t="e">
        <f t="shared" si="47"/>
        <v>#DIV/0!</v>
      </c>
      <c r="CZM132" s="531" t="e">
        <f t="shared" si="47"/>
        <v>#DIV/0!</v>
      </c>
      <c r="CZN132" s="531" t="e">
        <f t="shared" si="47"/>
        <v>#DIV/0!</v>
      </c>
      <c r="CZO132" s="531" t="e">
        <f t="shared" si="47"/>
        <v>#DIV/0!</v>
      </c>
      <c r="CZP132" s="531" t="e">
        <f t="shared" si="47"/>
        <v>#DIV/0!</v>
      </c>
      <c r="CZQ132" s="531" t="e">
        <f t="shared" si="47"/>
        <v>#DIV/0!</v>
      </c>
      <c r="CZR132" s="531" t="e">
        <f t="shared" si="47"/>
        <v>#DIV/0!</v>
      </c>
      <c r="CZS132" s="531" t="e">
        <f t="shared" si="47"/>
        <v>#DIV/0!</v>
      </c>
      <c r="CZT132" s="531" t="e">
        <f t="shared" si="47"/>
        <v>#DIV/0!</v>
      </c>
      <c r="CZU132" s="531" t="e">
        <f t="shared" si="47"/>
        <v>#DIV/0!</v>
      </c>
      <c r="CZV132" s="531" t="e">
        <f t="shared" si="47"/>
        <v>#DIV/0!</v>
      </c>
      <c r="CZW132" s="531" t="e">
        <f t="shared" si="47"/>
        <v>#DIV/0!</v>
      </c>
      <c r="CZX132" s="531" t="e">
        <f t="shared" si="47"/>
        <v>#DIV/0!</v>
      </c>
      <c r="CZY132" s="531" t="e">
        <f t="shared" si="47"/>
        <v>#DIV/0!</v>
      </c>
      <c r="CZZ132" s="531" t="e">
        <f t="shared" si="47"/>
        <v>#DIV/0!</v>
      </c>
      <c r="DAA132" s="531" t="e">
        <f t="shared" si="47"/>
        <v>#DIV/0!</v>
      </c>
      <c r="DAB132" s="531" t="e">
        <f t="shared" si="47"/>
        <v>#DIV/0!</v>
      </c>
      <c r="DAC132" s="531" t="e">
        <f t="shared" si="47"/>
        <v>#DIV/0!</v>
      </c>
      <c r="DAD132" s="531" t="e">
        <f t="shared" si="47"/>
        <v>#DIV/0!</v>
      </c>
      <c r="DAE132" s="531" t="e">
        <f t="shared" si="47"/>
        <v>#DIV/0!</v>
      </c>
      <c r="DAF132" s="531" t="e">
        <f t="shared" si="47"/>
        <v>#DIV/0!</v>
      </c>
      <c r="DAG132" s="531" t="e">
        <f t="shared" si="47"/>
        <v>#DIV/0!</v>
      </c>
      <c r="DAH132" s="531" t="e">
        <f t="shared" si="47"/>
        <v>#DIV/0!</v>
      </c>
      <c r="DAI132" s="531" t="e">
        <f t="shared" si="47"/>
        <v>#DIV/0!</v>
      </c>
      <c r="DAJ132" s="531" t="e">
        <f t="shared" si="47"/>
        <v>#DIV/0!</v>
      </c>
      <c r="DAK132" s="531" t="e">
        <f t="shared" si="47"/>
        <v>#DIV/0!</v>
      </c>
      <c r="DAL132" s="531" t="e">
        <f t="shared" si="47"/>
        <v>#DIV/0!</v>
      </c>
      <c r="DAM132" s="531" t="e">
        <f t="shared" si="47"/>
        <v>#DIV/0!</v>
      </c>
      <c r="DAN132" s="531" t="e">
        <f t="shared" si="47"/>
        <v>#DIV/0!</v>
      </c>
      <c r="DAO132" s="531" t="e">
        <f t="shared" si="47"/>
        <v>#DIV/0!</v>
      </c>
      <c r="DAP132" s="531" t="e">
        <f t="shared" si="47"/>
        <v>#DIV/0!</v>
      </c>
      <c r="DAQ132" s="531" t="e">
        <f t="shared" si="47"/>
        <v>#DIV/0!</v>
      </c>
      <c r="DAR132" s="531" t="e">
        <f t="shared" si="47"/>
        <v>#DIV/0!</v>
      </c>
      <c r="DAS132" s="531" t="e">
        <f t="shared" si="47"/>
        <v>#DIV/0!</v>
      </c>
      <c r="DAT132" s="531" t="e">
        <f t="shared" si="47"/>
        <v>#DIV/0!</v>
      </c>
      <c r="DAU132" s="531" t="e">
        <f t="shared" si="47"/>
        <v>#DIV/0!</v>
      </c>
      <c r="DAV132" s="531" t="e">
        <f t="shared" si="47"/>
        <v>#DIV/0!</v>
      </c>
      <c r="DAW132" s="531" t="e">
        <f t="shared" si="47"/>
        <v>#DIV/0!</v>
      </c>
      <c r="DAX132" s="531" t="e">
        <f t="shared" si="47"/>
        <v>#DIV/0!</v>
      </c>
      <c r="DAY132" s="531" t="e">
        <f t="shared" si="47"/>
        <v>#DIV/0!</v>
      </c>
      <c r="DAZ132" s="531" t="e">
        <f t="shared" si="47"/>
        <v>#DIV/0!</v>
      </c>
      <c r="DBA132" s="531" t="e">
        <f t="shared" si="47"/>
        <v>#DIV/0!</v>
      </c>
      <c r="DBB132" s="531" t="e">
        <f t="shared" si="47"/>
        <v>#DIV/0!</v>
      </c>
      <c r="DBC132" s="531" t="e">
        <f t="shared" ref="DBC132:DDN132" si="48">(DBC128-DBC116)/(DBC52*10^5)</f>
        <v>#DIV/0!</v>
      </c>
      <c r="DBD132" s="531" t="e">
        <f t="shared" si="48"/>
        <v>#DIV/0!</v>
      </c>
      <c r="DBE132" s="531" t="e">
        <f t="shared" si="48"/>
        <v>#DIV/0!</v>
      </c>
      <c r="DBF132" s="531" t="e">
        <f t="shared" si="48"/>
        <v>#DIV/0!</v>
      </c>
      <c r="DBG132" s="531" t="e">
        <f t="shared" si="48"/>
        <v>#DIV/0!</v>
      </c>
      <c r="DBH132" s="531" t="e">
        <f t="shared" si="48"/>
        <v>#DIV/0!</v>
      </c>
      <c r="DBI132" s="531" t="e">
        <f t="shared" si="48"/>
        <v>#DIV/0!</v>
      </c>
      <c r="DBJ132" s="531" t="e">
        <f t="shared" si="48"/>
        <v>#DIV/0!</v>
      </c>
      <c r="DBK132" s="531" t="e">
        <f t="shared" si="48"/>
        <v>#DIV/0!</v>
      </c>
      <c r="DBL132" s="531" t="e">
        <f t="shared" si="48"/>
        <v>#DIV/0!</v>
      </c>
      <c r="DBM132" s="531" t="e">
        <f t="shared" si="48"/>
        <v>#DIV/0!</v>
      </c>
      <c r="DBN132" s="531" t="e">
        <f t="shared" si="48"/>
        <v>#DIV/0!</v>
      </c>
      <c r="DBO132" s="531" t="e">
        <f t="shared" si="48"/>
        <v>#DIV/0!</v>
      </c>
      <c r="DBP132" s="531" t="e">
        <f t="shared" si="48"/>
        <v>#DIV/0!</v>
      </c>
      <c r="DBQ132" s="531" t="e">
        <f t="shared" si="48"/>
        <v>#DIV/0!</v>
      </c>
      <c r="DBR132" s="531" t="e">
        <f t="shared" si="48"/>
        <v>#DIV/0!</v>
      </c>
      <c r="DBS132" s="531" t="e">
        <f t="shared" si="48"/>
        <v>#DIV/0!</v>
      </c>
      <c r="DBT132" s="531" t="e">
        <f t="shared" si="48"/>
        <v>#DIV/0!</v>
      </c>
      <c r="DBU132" s="531" t="e">
        <f t="shared" si="48"/>
        <v>#DIV/0!</v>
      </c>
      <c r="DBV132" s="531" t="e">
        <f t="shared" si="48"/>
        <v>#DIV/0!</v>
      </c>
      <c r="DBW132" s="531" t="e">
        <f t="shared" si="48"/>
        <v>#DIV/0!</v>
      </c>
      <c r="DBX132" s="531" t="e">
        <f t="shared" si="48"/>
        <v>#DIV/0!</v>
      </c>
      <c r="DBY132" s="531" t="e">
        <f t="shared" si="48"/>
        <v>#DIV/0!</v>
      </c>
      <c r="DBZ132" s="531" t="e">
        <f t="shared" si="48"/>
        <v>#DIV/0!</v>
      </c>
      <c r="DCA132" s="531" t="e">
        <f t="shared" si="48"/>
        <v>#DIV/0!</v>
      </c>
      <c r="DCB132" s="531" t="e">
        <f t="shared" si="48"/>
        <v>#DIV/0!</v>
      </c>
      <c r="DCC132" s="531" t="e">
        <f t="shared" si="48"/>
        <v>#DIV/0!</v>
      </c>
      <c r="DCD132" s="531" t="e">
        <f t="shared" si="48"/>
        <v>#DIV/0!</v>
      </c>
      <c r="DCE132" s="531" t="e">
        <f t="shared" si="48"/>
        <v>#DIV/0!</v>
      </c>
      <c r="DCF132" s="531" t="e">
        <f t="shared" si="48"/>
        <v>#DIV/0!</v>
      </c>
      <c r="DCG132" s="531" t="e">
        <f t="shared" si="48"/>
        <v>#DIV/0!</v>
      </c>
      <c r="DCH132" s="531" t="e">
        <f t="shared" si="48"/>
        <v>#DIV/0!</v>
      </c>
      <c r="DCI132" s="531" t="e">
        <f t="shared" si="48"/>
        <v>#DIV/0!</v>
      </c>
      <c r="DCJ132" s="531" t="e">
        <f t="shared" si="48"/>
        <v>#DIV/0!</v>
      </c>
      <c r="DCK132" s="531" t="e">
        <f t="shared" si="48"/>
        <v>#DIV/0!</v>
      </c>
      <c r="DCL132" s="531" t="e">
        <f t="shared" si="48"/>
        <v>#DIV/0!</v>
      </c>
      <c r="DCM132" s="531" t="e">
        <f t="shared" si="48"/>
        <v>#DIV/0!</v>
      </c>
      <c r="DCN132" s="531" t="e">
        <f t="shared" si="48"/>
        <v>#DIV/0!</v>
      </c>
      <c r="DCO132" s="531" t="e">
        <f t="shared" si="48"/>
        <v>#DIV/0!</v>
      </c>
      <c r="DCP132" s="531" t="e">
        <f t="shared" si="48"/>
        <v>#DIV/0!</v>
      </c>
      <c r="DCQ132" s="531" t="e">
        <f t="shared" si="48"/>
        <v>#DIV/0!</v>
      </c>
      <c r="DCR132" s="531" t="e">
        <f t="shared" si="48"/>
        <v>#DIV/0!</v>
      </c>
      <c r="DCS132" s="531" t="e">
        <f t="shared" si="48"/>
        <v>#DIV/0!</v>
      </c>
      <c r="DCT132" s="531" t="e">
        <f t="shared" si="48"/>
        <v>#DIV/0!</v>
      </c>
      <c r="DCU132" s="531" t="e">
        <f t="shared" si="48"/>
        <v>#DIV/0!</v>
      </c>
      <c r="DCV132" s="531" t="e">
        <f t="shared" si="48"/>
        <v>#DIV/0!</v>
      </c>
      <c r="DCW132" s="531" t="e">
        <f t="shared" si="48"/>
        <v>#DIV/0!</v>
      </c>
      <c r="DCX132" s="531" t="e">
        <f t="shared" si="48"/>
        <v>#DIV/0!</v>
      </c>
      <c r="DCY132" s="531" t="e">
        <f t="shared" si="48"/>
        <v>#DIV/0!</v>
      </c>
      <c r="DCZ132" s="531" t="e">
        <f t="shared" si="48"/>
        <v>#DIV/0!</v>
      </c>
      <c r="DDA132" s="531" t="e">
        <f t="shared" si="48"/>
        <v>#DIV/0!</v>
      </c>
      <c r="DDB132" s="531" t="e">
        <f t="shared" si="48"/>
        <v>#DIV/0!</v>
      </c>
      <c r="DDC132" s="531" t="e">
        <f t="shared" si="48"/>
        <v>#DIV/0!</v>
      </c>
      <c r="DDD132" s="531" t="e">
        <f t="shared" si="48"/>
        <v>#DIV/0!</v>
      </c>
      <c r="DDE132" s="531" t="e">
        <f t="shared" si="48"/>
        <v>#DIV/0!</v>
      </c>
      <c r="DDF132" s="531" t="e">
        <f t="shared" si="48"/>
        <v>#DIV/0!</v>
      </c>
      <c r="DDG132" s="531" t="e">
        <f t="shared" si="48"/>
        <v>#DIV/0!</v>
      </c>
      <c r="DDH132" s="531" t="e">
        <f t="shared" si="48"/>
        <v>#DIV/0!</v>
      </c>
      <c r="DDI132" s="531" t="e">
        <f t="shared" si="48"/>
        <v>#DIV/0!</v>
      </c>
      <c r="DDJ132" s="531" t="e">
        <f t="shared" si="48"/>
        <v>#DIV/0!</v>
      </c>
      <c r="DDK132" s="531" t="e">
        <f t="shared" si="48"/>
        <v>#DIV/0!</v>
      </c>
      <c r="DDL132" s="531" t="e">
        <f t="shared" si="48"/>
        <v>#DIV/0!</v>
      </c>
      <c r="DDM132" s="531" t="e">
        <f t="shared" si="48"/>
        <v>#DIV/0!</v>
      </c>
      <c r="DDN132" s="531" t="e">
        <f t="shared" si="48"/>
        <v>#DIV/0!</v>
      </c>
      <c r="DDO132" s="531" t="e">
        <f t="shared" ref="DDO132:DFZ132" si="49">(DDO128-DDO116)/(DDO52*10^5)</f>
        <v>#DIV/0!</v>
      </c>
      <c r="DDP132" s="531" t="e">
        <f t="shared" si="49"/>
        <v>#DIV/0!</v>
      </c>
      <c r="DDQ132" s="531" t="e">
        <f t="shared" si="49"/>
        <v>#DIV/0!</v>
      </c>
      <c r="DDR132" s="531" t="e">
        <f t="shared" si="49"/>
        <v>#DIV/0!</v>
      </c>
      <c r="DDS132" s="531" t="e">
        <f t="shared" si="49"/>
        <v>#DIV/0!</v>
      </c>
      <c r="DDT132" s="531" t="e">
        <f t="shared" si="49"/>
        <v>#DIV/0!</v>
      </c>
      <c r="DDU132" s="531" t="e">
        <f t="shared" si="49"/>
        <v>#DIV/0!</v>
      </c>
      <c r="DDV132" s="531" t="e">
        <f t="shared" si="49"/>
        <v>#DIV/0!</v>
      </c>
      <c r="DDW132" s="531" t="e">
        <f t="shared" si="49"/>
        <v>#DIV/0!</v>
      </c>
      <c r="DDX132" s="531" t="e">
        <f t="shared" si="49"/>
        <v>#DIV/0!</v>
      </c>
      <c r="DDY132" s="531" t="e">
        <f t="shared" si="49"/>
        <v>#DIV/0!</v>
      </c>
      <c r="DDZ132" s="531" t="e">
        <f t="shared" si="49"/>
        <v>#DIV/0!</v>
      </c>
      <c r="DEA132" s="531" t="e">
        <f t="shared" si="49"/>
        <v>#DIV/0!</v>
      </c>
      <c r="DEB132" s="531" t="e">
        <f t="shared" si="49"/>
        <v>#DIV/0!</v>
      </c>
      <c r="DEC132" s="531" t="e">
        <f t="shared" si="49"/>
        <v>#DIV/0!</v>
      </c>
      <c r="DED132" s="531" t="e">
        <f t="shared" si="49"/>
        <v>#DIV/0!</v>
      </c>
      <c r="DEE132" s="531" t="e">
        <f t="shared" si="49"/>
        <v>#DIV/0!</v>
      </c>
      <c r="DEF132" s="531" t="e">
        <f t="shared" si="49"/>
        <v>#DIV/0!</v>
      </c>
      <c r="DEG132" s="531" t="e">
        <f t="shared" si="49"/>
        <v>#DIV/0!</v>
      </c>
      <c r="DEH132" s="531" t="e">
        <f t="shared" si="49"/>
        <v>#DIV/0!</v>
      </c>
      <c r="DEI132" s="531" t="e">
        <f t="shared" si="49"/>
        <v>#DIV/0!</v>
      </c>
      <c r="DEJ132" s="531" t="e">
        <f t="shared" si="49"/>
        <v>#DIV/0!</v>
      </c>
      <c r="DEK132" s="531" t="e">
        <f t="shared" si="49"/>
        <v>#DIV/0!</v>
      </c>
      <c r="DEL132" s="531" t="e">
        <f t="shared" si="49"/>
        <v>#DIV/0!</v>
      </c>
      <c r="DEM132" s="531" t="e">
        <f t="shared" si="49"/>
        <v>#DIV/0!</v>
      </c>
      <c r="DEN132" s="531" t="e">
        <f t="shared" si="49"/>
        <v>#DIV/0!</v>
      </c>
      <c r="DEO132" s="531" t="e">
        <f t="shared" si="49"/>
        <v>#DIV/0!</v>
      </c>
      <c r="DEP132" s="531" t="e">
        <f t="shared" si="49"/>
        <v>#DIV/0!</v>
      </c>
      <c r="DEQ132" s="531" t="e">
        <f t="shared" si="49"/>
        <v>#DIV/0!</v>
      </c>
      <c r="DER132" s="531" t="e">
        <f t="shared" si="49"/>
        <v>#DIV/0!</v>
      </c>
      <c r="DES132" s="531" t="e">
        <f t="shared" si="49"/>
        <v>#DIV/0!</v>
      </c>
      <c r="DET132" s="531" t="e">
        <f t="shared" si="49"/>
        <v>#DIV/0!</v>
      </c>
      <c r="DEU132" s="531" t="e">
        <f t="shared" si="49"/>
        <v>#DIV/0!</v>
      </c>
      <c r="DEV132" s="531" t="e">
        <f t="shared" si="49"/>
        <v>#DIV/0!</v>
      </c>
      <c r="DEW132" s="531" t="e">
        <f t="shared" si="49"/>
        <v>#DIV/0!</v>
      </c>
      <c r="DEX132" s="531" t="e">
        <f t="shared" si="49"/>
        <v>#DIV/0!</v>
      </c>
      <c r="DEY132" s="531" t="e">
        <f t="shared" si="49"/>
        <v>#DIV/0!</v>
      </c>
      <c r="DEZ132" s="531" t="e">
        <f t="shared" si="49"/>
        <v>#DIV/0!</v>
      </c>
      <c r="DFA132" s="531" t="e">
        <f t="shared" si="49"/>
        <v>#DIV/0!</v>
      </c>
      <c r="DFB132" s="531" t="e">
        <f t="shared" si="49"/>
        <v>#DIV/0!</v>
      </c>
      <c r="DFC132" s="531" t="e">
        <f t="shared" si="49"/>
        <v>#DIV/0!</v>
      </c>
      <c r="DFD132" s="531" t="e">
        <f t="shared" si="49"/>
        <v>#DIV/0!</v>
      </c>
      <c r="DFE132" s="531" t="e">
        <f t="shared" si="49"/>
        <v>#DIV/0!</v>
      </c>
      <c r="DFF132" s="531" t="e">
        <f t="shared" si="49"/>
        <v>#DIV/0!</v>
      </c>
      <c r="DFG132" s="531" t="e">
        <f t="shared" si="49"/>
        <v>#DIV/0!</v>
      </c>
      <c r="DFH132" s="531" t="e">
        <f t="shared" si="49"/>
        <v>#DIV/0!</v>
      </c>
      <c r="DFI132" s="531" t="e">
        <f t="shared" si="49"/>
        <v>#DIV/0!</v>
      </c>
      <c r="DFJ132" s="531" t="e">
        <f t="shared" si="49"/>
        <v>#DIV/0!</v>
      </c>
      <c r="DFK132" s="531" t="e">
        <f t="shared" si="49"/>
        <v>#DIV/0!</v>
      </c>
      <c r="DFL132" s="531" t="e">
        <f t="shared" si="49"/>
        <v>#DIV/0!</v>
      </c>
      <c r="DFM132" s="531" t="e">
        <f t="shared" si="49"/>
        <v>#DIV/0!</v>
      </c>
      <c r="DFN132" s="531" t="e">
        <f t="shared" si="49"/>
        <v>#DIV/0!</v>
      </c>
      <c r="DFO132" s="531" t="e">
        <f t="shared" si="49"/>
        <v>#DIV/0!</v>
      </c>
      <c r="DFP132" s="531" t="e">
        <f t="shared" si="49"/>
        <v>#DIV/0!</v>
      </c>
      <c r="DFQ132" s="531" t="e">
        <f t="shared" si="49"/>
        <v>#DIV/0!</v>
      </c>
      <c r="DFR132" s="531" t="e">
        <f t="shared" si="49"/>
        <v>#DIV/0!</v>
      </c>
      <c r="DFS132" s="531" t="e">
        <f t="shared" si="49"/>
        <v>#DIV/0!</v>
      </c>
      <c r="DFT132" s="531" t="e">
        <f t="shared" si="49"/>
        <v>#DIV/0!</v>
      </c>
      <c r="DFU132" s="531" t="e">
        <f t="shared" si="49"/>
        <v>#DIV/0!</v>
      </c>
      <c r="DFV132" s="531" t="e">
        <f t="shared" si="49"/>
        <v>#DIV/0!</v>
      </c>
      <c r="DFW132" s="531" t="e">
        <f t="shared" si="49"/>
        <v>#DIV/0!</v>
      </c>
      <c r="DFX132" s="531" t="e">
        <f t="shared" si="49"/>
        <v>#DIV/0!</v>
      </c>
      <c r="DFY132" s="531" t="e">
        <f t="shared" si="49"/>
        <v>#DIV/0!</v>
      </c>
      <c r="DFZ132" s="531" t="e">
        <f t="shared" si="49"/>
        <v>#DIV/0!</v>
      </c>
      <c r="DGA132" s="531" t="e">
        <f t="shared" ref="DGA132:DIL132" si="50">(DGA128-DGA116)/(DGA52*10^5)</f>
        <v>#DIV/0!</v>
      </c>
      <c r="DGB132" s="531" t="e">
        <f t="shared" si="50"/>
        <v>#DIV/0!</v>
      </c>
      <c r="DGC132" s="531" t="e">
        <f t="shared" si="50"/>
        <v>#DIV/0!</v>
      </c>
      <c r="DGD132" s="531" t="e">
        <f t="shared" si="50"/>
        <v>#DIV/0!</v>
      </c>
      <c r="DGE132" s="531" t="e">
        <f t="shared" si="50"/>
        <v>#DIV/0!</v>
      </c>
      <c r="DGF132" s="531" t="e">
        <f t="shared" si="50"/>
        <v>#DIV/0!</v>
      </c>
      <c r="DGG132" s="531" t="e">
        <f t="shared" si="50"/>
        <v>#DIV/0!</v>
      </c>
      <c r="DGH132" s="531" t="e">
        <f t="shared" si="50"/>
        <v>#DIV/0!</v>
      </c>
      <c r="DGI132" s="531" t="e">
        <f t="shared" si="50"/>
        <v>#DIV/0!</v>
      </c>
      <c r="DGJ132" s="531" t="e">
        <f t="shared" si="50"/>
        <v>#DIV/0!</v>
      </c>
      <c r="DGK132" s="531" t="e">
        <f t="shared" si="50"/>
        <v>#DIV/0!</v>
      </c>
      <c r="DGL132" s="531" t="e">
        <f t="shared" si="50"/>
        <v>#DIV/0!</v>
      </c>
      <c r="DGM132" s="531" t="e">
        <f t="shared" si="50"/>
        <v>#DIV/0!</v>
      </c>
      <c r="DGN132" s="531" t="e">
        <f t="shared" si="50"/>
        <v>#DIV/0!</v>
      </c>
      <c r="DGO132" s="531" t="e">
        <f t="shared" si="50"/>
        <v>#DIV/0!</v>
      </c>
      <c r="DGP132" s="531" t="e">
        <f t="shared" si="50"/>
        <v>#DIV/0!</v>
      </c>
      <c r="DGQ132" s="531" t="e">
        <f t="shared" si="50"/>
        <v>#DIV/0!</v>
      </c>
      <c r="DGR132" s="531" t="e">
        <f t="shared" si="50"/>
        <v>#DIV/0!</v>
      </c>
      <c r="DGS132" s="531" t="e">
        <f t="shared" si="50"/>
        <v>#DIV/0!</v>
      </c>
      <c r="DGT132" s="531" t="e">
        <f t="shared" si="50"/>
        <v>#DIV/0!</v>
      </c>
      <c r="DGU132" s="531" t="e">
        <f t="shared" si="50"/>
        <v>#DIV/0!</v>
      </c>
      <c r="DGV132" s="531" t="e">
        <f t="shared" si="50"/>
        <v>#DIV/0!</v>
      </c>
      <c r="DGW132" s="531" t="e">
        <f t="shared" si="50"/>
        <v>#DIV/0!</v>
      </c>
      <c r="DGX132" s="531" t="e">
        <f t="shared" si="50"/>
        <v>#DIV/0!</v>
      </c>
      <c r="DGY132" s="531" t="e">
        <f t="shared" si="50"/>
        <v>#DIV/0!</v>
      </c>
      <c r="DGZ132" s="531" t="e">
        <f t="shared" si="50"/>
        <v>#DIV/0!</v>
      </c>
      <c r="DHA132" s="531" t="e">
        <f t="shared" si="50"/>
        <v>#DIV/0!</v>
      </c>
      <c r="DHB132" s="531" t="e">
        <f t="shared" si="50"/>
        <v>#DIV/0!</v>
      </c>
      <c r="DHC132" s="531" t="e">
        <f t="shared" si="50"/>
        <v>#DIV/0!</v>
      </c>
      <c r="DHD132" s="531" t="e">
        <f t="shared" si="50"/>
        <v>#DIV/0!</v>
      </c>
      <c r="DHE132" s="531" t="e">
        <f t="shared" si="50"/>
        <v>#DIV/0!</v>
      </c>
      <c r="DHF132" s="531" t="e">
        <f t="shared" si="50"/>
        <v>#DIV/0!</v>
      </c>
      <c r="DHG132" s="531" t="e">
        <f t="shared" si="50"/>
        <v>#DIV/0!</v>
      </c>
      <c r="DHH132" s="531" t="e">
        <f t="shared" si="50"/>
        <v>#DIV/0!</v>
      </c>
      <c r="DHI132" s="531" t="e">
        <f t="shared" si="50"/>
        <v>#DIV/0!</v>
      </c>
      <c r="DHJ132" s="531" t="e">
        <f t="shared" si="50"/>
        <v>#DIV/0!</v>
      </c>
      <c r="DHK132" s="531" t="e">
        <f t="shared" si="50"/>
        <v>#DIV/0!</v>
      </c>
      <c r="DHL132" s="531" t="e">
        <f t="shared" si="50"/>
        <v>#DIV/0!</v>
      </c>
      <c r="DHM132" s="531" t="e">
        <f t="shared" si="50"/>
        <v>#DIV/0!</v>
      </c>
      <c r="DHN132" s="531" t="e">
        <f t="shared" si="50"/>
        <v>#DIV/0!</v>
      </c>
      <c r="DHO132" s="531" t="e">
        <f t="shared" si="50"/>
        <v>#DIV/0!</v>
      </c>
      <c r="DHP132" s="531" t="e">
        <f t="shared" si="50"/>
        <v>#DIV/0!</v>
      </c>
      <c r="DHQ132" s="531" t="e">
        <f t="shared" si="50"/>
        <v>#DIV/0!</v>
      </c>
      <c r="DHR132" s="531" t="e">
        <f t="shared" si="50"/>
        <v>#DIV/0!</v>
      </c>
      <c r="DHS132" s="531" t="e">
        <f t="shared" si="50"/>
        <v>#DIV/0!</v>
      </c>
      <c r="DHT132" s="531" t="e">
        <f t="shared" si="50"/>
        <v>#DIV/0!</v>
      </c>
      <c r="DHU132" s="531" t="e">
        <f t="shared" si="50"/>
        <v>#DIV/0!</v>
      </c>
      <c r="DHV132" s="531" t="e">
        <f t="shared" si="50"/>
        <v>#DIV/0!</v>
      </c>
      <c r="DHW132" s="531" t="e">
        <f t="shared" si="50"/>
        <v>#DIV/0!</v>
      </c>
      <c r="DHX132" s="531" t="e">
        <f t="shared" si="50"/>
        <v>#DIV/0!</v>
      </c>
      <c r="DHY132" s="531" t="e">
        <f t="shared" si="50"/>
        <v>#DIV/0!</v>
      </c>
      <c r="DHZ132" s="531" t="e">
        <f t="shared" si="50"/>
        <v>#DIV/0!</v>
      </c>
      <c r="DIA132" s="531" t="e">
        <f t="shared" si="50"/>
        <v>#DIV/0!</v>
      </c>
      <c r="DIB132" s="531" t="e">
        <f t="shared" si="50"/>
        <v>#DIV/0!</v>
      </c>
      <c r="DIC132" s="531" t="e">
        <f t="shared" si="50"/>
        <v>#DIV/0!</v>
      </c>
      <c r="DID132" s="531" t="e">
        <f t="shared" si="50"/>
        <v>#DIV/0!</v>
      </c>
      <c r="DIE132" s="531" t="e">
        <f t="shared" si="50"/>
        <v>#DIV/0!</v>
      </c>
      <c r="DIF132" s="531" t="e">
        <f t="shared" si="50"/>
        <v>#DIV/0!</v>
      </c>
      <c r="DIG132" s="531" t="e">
        <f t="shared" si="50"/>
        <v>#DIV/0!</v>
      </c>
      <c r="DIH132" s="531" t="e">
        <f t="shared" si="50"/>
        <v>#DIV/0!</v>
      </c>
      <c r="DII132" s="531" t="e">
        <f t="shared" si="50"/>
        <v>#DIV/0!</v>
      </c>
      <c r="DIJ132" s="531" t="e">
        <f t="shared" si="50"/>
        <v>#DIV/0!</v>
      </c>
      <c r="DIK132" s="531" t="e">
        <f t="shared" si="50"/>
        <v>#DIV/0!</v>
      </c>
      <c r="DIL132" s="531" t="e">
        <f t="shared" si="50"/>
        <v>#DIV/0!</v>
      </c>
      <c r="DIM132" s="531" t="e">
        <f t="shared" ref="DIM132:DKX132" si="51">(DIM128-DIM116)/(DIM52*10^5)</f>
        <v>#DIV/0!</v>
      </c>
      <c r="DIN132" s="531" t="e">
        <f t="shared" si="51"/>
        <v>#DIV/0!</v>
      </c>
      <c r="DIO132" s="531" t="e">
        <f t="shared" si="51"/>
        <v>#DIV/0!</v>
      </c>
      <c r="DIP132" s="531" t="e">
        <f t="shared" si="51"/>
        <v>#DIV/0!</v>
      </c>
      <c r="DIQ132" s="531" t="e">
        <f t="shared" si="51"/>
        <v>#DIV/0!</v>
      </c>
      <c r="DIR132" s="531" t="e">
        <f t="shared" si="51"/>
        <v>#DIV/0!</v>
      </c>
      <c r="DIS132" s="531" t="e">
        <f t="shared" si="51"/>
        <v>#DIV/0!</v>
      </c>
      <c r="DIT132" s="531" t="e">
        <f t="shared" si="51"/>
        <v>#DIV/0!</v>
      </c>
      <c r="DIU132" s="531" t="e">
        <f t="shared" si="51"/>
        <v>#DIV/0!</v>
      </c>
      <c r="DIV132" s="531" t="e">
        <f t="shared" si="51"/>
        <v>#DIV/0!</v>
      </c>
      <c r="DIW132" s="531" t="e">
        <f t="shared" si="51"/>
        <v>#DIV/0!</v>
      </c>
      <c r="DIX132" s="531" t="e">
        <f t="shared" si="51"/>
        <v>#DIV/0!</v>
      </c>
      <c r="DIY132" s="531" t="e">
        <f t="shared" si="51"/>
        <v>#DIV/0!</v>
      </c>
      <c r="DIZ132" s="531" t="e">
        <f t="shared" si="51"/>
        <v>#DIV/0!</v>
      </c>
      <c r="DJA132" s="531" t="e">
        <f t="shared" si="51"/>
        <v>#DIV/0!</v>
      </c>
      <c r="DJB132" s="531" t="e">
        <f t="shared" si="51"/>
        <v>#DIV/0!</v>
      </c>
      <c r="DJC132" s="531" t="e">
        <f t="shared" si="51"/>
        <v>#DIV/0!</v>
      </c>
      <c r="DJD132" s="531" t="e">
        <f t="shared" si="51"/>
        <v>#DIV/0!</v>
      </c>
      <c r="DJE132" s="531" t="e">
        <f t="shared" si="51"/>
        <v>#DIV/0!</v>
      </c>
      <c r="DJF132" s="531" t="e">
        <f t="shared" si="51"/>
        <v>#DIV/0!</v>
      </c>
      <c r="DJG132" s="531" t="e">
        <f t="shared" si="51"/>
        <v>#DIV/0!</v>
      </c>
      <c r="DJH132" s="531" t="e">
        <f t="shared" si="51"/>
        <v>#DIV/0!</v>
      </c>
      <c r="DJI132" s="531" t="e">
        <f t="shared" si="51"/>
        <v>#DIV/0!</v>
      </c>
      <c r="DJJ132" s="531" t="e">
        <f t="shared" si="51"/>
        <v>#DIV/0!</v>
      </c>
      <c r="DJK132" s="531" t="e">
        <f t="shared" si="51"/>
        <v>#DIV/0!</v>
      </c>
      <c r="DJL132" s="531" t="e">
        <f t="shared" si="51"/>
        <v>#DIV/0!</v>
      </c>
      <c r="DJM132" s="531" t="e">
        <f t="shared" si="51"/>
        <v>#DIV/0!</v>
      </c>
      <c r="DJN132" s="531" t="e">
        <f t="shared" si="51"/>
        <v>#DIV/0!</v>
      </c>
      <c r="DJO132" s="531" t="e">
        <f t="shared" si="51"/>
        <v>#DIV/0!</v>
      </c>
      <c r="DJP132" s="531" t="e">
        <f t="shared" si="51"/>
        <v>#DIV/0!</v>
      </c>
      <c r="DJQ132" s="531" t="e">
        <f t="shared" si="51"/>
        <v>#DIV/0!</v>
      </c>
      <c r="DJR132" s="531" t="e">
        <f t="shared" si="51"/>
        <v>#DIV/0!</v>
      </c>
      <c r="DJS132" s="531" t="e">
        <f t="shared" si="51"/>
        <v>#DIV/0!</v>
      </c>
      <c r="DJT132" s="531" t="e">
        <f t="shared" si="51"/>
        <v>#DIV/0!</v>
      </c>
      <c r="DJU132" s="531" t="e">
        <f t="shared" si="51"/>
        <v>#DIV/0!</v>
      </c>
      <c r="DJV132" s="531" t="e">
        <f t="shared" si="51"/>
        <v>#DIV/0!</v>
      </c>
      <c r="DJW132" s="531" t="e">
        <f t="shared" si="51"/>
        <v>#DIV/0!</v>
      </c>
      <c r="DJX132" s="531" t="e">
        <f t="shared" si="51"/>
        <v>#DIV/0!</v>
      </c>
      <c r="DJY132" s="531" t="e">
        <f t="shared" si="51"/>
        <v>#DIV/0!</v>
      </c>
      <c r="DJZ132" s="531" t="e">
        <f t="shared" si="51"/>
        <v>#DIV/0!</v>
      </c>
      <c r="DKA132" s="531" t="e">
        <f t="shared" si="51"/>
        <v>#DIV/0!</v>
      </c>
      <c r="DKB132" s="531" t="e">
        <f t="shared" si="51"/>
        <v>#DIV/0!</v>
      </c>
      <c r="DKC132" s="531" t="e">
        <f t="shared" si="51"/>
        <v>#DIV/0!</v>
      </c>
      <c r="DKD132" s="531" t="e">
        <f t="shared" si="51"/>
        <v>#DIV/0!</v>
      </c>
      <c r="DKE132" s="531" t="e">
        <f t="shared" si="51"/>
        <v>#DIV/0!</v>
      </c>
      <c r="DKF132" s="531" t="e">
        <f t="shared" si="51"/>
        <v>#DIV/0!</v>
      </c>
      <c r="DKG132" s="531" t="e">
        <f t="shared" si="51"/>
        <v>#DIV/0!</v>
      </c>
      <c r="DKH132" s="531" t="e">
        <f t="shared" si="51"/>
        <v>#DIV/0!</v>
      </c>
      <c r="DKI132" s="531" t="e">
        <f t="shared" si="51"/>
        <v>#DIV/0!</v>
      </c>
      <c r="DKJ132" s="531" t="e">
        <f t="shared" si="51"/>
        <v>#DIV/0!</v>
      </c>
      <c r="DKK132" s="531" t="e">
        <f t="shared" si="51"/>
        <v>#DIV/0!</v>
      </c>
      <c r="DKL132" s="531" t="e">
        <f t="shared" si="51"/>
        <v>#DIV/0!</v>
      </c>
      <c r="DKM132" s="531" t="e">
        <f t="shared" si="51"/>
        <v>#DIV/0!</v>
      </c>
      <c r="DKN132" s="531" t="e">
        <f t="shared" si="51"/>
        <v>#DIV/0!</v>
      </c>
      <c r="DKO132" s="531" t="e">
        <f t="shared" si="51"/>
        <v>#DIV/0!</v>
      </c>
      <c r="DKP132" s="531" t="e">
        <f t="shared" si="51"/>
        <v>#DIV/0!</v>
      </c>
      <c r="DKQ132" s="531" t="e">
        <f t="shared" si="51"/>
        <v>#DIV/0!</v>
      </c>
      <c r="DKR132" s="531" t="e">
        <f t="shared" si="51"/>
        <v>#DIV/0!</v>
      </c>
      <c r="DKS132" s="531" t="e">
        <f t="shared" si="51"/>
        <v>#DIV/0!</v>
      </c>
      <c r="DKT132" s="531" t="e">
        <f t="shared" si="51"/>
        <v>#DIV/0!</v>
      </c>
      <c r="DKU132" s="531" t="e">
        <f t="shared" si="51"/>
        <v>#DIV/0!</v>
      </c>
      <c r="DKV132" s="531" t="e">
        <f t="shared" si="51"/>
        <v>#DIV/0!</v>
      </c>
      <c r="DKW132" s="531" t="e">
        <f t="shared" si="51"/>
        <v>#DIV/0!</v>
      </c>
      <c r="DKX132" s="531" t="e">
        <f t="shared" si="51"/>
        <v>#DIV/0!</v>
      </c>
      <c r="DKY132" s="531" t="e">
        <f t="shared" ref="DKY132:DNJ132" si="52">(DKY128-DKY116)/(DKY52*10^5)</f>
        <v>#DIV/0!</v>
      </c>
      <c r="DKZ132" s="531" t="e">
        <f t="shared" si="52"/>
        <v>#DIV/0!</v>
      </c>
      <c r="DLA132" s="531" t="e">
        <f t="shared" si="52"/>
        <v>#DIV/0!</v>
      </c>
      <c r="DLB132" s="531" t="e">
        <f t="shared" si="52"/>
        <v>#DIV/0!</v>
      </c>
      <c r="DLC132" s="531" t="e">
        <f t="shared" si="52"/>
        <v>#DIV/0!</v>
      </c>
      <c r="DLD132" s="531" t="e">
        <f t="shared" si="52"/>
        <v>#DIV/0!</v>
      </c>
      <c r="DLE132" s="531" t="e">
        <f t="shared" si="52"/>
        <v>#DIV/0!</v>
      </c>
      <c r="DLF132" s="531" t="e">
        <f t="shared" si="52"/>
        <v>#DIV/0!</v>
      </c>
      <c r="DLG132" s="531" t="e">
        <f t="shared" si="52"/>
        <v>#DIV/0!</v>
      </c>
      <c r="DLH132" s="531" t="e">
        <f t="shared" si="52"/>
        <v>#DIV/0!</v>
      </c>
      <c r="DLI132" s="531" t="e">
        <f t="shared" si="52"/>
        <v>#DIV/0!</v>
      </c>
      <c r="DLJ132" s="531" t="e">
        <f t="shared" si="52"/>
        <v>#DIV/0!</v>
      </c>
      <c r="DLK132" s="531" t="e">
        <f t="shared" si="52"/>
        <v>#DIV/0!</v>
      </c>
      <c r="DLL132" s="531" t="e">
        <f t="shared" si="52"/>
        <v>#DIV/0!</v>
      </c>
      <c r="DLM132" s="531" t="e">
        <f t="shared" si="52"/>
        <v>#DIV/0!</v>
      </c>
      <c r="DLN132" s="531" t="e">
        <f t="shared" si="52"/>
        <v>#DIV/0!</v>
      </c>
      <c r="DLO132" s="531" t="e">
        <f t="shared" si="52"/>
        <v>#DIV/0!</v>
      </c>
      <c r="DLP132" s="531" t="e">
        <f t="shared" si="52"/>
        <v>#DIV/0!</v>
      </c>
      <c r="DLQ132" s="531" t="e">
        <f t="shared" si="52"/>
        <v>#DIV/0!</v>
      </c>
      <c r="DLR132" s="531" t="e">
        <f t="shared" si="52"/>
        <v>#DIV/0!</v>
      </c>
      <c r="DLS132" s="531" t="e">
        <f t="shared" si="52"/>
        <v>#DIV/0!</v>
      </c>
      <c r="DLT132" s="531" t="e">
        <f t="shared" si="52"/>
        <v>#DIV/0!</v>
      </c>
      <c r="DLU132" s="531" t="e">
        <f t="shared" si="52"/>
        <v>#DIV/0!</v>
      </c>
      <c r="DLV132" s="531" t="e">
        <f t="shared" si="52"/>
        <v>#DIV/0!</v>
      </c>
      <c r="DLW132" s="531" t="e">
        <f t="shared" si="52"/>
        <v>#DIV/0!</v>
      </c>
      <c r="DLX132" s="531" t="e">
        <f t="shared" si="52"/>
        <v>#DIV/0!</v>
      </c>
      <c r="DLY132" s="531" t="e">
        <f t="shared" si="52"/>
        <v>#DIV/0!</v>
      </c>
      <c r="DLZ132" s="531" t="e">
        <f t="shared" si="52"/>
        <v>#DIV/0!</v>
      </c>
      <c r="DMA132" s="531" t="e">
        <f t="shared" si="52"/>
        <v>#DIV/0!</v>
      </c>
      <c r="DMB132" s="531" t="e">
        <f t="shared" si="52"/>
        <v>#DIV/0!</v>
      </c>
      <c r="DMC132" s="531" t="e">
        <f t="shared" si="52"/>
        <v>#DIV/0!</v>
      </c>
      <c r="DMD132" s="531" t="e">
        <f t="shared" si="52"/>
        <v>#DIV/0!</v>
      </c>
      <c r="DME132" s="531" t="e">
        <f t="shared" si="52"/>
        <v>#DIV/0!</v>
      </c>
      <c r="DMF132" s="531" t="e">
        <f t="shared" si="52"/>
        <v>#DIV/0!</v>
      </c>
      <c r="DMG132" s="531" t="e">
        <f t="shared" si="52"/>
        <v>#DIV/0!</v>
      </c>
      <c r="DMH132" s="531" t="e">
        <f t="shared" si="52"/>
        <v>#DIV/0!</v>
      </c>
      <c r="DMI132" s="531" t="e">
        <f t="shared" si="52"/>
        <v>#DIV/0!</v>
      </c>
      <c r="DMJ132" s="531" t="e">
        <f t="shared" si="52"/>
        <v>#DIV/0!</v>
      </c>
      <c r="DMK132" s="531" t="e">
        <f t="shared" si="52"/>
        <v>#DIV/0!</v>
      </c>
      <c r="DML132" s="531" t="e">
        <f t="shared" si="52"/>
        <v>#DIV/0!</v>
      </c>
      <c r="DMM132" s="531" t="e">
        <f t="shared" si="52"/>
        <v>#DIV/0!</v>
      </c>
      <c r="DMN132" s="531" t="e">
        <f t="shared" si="52"/>
        <v>#DIV/0!</v>
      </c>
      <c r="DMO132" s="531" t="e">
        <f t="shared" si="52"/>
        <v>#DIV/0!</v>
      </c>
      <c r="DMP132" s="531" t="e">
        <f t="shared" si="52"/>
        <v>#DIV/0!</v>
      </c>
      <c r="DMQ132" s="531" t="e">
        <f t="shared" si="52"/>
        <v>#DIV/0!</v>
      </c>
      <c r="DMR132" s="531" t="e">
        <f t="shared" si="52"/>
        <v>#DIV/0!</v>
      </c>
      <c r="DMS132" s="531" t="e">
        <f t="shared" si="52"/>
        <v>#DIV/0!</v>
      </c>
      <c r="DMT132" s="531" t="e">
        <f t="shared" si="52"/>
        <v>#DIV/0!</v>
      </c>
      <c r="DMU132" s="531" t="e">
        <f t="shared" si="52"/>
        <v>#DIV/0!</v>
      </c>
      <c r="DMV132" s="531" t="e">
        <f t="shared" si="52"/>
        <v>#DIV/0!</v>
      </c>
      <c r="DMW132" s="531" t="e">
        <f t="shared" si="52"/>
        <v>#DIV/0!</v>
      </c>
      <c r="DMX132" s="531" t="e">
        <f t="shared" si="52"/>
        <v>#DIV/0!</v>
      </c>
      <c r="DMY132" s="531" t="e">
        <f t="shared" si="52"/>
        <v>#DIV/0!</v>
      </c>
      <c r="DMZ132" s="531" t="e">
        <f t="shared" si="52"/>
        <v>#DIV/0!</v>
      </c>
      <c r="DNA132" s="531" t="e">
        <f t="shared" si="52"/>
        <v>#DIV/0!</v>
      </c>
      <c r="DNB132" s="531" t="e">
        <f t="shared" si="52"/>
        <v>#DIV/0!</v>
      </c>
      <c r="DNC132" s="531" t="e">
        <f t="shared" si="52"/>
        <v>#DIV/0!</v>
      </c>
      <c r="DND132" s="531" t="e">
        <f t="shared" si="52"/>
        <v>#DIV/0!</v>
      </c>
      <c r="DNE132" s="531" t="e">
        <f t="shared" si="52"/>
        <v>#DIV/0!</v>
      </c>
      <c r="DNF132" s="531" t="e">
        <f t="shared" si="52"/>
        <v>#DIV/0!</v>
      </c>
      <c r="DNG132" s="531" t="e">
        <f t="shared" si="52"/>
        <v>#DIV/0!</v>
      </c>
      <c r="DNH132" s="531" t="e">
        <f t="shared" si="52"/>
        <v>#DIV/0!</v>
      </c>
      <c r="DNI132" s="531" t="e">
        <f t="shared" si="52"/>
        <v>#DIV/0!</v>
      </c>
      <c r="DNJ132" s="531" t="e">
        <f t="shared" si="52"/>
        <v>#DIV/0!</v>
      </c>
      <c r="DNK132" s="531" t="e">
        <f t="shared" ref="DNK132:DPV132" si="53">(DNK128-DNK116)/(DNK52*10^5)</f>
        <v>#DIV/0!</v>
      </c>
      <c r="DNL132" s="531" t="e">
        <f t="shared" si="53"/>
        <v>#DIV/0!</v>
      </c>
      <c r="DNM132" s="531" t="e">
        <f t="shared" si="53"/>
        <v>#DIV/0!</v>
      </c>
      <c r="DNN132" s="531" t="e">
        <f t="shared" si="53"/>
        <v>#DIV/0!</v>
      </c>
      <c r="DNO132" s="531" t="e">
        <f t="shared" si="53"/>
        <v>#DIV/0!</v>
      </c>
      <c r="DNP132" s="531" t="e">
        <f t="shared" si="53"/>
        <v>#DIV/0!</v>
      </c>
      <c r="DNQ132" s="531" t="e">
        <f t="shared" si="53"/>
        <v>#DIV/0!</v>
      </c>
      <c r="DNR132" s="531" t="e">
        <f t="shared" si="53"/>
        <v>#DIV/0!</v>
      </c>
      <c r="DNS132" s="531" t="e">
        <f t="shared" si="53"/>
        <v>#DIV/0!</v>
      </c>
      <c r="DNT132" s="531" t="e">
        <f t="shared" si="53"/>
        <v>#DIV/0!</v>
      </c>
      <c r="DNU132" s="531" t="e">
        <f t="shared" si="53"/>
        <v>#DIV/0!</v>
      </c>
      <c r="DNV132" s="531" t="e">
        <f t="shared" si="53"/>
        <v>#DIV/0!</v>
      </c>
      <c r="DNW132" s="531" t="e">
        <f t="shared" si="53"/>
        <v>#DIV/0!</v>
      </c>
      <c r="DNX132" s="531" t="e">
        <f t="shared" si="53"/>
        <v>#DIV/0!</v>
      </c>
      <c r="DNY132" s="531" t="e">
        <f t="shared" si="53"/>
        <v>#DIV/0!</v>
      </c>
      <c r="DNZ132" s="531" t="e">
        <f t="shared" si="53"/>
        <v>#DIV/0!</v>
      </c>
      <c r="DOA132" s="531" t="e">
        <f t="shared" si="53"/>
        <v>#DIV/0!</v>
      </c>
      <c r="DOB132" s="531" t="e">
        <f t="shared" si="53"/>
        <v>#DIV/0!</v>
      </c>
      <c r="DOC132" s="531" t="e">
        <f t="shared" si="53"/>
        <v>#DIV/0!</v>
      </c>
      <c r="DOD132" s="531" t="e">
        <f t="shared" si="53"/>
        <v>#DIV/0!</v>
      </c>
      <c r="DOE132" s="531" t="e">
        <f t="shared" si="53"/>
        <v>#DIV/0!</v>
      </c>
      <c r="DOF132" s="531" t="e">
        <f t="shared" si="53"/>
        <v>#DIV/0!</v>
      </c>
      <c r="DOG132" s="531" t="e">
        <f t="shared" si="53"/>
        <v>#DIV/0!</v>
      </c>
      <c r="DOH132" s="531" t="e">
        <f t="shared" si="53"/>
        <v>#DIV/0!</v>
      </c>
      <c r="DOI132" s="531" t="e">
        <f t="shared" si="53"/>
        <v>#DIV/0!</v>
      </c>
      <c r="DOJ132" s="531" t="e">
        <f t="shared" si="53"/>
        <v>#DIV/0!</v>
      </c>
      <c r="DOK132" s="531" t="e">
        <f t="shared" si="53"/>
        <v>#DIV/0!</v>
      </c>
      <c r="DOL132" s="531" t="e">
        <f t="shared" si="53"/>
        <v>#DIV/0!</v>
      </c>
      <c r="DOM132" s="531" t="e">
        <f t="shared" si="53"/>
        <v>#DIV/0!</v>
      </c>
      <c r="DON132" s="531" t="e">
        <f t="shared" si="53"/>
        <v>#DIV/0!</v>
      </c>
      <c r="DOO132" s="531" t="e">
        <f t="shared" si="53"/>
        <v>#DIV/0!</v>
      </c>
      <c r="DOP132" s="531" t="e">
        <f t="shared" si="53"/>
        <v>#DIV/0!</v>
      </c>
      <c r="DOQ132" s="531" t="e">
        <f t="shared" si="53"/>
        <v>#DIV/0!</v>
      </c>
      <c r="DOR132" s="531" t="e">
        <f t="shared" si="53"/>
        <v>#DIV/0!</v>
      </c>
      <c r="DOS132" s="531" t="e">
        <f t="shared" si="53"/>
        <v>#DIV/0!</v>
      </c>
      <c r="DOT132" s="531" t="e">
        <f t="shared" si="53"/>
        <v>#DIV/0!</v>
      </c>
      <c r="DOU132" s="531" t="e">
        <f t="shared" si="53"/>
        <v>#DIV/0!</v>
      </c>
      <c r="DOV132" s="531" t="e">
        <f t="shared" si="53"/>
        <v>#DIV/0!</v>
      </c>
      <c r="DOW132" s="531" t="e">
        <f t="shared" si="53"/>
        <v>#DIV/0!</v>
      </c>
      <c r="DOX132" s="531" t="e">
        <f t="shared" si="53"/>
        <v>#DIV/0!</v>
      </c>
      <c r="DOY132" s="531" t="e">
        <f t="shared" si="53"/>
        <v>#DIV/0!</v>
      </c>
      <c r="DOZ132" s="531" t="e">
        <f t="shared" si="53"/>
        <v>#DIV/0!</v>
      </c>
      <c r="DPA132" s="531" t="e">
        <f t="shared" si="53"/>
        <v>#DIV/0!</v>
      </c>
      <c r="DPB132" s="531" t="e">
        <f t="shared" si="53"/>
        <v>#DIV/0!</v>
      </c>
      <c r="DPC132" s="531" t="e">
        <f t="shared" si="53"/>
        <v>#DIV/0!</v>
      </c>
      <c r="DPD132" s="531" t="e">
        <f t="shared" si="53"/>
        <v>#DIV/0!</v>
      </c>
      <c r="DPE132" s="531" t="e">
        <f t="shared" si="53"/>
        <v>#DIV/0!</v>
      </c>
      <c r="DPF132" s="531" t="e">
        <f t="shared" si="53"/>
        <v>#DIV/0!</v>
      </c>
      <c r="DPG132" s="531" t="e">
        <f t="shared" si="53"/>
        <v>#DIV/0!</v>
      </c>
      <c r="DPH132" s="531" t="e">
        <f t="shared" si="53"/>
        <v>#DIV/0!</v>
      </c>
      <c r="DPI132" s="531" t="e">
        <f t="shared" si="53"/>
        <v>#DIV/0!</v>
      </c>
      <c r="DPJ132" s="531" t="e">
        <f t="shared" si="53"/>
        <v>#DIV/0!</v>
      </c>
      <c r="DPK132" s="531" t="e">
        <f t="shared" si="53"/>
        <v>#DIV/0!</v>
      </c>
      <c r="DPL132" s="531" t="e">
        <f t="shared" si="53"/>
        <v>#DIV/0!</v>
      </c>
      <c r="DPM132" s="531" t="e">
        <f t="shared" si="53"/>
        <v>#DIV/0!</v>
      </c>
      <c r="DPN132" s="531" t="e">
        <f t="shared" si="53"/>
        <v>#DIV/0!</v>
      </c>
      <c r="DPO132" s="531" t="e">
        <f t="shared" si="53"/>
        <v>#DIV/0!</v>
      </c>
      <c r="DPP132" s="531" t="e">
        <f t="shared" si="53"/>
        <v>#DIV/0!</v>
      </c>
      <c r="DPQ132" s="531" t="e">
        <f t="shared" si="53"/>
        <v>#DIV/0!</v>
      </c>
      <c r="DPR132" s="531" t="e">
        <f t="shared" si="53"/>
        <v>#DIV/0!</v>
      </c>
      <c r="DPS132" s="531" t="e">
        <f t="shared" si="53"/>
        <v>#DIV/0!</v>
      </c>
      <c r="DPT132" s="531" t="e">
        <f t="shared" si="53"/>
        <v>#DIV/0!</v>
      </c>
      <c r="DPU132" s="531" t="e">
        <f t="shared" si="53"/>
        <v>#DIV/0!</v>
      </c>
      <c r="DPV132" s="531" t="e">
        <f t="shared" si="53"/>
        <v>#DIV/0!</v>
      </c>
      <c r="DPW132" s="531" t="e">
        <f t="shared" ref="DPW132:DSH132" si="54">(DPW128-DPW116)/(DPW52*10^5)</f>
        <v>#DIV/0!</v>
      </c>
      <c r="DPX132" s="531" t="e">
        <f t="shared" si="54"/>
        <v>#DIV/0!</v>
      </c>
      <c r="DPY132" s="531" t="e">
        <f t="shared" si="54"/>
        <v>#DIV/0!</v>
      </c>
      <c r="DPZ132" s="531" t="e">
        <f t="shared" si="54"/>
        <v>#DIV/0!</v>
      </c>
      <c r="DQA132" s="531" t="e">
        <f t="shared" si="54"/>
        <v>#DIV/0!</v>
      </c>
      <c r="DQB132" s="531" t="e">
        <f t="shared" si="54"/>
        <v>#DIV/0!</v>
      </c>
      <c r="DQC132" s="531" t="e">
        <f t="shared" si="54"/>
        <v>#DIV/0!</v>
      </c>
      <c r="DQD132" s="531" t="e">
        <f t="shared" si="54"/>
        <v>#DIV/0!</v>
      </c>
      <c r="DQE132" s="531" t="e">
        <f t="shared" si="54"/>
        <v>#DIV/0!</v>
      </c>
      <c r="DQF132" s="531" t="e">
        <f t="shared" si="54"/>
        <v>#DIV/0!</v>
      </c>
      <c r="DQG132" s="531" t="e">
        <f t="shared" si="54"/>
        <v>#DIV/0!</v>
      </c>
      <c r="DQH132" s="531" t="e">
        <f t="shared" si="54"/>
        <v>#DIV/0!</v>
      </c>
      <c r="DQI132" s="531" t="e">
        <f t="shared" si="54"/>
        <v>#DIV/0!</v>
      </c>
      <c r="DQJ132" s="531" t="e">
        <f t="shared" si="54"/>
        <v>#DIV/0!</v>
      </c>
      <c r="DQK132" s="531" t="e">
        <f t="shared" si="54"/>
        <v>#DIV/0!</v>
      </c>
      <c r="DQL132" s="531" t="e">
        <f t="shared" si="54"/>
        <v>#DIV/0!</v>
      </c>
      <c r="DQM132" s="531" t="e">
        <f t="shared" si="54"/>
        <v>#DIV/0!</v>
      </c>
      <c r="DQN132" s="531" t="e">
        <f t="shared" si="54"/>
        <v>#DIV/0!</v>
      </c>
      <c r="DQO132" s="531" t="e">
        <f t="shared" si="54"/>
        <v>#DIV/0!</v>
      </c>
      <c r="DQP132" s="531" t="e">
        <f t="shared" si="54"/>
        <v>#DIV/0!</v>
      </c>
      <c r="DQQ132" s="531" t="e">
        <f t="shared" si="54"/>
        <v>#DIV/0!</v>
      </c>
      <c r="DQR132" s="531" t="e">
        <f t="shared" si="54"/>
        <v>#DIV/0!</v>
      </c>
      <c r="DQS132" s="531" t="e">
        <f t="shared" si="54"/>
        <v>#DIV/0!</v>
      </c>
      <c r="DQT132" s="531" t="e">
        <f t="shared" si="54"/>
        <v>#DIV/0!</v>
      </c>
      <c r="DQU132" s="531" t="e">
        <f t="shared" si="54"/>
        <v>#DIV/0!</v>
      </c>
      <c r="DQV132" s="531" t="e">
        <f t="shared" si="54"/>
        <v>#DIV/0!</v>
      </c>
      <c r="DQW132" s="531" t="e">
        <f t="shared" si="54"/>
        <v>#DIV/0!</v>
      </c>
      <c r="DQX132" s="531" t="e">
        <f t="shared" si="54"/>
        <v>#DIV/0!</v>
      </c>
      <c r="DQY132" s="531" t="e">
        <f t="shared" si="54"/>
        <v>#DIV/0!</v>
      </c>
      <c r="DQZ132" s="531" t="e">
        <f t="shared" si="54"/>
        <v>#DIV/0!</v>
      </c>
      <c r="DRA132" s="531" t="e">
        <f t="shared" si="54"/>
        <v>#DIV/0!</v>
      </c>
      <c r="DRB132" s="531" t="e">
        <f t="shared" si="54"/>
        <v>#DIV/0!</v>
      </c>
      <c r="DRC132" s="531" t="e">
        <f t="shared" si="54"/>
        <v>#DIV/0!</v>
      </c>
      <c r="DRD132" s="531" t="e">
        <f t="shared" si="54"/>
        <v>#DIV/0!</v>
      </c>
      <c r="DRE132" s="531" t="e">
        <f t="shared" si="54"/>
        <v>#DIV/0!</v>
      </c>
      <c r="DRF132" s="531" t="e">
        <f t="shared" si="54"/>
        <v>#DIV/0!</v>
      </c>
      <c r="DRG132" s="531" t="e">
        <f t="shared" si="54"/>
        <v>#DIV/0!</v>
      </c>
      <c r="DRH132" s="531" t="e">
        <f t="shared" si="54"/>
        <v>#DIV/0!</v>
      </c>
      <c r="DRI132" s="531" t="e">
        <f t="shared" si="54"/>
        <v>#DIV/0!</v>
      </c>
      <c r="DRJ132" s="531" t="e">
        <f t="shared" si="54"/>
        <v>#DIV/0!</v>
      </c>
      <c r="DRK132" s="531" t="e">
        <f t="shared" si="54"/>
        <v>#DIV/0!</v>
      </c>
      <c r="DRL132" s="531" t="e">
        <f t="shared" si="54"/>
        <v>#DIV/0!</v>
      </c>
      <c r="DRM132" s="531" t="e">
        <f t="shared" si="54"/>
        <v>#DIV/0!</v>
      </c>
      <c r="DRN132" s="531" t="e">
        <f t="shared" si="54"/>
        <v>#DIV/0!</v>
      </c>
      <c r="DRO132" s="531" t="e">
        <f t="shared" si="54"/>
        <v>#DIV/0!</v>
      </c>
      <c r="DRP132" s="531" t="e">
        <f t="shared" si="54"/>
        <v>#DIV/0!</v>
      </c>
      <c r="DRQ132" s="531" t="e">
        <f t="shared" si="54"/>
        <v>#DIV/0!</v>
      </c>
      <c r="DRR132" s="531" t="e">
        <f t="shared" si="54"/>
        <v>#DIV/0!</v>
      </c>
      <c r="DRS132" s="531" t="e">
        <f t="shared" si="54"/>
        <v>#DIV/0!</v>
      </c>
      <c r="DRT132" s="531" t="e">
        <f t="shared" si="54"/>
        <v>#DIV/0!</v>
      </c>
      <c r="DRU132" s="531" t="e">
        <f t="shared" si="54"/>
        <v>#DIV/0!</v>
      </c>
      <c r="DRV132" s="531" t="e">
        <f t="shared" si="54"/>
        <v>#DIV/0!</v>
      </c>
      <c r="DRW132" s="531" t="e">
        <f t="shared" si="54"/>
        <v>#DIV/0!</v>
      </c>
      <c r="DRX132" s="531" t="e">
        <f t="shared" si="54"/>
        <v>#DIV/0!</v>
      </c>
      <c r="DRY132" s="531" t="e">
        <f t="shared" si="54"/>
        <v>#DIV/0!</v>
      </c>
      <c r="DRZ132" s="531" t="e">
        <f t="shared" si="54"/>
        <v>#DIV/0!</v>
      </c>
      <c r="DSA132" s="531" t="e">
        <f t="shared" si="54"/>
        <v>#DIV/0!</v>
      </c>
      <c r="DSB132" s="531" t="e">
        <f t="shared" si="54"/>
        <v>#DIV/0!</v>
      </c>
      <c r="DSC132" s="531" t="e">
        <f t="shared" si="54"/>
        <v>#DIV/0!</v>
      </c>
      <c r="DSD132" s="531" t="e">
        <f t="shared" si="54"/>
        <v>#DIV/0!</v>
      </c>
      <c r="DSE132" s="531" t="e">
        <f t="shared" si="54"/>
        <v>#DIV/0!</v>
      </c>
      <c r="DSF132" s="531" t="e">
        <f t="shared" si="54"/>
        <v>#DIV/0!</v>
      </c>
      <c r="DSG132" s="531" t="e">
        <f t="shared" si="54"/>
        <v>#DIV/0!</v>
      </c>
      <c r="DSH132" s="531" t="e">
        <f t="shared" si="54"/>
        <v>#DIV/0!</v>
      </c>
      <c r="DSI132" s="531" t="e">
        <f t="shared" ref="DSI132:DUT132" si="55">(DSI128-DSI116)/(DSI52*10^5)</f>
        <v>#DIV/0!</v>
      </c>
      <c r="DSJ132" s="531" t="e">
        <f t="shared" si="55"/>
        <v>#DIV/0!</v>
      </c>
      <c r="DSK132" s="531" t="e">
        <f t="shared" si="55"/>
        <v>#DIV/0!</v>
      </c>
      <c r="DSL132" s="531" t="e">
        <f t="shared" si="55"/>
        <v>#DIV/0!</v>
      </c>
      <c r="DSM132" s="531" t="e">
        <f t="shared" si="55"/>
        <v>#DIV/0!</v>
      </c>
      <c r="DSN132" s="531" t="e">
        <f t="shared" si="55"/>
        <v>#DIV/0!</v>
      </c>
      <c r="DSO132" s="531" t="e">
        <f t="shared" si="55"/>
        <v>#DIV/0!</v>
      </c>
      <c r="DSP132" s="531" t="e">
        <f t="shared" si="55"/>
        <v>#DIV/0!</v>
      </c>
      <c r="DSQ132" s="531" t="e">
        <f t="shared" si="55"/>
        <v>#DIV/0!</v>
      </c>
      <c r="DSR132" s="531" t="e">
        <f t="shared" si="55"/>
        <v>#DIV/0!</v>
      </c>
      <c r="DSS132" s="531" t="e">
        <f t="shared" si="55"/>
        <v>#DIV/0!</v>
      </c>
      <c r="DST132" s="531" t="e">
        <f t="shared" si="55"/>
        <v>#DIV/0!</v>
      </c>
      <c r="DSU132" s="531" t="e">
        <f t="shared" si="55"/>
        <v>#DIV/0!</v>
      </c>
      <c r="DSV132" s="531" t="e">
        <f t="shared" si="55"/>
        <v>#DIV/0!</v>
      </c>
      <c r="DSW132" s="531" t="e">
        <f t="shared" si="55"/>
        <v>#DIV/0!</v>
      </c>
      <c r="DSX132" s="531" t="e">
        <f t="shared" si="55"/>
        <v>#DIV/0!</v>
      </c>
      <c r="DSY132" s="531" t="e">
        <f t="shared" si="55"/>
        <v>#DIV/0!</v>
      </c>
      <c r="DSZ132" s="531" t="e">
        <f t="shared" si="55"/>
        <v>#DIV/0!</v>
      </c>
      <c r="DTA132" s="531" t="e">
        <f t="shared" si="55"/>
        <v>#DIV/0!</v>
      </c>
      <c r="DTB132" s="531" t="e">
        <f t="shared" si="55"/>
        <v>#DIV/0!</v>
      </c>
      <c r="DTC132" s="531" t="e">
        <f t="shared" si="55"/>
        <v>#DIV/0!</v>
      </c>
      <c r="DTD132" s="531" t="e">
        <f t="shared" si="55"/>
        <v>#DIV/0!</v>
      </c>
      <c r="DTE132" s="531" t="e">
        <f t="shared" si="55"/>
        <v>#DIV/0!</v>
      </c>
      <c r="DTF132" s="531" t="e">
        <f t="shared" si="55"/>
        <v>#DIV/0!</v>
      </c>
      <c r="DTG132" s="531" t="e">
        <f t="shared" si="55"/>
        <v>#DIV/0!</v>
      </c>
      <c r="DTH132" s="531" t="e">
        <f t="shared" si="55"/>
        <v>#DIV/0!</v>
      </c>
      <c r="DTI132" s="531" t="e">
        <f t="shared" si="55"/>
        <v>#DIV/0!</v>
      </c>
      <c r="DTJ132" s="531" t="e">
        <f t="shared" si="55"/>
        <v>#DIV/0!</v>
      </c>
      <c r="DTK132" s="531" t="e">
        <f t="shared" si="55"/>
        <v>#DIV/0!</v>
      </c>
      <c r="DTL132" s="531" t="e">
        <f t="shared" si="55"/>
        <v>#DIV/0!</v>
      </c>
      <c r="DTM132" s="531" t="e">
        <f t="shared" si="55"/>
        <v>#DIV/0!</v>
      </c>
      <c r="DTN132" s="531" t="e">
        <f t="shared" si="55"/>
        <v>#DIV/0!</v>
      </c>
      <c r="DTO132" s="531" t="e">
        <f t="shared" si="55"/>
        <v>#DIV/0!</v>
      </c>
      <c r="DTP132" s="531" t="e">
        <f t="shared" si="55"/>
        <v>#DIV/0!</v>
      </c>
      <c r="DTQ132" s="531" t="e">
        <f t="shared" si="55"/>
        <v>#DIV/0!</v>
      </c>
      <c r="DTR132" s="531" t="e">
        <f t="shared" si="55"/>
        <v>#DIV/0!</v>
      </c>
      <c r="DTS132" s="531" t="e">
        <f t="shared" si="55"/>
        <v>#DIV/0!</v>
      </c>
      <c r="DTT132" s="531" t="e">
        <f t="shared" si="55"/>
        <v>#DIV/0!</v>
      </c>
      <c r="DTU132" s="531" t="e">
        <f t="shared" si="55"/>
        <v>#DIV/0!</v>
      </c>
      <c r="DTV132" s="531" t="e">
        <f t="shared" si="55"/>
        <v>#DIV/0!</v>
      </c>
      <c r="DTW132" s="531" t="e">
        <f t="shared" si="55"/>
        <v>#DIV/0!</v>
      </c>
      <c r="DTX132" s="531" t="e">
        <f t="shared" si="55"/>
        <v>#DIV/0!</v>
      </c>
      <c r="DTY132" s="531" t="e">
        <f t="shared" si="55"/>
        <v>#DIV/0!</v>
      </c>
      <c r="DTZ132" s="531" t="e">
        <f t="shared" si="55"/>
        <v>#DIV/0!</v>
      </c>
      <c r="DUA132" s="531" t="e">
        <f t="shared" si="55"/>
        <v>#DIV/0!</v>
      </c>
      <c r="DUB132" s="531" t="e">
        <f t="shared" si="55"/>
        <v>#DIV/0!</v>
      </c>
      <c r="DUC132" s="531" t="e">
        <f t="shared" si="55"/>
        <v>#DIV/0!</v>
      </c>
      <c r="DUD132" s="531" t="e">
        <f t="shared" si="55"/>
        <v>#DIV/0!</v>
      </c>
      <c r="DUE132" s="531" t="e">
        <f t="shared" si="55"/>
        <v>#DIV/0!</v>
      </c>
      <c r="DUF132" s="531" t="e">
        <f t="shared" si="55"/>
        <v>#DIV/0!</v>
      </c>
      <c r="DUG132" s="531" t="e">
        <f t="shared" si="55"/>
        <v>#DIV/0!</v>
      </c>
      <c r="DUH132" s="531" t="e">
        <f t="shared" si="55"/>
        <v>#DIV/0!</v>
      </c>
      <c r="DUI132" s="531" t="e">
        <f t="shared" si="55"/>
        <v>#DIV/0!</v>
      </c>
      <c r="DUJ132" s="531" t="e">
        <f t="shared" si="55"/>
        <v>#DIV/0!</v>
      </c>
      <c r="DUK132" s="531" t="e">
        <f t="shared" si="55"/>
        <v>#DIV/0!</v>
      </c>
      <c r="DUL132" s="531" t="e">
        <f t="shared" si="55"/>
        <v>#DIV/0!</v>
      </c>
      <c r="DUM132" s="531" t="e">
        <f t="shared" si="55"/>
        <v>#DIV/0!</v>
      </c>
      <c r="DUN132" s="531" t="e">
        <f t="shared" si="55"/>
        <v>#DIV/0!</v>
      </c>
      <c r="DUO132" s="531" t="e">
        <f t="shared" si="55"/>
        <v>#DIV/0!</v>
      </c>
      <c r="DUP132" s="531" t="e">
        <f t="shared" si="55"/>
        <v>#DIV/0!</v>
      </c>
      <c r="DUQ132" s="531" t="e">
        <f t="shared" si="55"/>
        <v>#DIV/0!</v>
      </c>
      <c r="DUR132" s="531" t="e">
        <f t="shared" si="55"/>
        <v>#DIV/0!</v>
      </c>
      <c r="DUS132" s="531" t="e">
        <f t="shared" si="55"/>
        <v>#DIV/0!</v>
      </c>
      <c r="DUT132" s="531" t="e">
        <f t="shared" si="55"/>
        <v>#DIV/0!</v>
      </c>
      <c r="DUU132" s="531" t="e">
        <f t="shared" ref="DUU132:DXF132" si="56">(DUU128-DUU116)/(DUU52*10^5)</f>
        <v>#DIV/0!</v>
      </c>
      <c r="DUV132" s="531" t="e">
        <f t="shared" si="56"/>
        <v>#DIV/0!</v>
      </c>
      <c r="DUW132" s="531" t="e">
        <f t="shared" si="56"/>
        <v>#DIV/0!</v>
      </c>
      <c r="DUX132" s="531" t="e">
        <f t="shared" si="56"/>
        <v>#DIV/0!</v>
      </c>
      <c r="DUY132" s="531" t="e">
        <f t="shared" si="56"/>
        <v>#DIV/0!</v>
      </c>
      <c r="DUZ132" s="531" t="e">
        <f t="shared" si="56"/>
        <v>#DIV/0!</v>
      </c>
      <c r="DVA132" s="531" t="e">
        <f t="shared" si="56"/>
        <v>#DIV/0!</v>
      </c>
      <c r="DVB132" s="531" t="e">
        <f t="shared" si="56"/>
        <v>#DIV/0!</v>
      </c>
      <c r="DVC132" s="531" t="e">
        <f t="shared" si="56"/>
        <v>#DIV/0!</v>
      </c>
      <c r="DVD132" s="531" t="e">
        <f t="shared" si="56"/>
        <v>#DIV/0!</v>
      </c>
      <c r="DVE132" s="531" t="e">
        <f t="shared" si="56"/>
        <v>#DIV/0!</v>
      </c>
      <c r="DVF132" s="531" t="e">
        <f t="shared" si="56"/>
        <v>#DIV/0!</v>
      </c>
      <c r="DVG132" s="531" t="e">
        <f t="shared" si="56"/>
        <v>#DIV/0!</v>
      </c>
      <c r="DVH132" s="531" t="e">
        <f t="shared" si="56"/>
        <v>#DIV/0!</v>
      </c>
      <c r="DVI132" s="531" t="e">
        <f t="shared" si="56"/>
        <v>#DIV/0!</v>
      </c>
      <c r="DVJ132" s="531" t="e">
        <f t="shared" si="56"/>
        <v>#DIV/0!</v>
      </c>
      <c r="DVK132" s="531" t="e">
        <f t="shared" si="56"/>
        <v>#DIV/0!</v>
      </c>
      <c r="DVL132" s="531" t="e">
        <f t="shared" si="56"/>
        <v>#DIV/0!</v>
      </c>
      <c r="DVM132" s="531" t="e">
        <f t="shared" si="56"/>
        <v>#DIV/0!</v>
      </c>
      <c r="DVN132" s="531" t="e">
        <f t="shared" si="56"/>
        <v>#DIV/0!</v>
      </c>
      <c r="DVO132" s="531" t="e">
        <f t="shared" si="56"/>
        <v>#DIV/0!</v>
      </c>
      <c r="DVP132" s="531" t="e">
        <f t="shared" si="56"/>
        <v>#DIV/0!</v>
      </c>
      <c r="DVQ132" s="531" t="e">
        <f t="shared" si="56"/>
        <v>#DIV/0!</v>
      </c>
      <c r="DVR132" s="531" t="e">
        <f t="shared" si="56"/>
        <v>#DIV/0!</v>
      </c>
      <c r="DVS132" s="531" t="e">
        <f t="shared" si="56"/>
        <v>#DIV/0!</v>
      </c>
      <c r="DVT132" s="531" t="e">
        <f t="shared" si="56"/>
        <v>#DIV/0!</v>
      </c>
      <c r="DVU132" s="531" t="e">
        <f t="shared" si="56"/>
        <v>#DIV/0!</v>
      </c>
      <c r="DVV132" s="531" t="e">
        <f t="shared" si="56"/>
        <v>#DIV/0!</v>
      </c>
      <c r="DVW132" s="531" t="e">
        <f t="shared" si="56"/>
        <v>#DIV/0!</v>
      </c>
      <c r="DVX132" s="531" t="e">
        <f t="shared" si="56"/>
        <v>#DIV/0!</v>
      </c>
      <c r="DVY132" s="531" t="e">
        <f t="shared" si="56"/>
        <v>#DIV/0!</v>
      </c>
      <c r="DVZ132" s="531" t="e">
        <f t="shared" si="56"/>
        <v>#DIV/0!</v>
      </c>
      <c r="DWA132" s="531" t="e">
        <f t="shared" si="56"/>
        <v>#DIV/0!</v>
      </c>
      <c r="DWB132" s="531" t="e">
        <f t="shared" si="56"/>
        <v>#DIV/0!</v>
      </c>
      <c r="DWC132" s="531" t="e">
        <f t="shared" si="56"/>
        <v>#DIV/0!</v>
      </c>
      <c r="DWD132" s="531" t="e">
        <f t="shared" si="56"/>
        <v>#DIV/0!</v>
      </c>
      <c r="DWE132" s="531" t="e">
        <f t="shared" si="56"/>
        <v>#DIV/0!</v>
      </c>
      <c r="DWF132" s="531" t="e">
        <f t="shared" si="56"/>
        <v>#DIV/0!</v>
      </c>
      <c r="DWG132" s="531" t="e">
        <f t="shared" si="56"/>
        <v>#DIV/0!</v>
      </c>
      <c r="DWH132" s="531" t="e">
        <f t="shared" si="56"/>
        <v>#DIV/0!</v>
      </c>
      <c r="DWI132" s="531" t="e">
        <f t="shared" si="56"/>
        <v>#DIV/0!</v>
      </c>
      <c r="DWJ132" s="531" t="e">
        <f t="shared" si="56"/>
        <v>#DIV/0!</v>
      </c>
      <c r="DWK132" s="531" t="e">
        <f t="shared" si="56"/>
        <v>#DIV/0!</v>
      </c>
      <c r="DWL132" s="531" t="e">
        <f t="shared" si="56"/>
        <v>#DIV/0!</v>
      </c>
      <c r="DWM132" s="531" t="e">
        <f t="shared" si="56"/>
        <v>#DIV/0!</v>
      </c>
      <c r="DWN132" s="531" t="e">
        <f t="shared" si="56"/>
        <v>#DIV/0!</v>
      </c>
      <c r="DWO132" s="531" t="e">
        <f t="shared" si="56"/>
        <v>#DIV/0!</v>
      </c>
      <c r="DWP132" s="531" t="e">
        <f t="shared" si="56"/>
        <v>#DIV/0!</v>
      </c>
      <c r="DWQ132" s="531" t="e">
        <f t="shared" si="56"/>
        <v>#DIV/0!</v>
      </c>
      <c r="DWR132" s="531" t="e">
        <f t="shared" si="56"/>
        <v>#DIV/0!</v>
      </c>
      <c r="DWS132" s="531" t="e">
        <f t="shared" si="56"/>
        <v>#DIV/0!</v>
      </c>
      <c r="DWT132" s="531" t="e">
        <f t="shared" si="56"/>
        <v>#DIV/0!</v>
      </c>
      <c r="DWU132" s="531" t="e">
        <f t="shared" si="56"/>
        <v>#DIV/0!</v>
      </c>
      <c r="DWV132" s="531" t="e">
        <f t="shared" si="56"/>
        <v>#DIV/0!</v>
      </c>
      <c r="DWW132" s="531" t="e">
        <f t="shared" si="56"/>
        <v>#DIV/0!</v>
      </c>
      <c r="DWX132" s="531" t="e">
        <f t="shared" si="56"/>
        <v>#DIV/0!</v>
      </c>
      <c r="DWY132" s="531" t="e">
        <f t="shared" si="56"/>
        <v>#DIV/0!</v>
      </c>
      <c r="DWZ132" s="531" t="e">
        <f t="shared" si="56"/>
        <v>#DIV/0!</v>
      </c>
      <c r="DXA132" s="531" t="e">
        <f t="shared" si="56"/>
        <v>#DIV/0!</v>
      </c>
      <c r="DXB132" s="531" t="e">
        <f t="shared" si="56"/>
        <v>#DIV/0!</v>
      </c>
      <c r="DXC132" s="531" t="e">
        <f t="shared" si="56"/>
        <v>#DIV/0!</v>
      </c>
      <c r="DXD132" s="531" t="e">
        <f t="shared" si="56"/>
        <v>#DIV/0!</v>
      </c>
      <c r="DXE132" s="531" t="e">
        <f t="shared" si="56"/>
        <v>#DIV/0!</v>
      </c>
      <c r="DXF132" s="531" t="e">
        <f t="shared" si="56"/>
        <v>#DIV/0!</v>
      </c>
      <c r="DXG132" s="531" t="e">
        <f t="shared" ref="DXG132:DZR132" si="57">(DXG128-DXG116)/(DXG52*10^5)</f>
        <v>#DIV/0!</v>
      </c>
      <c r="DXH132" s="531" t="e">
        <f t="shared" si="57"/>
        <v>#DIV/0!</v>
      </c>
      <c r="DXI132" s="531" t="e">
        <f t="shared" si="57"/>
        <v>#DIV/0!</v>
      </c>
      <c r="DXJ132" s="531" t="e">
        <f t="shared" si="57"/>
        <v>#DIV/0!</v>
      </c>
      <c r="DXK132" s="531" t="e">
        <f t="shared" si="57"/>
        <v>#DIV/0!</v>
      </c>
      <c r="DXL132" s="531" t="e">
        <f t="shared" si="57"/>
        <v>#DIV/0!</v>
      </c>
      <c r="DXM132" s="531" t="e">
        <f t="shared" si="57"/>
        <v>#DIV/0!</v>
      </c>
      <c r="DXN132" s="531" t="e">
        <f t="shared" si="57"/>
        <v>#DIV/0!</v>
      </c>
      <c r="DXO132" s="531" t="e">
        <f t="shared" si="57"/>
        <v>#DIV/0!</v>
      </c>
      <c r="DXP132" s="531" t="e">
        <f t="shared" si="57"/>
        <v>#DIV/0!</v>
      </c>
      <c r="DXQ132" s="531" t="e">
        <f t="shared" si="57"/>
        <v>#DIV/0!</v>
      </c>
      <c r="DXR132" s="531" t="e">
        <f t="shared" si="57"/>
        <v>#DIV/0!</v>
      </c>
      <c r="DXS132" s="531" t="e">
        <f t="shared" si="57"/>
        <v>#DIV/0!</v>
      </c>
      <c r="DXT132" s="531" t="e">
        <f t="shared" si="57"/>
        <v>#DIV/0!</v>
      </c>
      <c r="DXU132" s="531" t="e">
        <f t="shared" si="57"/>
        <v>#DIV/0!</v>
      </c>
      <c r="DXV132" s="531" t="e">
        <f t="shared" si="57"/>
        <v>#DIV/0!</v>
      </c>
      <c r="DXW132" s="531" t="e">
        <f t="shared" si="57"/>
        <v>#DIV/0!</v>
      </c>
      <c r="DXX132" s="531" t="e">
        <f t="shared" si="57"/>
        <v>#DIV/0!</v>
      </c>
      <c r="DXY132" s="531" t="e">
        <f t="shared" si="57"/>
        <v>#DIV/0!</v>
      </c>
      <c r="DXZ132" s="531" t="e">
        <f t="shared" si="57"/>
        <v>#DIV/0!</v>
      </c>
      <c r="DYA132" s="531" t="e">
        <f t="shared" si="57"/>
        <v>#DIV/0!</v>
      </c>
      <c r="DYB132" s="531" t="e">
        <f t="shared" si="57"/>
        <v>#DIV/0!</v>
      </c>
      <c r="DYC132" s="531" t="e">
        <f t="shared" si="57"/>
        <v>#DIV/0!</v>
      </c>
      <c r="DYD132" s="531" t="e">
        <f t="shared" si="57"/>
        <v>#DIV/0!</v>
      </c>
      <c r="DYE132" s="531" t="e">
        <f t="shared" si="57"/>
        <v>#DIV/0!</v>
      </c>
      <c r="DYF132" s="531" t="e">
        <f t="shared" si="57"/>
        <v>#DIV/0!</v>
      </c>
      <c r="DYG132" s="531" t="e">
        <f t="shared" si="57"/>
        <v>#DIV/0!</v>
      </c>
      <c r="DYH132" s="531" t="e">
        <f t="shared" si="57"/>
        <v>#DIV/0!</v>
      </c>
      <c r="DYI132" s="531" t="e">
        <f t="shared" si="57"/>
        <v>#DIV/0!</v>
      </c>
      <c r="DYJ132" s="531" t="e">
        <f t="shared" si="57"/>
        <v>#DIV/0!</v>
      </c>
      <c r="DYK132" s="531" t="e">
        <f t="shared" si="57"/>
        <v>#DIV/0!</v>
      </c>
      <c r="DYL132" s="531" t="e">
        <f t="shared" si="57"/>
        <v>#DIV/0!</v>
      </c>
      <c r="DYM132" s="531" t="e">
        <f t="shared" si="57"/>
        <v>#DIV/0!</v>
      </c>
      <c r="DYN132" s="531" t="e">
        <f t="shared" si="57"/>
        <v>#DIV/0!</v>
      </c>
      <c r="DYO132" s="531" t="e">
        <f t="shared" si="57"/>
        <v>#DIV/0!</v>
      </c>
      <c r="DYP132" s="531" t="e">
        <f t="shared" si="57"/>
        <v>#DIV/0!</v>
      </c>
      <c r="DYQ132" s="531" t="e">
        <f t="shared" si="57"/>
        <v>#DIV/0!</v>
      </c>
      <c r="DYR132" s="531" t="e">
        <f t="shared" si="57"/>
        <v>#DIV/0!</v>
      </c>
      <c r="DYS132" s="531" t="e">
        <f t="shared" si="57"/>
        <v>#DIV/0!</v>
      </c>
      <c r="DYT132" s="531" t="e">
        <f t="shared" si="57"/>
        <v>#DIV/0!</v>
      </c>
      <c r="DYU132" s="531" t="e">
        <f t="shared" si="57"/>
        <v>#DIV/0!</v>
      </c>
      <c r="DYV132" s="531" t="e">
        <f t="shared" si="57"/>
        <v>#DIV/0!</v>
      </c>
      <c r="DYW132" s="531" t="e">
        <f t="shared" si="57"/>
        <v>#DIV/0!</v>
      </c>
      <c r="DYX132" s="531" t="e">
        <f t="shared" si="57"/>
        <v>#DIV/0!</v>
      </c>
      <c r="DYY132" s="531" t="e">
        <f t="shared" si="57"/>
        <v>#DIV/0!</v>
      </c>
      <c r="DYZ132" s="531" t="e">
        <f t="shared" si="57"/>
        <v>#DIV/0!</v>
      </c>
      <c r="DZA132" s="531" t="e">
        <f t="shared" si="57"/>
        <v>#DIV/0!</v>
      </c>
      <c r="DZB132" s="531" t="e">
        <f t="shared" si="57"/>
        <v>#DIV/0!</v>
      </c>
      <c r="DZC132" s="531" t="e">
        <f t="shared" si="57"/>
        <v>#DIV/0!</v>
      </c>
      <c r="DZD132" s="531" t="e">
        <f t="shared" si="57"/>
        <v>#DIV/0!</v>
      </c>
      <c r="DZE132" s="531" t="e">
        <f t="shared" si="57"/>
        <v>#DIV/0!</v>
      </c>
      <c r="DZF132" s="531" t="e">
        <f t="shared" si="57"/>
        <v>#DIV/0!</v>
      </c>
      <c r="DZG132" s="531" t="e">
        <f t="shared" si="57"/>
        <v>#DIV/0!</v>
      </c>
      <c r="DZH132" s="531" t="e">
        <f t="shared" si="57"/>
        <v>#DIV/0!</v>
      </c>
      <c r="DZI132" s="531" t="e">
        <f t="shared" si="57"/>
        <v>#DIV/0!</v>
      </c>
      <c r="DZJ132" s="531" t="e">
        <f t="shared" si="57"/>
        <v>#DIV/0!</v>
      </c>
      <c r="DZK132" s="531" t="e">
        <f t="shared" si="57"/>
        <v>#DIV/0!</v>
      </c>
      <c r="DZL132" s="531" t="e">
        <f t="shared" si="57"/>
        <v>#DIV/0!</v>
      </c>
      <c r="DZM132" s="531" t="e">
        <f t="shared" si="57"/>
        <v>#DIV/0!</v>
      </c>
      <c r="DZN132" s="531" t="e">
        <f t="shared" si="57"/>
        <v>#DIV/0!</v>
      </c>
      <c r="DZO132" s="531" t="e">
        <f t="shared" si="57"/>
        <v>#DIV/0!</v>
      </c>
      <c r="DZP132" s="531" t="e">
        <f t="shared" si="57"/>
        <v>#DIV/0!</v>
      </c>
      <c r="DZQ132" s="531" t="e">
        <f t="shared" si="57"/>
        <v>#DIV/0!</v>
      </c>
      <c r="DZR132" s="531" t="e">
        <f t="shared" si="57"/>
        <v>#DIV/0!</v>
      </c>
      <c r="DZS132" s="531" t="e">
        <f t="shared" ref="DZS132:ECD132" si="58">(DZS128-DZS116)/(DZS52*10^5)</f>
        <v>#DIV/0!</v>
      </c>
      <c r="DZT132" s="531" t="e">
        <f t="shared" si="58"/>
        <v>#DIV/0!</v>
      </c>
      <c r="DZU132" s="531" t="e">
        <f t="shared" si="58"/>
        <v>#DIV/0!</v>
      </c>
      <c r="DZV132" s="531" t="e">
        <f t="shared" si="58"/>
        <v>#DIV/0!</v>
      </c>
      <c r="DZW132" s="531" t="e">
        <f t="shared" si="58"/>
        <v>#DIV/0!</v>
      </c>
      <c r="DZX132" s="531" t="e">
        <f t="shared" si="58"/>
        <v>#DIV/0!</v>
      </c>
      <c r="DZY132" s="531" t="e">
        <f t="shared" si="58"/>
        <v>#DIV/0!</v>
      </c>
      <c r="DZZ132" s="531" t="e">
        <f t="shared" si="58"/>
        <v>#DIV/0!</v>
      </c>
      <c r="EAA132" s="531" t="e">
        <f t="shared" si="58"/>
        <v>#DIV/0!</v>
      </c>
      <c r="EAB132" s="531" t="e">
        <f t="shared" si="58"/>
        <v>#DIV/0!</v>
      </c>
      <c r="EAC132" s="531" t="e">
        <f t="shared" si="58"/>
        <v>#DIV/0!</v>
      </c>
      <c r="EAD132" s="531" t="e">
        <f t="shared" si="58"/>
        <v>#DIV/0!</v>
      </c>
      <c r="EAE132" s="531" t="e">
        <f t="shared" si="58"/>
        <v>#DIV/0!</v>
      </c>
      <c r="EAF132" s="531" t="e">
        <f t="shared" si="58"/>
        <v>#DIV/0!</v>
      </c>
      <c r="EAG132" s="531" t="e">
        <f t="shared" si="58"/>
        <v>#DIV/0!</v>
      </c>
      <c r="EAH132" s="531" t="e">
        <f t="shared" si="58"/>
        <v>#DIV/0!</v>
      </c>
      <c r="EAI132" s="531" t="e">
        <f t="shared" si="58"/>
        <v>#DIV/0!</v>
      </c>
      <c r="EAJ132" s="531" t="e">
        <f t="shared" si="58"/>
        <v>#DIV/0!</v>
      </c>
      <c r="EAK132" s="531" t="e">
        <f t="shared" si="58"/>
        <v>#DIV/0!</v>
      </c>
      <c r="EAL132" s="531" t="e">
        <f t="shared" si="58"/>
        <v>#DIV/0!</v>
      </c>
      <c r="EAM132" s="531" t="e">
        <f t="shared" si="58"/>
        <v>#DIV/0!</v>
      </c>
      <c r="EAN132" s="531" t="e">
        <f t="shared" si="58"/>
        <v>#DIV/0!</v>
      </c>
      <c r="EAO132" s="531" t="e">
        <f t="shared" si="58"/>
        <v>#DIV/0!</v>
      </c>
      <c r="EAP132" s="531" t="e">
        <f t="shared" si="58"/>
        <v>#DIV/0!</v>
      </c>
      <c r="EAQ132" s="531" t="e">
        <f t="shared" si="58"/>
        <v>#DIV/0!</v>
      </c>
      <c r="EAR132" s="531" t="e">
        <f t="shared" si="58"/>
        <v>#DIV/0!</v>
      </c>
      <c r="EAS132" s="531" t="e">
        <f t="shared" si="58"/>
        <v>#DIV/0!</v>
      </c>
      <c r="EAT132" s="531" t="e">
        <f t="shared" si="58"/>
        <v>#DIV/0!</v>
      </c>
      <c r="EAU132" s="531" t="e">
        <f t="shared" si="58"/>
        <v>#DIV/0!</v>
      </c>
      <c r="EAV132" s="531" t="e">
        <f t="shared" si="58"/>
        <v>#DIV/0!</v>
      </c>
      <c r="EAW132" s="531" t="e">
        <f t="shared" si="58"/>
        <v>#DIV/0!</v>
      </c>
      <c r="EAX132" s="531" t="e">
        <f t="shared" si="58"/>
        <v>#DIV/0!</v>
      </c>
      <c r="EAY132" s="531" t="e">
        <f t="shared" si="58"/>
        <v>#DIV/0!</v>
      </c>
      <c r="EAZ132" s="531" t="e">
        <f t="shared" si="58"/>
        <v>#DIV/0!</v>
      </c>
      <c r="EBA132" s="531" t="e">
        <f t="shared" si="58"/>
        <v>#DIV/0!</v>
      </c>
      <c r="EBB132" s="531" t="e">
        <f t="shared" si="58"/>
        <v>#DIV/0!</v>
      </c>
      <c r="EBC132" s="531" t="e">
        <f t="shared" si="58"/>
        <v>#DIV/0!</v>
      </c>
      <c r="EBD132" s="531" t="e">
        <f t="shared" si="58"/>
        <v>#DIV/0!</v>
      </c>
      <c r="EBE132" s="531" t="e">
        <f t="shared" si="58"/>
        <v>#DIV/0!</v>
      </c>
      <c r="EBF132" s="531" t="e">
        <f t="shared" si="58"/>
        <v>#DIV/0!</v>
      </c>
      <c r="EBG132" s="531" t="e">
        <f t="shared" si="58"/>
        <v>#DIV/0!</v>
      </c>
      <c r="EBH132" s="531" t="e">
        <f t="shared" si="58"/>
        <v>#DIV/0!</v>
      </c>
      <c r="EBI132" s="531" t="e">
        <f t="shared" si="58"/>
        <v>#DIV/0!</v>
      </c>
      <c r="EBJ132" s="531" t="e">
        <f t="shared" si="58"/>
        <v>#DIV/0!</v>
      </c>
      <c r="EBK132" s="531" t="e">
        <f t="shared" si="58"/>
        <v>#DIV/0!</v>
      </c>
      <c r="EBL132" s="531" t="e">
        <f t="shared" si="58"/>
        <v>#DIV/0!</v>
      </c>
      <c r="EBM132" s="531" t="e">
        <f t="shared" si="58"/>
        <v>#DIV/0!</v>
      </c>
      <c r="EBN132" s="531" t="e">
        <f t="shared" si="58"/>
        <v>#DIV/0!</v>
      </c>
      <c r="EBO132" s="531" t="e">
        <f t="shared" si="58"/>
        <v>#DIV/0!</v>
      </c>
      <c r="EBP132" s="531" t="e">
        <f t="shared" si="58"/>
        <v>#DIV/0!</v>
      </c>
      <c r="EBQ132" s="531" t="e">
        <f t="shared" si="58"/>
        <v>#DIV/0!</v>
      </c>
      <c r="EBR132" s="531" t="e">
        <f t="shared" si="58"/>
        <v>#DIV/0!</v>
      </c>
      <c r="EBS132" s="531" t="e">
        <f t="shared" si="58"/>
        <v>#DIV/0!</v>
      </c>
      <c r="EBT132" s="531" t="e">
        <f t="shared" si="58"/>
        <v>#DIV/0!</v>
      </c>
      <c r="EBU132" s="531" t="e">
        <f t="shared" si="58"/>
        <v>#DIV/0!</v>
      </c>
      <c r="EBV132" s="531" t="e">
        <f t="shared" si="58"/>
        <v>#DIV/0!</v>
      </c>
      <c r="EBW132" s="531" t="e">
        <f t="shared" si="58"/>
        <v>#DIV/0!</v>
      </c>
      <c r="EBX132" s="531" t="e">
        <f t="shared" si="58"/>
        <v>#DIV/0!</v>
      </c>
      <c r="EBY132" s="531" t="e">
        <f t="shared" si="58"/>
        <v>#DIV/0!</v>
      </c>
      <c r="EBZ132" s="531" t="e">
        <f t="shared" si="58"/>
        <v>#DIV/0!</v>
      </c>
      <c r="ECA132" s="531" t="e">
        <f t="shared" si="58"/>
        <v>#DIV/0!</v>
      </c>
      <c r="ECB132" s="531" t="e">
        <f t="shared" si="58"/>
        <v>#DIV/0!</v>
      </c>
      <c r="ECC132" s="531" t="e">
        <f t="shared" si="58"/>
        <v>#DIV/0!</v>
      </c>
      <c r="ECD132" s="531" t="e">
        <f t="shared" si="58"/>
        <v>#DIV/0!</v>
      </c>
      <c r="ECE132" s="531" t="e">
        <f t="shared" ref="ECE132:EEP132" si="59">(ECE128-ECE116)/(ECE52*10^5)</f>
        <v>#DIV/0!</v>
      </c>
      <c r="ECF132" s="531" t="e">
        <f t="shared" si="59"/>
        <v>#DIV/0!</v>
      </c>
      <c r="ECG132" s="531" t="e">
        <f t="shared" si="59"/>
        <v>#DIV/0!</v>
      </c>
      <c r="ECH132" s="531" t="e">
        <f t="shared" si="59"/>
        <v>#DIV/0!</v>
      </c>
      <c r="ECI132" s="531" t="e">
        <f t="shared" si="59"/>
        <v>#DIV/0!</v>
      </c>
      <c r="ECJ132" s="531" t="e">
        <f t="shared" si="59"/>
        <v>#DIV/0!</v>
      </c>
      <c r="ECK132" s="531" t="e">
        <f t="shared" si="59"/>
        <v>#DIV/0!</v>
      </c>
      <c r="ECL132" s="531" t="e">
        <f t="shared" si="59"/>
        <v>#DIV/0!</v>
      </c>
      <c r="ECM132" s="531" t="e">
        <f t="shared" si="59"/>
        <v>#DIV/0!</v>
      </c>
      <c r="ECN132" s="531" t="e">
        <f t="shared" si="59"/>
        <v>#DIV/0!</v>
      </c>
      <c r="ECO132" s="531" t="e">
        <f t="shared" si="59"/>
        <v>#DIV/0!</v>
      </c>
      <c r="ECP132" s="531" t="e">
        <f t="shared" si="59"/>
        <v>#DIV/0!</v>
      </c>
      <c r="ECQ132" s="531" t="e">
        <f t="shared" si="59"/>
        <v>#DIV/0!</v>
      </c>
      <c r="ECR132" s="531" t="e">
        <f t="shared" si="59"/>
        <v>#DIV/0!</v>
      </c>
      <c r="ECS132" s="531" t="e">
        <f t="shared" si="59"/>
        <v>#DIV/0!</v>
      </c>
      <c r="ECT132" s="531" t="e">
        <f t="shared" si="59"/>
        <v>#DIV/0!</v>
      </c>
      <c r="ECU132" s="531" t="e">
        <f t="shared" si="59"/>
        <v>#DIV/0!</v>
      </c>
      <c r="ECV132" s="531" t="e">
        <f t="shared" si="59"/>
        <v>#DIV/0!</v>
      </c>
      <c r="ECW132" s="531" t="e">
        <f t="shared" si="59"/>
        <v>#DIV/0!</v>
      </c>
      <c r="ECX132" s="531" t="e">
        <f t="shared" si="59"/>
        <v>#DIV/0!</v>
      </c>
      <c r="ECY132" s="531" t="e">
        <f t="shared" si="59"/>
        <v>#DIV/0!</v>
      </c>
      <c r="ECZ132" s="531" t="e">
        <f t="shared" si="59"/>
        <v>#DIV/0!</v>
      </c>
      <c r="EDA132" s="531" t="e">
        <f t="shared" si="59"/>
        <v>#DIV/0!</v>
      </c>
      <c r="EDB132" s="531" t="e">
        <f t="shared" si="59"/>
        <v>#DIV/0!</v>
      </c>
      <c r="EDC132" s="531" t="e">
        <f t="shared" si="59"/>
        <v>#DIV/0!</v>
      </c>
      <c r="EDD132" s="531" t="e">
        <f t="shared" si="59"/>
        <v>#DIV/0!</v>
      </c>
      <c r="EDE132" s="531" t="e">
        <f t="shared" si="59"/>
        <v>#DIV/0!</v>
      </c>
      <c r="EDF132" s="531" t="e">
        <f t="shared" si="59"/>
        <v>#DIV/0!</v>
      </c>
      <c r="EDG132" s="531" t="e">
        <f t="shared" si="59"/>
        <v>#DIV/0!</v>
      </c>
      <c r="EDH132" s="531" t="e">
        <f t="shared" si="59"/>
        <v>#DIV/0!</v>
      </c>
      <c r="EDI132" s="531" t="e">
        <f t="shared" si="59"/>
        <v>#DIV/0!</v>
      </c>
      <c r="EDJ132" s="531" t="e">
        <f t="shared" si="59"/>
        <v>#DIV/0!</v>
      </c>
      <c r="EDK132" s="531" t="e">
        <f t="shared" si="59"/>
        <v>#DIV/0!</v>
      </c>
      <c r="EDL132" s="531" t="e">
        <f t="shared" si="59"/>
        <v>#DIV/0!</v>
      </c>
      <c r="EDM132" s="531" t="e">
        <f t="shared" si="59"/>
        <v>#DIV/0!</v>
      </c>
      <c r="EDN132" s="531" t="e">
        <f t="shared" si="59"/>
        <v>#DIV/0!</v>
      </c>
      <c r="EDO132" s="531" t="e">
        <f t="shared" si="59"/>
        <v>#DIV/0!</v>
      </c>
      <c r="EDP132" s="531" t="e">
        <f t="shared" si="59"/>
        <v>#DIV/0!</v>
      </c>
      <c r="EDQ132" s="531" t="e">
        <f t="shared" si="59"/>
        <v>#DIV/0!</v>
      </c>
      <c r="EDR132" s="531" t="e">
        <f t="shared" si="59"/>
        <v>#DIV/0!</v>
      </c>
      <c r="EDS132" s="531" t="e">
        <f t="shared" si="59"/>
        <v>#DIV/0!</v>
      </c>
      <c r="EDT132" s="531" t="e">
        <f t="shared" si="59"/>
        <v>#DIV/0!</v>
      </c>
      <c r="EDU132" s="531" t="e">
        <f t="shared" si="59"/>
        <v>#DIV/0!</v>
      </c>
      <c r="EDV132" s="531" t="e">
        <f t="shared" si="59"/>
        <v>#DIV/0!</v>
      </c>
      <c r="EDW132" s="531" t="e">
        <f t="shared" si="59"/>
        <v>#DIV/0!</v>
      </c>
      <c r="EDX132" s="531" t="e">
        <f t="shared" si="59"/>
        <v>#DIV/0!</v>
      </c>
      <c r="EDY132" s="531" t="e">
        <f t="shared" si="59"/>
        <v>#DIV/0!</v>
      </c>
      <c r="EDZ132" s="531" t="e">
        <f t="shared" si="59"/>
        <v>#DIV/0!</v>
      </c>
      <c r="EEA132" s="531" t="e">
        <f t="shared" si="59"/>
        <v>#DIV/0!</v>
      </c>
      <c r="EEB132" s="531" t="e">
        <f t="shared" si="59"/>
        <v>#DIV/0!</v>
      </c>
      <c r="EEC132" s="531" t="e">
        <f t="shared" si="59"/>
        <v>#DIV/0!</v>
      </c>
      <c r="EED132" s="531" t="e">
        <f t="shared" si="59"/>
        <v>#DIV/0!</v>
      </c>
      <c r="EEE132" s="531" t="e">
        <f t="shared" si="59"/>
        <v>#DIV/0!</v>
      </c>
      <c r="EEF132" s="531" t="e">
        <f t="shared" si="59"/>
        <v>#DIV/0!</v>
      </c>
      <c r="EEG132" s="531" t="e">
        <f t="shared" si="59"/>
        <v>#DIV/0!</v>
      </c>
      <c r="EEH132" s="531" t="e">
        <f t="shared" si="59"/>
        <v>#DIV/0!</v>
      </c>
      <c r="EEI132" s="531" t="e">
        <f t="shared" si="59"/>
        <v>#DIV/0!</v>
      </c>
      <c r="EEJ132" s="531" t="e">
        <f t="shared" si="59"/>
        <v>#DIV/0!</v>
      </c>
      <c r="EEK132" s="531" t="e">
        <f t="shared" si="59"/>
        <v>#DIV/0!</v>
      </c>
      <c r="EEL132" s="531" t="e">
        <f t="shared" si="59"/>
        <v>#DIV/0!</v>
      </c>
      <c r="EEM132" s="531" t="e">
        <f t="shared" si="59"/>
        <v>#DIV/0!</v>
      </c>
      <c r="EEN132" s="531" t="e">
        <f t="shared" si="59"/>
        <v>#DIV/0!</v>
      </c>
      <c r="EEO132" s="531" t="e">
        <f t="shared" si="59"/>
        <v>#DIV/0!</v>
      </c>
      <c r="EEP132" s="531" t="e">
        <f t="shared" si="59"/>
        <v>#DIV/0!</v>
      </c>
      <c r="EEQ132" s="531" t="e">
        <f t="shared" ref="EEQ132:EHB132" si="60">(EEQ128-EEQ116)/(EEQ52*10^5)</f>
        <v>#DIV/0!</v>
      </c>
      <c r="EER132" s="531" t="e">
        <f t="shared" si="60"/>
        <v>#DIV/0!</v>
      </c>
      <c r="EES132" s="531" t="e">
        <f t="shared" si="60"/>
        <v>#DIV/0!</v>
      </c>
      <c r="EET132" s="531" t="e">
        <f t="shared" si="60"/>
        <v>#DIV/0!</v>
      </c>
      <c r="EEU132" s="531" t="e">
        <f t="shared" si="60"/>
        <v>#DIV/0!</v>
      </c>
      <c r="EEV132" s="531" t="e">
        <f t="shared" si="60"/>
        <v>#DIV/0!</v>
      </c>
      <c r="EEW132" s="531" t="e">
        <f t="shared" si="60"/>
        <v>#DIV/0!</v>
      </c>
      <c r="EEX132" s="531" t="e">
        <f t="shared" si="60"/>
        <v>#DIV/0!</v>
      </c>
      <c r="EEY132" s="531" t="e">
        <f t="shared" si="60"/>
        <v>#DIV/0!</v>
      </c>
      <c r="EEZ132" s="531" t="e">
        <f t="shared" si="60"/>
        <v>#DIV/0!</v>
      </c>
      <c r="EFA132" s="531" t="e">
        <f t="shared" si="60"/>
        <v>#DIV/0!</v>
      </c>
      <c r="EFB132" s="531" t="e">
        <f t="shared" si="60"/>
        <v>#DIV/0!</v>
      </c>
      <c r="EFC132" s="531" t="e">
        <f t="shared" si="60"/>
        <v>#DIV/0!</v>
      </c>
      <c r="EFD132" s="531" t="e">
        <f t="shared" si="60"/>
        <v>#DIV/0!</v>
      </c>
      <c r="EFE132" s="531" t="e">
        <f t="shared" si="60"/>
        <v>#DIV/0!</v>
      </c>
      <c r="EFF132" s="531" t="e">
        <f t="shared" si="60"/>
        <v>#DIV/0!</v>
      </c>
      <c r="EFG132" s="531" t="e">
        <f t="shared" si="60"/>
        <v>#DIV/0!</v>
      </c>
      <c r="EFH132" s="531" t="e">
        <f t="shared" si="60"/>
        <v>#DIV/0!</v>
      </c>
      <c r="EFI132" s="531" t="e">
        <f t="shared" si="60"/>
        <v>#DIV/0!</v>
      </c>
      <c r="EFJ132" s="531" t="e">
        <f t="shared" si="60"/>
        <v>#DIV/0!</v>
      </c>
      <c r="EFK132" s="531" t="e">
        <f t="shared" si="60"/>
        <v>#DIV/0!</v>
      </c>
      <c r="EFL132" s="531" t="e">
        <f t="shared" si="60"/>
        <v>#DIV/0!</v>
      </c>
      <c r="EFM132" s="531" t="e">
        <f t="shared" si="60"/>
        <v>#DIV/0!</v>
      </c>
      <c r="EFN132" s="531" t="e">
        <f t="shared" si="60"/>
        <v>#DIV/0!</v>
      </c>
      <c r="EFO132" s="531" t="e">
        <f t="shared" si="60"/>
        <v>#DIV/0!</v>
      </c>
      <c r="EFP132" s="531" t="e">
        <f t="shared" si="60"/>
        <v>#DIV/0!</v>
      </c>
      <c r="EFQ132" s="531" t="e">
        <f t="shared" si="60"/>
        <v>#DIV/0!</v>
      </c>
      <c r="EFR132" s="531" t="e">
        <f t="shared" si="60"/>
        <v>#DIV/0!</v>
      </c>
      <c r="EFS132" s="531" t="e">
        <f t="shared" si="60"/>
        <v>#DIV/0!</v>
      </c>
      <c r="EFT132" s="531" t="e">
        <f t="shared" si="60"/>
        <v>#DIV/0!</v>
      </c>
      <c r="EFU132" s="531" t="e">
        <f t="shared" si="60"/>
        <v>#DIV/0!</v>
      </c>
      <c r="EFV132" s="531" t="e">
        <f t="shared" si="60"/>
        <v>#DIV/0!</v>
      </c>
      <c r="EFW132" s="531" t="e">
        <f t="shared" si="60"/>
        <v>#DIV/0!</v>
      </c>
      <c r="EFX132" s="531" t="e">
        <f t="shared" si="60"/>
        <v>#DIV/0!</v>
      </c>
      <c r="EFY132" s="531" t="e">
        <f t="shared" si="60"/>
        <v>#DIV/0!</v>
      </c>
      <c r="EFZ132" s="531" t="e">
        <f t="shared" si="60"/>
        <v>#DIV/0!</v>
      </c>
      <c r="EGA132" s="531" t="e">
        <f t="shared" si="60"/>
        <v>#DIV/0!</v>
      </c>
      <c r="EGB132" s="531" t="e">
        <f t="shared" si="60"/>
        <v>#DIV/0!</v>
      </c>
      <c r="EGC132" s="531" t="e">
        <f t="shared" si="60"/>
        <v>#DIV/0!</v>
      </c>
      <c r="EGD132" s="531" t="e">
        <f t="shared" si="60"/>
        <v>#DIV/0!</v>
      </c>
      <c r="EGE132" s="531" t="e">
        <f t="shared" si="60"/>
        <v>#DIV/0!</v>
      </c>
      <c r="EGF132" s="531" t="e">
        <f t="shared" si="60"/>
        <v>#DIV/0!</v>
      </c>
      <c r="EGG132" s="531" t="e">
        <f t="shared" si="60"/>
        <v>#DIV/0!</v>
      </c>
      <c r="EGH132" s="531" t="e">
        <f t="shared" si="60"/>
        <v>#DIV/0!</v>
      </c>
      <c r="EGI132" s="531" t="e">
        <f t="shared" si="60"/>
        <v>#DIV/0!</v>
      </c>
      <c r="EGJ132" s="531" t="e">
        <f t="shared" si="60"/>
        <v>#DIV/0!</v>
      </c>
      <c r="EGK132" s="531" t="e">
        <f t="shared" si="60"/>
        <v>#DIV/0!</v>
      </c>
      <c r="EGL132" s="531" t="e">
        <f t="shared" si="60"/>
        <v>#DIV/0!</v>
      </c>
      <c r="EGM132" s="531" t="e">
        <f t="shared" si="60"/>
        <v>#DIV/0!</v>
      </c>
      <c r="EGN132" s="531" t="e">
        <f t="shared" si="60"/>
        <v>#DIV/0!</v>
      </c>
      <c r="EGO132" s="531" t="e">
        <f t="shared" si="60"/>
        <v>#DIV/0!</v>
      </c>
      <c r="EGP132" s="531" t="e">
        <f t="shared" si="60"/>
        <v>#DIV/0!</v>
      </c>
      <c r="EGQ132" s="531" t="e">
        <f t="shared" si="60"/>
        <v>#DIV/0!</v>
      </c>
      <c r="EGR132" s="531" t="e">
        <f t="shared" si="60"/>
        <v>#DIV/0!</v>
      </c>
      <c r="EGS132" s="531" t="e">
        <f t="shared" si="60"/>
        <v>#DIV/0!</v>
      </c>
      <c r="EGT132" s="531" t="e">
        <f t="shared" si="60"/>
        <v>#DIV/0!</v>
      </c>
      <c r="EGU132" s="531" t="e">
        <f t="shared" si="60"/>
        <v>#DIV/0!</v>
      </c>
      <c r="EGV132" s="531" t="e">
        <f t="shared" si="60"/>
        <v>#DIV/0!</v>
      </c>
      <c r="EGW132" s="531" t="e">
        <f t="shared" si="60"/>
        <v>#DIV/0!</v>
      </c>
      <c r="EGX132" s="531" t="e">
        <f t="shared" si="60"/>
        <v>#DIV/0!</v>
      </c>
      <c r="EGY132" s="531" t="e">
        <f t="shared" si="60"/>
        <v>#DIV/0!</v>
      </c>
      <c r="EGZ132" s="531" t="e">
        <f t="shared" si="60"/>
        <v>#DIV/0!</v>
      </c>
      <c r="EHA132" s="531" t="e">
        <f t="shared" si="60"/>
        <v>#DIV/0!</v>
      </c>
      <c r="EHB132" s="531" t="e">
        <f t="shared" si="60"/>
        <v>#DIV/0!</v>
      </c>
      <c r="EHC132" s="531" t="e">
        <f t="shared" ref="EHC132:EJN132" si="61">(EHC128-EHC116)/(EHC52*10^5)</f>
        <v>#DIV/0!</v>
      </c>
      <c r="EHD132" s="531" t="e">
        <f t="shared" si="61"/>
        <v>#DIV/0!</v>
      </c>
      <c r="EHE132" s="531" t="e">
        <f t="shared" si="61"/>
        <v>#DIV/0!</v>
      </c>
      <c r="EHF132" s="531" t="e">
        <f t="shared" si="61"/>
        <v>#DIV/0!</v>
      </c>
      <c r="EHG132" s="531" t="e">
        <f t="shared" si="61"/>
        <v>#DIV/0!</v>
      </c>
      <c r="EHH132" s="531" t="e">
        <f t="shared" si="61"/>
        <v>#DIV/0!</v>
      </c>
      <c r="EHI132" s="531" t="e">
        <f t="shared" si="61"/>
        <v>#DIV/0!</v>
      </c>
      <c r="EHJ132" s="531" t="e">
        <f t="shared" si="61"/>
        <v>#DIV/0!</v>
      </c>
      <c r="EHK132" s="531" t="e">
        <f t="shared" si="61"/>
        <v>#DIV/0!</v>
      </c>
      <c r="EHL132" s="531" t="e">
        <f t="shared" si="61"/>
        <v>#DIV/0!</v>
      </c>
      <c r="EHM132" s="531" t="e">
        <f t="shared" si="61"/>
        <v>#DIV/0!</v>
      </c>
      <c r="EHN132" s="531" t="e">
        <f t="shared" si="61"/>
        <v>#DIV/0!</v>
      </c>
      <c r="EHO132" s="531" t="e">
        <f t="shared" si="61"/>
        <v>#DIV/0!</v>
      </c>
      <c r="EHP132" s="531" t="e">
        <f t="shared" si="61"/>
        <v>#DIV/0!</v>
      </c>
      <c r="EHQ132" s="531" t="e">
        <f t="shared" si="61"/>
        <v>#DIV/0!</v>
      </c>
      <c r="EHR132" s="531" t="e">
        <f t="shared" si="61"/>
        <v>#DIV/0!</v>
      </c>
      <c r="EHS132" s="531" t="e">
        <f t="shared" si="61"/>
        <v>#DIV/0!</v>
      </c>
      <c r="EHT132" s="531" t="e">
        <f t="shared" si="61"/>
        <v>#DIV/0!</v>
      </c>
      <c r="EHU132" s="531" t="e">
        <f t="shared" si="61"/>
        <v>#DIV/0!</v>
      </c>
      <c r="EHV132" s="531" t="e">
        <f t="shared" si="61"/>
        <v>#DIV/0!</v>
      </c>
      <c r="EHW132" s="531" t="e">
        <f t="shared" si="61"/>
        <v>#DIV/0!</v>
      </c>
      <c r="EHX132" s="531" t="e">
        <f t="shared" si="61"/>
        <v>#DIV/0!</v>
      </c>
      <c r="EHY132" s="531" t="e">
        <f t="shared" si="61"/>
        <v>#DIV/0!</v>
      </c>
      <c r="EHZ132" s="531" t="e">
        <f t="shared" si="61"/>
        <v>#DIV/0!</v>
      </c>
      <c r="EIA132" s="531" t="e">
        <f t="shared" si="61"/>
        <v>#DIV/0!</v>
      </c>
      <c r="EIB132" s="531" t="e">
        <f t="shared" si="61"/>
        <v>#DIV/0!</v>
      </c>
      <c r="EIC132" s="531" t="e">
        <f t="shared" si="61"/>
        <v>#DIV/0!</v>
      </c>
      <c r="EID132" s="531" t="e">
        <f t="shared" si="61"/>
        <v>#DIV/0!</v>
      </c>
      <c r="EIE132" s="531" t="e">
        <f t="shared" si="61"/>
        <v>#DIV/0!</v>
      </c>
      <c r="EIF132" s="531" t="e">
        <f t="shared" si="61"/>
        <v>#DIV/0!</v>
      </c>
      <c r="EIG132" s="531" t="e">
        <f t="shared" si="61"/>
        <v>#DIV/0!</v>
      </c>
      <c r="EIH132" s="531" t="e">
        <f t="shared" si="61"/>
        <v>#DIV/0!</v>
      </c>
      <c r="EII132" s="531" t="e">
        <f t="shared" si="61"/>
        <v>#DIV/0!</v>
      </c>
      <c r="EIJ132" s="531" t="e">
        <f t="shared" si="61"/>
        <v>#DIV/0!</v>
      </c>
      <c r="EIK132" s="531" t="e">
        <f t="shared" si="61"/>
        <v>#DIV/0!</v>
      </c>
      <c r="EIL132" s="531" t="e">
        <f t="shared" si="61"/>
        <v>#DIV/0!</v>
      </c>
      <c r="EIM132" s="531" t="e">
        <f t="shared" si="61"/>
        <v>#DIV/0!</v>
      </c>
      <c r="EIN132" s="531" t="e">
        <f t="shared" si="61"/>
        <v>#DIV/0!</v>
      </c>
      <c r="EIO132" s="531" t="e">
        <f t="shared" si="61"/>
        <v>#DIV/0!</v>
      </c>
      <c r="EIP132" s="531" t="e">
        <f t="shared" si="61"/>
        <v>#DIV/0!</v>
      </c>
      <c r="EIQ132" s="531" t="e">
        <f t="shared" si="61"/>
        <v>#DIV/0!</v>
      </c>
      <c r="EIR132" s="531" t="e">
        <f t="shared" si="61"/>
        <v>#DIV/0!</v>
      </c>
      <c r="EIS132" s="531" t="e">
        <f t="shared" si="61"/>
        <v>#DIV/0!</v>
      </c>
      <c r="EIT132" s="531" t="e">
        <f t="shared" si="61"/>
        <v>#DIV/0!</v>
      </c>
      <c r="EIU132" s="531" t="e">
        <f t="shared" si="61"/>
        <v>#DIV/0!</v>
      </c>
      <c r="EIV132" s="531" t="e">
        <f t="shared" si="61"/>
        <v>#DIV/0!</v>
      </c>
      <c r="EIW132" s="531" t="e">
        <f t="shared" si="61"/>
        <v>#DIV/0!</v>
      </c>
      <c r="EIX132" s="531" t="e">
        <f t="shared" si="61"/>
        <v>#DIV/0!</v>
      </c>
      <c r="EIY132" s="531" t="e">
        <f t="shared" si="61"/>
        <v>#DIV/0!</v>
      </c>
      <c r="EIZ132" s="531" t="e">
        <f t="shared" si="61"/>
        <v>#DIV/0!</v>
      </c>
      <c r="EJA132" s="531" t="e">
        <f t="shared" si="61"/>
        <v>#DIV/0!</v>
      </c>
      <c r="EJB132" s="531" t="e">
        <f t="shared" si="61"/>
        <v>#DIV/0!</v>
      </c>
      <c r="EJC132" s="531" t="e">
        <f t="shared" si="61"/>
        <v>#DIV/0!</v>
      </c>
      <c r="EJD132" s="531" t="e">
        <f t="shared" si="61"/>
        <v>#DIV/0!</v>
      </c>
      <c r="EJE132" s="531" t="e">
        <f t="shared" si="61"/>
        <v>#DIV/0!</v>
      </c>
      <c r="EJF132" s="531" t="e">
        <f t="shared" si="61"/>
        <v>#DIV/0!</v>
      </c>
      <c r="EJG132" s="531" t="e">
        <f t="shared" si="61"/>
        <v>#DIV/0!</v>
      </c>
      <c r="EJH132" s="531" t="e">
        <f t="shared" si="61"/>
        <v>#DIV/0!</v>
      </c>
      <c r="EJI132" s="531" t="e">
        <f t="shared" si="61"/>
        <v>#DIV/0!</v>
      </c>
      <c r="EJJ132" s="531" t="e">
        <f t="shared" si="61"/>
        <v>#DIV/0!</v>
      </c>
      <c r="EJK132" s="531" t="e">
        <f t="shared" si="61"/>
        <v>#DIV/0!</v>
      </c>
      <c r="EJL132" s="531" t="e">
        <f t="shared" si="61"/>
        <v>#DIV/0!</v>
      </c>
      <c r="EJM132" s="531" t="e">
        <f t="shared" si="61"/>
        <v>#DIV/0!</v>
      </c>
      <c r="EJN132" s="531" t="e">
        <f t="shared" si="61"/>
        <v>#DIV/0!</v>
      </c>
      <c r="EJO132" s="531" t="e">
        <f t="shared" ref="EJO132:ELZ132" si="62">(EJO128-EJO116)/(EJO52*10^5)</f>
        <v>#DIV/0!</v>
      </c>
      <c r="EJP132" s="531" t="e">
        <f t="shared" si="62"/>
        <v>#DIV/0!</v>
      </c>
      <c r="EJQ132" s="531" t="e">
        <f t="shared" si="62"/>
        <v>#DIV/0!</v>
      </c>
      <c r="EJR132" s="531" t="e">
        <f t="shared" si="62"/>
        <v>#DIV/0!</v>
      </c>
      <c r="EJS132" s="531" t="e">
        <f t="shared" si="62"/>
        <v>#DIV/0!</v>
      </c>
      <c r="EJT132" s="531" t="e">
        <f t="shared" si="62"/>
        <v>#DIV/0!</v>
      </c>
      <c r="EJU132" s="531" t="e">
        <f t="shared" si="62"/>
        <v>#DIV/0!</v>
      </c>
      <c r="EJV132" s="531" t="e">
        <f t="shared" si="62"/>
        <v>#DIV/0!</v>
      </c>
      <c r="EJW132" s="531" t="e">
        <f t="shared" si="62"/>
        <v>#DIV/0!</v>
      </c>
      <c r="EJX132" s="531" t="e">
        <f t="shared" si="62"/>
        <v>#DIV/0!</v>
      </c>
      <c r="EJY132" s="531" t="e">
        <f t="shared" si="62"/>
        <v>#DIV/0!</v>
      </c>
      <c r="EJZ132" s="531" t="e">
        <f t="shared" si="62"/>
        <v>#DIV/0!</v>
      </c>
      <c r="EKA132" s="531" t="e">
        <f t="shared" si="62"/>
        <v>#DIV/0!</v>
      </c>
      <c r="EKB132" s="531" t="e">
        <f t="shared" si="62"/>
        <v>#DIV/0!</v>
      </c>
      <c r="EKC132" s="531" t="e">
        <f t="shared" si="62"/>
        <v>#DIV/0!</v>
      </c>
      <c r="EKD132" s="531" t="e">
        <f t="shared" si="62"/>
        <v>#DIV/0!</v>
      </c>
      <c r="EKE132" s="531" t="e">
        <f t="shared" si="62"/>
        <v>#DIV/0!</v>
      </c>
      <c r="EKF132" s="531" t="e">
        <f t="shared" si="62"/>
        <v>#DIV/0!</v>
      </c>
      <c r="EKG132" s="531" t="e">
        <f t="shared" si="62"/>
        <v>#DIV/0!</v>
      </c>
      <c r="EKH132" s="531" t="e">
        <f t="shared" si="62"/>
        <v>#DIV/0!</v>
      </c>
      <c r="EKI132" s="531" t="e">
        <f t="shared" si="62"/>
        <v>#DIV/0!</v>
      </c>
      <c r="EKJ132" s="531" t="e">
        <f t="shared" si="62"/>
        <v>#DIV/0!</v>
      </c>
      <c r="EKK132" s="531" t="e">
        <f t="shared" si="62"/>
        <v>#DIV/0!</v>
      </c>
      <c r="EKL132" s="531" t="e">
        <f t="shared" si="62"/>
        <v>#DIV/0!</v>
      </c>
      <c r="EKM132" s="531" t="e">
        <f t="shared" si="62"/>
        <v>#DIV/0!</v>
      </c>
      <c r="EKN132" s="531" t="e">
        <f t="shared" si="62"/>
        <v>#DIV/0!</v>
      </c>
      <c r="EKO132" s="531" t="e">
        <f t="shared" si="62"/>
        <v>#DIV/0!</v>
      </c>
      <c r="EKP132" s="531" t="e">
        <f t="shared" si="62"/>
        <v>#DIV/0!</v>
      </c>
      <c r="EKQ132" s="531" t="e">
        <f t="shared" si="62"/>
        <v>#DIV/0!</v>
      </c>
      <c r="EKR132" s="531" t="e">
        <f t="shared" si="62"/>
        <v>#DIV/0!</v>
      </c>
      <c r="EKS132" s="531" t="e">
        <f t="shared" si="62"/>
        <v>#DIV/0!</v>
      </c>
      <c r="EKT132" s="531" t="e">
        <f t="shared" si="62"/>
        <v>#DIV/0!</v>
      </c>
      <c r="EKU132" s="531" t="e">
        <f t="shared" si="62"/>
        <v>#DIV/0!</v>
      </c>
      <c r="EKV132" s="531" t="e">
        <f t="shared" si="62"/>
        <v>#DIV/0!</v>
      </c>
      <c r="EKW132" s="531" t="e">
        <f t="shared" si="62"/>
        <v>#DIV/0!</v>
      </c>
      <c r="EKX132" s="531" t="e">
        <f t="shared" si="62"/>
        <v>#DIV/0!</v>
      </c>
      <c r="EKY132" s="531" t="e">
        <f t="shared" si="62"/>
        <v>#DIV/0!</v>
      </c>
      <c r="EKZ132" s="531" t="e">
        <f t="shared" si="62"/>
        <v>#DIV/0!</v>
      </c>
      <c r="ELA132" s="531" t="e">
        <f t="shared" si="62"/>
        <v>#DIV/0!</v>
      </c>
      <c r="ELB132" s="531" t="e">
        <f t="shared" si="62"/>
        <v>#DIV/0!</v>
      </c>
      <c r="ELC132" s="531" t="e">
        <f t="shared" si="62"/>
        <v>#DIV/0!</v>
      </c>
      <c r="ELD132" s="531" t="e">
        <f t="shared" si="62"/>
        <v>#DIV/0!</v>
      </c>
      <c r="ELE132" s="531" t="e">
        <f t="shared" si="62"/>
        <v>#DIV/0!</v>
      </c>
      <c r="ELF132" s="531" t="e">
        <f t="shared" si="62"/>
        <v>#DIV/0!</v>
      </c>
      <c r="ELG132" s="531" t="e">
        <f t="shared" si="62"/>
        <v>#DIV/0!</v>
      </c>
      <c r="ELH132" s="531" t="e">
        <f t="shared" si="62"/>
        <v>#DIV/0!</v>
      </c>
      <c r="ELI132" s="531" t="e">
        <f t="shared" si="62"/>
        <v>#DIV/0!</v>
      </c>
      <c r="ELJ132" s="531" t="e">
        <f t="shared" si="62"/>
        <v>#DIV/0!</v>
      </c>
      <c r="ELK132" s="531" t="e">
        <f t="shared" si="62"/>
        <v>#DIV/0!</v>
      </c>
      <c r="ELL132" s="531" t="e">
        <f t="shared" si="62"/>
        <v>#DIV/0!</v>
      </c>
      <c r="ELM132" s="531" t="e">
        <f t="shared" si="62"/>
        <v>#DIV/0!</v>
      </c>
      <c r="ELN132" s="531" t="e">
        <f t="shared" si="62"/>
        <v>#DIV/0!</v>
      </c>
      <c r="ELO132" s="531" t="e">
        <f t="shared" si="62"/>
        <v>#DIV/0!</v>
      </c>
      <c r="ELP132" s="531" t="e">
        <f t="shared" si="62"/>
        <v>#DIV/0!</v>
      </c>
      <c r="ELQ132" s="531" t="e">
        <f t="shared" si="62"/>
        <v>#DIV/0!</v>
      </c>
      <c r="ELR132" s="531" t="e">
        <f t="shared" si="62"/>
        <v>#DIV/0!</v>
      </c>
      <c r="ELS132" s="531" t="e">
        <f t="shared" si="62"/>
        <v>#DIV/0!</v>
      </c>
      <c r="ELT132" s="531" t="e">
        <f t="shared" si="62"/>
        <v>#DIV/0!</v>
      </c>
      <c r="ELU132" s="531" t="e">
        <f t="shared" si="62"/>
        <v>#DIV/0!</v>
      </c>
      <c r="ELV132" s="531" t="e">
        <f t="shared" si="62"/>
        <v>#DIV/0!</v>
      </c>
      <c r="ELW132" s="531" t="e">
        <f t="shared" si="62"/>
        <v>#DIV/0!</v>
      </c>
      <c r="ELX132" s="531" t="e">
        <f t="shared" si="62"/>
        <v>#DIV/0!</v>
      </c>
      <c r="ELY132" s="531" t="e">
        <f t="shared" si="62"/>
        <v>#DIV/0!</v>
      </c>
      <c r="ELZ132" s="531" t="e">
        <f t="shared" si="62"/>
        <v>#DIV/0!</v>
      </c>
      <c r="EMA132" s="531" t="e">
        <f t="shared" ref="EMA132:EOL132" si="63">(EMA128-EMA116)/(EMA52*10^5)</f>
        <v>#DIV/0!</v>
      </c>
      <c r="EMB132" s="531" t="e">
        <f t="shared" si="63"/>
        <v>#DIV/0!</v>
      </c>
      <c r="EMC132" s="531" t="e">
        <f t="shared" si="63"/>
        <v>#DIV/0!</v>
      </c>
      <c r="EMD132" s="531" t="e">
        <f t="shared" si="63"/>
        <v>#DIV/0!</v>
      </c>
      <c r="EME132" s="531" t="e">
        <f t="shared" si="63"/>
        <v>#DIV/0!</v>
      </c>
      <c r="EMF132" s="531" t="e">
        <f t="shared" si="63"/>
        <v>#DIV/0!</v>
      </c>
      <c r="EMG132" s="531" t="e">
        <f t="shared" si="63"/>
        <v>#DIV/0!</v>
      </c>
      <c r="EMH132" s="531" t="e">
        <f t="shared" si="63"/>
        <v>#DIV/0!</v>
      </c>
      <c r="EMI132" s="531" t="e">
        <f t="shared" si="63"/>
        <v>#DIV/0!</v>
      </c>
      <c r="EMJ132" s="531" t="e">
        <f t="shared" si="63"/>
        <v>#DIV/0!</v>
      </c>
      <c r="EMK132" s="531" t="e">
        <f t="shared" si="63"/>
        <v>#DIV/0!</v>
      </c>
      <c r="EML132" s="531" t="e">
        <f t="shared" si="63"/>
        <v>#DIV/0!</v>
      </c>
      <c r="EMM132" s="531" t="e">
        <f t="shared" si="63"/>
        <v>#DIV/0!</v>
      </c>
      <c r="EMN132" s="531" t="e">
        <f t="shared" si="63"/>
        <v>#DIV/0!</v>
      </c>
      <c r="EMO132" s="531" t="e">
        <f t="shared" si="63"/>
        <v>#DIV/0!</v>
      </c>
      <c r="EMP132" s="531" t="e">
        <f t="shared" si="63"/>
        <v>#DIV/0!</v>
      </c>
      <c r="EMQ132" s="531" t="e">
        <f t="shared" si="63"/>
        <v>#DIV/0!</v>
      </c>
      <c r="EMR132" s="531" t="e">
        <f t="shared" si="63"/>
        <v>#DIV/0!</v>
      </c>
      <c r="EMS132" s="531" t="e">
        <f t="shared" si="63"/>
        <v>#DIV/0!</v>
      </c>
      <c r="EMT132" s="531" t="e">
        <f t="shared" si="63"/>
        <v>#DIV/0!</v>
      </c>
      <c r="EMU132" s="531" t="e">
        <f t="shared" si="63"/>
        <v>#DIV/0!</v>
      </c>
      <c r="EMV132" s="531" t="e">
        <f t="shared" si="63"/>
        <v>#DIV/0!</v>
      </c>
      <c r="EMW132" s="531" t="e">
        <f t="shared" si="63"/>
        <v>#DIV/0!</v>
      </c>
      <c r="EMX132" s="531" t="e">
        <f t="shared" si="63"/>
        <v>#DIV/0!</v>
      </c>
      <c r="EMY132" s="531" t="e">
        <f t="shared" si="63"/>
        <v>#DIV/0!</v>
      </c>
      <c r="EMZ132" s="531" t="e">
        <f t="shared" si="63"/>
        <v>#DIV/0!</v>
      </c>
      <c r="ENA132" s="531" t="e">
        <f t="shared" si="63"/>
        <v>#DIV/0!</v>
      </c>
      <c r="ENB132" s="531" t="e">
        <f t="shared" si="63"/>
        <v>#DIV/0!</v>
      </c>
      <c r="ENC132" s="531" t="e">
        <f t="shared" si="63"/>
        <v>#DIV/0!</v>
      </c>
      <c r="END132" s="531" t="e">
        <f t="shared" si="63"/>
        <v>#DIV/0!</v>
      </c>
      <c r="ENE132" s="531" t="e">
        <f t="shared" si="63"/>
        <v>#DIV/0!</v>
      </c>
      <c r="ENF132" s="531" t="e">
        <f t="shared" si="63"/>
        <v>#DIV/0!</v>
      </c>
      <c r="ENG132" s="531" t="e">
        <f t="shared" si="63"/>
        <v>#DIV/0!</v>
      </c>
      <c r="ENH132" s="531" t="e">
        <f t="shared" si="63"/>
        <v>#DIV/0!</v>
      </c>
      <c r="ENI132" s="531" t="e">
        <f t="shared" si="63"/>
        <v>#DIV/0!</v>
      </c>
      <c r="ENJ132" s="531" t="e">
        <f t="shared" si="63"/>
        <v>#DIV/0!</v>
      </c>
      <c r="ENK132" s="531" t="e">
        <f t="shared" si="63"/>
        <v>#DIV/0!</v>
      </c>
      <c r="ENL132" s="531" t="e">
        <f t="shared" si="63"/>
        <v>#DIV/0!</v>
      </c>
      <c r="ENM132" s="531" t="e">
        <f t="shared" si="63"/>
        <v>#DIV/0!</v>
      </c>
      <c r="ENN132" s="531" t="e">
        <f t="shared" si="63"/>
        <v>#DIV/0!</v>
      </c>
      <c r="ENO132" s="531" t="e">
        <f t="shared" si="63"/>
        <v>#DIV/0!</v>
      </c>
      <c r="ENP132" s="531" t="e">
        <f t="shared" si="63"/>
        <v>#DIV/0!</v>
      </c>
      <c r="ENQ132" s="531" t="e">
        <f t="shared" si="63"/>
        <v>#DIV/0!</v>
      </c>
      <c r="ENR132" s="531" t="e">
        <f t="shared" si="63"/>
        <v>#DIV/0!</v>
      </c>
      <c r="ENS132" s="531" t="e">
        <f t="shared" si="63"/>
        <v>#DIV/0!</v>
      </c>
      <c r="ENT132" s="531" t="e">
        <f t="shared" si="63"/>
        <v>#DIV/0!</v>
      </c>
      <c r="ENU132" s="531" t="e">
        <f t="shared" si="63"/>
        <v>#DIV/0!</v>
      </c>
      <c r="ENV132" s="531" t="e">
        <f t="shared" si="63"/>
        <v>#DIV/0!</v>
      </c>
      <c r="ENW132" s="531" t="e">
        <f t="shared" si="63"/>
        <v>#DIV/0!</v>
      </c>
      <c r="ENX132" s="531" t="e">
        <f t="shared" si="63"/>
        <v>#DIV/0!</v>
      </c>
      <c r="ENY132" s="531" t="e">
        <f t="shared" si="63"/>
        <v>#DIV/0!</v>
      </c>
      <c r="ENZ132" s="531" t="e">
        <f t="shared" si="63"/>
        <v>#DIV/0!</v>
      </c>
      <c r="EOA132" s="531" t="e">
        <f t="shared" si="63"/>
        <v>#DIV/0!</v>
      </c>
      <c r="EOB132" s="531" t="e">
        <f t="shared" si="63"/>
        <v>#DIV/0!</v>
      </c>
      <c r="EOC132" s="531" t="e">
        <f t="shared" si="63"/>
        <v>#DIV/0!</v>
      </c>
      <c r="EOD132" s="531" t="e">
        <f t="shared" si="63"/>
        <v>#DIV/0!</v>
      </c>
      <c r="EOE132" s="531" t="e">
        <f t="shared" si="63"/>
        <v>#DIV/0!</v>
      </c>
      <c r="EOF132" s="531" t="e">
        <f t="shared" si="63"/>
        <v>#DIV/0!</v>
      </c>
      <c r="EOG132" s="531" t="e">
        <f t="shared" si="63"/>
        <v>#DIV/0!</v>
      </c>
      <c r="EOH132" s="531" t="e">
        <f t="shared" si="63"/>
        <v>#DIV/0!</v>
      </c>
      <c r="EOI132" s="531" t="e">
        <f t="shared" si="63"/>
        <v>#DIV/0!</v>
      </c>
      <c r="EOJ132" s="531" t="e">
        <f t="shared" si="63"/>
        <v>#DIV/0!</v>
      </c>
      <c r="EOK132" s="531" t="e">
        <f t="shared" si="63"/>
        <v>#DIV/0!</v>
      </c>
      <c r="EOL132" s="531" t="e">
        <f t="shared" si="63"/>
        <v>#DIV/0!</v>
      </c>
      <c r="EOM132" s="531" t="e">
        <f t="shared" ref="EOM132:EQX132" si="64">(EOM128-EOM116)/(EOM52*10^5)</f>
        <v>#DIV/0!</v>
      </c>
      <c r="EON132" s="531" t="e">
        <f t="shared" si="64"/>
        <v>#DIV/0!</v>
      </c>
      <c r="EOO132" s="531" t="e">
        <f t="shared" si="64"/>
        <v>#DIV/0!</v>
      </c>
      <c r="EOP132" s="531" t="e">
        <f t="shared" si="64"/>
        <v>#DIV/0!</v>
      </c>
      <c r="EOQ132" s="531" t="e">
        <f t="shared" si="64"/>
        <v>#DIV/0!</v>
      </c>
      <c r="EOR132" s="531" t="e">
        <f t="shared" si="64"/>
        <v>#DIV/0!</v>
      </c>
      <c r="EOS132" s="531" t="e">
        <f t="shared" si="64"/>
        <v>#DIV/0!</v>
      </c>
      <c r="EOT132" s="531" t="e">
        <f t="shared" si="64"/>
        <v>#DIV/0!</v>
      </c>
      <c r="EOU132" s="531" t="e">
        <f t="shared" si="64"/>
        <v>#DIV/0!</v>
      </c>
      <c r="EOV132" s="531" t="e">
        <f t="shared" si="64"/>
        <v>#DIV/0!</v>
      </c>
      <c r="EOW132" s="531" t="e">
        <f t="shared" si="64"/>
        <v>#DIV/0!</v>
      </c>
      <c r="EOX132" s="531" t="e">
        <f t="shared" si="64"/>
        <v>#DIV/0!</v>
      </c>
      <c r="EOY132" s="531" t="e">
        <f t="shared" si="64"/>
        <v>#DIV/0!</v>
      </c>
      <c r="EOZ132" s="531" t="e">
        <f t="shared" si="64"/>
        <v>#DIV/0!</v>
      </c>
      <c r="EPA132" s="531" t="e">
        <f t="shared" si="64"/>
        <v>#DIV/0!</v>
      </c>
      <c r="EPB132" s="531" t="e">
        <f t="shared" si="64"/>
        <v>#DIV/0!</v>
      </c>
      <c r="EPC132" s="531" t="e">
        <f t="shared" si="64"/>
        <v>#DIV/0!</v>
      </c>
      <c r="EPD132" s="531" t="e">
        <f t="shared" si="64"/>
        <v>#DIV/0!</v>
      </c>
      <c r="EPE132" s="531" t="e">
        <f t="shared" si="64"/>
        <v>#DIV/0!</v>
      </c>
      <c r="EPF132" s="531" t="e">
        <f t="shared" si="64"/>
        <v>#DIV/0!</v>
      </c>
      <c r="EPG132" s="531" t="e">
        <f t="shared" si="64"/>
        <v>#DIV/0!</v>
      </c>
      <c r="EPH132" s="531" t="e">
        <f t="shared" si="64"/>
        <v>#DIV/0!</v>
      </c>
      <c r="EPI132" s="531" t="e">
        <f t="shared" si="64"/>
        <v>#DIV/0!</v>
      </c>
      <c r="EPJ132" s="531" t="e">
        <f t="shared" si="64"/>
        <v>#DIV/0!</v>
      </c>
      <c r="EPK132" s="531" t="e">
        <f t="shared" si="64"/>
        <v>#DIV/0!</v>
      </c>
      <c r="EPL132" s="531" t="e">
        <f t="shared" si="64"/>
        <v>#DIV/0!</v>
      </c>
      <c r="EPM132" s="531" t="e">
        <f t="shared" si="64"/>
        <v>#DIV/0!</v>
      </c>
      <c r="EPN132" s="531" t="e">
        <f t="shared" si="64"/>
        <v>#DIV/0!</v>
      </c>
      <c r="EPO132" s="531" t="e">
        <f t="shared" si="64"/>
        <v>#DIV/0!</v>
      </c>
      <c r="EPP132" s="531" t="e">
        <f t="shared" si="64"/>
        <v>#DIV/0!</v>
      </c>
      <c r="EPQ132" s="531" t="e">
        <f t="shared" si="64"/>
        <v>#DIV/0!</v>
      </c>
      <c r="EPR132" s="531" t="e">
        <f t="shared" si="64"/>
        <v>#DIV/0!</v>
      </c>
      <c r="EPS132" s="531" t="e">
        <f t="shared" si="64"/>
        <v>#DIV/0!</v>
      </c>
      <c r="EPT132" s="531" t="e">
        <f t="shared" si="64"/>
        <v>#DIV/0!</v>
      </c>
      <c r="EPU132" s="531" t="e">
        <f t="shared" si="64"/>
        <v>#DIV/0!</v>
      </c>
      <c r="EPV132" s="531" t="e">
        <f t="shared" si="64"/>
        <v>#DIV/0!</v>
      </c>
      <c r="EPW132" s="531" t="e">
        <f t="shared" si="64"/>
        <v>#DIV/0!</v>
      </c>
      <c r="EPX132" s="531" t="e">
        <f t="shared" si="64"/>
        <v>#DIV/0!</v>
      </c>
      <c r="EPY132" s="531" t="e">
        <f t="shared" si="64"/>
        <v>#DIV/0!</v>
      </c>
      <c r="EPZ132" s="531" t="e">
        <f t="shared" si="64"/>
        <v>#DIV/0!</v>
      </c>
      <c r="EQA132" s="531" t="e">
        <f t="shared" si="64"/>
        <v>#DIV/0!</v>
      </c>
      <c r="EQB132" s="531" t="e">
        <f t="shared" si="64"/>
        <v>#DIV/0!</v>
      </c>
      <c r="EQC132" s="531" t="e">
        <f t="shared" si="64"/>
        <v>#DIV/0!</v>
      </c>
      <c r="EQD132" s="531" t="e">
        <f t="shared" si="64"/>
        <v>#DIV/0!</v>
      </c>
      <c r="EQE132" s="531" t="e">
        <f t="shared" si="64"/>
        <v>#DIV/0!</v>
      </c>
      <c r="EQF132" s="531" t="e">
        <f t="shared" si="64"/>
        <v>#DIV/0!</v>
      </c>
      <c r="EQG132" s="531" t="e">
        <f t="shared" si="64"/>
        <v>#DIV/0!</v>
      </c>
      <c r="EQH132" s="531" t="e">
        <f t="shared" si="64"/>
        <v>#DIV/0!</v>
      </c>
      <c r="EQI132" s="531" t="e">
        <f t="shared" si="64"/>
        <v>#DIV/0!</v>
      </c>
      <c r="EQJ132" s="531" t="e">
        <f t="shared" si="64"/>
        <v>#DIV/0!</v>
      </c>
      <c r="EQK132" s="531" t="e">
        <f t="shared" si="64"/>
        <v>#DIV/0!</v>
      </c>
      <c r="EQL132" s="531" t="e">
        <f t="shared" si="64"/>
        <v>#DIV/0!</v>
      </c>
      <c r="EQM132" s="531" t="e">
        <f t="shared" si="64"/>
        <v>#DIV/0!</v>
      </c>
      <c r="EQN132" s="531" t="e">
        <f t="shared" si="64"/>
        <v>#DIV/0!</v>
      </c>
      <c r="EQO132" s="531" t="e">
        <f t="shared" si="64"/>
        <v>#DIV/0!</v>
      </c>
      <c r="EQP132" s="531" t="e">
        <f t="shared" si="64"/>
        <v>#DIV/0!</v>
      </c>
      <c r="EQQ132" s="531" t="e">
        <f t="shared" si="64"/>
        <v>#DIV/0!</v>
      </c>
      <c r="EQR132" s="531" t="e">
        <f t="shared" si="64"/>
        <v>#DIV/0!</v>
      </c>
      <c r="EQS132" s="531" t="e">
        <f t="shared" si="64"/>
        <v>#DIV/0!</v>
      </c>
      <c r="EQT132" s="531" t="e">
        <f t="shared" si="64"/>
        <v>#DIV/0!</v>
      </c>
      <c r="EQU132" s="531" t="e">
        <f t="shared" si="64"/>
        <v>#DIV/0!</v>
      </c>
      <c r="EQV132" s="531" t="e">
        <f t="shared" si="64"/>
        <v>#DIV/0!</v>
      </c>
      <c r="EQW132" s="531" t="e">
        <f t="shared" si="64"/>
        <v>#DIV/0!</v>
      </c>
      <c r="EQX132" s="531" t="e">
        <f t="shared" si="64"/>
        <v>#DIV/0!</v>
      </c>
      <c r="EQY132" s="531" t="e">
        <f t="shared" ref="EQY132:ETJ132" si="65">(EQY128-EQY116)/(EQY52*10^5)</f>
        <v>#DIV/0!</v>
      </c>
      <c r="EQZ132" s="531" t="e">
        <f t="shared" si="65"/>
        <v>#DIV/0!</v>
      </c>
      <c r="ERA132" s="531" t="e">
        <f t="shared" si="65"/>
        <v>#DIV/0!</v>
      </c>
      <c r="ERB132" s="531" t="e">
        <f t="shared" si="65"/>
        <v>#DIV/0!</v>
      </c>
      <c r="ERC132" s="531" t="e">
        <f t="shared" si="65"/>
        <v>#DIV/0!</v>
      </c>
      <c r="ERD132" s="531" t="e">
        <f t="shared" si="65"/>
        <v>#DIV/0!</v>
      </c>
      <c r="ERE132" s="531" t="e">
        <f t="shared" si="65"/>
        <v>#DIV/0!</v>
      </c>
      <c r="ERF132" s="531" t="e">
        <f t="shared" si="65"/>
        <v>#DIV/0!</v>
      </c>
      <c r="ERG132" s="531" t="e">
        <f t="shared" si="65"/>
        <v>#DIV/0!</v>
      </c>
      <c r="ERH132" s="531" t="e">
        <f t="shared" si="65"/>
        <v>#DIV/0!</v>
      </c>
      <c r="ERI132" s="531" t="e">
        <f t="shared" si="65"/>
        <v>#DIV/0!</v>
      </c>
      <c r="ERJ132" s="531" t="e">
        <f t="shared" si="65"/>
        <v>#DIV/0!</v>
      </c>
      <c r="ERK132" s="531" t="e">
        <f t="shared" si="65"/>
        <v>#DIV/0!</v>
      </c>
      <c r="ERL132" s="531" t="e">
        <f t="shared" si="65"/>
        <v>#DIV/0!</v>
      </c>
      <c r="ERM132" s="531" t="e">
        <f t="shared" si="65"/>
        <v>#DIV/0!</v>
      </c>
      <c r="ERN132" s="531" t="e">
        <f t="shared" si="65"/>
        <v>#DIV/0!</v>
      </c>
      <c r="ERO132" s="531" t="e">
        <f t="shared" si="65"/>
        <v>#DIV/0!</v>
      </c>
      <c r="ERP132" s="531" t="e">
        <f t="shared" si="65"/>
        <v>#DIV/0!</v>
      </c>
      <c r="ERQ132" s="531" t="e">
        <f t="shared" si="65"/>
        <v>#DIV/0!</v>
      </c>
      <c r="ERR132" s="531" t="e">
        <f t="shared" si="65"/>
        <v>#DIV/0!</v>
      </c>
      <c r="ERS132" s="531" t="e">
        <f t="shared" si="65"/>
        <v>#DIV/0!</v>
      </c>
      <c r="ERT132" s="531" t="e">
        <f t="shared" si="65"/>
        <v>#DIV/0!</v>
      </c>
      <c r="ERU132" s="531" t="e">
        <f t="shared" si="65"/>
        <v>#DIV/0!</v>
      </c>
      <c r="ERV132" s="531" t="e">
        <f t="shared" si="65"/>
        <v>#DIV/0!</v>
      </c>
      <c r="ERW132" s="531" t="e">
        <f t="shared" si="65"/>
        <v>#DIV/0!</v>
      </c>
      <c r="ERX132" s="531" t="e">
        <f t="shared" si="65"/>
        <v>#DIV/0!</v>
      </c>
      <c r="ERY132" s="531" t="e">
        <f t="shared" si="65"/>
        <v>#DIV/0!</v>
      </c>
      <c r="ERZ132" s="531" t="e">
        <f t="shared" si="65"/>
        <v>#DIV/0!</v>
      </c>
      <c r="ESA132" s="531" t="e">
        <f t="shared" si="65"/>
        <v>#DIV/0!</v>
      </c>
      <c r="ESB132" s="531" t="e">
        <f t="shared" si="65"/>
        <v>#DIV/0!</v>
      </c>
      <c r="ESC132" s="531" t="e">
        <f t="shared" si="65"/>
        <v>#DIV/0!</v>
      </c>
      <c r="ESD132" s="531" t="e">
        <f t="shared" si="65"/>
        <v>#DIV/0!</v>
      </c>
      <c r="ESE132" s="531" t="e">
        <f t="shared" si="65"/>
        <v>#DIV/0!</v>
      </c>
      <c r="ESF132" s="531" t="e">
        <f t="shared" si="65"/>
        <v>#DIV/0!</v>
      </c>
      <c r="ESG132" s="531" t="e">
        <f t="shared" si="65"/>
        <v>#DIV/0!</v>
      </c>
      <c r="ESH132" s="531" t="e">
        <f t="shared" si="65"/>
        <v>#DIV/0!</v>
      </c>
      <c r="ESI132" s="531" t="e">
        <f t="shared" si="65"/>
        <v>#DIV/0!</v>
      </c>
      <c r="ESJ132" s="531" t="e">
        <f t="shared" si="65"/>
        <v>#DIV/0!</v>
      </c>
      <c r="ESK132" s="531" t="e">
        <f t="shared" si="65"/>
        <v>#DIV/0!</v>
      </c>
      <c r="ESL132" s="531" t="e">
        <f t="shared" si="65"/>
        <v>#DIV/0!</v>
      </c>
      <c r="ESM132" s="531" t="e">
        <f t="shared" si="65"/>
        <v>#DIV/0!</v>
      </c>
      <c r="ESN132" s="531" t="e">
        <f t="shared" si="65"/>
        <v>#DIV/0!</v>
      </c>
      <c r="ESO132" s="531" t="e">
        <f t="shared" si="65"/>
        <v>#DIV/0!</v>
      </c>
      <c r="ESP132" s="531" t="e">
        <f t="shared" si="65"/>
        <v>#DIV/0!</v>
      </c>
      <c r="ESQ132" s="531" t="e">
        <f t="shared" si="65"/>
        <v>#DIV/0!</v>
      </c>
      <c r="ESR132" s="531" t="e">
        <f t="shared" si="65"/>
        <v>#DIV/0!</v>
      </c>
      <c r="ESS132" s="531" t="e">
        <f t="shared" si="65"/>
        <v>#DIV/0!</v>
      </c>
      <c r="EST132" s="531" t="e">
        <f t="shared" si="65"/>
        <v>#DIV/0!</v>
      </c>
      <c r="ESU132" s="531" t="e">
        <f t="shared" si="65"/>
        <v>#DIV/0!</v>
      </c>
      <c r="ESV132" s="531" t="e">
        <f t="shared" si="65"/>
        <v>#DIV/0!</v>
      </c>
      <c r="ESW132" s="531" t="e">
        <f t="shared" si="65"/>
        <v>#DIV/0!</v>
      </c>
      <c r="ESX132" s="531" t="e">
        <f t="shared" si="65"/>
        <v>#DIV/0!</v>
      </c>
      <c r="ESY132" s="531" t="e">
        <f t="shared" si="65"/>
        <v>#DIV/0!</v>
      </c>
      <c r="ESZ132" s="531" t="e">
        <f t="shared" si="65"/>
        <v>#DIV/0!</v>
      </c>
      <c r="ETA132" s="531" t="e">
        <f t="shared" si="65"/>
        <v>#DIV/0!</v>
      </c>
      <c r="ETB132" s="531" t="e">
        <f t="shared" si="65"/>
        <v>#DIV/0!</v>
      </c>
      <c r="ETC132" s="531" t="e">
        <f t="shared" si="65"/>
        <v>#DIV/0!</v>
      </c>
      <c r="ETD132" s="531" t="e">
        <f t="shared" si="65"/>
        <v>#DIV/0!</v>
      </c>
      <c r="ETE132" s="531" t="e">
        <f t="shared" si="65"/>
        <v>#DIV/0!</v>
      </c>
      <c r="ETF132" s="531" t="e">
        <f t="shared" si="65"/>
        <v>#DIV/0!</v>
      </c>
      <c r="ETG132" s="531" t="e">
        <f t="shared" si="65"/>
        <v>#DIV/0!</v>
      </c>
      <c r="ETH132" s="531" t="e">
        <f t="shared" si="65"/>
        <v>#DIV/0!</v>
      </c>
      <c r="ETI132" s="531" t="e">
        <f t="shared" si="65"/>
        <v>#DIV/0!</v>
      </c>
      <c r="ETJ132" s="531" t="e">
        <f t="shared" si="65"/>
        <v>#DIV/0!</v>
      </c>
      <c r="ETK132" s="531" t="e">
        <f t="shared" ref="ETK132:EVV132" si="66">(ETK128-ETK116)/(ETK52*10^5)</f>
        <v>#DIV/0!</v>
      </c>
      <c r="ETL132" s="531" t="e">
        <f t="shared" si="66"/>
        <v>#DIV/0!</v>
      </c>
      <c r="ETM132" s="531" t="e">
        <f t="shared" si="66"/>
        <v>#DIV/0!</v>
      </c>
      <c r="ETN132" s="531" t="e">
        <f t="shared" si="66"/>
        <v>#DIV/0!</v>
      </c>
      <c r="ETO132" s="531" t="e">
        <f t="shared" si="66"/>
        <v>#DIV/0!</v>
      </c>
      <c r="ETP132" s="531" t="e">
        <f t="shared" si="66"/>
        <v>#DIV/0!</v>
      </c>
      <c r="ETQ132" s="531" t="e">
        <f t="shared" si="66"/>
        <v>#DIV/0!</v>
      </c>
      <c r="ETR132" s="531" t="e">
        <f t="shared" si="66"/>
        <v>#DIV/0!</v>
      </c>
      <c r="ETS132" s="531" t="e">
        <f t="shared" si="66"/>
        <v>#DIV/0!</v>
      </c>
      <c r="ETT132" s="531" t="e">
        <f t="shared" si="66"/>
        <v>#DIV/0!</v>
      </c>
      <c r="ETU132" s="531" t="e">
        <f t="shared" si="66"/>
        <v>#DIV/0!</v>
      </c>
      <c r="ETV132" s="531" t="e">
        <f t="shared" si="66"/>
        <v>#DIV/0!</v>
      </c>
      <c r="ETW132" s="531" t="e">
        <f t="shared" si="66"/>
        <v>#DIV/0!</v>
      </c>
      <c r="ETX132" s="531" t="e">
        <f t="shared" si="66"/>
        <v>#DIV/0!</v>
      </c>
      <c r="ETY132" s="531" t="e">
        <f t="shared" si="66"/>
        <v>#DIV/0!</v>
      </c>
      <c r="ETZ132" s="531" t="e">
        <f t="shared" si="66"/>
        <v>#DIV/0!</v>
      </c>
      <c r="EUA132" s="531" t="e">
        <f t="shared" si="66"/>
        <v>#DIV/0!</v>
      </c>
      <c r="EUB132" s="531" t="e">
        <f t="shared" si="66"/>
        <v>#DIV/0!</v>
      </c>
      <c r="EUC132" s="531" t="e">
        <f t="shared" si="66"/>
        <v>#DIV/0!</v>
      </c>
      <c r="EUD132" s="531" t="e">
        <f t="shared" si="66"/>
        <v>#DIV/0!</v>
      </c>
      <c r="EUE132" s="531" t="e">
        <f t="shared" si="66"/>
        <v>#DIV/0!</v>
      </c>
      <c r="EUF132" s="531" t="e">
        <f t="shared" si="66"/>
        <v>#DIV/0!</v>
      </c>
      <c r="EUG132" s="531" t="e">
        <f t="shared" si="66"/>
        <v>#DIV/0!</v>
      </c>
      <c r="EUH132" s="531" t="e">
        <f t="shared" si="66"/>
        <v>#DIV/0!</v>
      </c>
      <c r="EUI132" s="531" t="e">
        <f t="shared" si="66"/>
        <v>#DIV/0!</v>
      </c>
      <c r="EUJ132" s="531" t="e">
        <f t="shared" si="66"/>
        <v>#DIV/0!</v>
      </c>
      <c r="EUK132" s="531" t="e">
        <f t="shared" si="66"/>
        <v>#DIV/0!</v>
      </c>
      <c r="EUL132" s="531" t="e">
        <f t="shared" si="66"/>
        <v>#DIV/0!</v>
      </c>
      <c r="EUM132" s="531" t="e">
        <f t="shared" si="66"/>
        <v>#DIV/0!</v>
      </c>
      <c r="EUN132" s="531" t="e">
        <f t="shared" si="66"/>
        <v>#DIV/0!</v>
      </c>
      <c r="EUO132" s="531" t="e">
        <f t="shared" si="66"/>
        <v>#DIV/0!</v>
      </c>
      <c r="EUP132" s="531" t="e">
        <f t="shared" si="66"/>
        <v>#DIV/0!</v>
      </c>
      <c r="EUQ132" s="531" t="e">
        <f t="shared" si="66"/>
        <v>#DIV/0!</v>
      </c>
      <c r="EUR132" s="531" t="e">
        <f t="shared" si="66"/>
        <v>#DIV/0!</v>
      </c>
      <c r="EUS132" s="531" t="e">
        <f t="shared" si="66"/>
        <v>#DIV/0!</v>
      </c>
      <c r="EUT132" s="531" t="e">
        <f t="shared" si="66"/>
        <v>#DIV/0!</v>
      </c>
      <c r="EUU132" s="531" t="e">
        <f t="shared" si="66"/>
        <v>#DIV/0!</v>
      </c>
      <c r="EUV132" s="531" t="e">
        <f t="shared" si="66"/>
        <v>#DIV/0!</v>
      </c>
      <c r="EUW132" s="531" t="e">
        <f t="shared" si="66"/>
        <v>#DIV/0!</v>
      </c>
      <c r="EUX132" s="531" t="e">
        <f t="shared" si="66"/>
        <v>#DIV/0!</v>
      </c>
      <c r="EUY132" s="531" t="e">
        <f t="shared" si="66"/>
        <v>#DIV/0!</v>
      </c>
      <c r="EUZ132" s="531" t="e">
        <f t="shared" si="66"/>
        <v>#DIV/0!</v>
      </c>
      <c r="EVA132" s="531" t="e">
        <f t="shared" si="66"/>
        <v>#DIV/0!</v>
      </c>
      <c r="EVB132" s="531" t="e">
        <f t="shared" si="66"/>
        <v>#DIV/0!</v>
      </c>
      <c r="EVC132" s="531" t="e">
        <f t="shared" si="66"/>
        <v>#DIV/0!</v>
      </c>
      <c r="EVD132" s="531" t="e">
        <f t="shared" si="66"/>
        <v>#DIV/0!</v>
      </c>
      <c r="EVE132" s="531" t="e">
        <f t="shared" si="66"/>
        <v>#DIV/0!</v>
      </c>
      <c r="EVF132" s="531" t="e">
        <f t="shared" si="66"/>
        <v>#DIV/0!</v>
      </c>
      <c r="EVG132" s="531" t="e">
        <f t="shared" si="66"/>
        <v>#DIV/0!</v>
      </c>
      <c r="EVH132" s="531" t="e">
        <f t="shared" si="66"/>
        <v>#DIV/0!</v>
      </c>
      <c r="EVI132" s="531" t="e">
        <f t="shared" si="66"/>
        <v>#DIV/0!</v>
      </c>
      <c r="EVJ132" s="531" t="e">
        <f t="shared" si="66"/>
        <v>#DIV/0!</v>
      </c>
      <c r="EVK132" s="531" t="e">
        <f t="shared" si="66"/>
        <v>#DIV/0!</v>
      </c>
      <c r="EVL132" s="531" t="e">
        <f t="shared" si="66"/>
        <v>#DIV/0!</v>
      </c>
      <c r="EVM132" s="531" t="e">
        <f t="shared" si="66"/>
        <v>#DIV/0!</v>
      </c>
      <c r="EVN132" s="531" t="e">
        <f t="shared" si="66"/>
        <v>#DIV/0!</v>
      </c>
      <c r="EVO132" s="531" t="e">
        <f t="shared" si="66"/>
        <v>#DIV/0!</v>
      </c>
      <c r="EVP132" s="531" t="e">
        <f t="shared" si="66"/>
        <v>#DIV/0!</v>
      </c>
      <c r="EVQ132" s="531" t="e">
        <f t="shared" si="66"/>
        <v>#DIV/0!</v>
      </c>
      <c r="EVR132" s="531" t="e">
        <f t="shared" si="66"/>
        <v>#DIV/0!</v>
      </c>
      <c r="EVS132" s="531" t="e">
        <f t="shared" si="66"/>
        <v>#DIV/0!</v>
      </c>
      <c r="EVT132" s="531" t="e">
        <f t="shared" si="66"/>
        <v>#DIV/0!</v>
      </c>
      <c r="EVU132" s="531" t="e">
        <f t="shared" si="66"/>
        <v>#DIV/0!</v>
      </c>
      <c r="EVV132" s="531" t="e">
        <f t="shared" si="66"/>
        <v>#DIV/0!</v>
      </c>
      <c r="EVW132" s="531" t="e">
        <f t="shared" ref="EVW132:EYH132" si="67">(EVW128-EVW116)/(EVW52*10^5)</f>
        <v>#DIV/0!</v>
      </c>
      <c r="EVX132" s="531" t="e">
        <f t="shared" si="67"/>
        <v>#DIV/0!</v>
      </c>
      <c r="EVY132" s="531" t="e">
        <f t="shared" si="67"/>
        <v>#DIV/0!</v>
      </c>
      <c r="EVZ132" s="531" t="e">
        <f t="shared" si="67"/>
        <v>#DIV/0!</v>
      </c>
      <c r="EWA132" s="531" t="e">
        <f t="shared" si="67"/>
        <v>#DIV/0!</v>
      </c>
      <c r="EWB132" s="531" t="e">
        <f t="shared" si="67"/>
        <v>#DIV/0!</v>
      </c>
      <c r="EWC132" s="531" t="e">
        <f t="shared" si="67"/>
        <v>#DIV/0!</v>
      </c>
      <c r="EWD132" s="531" t="e">
        <f t="shared" si="67"/>
        <v>#DIV/0!</v>
      </c>
      <c r="EWE132" s="531" t="e">
        <f t="shared" si="67"/>
        <v>#DIV/0!</v>
      </c>
      <c r="EWF132" s="531" t="e">
        <f t="shared" si="67"/>
        <v>#DIV/0!</v>
      </c>
      <c r="EWG132" s="531" t="e">
        <f t="shared" si="67"/>
        <v>#DIV/0!</v>
      </c>
      <c r="EWH132" s="531" t="e">
        <f t="shared" si="67"/>
        <v>#DIV/0!</v>
      </c>
      <c r="EWI132" s="531" t="e">
        <f t="shared" si="67"/>
        <v>#DIV/0!</v>
      </c>
      <c r="EWJ132" s="531" t="e">
        <f t="shared" si="67"/>
        <v>#DIV/0!</v>
      </c>
      <c r="EWK132" s="531" t="e">
        <f t="shared" si="67"/>
        <v>#DIV/0!</v>
      </c>
      <c r="EWL132" s="531" t="e">
        <f t="shared" si="67"/>
        <v>#DIV/0!</v>
      </c>
      <c r="EWM132" s="531" t="e">
        <f t="shared" si="67"/>
        <v>#DIV/0!</v>
      </c>
      <c r="EWN132" s="531" t="e">
        <f t="shared" si="67"/>
        <v>#DIV/0!</v>
      </c>
      <c r="EWO132" s="531" t="e">
        <f t="shared" si="67"/>
        <v>#DIV/0!</v>
      </c>
      <c r="EWP132" s="531" t="e">
        <f t="shared" si="67"/>
        <v>#DIV/0!</v>
      </c>
      <c r="EWQ132" s="531" t="e">
        <f t="shared" si="67"/>
        <v>#DIV/0!</v>
      </c>
      <c r="EWR132" s="531" t="e">
        <f t="shared" si="67"/>
        <v>#DIV/0!</v>
      </c>
      <c r="EWS132" s="531" t="e">
        <f t="shared" si="67"/>
        <v>#DIV/0!</v>
      </c>
      <c r="EWT132" s="531" t="e">
        <f t="shared" si="67"/>
        <v>#DIV/0!</v>
      </c>
      <c r="EWU132" s="531" t="e">
        <f t="shared" si="67"/>
        <v>#DIV/0!</v>
      </c>
      <c r="EWV132" s="531" t="e">
        <f t="shared" si="67"/>
        <v>#DIV/0!</v>
      </c>
      <c r="EWW132" s="531" t="e">
        <f t="shared" si="67"/>
        <v>#DIV/0!</v>
      </c>
      <c r="EWX132" s="531" t="e">
        <f t="shared" si="67"/>
        <v>#DIV/0!</v>
      </c>
      <c r="EWY132" s="531" t="e">
        <f t="shared" si="67"/>
        <v>#DIV/0!</v>
      </c>
      <c r="EWZ132" s="531" t="e">
        <f t="shared" si="67"/>
        <v>#DIV/0!</v>
      </c>
      <c r="EXA132" s="531" t="e">
        <f t="shared" si="67"/>
        <v>#DIV/0!</v>
      </c>
      <c r="EXB132" s="531" t="e">
        <f t="shared" si="67"/>
        <v>#DIV/0!</v>
      </c>
      <c r="EXC132" s="531" t="e">
        <f t="shared" si="67"/>
        <v>#DIV/0!</v>
      </c>
      <c r="EXD132" s="531" t="e">
        <f t="shared" si="67"/>
        <v>#DIV/0!</v>
      </c>
      <c r="EXE132" s="531" t="e">
        <f t="shared" si="67"/>
        <v>#DIV/0!</v>
      </c>
      <c r="EXF132" s="531" t="e">
        <f t="shared" si="67"/>
        <v>#DIV/0!</v>
      </c>
      <c r="EXG132" s="531" t="e">
        <f t="shared" si="67"/>
        <v>#DIV/0!</v>
      </c>
      <c r="EXH132" s="531" t="e">
        <f t="shared" si="67"/>
        <v>#DIV/0!</v>
      </c>
      <c r="EXI132" s="531" t="e">
        <f t="shared" si="67"/>
        <v>#DIV/0!</v>
      </c>
      <c r="EXJ132" s="531" t="e">
        <f t="shared" si="67"/>
        <v>#DIV/0!</v>
      </c>
      <c r="EXK132" s="531" t="e">
        <f t="shared" si="67"/>
        <v>#DIV/0!</v>
      </c>
      <c r="EXL132" s="531" t="e">
        <f t="shared" si="67"/>
        <v>#DIV/0!</v>
      </c>
      <c r="EXM132" s="531" t="e">
        <f t="shared" si="67"/>
        <v>#DIV/0!</v>
      </c>
      <c r="EXN132" s="531" t="e">
        <f t="shared" si="67"/>
        <v>#DIV/0!</v>
      </c>
      <c r="EXO132" s="531" t="e">
        <f t="shared" si="67"/>
        <v>#DIV/0!</v>
      </c>
      <c r="EXP132" s="531" t="e">
        <f t="shared" si="67"/>
        <v>#DIV/0!</v>
      </c>
      <c r="EXQ132" s="531" t="e">
        <f t="shared" si="67"/>
        <v>#DIV/0!</v>
      </c>
      <c r="EXR132" s="531" t="e">
        <f t="shared" si="67"/>
        <v>#DIV/0!</v>
      </c>
      <c r="EXS132" s="531" t="e">
        <f t="shared" si="67"/>
        <v>#DIV/0!</v>
      </c>
      <c r="EXT132" s="531" t="e">
        <f t="shared" si="67"/>
        <v>#DIV/0!</v>
      </c>
      <c r="EXU132" s="531" t="e">
        <f t="shared" si="67"/>
        <v>#DIV/0!</v>
      </c>
      <c r="EXV132" s="531" t="e">
        <f t="shared" si="67"/>
        <v>#DIV/0!</v>
      </c>
      <c r="EXW132" s="531" t="e">
        <f t="shared" si="67"/>
        <v>#DIV/0!</v>
      </c>
      <c r="EXX132" s="531" t="e">
        <f t="shared" si="67"/>
        <v>#DIV/0!</v>
      </c>
      <c r="EXY132" s="531" t="e">
        <f t="shared" si="67"/>
        <v>#DIV/0!</v>
      </c>
      <c r="EXZ132" s="531" t="e">
        <f t="shared" si="67"/>
        <v>#DIV/0!</v>
      </c>
      <c r="EYA132" s="531" t="e">
        <f t="shared" si="67"/>
        <v>#DIV/0!</v>
      </c>
      <c r="EYB132" s="531" t="e">
        <f t="shared" si="67"/>
        <v>#DIV/0!</v>
      </c>
      <c r="EYC132" s="531" t="e">
        <f t="shared" si="67"/>
        <v>#DIV/0!</v>
      </c>
      <c r="EYD132" s="531" t="e">
        <f t="shared" si="67"/>
        <v>#DIV/0!</v>
      </c>
      <c r="EYE132" s="531" t="e">
        <f t="shared" si="67"/>
        <v>#DIV/0!</v>
      </c>
      <c r="EYF132" s="531" t="e">
        <f t="shared" si="67"/>
        <v>#DIV/0!</v>
      </c>
      <c r="EYG132" s="531" t="e">
        <f t="shared" si="67"/>
        <v>#DIV/0!</v>
      </c>
      <c r="EYH132" s="531" t="e">
        <f t="shared" si="67"/>
        <v>#DIV/0!</v>
      </c>
      <c r="EYI132" s="531" t="e">
        <f t="shared" ref="EYI132:FAT132" si="68">(EYI128-EYI116)/(EYI52*10^5)</f>
        <v>#DIV/0!</v>
      </c>
      <c r="EYJ132" s="531" t="e">
        <f t="shared" si="68"/>
        <v>#DIV/0!</v>
      </c>
      <c r="EYK132" s="531" t="e">
        <f t="shared" si="68"/>
        <v>#DIV/0!</v>
      </c>
      <c r="EYL132" s="531" t="e">
        <f t="shared" si="68"/>
        <v>#DIV/0!</v>
      </c>
      <c r="EYM132" s="531" t="e">
        <f t="shared" si="68"/>
        <v>#DIV/0!</v>
      </c>
      <c r="EYN132" s="531" t="e">
        <f t="shared" si="68"/>
        <v>#DIV/0!</v>
      </c>
      <c r="EYO132" s="531" t="e">
        <f t="shared" si="68"/>
        <v>#DIV/0!</v>
      </c>
      <c r="EYP132" s="531" t="e">
        <f t="shared" si="68"/>
        <v>#DIV/0!</v>
      </c>
      <c r="EYQ132" s="531" t="e">
        <f t="shared" si="68"/>
        <v>#DIV/0!</v>
      </c>
      <c r="EYR132" s="531" t="e">
        <f t="shared" si="68"/>
        <v>#DIV/0!</v>
      </c>
      <c r="EYS132" s="531" t="e">
        <f t="shared" si="68"/>
        <v>#DIV/0!</v>
      </c>
      <c r="EYT132" s="531" t="e">
        <f t="shared" si="68"/>
        <v>#DIV/0!</v>
      </c>
      <c r="EYU132" s="531" t="e">
        <f t="shared" si="68"/>
        <v>#DIV/0!</v>
      </c>
      <c r="EYV132" s="531" t="e">
        <f t="shared" si="68"/>
        <v>#DIV/0!</v>
      </c>
      <c r="EYW132" s="531" t="e">
        <f t="shared" si="68"/>
        <v>#DIV/0!</v>
      </c>
      <c r="EYX132" s="531" t="e">
        <f t="shared" si="68"/>
        <v>#DIV/0!</v>
      </c>
      <c r="EYY132" s="531" t="e">
        <f t="shared" si="68"/>
        <v>#DIV/0!</v>
      </c>
      <c r="EYZ132" s="531" t="e">
        <f t="shared" si="68"/>
        <v>#DIV/0!</v>
      </c>
      <c r="EZA132" s="531" t="e">
        <f t="shared" si="68"/>
        <v>#DIV/0!</v>
      </c>
      <c r="EZB132" s="531" t="e">
        <f t="shared" si="68"/>
        <v>#DIV/0!</v>
      </c>
      <c r="EZC132" s="531" t="e">
        <f t="shared" si="68"/>
        <v>#DIV/0!</v>
      </c>
      <c r="EZD132" s="531" t="e">
        <f t="shared" si="68"/>
        <v>#DIV/0!</v>
      </c>
      <c r="EZE132" s="531" t="e">
        <f t="shared" si="68"/>
        <v>#DIV/0!</v>
      </c>
      <c r="EZF132" s="531" t="e">
        <f t="shared" si="68"/>
        <v>#DIV/0!</v>
      </c>
      <c r="EZG132" s="531" t="e">
        <f t="shared" si="68"/>
        <v>#DIV/0!</v>
      </c>
      <c r="EZH132" s="531" t="e">
        <f t="shared" si="68"/>
        <v>#DIV/0!</v>
      </c>
      <c r="EZI132" s="531" t="e">
        <f t="shared" si="68"/>
        <v>#DIV/0!</v>
      </c>
      <c r="EZJ132" s="531" t="e">
        <f t="shared" si="68"/>
        <v>#DIV/0!</v>
      </c>
      <c r="EZK132" s="531" t="e">
        <f t="shared" si="68"/>
        <v>#DIV/0!</v>
      </c>
      <c r="EZL132" s="531" t="e">
        <f t="shared" si="68"/>
        <v>#DIV/0!</v>
      </c>
      <c r="EZM132" s="531" t="e">
        <f t="shared" si="68"/>
        <v>#DIV/0!</v>
      </c>
      <c r="EZN132" s="531" t="e">
        <f t="shared" si="68"/>
        <v>#DIV/0!</v>
      </c>
      <c r="EZO132" s="531" t="e">
        <f t="shared" si="68"/>
        <v>#DIV/0!</v>
      </c>
      <c r="EZP132" s="531" t="e">
        <f t="shared" si="68"/>
        <v>#DIV/0!</v>
      </c>
      <c r="EZQ132" s="531" t="e">
        <f t="shared" si="68"/>
        <v>#DIV/0!</v>
      </c>
      <c r="EZR132" s="531" t="e">
        <f t="shared" si="68"/>
        <v>#DIV/0!</v>
      </c>
      <c r="EZS132" s="531" t="e">
        <f t="shared" si="68"/>
        <v>#DIV/0!</v>
      </c>
      <c r="EZT132" s="531" t="e">
        <f t="shared" si="68"/>
        <v>#DIV/0!</v>
      </c>
      <c r="EZU132" s="531" t="e">
        <f t="shared" si="68"/>
        <v>#DIV/0!</v>
      </c>
      <c r="EZV132" s="531" t="e">
        <f t="shared" si="68"/>
        <v>#DIV/0!</v>
      </c>
      <c r="EZW132" s="531" t="e">
        <f t="shared" si="68"/>
        <v>#DIV/0!</v>
      </c>
      <c r="EZX132" s="531" t="e">
        <f t="shared" si="68"/>
        <v>#DIV/0!</v>
      </c>
      <c r="EZY132" s="531" t="e">
        <f t="shared" si="68"/>
        <v>#DIV/0!</v>
      </c>
      <c r="EZZ132" s="531" t="e">
        <f t="shared" si="68"/>
        <v>#DIV/0!</v>
      </c>
      <c r="FAA132" s="531" t="e">
        <f t="shared" si="68"/>
        <v>#DIV/0!</v>
      </c>
      <c r="FAB132" s="531" t="e">
        <f t="shared" si="68"/>
        <v>#DIV/0!</v>
      </c>
      <c r="FAC132" s="531" t="e">
        <f t="shared" si="68"/>
        <v>#DIV/0!</v>
      </c>
      <c r="FAD132" s="531" t="e">
        <f t="shared" si="68"/>
        <v>#DIV/0!</v>
      </c>
      <c r="FAE132" s="531" t="e">
        <f t="shared" si="68"/>
        <v>#DIV/0!</v>
      </c>
      <c r="FAF132" s="531" t="e">
        <f t="shared" si="68"/>
        <v>#DIV/0!</v>
      </c>
      <c r="FAG132" s="531" t="e">
        <f t="shared" si="68"/>
        <v>#DIV/0!</v>
      </c>
      <c r="FAH132" s="531" t="e">
        <f t="shared" si="68"/>
        <v>#DIV/0!</v>
      </c>
      <c r="FAI132" s="531" t="e">
        <f t="shared" si="68"/>
        <v>#DIV/0!</v>
      </c>
      <c r="FAJ132" s="531" t="e">
        <f t="shared" si="68"/>
        <v>#DIV/0!</v>
      </c>
      <c r="FAK132" s="531" t="e">
        <f t="shared" si="68"/>
        <v>#DIV/0!</v>
      </c>
      <c r="FAL132" s="531" t="e">
        <f t="shared" si="68"/>
        <v>#DIV/0!</v>
      </c>
      <c r="FAM132" s="531" t="e">
        <f t="shared" si="68"/>
        <v>#DIV/0!</v>
      </c>
      <c r="FAN132" s="531" t="e">
        <f t="shared" si="68"/>
        <v>#DIV/0!</v>
      </c>
      <c r="FAO132" s="531" t="e">
        <f t="shared" si="68"/>
        <v>#DIV/0!</v>
      </c>
      <c r="FAP132" s="531" t="e">
        <f t="shared" si="68"/>
        <v>#DIV/0!</v>
      </c>
      <c r="FAQ132" s="531" t="e">
        <f t="shared" si="68"/>
        <v>#DIV/0!</v>
      </c>
      <c r="FAR132" s="531" t="e">
        <f t="shared" si="68"/>
        <v>#DIV/0!</v>
      </c>
      <c r="FAS132" s="531" t="e">
        <f t="shared" si="68"/>
        <v>#DIV/0!</v>
      </c>
      <c r="FAT132" s="531" t="e">
        <f t="shared" si="68"/>
        <v>#DIV/0!</v>
      </c>
      <c r="FAU132" s="531" t="e">
        <f t="shared" ref="FAU132:FDF132" si="69">(FAU128-FAU116)/(FAU52*10^5)</f>
        <v>#DIV/0!</v>
      </c>
      <c r="FAV132" s="531" t="e">
        <f t="shared" si="69"/>
        <v>#DIV/0!</v>
      </c>
      <c r="FAW132" s="531" t="e">
        <f t="shared" si="69"/>
        <v>#DIV/0!</v>
      </c>
      <c r="FAX132" s="531" t="e">
        <f t="shared" si="69"/>
        <v>#DIV/0!</v>
      </c>
      <c r="FAY132" s="531" t="e">
        <f t="shared" si="69"/>
        <v>#DIV/0!</v>
      </c>
      <c r="FAZ132" s="531" t="e">
        <f t="shared" si="69"/>
        <v>#DIV/0!</v>
      </c>
      <c r="FBA132" s="531" t="e">
        <f t="shared" si="69"/>
        <v>#DIV/0!</v>
      </c>
      <c r="FBB132" s="531" t="e">
        <f t="shared" si="69"/>
        <v>#DIV/0!</v>
      </c>
      <c r="FBC132" s="531" t="e">
        <f t="shared" si="69"/>
        <v>#DIV/0!</v>
      </c>
      <c r="FBD132" s="531" t="e">
        <f t="shared" si="69"/>
        <v>#DIV/0!</v>
      </c>
      <c r="FBE132" s="531" t="e">
        <f t="shared" si="69"/>
        <v>#DIV/0!</v>
      </c>
      <c r="FBF132" s="531" t="e">
        <f t="shared" si="69"/>
        <v>#DIV/0!</v>
      </c>
      <c r="FBG132" s="531" t="e">
        <f t="shared" si="69"/>
        <v>#DIV/0!</v>
      </c>
      <c r="FBH132" s="531" t="e">
        <f t="shared" si="69"/>
        <v>#DIV/0!</v>
      </c>
      <c r="FBI132" s="531" t="e">
        <f t="shared" si="69"/>
        <v>#DIV/0!</v>
      </c>
      <c r="FBJ132" s="531" t="e">
        <f t="shared" si="69"/>
        <v>#DIV/0!</v>
      </c>
      <c r="FBK132" s="531" t="e">
        <f t="shared" si="69"/>
        <v>#DIV/0!</v>
      </c>
      <c r="FBL132" s="531" t="e">
        <f t="shared" si="69"/>
        <v>#DIV/0!</v>
      </c>
      <c r="FBM132" s="531" t="e">
        <f t="shared" si="69"/>
        <v>#DIV/0!</v>
      </c>
      <c r="FBN132" s="531" t="e">
        <f t="shared" si="69"/>
        <v>#DIV/0!</v>
      </c>
      <c r="FBO132" s="531" t="e">
        <f t="shared" si="69"/>
        <v>#DIV/0!</v>
      </c>
      <c r="FBP132" s="531" t="e">
        <f t="shared" si="69"/>
        <v>#DIV/0!</v>
      </c>
      <c r="FBQ132" s="531" t="e">
        <f t="shared" si="69"/>
        <v>#DIV/0!</v>
      </c>
      <c r="FBR132" s="531" t="e">
        <f t="shared" si="69"/>
        <v>#DIV/0!</v>
      </c>
      <c r="FBS132" s="531" t="e">
        <f t="shared" si="69"/>
        <v>#DIV/0!</v>
      </c>
      <c r="FBT132" s="531" t="e">
        <f t="shared" si="69"/>
        <v>#DIV/0!</v>
      </c>
      <c r="FBU132" s="531" t="e">
        <f t="shared" si="69"/>
        <v>#DIV/0!</v>
      </c>
      <c r="FBV132" s="531" t="e">
        <f t="shared" si="69"/>
        <v>#DIV/0!</v>
      </c>
      <c r="FBW132" s="531" t="e">
        <f t="shared" si="69"/>
        <v>#DIV/0!</v>
      </c>
      <c r="FBX132" s="531" t="e">
        <f t="shared" si="69"/>
        <v>#DIV/0!</v>
      </c>
      <c r="FBY132" s="531" t="e">
        <f t="shared" si="69"/>
        <v>#DIV/0!</v>
      </c>
      <c r="FBZ132" s="531" t="e">
        <f t="shared" si="69"/>
        <v>#DIV/0!</v>
      </c>
      <c r="FCA132" s="531" t="e">
        <f t="shared" si="69"/>
        <v>#DIV/0!</v>
      </c>
      <c r="FCB132" s="531" t="e">
        <f t="shared" si="69"/>
        <v>#DIV/0!</v>
      </c>
      <c r="FCC132" s="531" t="e">
        <f t="shared" si="69"/>
        <v>#DIV/0!</v>
      </c>
      <c r="FCD132" s="531" t="e">
        <f t="shared" si="69"/>
        <v>#DIV/0!</v>
      </c>
      <c r="FCE132" s="531" t="e">
        <f t="shared" si="69"/>
        <v>#DIV/0!</v>
      </c>
      <c r="FCF132" s="531" t="e">
        <f t="shared" si="69"/>
        <v>#DIV/0!</v>
      </c>
      <c r="FCG132" s="531" t="e">
        <f t="shared" si="69"/>
        <v>#DIV/0!</v>
      </c>
      <c r="FCH132" s="531" t="e">
        <f t="shared" si="69"/>
        <v>#DIV/0!</v>
      </c>
      <c r="FCI132" s="531" t="e">
        <f t="shared" si="69"/>
        <v>#DIV/0!</v>
      </c>
      <c r="FCJ132" s="531" t="e">
        <f t="shared" si="69"/>
        <v>#DIV/0!</v>
      </c>
      <c r="FCK132" s="531" t="e">
        <f t="shared" si="69"/>
        <v>#DIV/0!</v>
      </c>
      <c r="FCL132" s="531" t="e">
        <f t="shared" si="69"/>
        <v>#DIV/0!</v>
      </c>
      <c r="FCM132" s="531" t="e">
        <f t="shared" si="69"/>
        <v>#DIV/0!</v>
      </c>
      <c r="FCN132" s="531" t="e">
        <f t="shared" si="69"/>
        <v>#DIV/0!</v>
      </c>
      <c r="FCO132" s="531" t="e">
        <f t="shared" si="69"/>
        <v>#DIV/0!</v>
      </c>
      <c r="FCP132" s="531" t="e">
        <f t="shared" si="69"/>
        <v>#DIV/0!</v>
      </c>
      <c r="FCQ132" s="531" t="e">
        <f t="shared" si="69"/>
        <v>#DIV/0!</v>
      </c>
      <c r="FCR132" s="531" t="e">
        <f t="shared" si="69"/>
        <v>#DIV/0!</v>
      </c>
      <c r="FCS132" s="531" t="e">
        <f t="shared" si="69"/>
        <v>#DIV/0!</v>
      </c>
      <c r="FCT132" s="531" t="e">
        <f t="shared" si="69"/>
        <v>#DIV/0!</v>
      </c>
      <c r="FCU132" s="531" t="e">
        <f t="shared" si="69"/>
        <v>#DIV/0!</v>
      </c>
      <c r="FCV132" s="531" t="e">
        <f t="shared" si="69"/>
        <v>#DIV/0!</v>
      </c>
      <c r="FCW132" s="531" t="e">
        <f t="shared" si="69"/>
        <v>#DIV/0!</v>
      </c>
      <c r="FCX132" s="531" t="e">
        <f t="shared" si="69"/>
        <v>#DIV/0!</v>
      </c>
      <c r="FCY132" s="531" t="e">
        <f t="shared" si="69"/>
        <v>#DIV/0!</v>
      </c>
      <c r="FCZ132" s="531" t="e">
        <f t="shared" si="69"/>
        <v>#DIV/0!</v>
      </c>
      <c r="FDA132" s="531" t="e">
        <f t="shared" si="69"/>
        <v>#DIV/0!</v>
      </c>
      <c r="FDB132" s="531" t="e">
        <f t="shared" si="69"/>
        <v>#DIV/0!</v>
      </c>
      <c r="FDC132" s="531" t="e">
        <f t="shared" si="69"/>
        <v>#DIV/0!</v>
      </c>
      <c r="FDD132" s="531" t="e">
        <f t="shared" si="69"/>
        <v>#DIV/0!</v>
      </c>
      <c r="FDE132" s="531" t="e">
        <f t="shared" si="69"/>
        <v>#DIV/0!</v>
      </c>
      <c r="FDF132" s="531" t="e">
        <f t="shared" si="69"/>
        <v>#DIV/0!</v>
      </c>
      <c r="FDG132" s="531" t="e">
        <f t="shared" ref="FDG132:FFR132" si="70">(FDG128-FDG116)/(FDG52*10^5)</f>
        <v>#DIV/0!</v>
      </c>
      <c r="FDH132" s="531" t="e">
        <f t="shared" si="70"/>
        <v>#DIV/0!</v>
      </c>
      <c r="FDI132" s="531" t="e">
        <f t="shared" si="70"/>
        <v>#DIV/0!</v>
      </c>
      <c r="FDJ132" s="531" t="e">
        <f t="shared" si="70"/>
        <v>#DIV/0!</v>
      </c>
      <c r="FDK132" s="531" t="e">
        <f t="shared" si="70"/>
        <v>#DIV/0!</v>
      </c>
      <c r="FDL132" s="531" t="e">
        <f t="shared" si="70"/>
        <v>#DIV/0!</v>
      </c>
      <c r="FDM132" s="531" t="e">
        <f t="shared" si="70"/>
        <v>#DIV/0!</v>
      </c>
      <c r="FDN132" s="531" t="e">
        <f t="shared" si="70"/>
        <v>#DIV/0!</v>
      </c>
      <c r="FDO132" s="531" t="e">
        <f t="shared" si="70"/>
        <v>#DIV/0!</v>
      </c>
      <c r="FDP132" s="531" t="e">
        <f t="shared" si="70"/>
        <v>#DIV/0!</v>
      </c>
      <c r="FDQ132" s="531" t="e">
        <f t="shared" si="70"/>
        <v>#DIV/0!</v>
      </c>
      <c r="FDR132" s="531" t="e">
        <f t="shared" si="70"/>
        <v>#DIV/0!</v>
      </c>
      <c r="FDS132" s="531" t="e">
        <f t="shared" si="70"/>
        <v>#DIV/0!</v>
      </c>
      <c r="FDT132" s="531" t="e">
        <f t="shared" si="70"/>
        <v>#DIV/0!</v>
      </c>
      <c r="FDU132" s="531" t="e">
        <f t="shared" si="70"/>
        <v>#DIV/0!</v>
      </c>
      <c r="FDV132" s="531" t="e">
        <f t="shared" si="70"/>
        <v>#DIV/0!</v>
      </c>
      <c r="FDW132" s="531" t="e">
        <f t="shared" si="70"/>
        <v>#DIV/0!</v>
      </c>
      <c r="FDX132" s="531" t="e">
        <f t="shared" si="70"/>
        <v>#DIV/0!</v>
      </c>
      <c r="FDY132" s="531" t="e">
        <f t="shared" si="70"/>
        <v>#DIV/0!</v>
      </c>
      <c r="FDZ132" s="531" t="e">
        <f t="shared" si="70"/>
        <v>#DIV/0!</v>
      </c>
      <c r="FEA132" s="531" t="e">
        <f t="shared" si="70"/>
        <v>#DIV/0!</v>
      </c>
      <c r="FEB132" s="531" t="e">
        <f t="shared" si="70"/>
        <v>#DIV/0!</v>
      </c>
      <c r="FEC132" s="531" t="e">
        <f t="shared" si="70"/>
        <v>#DIV/0!</v>
      </c>
      <c r="FED132" s="531" t="e">
        <f t="shared" si="70"/>
        <v>#DIV/0!</v>
      </c>
      <c r="FEE132" s="531" t="e">
        <f t="shared" si="70"/>
        <v>#DIV/0!</v>
      </c>
      <c r="FEF132" s="531" t="e">
        <f t="shared" si="70"/>
        <v>#DIV/0!</v>
      </c>
      <c r="FEG132" s="531" t="e">
        <f t="shared" si="70"/>
        <v>#DIV/0!</v>
      </c>
      <c r="FEH132" s="531" t="e">
        <f t="shared" si="70"/>
        <v>#DIV/0!</v>
      </c>
      <c r="FEI132" s="531" t="e">
        <f t="shared" si="70"/>
        <v>#DIV/0!</v>
      </c>
      <c r="FEJ132" s="531" t="e">
        <f t="shared" si="70"/>
        <v>#DIV/0!</v>
      </c>
      <c r="FEK132" s="531" t="e">
        <f t="shared" si="70"/>
        <v>#DIV/0!</v>
      </c>
      <c r="FEL132" s="531" t="e">
        <f t="shared" si="70"/>
        <v>#DIV/0!</v>
      </c>
      <c r="FEM132" s="531" t="e">
        <f t="shared" si="70"/>
        <v>#DIV/0!</v>
      </c>
      <c r="FEN132" s="531" t="e">
        <f t="shared" si="70"/>
        <v>#DIV/0!</v>
      </c>
      <c r="FEO132" s="531" t="e">
        <f t="shared" si="70"/>
        <v>#DIV/0!</v>
      </c>
      <c r="FEP132" s="531" t="e">
        <f t="shared" si="70"/>
        <v>#DIV/0!</v>
      </c>
      <c r="FEQ132" s="531" t="e">
        <f t="shared" si="70"/>
        <v>#DIV/0!</v>
      </c>
      <c r="FER132" s="531" t="e">
        <f t="shared" si="70"/>
        <v>#DIV/0!</v>
      </c>
      <c r="FES132" s="531" t="e">
        <f t="shared" si="70"/>
        <v>#DIV/0!</v>
      </c>
      <c r="FET132" s="531" t="e">
        <f t="shared" si="70"/>
        <v>#DIV/0!</v>
      </c>
      <c r="FEU132" s="531" t="e">
        <f t="shared" si="70"/>
        <v>#DIV/0!</v>
      </c>
      <c r="FEV132" s="531" t="e">
        <f t="shared" si="70"/>
        <v>#DIV/0!</v>
      </c>
      <c r="FEW132" s="531" t="e">
        <f t="shared" si="70"/>
        <v>#DIV/0!</v>
      </c>
      <c r="FEX132" s="531" t="e">
        <f t="shared" si="70"/>
        <v>#DIV/0!</v>
      </c>
      <c r="FEY132" s="531" t="e">
        <f t="shared" si="70"/>
        <v>#DIV/0!</v>
      </c>
      <c r="FEZ132" s="531" t="e">
        <f t="shared" si="70"/>
        <v>#DIV/0!</v>
      </c>
      <c r="FFA132" s="531" t="e">
        <f t="shared" si="70"/>
        <v>#DIV/0!</v>
      </c>
      <c r="FFB132" s="531" t="e">
        <f t="shared" si="70"/>
        <v>#DIV/0!</v>
      </c>
      <c r="FFC132" s="531" t="e">
        <f t="shared" si="70"/>
        <v>#DIV/0!</v>
      </c>
      <c r="FFD132" s="531" t="e">
        <f t="shared" si="70"/>
        <v>#DIV/0!</v>
      </c>
      <c r="FFE132" s="531" t="e">
        <f t="shared" si="70"/>
        <v>#DIV/0!</v>
      </c>
      <c r="FFF132" s="531" t="e">
        <f t="shared" si="70"/>
        <v>#DIV/0!</v>
      </c>
      <c r="FFG132" s="531" t="e">
        <f t="shared" si="70"/>
        <v>#DIV/0!</v>
      </c>
      <c r="FFH132" s="531" t="e">
        <f t="shared" si="70"/>
        <v>#DIV/0!</v>
      </c>
      <c r="FFI132" s="531" t="e">
        <f t="shared" si="70"/>
        <v>#DIV/0!</v>
      </c>
      <c r="FFJ132" s="531" t="e">
        <f t="shared" si="70"/>
        <v>#DIV/0!</v>
      </c>
      <c r="FFK132" s="531" t="e">
        <f t="shared" si="70"/>
        <v>#DIV/0!</v>
      </c>
      <c r="FFL132" s="531" t="e">
        <f t="shared" si="70"/>
        <v>#DIV/0!</v>
      </c>
      <c r="FFM132" s="531" t="e">
        <f t="shared" si="70"/>
        <v>#DIV/0!</v>
      </c>
      <c r="FFN132" s="531" t="e">
        <f t="shared" si="70"/>
        <v>#DIV/0!</v>
      </c>
      <c r="FFO132" s="531" t="e">
        <f t="shared" si="70"/>
        <v>#DIV/0!</v>
      </c>
      <c r="FFP132" s="531" t="e">
        <f t="shared" si="70"/>
        <v>#DIV/0!</v>
      </c>
      <c r="FFQ132" s="531" t="e">
        <f t="shared" si="70"/>
        <v>#DIV/0!</v>
      </c>
      <c r="FFR132" s="531" t="e">
        <f t="shared" si="70"/>
        <v>#DIV/0!</v>
      </c>
      <c r="FFS132" s="531" t="e">
        <f t="shared" ref="FFS132:FID132" si="71">(FFS128-FFS116)/(FFS52*10^5)</f>
        <v>#DIV/0!</v>
      </c>
      <c r="FFT132" s="531" t="e">
        <f t="shared" si="71"/>
        <v>#DIV/0!</v>
      </c>
      <c r="FFU132" s="531" t="e">
        <f t="shared" si="71"/>
        <v>#DIV/0!</v>
      </c>
      <c r="FFV132" s="531" t="e">
        <f t="shared" si="71"/>
        <v>#DIV/0!</v>
      </c>
      <c r="FFW132" s="531" t="e">
        <f t="shared" si="71"/>
        <v>#DIV/0!</v>
      </c>
      <c r="FFX132" s="531" t="e">
        <f t="shared" si="71"/>
        <v>#DIV/0!</v>
      </c>
      <c r="FFY132" s="531" t="e">
        <f t="shared" si="71"/>
        <v>#DIV/0!</v>
      </c>
      <c r="FFZ132" s="531" t="e">
        <f t="shared" si="71"/>
        <v>#DIV/0!</v>
      </c>
      <c r="FGA132" s="531" t="e">
        <f t="shared" si="71"/>
        <v>#DIV/0!</v>
      </c>
      <c r="FGB132" s="531" t="e">
        <f t="shared" si="71"/>
        <v>#DIV/0!</v>
      </c>
      <c r="FGC132" s="531" t="e">
        <f t="shared" si="71"/>
        <v>#DIV/0!</v>
      </c>
      <c r="FGD132" s="531" t="e">
        <f t="shared" si="71"/>
        <v>#DIV/0!</v>
      </c>
      <c r="FGE132" s="531" t="e">
        <f t="shared" si="71"/>
        <v>#DIV/0!</v>
      </c>
      <c r="FGF132" s="531" t="e">
        <f t="shared" si="71"/>
        <v>#DIV/0!</v>
      </c>
      <c r="FGG132" s="531" t="e">
        <f t="shared" si="71"/>
        <v>#DIV/0!</v>
      </c>
      <c r="FGH132" s="531" t="e">
        <f t="shared" si="71"/>
        <v>#DIV/0!</v>
      </c>
      <c r="FGI132" s="531" t="e">
        <f t="shared" si="71"/>
        <v>#DIV/0!</v>
      </c>
      <c r="FGJ132" s="531" t="e">
        <f t="shared" si="71"/>
        <v>#DIV/0!</v>
      </c>
      <c r="FGK132" s="531" t="e">
        <f t="shared" si="71"/>
        <v>#DIV/0!</v>
      </c>
      <c r="FGL132" s="531" t="e">
        <f t="shared" si="71"/>
        <v>#DIV/0!</v>
      </c>
      <c r="FGM132" s="531" t="e">
        <f t="shared" si="71"/>
        <v>#DIV/0!</v>
      </c>
      <c r="FGN132" s="531" t="e">
        <f t="shared" si="71"/>
        <v>#DIV/0!</v>
      </c>
      <c r="FGO132" s="531" t="e">
        <f t="shared" si="71"/>
        <v>#DIV/0!</v>
      </c>
      <c r="FGP132" s="531" t="e">
        <f t="shared" si="71"/>
        <v>#DIV/0!</v>
      </c>
      <c r="FGQ132" s="531" t="e">
        <f t="shared" si="71"/>
        <v>#DIV/0!</v>
      </c>
      <c r="FGR132" s="531" t="e">
        <f t="shared" si="71"/>
        <v>#DIV/0!</v>
      </c>
      <c r="FGS132" s="531" t="e">
        <f t="shared" si="71"/>
        <v>#DIV/0!</v>
      </c>
      <c r="FGT132" s="531" t="e">
        <f t="shared" si="71"/>
        <v>#DIV/0!</v>
      </c>
      <c r="FGU132" s="531" t="e">
        <f t="shared" si="71"/>
        <v>#DIV/0!</v>
      </c>
      <c r="FGV132" s="531" t="e">
        <f t="shared" si="71"/>
        <v>#DIV/0!</v>
      </c>
      <c r="FGW132" s="531" t="e">
        <f t="shared" si="71"/>
        <v>#DIV/0!</v>
      </c>
      <c r="FGX132" s="531" t="e">
        <f t="shared" si="71"/>
        <v>#DIV/0!</v>
      </c>
      <c r="FGY132" s="531" t="e">
        <f t="shared" si="71"/>
        <v>#DIV/0!</v>
      </c>
      <c r="FGZ132" s="531" t="e">
        <f t="shared" si="71"/>
        <v>#DIV/0!</v>
      </c>
      <c r="FHA132" s="531" t="e">
        <f t="shared" si="71"/>
        <v>#DIV/0!</v>
      </c>
      <c r="FHB132" s="531" t="e">
        <f t="shared" si="71"/>
        <v>#DIV/0!</v>
      </c>
      <c r="FHC132" s="531" t="e">
        <f t="shared" si="71"/>
        <v>#DIV/0!</v>
      </c>
      <c r="FHD132" s="531" t="e">
        <f t="shared" si="71"/>
        <v>#DIV/0!</v>
      </c>
      <c r="FHE132" s="531" t="e">
        <f t="shared" si="71"/>
        <v>#DIV/0!</v>
      </c>
      <c r="FHF132" s="531" t="e">
        <f t="shared" si="71"/>
        <v>#DIV/0!</v>
      </c>
      <c r="FHG132" s="531" t="e">
        <f t="shared" si="71"/>
        <v>#DIV/0!</v>
      </c>
      <c r="FHH132" s="531" t="e">
        <f t="shared" si="71"/>
        <v>#DIV/0!</v>
      </c>
      <c r="FHI132" s="531" t="e">
        <f t="shared" si="71"/>
        <v>#DIV/0!</v>
      </c>
      <c r="FHJ132" s="531" t="e">
        <f t="shared" si="71"/>
        <v>#DIV/0!</v>
      </c>
      <c r="FHK132" s="531" t="e">
        <f t="shared" si="71"/>
        <v>#DIV/0!</v>
      </c>
      <c r="FHL132" s="531" t="e">
        <f t="shared" si="71"/>
        <v>#DIV/0!</v>
      </c>
      <c r="FHM132" s="531" t="e">
        <f t="shared" si="71"/>
        <v>#DIV/0!</v>
      </c>
      <c r="FHN132" s="531" t="e">
        <f t="shared" si="71"/>
        <v>#DIV/0!</v>
      </c>
      <c r="FHO132" s="531" t="e">
        <f t="shared" si="71"/>
        <v>#DIV/0!</v>
      </c>
      <c r="FHP132" s="531" t="e">
        <f t="shared" si="71"/>
        <v>#DIV/0!</v>
      </c>
      <c r="FHQ132" s="531" t="e">
        <f t="shared" si="71"/>
        <v>#DIV/0!</v>
      </c>
      <c r="FHR132" s="531" t="e">
        <f t="shared" si="71"/>
        <v>#DIV/0!</v>
      </c>
      <c r="FHS132" s="531" t="e">
        <f t="shared" si="71"/>
        <v>#DIV/0!</v>
      </c>
      <c r="FHT132" s="531" t="e">
        <f t="shared" si="71"/>
        <v>#DIV/0!</v>
      </c>
      <c r="FHU132" s="531" t="e">
        <f t="shared" si="71"/>
        <v>#DIV/0!</v>
      </c>
      <c r="FHV132" s="531" t="e">
        <f t="shared" si="71"/>
        <v>#DIV/0!</v>
      </c>
      <c r="FHW132" s="531" t="e">
        <f t="shared" si="71"/>
        <v>#DIV/0!</v>
      </c>
      <c r="FHX132" s="531" t="e">
        <f t="shared" si="71"/>
        <v>#DIV/0!</v>
      </c>
      <c r="FHY132" s="531" t="e">
        <f t="shared" si="71"/>
        <v>#DIV/0!</v>
      </c>
      <c r="FHZ132" s="531" t="e">
        <f t="shared" si="71"/>
        <v>#DIV/0!</v>
      </c>
      <c r="FIA132" s="531" t="e">
        <f t="shared" si="71"/>
        <v>#DIV/0!</v>
      </c>
      <c r="FIB132" s="531" t="e">
        <f t="shared" si="71"/>
        <v>#DIV/0!</v>
      </c>
      <c r="FIC132" s="531" t="e">
        <f t="shared" si="71"/>
        <v>#DIV/0!</v>
      </c>
      <c r="FID132" s="531" t="e">
        <f t="shared" si="71"/>
        <v>#DIV/0!</v>
      </c>
      <c r="FIE132" s="531" t="e">
        <f t="shared" ref="FIE132:FKP132" si="72">(FIE128-FIE116)/(FIE52*10^5)</f>
        <v>#DIV/0!</v>
      </c>
      <c r="FIF132" s="531" t="e">
        <f t="shared" si="72"/>
        <v>#DIV/0!</v>
      </c>
      <c r="FIG132" s="531" t="e">
        <f t="shared" si="72"/>
        <v>#DIV/0!</v>
      </c>
      <c r="FIH132" s="531" t="e">
        <f t="shared" si="72"/>
        <v>#DIV/0!</v>
      </c>
      <c r="FII132" s="531" t="e">
        <f t="shared" si="72"/>
        <v>#DIV/0!</v>
      </c>
      <c r="FIJ132" s="531" t="e">
        <f t="shared" si="72"/>
        <v>#DIV/0!</v>
      </c>
      <c r="FIK132" s="531" t="e">
        <f t="shared" si="72"/>
        <v>#DIV/0!</v>
      </c>
      <c r="FIL132" s="531" t="e">
        <f t="shared" si="72"/>
        <v>#DIV/0!</v>
      </c>
      <c r="FIM132" s="531" t="e">
        <f t="shared" si="72"/>
        <v>#DIV/0!</v>
      </c>
      <c r="FIN132" s="531" t="e">
        <f t="shared" si="72"/>
        <v>#DIV/0!</v>
      </c>
      <c r="FIO132" s="531" t="e">
        <f t="shared" si="72"/>
        <v>#DIV/0!</v>
      </c>
      <c r="FIP132" s="531" t="e">
        <f t="shared" si="72"/>
        <v>#DIV/0!</v>
      </c>
      <c r="FIQ132" s="531" t="e">
        <f t="shared" si="72"/>
        <v>#DIV/0!</v>
      </c>
      <c r="FIR132" s="531" t="e">
        <f t="shared" si="72"/>
        <v>#DIV/0!</v>
      </c>
      <c r="FIS132" s="531" t="e">
        <f t="shared" si="72"/>
        <v>#DIV/0!</v>
      </c>
      <c r="FIT132" s="531" t="e">
        <f t="shared" si="72"/>
        <v>#DIV/0!</v>
      </c>
      <c r="FIU132" s="531" t="e">
        <f t="shared" si="72"/>
        <v>#DIV/0!</v>
      </c>
      <c r="FIV132" s="531" t="e">
        <f t="shared" si="72"/>
        <v>#DIV/0!</v>
      </c>
      <c r="FIW132" s="531" t="e">
        <f t="shared" si="72"/>
        <v>#DIV/0!</v>
      </c>
      <c r="FIX132" s="531" t="e">
        <f t="shared" si="72"/>
        <v>#DIV/0!</v>
      </c>
      <c r="FIY132" s="531" t="e">
        <f t="shared" si="72"/>
        <v>#DIV/0!</v>
      </c>
      <c r="FIZ132" s="531" t="e">
        <f t="shared" si="72"/>
        <v>#DIV/0!</v>
      </c>
      <c r="FJA132" s="531" t="e">
        <f t="shared" si="72"/>
        <v>#DIV/0!</v>
      </c>
      <c r="FJB132" s="531" t="e">
        <f t="shared" si="72"/>
        <v>#DIV/0!</v>
      </c>
      <c r="FJC132" s="531" t="e">
        <f t="shared" si="72"/>
        <v>#DIV/0!</v>
      </c>
      <c r="FJD132" s="531" t="e">
        <f t="shared" si="72"/>
        <v>#DIV/0!</v>
      </c>
      <c r="FJE132" s="531" t="e">
        <f t="shared" si="72"/>
        <v>#DIV/0!</v>
      </c>
      <c r="FJF132" s="531" t="e">
        <f t="shared" si="72"/>
        <v>#DIV/0!</v>
      </c>
      <c r="FJG132" s="531" t="e">
        <f t="shared" si="72"/>
        <v>#DIV/0!</v>
      </c>
      <c r="FJH132" s="531" t="e">
        <f t="shared" si="72"/>
        <v>#DIV/0!</v>
      </c>
      <c r="FJI132" s="531" t="e">
        <f t="shared" si="72"/>
        <v>#DIV/0!</v>
      </c>
      <c r="FJJ132" s="531" t="e">
        <f t="shared" si="72"/>
        <v>#DIV/0!</v>
      </c>
      <c r="FJK132" s="531" t="e">
        <f t="shared" si="72"/>
        <v>#DIV/0!</v>
      </c>
      <c r="FJL132" s="531" t="e">
        <f t="shared" si="72"/>
        <v>#DIV/0!</v>
      </c>
      <c r="FJM132" s="531" t="e">
        <f t="shared" si="72"/>
        <v>#DIV/0!</v>
      </c>
      <c r="FJN132" s="531" t="e">
        <f t="shared" si="72"/>
        <v>#DIV/0!</v>
      </c>
      <c r="FJO132" s="531" t="e">
        <f t="shared" si="72"/>
        <v>#DIV/0!</v>
      </c>
      <c r="FJP132" s="531" t="e">
        <f t="shared" si="72"/>
        <v>#DIV/0!</v>
      </c>
      <c r="FJQ132" s="531" t="e">
        <f t="shared" si="72"/>
        <v>#DIV/0!</v>
      </c>
      <c r="FJR132" s="531" t="e">
        <f t="shared" si="72"/>
        <v>#DIV/0!</v>
      </c>
      <c r="FJS132" s="531" t="e">
        <f t="shared" si="72"/>
        <v>#DIV/0!</v>
      </c>
      <c r="FJT132" s="531" t="e">
        <f t="shared" si="72"/>
        <v>#DIV/0!</v>
      </c>
      <c r="FJU132" s="531" t="e">
        <f t="shared" si="72"/>
        <v>#DIV/0!</v>
      </c>
      <c r="FJV132" s="531" t="e">
        <f t="shared" si="72"/>
        <v>#DIV/0!</v>
      </c>
      <c r="FJW132" s="531" t="e">
        <f t="shared" si="72"/>
        <v>#DIV/0!</v>
      </c>
      <c r="FJX132" s="531" t="e">
        <f t="shared" si="72"/>
        <v>#DIV/0!</v>
      </c>
      <c r="FJY132" s="531" t="e">
        <f t="shared" si="72"/>
        <v>#DIV/0!</v>
      </c>
      <c r="FJZ132" s="531" t="e">
        <f t="shared" si="72"/>
        <v>#DIV/0!</v>
      </c>
      <c r="FKA132" s="531" t="e">
        <f t="shared" si="72"/>
        <v>#DIV/0!</v>
      </c>
      <c r="FKB132" s="531" t="e">
        <f t="shared" si="72"/>
        <v>#DIV/0!</v>
      </c>
      <c r="FKC132" s="531" t="e">
        <f t="shared" si="72"/>
        <v>#DIV/0!</v>
      </c>
      <c r="FKD132" s="531" t="e">
        <f t="shared" si="72"/>
        <v>#DIV/0!</v>
      </c>
      <c r="FKE132" s="531" t="e">
        <f t="shared" si="72"/>
        <v>#DIV/0!</v>
      </c>
      <c r="FKF132" s="531" t="e">
        <f t="shared" si="72"/>
        <v>#DIV/0!</v>
      </c>
      <c r="FKG132" s="531" t="e">
        <f t="shared" si="72"/>
        <v>#DIV/0!</v>
      </c>
      <c r="FKH132" s="531" t="e">
        <f t="shared" si="72"/>
        <v>#DIV/0!</v>
      </c>
      <c r="FKI132" s="531" t="e">
        <f t="shared" si="72"/>
        <v>#DIV/0!</v>
      </c>
      <c r="FKJ132" s="531" t="e">
        <f t="shared" si="72"/>
        <v>#DIV/0!</v>
      </c>
      <c r="FKK132" s="531" t="e">
        <f t="shared" si="72"/>
        <v>#DIV/0!</v>
      </c>
      <c r="FKL132" s="531" t="e">
        <f t="shared" si="72"/>
        <v>#DIV/0!</v>
      </c>
      <c r="FKM132" s="531" t="e">
        <f t="shared" si="72"/>
        <v>#DIV/0!</v>
      </c>
      <c r="FKN132" s="531" t="e">
        <f t="shared" si="72"/>
        <v>#DIV/0!</v>
      </c>
      <c r="FKO132" s="531" t="e">
        <f t="shared" si="72"/>
        <v>#DIV/0!</v>
      </c>
      <c r="FKP132" s="531" t="e">
        <f t="shared" si="72"/>
        <v>#DIV/0!</v>
      </c>
      <c r="FKQ132" s="531" t="e">
        <f t="shared" ref="FKQ132:FNB132" si="73">(FKQ128-FKQ116)/(FKQ52*10^5)</f>
        <v>#DIV/0!</v>
      </c>
      <c r="FKR132" s="531" t="e">
        <f t="shared" si="73"/>
        <v>#DIV/0!</v>
      </c>
      <c r="FKS132" s="531" t="e">
        <f t="shared" si="73"/>
        <v>#DIV/0!</v>
      </c>
      <c r="FKT132" s="531" t="e">
        <f t="shared" si="73"/>
        <v>#DIV/0!</v>
      </c>
      <c r="FKU132" s="531" t="e">
        <f t="shared" si="73"/>
        <v>#DIV/0!</v>
      </c>
      <c r="FKV132" s="531" t="e">
        <f t="shared" si="73"/>
        <v>#DIV/0!</v>
      </c>
      <c r="FKW132" s="531" t="e">
        <f t="shared" si="73"/>
        <v>#DIV/0!</v>
      </c>
      <c r="FKX132" s="531" t="e">
        <f t="shared" si="73"/>
        <v>#DIV/0!</v>
      </c>
      <c r="FKY132" s="531" t="e">
        <f t="shared" si="73"/>
        <v>#DIV/0!</v>
      </c>
      <c r="FKZ132" s="531" t="e">
        <f t="shared" si="73"/>
        <v>#DIV/0!</v>
      </c>
      <c r="FLA132" s="531" t="e">
        <f t="shared" si="73"/>
        <v>#DIV/0!</v>
      </c>
      <c r="FLB132" s="531" t="e">
        <f t="shared" si="73"/>
        <v>#DIV/0!</v>
      </c>
      <c r="FLC132" s="531" t="e">
        <f t="shared" si="73"/>
        <v>#DIV/0!</v>
      </c>
      <c r="FLD132" s="531" t="e">
        <f t="shared" si="73"/>
        <v>#DIV/0!</v>
      </c>
      <c r="FLE132" s="531" t="e">
        <f t="shared" si="73"/>
        <v>#DIV/0!</v>
      </c>
      <c r="FLF132" s="531" t="e">
        <f t="shared" si="73"/>
        <v>#DIV/0!</v>
      </c>
      <c r="FLG132" s="531" t="e">
        <f t="shared" si="73"/>
        <v>#DIV/0!</v>
      </c>
      <c r="FLH132" s="531" t="e">
        <f t="shared" si="73"/>
        <v>#DIV/0!</v>
      </c>
      <c r="FLI132" s="531" t="e">
        <f t="shared" si="73"/>
        <v>#DIV/0!</v>
      </c>
      <c r="FLJ132" s="531" t="e">
        <f t="shared" si="73"/>
        <v>#DIV/0!</v>
      </c>
      <c r="FLK132" s="531" t="e">
        <f t="shared" si="73"/>
        <v>#DIV/0!</v>
      </c>
      <c r="FLL132" s="531" t="e">
        <f t="shared" si="73"/>
        <v>#DIV/0!</v>
      </c>
      <c r="FLM132" s="531" t="e">
        <f t="shared" si="73"/>
        <v>#DIV/0!</v>
      </c>
      <c r="FLN132" s="531" t="e">
        <f t="shared" si="73"/>
        <v>#DIV/0!</v>
      </c>
      <c r="FLO132" s="531" t="e">
        <f t="shared" si="73"/>
        <v>#DIV/0!</v>
      </c>
      <c r="FLP132" s="531" t="e">
        <f t="shared" si="73"/>
        <v>#DIV/0!</v>
      </c>
      <c r="FLQ132" s="531" t="e">
        <f t="shared" si="73"/>
        <v>#DIV/0!</v>
      </c>
      <c r="FLR132" s="531" t="e">
        <f t="shared" si="73"/>
        <v>#DIV/0!</v>
      </c>
      <c r="FLS132" s="531" t="e">
        <f t="shared" si="73"/>
        <v>#DIV/0!</v>
      </c>
      <c r="FLT132" s="531" t="e">
        <f t="shared" si="73"/>
        <v>#DIV/0!</v>
      </c>
      <c r="FLU132" s="531" t="e">
        <f t="shared" si="73"/>
        <v>#DIV/0!</v>
      </c>
      <c r="FLV132" s="531" t="e">
        <f t="shared" si="73"/>
        <v>#DIV/0!</v>
      </c>
      <c r="FLW132" s="531" t="e">
        <f t="shared" si="73"/>
        <v>#DIV/0!</v>
      </c>
      <c r="FLX132" s="531" t="e">
        <f t="shared" si="73"/>
        <v>#DIV/0!</v>
      </c>
      <c r="FLY132" s="531" t="e">
        <f t="shared" si="73"/>
        <v>#DIV/0!</v>
      </c>
      <c r="FLZ132" s="531" t="e">
        <f t="shared" si="73"/>
        <v>#DIV/0!</v>
      </c>
      <c r="FMA132" s="531" t="e">
        <f t="shared" si="73"/>
        <v>#DIV/0!</v>
      </c>
      <c r="FMB132" s="531" t="e">
        <f t="shared" si="73"/>
        <v>#DIV/0!</v>
      </c>
      <c r="FMC132" s="531" t="e">
        <f t="shared" si="73"/>
        <v>#DIV/0!</v>
      </c>
      <c r="FMD132" s="531" t="e">
        <f t="shared" si="73"/>
        <v>#DIV/0!</v>
      </c>
      <c r="FME132" s="531" t="e">
        <f t="shared" si="73"/>
        <v>#DIV/0!</v>
      </c>
      <c r="FMF132" s="531" t="e">
        <f t="shared" si="73"/>
        <v>#DIV/0!</v>
      </c>
      <c r="FMG132" s="531" t="e">
        <f t="shared" si="73"/>
        <v>#DIV/0!</v>
      </c>
      <c r="FMH132" s="531" t="e">
        <f t="shared" si="73"/>
        <v>#DIV/0!</v>
      </c>
      <c r="FMI132" s="531" t="e">
        <f t="shared" si="73"/>
        <v>#DIV/0!</v>
      </c>
      <c r="FMJ132" s="531" t="e">
        <f t="shared" si="73"/>
        <v>#DIV/0!</v>
      </c>
      <c r="FMK132" s="531" t="e">
        <f t="shared" si="73"/>
        <v>#DIV/0!</v>
      </c>
      <c r="FML132" s="531" t="e">
        <f t="shared" si="73"/>
        <v>#DIV/0!</v>
      </c>
      <c r="FMM132" s="531" t="e">
        <f t="shared" si="73"/>
        <v>#DIV/0!</v>
      </c>
      <c r="FMN132" s="531" t="e">
        <f t="shared" si="73"/>
        <v>#DIV/0!</v>
      </c>
      <c r="FMO132" s="531" t="e">
        <f t="shared" si="73"/>
        <v>#DIV/0!</v>
      </c>
      <c r="FMP132" s="531" t="e">
        <f t="shared" si="73"/>
        <v>#DIV/0!</v>
      </c>
      <c r="FMQ132" s="531" t="e">
        <f t="shared" si="73"/>
        <v>#DIV/0!</v>
      </c>
      <c r="FMR132" s="531" t="e">
        <f t="shared" si="73"/>
        <v>#DIV/0!</v>
      </c>
      <c r="FMS132" s="531" t="e">
        <f t="shared" si="73"/>
        <v>#DIV/0!</v>
      </c>
      <c r="FMT132" s="531" t="e">
        <f t="shared" si="73"/>
        <v>#DIV/0!</v>
      </c>
      <c r="FMU132" s="531" t="e">
        <f t="shared" si="73"/>
        <v>#DIV/0!</v>
      </c>
      <c r="FMV132" s="531" t="e">
        <f t="shared" si="73"/>
        <v>#DIV/0!</v>
      </c>
      <c r="FMW132" s="531" t="e">
        <f t="shared" si="73"/>
        <v>#DIV/0!</v>
      </c>
      <c r="FMX132" s="531" t="e">
        <f t="shared" si="73"/>
        <v>#DIV/0!</v>
      </c>
      <c r="FMY132" s="531" t="e">
        <f t="shared" si="73"/>
        <v>#DIV/0!</v>
      </c>
      <c r="FMZ132" s="531" t="e">
        <f t="shared" si="73"/>
        <v>#DIV/0!</v>
      </c>
      <c r="FNA132" s="531" t="e">
        <f t="shared" si="73"/>
        <v>#DIV/0!</v>
      </c>
      <c r="FNB132" s="531" t="e">
        <f t="shared" si="73"/>
        <v>#DIV/0!</v>
      </c>
      <c r="FNC132" s="531" t="e">
        <f t="shared" ref="FNC132:FPN132" si="74">(FNC128-FNC116)/(FNC52*10^5)</f>
        <v>#DIV/0!</v>
      </c>
      <c r="FND132" s="531" t="e">
        <f t="shared" si="74"/>
        <v>#DIV/0!</v>
      </c>
      <c r="FNE132" s="531" t="e">
        <f t="shared" si="74"/>
        <v>#DIV/0!</v>
      </c>
      <c r="FNF132" s="531" t="e">
        <f t="shared" si="74"/>
        <v>#DIV/0!</v>
      </c>
      <c r="FNG132" s="531" t="e">
        <f t="shared" si="74"/>
        <v>#DIV/0!</v>
      </c>
      <c r="FNH132" s="531" t="e">
        <f t="shared" si="74"/>
        <v>#DIV/0!</v>
      </c>
      <c r="FNI132" s="531" t="e">
        <f t="shared" si="74"/>
        <v>#DIV/0!</v>
      </c>
      <c r="FNJ132" s="531" t="e">
        <f t="shared" si="74"/>
        <v>#DIV/0!</v>
      </c>
      <c r="FNK132" s="531" t="e">
        <f t="shared" si="74"/>
        <v>#DIV/0!</v>
      </c>
      <c r="FNL132" s="531" t="e">
        <f t="shared" si="74"/>
        <v>#DIV/0!</v>
      </c>
      <c r="FNM132" s="531" t="e">
        <f t="shared" si="74"/>
        <v>#DIV/0!</v>
      </c>
      <c r="FNN132" s="531" t="e">
        <f t="shared" si="74"/>
        <v>#DIV/0!</v>
      </c>
      <c r="FNO132" s="531" t="e">
        <f t="shared" si="74"/>
        <v>#DIV/0!</v>
      </c>
      <c r="FNP132" s="531" t="e">
        <f t="shared" si="74"/>
        <v>#DIV/0!</v>
      </c>
      <c r="FNQ132" s="531" t="e">
        <f t="shared" si="74"/>
        <v>#DIV/0!</v>
      </c>
      <c r="FNR132" s="531" t="e">
        <f t="shared" si="74"/>
        <v>#DIV/0!</v>
      </c>
      <c r="FNS132" s="531" t="e">
        <f t="shared" si="74"/>
        <v>#DIV/0!</v>
      </c>
      <c r="FNT132" s="531" t="e">
        <f t="shared" si="74"/>
        <v>#DIV/0!</v>
      </c>
      <c r="FNU132" s="531" t="e">
        <f t="shared" si="74"/>
        <v>#DIV/0!</v>
      </c>
      <c r="FNV132" s="531" t="e">
        <f t="shared" si="74"/>
        <v>#DIV/0!</v>
      </c>
      <c r="FNW132" s="531" t="e">
        <f t="shared" si="74"/>
        <v>#DIV/0!</v>
      </c>
      <c r="FNX132" s="531" t="e">
        <f t="shared" si="74"/>
        <v>#DIV/0!</v>
      </c>
      <c r="FNY132" s="531" t="e">
        <f t="shared" si="74"/>
        <v>#DIV/0!</v>
      </c>
      <c r="FNZ132" s="531" t="e">
        <f t="shared" si="74"/>
        <v>#DIV/0!</v>
      </c>
      <c r="FOA132" s="531" t="e">
        <f t="shared" si="74"/>
        <v>#DIV/0!</v>
      </c>
      <c r="FOB132" s="531" t="e">
        <f t="shared" si="74"/>
        <v>#DIV/0!</v>
      </c>
      <c r="FOC132" s="531" t="e">
        <f t="shared" si="74"/>
        <v>#DIV/0!</v>
      </c>
      <c r="FOD132" s="531" t="e">
        <f t="shared" si="74"/>
        <v>#DIV/0!</v>
      </c>
      <c r="FOE132" s="531" t="e">
        <f t="shared" si="74"/>
        <v>#DIV/0!</v>
      </c>
      <c r="FOF132" s="531" t="e">
        <f t="shared" si="74"/>
        <v>#DIV/0!</v>
      </c>
      <c r="FOG132" s="531" t="e">
        <f t="shared" si="74"/>
        <v>#DIV/0!</v>
      </c>
      <c r="FOH132" s="531" t="e">
        <f t="shared" si="74"/>
        <v>#DIV/0!</v>
      </c>
      <c r="FOI132" s="531" t="e">
        <f t="shared" si="74"/>
        <v>#DIV/0!</v>
      </c>
      <c r="FOJ132" s="531" t="e">
        <f t="shared" si="74"/>
        <v>#DIV/0!</v>
      </c>
      <c r="FOK132" s="531" t="e">
        <f t="shared" si="74"/>
        <v>#DIV/0!</v>
      </c>
      <c r="FOL132" s="531" t="e">
        <f t="shared" si="74"/>
        <v>#DIV/0!</v>
      </c>
      <c r="FOM132" s="531" t="e">
        <f t="shared" si="74"/>
        <v>#DIV/0!</v>
      </c>
      <c r="FON132" s="531" t="e">
        <f t="shared" si="74"/>
        <v>#DIV/0!</v>
      </c>
      <c r="FOO132" s="531" t="e">
        <f t="shared" si="74"/>
        <v>#DIV/0!</v>
      </c>
      <c r="FOP132" s="531" t="e">
        <f t="shared" si="74"/>
        <v>#DIV/0!</v>
      </c>
      <c r="FOQ132" s="531" t="e">
        <f t="shared" si="74"/>
        <v>#DIV/0!</v>
      </c>
      <c r="FOR132" s="531" t="e">
        <f t="shared" si="74"/>
        <v>#DIV/0!</v>
      </c>
      <c r="FOS132" s="531" t="e">
        <f t="shared" si="74"/>
        <v>#DIV/0!</v>
      </c>
      <c r="FOT132" s="531" t="e">
        <f t="shared" si="74"/>
        <v>#DIV/0!</v>
      </c>
      <c r="FOU132" s="531" t="e">
        <f t="shared" si="74"/>
        <v>#DIV/0!</v>
      </c>
      <c r="FOV132" s="531" t="e">
        <f t="shared" si="74"/>
        <v>#DIV/0!</v>
      </c>
      <c r="FOW132" s="531" t="e">
        <f t="shared" si="74"/>
        <v>#DIV/0!</v>
      </c>
      <c r="FOX132" s="531" t="e">
        <f t="shared" si="74"/>
        <v>#DIV/0!</v>
      </c>
      <c r="FOY132" s="531" t="e">
        <f t="shared" si="74"/>
        <v>#DIV/0!</v>
      </c>
      <c r="FOZ132" s="531" t="e">
        <f t="shared" si="74"/>
        <v>#DIV/0!</v>
      </c>
      <c r="FPA132" s="531" t="e">
        <f t="shared" si="74"/>
        <v>#DIV/0!</v>
      </c>
      <c r="FPB132" s="531" t="e">
        <f t="shared" si="74"/>
        <v>#DIV/0!</v>
      </c>
      <c r="FPC132" s="531" t="e">
        <f t="shared" si="74"/>
        <v>#DIV/0!</v>
      </c>
      <c r="FPD132" s="531" t="e">
        <f t="shared" si="74"/>
        <v>#DIV/0!</v>
      </c>
      <c r="FPE132" s="531" t="e">
        <f t="shared" si="74"/>
        <v>#DIV/0!</v>
      </c>
      <c r="FPF132" s="531" t="e">
        <f t="shared" si="74"/>
        <v>#DIV/0!</v>
      </c>
      <c r="FPG132" s="531" t="e">
        <f t="shared" si="74"/>
        <v>#DIV/0!</v>
      </c>
      <c r="FPH132" s="531" t="e">
        <f t="shared" si="74"/>
        <v>#DIV/0!</v>
      </c>
      <c r="FPI132" s="531" t="e">
        <f t="shared" si="74"/>
        <v>#DIV/0!</v>
      </c>
      <c r="FPJ132" s="531" t="e">
        <f t="shared" si="74"/>
        <v>#DIV/0!</v>
      </c>
      <c r="FPK132" s="531" t="e">
        <f t="shared" si="74"/>
        <v>#DIV/0!</v>
      </c>
      <c r="FPL132" s="531" t="e">
        <f t="shared" si="74"/>
        <v>#DIV/0!</v>
      </c>
      <c r="FPM132" s="531" t="e">
        <f t="shared" si="74"/>
        <v>#DIV/0!</v>
      </c>
      <c r="FPN132" s="531" t="e">
        <f t="shared" si="74"/>
        <v>#DIV/0!</v>
      </c>
      <c r="FPO132" s="531" t="e">
        <f t="shared" ref="FPO132:FRZ132" si="75">(FPO128-FPO116)/(FPO52*10^5)</f>
        <v>#DIV/0!</v>
      </c>
      <c r="FPP132" s="531" t="e">
        <f t="shared" si="75"/>
        <v>#DIV/0!</v>
      </c>
      <c r="FPQ132" s="531" t="e">
        <f t="shared" si="75"/>
        <v>#DIV/0!</v>
      </c>
      <c r="FPR132" s="531" t="e">
        <f t="shared" si="75"/>
        <v>#DIV/0!</v>
      </c>
      <c r="FPS132" s="531" t="e">
        <f t="shared" si="75"/>
        <v>#DIV/0!</v>
      </c>
      <c r="FPT132" s="531" t="e">
        <f t="shared" si="75"/>
        <v>#DIV/0!</v>
      </c>
      <c r="FPU132" s="531" t="e">
        <f t="shared" si="75"/>
        <v>#DIV/0!</v>
      </c>
      <c r="FPV132" s="531" t="e">
        <f t="shared" si="75"/>
        <v>#DIV/0!</v>
      </c>
      <c r="FPW132" s="531" t="e">
        <f t="shared" si="75"/>
        <v>#DIV/0!</v>
      </c>
      <c r="FPX132" s="531" t="e">
        <f t="shared" si="75"/>
        <v>#DIV/0!</v>
      </c>
      <c r="FPY132" s="531" t="e">
        <f t="shared" si="75"/>
        <v>#DIV/0!</v>
      </c>
      <c r="FPZ132" s="531" t="e">
        <f t="shared" si="75"/>
        <v>#DIV/0!</v>
      </c>
      <c r="FQA132" s="531" t="e">
        <f t="shared" si="75"/>
        <v>#DIV/0!</v>
      </c>
      <c r="FQB132" s="531" t="e">
        <f t="shared" si="75"/>
        <v>#DIV/0!</v>
      </c>
      <c r="FQC132" s="531" t="e">
        <f t="shared" si="75"/>
        <v>#DIV/0!</v>
      </c>
      <c r="FQD132" s="531" t="e">
        <f t="shared" si="75"/>
        <v>#DIV/0!</v>
      </c>
      <c r="FQE132" s="531" t="e">
        <f t="shared" si="75"/>
        <v>#DIV/0!</v>
      </c>
      <c r="FQF132" s="531" t="e">
        <f t="shared" si="75"/>
        <v>#DIV/0!</v>
      </c>
      <c r="FQG132" s="531" t="e">
        <f t="shared" si="75"/>
        <v>#DIV/0!</v>
      </c>
      <c r="FQH132" s="531" t="e">
        <f t="shared" si="75"/>
        <v>#DIV/0!</v>
      </c>
      <c r="FQI132" s="531" t="e">
        <f t="shared" si="75"/>
        <v>#DIV/0!</v>
      </c>
      <c r="FQJ132" s="531" t="e">
        <f t="shared" si="75"/>
        <v>#DIV/0!</v>
      </c>
      <c r="FQK132" s="531" t="e">
        <f t="shared" si="75"/>
        <v>#DIV/0!</v>
      </c>
      <c r="FQL132" s="531" t="e">
        <f t="shared" si="75"/>
        <v>#DIV/0!</v>
      </c>
      <c r="FQM132" s="531" t="e">
        <f t="shared" si="75"/>
        <v>#DIV/0!</v>
      </c>
      <c r="FQN132" s="531" t="e">
        <f t="shared" si="75"/>
        <v>#DIV/0!</v>
      </c>
      <c r="FQO132" s="531" t="e">
        <f t="shared" si="75"/>
        <v>#DIV/0!</v>
      </c>
      <c r="FQP132" s="531" t="e">
        <f t="shared" si="75"/>
        <v>#DIV/0!</v>
      </c>
      <c r="FQQ132" s="531" t="e">
        <f t="shared" si="75"/>
        <v>#DIV/0!</v>
      </c>
      <c r="FQR132" s="531" t="e">
        <f t="shared" si="75"/>
        <v>#DIV/0!</v>
      </c>
      <c r="FQS132" s="531" t="e">
        <f t="shared" si="75"/>
        <v>#DIV/0!</v>
      </c>
      <c r="FQT132" s="531" t="e">
        <f t="shared" si="75"/>
        <v>#DIV/0!</v>
      </c>
      <c r="FQU132" s="531" t="e">
        <f t="shared" si="75"/>
        <v>#DIV/0!</v>
      </c>
      <c r="FQV132" s="531" t="e">
        <f t="shared" si="75"/>
        <v>#DIV/0!</v>
      </c>
      <c r="FQW132" s="531" t="e">
        <f t="shared" si="75"/>
        <v>#DIV/0!</v>
      </c>
      <c r="FQX132" s="531" t="e">
        <f t="shared" si="75"/>
        <v>#DIV/0!</v>
      </c>
      <c r="FQY132" s="531" t="e">
        <f t="shared" si="75"/>
        <v>#DIV/0!</v>
      </c>
      <c r="FQZ132" s="531" t="e">
        <f t="shared" si="75"/>
        <v>#DIV/0!</v>
      </c>
      <c r="FRA132" s="531" t="e">
        <f t="shared" si="75"/>
        <v>#DIV/0!</v>
      </c>
      <c r="FRB132" s="531" t="e">
        <f t="shared" si="75"/>
        <v>#DIV/0!</v>
      </c>
      <c r="FRC132" s="531" t="e">
        <f t="shared" si="75"/>
        <v>#DIV/0!</v>
      </c>
      <c r="FRD132" s="531" t="e">
        <f t="shared" si="75"/>
        <v>#DIV/0!</v>
      </c>
      <c r="FRE132" s="531" t="e">
        <f t="shared" si="75"/>
        <v>#DIV/0!</v>
      </c>
      <c r="FRF132" s="531" t="e">
        <f t="shared" si="75"/>
        <v>#DIV/0!</v>
      </c>
      <c r="FRG132" s="531" t="e">
        <f t="shared" si="75"/>
        <v>#DIV/0!</v>
      </c>
      <c r="FRH132" s="531" t="e">
        <f t="shared" si="75"/>
        <v>#DIV/0!</v>
      </c>
      <c r="FRI132" s="531" t="e">
        <f t="shared" si="75"/>
        <v>#DIV/0!</v>
      </c>
      <c r="FRJ132" s="531" t="e">
        <f t="shared" si="75"/>
        <v>#DIV/0!</v>
      </c>
      <c r="FRK132" s="531" t="e">
        <f t="shared" si="75"/>
        <v>#DIV/0!</v>
      </c>
      <c r="FRL132" s="531" t="e">
        <f t="shared" si="75"/>
        <v>#DIV/0!</v>
      </c>
      <c r="FRM132" s="531" t="e">
        <f t="shared" si="75"/>
        <v>#DIV/0!</v>
      </c>
      <c r="FRN132" s="531" t="e">
        <f t="shared" si="75"/>
        <v>#DIV/0!</v>
      </c>
      <c r="FRO132" s="531" t="e">
        <f t="shared" si="75"/>
        <v>#DIV/0!</v>
      </c>
      <c r="FRP132" s="531" t="e">
        <f t="shared" si="75"/>
        <v>#DIV/0!</v>
      </c>
      <c r="FRQ132" s="531" t="e">
        <f t="shared" si="75"/>
        <v>#DIV/0!</v>
      </c>
      <c r="FRR132" s="531" t="e">
        <f t="shared" si="75"/>
        <v>#DIV/0!</v>
      </c>
      <c r="FRS132" s="531" t="e">
        <f t="shared" si="75"/>
        <v>#DIV/0!</v>
      </c>
      <c r="FRT132" s="531" t="e">
        <f t="shared" si="75"/>
        <v>#DIV/0!</v>
      </c>
      <c r="FRU132" s="531" t="e">
        <f t="shared" si="75"/>
        <v>#DIV/0!</v>
      </c>
      <c r="FRV132" s="531" t="e">
        <f t="shared" si="75"/>
        <v>#DIV/0!</v>
      </c>
      <c r="FRW132" s="531" t="e">
        <f t="shared" si="75"/>
        <v>#DIV/0!</v>
      </c>
      <c r="FRX132" s="531" t="e">
        <f t="shared" si="75"/>
        <v>#DIV/0!</v>
      </c>
      <c r="FRY132" s="531" t="e">
        <f t="shared" si="75"/>
        <v>#DIV/0!</v>
      </c>
      <c r="FRZ132" s="531" t="e">
        <f t="shared" si="75"/>
        <v>#DIV/0!</v>
      </c>
      <c r="FSA132" s="531" t="e">
        <f t="shared" ref="FSA132:FUL132" si="76">(FSA128-FSA116)/(FSA52*10^5)</f>
        <v>#DIV/0!</v>
      </c>
      <c r="FSB132" s="531" t="e">
        <f t="shared" si="76"/>
        <v>#DIV/0!</v>
      </c>
      <c r="FSC132" s="531" t="e">
        <f t="shared" si="76"/>
        <v>#DIV/0!</v>
      </c>
      <c r="FSD132" s="531" t="e">
        <f t="shared" si="76"/>
        <v>#DIV/0!</v>
      </c>
      <c r="FSE132" s="531" t="e">
        <f t="shared" si="76"/>
        <v>#DIV/0!</v>
      </c>
      <c r="FSF132" s="531" t="e">
        <f t="shared" si="76"/>
        <v>#DIV/0!</v>
      </c>
      <c r="FSG132" s="531" t="e">
        <f t="shared" si="76"/>
        <v>#DIV/0!</v>
      </c>
      <c r="FSH132" s="531" t="e">
        <f t="shared" si="76"/>
        <v>#DIV/0!</v>
      </c>
      <c r="FSI132" s="531" t="e">
        <f t="shared" si="76"/>
        <v>#DIV/0!</v>
      </c>
      <c r="FSJ132" s="531" t="e">
        <f t="shared" si="76"/>
        <v>#DIV/0!</v>
      </c>
      <c r="FSK132" s="531" t="e">
        <f t="shared" si="76"/>
        <v>#DIV/0!</v>
      </c>
      <c r="FSL132" s="531" t="e">
        <f t="shared" si="76"/>
        <v>#DIV/0!</v>
      </c>
      <c r="FSM132" s="531" t="e">
        <f t="shared" si="76"/>
        <v>#DIV/0!</v>
      </c>
      <c r="FSN132" s="531" t="e">
        <f t="shared" si="76"/>
        <v>#DIV/0!</v>
      </c>
      <c r="FSO132" s="531" t="e">
        <f t="shared" si="76"/>
        <v>#DIV/0!</v>
      </c>
      <c r="FSP132" s="531" t="e">
        <f t="shared" si="76"/>
        <v>#DIV/0!</v>
      </c>
      <c r="FSQ132" s="531" t="e">
        <f t="shared" si="76"/>
        <v>#DIV/0!</v>
      </c>
      <c r="FSR132" s="531" t="e">
        <f t="shared" si="76"/>
        <v>#DIV/0!</v>
      </c>
      <c r="FSS132" s="531" t="e">
        <f t="shared" si="76"/>
        <v>#DIV/0!</v>
      </c>
      <c r="FST132" s="531" t="e">
        <f t="shared" si="76"/>
        <v>#DIV/0!</v>
      </c>
      <c r="FSU132" s="531" t="e">
        <f t="shared" si="76"/>
        <v>#DIV/0!</v>
      </c>
      <c r="FSV132" s="531" t="e">
        <f t="shared" si="76"/>
        <v>#DIV/0!</v>
      </c>
      <c r="FSW132" s="531" t="e">
        <f t="shared" si="76"/>
        <v>#DIV/0!</v>
      </c>
      <c r="FSX132" s="531" t="e">
        <f t="shared" si="76"/>
        <v>#DIV/0!</v>
      </c>
      <c r="FSY132" s="531" t="e">
        <f t="shared" si="76"/>
        <v>#DIV/0!</v>
      </c>
      <c r="FSZ132" s="531" t="e">
        <f t="shared" si="76"/>
        <v>#DIV/0!</v>
      </c>
      <c r="FTA132" s="531" t="e">
        <f t="shared" si="76"/>
        <v>#DIV/0!</v>
      </c>
      <c r="FTB132" s="531" t="e">
        <f t="shared" si="76"/>
        <v>#DIV/0!</v>
      </c>
      <c r="FTC132" s="531" t="e">
        <f t="shared" si="76"/>
        <v>#DIV/0!</v>
      </c>
      <c r="FTD132" s="531" t="e">
        <f t="shared" si="76"/>
        <v>#DIV/0!</v>
      </c>
      <c r="FTE132" s="531" t="e">
        <f t="shared" si="76"/>
        <v>#DIV/0!</v>
      </c>
      <c r="FTF132" s="531" t="e">
        <f t="shared" si="76"/>
        <v>#DIV/0!</v>
      </c>
      <c r="FTG132" s="531" t="e">
        <f t="shared" si="76"/>
        <v>#DIV/0!</v>
      </c>
      <c r="FTH132" s="531" t="e">
        <f t="shared" si="76"/>
        <v>#DIV/0!</v>
      </c>
      <c r="FTI132" s="531" t="e">
        <f t="shared" si="76"/>
        <v>#DIV/0!</v>
      </c>
      <c r="FTJ132" s="531" t="e">
        <f t="shared" si="76"/>
        <v>#DIV/0!</v>
      </c>
      <c r="FTK132" s="531" t="e">
        <f t="shared" si="76"/>
        <v>#DIV/0!</v>
      </c>
      <c r="FTL132" s="531" t="e">
        <f t="shared" si="76"/>
        <v>#DIV/0!</v>
      </c>
      <c r="FTM132" s="531" t="e">
        <f t="shared" si="76"/>
        <v>#DIV/0!</v>
      </c>
      <c r="FTN132" s="531" t="e">
        <f t="shared" si="76"/>
        <v>#DIV/0!</v>
      </c>
      <c r="FTO132" s="531" t="e">
        <f t="shared" si="76"/>
        <v>#DIV/0!</v>
      </c>
      <c r="FTP132" s="531" t="e">
        <f t="shared" si="76"/>
        <v>#DIV/0!</v>
      </c>
      <c r="FTQ132" s="531" t="e">
        <f t="shared" si="76"/>
        <v>#DIV/0!</v>
      </c>
      <c r="FTR132" s="531" t="e">
        <f t="shared" si="76"/>
        <v>#DIV/0!</v>
      </c>
      <c r="FTS132" s="531" t="e">
        <f t="shared" si="76"/>
        <v>#DIV/0!</v>
      </c>
      <c r="FTT132" s="531" t="e">
        <f t="shared" si="76"/>
        <v>#DIV/0!</v>
      </c>
      <c r="FTU132" s="531" t="e">
        <f t="shared" si="76"/>
        <v>#DIV/0!</v>
      </c>
      <c r="FTV132" s="531" t="e">
        <f t="shared" si="76"/>
        <v>#DIV/0!</v>
      </c>
      <c r="FTW132" s="531" t="e">
        <f t="shared" si="76"/>
        <v>#DIV/0!</v>
      </c>
      <c r="FTX132" s="531" t="e">
        <f t="shared" si="76"/>
        <v>#DIV/0!</v>
      </c>
      <c r="FTY132" s="531" t="e">
        <f t="shared" si="76"/>
        <v>#DIV/0!</v>
      </c>
      <c r="FTZ132" s="531" t="e">
        <f t="shared" si="76"/>
        <v>#DIV/0!</v>
      </c>
      <c r="FUA132" s="531" t="e">
        <f t="shared" si="76"/>
        <v>#DIV/0!</v>
      </c>
      <c r="FUB132" s="531" t="e">
        <f t="shared" si="76"/>
        <v>#DIV/0!</v>
      </c>
      <c r="FUC132" s="531" t="e">
        <f t="shared" si="76"/>
        <v>#DIV/0!</v>
      </c>
      <c r="FUD132" s="531" t="e">
        <f t="shared" si="76"/>
        <v>#DIV/0!</v>
      </c>
      <c r="FUE132" s="531" t="e">
        <f t="shared" si="76"/>
        <v>#DIV/0!</v>
      </c>
      <c r="FUF132" s="531" t="e">
        <f t="shared" si="76"/>
        <v>#DIV/0!</v>
      </c>
      <c r="FUG132" s="531" t="e">
        <f t="shared" si="76"/>
        <v>#DIV/0!</v>
      </c>
      <c r="FUH132" s="531" t="e">
        <f t="shared" si="76"/>
        <v>#DIV/0!</v>
      </c>
      <c r="FUI132" s="531" t="e">
        <f t="shared" si="76"/>
        <v>#DIV/0!</v>
      </c>
      <c r="FUJ132" s="531" t="e">
        <f t="shared" si="76"/>
        <v>#DIV/0!</v>
      </c>
      <c r="FUK132" s="531" t="e">
        <f t="shared" si="76"/>
        <v>#DIV/0!</v>
      </c>
      <c r="FUL132" s="531" t="e">
        <f t="shared" si="76"/>
        <v>#DIV/0!</v>
      </c>
      <c r="FUM132" s="531" t="e">
        <f t="shared" ref="FUM132:FWX132" si="77">(FUM128-FUM116)/(FUM52*10^5)</f>
        <v>#DIV/0!</v>
      </c>
      <c r="FUN132" s="531" t="e">
        <f t="shared" si="77"/>
        <v>#DIV/0!</v>
      </c>
      <c r="FUO132" s="531" t="e">
        <f t="shared" si="77"/>
        <v>#DIV/0!</v>
      </c>
      <c r="FUP132" s="531" t="e">
        <f t="shared" si="77"/>
        <v>#DIV/0!</v>
      </c>
      <c r="FUQ132" s="531" t="e">
        <f t="shared" si="77"/>
        <v>#DIV/0!</v>
      </c>
      <c r="FUR132" s="531" t="e">
        <f t="shared" si="77"/>
        <v>#DIV/0!</v>
      </c>
      <c r="FUS132" s="531" t="e">
        <f t="shared" si="77"/>
        <v>#DIV/0!</v>
      </c>
      <c r="FUT132" s="531" t="e">
        <f t="shared" si="77"/>
        <v>#DIV/0!</v>
      </c>
      <c r="FUU132" s="531" t="e">
        <f t="shared" si="77"/>
        <v>#DIV/0!</v>
      </c>
      <c r="FUV132" s="531" t="e">
        <f t="shared" si="77"/>
        <v>#DIV/0!</v>
      </c>
      <c r="FUW132" s="531" t="e">
        <f t="shared" si="77"/>
        <v>#DIV/0!</v>
      </c>
      <c r="FUX132" s="531" t="e">
        <f t="shared" si="77"/>
        <v>#DIV/0!</v>
      </c>
      <c r="FUY132" s="531" t="e">
        <f t="shared" si="77"/>
        <v>#DIV/0!</v>
      </c>
      <c r="FUZ132" s="531" t="e">
        <f t="shared" si="77"/>
        <v>#DIV/0!</v>
      </c>
      <c r="FVA132" s="531" t="e">
        <f t="shared" si="77"/>
        <v>#DIV/0!</v>
      </c>
      <c r="FVB132" s="531" t="e">
        <f t="shared" si="77"/>
        <v>#DIV/0!</v>
      </c>
      <c r="FVC132" s="531" t="e">
        <f t="shared" si="77"/>
        <v>#DIV/0!</v>
      </c>
      <c r="FVD132" s="531" t="e">
        <f t="shared" si="77"/>
        <v>#DIV/0!</v>
      </c>
      <c r="FVE132" s="531" t="e">
        <f t="shared" si="77"/>
        <v>#DIV/0!</v>
      </c>
      <c r="FVF132" s="531" t="e">
        <f t="shared" si="77"/>
        <v>#DIV/0!</v>
      </c>
      <c r="FVG132" s="531" t="e">
        <f t="shared" si="77"/>
        <v>#DIV/0!</v>
      </c>
      <c r="FVH132" s="531" t="e">
        <f t="shared" si="77"/>
        <v>#DIV/0!</v>
      </c>
      <c r="FVI132" s="531" t="e">
        <f t="shared" si="77"/>
        <v>#DIV/0!</v>
      </c>
      <c r="FVJ132" s="531" t="e">
        <f t="shared" si="77"/>
        <v>#DIV/0!</v>
      </c>
      <c r="FVK132" s="531" t="e">
        <f t="shared" si="77"/>
        <v>#DIV/0!</v>
      </c>
      <c r="FVL132" s="531" t="e">
        <f t="shared" si="77"/>
        <v>#DIV/0!</v>
      </c>
      <c r="FVM132" s="531" t="e">
        <f t="shared" si="77"/>
        <v>#DIV/0!</v>
      </c>
      <c r="FVN132" s="531" t="e">
        <f t="shared" si="77"/>
        <v>#DIV/0!</v>
      </c>
      <c r="FVO132" s="531" t="e">
        <f t="shared" si="77"/>
        <v>#DIV/0!</v>
      </c>
      <c r="FVP132" s="531" t="e">
        <f t="shared" si="77"/>
        <v>#DIV/0!</v>
      </c>
      <c r="FVQ132" s="531" t="e">
        <f t="shared" si="77"/>
        <v>#DIV/0!</v>
      </c>
      <c r="FVR132" s="531" t="e">
        <f t="shared" si="77"/>
        <v>#DIV/0!</v>
      </c>
      <c r="FVS132" s="531" t="e">
        <f t="shared" si="77"/>
        <v>#DIV/0!</v>
      </c>
      <c r="FVT132" s="531" t="e">
        <f t="shared" si="77"/>
        <v>#DIV/0!</v>
      </c>
      <c r="FVU132" s="531" t="e">
        <f t="shared" si="77"/>
        <v>#DIV/0!</v>
      </c>
      <c r="FVV132" s="531" t="e">
        <f t="shared" si="77"/>
        <v>#DIV/0!</v>
      </c>
      <c r="FVW132" s="531" t="e">
        <f t="shared" si="77"/>
        <v>#DIV/0!</v>
      </c>
      <c r="FVX132" s="531" t="e">
        <f t="shared" si="77"/>
        <v>#DIV/0!</v>
      </c>
      <c r="FVY132" s="531" t="e">
        <f t="shared" si="77"/>
        <v>#DIV/0!</v>
      </c>
      <c r="FVZ132" s="531" t="e">
        <f t="shared" si="77"/>
        <v>#DIV/0!</v>
      </c>
      <c r="FWA132" s="531" t="e">
        <f t="shared" si="77"/>
        <v>#DIV/0!</v>
      </c>
      <c r="FWB132" s="531" t="e">
        <f t="shared" si="77"/>
        <v>#DIV/0!</v>
      </c>
      <c r="FWC132" s="531" t="e">
        <f t="shared" si="77"/>
        <v>#DIV/0!</v>
      </c>
      <c r="FWD132" s="531" t="e">
        <f t="shared" si="77"/>
        <v>#DIV/0!</v>
      </c>
      <c r="FWE132" s="531" t="e">
        <f t="shared" si="77"/>
        <v>#DIV/0!</v>
      </c>
      <c r="FWF132" s="531" t="e">
        <f t="shared" si="77"/>
        <v>#DIV/0!</v>
      </c>
      <c r="FWG132" s="531" t="e">
        <f t="shared" si="77"/>
        <v>#DIV/0!</v>
      </c>
      <c r="FWH132" s="531" t="e">
        <f t="shared" si="77"/>
        <v>#DIV/0!</v>
      </c>
      <c r="FWI132" s="531" t="e">
        <f t="shared" si="77"/>
        <v>#DIV/0!</v>
      </c>
      <c r="FWJ132" s="531" t="e">
        <f t="shared" si="77"/>
        <v>#DIV/0!</v>
      </c>
      <c r="FWK132" s="531" t="e">
        <f t="shared" si="77"/>
        <v>#DIV/0!</v>
      </c>
      <c r="FWL132" s="531" t="e">
        <f t="shared" si="77"/>
        <v>#DIV/0!</v>
      </c>
      <c r="FWM132" s="531" t="e">
        <f t="shared" si="77"/>
        <v>#DIV/0!</v>
      </c>
      <c r="FWN132" s="531" t="e">
        <f t="shared" si="77"/>
        <v>#DIV/0!</v>
      </c>
      <c r="FWO132" s="531" t="e">
        <f t="shared" si="77"/>
        <v>#DIV/0!</v>
      </c>
      <c r="FWP132" s="531" t="e">
        <f t="shared" si="77"/>
        <v>#DIV/0!</v>
      </c>
      <c r="FWQ132" s="531" t="e">
        <f t="shared" si="77"/>
        <v>#DIV/0!</v>
      </c>
      <c r="FWR132" s="531" t="e">
        <f t="shared" si="77"/>
        <v>#DIV/0!</v>
      </c>
      <c r="FWS132" s="531" t="e">
        <f t="shared" si="77"/>
        <v>#DIV/0!</v>
      </c>
      <c r="FWT132" s="531" t="e">
        <f t="shared" si="77"/>
        <v>#DIV/0!</v>
      </c>
      <c r="FWU132" s="531" t="e">
        <f t="shared" si="77"/>
        <v>#DIV/0!</v>
      </c>
      <c r="FWV132" s="531" t="e">
        <f t="shared" si="77"/>
        <v>#DIV/0!</v>
      </c>
      <c r="FWW132" s="531" t="e">
        <f t="shared" si="77"/>
        <v>#DIV/0!</v>
      </c>
      <c r="FWX132" s="531" t="e">
        <f t="shared" si="77"/>
        <v>#DIV/0!</v>
      </c>
      <c r="FWY132" s="531" t="e">
        <f t="shared" ref="FWY132:FZJ132" si="78">(FWY128-FWY116)/(FWY52*10^5)</f>
        <v>#DIV/0!</v>
      </c>
      <c r="FWZ132" s="531" t="e">
        <f t="shared" si="78"/>
        <v>#DIV/0!</v>
      </c>
      <c r="FXA132" s="531" t="e">
        <f t="shared" si="78"/>
        <v>#DIV/0!</v>
      </c>
      <c r="FXB132" s="531" t="e">
        <f t="shared" si="78"/>
        <v>#DIV/0!</v>
      </c>
      <c r="FXC132" s="531" t="e">
        <f t="shared" si="78"/>
        <v>#DIV/0!</v>
      </c>
      <c r="FXD132" s="531" t="e">
        <f t="shared" si="78"/>
        <v>#DIV/0!</v>
      </c>
      <c r="FXE132" s="531" t="e">
        <f t="shared" si="78"/>
        <v>#DIV/0!</v>
      </c>
      <c r="FXF132" s="531" t="e">
        <f t="shared" si="78"/>
        <v>#DIV/0!</v>
      </c>
      <c r="FXG132" s="531" t="e">
        <f t="shared" si="78"/>
        <v>#DIV/0!</v>
      </c>
      <c r="FXH132" s="531" t="e">
        <f t="shared" si="78"/>
        <v>#DIV/0!</v>
      </c>
      <c r="FXI132" s="531" t="e">
        <f t="shared" si="78"/>
        <v>#DIV/0!</v>
      </c>
      <c r="FXJ132" s="531" t="e">
        <f t="shared" si="78"/>
        <v>#DIV/0!</v>
      </c>
      <c r="FXK132" s="531" t="e">
        <f t="shared" si="78"/>
        <v>#DIV/0!</v>
      </c>
      <c r="FXL132" s="531" t="e">
        <f t="shared" si="78"/>
        <v>#DIV/0!</v>
      </c>
      <c r="FXM132" s="531" t="e">
        <f t="shared" si="78"/>
        <v>#DIV/0!</v>
      </c>
      <c r="FXN132" s="531" t="e">
        <f t="shared" si="78"/>
        <v>#DIV/0!</v>
      </c>
      <c r="FXO132" s="531" t="e">
        <f t="shared" si="78"/>
        <v>#DIV/0!</v>
      </c>
      <c r="FXP132" s="531" t="e">
        <f t="shared" si="78"/>
        <v>#DIV/0!</v>
      </c>
      <c r="FXQ132" s="531" t="e">
        <f t="shared" si="78"/>
        <v>#DIV/0!</v>
      </c>
      <c r="FXR132" s="531" t="e">
        <f t="shared" si="78"/>
        <v>#DIV/0!</v>
      </c>
      <c r="FXS132" s="531" t="e">
        <f t="shared" si="78"/>
        <v>#DIV/0!</v>
      </c>
      <c r="FXT132" s="531" t="e">
        <f t="shared" si="78"/>
        <v>#DIV/0!</v>
      </c>
      <c r="FXU132" s="531" t="e">
        <f t="shared" si="78"/>
        <v>#DIV/0!</v>
      </c>
      <c r="FXV132" s="531" t="e">
        <f t="shared" si="78"/>
        <v>#DIV/0!</v>
      </c>
      <c r="FXW132" s="531" t="e">
        <f t="shared" si="78"/>
        <v>#DIV/0!</v>
      </c>
      <c r="FXX132" s="531" t="e">
        <f t="shared" si="78"/>
        <v>#DIV/0!</v>
      </c>
      <c r="FXY132" s="531" t="e">
        <f t="shared" si="78"/>
        <v>#DIV/0!</v>
      </c>
      <c r="FXZ132" s="531" t="e">
        <f t="shared" si="78"/>
        <v>#DIV/0!</v>
      </c>
      <c r="FYA132" s="531" t="e">
        <f t="shared" si="78"/>
        <v>#DIV/0!</v>
      </c>
      <c r="FYB132" s="531" t="e">
        <f t="shared" si="78"/>
        <v>#DIV/0!</v>
      </c>
      <c r="FYC132" s="531" t="e">
        <f t="shared" si="78"/>
        <v>#DIV/0!</v>
      </c>
      <c r="FYD132" s="531" t="e">
        <f t="shared" si="78"/>
        <v>#DIV/0!</v>
      </c>
      <c r="FYE132" s="531" t="e">
        <f t="shared" si="78"/>
        <v>#DIV/0!</v>
      </c>
      <c r="FYF132" s="531" t="e">
        <f t="shared" si="78"/>
        <v>#DIV/0!</v>
      </c>
      <c r="FYG132" s="531" t="e">
        <f t="shared" si="78"/>
        <v>#DIV/0!</v>
      </c>
      <c r="FYH132" s="531" t="e">
        <f t="shared" si="78"/>
        <v>#DIV/0!</v>
      </c>
      <c r="FYI132" s="531" t="e">
        <f t="shared" si="78"/>
        <v>#DIV/0!</v>
      </c>
      <c r="FYJ132" s="531" t="e">
        <f t="shared" si="78"/>
        <v>#DIV/0!</v>
      </c>
      <c r="FYK132" s="531" t="e">
        <f t="shared" si="78"/>
        <v>#DIV/0!</v>
      </c>
      <c r="FYL132" s="531" t="e">
        <f t="shared" si="78"/>
        <v>#DIV/0!</v>
      </c>
      <c r="FYM132" s="531" t="e">
        <f t="shared" si="78"/>
        <v>#DIV/0!</v>
      </c>
      <c r="FYN132" s="531" t="e">
        <f t="shared" si="78"/>
        <v>#DIV/0!</v>
      </c>
      <c r="FYO132" s="531" t="e">
        <f t="shared" si="78"/>
        <v>#DIV/0!</v>
      </c>
      <c r="FYP132" s="531" t="e">
        <f t="shared" si="78"/>
        <v>#DIV/0!</v>
      </c>
      <c r="FYQ132" s="531" t="e">
        <f t="shared" si="78"/>
        <v>#DIV/0!</v>
      </c>
      <c r="FYR132" s="531" t="e">
        <f t="shared" si="78"/>
        <v>#DIV/0!</v>
      </c>
      <c r="FYS132" s="531" t="e">
        <f t="shared" si="78"/>
        <v>#DIV/0!</v>
      </c>
      <c r="FYT132" s="531" t="e">
        <f t="shared" si="78"/>
        <v>#DIV/0!</v>
      </c>
      <c r="FYU132" s="531" t="e">
        <f t="shared" si="78"/>
        <v>#DIV/0!</v>
      </c>
      <c r="FYV132" s="531" t="e">
        <f t="shared" si="78"/>
        <v>#DIV/0!</v>
      </c>
      <c r="FYW132" s="531" t="e">
        <f t="shared" si="78"/>
        <v>#DIV/0!</v>
      </c>
      <c r="FYX132" s="531" t="e">
        <f t="shared" si="78"/>
        <v>#DIV/0!</v>
      </c>
      <c r="FYY132" s="531" t="e">
        <f t="shared" si="78"/>
        <v>#DIV/0!</v>
      </c>
      <c r="FYZ132" s="531" t="e">
        <f t="shared" si="78"/>
        <v>#DIV/0!</v>
      </c>
      <c r="FZA132" s="531" t="e">
        <f t="shared" si="78"/>
        <v>#DIV/0!</v>
      </c>
      <c r="FZB132" s="531" t="e">
        <f t="shared" si="78"/>
        <v>#DIV/0!</v>
      </c>
      <c r="FZC132" s="531" t="e">
        <f t="shared" si="78"/>
        <v>#DIV/0!</v>
      </c>
      <c r="FZD132" s="531" t="e">
        <f t="shared" si="78"/>
        <v>#DIV/0!</v>
      </c>
      <c r="FZE132" s="531" t="e">
        <f t="shared" si="78"/>
        <v>#DIV/0!</v>
      </c>
      <c r="FZF132" s="531" t="e">
        <f t="shared" si="78"/>
        <v>#DIV/0!</v>
      </c>
      <c r="FZG132" s="531" t="e">
        <f t="shared" si="78"/>
        <v>#DIV/0!</v>
      </c>
      <c r="FZH132" s="531" t="e">
        <f t="shared" si="78"/>
        <v>#DIV/0!</v>
      </c>
      <c r="FZI132" s="531" t="e">
        <f t="shared" si="78"/>
        <v>#DIV/0!</v>
      </c>
      <c r="FZJ132" s="531" t="e">
        <f t="shared" si="78"/>
        <v>#DIV/0!</v>
      </c>
      <c r="FZK132" s="531" t="e">
        <f t="shared" ref="FZK132:GBV132" si="79">(FZK128-FZK116)/(FZK52*10^5)</f>
        <v>#DIV/0!</v>
      </c>
      <c r="FZL132" s="531" t="e">
        <f t="shared" si="79"/>
        <v>#DIV/0!</v>
      </c>
      <c r="FZM132" s="531" t="e">
        <f t="shared" si="79"/>
        <v>#DIV/0!</v>
      </c>
      <c r="FZN132" s="531" t="e">
        <f t="shared" si="79"/>
        <v>#DIV/0!</v>
      </c>
      <c r="FZO132" s="531" t="e">
        <f t="shared" si="79"/>
        <v>#DIV/0!</v>
      </c>
      <c r="FZP132" s="531" t="e">
        <f t="shared" si="79"/>
        <v>#DIV/0!</v>
      </c>
      <c r="FZQ132" s="531" t="e">
        <f t="shared" si="79"/>
        <v>#DIV/0!</v>
      </c>
      <c r="FZR132" s="531" t="e">
        <f t="shared" si="79"/>
        <v>#DIV/0!</v>
      </c>
      <c r="FZS132" s="531" t="e">
        <f t="shared" si="79"/>
        <v>#DIV/0!</v>
      </c>
      <c r="FZT132" s="531" t="e">
        <f t="shared" si="79"/>
        <v>#DIV/0!</v>
      </c>
      <c r="FZU132" s="531" t="e">
        <f t="shared" si="79"/>
        <v>#DIV/0!</v>
      </c>
      <c r="FZV132" s="531" t="e">
        <f t="shared" si="79"/>
        <v>#DIV/0!</v>
      </c>
      <c r="FZW132" s="531" t="e">
        <f t="shared" si="79"/>
        <v>#DIV/0!</v>
      </c>
      <c r="FZX132" s="531" t="e">
        <f t="shared" si="79"/>
        <v>#DIV/0!</v>
      </c>
      <c r="FZY132" s="531" t="e">
        <f t="shared" si="79"/>
        <v>#DIV/0!</v>
      </c>
      <c r="FZZ132" s="531" t="e">
        <f t="shared" si="79"/>
        <v>#DIV/0!</v>
      </c>
      <c r="GAA132" s="531" t="e">
        <f t="shared" si="79"/>
        <v>#DIV/0!</v>
      </c>
      <c r="GAB132" s="531" t="e">
        <f t="shared" si="79"/>
        <v>#DIV/0!</v>
      </c>
      <c r="GAC132" s="531" t="e">
        <f t="shared" si="79"/>
        <v>#DIV/0!</v>
      </c>
      <c r="GAD132" s="531" t="e">
        <f t="shared" si="79"/>
        <v>#DIV/0!</v>
      </c>
      <c r="GAE132" s="531" t="e">
        <f t="shared" si="79"/>
        <v>#DIV/0!</v>
      </c>
      <c r="GAF132" s="531" t="e">
        <f t="shared" si="79"/>
        <v>#DIV/0!</v>
      </c>
      <c r="GAG132" s="531" t="e">
        <f t="shared" si="79"/>
        <v>#DIV/0!</v>
      </c>
      <c r="GAH132" s="531" t="e">
        <f t="shared" si="79"/>
        <v>#DIV/0!</v>
      </c>
      <c r="GAI132" s="531" t="e">
        <f t="shared" si="79"/>
        <v>#DIV/0!</v>
      </c>
      <c r="GAJ132" s="531" t="e">
        <f t="shared" si="79"/>
        <v>#DIV/0!</v>
      </c>
      <c r="GAK132" s="531" t="e">
        <f t="shared" si="79"/>
        <v>#DIV/0!</v>
      </c>
      <c r="GAL132" s="531" t="e">
        <f t="shared" si="79"/>
        <v>#DIV/0!</v>
      </c>
      <c r="GAM132" s="531" t="e">
        <f t="shared" si="79"/>
        <v>#DIV/0!</v>
      </c>
      <c r="GAN132" s="531" t="e">
        <f t="shared" si="79"/>
        <v>#DIV/0!</v>
      </c>
      <c r="GAO132" s="531" t="e">
        <f t="shared" si="79"/>
        <v>#DIV/0!</v>
      </c>
      <c r="GAP132" s="531" t="e">
        <f t="shared" si="79"/>
        <v>#DIV/0!</v>
      </c>
      <c r="GAQ132" s="531" t="e">
        <f t="shared" si="79"/>
        <v>#DIV/0!</v>
      </c>
      <c r="GAR132" s="531" t="e">
        <f t="shared" si="79"/>
        <v>#DIV/0!</v>
      </c>
      <c r="GAS132" s="531" t="e">
        <f t="shared" si="79"/>
        <v>#DIV/0!</v>
      </c>
      <c r="GAT132" s="531" t="e">
        <f t="shared" si="79"/>
        <v>#DIV/0!</v>
      </c>
      <c r="GAU132" s="531" t="e">
        <f t="shared" si="79"/>
        <v>#DIV/0!</v>
      </c>
      <c r="GAV132" s="531" t="e">
        <f t="shared" si="79"/>
        <v>#DIV/0!</v>
      </c>
      <c r="GAW132" s="531" t="e">
        <f t="shared" si="79"/>
        <v>#DIV/0!</v>
      </c>
      <c r="GAX132" s="531" t="e">
        <f t="shared" si="79"/>
        <v>#DIV/0!</v>
      </c>
      <c r="GAY132" s="531" t="e">
        <f t="shared" si="79"/>
        <v>#DIV/0!</v>
      </c>
      <c r="GAZ132" s="531" t="e">
        <f t="shared" si="79"/>
        <v>#DIV/0!</v>
      </c>
      <c r="GBA132" s="531" t="e">
        <f t="shared" si="79"/>
        <v>#DIV/0!</v>
      </c>
      <c r="GBB132" s="531" t="e">
        <f t="shared" si="79"/>
        <v>#DIV/0!</v>
      </c>
      <c r="GBC132" s="531" t="e">
        <f t="shared" si="79"/>
        <v>#DIV/0!</v>
      </c>
      <c r="GBD132" s="531" t="e">
        <f t="shared" si="79"/>
        <v>#DIV/0!</v>
      </c>
      <c r="GBE132" s="531" t="e">
        <f t="shared" si="79"/>
        <v>#DIV/0!</v>
      </c>
      <c r="GBF132" s="531" t="e">
        <f t="shared" si="79"/>
        <v>#DIV/0!</v>
      </c>
      <c r="GBG132" s="531" t="e">
        <f t="shared" si="79"/>
        <v>#DIV/0!</v>
      </c>
      <c r="GBH132" s="531" t="e">
        <f t="shared" si="79"/>
        <v>#DIV/0!</v>
      </c>
      <c r="GBI132" s="531" t="e">
        <f t="shared" si="79"/>
        <v>#DIV/0!</v>
      </c>
      <c r="GBJ132" s="531" t="e">
        <f t="shared" si="79"/>
        <v>#DIV/0!</v>
      </c>
      <c r="GBK132" s="531" t="e">
        <f t="shared" si="79"/>
        <v>#DIV/0!</v>
      </c>
      <c r="GBL132" s="531" t="e">
        <f t="shared" si="79"/>
        <v>#DIV/0!</v>
      </c>
      <c r="GBM132" s="531" t="e">
        <f t="shared" si="79"/>
        <v>#DIV/0!</v>
      </c>
      <c r="GBN132" s="531" t="e">
        <f t="shared" si="79"/>
        <v>#DIV/0!</v>
      </c>
      <c r="GBO132" s="531" t="e">
        <f t="shared" si="79"/>
        <v>#DIV/0!</v>
      </c>
      <c r="GBP132" s="531" t="e">
        <f t="shared" si="79"/>
        <v>#DIV/0!</v>
      </c>
      <c r="GBQ132" s="531" t="e">
        <f t="shared" si="79"/>
        <v>#DIV/0!</v>
      </c>
      <c r="GBR132" s="531" t="e">
        <f t="shared" si="79"/>
        <v>#DIV/0!</v>
      </c>
      <c r="GBS132" s="531" t="e">
        <f t="shared" si="79"/>
        <v>#DIV/0!</v>
      </c>
      <c r="GBT132" s="531" t="e">
        <f t="shared" si="79"/>
        <v>#DIV/0!</v>
      </c>
      <c r="GBU132" s="531" t="e">
        <f t="shared" si="79"/>
        <v>#DIV/0!</v>
      </c>
      <c r="GBV132" s="531" t="e">
        <f t="shared" si="79"/>
        <v>#DIV/0!</v>
      </c>
      <c r="GBW132" s="531" t="e">
        <f t="shared" ref="GBW132:GEH132" si="80">(GBW128-GBW116)/(GBW52*10^5)</f>
        <v>#DIV/0!</v>
      </c>
      <c r="GBX132" s="531" t="e">
        <f t="shared" si="80"/>
        <v>#DIV/0!</v>
      </c>
      <c r="GBY132" s="531" t="e">
        <f t="shared" si="80"/>
        <v>#DIV/0!</v>
      </c>
      <c r="GBZ132" s="531" t="e">
        <f t="shared" si="80"/>
        <v>#DIV/0!</v>
      </c>
      <c r="GCA132" s="531" t="e">
        <f t="shared" si="80"/>
        <v>#DIV/0!</v>
      </c>
      <c r="GCB132" s="531" t="e">
        <f t="shared" si="80"/>
        <v>#DIV/0!</v>
      </c>
      <c r="GCC132" s="531" t="e">
        <f t="shared" si="80"/>
        <v>#DIV/0!</v>
      </c>
      <c r="GCD132" s="531" t="e">
        <f t="shared" si="80"/>
        <v>#DIV/0!</v>
      </c>
      <c r="GCE132" s="531" t="e">
        <f t="shared" si="80"/>
        <v>#DIV/0!</v>
      </c>
      <c r="GCF132" s="531" t="e">
        <f t="shared" si="80"/>
        <v>#DIV/0!</v>
      </c>
      <c r="GCG132" s="531" t="e">
        <f t="shared" si="80"/>
        <v>#DIV/0!</v>
      </c>
      <c r="GCH132" s="531" t="e">
        <f t="shared" si="80"/>
        <v>#DIV/0!</v>
      </c>
      <c r="GCI132" s="531" t="e">
        <f t="shared" si="80"/>
        <v>#DIV/0!</v>
      </c>
      <c r="GCJ132" s="531" t="e">
        <f t="shared" si="80"/>
        <v>#DIV/0!</v>
      </c>
      <c r="GCK132" s="531" t="e">
        <f t="shared" si="80"/>
        <v>#DIV/0!</v>
      </c>
      <c r="GCL132" s="531" t="e">
        <f t="shared" si="80"/>
        <v>#DIV/0!</v>
      </c>
      <c r="GCM132" s="531" t="e">
        <f t="shared" si="80"/>
        <v>#DIV/0!</v>
      </c>
      <c r="GCN132" s="531" t="e">
        <f t="shared" si="80"/>
        <v>#DIV/0!</v>
      </c>
      <c r="GCO132" s="531" t="e">
        <f t="shared" si="80"/>
        <v>#DIV/0!</v>
      </c>
      <c r="GCP132" s="531" t="e">
        <f t="shared" si="80"/>
        <v>#DIV/0!</v>
      </c>
      <c r="GCQ132" s="531" t="e">
        <f t="shared" si="80"/>
        <v>#DIV/0!</v>
      </c>
      <c r="GCR132" s="531" t="e">
        <f t="shared" si="80"/>
        <v>#DIV/0!</v>
      </c>
      <c r="GCS132" s="531" t="e">
        <f t="shared" si="80"/>
        <v>#DIV/0!</v>
      </c>
      <c r="GCT132" s="531" t="e">
        <f t="shared" si="80"/>
        <v>#DIV/0!</v>
      </c>
      <c r="GCU132" s="531" t="e">
        <f t="shared" si="80"/>
        <v>#DIV/0!</v>
      </c>
      <c r="GCV132" s="531" t="e">
        <f t="shared" si="80"/>
        <v>#DIV/0!</v>
      </c>
      <c r="GCW132" s="531" t="e">
        <f t="shared" si="80"/>
        <v>#DIV/0!</v>
      </c>
      <c r="GCX132" s="531" t="e">
        <f t="shared" si="80"/>
        <v>#DIV/0!</v>
      </c>
      <c r="GCY132" s="531" t="e">
        <f t="shared" si="80"/>
        <v>#DIV/0!</v>
      </c>
      <c r="GCZ132" s="531" t="e">
        <f t="shared" si="80"/>
        <v>#DIV/0!</v>
      </c>
      <c r="GDA132" s="531" t="e">
        <f t="shared" si="80"/>
        <v>#DIV/0!</v>
      </c>
      <c r="GDB132" s="531" t="e">
        <f t="shared" si="80"/>
        <v>#DIV/0!</v>
      </c>
      <c r="GDC132" s="531" t="e">
        <f t="shared" si="80"/>
        <v>#DIV/0!</v>
      </c>
      <c r="GDD132" s="531" t="e">
        <f t="shared" si="80"/>
        <v>#DIV/0!</v>
      </c>
      <c r="GDE132" s="531" t="e">
        <f t="shared" si="80"/>
        <v>#DIV/0!</v>
      </c>
      <c r="GDF132" s="531" t="e">
        <f t="shared" si="80"/>
        <v>#DIV/0!</v>
      </c>
      <c r="GDG132" s="531" t="e">
        <f t="shared" si="80"/>
        <v>#DIV/0!</v>
      </c>
      <c r="GDH132" s="531" t="e">
        <f t="shared" si="80"/>
        <v>#DIV/0!</v>
      </c>
      <c r="GDI132" s="531" t="e">
        <f t="shared" si="80"/>
        <v>#DIV/0!</v>
      </c>
      <c r="GDJ132" s="531" t="e">
        <f t="shared" si="80"/>
        <v>#DIV/0!</v>
      </c>
      <c r="GDK132" s="531" t="e">
        <f t="shared" si="80"/>
        <v>#DIV/0!</v>
      </c>
      <c r="GDL132" s="531" t="e">
        <f t="shared" si="80"/>
        <v>#DIV/0!</v>
      </c>
      <c r="GDM132" s="531" t="e">
        <f t="shared" si="80"/>
        <v>#DIV/0!</v>
      </c>
      <c r="GDN132" s="531" t="e">
        <f t="shared" si="80"/>
        <v>#DIV/0!</v>
      </c>
      <c r="GDO132" s="531" t="e">
        <f t="shared" si="80"/>
        <v>#DIV/0!</v>
      </c>
      <c r="GDP132" s="531" t="e">
        <f t="shared" si="80"/>
        <v>#DIV/0!</v>
      </c>
      <c r="GDQ132" s="531" t="e">
        <f t="shared" si="80"/>
        <v>#DIV/0!</v>
      </c>
      <c r="GDR132" s="531" t="e">
        <f t="shared" si="80"/>
        <v>#DIV/0!</v>
      </c>
      <c r="GDS132" s="531" t="e">
        <f t="shared" si="80"/>
        <v>#DIV/0!</v>
      </c>
      <c r="GDT132" s="531" t="e">
        <f t="shared" si="80"/>
        <v>#DIV/0!</v>
      </c>
      <c r="GDU132" s="531" t="e">
        <f t="shared" si="80"/>
        <v>#DIV/0!</v>
      </c>
      <c r="GDV132" s="531" t="e">
        <f t="shared" si="80"/>
        <v>#DIV/0!</v>
      </c>
      <c r="GDW132" s="531" t="e">
        <f t="shared" si="80"/>
        <v>#DIV/0!</v>
      </c>
      <c r="GDX132" s="531" t="e">
        <f t="shared" si="80"/>
        <v>#DIV/0!</v>
      </c>
      <c r="GDY132" s="531" t="e">
        <f t="shared" si="80"/>
        <v>#DIV/0!</v>
      </c>
      <c r="GDZ132" s="531" t="e">
        <f t="shared" si="80"/>
        <v>#DIV/0!</v>
      </c>
      <c r="GEA132" s="531" t="e">
        <f t="shared" si="80"/>
        <v>#DIV/0!</v>
      </c>
      <c r="GEB132" s="531" t="e">
        <f t="shared" si="80"/>
        <v>#DIV/0!</v>
      </c>
      <c r="GEC132" s="531" t="e">
        <f t="shared" si="80"/>
        <v>#DIV/0!</v>
      </c>
      <c r="GED132" s="531" t="e">
        <f t="shared" si="80"/>
        <v>#DIV/0!</v>
      </c>
      <c r="GEE132" s="531" t="e">
        <f t="shared" si="80"/>
        <v>#DIV/0!</v>
      </c>
      <c r="GEF132" s="531" t="e">
        <f t="shared" si="80"/>
        <v>#DIV/0!</v>
      </c>
      <c r="GEG132" s="531" t="e">
        <f t="shared" si="80"/>
        <v>#DIV/0!</v>
      </c>
      <c r="GEH132" s="531" t="e">
        <f t="shared" si="80"/>
        <v>#DIV/0!</v>
      </c>
      <c r="GEI132" s="531" t="e">
        <f t="shared" ref="GEI132:GGT132" si="81">(GEI128-GEI116)/(GEI52*10^5)</f>
        <v>#DIV/0!</v>
      </c>
      <c r="GEJ132" s="531" t="e">
        <f t="shared" si="81"/>
        <v>#DIV/0!</v>
      </c>
      <c r="GEK132" s="531" t="e">
        <f t="shared" si="81"/>
        <v>#DIV/0!</v>
      </c>
      <c r="GEL132" s="531" t="e">
        <f t="shared" si="81"/>
        <v>#DIV/0!</v>
      </c>
      <c r="GEM132" s="531" t="e">
        <f t="shared" si="81"/>
        <v>#DIV/0!</v>
      </c>
      <c r="GEN132" s="531" t="e">
        <f t="shared" si="81"/>
        <v>#DIV/0!</v>
      </c>
      <c r="GEO132" s="531" t="e">
        <f t="shared" si="81"/>
        <v>#DIV/0!</v>
      </c>
      <c r="GEP132" s="531" t="e">
        <f t="shared" si="81"/>
        <v>#DIV/0!</v>
      </c>
      <c r="GEQ132" s="531" t="e">
        <f t="shared" si="81"/>
        <v>#DIV/0!</v>
      </c>
      <c r="GER132" s="531" t="e">
        <f t="shared" si="81"/>
        <v>#DIV/0!</v>
      </c>
      <c r="GES132" s="531" t="e">
        <f t="shared" si="81"/>
        <v>#DIV/0!</v>
      </c>
      <c r="GET132" s="531" t="e">
        <f t="shared" si="81"/>
        <v>#DIV/0!</v>
      </c>
      <c r="GEU132" s="531" t="e">
        <f t="shared" si="81"/>
        <v>#DIV/0!</v>
      </c>
      <c r="GEV132" s="531" t="e">
        <f t="shared" si="81"/>
        <v>#DIV/0!</v>
      </c>
      <c r="GEW132" s="531" t="e">
        <f t="shared" si="81"/>
        <v>#DIV/0!</v>
      </c>
      <c r="GEX132" s="531" t="e">
        <f t="shared" si="81"/>
        <v>#DIV/0!</v>
      </c>
      <c r="GEY132" s="531" t="e">
        <f t="shared" si="81"/>
        <v>#DIV/0!</v>
      </c>
      <c r="GEZ132" s="531" t="e">
        <f t="shared" si="81"/>
        <v>#DIV/0!</v>
      </c>
      <c r="GFA132" s="531" t="e">
        <f t="shared" si="81"/>
        <v>#DIV/0!</v>
      </c>
      <c r="GFB132" s="531" t="e">
        <f t="shared" si="81"/>
        <v>#DIV/0!</v>
      </c>
      <c r="GFC132" s="531" t="e">
        <f t="shared" si="81"/>
        <v>#DIV/0!</v>
      </c>
      <c r="GFD132" s="531" t="e">
        <f t="shared" si="81"/>
        <v>#DIV/0!</v>
      </c>
      <c r="GFE132" s="531" t="e">
        <f t="shared" si="81"/>
        <v>#DIV/0!</v>
      </c>
      <c r="GFF132" s="531" t="e">
        <f t="shared" si="81"/>
        <v>#DIV/0!</v>
      </c>
      <c r="GFG132" s="531" t="e">
        <f t="shared" si="81"/>
        <v>#DIV/0!</v>
      </c>
      <c r="GFH132" s="531" t="e">
        <f t="shared" si="81"/>
        <v>#DIV/0!</v>
      </c>
      <c r="GFI132" s="531" t="e">
        <f t="shared" si="81"/>
        <v>#DIV/0!</v>
      </c>
      <c r="GFJ132" s="531" t="e">
        <f t="shared" si="81"/>
        <v>#DIV/0!</v>
      </c>
      <c r="GFK132" s="531" t="e">
        <f t="shared" si="81"/>
        <v>#DIV/0!</v>
      </c>
      <c r="GFL132" s="531" t="e">
        <f t="shared" si="81"/>
        <v>#DIV/0!</v>
      </c>
      <c r="GFM132" s="531" t="e">
        <f t="shared" si="81"/>
        <v>#DIV/0!</v>
      </c>
      <c r="GFN132" s="531" t="e">
        <f t="shared" si="81"/>
        <v>#DIV/0!</v>
      </c>
      <c r="GFO132" s="531" t="e">
        <f t="shared" si="81"/>
        <v>#DIV/0!</v>
      </c>
      <c r="GFP132" s="531" t="e">
        <f t="shared" si="81"/>
        <v>#DIV/0!</v>
      </c>
      <c r="GFQ132" s="531" t="e">
        <f t="shared" si="81"/>
        <v>#DIV/0!</v>
      </c>
      <c r="GFR132" s="531" t="e">
        <f t="shared" si="81"/>
        <v>#DIV/0!</v>
      </c>
      <c r="GFS132" s="531" t="e">
        <f t="shared" si="81"/>
        <v>#DIV/0!</v>
      </c>
      <c r="GFT132" s="531" t="e">
        <f t="shared" si="81"/>
        <v>#DIV/0!</v>
      </c>
      <c r="GFU132" s="531" t="e">
        <f t="shared" si="81"/>
        <v>#DIV/0!</v>
      </c>
      <c r="GFV132" s="531" t="e">
        <f t="shared" si="81"/>
        <v>#DIV/0!</v>
      </c>
      <c r="GFW132" s="531" t="e">
        <f t="shared" si="81"/>
        <v>#DIV/0!</v>
      </c>
      <c r="GFX132" s="531" t="e">
        <f t="shared" si="81"/>
        <v>#DIV/0!</v>
      </c>
      <c r="GFY132" s="531" t="e">
        <f t="shared" si="81"/>
        <v>#DIV/0!</v>
      </c>
      <c r="GFZ132" s="531" t="e">
        <f t="shared" si="81"/>
        <v>#DIV/0!</v>
      </c>
      <c r="GGA132" s="531" t="e">
        <f t="shared" si="81"/>
        <v>#DIV/0!</v>
      </c>
      <c r="GGB132" s="531" t="e">
        <f t="shared" si="81"/>
        <v>#DIV/0!</v>
      </c>
      <c r="GGC132" s="531" t="e">
        <f t="shared" si="81"/>
        <v>#DIV/0!</v>
      </c>
      <c r="GGD132" s="531" t="e">
        <f t="shared" si="81"/>
        <v>#DIV/0!</v>
      </c>
      <c r="GGE132" s="531" t="e">
        <f t="shared" si="81"/>
        <v>#DIV/0!</v>
      </c>
      <c r="GGF132" s="531" t="e">
        <f t="shared" si="81"/>
        <v>#DIV/0!</v>
      </c>
      <c r="GGG132" s="531" t="e">
        <f t="shared" si="81"/>
        <v>#DIV/0!</v>
      </c>
      <c r="GGH132" s="531" t="e">
        <f t="shared" si="81"/>
        <v>#DIV/0!</v>
      </c>
      <c r="GGI132" s="531" t="e">
        <f t="shared" si="81"/>
        <v>#DIV/0!</v>
      </c>
      <c r="GGJ132" s="531" t="e">
        <f t="shared" si="81"/>
        <v>#DIV/0!</v>
      </c>
      <c r="GGK132" s="531" t="e">
        <f t="shared" si="81"/>
        <v>#DIV/0!</v>
      </c>
      <c r="GGL132" s="531" t="e">
        <f t="shared" si="81"/>
        <v>#DIV/0!</v>
      </c>
      <c r="GGM132" s="531" t="e">
        <f t="shared" si="81"/>
        <v>#DIV/0!</v>
      </c>
      <c r="GGN132" s="531" t="e">
        <f t="shared" si="81"/>
        <v>#DIV/0!</v>
      </c>
      <c r="GGO132" s="531" t="e">
        <f t="shared" si="81"/>
        <v>#DIV/0!</v>
      </c>
      <c r="GGP132" s="531" t="e">
        <f t="shared" si="81"/>
        <v>#DIV/0!</v>
      </c>
      <c r="GGQ132" s="531" t="e">
        <f t="shared" si="81"/>
        <v>#DIV/0!</v>
      </c>
      <c r="GGR132" s="531" t="e">
        <f t="shared" si="81"/>
        <v>#DIV/0!</v>
      </c>
      <c r="GGS132" s="531" t="e">
        <f t="shared" si="81"/>
        <v>#DIV/0!</v>
      </c>
      <c r="GGT132" s="531" t="e">
        <f t="shared" si="81"/>
        <v>#DIV/0!</v>
      </c>
      <c r="GGU132" s="531" t="e">
        <f t="shared" ref="GGU132:GJF132" si="82">(GGU128-GGU116)/(GGU52*10^5)</f>
        <v>#DIV/0!</v>
      </c>
      <c r="GGV132" s="531" t="e">
        <f t="shared" si="82"/>
        <v>#DIV/0!</v>
      </c>
      <c r="GGW132" s="531" t="e">
        <f t="shared" si="82"/>
        <v>#DIV/0!</v>
      </c>
      <c r="GGX132" s="531" t="e">
        <f t="shared" si="82"/>
        <v>#DIV/0!</v>
      </c>
      <c r="GGY132" s="531" t="e">
        <f t="shared" si="82"/>
        <v>#DIV/0!</v>
      </c>
      <c r="GGZ132" s="531" t="e">
        <f t="shared" si="82"/>
        <v>#DIV/0!</v>
      </c>
      <c r="GHA132" s="531" t="e">
        <f t="shared" si="82"/>
        <v>#DIV/0!</v>
      </c>
      <c r="GHB132" s="531" t="e">
        <f t="shared" si="82"/>
        <v>#DIV/0!</v>
      </c>
      <c r="GHC132" s="531" t="e">
        <f t="shared" si="82"/>
        <v>#DIV/0!</v>
      </c>
      <c r="GHD132" s="531" t="e">
        <f t="shared" si="82"/>
        <v>#DIV/0!</v>
      </c>
      <c r="GHE132" s="531" t="e">
        <f t="shared" si="82"/>
        <v>#DIV/0!</v>
      </c>
      <c r="GHF132" s="531" t="e">
        <f t="shared" si="82"/>
        <v>#DIV/0!</v>
      </c>
      <c r="GHG132" s="531" t="e">
        <f t="shared" si="82"/>
        <v>#DIV/0!</v>
      </c>
      <c r="GHH132" s="531" t="e">
        <f t="shared" si="82"/>
        <v>#DIV/0!</v>
      </c>
      <c r="GHI132" s="531" t="e">
        <f t="shared" si="82"/>
        <v>#DIV/0!</v>
      </c>
      <c r="GHJ132" s="531" t="e">
        <f t="shared" si="82"/>
        <v>#DIV/0!</v>
      </c>
      <c r="GHK132" s="531" t="e">
        <f t="shared" si="82"/>
        <v>#DIV/0!</v>
      </c>
      <c r="GHL132" s="531" t="e">
        <f t="shared" si="82"/>
        <v>#DIV/0!</v>
      </c>
      <c r="GHM132" s="531" t="e">
        <f t="shared" si="82"/>
        <v>#DIV/0!</v>
      </c>
      <c r="GHN132" s="531" t="e">
        <f t="shared" si="82"/>
        <v>#DIV/0!</v>
      </c>
      <c r="GHO132" s="531" t="e">
        <f t="shared" si="82"/>
        <v>#DIV/0!</v>
      </c>
      <c r="GHP132" s="531" t="e">
        <f t="shared" si="82"/>
        <v>#DIV/0!</v>
      </c>
      <c r="GHQ132" s="531" t="e">
        <f t="shared" si="82"/>
        <v>#DIV/0!</v>
      </c>
      <c r="GHR132" s="531" t="e">
        <f t="shared" si="82"/>
        <v>#DIV/0!</v>
      </c>
      <c r="GHS132" s="531" t="e">
        <f t="shared" si="82"/>
        <v>#DIV/0!</v>
      </c>
      <c r="GHT132" s="531" t="e">
        <f t="shared" si="82"/>
        <v>#DIV/0!</v>
      </c>
      <c r="GHU132" s="531" t="e">
        <f t="shared" si="82"/>
        <v>#DIV/0!</v>
      </c>
      <c r="GHV132" s="531" t="e">
        <f t="shared" si="82"/>
        <v>#DIV/0!</v>
      </c>
      <c r="GHW132" s="531" t="e">
        <f t="shared" si="82"/>
        <v>#DIV/0!</v>
      </c>
      <c r="GHX132" s="531" t="e">
        <f t="shared" si="82"/>
        <v>#DIV/0!</v>
      </c>
      <c r="GHY132" s="531" t="e">
        <f t="shared" si="82"/>
        <v>#DIV/0!</v>
      </c>
      <c r="GHZ132" s="531" t="e">
        <f t="shared" si="82"/>
        <v>#DIV/0!</v>
      </c>
      <c r="GIA132" s="531" t="e">
        <f t="shared" si="82"/>
        <v>#DIV/0!</v>
      </c>
      <c r="GIB132" s="531" t="e">
        <f t="shared" si="82"/>
        <v>#DIV/0!</v>
      </c>
      <c r="GIC132" s="531" t="e">
        <f t="shared" si="82"/>
        <v>#DIV/0!</v>
      </c>
      <c r="GID132" s="531" t="e">
        <f t="shared" si="82"/>
        <v>#DIV/0!</v>
      </c>
      <c r="GIE132" s="531" t="e">
        <f t="shared" si="82"/>
        <v>#DIV/0!</v>
      </c>
      <c r="GIF132" s="531" t="e">
        <f t="shared" si="82"/>
        <v>#DIV/0!</v>
      </c>
      <c r="GIG132" s="531" t="e">
        <f t="shared" si="82"/>
        <v>#DIV/0!</v>
      </c>
      <c r="GIH132" s="531" t="e">
        <f t="shared" si="82"/>
        <v>#DIV/0!</v>
      </c>
      <c r="GII132" s="531" t="e">
        <f t="shared" si="82"/>
        <v>#DIV/0!</v>
      </c>
      <c r="GIJ132" s="531" t="e">
        <f t="shared" si="82"/>
        <v>#DIV/0!</v>
      </c>
      <c r="GIK132" s="531" t="e">
        <f t="shared" si="82"/>
        <v>#DIV/0!</v>
      </c>
      <c r="GIL132" s="531" t="e">
        <f t="shared" si="82"/>
        <v>#DIV/0!</v>
      </c>
      <c r="GIM132" s="531" t="e">
        <f t="shared" si="82"/>
        <v>#DIV/0!</v>
      </c>
      <c r="GIN132" s="531" t="e">
        <f t="shared" si="82"/>
        <v>#DIV/0!</v>
      </c>
      <c r="GIO132" s="531" t="e">
        <f t="shared" si="82"/>
        <v>#DIV/0!</v>
      </c>
      <c r="GIP132" s="531" t="e">
        <f t="shared" si="82"/>
        <v>#DIV/0!</v>
      </c>
      <c r="GIQ132" s="531" t="e">
        <f t="shared" si="82"/>
        <v>#DIV/0!</v>
      </c>
      <c r="GIR132" s="531" t="e">
        <f t="shared" si="82"/>
        <v>#DIV/0!</v>
      </c>
      <c r="GIS132" s="531" t="e">
        <f t="shared" si="82"/>
        <v>#DIV/0!</v>
      </c>
      <c r="GIT132" s="531" t="e">
        <f t="shared" si="82"/>
        <v>#DIV/0!</v>
      </c>
      <c r="GIU132" s="531" t="e">
        <f t="shared" si="82"/>
        <v>#DIV/0!</v>
      </c>
      <c r="GIV132" s="531" t="e">
        <f t="shared" si="82"/>
        <v>#DIV/0!</v>
      </c>
      <c r="GIW132" s="531" t="e">
        <f t="shared" si="82"/>
        <v>#DIV/0!</v>
      </c>
      <c r="GIX132" s="531" t="e">
        <f t="shared" si="82"/>
        <v>#DIV/0!</v>
      </c>
      <c r="GIY132" s="531" t="e">
        <f t="shared" si="82"/>
        <v>#DIV/0!</v>
      </c>
      <c r="GIZ132" s="531" t="e">
        <f t="shared" si="82"/>
        <v>#DIV/0!</v>
      </c>
      <c r="GJA132" s="531" t="e">
        <f t="shared" si="82"/>
        <v>#DIV/0!</v>
      </c>
      <c r="GJB132" s="531" t="e">
        <f t="shared" si="82"/>
        <v>#DIV/0!</v>
      </c>
      <c r="GJC132" s="531" t="e">
        <f t="shared" si="82"/>
        <v>#DIV/0!</v>
      </c>
      <c r="GJD132" s="531" t="e">
        <f t="shared" si="82"/>
        <v>#DIV/0!</v>
      </c>
      <c r="GJE132" s="531" t="e">
        <f t="shared" si="82"/>
        <v>#DIV/0!</v>
      </c>
      <c r="GJF132" s="531" t="e">
        <f t="shared" si="82"/>
        <v>#DIV/0!</v>
      </c>
      <c r="GJG132" s="531" t="e">
        <f t="shared" ref="GJG132:GLR132" si="83">(GJG128-GJG116)/(GJG52*10^5)</f>
        <v>#DIV/0!</v>
      </c>
      <c r="GJH132" s="531" t="e">
        <f t="shared" si="83"/>
        <v>#DIV/0!</v>
      </c>
      <c r="GJI132" s="531" t="e">
        <f t="shared" si="83"/>
        <v>#DIV/0!</v>
      </c>
      <c r="GJJ132" s="531" t="e">
        <f t="shared" si="83"/>
        <v>#DIV/0!</v>
      </c>
      <c r="GJK132" s="531" t="e">
        <f t="shared" si="83"/>
        <v>#DIV/0!</v>
      </c>
      <c r="GJL132" s="531" t="e">
        <f t="shared" si="83"/>
        <v>#DIV/0!</v>
      </c>
      <c r="GJM132" s="531" t="e">
        <f t="shared" si="83"/>
        <v>#DIV/0!</v>
      </c>
      <c r="GJN132" s="531" t="e">
        <f t="shared" si="83"/>
        <v>#DIV/0!</v>
      </c>
      <c r="GJO132" s="531" t="e">
        <f t="shared" si="83"/>
        <v>#DIV/0!</v>
      </c>
      <c r="GJP132" s="531" t="e">
        <f t="shared" si="83"/>
        <v>#DIV/0!</v>
      </c>
      <c r="GJQ132" s="531" t="e">
        <f t="shared" si="83"/>
        <v>#DIV/0!</v>
      </c>
      <c r="GJR132" s="531" t="e">
        <f t="shared" si="83"/>
        <v>#DIV/0!</v>
      </c>
      <c r="GJS132" s="531" t="e">
        <f t="shared" si="83"/>
        <v>#DIV/0!</v>
      </c>
      <c r="GJT132" s="531" t="e">
        <f t="shared" si="83"/>
        <v>#DIV/0!</v>
      </c>
      <c r="GJU132" s="531" t="e">
        <f t="shared" si="83"/>
        <v>#DIV/0!</v>
      </c>
      <c r="GJV132" s="531" t="e">
        <f t="shared" si="83"/>
        <v>#DIV/0!</v>
      </c>
      <c r="GJW132" s="531" t="e">
        <f t="shared" si="83"/>
        <v>#DIV/0!</v>
      </c>
      <c r="GJX132" s="531" t="e">
        <f t="shared" si="83"/>
        <v>#DIV/0!</v>
      </c>
      <c r="GJY132" s="531" t="e">
        <f t="shared" si="83"/>
        <v>#DIV/0!</v>
      </c>
      <c r="GJZ132" s="531" t="e">
        <f t="shared" si="83"/>
        <v>#DIV/0!</v>
      </c>
      <c r="GKA132" s="531" t="e">
        <f t="shared" si="83"/>
        <v>#DIV/0!</v>
      </c>
      <c r="GKB132" s="531" t="e">
        <f t="shared" si="83"/>
        <v>#DIV/0!</v>
      </c>
      <c r="GKC132" s="531" t="e">
        <f t="shared" si="83"/>
        <v>#DIV/0!</v>
      </c>
      <c r="GKD132" s="531" t="e">
        <f t="shared" si="83"/>
        <v>#DIV/0!</v>
      </c>
      <c r="GKE132" s="531" t="e">
        <f t="shared" si="83"/>
        <v>#DIV/0!</v>
      </c>
      <c r="GKF132" s="531" t="e">
        <f t="shared" si="83"/>
        <v>#DIV/0!</v>
      </c>
      <c r="GKG132" s="531" t="e">
        <f t="shared" si="83"/>
        <v>#DIV/0!</v>
      </c>
      <c r="GKH132" s="531" t="e">
        <f t="shared" si="83"/>
        <v>#DIV/0!</v>
      </c>
      <c r="GKI132" s="531" t="e">
        <f t="shared" si="83"/>
        <v>#DIV/0!</v>
      </c>
      <c r="GKJ132" s="531" t="e">
        <f t="shared" si="83"/>
        <v>#DIV/0!</v>
      </c>
      <c r="GKK132" s="531" t="e">
        <f t="shared" si="83"/>
        <v>#DIV/0!</v>
      </c>
      <c r="GKL132" s="531" t="e">
        <f t="shared" si="83"/>
        <v>#DIV/0!</v>
      </c>
      <c r="GKM132" s="531" t="e">
        <f t="shared" si="83"/>
        <v>#DIV/0!</v>
      </c>
      <c r="GKN132" s="531" t="e">
        <f t="shared" si="83"/>
        <v>#DIV/0!</v>
      </c>
      <c r="GKO132" s="531" t="e">
        <f t="shared" si="83"/>
        <v>#DIV/0!</v>
      </c>
      <c r="GKP132" s="531" t="e">
        <f t="shared" si="83"/>
        <v>#DIV/0!</v>
      </c>
      <c r="GKQ132" s="531" t="e">
        <f t="shared" si="83"/>
        <v>#DIV/0!</v>
      </c>
      <c r="GKR132" s="531" t="e">
        <f t="shared" si="83"/>
        <v>#DIV/0!</v>
      </c>
      <c r="GKS132" s="531" t="e">
        <f t="shared" si="83"/>
        <v>#DIV/0!</v>
      </c>
      <c r="GKT132" s="531" t="e">
        <f t="shared" si="83"/>
        <v>#DIV/0!</v>
      </c>
      <c r="GKU132" s="531" t="e">
        <f t="shared" si="83"/>
        <v>#DIV/0!</v>
      </c>
      <c r="GKV132" s="531" t="e">
        <f t="shared" si="83"/>
        <v>#DIV/0!</v>
      </c>
      <c r="GKW132" s="531" t="e">
        <f t="shared" si="83"/>
        <v>#DIV/0!</v>
      </c>
      <c r="GKX132" s="531" t="e">
        <f t="shared" si="83"/>
        <v>#DIV/0!</v>
      </c>
      <c r="GKY132" s="531" t="e">
        <f t="shared" si="83"/>
        <v>#DIV/0!</v>
      </c>
      <c r="GKZ132" s="531" t="e">
        <f t="shared" si="83"/>
        <v>#DIV/0!</v>
      </c>
      <c r="GLA132" s="531" t="e">
        <f t="shared" si="83"/>
        <v>#DIV/0!</v>
      </c>
      <c r="GLB132" s="531" t="e">
        <f t="shared" si="83"/>
        <v>#DIV/0!</v>
      </c>
      <c r="GLC132" s="531" t="e">
        <f t="shared" si="83"/>
        <v>#DIV/0!</v>
      </c>
      <c r="GLD132" s="531" t="e">
        <f t="shared" si="83"/>
        <v>#DIV/0!</v>
      </c>
      <c r="GLE132" s="531" t="e">
        <f t="shared" si="83"/>
        <v>#DIV/0!</v>
      </c>
      <c r="GLF132" s="531" t="e">
        <f t="shared" si="83"/>
        <v>#DIV/0!</v>
      </c>
      <c r="GLG132" s="531" t="e">
        <f t="shared" si="83"/>
        <v>#DIV/0!</v>
      </c>
      <c r="GLH132" s="531" t="e">
        <f t="shared" si="83"/>
        <v>#DIV/0!</v>
      </c>
      <c r="GLI132" s="531" t="e">
        <f t="shared" si="83"/>
        <v>#DIV/0!</v>
      </c>
      <c r="GLJ132" s="531" t="e">
        <f t="shared" si="83"/>
        <v>#DIV/0!</v>
      </c>
      <c r="GLK132" s="531" t="e">
        <f t="shared" si="83"/>
        <v>#DIV/0!</v>
      </c>
      <c r="GLL132" s="531" t="e">
        <f t="shared" si="83"/>
        <v>#DIV/0!</v>
      </c>
      <c r="GLM132" s="531" t="e">
        <f t="shared" si="83"/>
        <v>#DIV/0!</v>
      </c>
      <c r="GLN132" s="531" t="e">
        <f t="shared" si="83"/>
        <v>#DIV/0!</v>
      </c>
      <c r="GLO132" s="531" t="e">
        <f t="shared" si="83"/>
        <v>#DIV/0!</v>
      </c>
      <c r="GLP132" s="531" t="e">
        <f t="shared" si="83"/>
        <v>#DIV/0!</v>
      </c>
      <c r="GLQ132" s="531" t="e">
        <f t="shared" si="83"/>
        <v>#DIV/0!</v>
      </c>
      <c r="GLR132" s="531" t="e">
        <f t="shared" si="83"/>
        <v>#DIV/0!</v>
      </c>
      <c r="GLS132" s="531" t="e">
        <f t="shared" ref="GLS132:GOD132" si="84">(GLS128-GLS116)/(GLS52*10^5)</f>
        <v>#DIV/0!</v>
      </c>
      <c r="GLT132" s="531" t="e">
        <f t="shared" si="84"/>
        <v>#DIV/0!</v>
      </c>
      <c r="GLU132" s="531" t="e">
        <f t="shared" si="84"/>
        <v>#DIV/0!</v>
      </c>
      <c r="GLV132" s="531" t="e">
        <f t="shared" si="84"/>
        <v>#DIV/0!</v>
      </c>
      <c r="GLW132" s="531" t="e">
        <f t="shared" si="84"/>
        <v>#DIV/0!</v>
      </c>
      <c r="GLX132" s="531" t="e">
        <f t="shared" si="84"/>
        <v>#DIV/0!</v>
      </c>
      <c r="GLY132" s="531" t="e">
        <f t="shared" si="84"/>
        <v>#DIV/0!</v>
      </c>
      <c r="GLZ132" s="531" t="e">
        <f t="shared" si="84"/>
        <v>#DIV/0!</v>
      </c>
      <c r="GMA132" s="531" t="e">
        <f t="shared" si="84"/>
        <v>#DIV/0!</v>
      </c>
      <c r="GMB132" s="531" t="e">
        <f t="shared" si="84"/>
        <v>#DIV/0!</v>
      </c>
      <c r="GMC132" s="531" t="e">
        <f t="shared" si="84"/>
        <v>#DIV/0!</v>
      </c>
      <c r="GMD132" s="531" t="e">
        <f t="shared" si="84"/>
        <v>#DIV/0!</v>
      </c>
      <c r="GME132" s="531" t="e">
        <f t="shared" si="84"/>
        <v>#DIV/0!</v>
      </c>
      <c r="GMF132" s="531" t="e">
        <f t="shared" si="84"/>
        <v>#DIV/0!</v>
      </c>
      <c r="GMG132" s="531" t="e">
        <f t="shared" si="84"/>
        <v>#DIV/0!</v>
      </c>
      <c r="GMH132" s="531" t="e">
        <f t="shared" si="84"/>
        <v>#DIV/0!</v>
      </c>
      <c r="GMI132" s="531" t="e">
        <f t="shared" si="84"/>
        <v>#DIV/0!</v>
      </c>
      <c r="GMJ132" s="531" t="e">
        <f t="shared" si="84"/>
        <v>#DIV/0!</v>
      </c>
      <c r="GMK132" s="531" t="e">
        <f t="shared" si="84"/>
        <v>#DIV/0!</v>
      </c>
      <c r="GML132" s="531" t="e">
        <f t="shared" si="84"/>
        <v>#DIV/0!</v>
      </c>
      <c r="GMM132" s="531" t="e">
        <f t="shared" si="84"/>
        <v>#DIV/0!</v>
      </c>
      <c r="GMN132" s="531" t="e">
        <f t="shared" si="84"/>
        <v>#DIV/0!</v>
      </c>
      <c r="GMO132" s="531" t="e">
        <f t="shared" si="84"/>
        <v>#DIV/0!</v>
      </c>
      <c r="GMP132" s="531" t="e">
        <f t="shared" si="84"/>
        <v>#DIV/0!</v>
      </c>
      <c r="GMQ132" s="531" t="e">
        <f t="shared" si="84"/>
        <v>#DIV/0!</v>
      </c>
      <c r="GMR132" s="531" t="e">
        <f t="shared" si="84"/>
        <v>#DIV/0!</v>
      </c>
      <c r="GMS132" s="531" t="e">
        <f t="shared" si="84"/>
        <v>#DIV/0!</v>
      </c>
      <c r="GMT132" s="531" t="e">
        <f t="shared" si="84"/>
        <v>#DIV/0!</v>
      </c>
      <c r="GMU132" s="531" t="e">
        <f t="shared" si="84"/>
        <v>#DIV/0!</v>
      </c>
      <c r="GMV132" s="531" t="e">
        <f t="shared" si="84"/>
        <v>#DIV/0!</v>
      </c>
      <c r="GMW132" s="531" t="e">
        <f t="shared" si="84"/>
        <v>#DIV/0!</v>
      </c>
      <c r="GMX132" s="531" t="e">
        <f t="shared" si="84"/>
        <v>#DIV/0!</v>
      </c>
      <c r="GMY132" s="531" t="e">
        <f t="shared" si="84"/>
        <v>#DIV/0!</v>
      </c>
      <c r="GMZ132" s="531" t="e">
        <f t="shared" si="84"/>
        <v>#DIV/0!</v>
      </c>
      <c r="GNA132" s="531" t="e">
        <f t="shared" si="84"/>
        <v>#DIV/0!</v>
      </c>
      <c r="GNB132" s="531" t="e">
        <f t="shared" si="84"/>
        <v>#DIV/0!</v>
      </c>
      <c r="GNC132" s="531" t="e">
        <f t="shared" si="84"/>
        <v>#DIV/0!</v>
      </c>
      <c r="GND132" s="531" t="e">
        <f t="shared" si="84"/>
        <v>#DIV/0!</v>
      </c>
      <c r="GNE132" s="531" t="e">
        <f t="shared" si="84"/>
        <v>#DIV/0!</v>
      </c>
      <c r="GNF132" s="531" t="e">
        <f t="shared" si="84"/>
        <v>#DIV/0!</v>
      </c>
      <c r="GNG132" s="531" t="e">
        <f t="shared" si="84"/>
        <v>#DIV/0!</v>
      </c>
      <c r="GNH132" s="531" t="e">
        <f t="shared" si="84"/>
        <v>#DIV/0!</v>
      </c>
      <c r="GNI132" s="531" t="e">
        <f t="shared" si="84"/>
        <v>#DIV/0!</v>
      </c>
      <c r="GNJ132" s="531" t="e">
        <f t="shared" si="84"/>
        <v>#DIV/0!</v>
      </c>
      <c r="GNK132" s="531" t="e">
        <f t="shared" si="84"/>
        <v>#DIV/0!</v>
      </c>
      <c r="GNL132" s="531" t="e">
        <f t="shared" si="84"/>
        <v>#DIV/0!</v>
      </c>
      <c r="GNM132" s="531" t="e">
        <f t="shared" si="84"/>
        <v>#DIV/0!</v>
      </c>
      <c r="GNN132" s="531" t="e">
        <f t="shared" si="84"/>
        <v>#DIV/0!</v>
      </c>
      <c r="GNO132" s="531" t="e">
        <f t="shared" si="84"/>
        <v>#DIV/0!</v>
      </c>
      <c r="GNP132" s="531" t="e">
        <f t="shared" si="84"/>
        <v>#DIV/0!</v>
      </c>
      <c r="GNQ132" s="531" t="e">
        <f t="shared" si="84"/>
        <v>#DIV/0!</v>
      </c>
      <c r="GNR132" s="531" t="e">
        <f t="shared" si="84"/>
        <v>#DIV/0!</v>
      </c>
      <c r="GNS132" s="531" t="e">
        <f t="shared" si="84"/>
        <v>#DIV/0!</v>
      </c>
      <c r="GNT132" s="531" t="e">
        <f t="shared" si="84"/>
        <v>#DIV/0!</v>
      </c>
      <c r="GNU132" s="531" t="e">
        <f t="shared" si="84"/>
        <v>#DIV/0!</v>
      </c>
      <c r="GNV132" s="531" t="e">
        <f t="shared" si="84"/>
        <v>#DIV/0!</v>
      </c>
      <c r="GNW132" s="531" t="e">
        <f t="shared" si="84"/>
        <v>#DIV/0!</v>
      </c>
      <c r="GNX132" s="531" t="e">
        <f t="shared" si="84"/>
        <v>#DIV/0!</v>
      </c>
      <c r="GNY132" s="531" t="e">
        <f t="shared" si="84"/>
        <v>#DIV/0!</v>
      </c>
      <c r="GNZ132" s="531" t="e">
        <f t="shared" si="84"/>
        <v>#DIV/0!</v>
      </c>
      <c r="GOA132" s="531" t="e">
        <f t="shared" si="84"/>
        <v>#DIV/0!</v>
      </c>
      <c r="GOB132" s="531" t="e">
        <f t="shared" si="84"/>
        <v>#DIV/0!</v>
      </c>
      <c r="GOC132" s="531" t="e">
        <f t="shared" si="84"/>
        <v>#DIV/0!</v>
      </c>
      <c r="GOD132" s="531" t="e">
        <f t="shared" si="84"/>
        <v>#DIV/0!</v>
      </c>
      <c r="GOE132" s="531" t="e">
        <f t="shared" ref="GOE132:GQP132" si="85">(GOE128-GOE116)/(GOE52*10^5)</f>
        <v>#DIV/0!</v>
      </c>
      <c r="GOF132" s="531" t="e">
        <f t="shared" si="85"/>
        <v>#DIV/0!</v>
      </c>
      <c r="GOG132" s="531" t="e">
        <f t="shared" si="85"/>
        <v>#DIV/0!</v>
      </c>
      <c r="GOH132" s="531" t="e">
        <f t="shared" si="85"/>
        <v>#DIV/0!</v>
      </c>
      <c r="GOI132" s="531" t="e">
        <f t="shared" si="85"/>
        <v>#DIV/0!</v>
      </c>
      <c r="GOJ132" s="531" t="e">
        <f t="shared" si="85"/>
        <v>#DIV/0!</v>
      </c>
      <c r="GOK132" s="531" t="e">
        <f t="shared" si="85"/>
        <v>#DIV/0!</v>
      </c>
      <c r="GOL132" s="531" t="e">
        <f t="shared" si="85"/>
        <v>#DIV/0!</v>
      </c>
      <c r="GOM132" s="531" t="e">
        <f t="shared" si="85"/>
        <v>#DIV/0!</v>
      </c>
      <c r="GON132" s="531" t="e">
        <f t="shared" si="85"/>
        <v>#DIV/0!</v>
      </c>
      <c r="GOO132" s="531" t="e">
        <f t="shared" si="85"/>
        <v>#DIV/0!</v>
      </c>
      <c r="GOP132" s="531" t="e">
        <f t="shared" si="85"/>
        <v>#DIV/0!</v>
      </c>
      <c r="GOQ132" s="531" t="e">
        <f t="shared" si="85"/>
        <v>#DIV/0!</v>
      </c>
      <c r="GOR132" s="531" t="e">
        <f t="shared" si="85"/>
        <v>#DIV/0!</v>
      </c>
      <c r="GOS132" s="531" t="e">
        <f t="shared" si="85"/>
        <v>#DIV/0!</v>
      </c>
      <c r="GOT132" s="531" t="e">
        <f t="shared" si="85"/>
        <v>#DIV/0!</v>
      </c>
      <c r="GOU132" s="531" t="e">
        <f t="shared" si="85"/>
        <v>#DIV/0!</v>
      </c>
      <c r="GOV132" s="531" t="e">
        <f t="shared" si="85"/>
        <v>#DIV/0!</v>
      </c>
      <c r="GOW132" s="531" t="e">
        <f t="shared" si="85"/>
        <v>#DIV/0!</v>
      </c>
      <c r="GOX132" s="531" t="e">
        <f t="shared" si="85"/>
        <v>#DIV/0!</v>
      </c>
      <c r="GOY132" s="531" t="e">
        <f t="shared" si="85"/>
        <v>#DIV/0!</v>
      </c>
      <c r="GOZ132" s="531" t="e">
        <f t="shared" si="85"/>
        <v>#DIV/0!</v>
      </c>
      <c r="GPA132" s="531" t="e">
        <f t="shared" si="85"/>
        <v>#DIV/0!</v>
      </c>
      <c r="GPB132" s="531" t="e">
        <f t="shared" si="85"/>
        <v>#DIV/0!</v>
      </c>
      <c r="GPC132" s="531" t="e">
        <f t="shared" si="85"/>
        <v>#DIV/0!</v>
      </c>
      <c r="GPD132" s="531" t="e">
        <f t="shared" si="85"/>
        <v>#DIV/0!</v>
      </c>
      <c r="GPE132" s="531" t="e">
        <f t="shared" si="85"/>
        <v>#DIV/0!</v>
      </c>
      <c r="GPF132" s="531" t="e">
        <f t="shared" si="85"/>
        <v>#DIV/0!</v>
      </c>
      <c r="GPG132" s="531" t="e">
        <f t="shared" si="85"/>
        <v>#DIV/0!</v>
      </c>
      <c r="GPH132" s="531" t="e">
        <f t="shared" si="85"/>
        <v>#DIV/0!</v>
      </c>
      <c r="GPI132" s="531" t="e">
        <f t="shared" si="85"/>
        <v>#DIV/0!</v>
      </c>
      <c r="GPJ132" s="531" t="e">
        <f t="shared" si="85"/>
        <v>#DIV/0!</v>
      </c>
      <c r="GPK132" s="531" t="e">
        <f t="shared" si="85"/>
        <v>#DIV/0!</v>
      </c>
      <c r="GPL132" s="531" t="e">
        <f t="shared" si="85"/>
        <v>#DIV/0!</v>
      </c>
      <c r="GPM132" s="531" t="e">
        <f t="shared" si="85"/>
        <v>#DIV/0!</v>
      </c>
      <c r="GPN132" s="531" t="e">
        <f t="shared" si="85"/>
        <v>#DIV/0!</v>
      </c>
      <c r="GPO132" s="531" t="e">
        <f t="shared" si="85"/>
        <v>#DIV/0!</v>
      </c>
      <c r="GPP132" s="531" t="e">
        <f t="shared" si="85"/>
        <v>#DIV/0!</v>
      </c>
      <c r="GPQ132" s="531" t="e">
        <f t="shared" si="85"/>
        <v>#DIV/0!</v>
      </c>
      <c r="GPR132" s="531" t="e">
        <f t="shared" si="85"/>
        <v>#DIV/0!</v>
      </c>
      <c r="GPS132" s="531" t="e">
        <f t="shared" si="85"/>
        <v>#DIV/0!</v>
      </c>
      <c r="GPT132" s="531" t="e">
        <f t="shared" si="85"/>
        <v>#DIV/0!</v>
      </c>
      <c r="GPU132" s="531" t="e">
        <f t="shared" si="85"/>
        <v>#DIV/0!</v>
      </c>
      <c r="GPV132" s="531" t="e">
        <f t="shared" si="85"/>
        <v>#DIV/0!</v>
      </c>
      <c r="GPW132" s="531" t="e">
        <f t="shared" si="85"/>
        <v>#DIV/0!</v>
      </c>
      <c r="GPX132" s="531" t="e">
        <f t="shared" si="85"/>
        <v>#DIV/0!</v>
      </c>
      <c r="GPY132" s="531" t="e">
        <f t="shared" si="85"/>
        <v>#DIV/0!</v>
      </c>
      <c r="GPZ132" s="531" t="e">
        <f t="shared" si="85"/>
        <v>#DIV/0!</v>
      </c>
      <c r="GQA132" s="531" t="e">
        <f t="shared" si="85"/>
        <v>#DIV/0!</v>
      </c>
      <c r="GQB132" s="531" t="e">
        <f t="shared" si="85"/>
        <v>#DIV/0!</v>
      </c>
      <c r="GQC132" s="531" t="e">
        <f t="shared" si="85"/>
        <v>#DIV/0!</v>
      </c>
      <c r="GQD132" s="531" t="e">
        <f t="shared" si="85"/>
        <v>#DIV/0!</v>
      </c>
      <c r="GQE132" s="531" t="e">
        <f t="shared" si="85"/>
        <v>#DIV/0!</v>
      </c>
      <c r="GQF132" s="531" t="e">
        <f t="shared" si="85"/>
        <v>#DIV/0!</v>
      </c>
      <c r="GQG132" s="531" t="e">
        <f t="shared" si="85"/>
        <v>#DIV/0!</v>
      </c>
      <c r="GQH132" s="531" t="e">
        <f t="shared" si="85"/>
        <v>#DIV/0!</v>
      </c>
      <c r="GQI132" s="531" t="e">
        <f t="shared" si="85"/>
        <v>#DIV/0!</v>
      </c>
      <c r="GQJ132" s="531" t="e">
        <f t="shared" si="85"/>
        <v>#DIV/0!</v>
      </c>
      <c r="GQK132" s="531" t="e">
        <f t="shared" si="85"/>
        <v>#DIV/0!</v>
      </c>
      <c r="GQL132" s="531" t="e">
        <f t="shared" si="85"/>
        <v>#DIV/0!</v>
      </c>
      <c r="GQM132" s="531" t="e">
        <f t="shared" si="85"/>
        <v>#DIV/0!</v>
      </c>
      <c r="GQN132" s="531" t="e">
        <f t="shared" si="85"/>
        <v>#DIV/0!</v>
      </c>
      <c r="GQO132" s="531" t="e">
        <f t="shared" si="85"/>
        <v>#DIV/0!</v>
      </c>
      <c r="GQP132" s="531" t="e">
        <f t="shared" si="85"/>
        <v>#DIV/0!</v>
      </c>
      <c r="GQQ132" s="531" t="e">
        <f t="shared" ref="GQQ132:GTB132" si="86">(GQQ128-GQQ116)/(GQQ52*10^5)</f>
        <v>#DIV/0!</v>
      </c>
      <c r="GQR132" s="531" t="e">
        <f t="shared" si="86"/>
        <v>#DIV/0!</v>
      </c>
      <c r="GQS132" s="531" t="e">
        <f t="shared" si="86"/>
        <v>#DIV/0!</v>
      </c>
      <c r="GQT132" s="531" t="e">
        <f t="shared" si="86"/>
        <v>#DIV/0!</v>
      </c>
      <c r="GQU132" s="531" t="e">
        <f t="shared" si="86"/>
        <v>#DIV/0!</v>
      </c>
      <c r="GQV132" s="531" t="e">
        <f t="shared" si="86"/>
        <v>#DIV/0!</v>
      </c>
      <c r="GQW132" s="531" t="e">
        <f t="shared" si="86"/>
        <v>#DIV/0!</v>
      </c>
      <c r="GQX132" s="531" t="e">
        <f t="shared" si="86"/>
        <v>#DIV/0!</v>
      </c>
      <c r="GQY132" s="531" t="e">
        <f t="shared" si="86"/>
        <v>#DIV/0!</v>
      </c>
      <c r="GQZ132" s="531" t="e">
        <f t="shared" si="86"/>
        <v>#DIV/0!</v>
      </c>
      <c r="GRA132" s="531" t="e">
        <f t="shared" si="86"/>
        <v>#DIV/0!</v>
      </c>
      <c r="GRB132" s="531" t="e">
        <f t="shared" si="86"/>
        <v>#DIV/0!</v>
      </c>
      <c r="GRC132" s="531" t="e">
        <f t="shared" si="86"/>
        <v>#DIV/0!</v>
      </c>
      <c r="GRD132" s="531" t="e">
        <f t="shared" si="86"/>
        <v>#DIV/0!</v>
      </c>
      <c r="GRE132" s="531" t="e">
        <f t="shared" si="86"/>
        <v>#DIV/0!</v>
      </c>
      <c r="GRF132" s="531" t="e">
        <f t="shared" si="86"/>
        <v>#DIV/0!</v>
      </c>
      <c r="GRG132" s="531" t="e">
        <f t="shared" si="86"/>
        <v>#DIV/0!</v>
      </c>
      <c r="GRH132" s="531" t="e">
        <f t="shared" si="86"/>
        <v>#DIV/0!</v>
      </c>
      <c r="GRI132" s="531" t="e">
        <f t="shared" si="86"/>
        <v>#DIV/0!</v>
      </c>
      <c r="GRJ132" s="531" t="e">
        <f t="shared" si="86"/>
        <v>#DIV/0!</v>
      </c>
      <c r="GRK132" s="531" t="e">
        <f t="shared" si="86"/>
        <v>#DIV/0!</v>
      </c>
      <c r="GRL132" s="531" t="e">
        <f t="shared" si="86"/>
        <v>#DIV/0!</v>
      </c>
      <c r="GRM132" s="531" t="e">
        <f t="shared" si="86"/>
        <v>#DIV/0!</v>
      </c>
      <c r="GRN132" s="531" t="e">
        <f t="shared" si="86"/>
        <v>#DIV/0!</v>
      </c>
      <c r="GRO132" s="531" t="e">
        <f t="shared" si="86"/>
        <v>#DIV/0!</v>
      </c>
      <c r="GRP132" s="531" t="e">
        <f t="shared" si="86"/>
        <v>#DIV/0!</v>
      </c>
      <c r="GRQ132" s="531" t="e">
        <f t="shared" si="86"/>
        <v>#DIV/0!</v>
      </c>
      <c r="GRR132" s="531" t="e">
        <f t="shared" si="86"/>
        <v>#DIV/0!</v>
      </c>
      <c r="GRS132" s="531" t="e">
        <f t="shared" si="86"/>
        <v>#DIV/0!</v>
      </c>
      <c r="GRT132" s="531" t="e">
        <f t="shared" si="86"/>
        <v>#DIV/0!</v>
      </c>
      <c r="GRU132" s="531" t="e">
        <f t="shared" si="86"/>
        <v>#DIV/0!</v>
      </c>
      <c r="GRV132" s="531" t="e">
        <f t="shared" si="86"/>
        <v>#DIV/0!</v>
      </c>
      <c r="GRW132" s="531" t="e">
        <f t="shared" si="86"/>
        <v>#DIV/0!</v>
      </c>
      <c r="GRX132" s="531" t="e">
        <f t="shared" si="86"/>
        <v>#DIV/0!</v>
      </c>
      <c r="GRY132" s="531" t="e">
        <f t="shared" si="86"/>
        <v>#DIV/0!</v>
      </c>
      <c r="GRZ132" s="531" t="e">
        <f t="shared" si="86"/>
        <v>#DIV/0!</v>
      </c>
      <c r="GSA132" s="531" t="e">
        <f t="shared" si="86"/>
        <v>#DIV/0!</v>
      </c>
      <c r="GSB132" s="531" t="e">
        <f t="shared" si="86"/>
        <v>#DIV/0!</v>
      </c>
      <c r="GSC132" s="531" t="e">
        <f t="shared" si="86"/>
        <v>#DIV/0!</v>
      </c>
      <c r="GSD132" s="531" t="e">
        <f t="shared" si="86"/>
        <v>#DIV/0!</v>
      </c>
      <c r="GSE132" s="531" t="e">
        <f t="shared" si="86"/>
        <v>#DIV/0!</v>
      </c>
      <c r="GSF132" s="531" t="e">
        <f t="shared" si="86"/>
        <v>#DIV/0!</v>
      </c>
      <c r="GSG132" s="531" t="e">
        <f t="shared" si="86"/>
        <v>#DIV/0!</v>
      </c>
      <c r="GSH132" s="531" t="e">
        <f t="shared" si="86"/>
        <v>#DIV/0!</v>
      </c>
      <c r="GSI132" s="531" t="e">
        <f t="shared" si="86"/>
        <v>#DIV/0!</v>
      </c>
      <c r="GSJ132" s="531" t="e">
        <f t="shared" si="86"/>
        <v>#DIV/0!</v>
      </c>
      <c r="GSK132" s="531" t="e">
        <f t="shared" si="86"/>
        <v>#DIV/0!</v>
      </c>
      <c r="GSL132" s="531" t="e">
        <f t="shared" si="86"/>
        <v>#DIV/0!</v>
      </c>
      <c r="GSM132" s="531" t="e">
        <f t="shared" si="86"/>
        <v>#DIV/0!</v>
      </c>
      <c r="GSN132" s="531" t="e">
        <f t="shared" si="86"/>
        <v>#DIV/0!</v>
      </c>
      <c r="GSO132" s="531" t="e">
        <f t="shared" si="86"/>
        <v>#DIV/0!</v>
      </c>
      <c r="GSP132" s="531" t="e">
        <f t="shared" si="86"/>
        <v>#DIV/0!</v>
      </c>
      <c r="GSQ132" s="531" t="e">
        <f t="shared" si="86"/>
        <v>#DIV/0!</v>
      </c>
      <c r="GSR132" s="531" t="e">
        <f t="shared" si="86"/>
        <v>#DIV/0!</v>
      </c>
      <c r="GSS132" s="531" t="e">
        <f t="shared" si="86"/>
        <v>#DIV/0!</v>
      </c>
      <c r="GST132" s="531" t="e">
        <f t="shared" si="86"/>
        <v>#DIV/0!</v>
      </c>
      <c r="GSU132" s="531" t="e">
        <f t="shared" si="86"/>
        <v>#DIV/0!</v>
      </c>
      <c r="GSV132" s="531" t="e">
        <f t="shared" si="86"/>
        <v>#DIV/0!</v>
      </c>
      <c r="GSW132" s="531" t="e">
        <f t="shared" si="86"/>
        <v>#DIV/0!</v>
      </c>
      <c r="GSX132" s="531" t="e">
        <f t="shared" si="86"/>
        <v>#DIV/0!</v>
      </c>
      <c r="GSY132" s="531" t="e">
        <f t="shared" si="86"/>
        <v>#DIV/0!</v>
      </c>
      <c r="GSZ132" s="531" t="e">
        <f t="shared" si="86"/>
        <v>#DIV/0!</v>
      </c>
      <c r="GTA132" s="531" t="e">
        <f t="shared" si="86"/>
        <v>#DIV/0!</v>
      </c>
      <c r="GTB132" s="531" t="e">
        <f t="shared" si="86"/>
        <v>#DIV/0!</v>
      </c>
      <c r="GTC132" s="531" t="e">
        <f t="shared" ref="GTC132:GVN132" si="87">(GTC128-GTC116)/(GTC52*10^5)</f>
        <v>#DIV/0!</v>
      </c>
      <c r="GTD132" s="531" t="e">
        <f t="shared" si="87"/>
        <v>#DIV/0!</v>
      </c>
      <c r="GTE132" s="531" t="e">
        <f t="shared" si="87"/>
        <v>#DIV/0!</v>
      </c>
      <c r="GTF132" s="531" t="e">
        <f t="shared" si="87"/>
        <v>#DIV/0!</v>
      </c>
      <c r="GTG132" s="531" t="e">
        <f t="shared" si="87"/>
        <v>#DIV/0!</v>
      </c>
      <c r="GTH132" s="531" t="e">
        <f t="shared" si="87"/>
        <v>#DIV/0!</v>
      </c>
      <c r="GTI132" s="531" t="e">
        <f t="shared" si="87"/>
        <v>#DIV/0!</v>
      </c>
      <c r="GTJ132" s="531" t="e">
        <f t="shared" si="87"/>
        <v>#DIV/0!</v>
      </c>
      <c r="GTK132" s="531" t="e">
        <f t="shared" si="87"/>
        <v>#DIV/0!</v>
      </c>
      <c r="GTL132" s="531" t="e">
        <f t="shared" si="87"/>
        <v>#DIV/0!</v>
      </c>
      <c r="GTM132" s="531" t="e">
        <f t="shared" si="87"/>
        <v>#DIV/0!</v>
      </c>
      <c r="GTN132" s="531" t="e">
        <f t="shared" si="87"/>
        <v>#DIV/0!</v>
      </c>
      <c r="GTO132" s="531" t="e">
        <f t="shared" si="87"/>
        <v>#DIV/0!</v>
      </c>
      <c r="GTP132" s="531" t="e">
        <f t="shared" si="87"/>
        <v>#DIV/0!</v>
      </c>
      <c r="GTQ132" s="531" t="e">
        <f t="shared" si="87"/>
        <v>#DIV/0!</v>
      </c>
      <c r="GTR132" s="531" t="e">
        <f t="shared" si="87"/>
        <v>#DIV/0!</v>
      </c>
      <c r="GTS132" s="531" t="e">
        <f t="shared" si="87"/>
        <v>#DIV/0!</v>
      </c>
      <c r="GTT132" s="531" t="e">
        <f t="shared" si="87"/>
        <v>#DIV/0!</v>
      </c>
      <c r="GTU132" s="531" t="e">
        <f t="shared" si="87"/>
        <v>#DIV/0!</v>
      </c>
      <c r="GTV132" s="531" t="e">
        <f t="shared" si="87"/>
        <v>#DIV/0!</v>
      </c>
      <c r="GTW132" s="531" t="e">
        <f t="shared" si="87"/>
        <v>#DIV/0!</v>
      </c>
      <c r="GTX132" s="531" t="e">
        <f t="shared" si="87"/>
        <v>#DIV/0!</v>
      </c>
      <c r="GTY132" s="531" t="e">
        <f t="shared" si="87"/>
        <v>#DIV/0!</v>
      </c>
      <c r="GTZ132" s="531" t="e">
        <f t="shared" si="87"/>
        <v>#DIV/0!</v>
      </c>
      <c r="GUA132" s="531" t="e">
        <f t="shared" si="87"/>
        <v>#DIV/0!</v>
      </c>
      <c r="GUB132" s="531" t="e">
        <f t="shared" si="87"/>
        <v>#DIV/0!</v>
      </c>
      <c r="GUC132" s="531" t="e">
        <f t="shared" si="87"/>
        <v>#DIV/0!</v>
      </c>
      <c r="GUD132" s="531" t="e">
        <f t="shared" si="87"/>
        <v>#DIV/0!</v>
      </c>
      <c r="GUE132" s="531" t="e">
        <f t="shared" si="87"/>
        <v>#DIV/0!</v>
      </c>
      <c r="GUF132" s="531" t="e">
        <f t="shared" si="87"/>
        <v>#DIV/0!</v>
      </c>
      <c r="GUG132" s="531" t="e">
        <f t="shared" si="87"/>
        <v>#DIV/0!</v>
      </c>
      <c r="GUH132" s="531" t="e">
        <f t="shared" si="87"/>
        <v>#DIV/0!</v>
      </c>
      <c r="GUI132" s="531" t="e">
        <f t="shared" si="87"/>
        <v>#DIV/0!</v>
      </c>
      <c r="GUJ132" s="531" t="e">
        <f t="shared" si="87"/>
        <v>#DIV/0!</v>
      </c>
      <c r="GUK132" s="531" t="e">
        <f t="shared" si="87"/>
        <v>#DIV/0!</v>
      </c>
      <c r="GUL132" s="531" t="e">
        <f t="shared" si="87"/>
        <v>#DIV/0!</v>
      </c>
      <c r="GUM132" s="531" t="e">
        <f t="shared" si="87"/>
        <v>#DIV/0!</v>
      </c>
      <c r="GUN132" s="531" t="e">
        <f t="shared" si="87"/>
        <v>#DIV/0!</v>
      </c>
      <c r="GUO132" s="531" t="e">
        <f t="shared" si="87"/>
        <v>#DIV/0!</v>
      </c>
      <c r="GUP132" s="531" t="e">
        <f t="shared" si="87"/>
        <v>#DIV/0!</v>
      </c>
      <c r="GUQ132" s="531" t="e">
        <f t="shared" si="87"/>
        <v>#DIV/0!</v>
      </c>
      <c r="GUR132" s="531" t="e">
        <f t="shared" si="87"/>
        <v>#DIV/0!</v>
      </c>
      <c r="GUS132" s="531" t="e">
        <f t="shared" si="87"/>
        <v>#DIV/0!</v>
      </c>
      <c r="GUT132" s="531" t="e">
        <f t="shared" si="87"/>
        <v>#DIV/0!</v>
      </c>
      <c r="GUU132" s="531" t="e">
        <f t="shared" si="87"/>
        <v>#DIV/0!</v>
      </c>
      <c r="GUV132" s="531" t="e">
        <f t="shared" si="87"/>
        <v>#DIV/0!</v>
      </c>
      <c r="GUW132" s="531" t="e">
        <f t="shared" si="87"/>
        <v>#DIV/0!</v>
      </c>
      <c r="GUX132" s="531" t="e">
        <f t="shared" si="87"/>
        <v>#DIV/0!</v>
      </c>
      <c r="GUY132" s="531" t="e">
        <f t="shared" si="87"/>
        <v>#DIV/0!</v>
      </c>
      <c r="GUZ132" s="531" t="e">
        <f t="shared" si="87"/>
        <v>#DIV/0!</v>
      </c>
      <c r="GVA132" s="531" t="e">
        <f t="shared" si="87"/>
        <v>#DIV/0!</v>
      </c>
      <c r="GVB132" s="531" t="e">
        <f t="shared" si="87"/>
        <v>#DIV/0!</v>
      </c>
      <c r="GVC132" s="531" t="e">
        <f t="shared" si="87"/>
        <v>#DIV/0!</v>
      </c>
      <c r="GVD132" s="531" t="e">
        <f t="shared" si="87"/>
        <v>#DIV/0!</v>
      </c>
      <c r="GVE132" s="531" t="e">
        <f t="shared" si="87"/>
        <v>#DIV/0!</v>
      </c>
      <c r="GVF132" s="531" t="e">
        <f t="shared" si="87"/>
        <v>#DIV/0!</v>
      </c>
      <c r="GVG132" s="531" t="e">
        <f t="shared" si="87"/>
        <v>#DIV/0!</v>
      </c>
      <c r="GVH132" s="531" t="e">
        <f t="shared" si="87"/>
        <v>#DIV/0!</v>
      </c>
      <c r="GVI132" s="531" t="e">
        <f t="shared" si="87"/>
        <v>#DIV/0!</v>
      </c>
      <c r="GVJ132" s="531" t="e">
        <f t="shared" si="87"/>
        <v>#DIV/0!</v>
      </c>
      <c r="GVK132" s="531" t="e">
        <f t="shared" si="87"/>
        <v>#DIV/0!</v>
      </c>
      <c r="GVL132" s="531" t="e">
        <f t="shared" si="87"/>
        <v>#DIV/0!</v>
      </c>
      <c r="GVM132" s="531" t="e">
        <f t="shared" si="87"/>
        <v>#DIV/0!</v>
      </c>
      <c r="GVN132" s="531" t="e">
        <f t="shared" si="87"/>
        <v>#DIV/0!</v>
      </c>
      <c r="GVO132" s="531" t="e">
        <f t="shared" ref="GVO132:GXZ132" si="88">(GVO128-GVO116)/(GVO52*10^5)</f>
        <v>#DIV/0!</v>
      </c>
      <c r="GVP132" s="531" t="e">
        <f t="shared" si="88"/>
        <v>#DIV/0!</v>
      </c>
      <c r="GVQ132" s="531" t="e">
        <f t="shared" si="88"/>
        <v>#DIV/0!</v>
      </c>
      <c r="GVR132" s="531" t="e">
        <f t="shared" si="88"/>
        <v>#DIV/0!</v>
      </c>
      <c r="GVS132" s="531" t="e">
        <f t="shared" si="88"/>
        <v>#DIV/0!</v>
      </c>
      <c r="GVT132" s="531" t="e">
        <f t="shared" si="88"/>
        <v>#DIV/0!</v>
      </c>
      <c r="GVU132" s="531" t="e">
        <f t="shared" si="88"/>
        <v>#DIV/0!</v>
      </c>
      <c r="GVV132" s="531" t="e">
        <f t="shared" si="88"/>
        <v>#DIV/0!</v>
      </c>
      <c r="GVW132" s="531" t="e">
        <f t="shared" si="88"/>
        <v>#DIV/0!</v>
      </c>
      <c r="GVX132" s="531" t="e">
        <f t="shared" si="88"/>
        <v>#DIV/0!</v>
      </c>
      <c r="GVY132" s="531" t="e">
        <f t="shared" si="88"/>
        <v>#DIV/0!</v>
      </c>
      <c r="GVZ132" s="531" t="e">
        <f t="shared" si="88"/>
        <v>#DIV/0!</v>
      </c>
      <c r="GWA132" s="531" t="e">
        <f t="shared" si="88"/>
        <v>#DIV/0!</v>
      </c>
      <c r="GWB132" s="531" t="e">
        <f t="shared" si="88"/>
        <v>#DIV/0!</v>
      </c>
      <c r="GWC132" s="531" t="e">
        <f t="shared" si="88"/>
        <v>#DIV/0!</v>
      </c>
      <c r="GWD132" s="531" t="e">
        <f t="shared" si="88"/>
        <v>#DIV/0!</v>
      </c>
      <c r="GWE132" s="531" t="e">
        <f t="shared" si="88"/>
        <v>#DIV/0!</v>
      </c>
      <c r="GWF132" s="531" t="e">
        <f t="shared" si="88"/>
        <v>#DIV/0!</v>
      </c>
      <c r="GWG132" s="531" t="e">
        <f t="shared" si="88"/>
        <v>#DIV/0!</v>
      </c>
      <c r="GWH132" s="531" t="e">
        <f t="shared" si="88"/>
        <v>#DIV/0!</v>
      </c>
      <c r="GWI132" s="531" t="e">
        <f t="shared" si="88"/>
        <v>#DIV/0!</v>
      </c>
      <c r="GWJ132" s="531" t="e">
        <f t="shared" si="88"/>
        <v>#DIV/0!</v>
      </c>
      <c r="GWK132" s="531" t="e">
        <f t="shared" si="88"/>
        <v>#DIV/0!</v>
      </c>
      <c r="GWL132" s="531" t="e">
        <f t="shared" si="88"/>
        <v>#DIV/0!</v>
      </c>
      <c r="GWM132" s="531" t="e">
        <f t="shared" si="88"/>
        <v>#DIV/0!</v>
      </c>
      <c r="GWN132" s="531" t="e">
        <f t="shared" si="88"/>
        <v>#DIV/0!</v>
      </c>
      <c r="GWO132" s="531" t="e">
        <f t="shared" si="88"/>
        <v>#DIV/0!</v>
      </c>
      <c r="GWP132" s="531" t="e">
        <f t="shared" si="88"/>
        <v>#DIV/0!</v>
      </c>
      <c r="GWQ132" s="531" t="e">
        <f t="shared" si="88"/>
        <v>#DIV/0!</v>
      </c>
      <c r="GWR132" s="531" t="e">
        <f t="shared" si="88"/>
        <v>#DIV/0!</v>
      </c>
      <c r="GWS132" s="531" t="e">
        <f t="shared" si="88"/>
        <v>#DIV/0!</v>
      </c>
      <c r="GWT132" s="531" t="e">
        <f t="shared" si="88"/>
        <v>#DIV/0!</v>
      </c>
      <c r="GWU132" s="531" t="e">
        <f t="shared" si="88"/>
        <v>#DIV/0!</v>
      </c>
      <c r="GWV132" s="531" t="e">
        <f t="shared" si="88"/>
        <v>#DIV/0!</v>
      </c>
      <c r="GWW132" s="531" t="e">
        <f t="shared" si="88"/>
        <v>#DIV/0!</v>
      </c>
      <c r="GWX132" s="531" t="e">
        <f t="shared" si="88"/>
        <v>#DIV/0!</v>
      </c>
      <c r="GWY132" s="531" t="e">
        <f t="shared" si="88"/>
        <v>#DIV/0!</v>
      </c>
      <c r="GWZ132" s="531" t="e">
        <f t="shared" si="88"/>
        <v>#DIV/0!</v>
      </c>
      <c r="GXA132" s="531" t="e">
        <f t="shared" si="88"/>
        <v>#DIV/0!</v>
      </c>
      <c r="GXB132" s="531" t="e">
        <f t="shared" si="88"/>
        <v>#DIV/0!</v>
      </c>
      <c r="GXC132" s="531" t="e">
        <f t="shared" si="88"/>
        <v>#DIV/0!</v>
      </c>
      <c r="GXD132" s="531" t="e">
        <f t="shared" si="88"/>
        <v>#DIV/0!</v>
      </c>
      <c r="GXE132" s="531" t="e">
        <f t="shared" si="88"/>
        <v>#DIV/0!</v>
      </c>
      <c r="GXF132" s="531" t="e">
        <f t="shared" si="88"/>
        <v>#DIV/0!</v>
      </c>
      <c r="GXG132" s="531" t="e">
        <f t="shared" si="88"/>
        <v>#DIV/0!</v>
      </c>
      <c r="GXH132" s="531" t="e">
        <f t="shared" si="88"/>
        <v>#DIV/0!</v>
      </c>
      <c r="GXI132" s="531" t="e">
        <f t="shared" si="88"/>
        <v>#DIV/0!</v>
      </c>
      <c r="GXJ132" s="531" t="e">
        <f t="shared" si="88"/>
        <v>#DIV/0!</v>
      </c>
      <c r="GXK132" s="531" t="e">
        <f t="shared" si="88"/>
        <v>#DIV/0!</v>
      </c>
      <c r="GXL132" s="531" t="e">
        <f t="shared" si="88"/>
        <v>#DIV/0!</v>
      </c>
      <c r="GXM132" s="531" t="e">
        <f t="shared" si="88"/>
        <v>#DIV/0!</v>
      </c>
      <c r="GXN132" s="531" t="e">
        <f t="shared" si="88"/>
        <v>#DIV/0!</v>
      </c>
      <c r="GXO132" s="531" t="e">
        <f t="shared" si="88"/>
        <v>#DIV/0!</v>
      </c>
      <c r="GXP132" s="531" t="e">
        <f t="shared" si="88"/>
        <v>#DIV/0!</v>
      </c>
      <c r="GXQ132" s="531" t="e">
        <f t="shared" si="88"/>
        <v>#DIV/0!</v>
      </c>
      <c r="GXR132" s="531" t="e">
        <f t="shared" si="88"/>
        <v>#DIV/0!</v>
      </c>
      <c r="GXS132" s="531" t="e">
        <f t="shared" si="88"/>
        <v>#DIV/0!</v>
      </c>
      <c r="GXT132" s="531" t="e">
        <f t="shared" si="88"/>
        <v>#DIV/0!</v>
      </c>
      <c r="GXU132" s="531" t="e">
        <f t="shared" si="88"/>
        <v>#DIV/0!</v>
      </c>
      <c r="GXV132" s="531" t="e">
        <f t="shared" si="88"/>
        <v>#DIV/0!</v>
      </c>
      <c r="GXW132" s="531" t="e">
        <f t="shared" si="88"/>
        <v>#DIV/0!</v>
      </c>
      <c r="GXX132" s="531" t="e">
        <f t="shared" si="88"/>
        <v>#DIV/0!</v>
      </c>
      <c r="GXY132" s="531" t="e">
        <f t="shared" si="88"/>
        <v>#DIV/0!</v>
      </c>
      <c r="GXZ132" s="531" t="e">
        <f t="shared" si="88"/>
        <v>#DIV/0!</v>
      </c>
      <c r="GYA132" s="531" t="e">
        <f t="shared" ref="GYA132:HAL132" si="89">(GYA128-GYA116)/(GYA52*10^5)</f>
        <v>#DIV/0!</v>
      </c>
      <c r="GYB132" s="531" t="e">
        <f t="shared" si="89"/>
        <v>#DIV/0!</v>
      </c>
      <c r="GYC132" s="531" t="e">
        <f t="shared" si="89"/>
        <v>#DIV/0!</v>
      </c>
      <c r="GYD132" s="531" t="e">
        <f t="shared" si="89"/>
        <v>#DIV/0!</v>
      </c>
      <c r="GYE132" s="531" t="e">
        <f t="shared" si="89"/>
        <v>#DIV/0!</v>
      </c>
      <c r="GYF132" s="531" t="e">
        <f t="shared" si="89"/>
        <v>#DIV/0!</v>
      </c>
      <c r="GYG132" s="531" t="e">
        <f t="shared" si="89"/>
        <v>#DIV/0!</v>
      </c>
      <c r="GYH132" s="531" t="e">
        <f t="shared" si="89"/>
        <v>#DIV/0!</v>
      </c>
      <c r="GYI132" s="531" t="e">
        <f t="shared" si="89"/>
        <v>#DIV/0!</v>
      </c>
      <c r="GYJ132" s="531" t="e">
        <f t="shared" si="89"/>
        <v>#DIV/0!</v>
      </c>
      <c r="GYK132" s="531" t="e">
        <f t="shared" si="89"/>
        <v>#DIV/0!</v>
      </c>
      <c r="GYL132" s="531" t="e">
        <f t="shared" si="89"/>
        <v>#DIV/0!</v>
      </c>
      <c r="GYM132" s="531" t="e">
        <f t="shared" si="89"/>
        <v>#DIV/0!</v>
      </c>
      <c r="GYN132" s="531" t="e">
        <f t="shared" si="89"/>
        <v>#DIV/0!</v>
      </c>
      <c r="GYO132" s="531" t="e">
        <f t="shared" si="89"/>
        <v>#DIV/0!</v>
      </c>
      <c r="GYP132" s="531" t="e">
        <f t="shared" si="89"/>
        <v>#DIV/0!</v>
      </c>
      <c r="GYQ132" s="531" t="e">
        <f t="shared" si="89"/>
        <v>#DIV/0!</v>
      </c>
      <c r="GYR132" s="531" t="e">
        <f t="shared" si="89"/>
        <v>#DIV/0!</v>
      </c>
      <c r="GYS132" s="531" t="e">
        <f t="shared" si="89"/>
        <v>#DIV/0!</v>
      </c>
      <c r="GYT132" s="531" t="e">
        <f t="shared" si="89"/>
        <v>#DIV/0!</v>
      </c>
      <c r="GYU132" s="531" t="e">
        <f t="shared" si="89"/>
        <v>#DIV/0!</v>
      </c>
      <c r="GYV132" s="531" t="e">
        <f t="shared" si="89"/>
        <v>#DIV/0!</v>
      </c>
      <c r="GYW132" s="531" t="e">
        <f t="shared" si="89"/>
        <v>#DIV/0!</v>
      </c>
      <c r="GYX132" s="531" t="e">
        <f t="shared" si="89"/>
        <v>#DIV/0!</v>
      </c>
      <c r="GYY132" s="531" t="e">
        <f t="shared" si="89"/>
        <v>#DIV/0!</v>
      </c>
      <c r="GYZ132" s="531" t="e">
        <f t="shared" si="89"/>
        <v>#DIV/0!</v>
      </c>
      <c r="GZA132" s="531" t="e">
        <f t="shared" si="89"/>
        <v>#DIV/0!</v>
      </c>
      <c r="GZB132" s="531" t="e">
        <f t="shared" si="89"/>
        <v>#DIV/0!</v>
      </c>
      <c r="GZC132" s="531" t="e">
        <f t="shared" si="89"/>
        <v>#DIV/0!</v>
      </c>
      <c r="GZD132" s="531" t="e">
        <f t="shared" si="89"/>
        <v>#DIV/0!</v>
      </c>
      <c r="GZE132" s="531" t="e">
        <f t="shared" si="89"/>
        <v>#DIV/0!</v>
      </c>
      <c r="GZF132" s="531" t="e">
        <f t="shared" si="89"/>
        <v>#DIV/0!</v>
      </c>
      <c r="GZG132" s="531" t="e">
        <f t="shared" si="89"/>
        <v>#DIV/0!</v>
      </c>
      <c r="GZH132" s="531" t="e">
        <f t="shared" si="89"/>
        <v>#DIV/0!</v>
      </c>
      <c r="GZI132" s="531" t="e">
        <f t="shared" si="89"/>
        <v>#DIV/0!</v>
      </c>
      <c r="GZJ132" s="531" t="e">
        <f t="shared" si="89"/>
        <v>#DIV/0!</v>
      </c>
      <c r="GZK132" s="531" t="e">
        <f t="shared" si="89"/>
        <v>#DIV/0!</v>
      </c>
      <c r="GZL132" s="531" t="e">
        <f t="shared" si="89"/>
        <v>#DIV/0!</v>
      </c>
      <c r="GZM132" s="531" t="e">
        <f t="shared" si="89"/>
        <v>#DIV/0!</v>
      </c>
      <c r="GZN132" s="531" t="e">
        <f t="shared" si="89"/>
        <v>#DIV/0!</v>
      </c>
      <c r="GZO132" s="531" t="e">
        <f t="shared" si="89"/>
        <v>#DIV/0!</v>
      </c>
      <c r="GZP132" s="531" t="e">
        <f t="shared" si="89"/>
        <v>#DIV/0!</v>
      </c>
      <c r="GZQ132" s="531" t="e">
        <f t="shared" si="89"/>
        <v>#DIV/0!</v>
      </c>
      <c r="GZR132" s="531" t="e">
        <f t="shared" si="89"/>
        <v>#DIV/0!</v>
      </c>
      <c r="GZS132" s="531" t="e">
        <f t="shared" si="89"/>
        <v>#DIV/0!</v>
      </c>
      <c r="GZT132" s="531" t="e">
        <f t="shared" si="89"/>
        <v>#DIV/0!</v>
      </c>
      <c r="GZU132" s="531" t="e">
        <f t="shared" si="89"/>
        <v>#DIV/0!</v>
      </c>
      <c r="GZV132" s="531" t="e">
        <f t="shared" si="89"/>
        <v>#DIV/0!</v>
      </c>
      <c r="GZW132" s="531" t="e">
        <f t="shared" si="89"/>
        <v>#DIV/0!</v>
      </c>
      <c r="GZX132" s="531" t="e">
        <f t="shared" si="89"/>
        <v>#DIV/0!</v>
      </c>
      <c r="GZY132" s="531" t="e">
        <f t="shared" si="89"/>
        <v>#DIV/0!</v>
      </c>
      <c r="GZZ132" s="531" t="e">
        <f t="shared" si="89"/>
        <v>#DIV/0!</v>
      </c>
      <c r="HAA132" s="531" t="e">
        <f t="shared" si="89"/>
        <v>#DIV/0!</v>
      </c>
      <c r="HAB132" s="531" t="e">
        <f t="shared" si="89"/>
        <v>#DIV/0!</v>
      </c>
      <c r="HAC132" s="531" t="e">
        <f t="shared" si="89"/>
        <v>#DIV/0!</v>
      </c>
      <c r="HAD132" s="531" t="e">
        <f t="shared" si="89"/>
        <v>#DIV/0!</v>
      </c>
      <c r="HAE132" s="531" t="e">
        <f t="shared" si="89"/>
        <v>#DIV/0!</v>
      </c>
      <c r="HAF132" s="531" t="e">
        <f t="shared" si="89"/>
        <v>#DIV/0!</v>
      </c>
      <c r="HAG132" s="531" t="e">
        <f t="shared" si="89"/>
        <v>#DIV/0!</v>
      </c>
      <c r="HAH132" s="531" t="e">
        <f t="shared" si="89"/>
        <v>#DIV/0!</v>
      </c>
      <c r="HAI132" s="531" t="e">
        <f t="shared" si="89"/>
        <v>#DIV/0!</v>
      </c>
      <c r="HAJ132" s="531" t="e">
        <f t="shared" si="89"/>
        <v>#DIV/0!</v>
      </c>
      <c r="HAK132" s="531" t="e">
        <f t="shared" si="89"/>
        <v>#DIV/0!</v>
      </c>
      <c r="HAL132" s="531" t="e">
        <f t="shared" si="89"/>
        <v>#DIV/0!</v>
      </c>
      <c r="HAM132" s="531" t="e">
        <f t="shared" ref="HAM132:HCX132" si="90">(HAM128-HAM116)/(HAM52*10^5)</f>
        <v>#DIV/0!</v>
      </c>
      <c r="HAN132" s="531" t="e">
        <f t="shared" si="90"/>
        <v>#DIV/0!</v>
      </c>
      <c r="HAO132" s="531" t="e">
        <f t="shared" si="90"/>
        <v>#DIV/0!</v>
      </c>
      <c r="HAP132" s="531" t="e">
        <f t="shared" si="90"/>
        <v>#DIV/0!</v>
      </c>
      <c r="HAQ132" s="531" t="e">
        <f t="shared" si="90"/>
        <v>#DIV/0!</v>
      </c>
      <c r="HAR132" s="531" t="e">
        <f t="shared" si="90"/>
        <v>#DIV/0!</v>
      </c>
      <c r="HAS132" s="531" t="e">
        <f t="shared" si="90"/>
        <v>#DIV/0!</v>
      </c>
      <c r="HAT132" s="531" t="e">
        <f t="shared" si="90"/>
        <v>#DIV/0!</v>
      </c>
      <c r="HAU132" s="531" t="e">
        <f t="shared" si="90"/>
        <v>#DIV/0!</v>
      </c>
      <c r="HAV132" s="531" t="e">
        <f t="shared" si="90"/>
        <v>#DIV/0!</v>
      </c>
      <c r="HAW132" s="531" t="e">
        <f t="shared" si="90"/>
        <v>#DIV/0!</v>
      </c>
      <c r="HAX132" s="531" t="e">
        <f t="shared" si="90"/>
        <v>#DIV/0!</v>
      </c>
      <c r="HAY132" s="531" t="e">
        <f t="shared" si="90"/>
        <v>#DIV/0!</v>
      </c>
      <c r="HAZ132" s="531" t="e">
        <f t="shared" si="90"/>
        <v>#DIV/0!</v>
      </c>
      <c r="HBA132" s="531" t="e">
        <f t="shared" si="90"/>
        <v>#DIV/0!</v>
      </c>
      <c r="HBB132" s="531" t="e">
        <f t="shared" si="90"/>
        <v>#DIV/0!</v>
      </c>
      <c r="HBC132" s="531" t="e">
        <f t="shared" si="90"/>
        <v>#DIV/0!</v>
      </c>
      <c r="HBD132" s="531" t="e">
        <f t="shared" si="90"/>
        <v>#DIV/0!</v>
      </c>
      <c r="HBE132" s="531" t="e">
        <f t="shared" si="90"/>
        <v>#DIV/0!</v>
      </c>
      <c r="HBF132" s="531" t="e">
        <f t="shared" si="90"/>
        <v>#DIV/0!</v>
      </c>
      <c r="HBG132" s="531" t="e">
        <f t="shared" si="90"/>
        <v>#DIV/0!</v>
      </c>
      <c r="HBH132" s="531" t="e">
        <f t="shared" si="90"/>
        <v>#DIV/0!</v>
      </c>
      <c r="HBI132" s="531" t="e">
        <f t="shared" si="90"/>
        <v>#DIV/0!</v>
      </c>
      <c r="HBJ132" s="531" t="e">
        <f t="shared" si="90"/>
        <v>#DIV/0!</v>
      </c>
      <c r="HBK132" s="531" t="e">
        <f t="shared" si="90"/>
        <v>#DIV/0!</v>
      </c>
      <c r="HBL132" s="531" t="e">
        <f t="shared" si="90"/>
        <v>#DIV/0!</v>
      </c>
      <c r="HBM132" s="531" t="e">
        <f t="shared" si="90"/>
        <v>#DIV/0!</v>
      </c>
      <c r="HBN132" s="531" t="e">
        <f t="shared" si="90"/>
        <v>#DIV/0!</v>
      </c>
      <c r="HBO132" s="531" t="e">
        <f t="shared" si="90"/>
        <v>#DIV/0!</v>
      </c>
      <c r="HBP132" s="531" t="e">
        <f t="shared" si="90"/>
        <v>#DIV/0!</v>
      </c>
      <c r="HBQ132" s="531" t="e">
        <f t="shared" si="90"/>
        <v>#DIV/0!</v>
      </c>
      <c r="HBR132" s="531" t="e">
        <f t="shared" si="90"/>
        <v>#DIV/0!</v>
      </c>
      <c r="HBS132" s="531" t="e">
        <f t="shared" si="90"/>
        <v>#DIV/0!</v>
      </c>
      <c r="HBT132" s="531" t="e">
        <f t="shared" si="90"/>
        <v>#DIV/0!</v>
      </c>
      <c r="HBU132" s="531" t="e">
        <f t="shared" si="90"/>
        <v>#DIV/0!</v>
      </c>
      <c r="HBV132" s="531" t="e">
        <f t="shared" si="90"/>
        <v>#DIV/0!</v>
      </c>
      <c r="HBW132" s="531" t="e">
        <f t="shared" si="90"/>
        <v>#DIV/0!</v>
      </c>
      <c r="HBX132" s="531" t="e">
        <f t="shared" si="90"/>
        <v>#DIV/0!</v>
      </c>
      <c r="HBY132" s="531" t="e">
        <f t="shared" si="90"/>
        <v>#DIV/0!</v>
      </c>
      <c r="HBZ132" s="531" t="e">
        <f t="shared" si="90"/>
        <v>#DIV/0!</v>
      </c>
      <c r="HCA132" s="531" t="e">
        <f t="shared" si="90"/>
        <v>#DIV/0!</v>
      </c>
      <c r="HCB132" s="531" t="e">
        <f t="shared" si="90"/>
        <v>#DIV/0!</v>
      </c>
      <c r="HCC132" s="531" t="e">
        <f t="shared" si="90"/>
        <v>#DIV/0!</v>
      </c>
      <c r="HCD132" s="531" t="e">
        <f t="shared" si="90"/>
        <v>#DIV/0!</v>
      </c>
      <c r="HCE132" s="531" t="e">
        <f t="shared" si="90"/>
        <v>#DIV/0!</v>
      </c>
      <c r="HCF132" s="531" t="e">
        <f t="shared" si="90"/>
        <v>#DIV/0!</v>
      </c>
      <c r="HCG132" s="531" t="e">
        <f t="shared" si="90"/>
        <v>#DIV/0!</v>
      </c>
      <c r="HCH132" s="531" t="e">
        <f t="shared" si="90"/>
        <v>#DIV/0!</v>
      </c>
      <c r="HCI132" s="531" t="e">
        <f t="shared" si="90"/>
        <v>#DIV/0!</v>
      </c>
      <c r="HCJ132" s="531" t="e">
        <f t="shared" si="90"/>
        <v>#DIV/0!</v>
      </c>
      <c r="HCK132" s="531" t="e">
        <f t="shared" si="90"/>
        <v>#DIV/0!</v>
      </c>
      <c r="HCL132" s="531" t="e">
        <f t="shared" si="90"/>
        <v>#DIV/0!</v>
      </c>
      <c r="HCM132" s="531" t="e">
        <f t="shared" si="90"/>
        <v>#DIV/0!</v>
      </c>
      <c r="HCN132" s="531" t="e">
        <f t="shared" si="90"/>
        <v>#DIV/0!</v>
      </c>
      <c r="HCO132" s="531" t="e">
        <f t="shared" si="90"/>
        <v>#DIV/0!</v>
      </c>
      <c r="HCP132" s="531" t="e">
        <f t="shared" si="90"/>
        <v>#DIV/0!</v>
      </c>
      <c r="HCQ132" s="531" t="e">
        <f t="shared" si="90"/>
        <v>#DIV/0!</v>
      </c>
      <c r="HCR132" s="531" t="e">
        <f t="shared" si="90"/>
        <v>#DIV/0!</v>
      </c>
      <c r="HCS132" s="531" t="e">
        <f t="shared" si="90"/>
        <v>#DIV/0!</v>
      </c>
      <c r="HCT132" s="531" t="e">
        <f t="shared" si="90"/>
        <v>#DIV/0!</v>
      </c>
      <c r="HCU132" s="531" t="e">
        <f t="shared" si="90"/>
        <v>#DIV/0!</v>
      </c>
      <c r="HCV132" s="531" t="e">
        <f t="shared" si="90"/>
        <v>#DIV/0!</v>
      </c>
      <c r="HCW132" s="531" t="e">
        <f t="shared" si="90"/>
        <v>#DIV/0!</v>
      </c>
      <c r="HCX132" s="531" t="e">
        <f t="shared" si="90"/>
        <v>#DIV/0!</v>
      </c>
      <c r="HCY132" s="531" t="e">
        <f t="shared" ref="HCY132:HFJ132" si="91">(HCY128-HCY116)/(HCY52*10^5)</f>
        <v>#DIV/0!</v>
      </c>
      <c r="HCZ132" s="531" t="e">
        <f t="shared" si="91"/>
        <v>#DIV/0!</v>
      </c>
      <c r="HDA132" s="531" t="e">
        <f t="shared" si="91"/>
        <v>#DIV/0!</v>
      </c>
      <c r="HDB132" s="531" t="e">
        <f t="shared" si="91"/>
        <v>#DIV/0!</v>
      </c>
      <c r="HDC132" s="531" t="e">
        <f t="shared" si="91"/>
        <v>#DIV/0!</v>
      </c>
      <c r="HDD132" s="531" t="e">
        <f t="shared" si="91"/>
        <v>#DIV/0!</v>
      </c>
      <c r="HDE132" s="531" t="e">
        <f t="shared" si="91"/>
        <v>#DIV/0!</v>
      </c>
      <c r="HDF132" s="531" t="e">
        <f t="shared" si="91"/>
        <v>#DIV/0!</v>
      </c>
      <c r="HDG132" s="531" t="e">
        <f t="shared" si="91"/>
        <v>#DIV/0!</v>
      </c>
      <c r="HDH132" s="531" t="e">
        <f t="shared" si="91"/>
        <v>#DIV/0!</v>
      </c>
      <c r="HDI132" s="531" t="e">
        <f t="shared" si="91"/>
        <v>#DIV/0!</v>
      </c>
      <c r="HDJ132" s="531" t="e">
        <f t="shared" si="91"/>
        <v>#DIV/0!</v>
      </c>
      <c r="HDK132" s="531" t="e">
        <f t="shared" si="91"/>
        <v>#DIV/0!</v>
      </c>
      <c r="HDL132" s="531" t="e">
        <f t="shared" si="91"/>
        <v>#DIV/0!</v>
      </c>
      <c r="HDM132" s="531" t="e">
        <f t="shared" si="91"/>
        <v>#DIV/0!</v>
      </c>
      <c r="HDN132" s="531" t="e">
        <f t="shared" si="91"/>
        <v>#DIV/0!</v>
      </c>
      <c r="HDO132" s="531" t="e">
        <f t="shared" si="91"/>
        <v>#DIV/0!</v>
      </c>
      <c r="HDP132" s="531" t="e">
        <f t="shared" si="91"/>
        <v>#DIV/0!</v>
      </c>
      <c r="HDQ132" s="531" t="e">
        <f t="shared" si="91"/>
        <v>#DIV/0!</v>
      </c>
      <c r="HDR132" s="531" t="e">
        <f t="shared" si="91"/>
        <v>#DIV/0!</v>
      </c>
      <c r="HDS132" s="531" t="e">
        <f t="shared" si="91"/>
        <v>#DIV/0!</v>
      </c>
      <c r="HDT132" s="531" t="e">
        <f t="shared" si="91"/>
        <v>#DIV/0!</v>
      </c>
      <c r="HDU132" s="531" t="e">
        <f t="shared" si="91"/>
        <v>#DIV/0!</v>
      </c>
      <c r="HDV132" s="531" t="e">
        <f t="shared" si="91"/>
        <v>#DIV/0!</v>
      </c>
      <c r="HDW132" s="531" t="e">
        <f t="shared" si="91"/>
        <v>#DIV/0!</v>
      </c>
      <c r="HDX132" s="531" t="e">
        <f t="shared" si="91"/>
        <v>#DIV/0!</v>
      </c>
      <c r="HDY132" s="531" t="e">
        <f t="shared" si="91"/>
        <v>#DIV/0!</v>
      </c>
      <c r="HDZ132" s="531" t="e">
        <f t="shared" si="91"/>
        <v>#DIV/0!</v>
      </c>
      <c r="HEA132" s="531" t="e">
        <f t="shared" si="91"/>
        <v>#DIV/0!</v>
      </c>
      <c r="HEB132" s="531" t="e">
        <f t="shared" si="91"/>
        <v>#DIV/0!</v>
      </c>
      <c r="HEC132" s="531" t="e">
        <f t="shared" si="91"/>
        <v>#DIV/0!</v>
      </c>
      <c r="HED132" s="531" t="e">
        <f t="shared" si="91"/>
        <v>#DIV/0!</v>
      </c>
      <c r="HEE132" s="531" t="e">
        <f t="shared" si="91"/>
        <v>#DIV/0!</v>
      </c>
      <c r="HEF132" s="531" t="e">
        <f t="shared" si="91"/>
        <v>#DIV/0!</v>
      </c>
      <c r="HEG132" s="531" t="e">
        <f t="shared" si="91"/>
        <v>#DIV/0!</v>
      </c>
      <c r="HEH132" s="531" t="e">
        <f t="shared" si="91"/>
        <v>#DIV/0!</v>
      </c>
      <c r="HEI132" s="531" t="e">
        <f t="shared" si="91"/>
        <v>#DIV/0!</v>
      </c>
      <c r="HEJ132" s="531" t="e">
        <f t="shared" si="91"/>
        <v>#DIV/0!</v>
      </c>
      <c r="HEK132" s="531" t="e">
        <f t="shared" si="91"/>
        <v>#DIV/0!</v>
      </c>
      <c r="HEL132" s="531" t="e">
        <f t="shared" si="91"/>
        <v>#DIV/0!</v>
      </c>
      <c r="HEM132" s="531" t="e">
        <f t="shared" si="91"/>
        <v>#DIV/0!</v>
      </c>
      <c r="HEN132" s="531" t="e">
        <f t="shared" si="91"/>
        <v>#DIV/0!</v>
      </c>
      <c r="HEO132" s="531" t="e">
        <f t="shared" si="91"/>
        <v>#DIV/0!</v>
      </c>
      <c r="HEP132" s="531" t="e">
        <f t="shared" si="91"/>
        <v>#DIV/0!</v>
      </c>
      <c r="HEQ132" s="531" t="e">
        <f t="shared" si="91"/>
        <v>#DIV/0!</v>
      </c>
      <c r="HER132" s="531" t="e">
        <f t="shared" si="91"/>
        <v>#DIV/0!</v>
      </c>
      <c r="HES132" s="531" t="e">
        <f t="shared" si="91"/>
        <v>#DIV/0!</v>
      </c>
      <c r="HET132" s="531" t="e">
        <f t="shared" si="91"/>
        <v>#DIV/0!</v>
      </c>
      <c r="HEU132" s="531" t="e">
        <f t="shared" si="91"/>
        <v>#DIV/0!</v>
      </c>
      <c r="HEV132" s="531" t="e">
        <f t="shared" si="91"/>
        <v>#DIV/0!</v>
      </c>
      <c r="HEW132" s="531" t="e">
        <f t="shared" si="91"/>
        <v>#DIV/0!</v>
      </c>
      <c r="HEX132" s="531" t="e">
        <f t="shared" si="91"/>
        <v>#DIV/0!</v>
      </c>
      <c r="HEY132" s="531" t="e">
        <f t="shared" si="91"/>
        <v>#DIV/0!</v>
      </c>
      <c r="HEZ132" s="531" t="e">
        <f t="shared" si="91"/>
        <v>#DIV/0!</v>
      </c>
      <c r="HFA132" s="531" t="e">
        <f t="shared" si="91"/>
        <v>#DIV/0!</v>
      </c>
      <c r="HFB132" s="531" t="e">
        <f t="shared" si="91"/>
        <v>#DIV/0!</v>
      </c>
      <c r="HFC132" s="531" t="e">
        <f t="shared" si="91"/>
        <v>#DIV/0!</v>
      </c>
      <c r="HFD132" s="531" t="e">
        <f t="shared" si="91"/>
        <v>#DIV/0!</v>
      </c>
      <c r="HFE132" s="531" t="e">
        <f t="shared" si="91"/>
        <v>#DIV/0!</v>
      </c>
      <c r="HFF132" s="531" t="e">
        <f t="shared" si="91"/>
        <v>#DIV/0!</v>
      </c>
      <c r="HFG132" s="531" t="e">
        <f t="shared" si="91"/>
        <v>#DIV/0!</v>
      </c>
      <c r="HFH132" s="531" t="e">
        <f t="shared" si="91"/>
        <v>#DIV/0!</v>
      </c>
      <c r="HFI132" s="531" t="e">
        <f t="shared" si="91"/>
        <v>#DIV/0!</v>
      </c>
      <c r="HFJ132" s="531" t="e">
        <f t="shared" si="91"/>
        <v>#DIV/0!</v>
      </c>
      <c r="HFK132" s="531" t="e">
        <f t="shared" ref="HFK132:HHV132" si="92">(HFK128-HFK116)/(HFK52*10^5)</f>
        <v>#DIV/0!</v>
      </c>
      <c r="HFL132" s="531" t="e">
        <f t="shared" si="92"/>
        <v>#DIV/0!</v>
      </c>
      <c r="HFM132" s="531" t="e">
        <f t="shared" si="92"/>
        <v>#DIV/0!</v>
      </c>
      <c r="HFN132" s="531" t="e">
        <f t="shared" si="92"/>
        <v>#DIV/0!</v>
      </c>
      <c r="HFO132" s="531" t="e">
        <f t="shared" si="92"/>
        <v>#DIV/0!</v>
      </c>
      <c r="HFP132" s="531" t="e">
        <f t="shared" si="92"/>
        <v>#DIV/0!</v>
      </c>
      <c r="HFQ132" s="531" t="e">
        <f t="shared" si="92"/>
        <v>#DIV/0!</v>
      </c>
      <c r="HFR132" s="531" t="e">
        <f t="shared" si="92"/>
        <v>#DIV/0!</v>
      </c>
      <c r="HFS132" s="531" t="e">
        <f t="shared" si="92"/>
        <v>#DIV/0!</v>
      </c>
      <c r="HFT132" s="531" t="e">
        <f t="shared" si="92"/>
        <v>#DIV/0!</v>
      </c>
      <c r="HFU132" s="531" t="e">
        <f t="shared" si="92"/>
        <v>#DIV/0!</v>
      </c>
      <c r="HFV132" s="531" t="e">
        <f t="shared" si="92"/>
        <v>#DIV/0!</v>
      </c>
      <c r="HFW132" s="531" t="e">
        <f t="shared" si="92"/>
        <v>#DIV/0!</v>
      </c>
      <c r="HFX132" s="531" t="e">
        <f t="shared" si="92"/>
        <v>#DIV/0!</v>
      </c>
      <c r="HFY132" s="531" t="e">
        <f t="shared" si="92"/>
        <v>#DIV/0!</v>
      </c>
      <c r="HFZ132" s="531" t="e">
        <f t="shared" si="92"/>
        <v>#DIV/0!</v>
      </c>
      <c r="HGA132" s="531" t="e">
        <f t="shared" si="92"/>
        <v>#DIV/0!</v>
      </c>
      <c r="HGB132" s="531" t="e">
        <f t="shared" si="92"/>
        <v>#DIV/0!</v>
      </c>
      <c r="HGC132" s="531" t="e">
        <f t="shared" si="92"/>
        <v>#DIV/0!</v>
      </c>
      <c r="HGD132" s="531" t="e">
        <f t="shared" si="92"/>
        <v>#DIV/0!</v>
      </c>
      <c r="HGE132" s="531" t="e">
        <f t="shared" si="92"/>
        <v>#DIV/0!</v>
      </c>
      <c r="HGF132" s="531" t="e">
        <f t="shared" si="92"/>
        <v>#DIV/0!</v>
      </c>
      <c r="HGG132" s="531" t="e">
        <f t="shared" si="92"/>
        <v>#DIV/0!</v>
      </c>
      <c r="HGH132" s="531" t="e">
        <f t="shared" si="92"/>
        <v>#DIV/0!</v>
      </c>
      <c r="HGI132" s="531" t="e">
        <f t="shared" si="92"/>
        <v>#DIV/0!</v>
      </c>
      <c r="HGJ132" s="531" t="e">
        <f t="shared" si="92"/>
        <v>#DIV/0!</v>
      </c>
      <c r="HGK132" s="531" t="e">
        <f t="shared" si="92"/>
        <v>#DIV/0!</v>
      </c>
      <c r="HGL132" s="531" t="e">
        <f t="shared" si="92"/>
        <v>#DIV/0!</v>
      </c>
      <c r="HGM132" s="531" t="e">
        <f t="shared" si="92"/>
        <v>#DIV/0!</v>
      </c>
      <c r="HGN132" s="531" t="e">
        <f t="shared" si="92"/>
        <v>#DIV/0!</v>
      </c>
      <c r="HGO132" s="531" t="e">
        <f t="shared" si="92"/>
        <v>#DIV/0!</v>
      </c>
      <c r="HGP132" s="531" t="e">
        <f t="shared" si="92"/>
        <v>#DIV/0!</v>
      </c>
      <c r="HGQ132" s="531" t="e">
        <f t="shared" si="92"/>
        <v>#DIV/0!</v>
      </c>
      <c r="HGR132" s="531" t="e">
        <f t="shared" si="92"/>
        <v>#DIV/0!</v>
      </c>
      <c r="HGS132" s="531" t="e">
        <f t="shared" si="92"/>
        <v>#DIV/0!</v>
      </c>
      <c r="HGT132" s="531" t="e">
        <f t="shared" si="92"/>
        <v>#DIV/0!</v>
      </c>
      <c r="HGU132" s="531" t="e">
        <f t="shared" si="92"/>
        <v>#DIV/0!</v>
      </c>
      <c r="HGV132" s="531" t="e">
        <f t="shared" si="92"/>
        <v>#DIV/0!</v>
      </c>
      <c r="HGW132" s="531" t="e">
        <f t="shared" si="92"/>
        <v>#DIV/0!</v>
      </c>
      <c r="HGX132" s="531" t="e">
        <f t="shared" si="92"/>
        <v>#DIV/0!</v>
      </c>
      <c r="HGY132" s="531" t="e">
        <f t="shared" si="92"/>
        <v>#DIV/0!</v>
      </c>
      <c r="HGZ132" s="531" t="e">
        <f t="shared" si="92"/>
        <v>#DIV/0!</v>
      </c>
      <c r="HHA132" s="531" t="e">
        <f t="shared" si="92"/>
        <v>#DIV/0!</v>
      </c>
      <c r="HHB132" s="531" t="e">
        <f t="shared" si="92"/>
        <v>#DIV/0!</v>
      </c>
      <c r="HHC132" s="531" t="e">
        <f t="shared" si="92"/>
        <v>#DIV/0!</v>
      </c>
      <c r="HHD132" s="531" t="e">
        <f t="shared" si="92"/>
        <v>#DIV/0!</v>
      </c>
      <c r="HHE132" s="531" t="e">
        <f t="shared" si="92"/>
        <v>#DIV/0!</v>
      </c>
      <c r="HHF132" s="531" t="e">
        <f t="shared" si="92"/>
        <v>#DIV/0!</v>
      </c>
      <c r="HHG132" s="531" t="e">
        <f t="shared" si="92"/>
        <v>#DIV/0!</v>
      </c>
      <c r="HHH132" s="531" t="e">
        <f t="shared" si="92"/>
        <v>#DIV/0!</v>
      </c>
      <c r="HHI132" s="531" t="e">
        <f t="shared" si="92"/>
        <v>#DIV/0!</v>
      </c>
      <c r="HHJ132" s="531" t="e">
        <f t="shared" si="92"/>
        <v>#DIV/0!</v>
      </c>
      <c r="HHK132" s="531" t="e">
        <f t="shared" si="92"/>
        <v>#DIV/0!</v>
      </c>
      <c r="HHL132" s="531" t="e">
        <f t="shared" si="92"/>
        <v>#DIV/0!</v>
      </c>
      <c r="HHM132" s="531" t="e">
        <f t="shared" si="92"/>
        <v>#DIV/0!</v>
      </c>
      <c r="HHN132" s="531" t="e">
        <f t="shared" si="92"/>
        <v>#DIV/0!</v>
      </c>
      <c r="HHO132" s="531" t="e">
        <f t="shared" si="92"/>
        <v>#DIV/0!</v>
      </c>
      <c r="HHP132" s="531" t="e">
        <f t="shared" si="92"/>
        <v>#DIV/0!</v>
      </c>
      <c r="HHQ132" s="531" t="e">
        <f t="shared" si="92"/>
        <v>#DIV/0!</v>
      </c>
      <c r="HHR132" s="531" t="e">
        <f t="shared" si="92"/>
        <v>#DIV/0!</v>
      </c>
      <c r="HHS132" s="531" t="e">
        <f t="shared" si="92"/>
        <v>#DIV/0!</v>
      </c>
      <c r="HHT132" s="531" t="e">
        <f t="shared" si="92"/>
        <v>#DIV/0!</v>
      </c>
      <c r="HHU132" s="531" t="e">
        <f t="shared" si="92"/>
        <v>#DIV/0!</v>
      </c>
      <c r="HHV132" s="531" t="e">
        <f t="shared" si="92"/>
        <v>#DIV/0!</v>
      </c>
      <c r="HHW132" s="531" t="e">
        <f t="shared" ref="HHW132:HKH132" si="93">(HHW128-HHW116)/(HHW52*10^5)</f>
        <v>#DIV/0!</v>
      </c>
      <c r="HHX132" s="531" t="e">
        <f t="shared" si="93"/>
        <v>#DIV/0!</v>
      </c>
      <c r="HHY132" s="531" t="e">
        <f t="shared" si="93"/>
        <v>#DIV/0!</v>
      </c>
      <c r="HHZ132" s="531" t="e">
        <f t="shared" si="93"/>
        <v>#DIV/0!</v>
      </c>
      <c r="HIA132" s="531" t="e">
        <f t="shared" si="93"/>
        <v>#DIV/0!</v>
      </c>
      <c r="HIB132" s="531" t="e">
        <f t="shared" si="93"/>
        <v>#DIV/0!</v>
      </c>
      <c r="HIC132" s="531" t="e">
        <f t="shared" si="93"/>
        <v>#DIV/0!</v>
      </c>
      <c r="HID132" s="531" t="e">
        <f t="shared" si="93"/>
        <v>#DIV/0!</v>
      </c>
      <c r="HIE132" s="531" t="e">
        <f t="shared" si="93"/>
        <v>#DIV/0!</v>
      </c>
      <c r="HIF132" s="531" t="e">
        <f t="shared" si="93"/>
        <v>#DIV/0!</v>
      </c>
      <c r="HIG132" s="531" t="e">
        <f t="shared" si="93"/>
        <v>#DIV/0!</v>
      </c>
      <c r="HIH132" s="531" t="e">
        <f t="shared" si="93"/>
        <v>#DIV/0!</v>
      </c>
      <c r="HII132" s="531" t="e">
        <f t="shared" si="93"/>
        <v>#DIV/0!</v>
      </c>
      <c r="HIJ132" s="531" t="e">
        <f t="shared" si="93"/>
        <v>#DIV/0!</v>
      </c>
      <c r="HIK132" s="531" t="e">
        <f t="shared" si="93"/>
        <v>#DIV/0!</v>
      </c>
      <c r="HIL132" s="531" t="e">
        <f t="shared" si="93"/>
        <v>#DIV/0!</v>
      </c>
      <c r="HIM132" s="531" t="e">
        <f t="shared" si="93"/>
        <v>#DIV/0!</v>
      </c>
      <c r="HIN132" s="531" t="e">
        <f t="shared" si="93"/>
        <v>#DIV/0!</v>
      </c>
      <c r="HIO132" s="531" t="e">
        <f t="shared" si="93"/>
        <v>#DIV/0!</v>
      </c>
      <c r="HIP132" s="531" t="e">
        <f t="shared" si="93"/>
        <v>#DIV/0!</v>
      </c>
      <c r="HIQ132" s="531" t="e">
        <f t="shared" si="93"/>
        <v>#DIV/0!</v>
      </c>
      <c r="HIR132" s="531" t="e">
        <f t="shared" si="93"/>
        <v>#DIV/0!</v>
      </c>
      <c r="HIS132" s="531" t="e">
        <f t="shared" si="93"/>
        <v>#DIV/0!</v>
      </c>
      <c r="HIT132" s="531" t="e">
        <f t="shared" si="93"/>
        <v>#DIV/0!</v>
      </c>
      <c r="HIU132" s="531" t="e">
        <f t="shared" si="93"/>
        <v>#DIV/0!</v>
      </c>
      <c r="HIV132" s="531" t="e">
        <f t="shared" si="93"/>
        <v>#DIV/0!</v>
      </c>
      <c r="HIW132" s="531" t="e">
        <f t="shared" si="93"/>
        <v>#DIV/0!</v>
      </c>
      <c r="HIX132" s="531" t="e">
        <f t="shared" si="93"/>
        <v>#DIV/0!</v>
      </c>
      <c r="HIY132" s="531" t="e">
        <f t="shared" si="93"/>
        <v>#DIV/0!</v>
      </c>
      <c r="HIZ132" s="531" t="e">
        <f t="shared" si="93"/>
        <v>#DIV/0!</v>
      </c>
      <c r="HJA132" s="531" t="e">
        <f t="shared" si="93"/>
        <v>#DIV/0!</v>
      </c>
      <c r="HJB132" s="531" t="e">
        <f t="shared" si="93"/>
        <v>#DIV/0!</v>
      </c>
      <c r="HJC132" s="531" t="e">
        <f t="shared" si="93"/>
        <v>#DIV/0!</v>
      </c>
      <c r="HJD132" s="531" t="e">
        <f t="shared" si="93"/>
        <v>#DIV/0!</v>
      </c>
      <c r="HJE132" s="531" t="e">
        <f t="shared" si="93"/>
        <v>#DIV/0!</v>
      </c>
      <c r="HJF132" s="531" t="e">
        <f t="shared" si="93"/>
        <v>#DIV/0!</v>
      </c>
      <c r="HJG132" s="531" t="e">
        <f t="shared" si="93"/>
        <v>#DIV/0!</v>
      </c>
      <c r="HJH132" s="531" t="e">
        <f t="shared" si="93"/>
        <v>#DIV/0!</v>
      </c>
      <c r="HJI132" s="531" t="e">
        <f t="shared" si="93"/>
        <v>#DIV/0!</v>
      </c>
      <c r="HJJ132" s="531" t="e">
        <f t="shared" si="93"/>
        <v>#DIV/0!</v>
      </c>
      <c r="HJK132" s="531" t="e">
        <f t="shared" si="93"/>
        <v>#DIV/0!</v>
      </c>
      <c r="HJL132" s="531" t="e">
        <f t="shared" si="93"/>
        <v>#DIV/0!</v>
      </c>
      <c r="HJM132" s="531" t="e">
        <f t="shared" si="93"/>
        <v>#DIV/0!</v>
      </c>
      <c r="HJN132" s="531" t="e">
        <f t="shared" si="93"/>
        <v>#DIV/0!</v>
      </c>
      <c r="HJO132" s="531" t="e">
        <f t="shared" si="93"/>
        <v>#DIV/0!</v>
      </c>
      <c r="HJP132" s="531" t="e">
        <f t="shared" si="93"/>
        <v>#DIV/0!</v>
      </c>
      <c r="HJQ132" s="531" t="e">
        <f t="shared" si="93"/>
        <v>#DIV/0!</v>
      </c>
      <c r="HJR132" s="531" t="e">
        <f t="shared" si="93"/>
        <v>#DIV/0!</v>
      </c>
      <c r="HJS132" s="531" t="e">
        <f t="shared" si="93"/>
        <v>#DIV/0!</v>
      </c>
      <c r="HJT132" s="531" t="e">
        <f t="shared" si="93"/>
        <v>#DIV/0!</v>
      </c>
      <c r="HJU132" s="531" t="e">
        <f t="shared" si="93"/>
        <v>#DIV/0!</v>
      </c>
      <c r="HJV132" s="531" t="e">
        <f t="shared" si="93"/>
        <v>#DIV/0!</v>
      </c>
      <c r="HJW132" s="531" t="e">
        <f t="shared" si="93"/>
        <v>#DIV/0!</v>
      </c>
      <c r="HJX132" s="531" t="e">
        <f t="shared" si="93"/>
        <v>#DIV/0!</v>
      </c>
      <c r="HJY132" s="531" t="e">
        <f t="shared" si="93"/>
        <v>#DIV/0!</v>
      </c>
      <c r="HJZ132" s="531" t="e">
        <f t="shared" si="93"/>
        <v>#DIV/0!</v>
      </c>
      <c r="HKA132" s="531" t="e">
        <f t="shared" si="93"/>
        <v>#DIV/0!</v>
      </c>
      <c r="HKB132" s="531" t="e">
        <f t="shared" si="93"/>
        <v>#DIV/0!</v>
      </c>
      <c r="HKC132" s="531" t="e">
        <f t="shared" si="93"/>
        <v>#DIV/0!</v>
      </c>
      <c r="HKD132" s="531" t="e">
        <f t="shared" si="93"/>
        <v>#DIV/0!</v>
      </c>
      <c r="HKE132" s="531" t="e">
        <f t="shared" si="93"/>
        <v>#DIV/0!</v>
      </c>
      <c r="HKF132" s="531" t="e">
        <f t="shared" si="93"/>
        <v>#DIV/0!</v>
      </c>
      <c r="HKG132" s="531" t="e">
        <f t="shared" si="93"/>
        <v>#DIV/0!</v>
      </c>
      <c r="HKH132" s="531" t="e">
        <f t="shared" si="93"/>
        <v>#DIV/0!</v>
      </c>
      <c r="HKI132" s="531" t="e">
        <f t="shared" ref="HKI132:HMT132" si="94">(HKI128-HKI116)/(HKI52*10^5)</f>
        <v>#DIV/0!</v>
      </c>
      <c r="HKJ132" s="531" t="e">
        <f t="shared" si="94"/>
        <v>#DIV/0!</v>
      </c>
      <c r="HKK132" s="531" t="e">
        <f t="shared" si="94"/>
        <v>#DIV/0!</v>
      </c>
      <c r="HKL132" s="531" t="e">
        <f t="shared" si="94"/>
        <v>#DIV/0!</v>
      </c>
      <c r="HKM132" s="531" t="e">
        <f t="shared" si="94"/>
        <v>#DIV/0!</v>
      </c>
      <c r="HKN132" s="531" t="e">
        <f t="shared" si="94"/>
        <v>#DIV/0!</v>
      </c>
      <c r="HKO132" s="531" t="e">
        <f t="shared" si="94"/>
        <v>#DIV/0!</v>
      </c>
      <c r="HKP132" s="531" t="e">
        <f t="shared" si="94"/>
        <v>#DIV/0!</v>
      </c>
      <c r="HKQ132" s="531" t="e">
        <f t="shared" si="94"/>
        <v>#DIV/0!</v>
      </c>
      <c r="HKR132" s="531" t="e">
        <f t="shared" si="94"/>
        <v>#DIV/0!</v>
      </c>
      <c r="HKS132" s="531" t="e">
        <f t="shared" si="94"/>
        <v>#DIV/0!</v>
      </c>
      <c r="HKT132" s="531" t="e">
        <f t="shared" si="94"/>
        <v>#DIV/0!</v>
      </c>
      <c r="HKU132" s="531" t="e">
        <f t="shared" si="94"/>
        <v>#DIV/0!</v>
      </c>
      <c r="HKV132" s="531" t="e">
        <f t="shared" si="94"/>
        <v>#DIV/0!</v>
      </c>
      <c r="HKW132" s="531" t="e">
        <f t="shared" si="94"/>
        <v>#DIV/0!</v>
      </c>
      <c r="HKX132" s="531" t="e">
        <f t="shared" si="94"/>
        <v>#DIV/0!</v>
      </c>
      <c r="HKY132" s="531" t="e">
        <f t="shared" si="94"/>
        <v>#DIV/0!</v>
      </c>
      <c r="HKZ132" s="531" t="e">
        <f t="shared" si="94"/>
        <v>#DIV/0!</v>
      </c>
      <c r="HLA132" s="531" t="e">
        <f t="shared" si="94"/>
        <v>#DIV/0!</v>
      </c>
      <c r="HLB132" s="531" t="e">
        <f t="shared" si="94"/>
        <v>#DIV/0!</v>
      </c>
      <c r="HLC132" s="531" t="e">
        <f t="shared" si="94"/>
        <v>#DIV/0!</v>
      </c>
      <c r="HLD132" s="531" t="e">
        <f t="shared" si="94"/>
        <v>#DIV/0!</v>
      </c>
      <c r="HLE132" s="531" t="e">
        <f t="shared" si="94"/>
        <v>#DIV/0!</v>
      </c>
      <c r="HLF132" s="531" t="e">
        <f t="shared" si="94"/>
        <v>#DIV/0!</v>
      </c>
      <c r="HLG132" s="531" t="e">
        <f t="shared" si="94"/>
        <v>#DIV/0!</v>
      </c>
      <c r="HLH132" s="531" t="e">
        <f t="shared" si="94"/>
        <v>#DIV/0!</v>
      </c>
      <c r="HLI132" s="531" t="e">
        <f t="shared" si="94"/>
        <v>#DIV/0!</v>
      </c>
      <c r="HLJ132" s="531" t="e">
        <f t="shared" si="94"/>
        <v>#DIV/0!</v>
      </c>
      <c r="HLK132" s="531" t="e">
        <f t="shared" si="94"/>
        <v>#DIV/0!</v>
      </c>
      <c r="HLL132" s="531" t="e">
        <f t="shared" si="94"/>
        <v>#DIV/0!</v>
      </c>
      <c r="HLM132" s="531" t="e">
        <f t="shared" si="94"/>
        <v>#DIV/0!</v>
      </c>
      <c r="HLN132" s="531" t="e">
        <f t="shared" si="94"/>
        <v>#DIV/0!</v>
      </c>
      <c r="HLO132" s="531" t="e">
        <f t="shared" si="94"/>
        <v>#DIV/0!</v>
      </c>
      <c r="HLP132" s="531" t="e">
        <f t="shared" si="94"/>
        <v>#DIV/0!</v>
      </c>
      <c r="HLQ132" s="531" t="e">
        <f t="shared" si="94"/>
        <v>#DIV/0!</v>
      </c>
      <c r="HLR132" s="531" t="e">
        <f t="shared" si="94"/>
        <v>#DIV/0!</v>
      </c>
      <c r="HLS132" s="531" t="e">
        <f t="shared" si="94"/>
        <v>#DIV/0!</v>
      </c>
      <c r="HLT132" s="531" t="e">
        <f t="shared" si="94"/>
        <v>#DIV/0!</v>
      </c>
      <c r="HLU132" s="531" t="e">
        <f t="shared" si="94"/>
        <v>#DIV/0!</v>
      </c>
      <c r="HLV132" s="531" t="e">
        <f t="shared" si="94"/>
        <v>#DIV/0!</v>
      </c>
      <c r="HLW132" s="531" t="e">
        <f t="shared" si="94"/>
        <v>#DIV/0!</v>
      </c>
      <c r="HLX132" s="531" t="e">
        <f t="shared" si="94"/>
        <v>#DIV/0!</v>
      </c>
      <c r="HLY132" s="531" t="e">
        <f t="shared" si="94"/>
        <v>#DIV/0!</v>
      </c>
      <c r="HLZ132" s="531" t="e">
        <f t="shared" si="94"/>
        <v>#DIV/0!</v>
      </c>
      <c r="HMA132" s="531" t="e">
        <f t="shared" si="94"/>
        <v>#DIV/0!</v>
      </c>
      <c r="HMB132" s="531" t="e">
        <f t="shared" si="94"/>
        <v>#DIV/0!</v>
      </c>
      <c r="HMC132" s="531" t="e">
        <f t="shared" si="94"/>
        <v>#DIV/0!</v>
      </c>
      <c r="HMD132" s="531" t="e">
        <f t="shared" si="94"/>
        <v>#DIV/0!</v>
      </c>
      <c r="HME132" s="531" t="e">
        <f t="shared" si="94"/>
        <v>#DIV/0!</v>
      </c>
      <c r="HMF132" s="531" t="e">
        <f t="shared" si="94"/>
        <v>#DIV/0!</v>
      </c>
      <c r="HMG132" s="531" t="e">
        <f t="shared" si="94"/>
        <v>#DIV/0!</v>
      </c>
      <c r="HMH132" s="531" t="e">
        <f t="shared" si="94"/>
        <v>#DIV/0!</v>
      </c>
      <c r="HMI132" s="531" t="e">
        <f t="shared" si="94"/>
        <v>#DIV/0!</v>
      </c>
      <c r="HMJ132" s="531" t="e">
        <f t="shared" si="94"/>
        <v>#DIV/0!</v>
      </c>
      <c r="HMK132" s="531" t="e">
        <f t="shared" si="94"/>
        <v>#DIV/0!</v>
      </c>
      <c r="HML132" s="531" t="e">
        <f t="shared" si="94"/>
        <v>#DIV/0!</v>
      </c>
      <c r="HMM132" s="531" t="e">
        <f t="shared" si="94"/>
        <v>#DIV/0!</v>
      </c>
      <c r="HMN132" s="531" t="e">
        <f t="shared" si="94"/>
        <v>#DIV/0!</v>
      </c>
      <c r="HMO132" s="531" t="e">
        <f t="shared" si="94"/>
        <v>#DIV/0!</v>
      </c>
      <c r="HMP132" s="531" t="e">
        <f t="shared" si="94"/>
        <v>#DIV/0!</v>
      </c>
      <c r="HMQ132" s="531" t="e">
        <f t="shared" si="94"/>
        <v>#DIV/0!</v>
      </c>
      <c r="HMR132" s="531" t="e">
        <f t="shared" si="94"/>
        <v>#DIV/0!</v>
      </c>
      <c r="HMS132" s="531" t="e">
        <f t="shared" si="94"/>
        <v>#DIV/0!</v>
      </c>
      <c r="HMT132" s="531" t="e">
        <f t="shared" si="94"/>
        <v>#DIV/0!</v>
      </c>
      <c r="HMU132" s="531" t="e">
        <f t="shared" ref="HMU132:HPF132" si="95">(HMU128-HMU116)/(HMU52*10^5)</f>
        <v>#DIV/0!</v>
      </c>
      <c r="HMV132" s="531" t="e">
        <f t="shared" si="95"/>
        <v>#DIV/0!</v>
      </c>
      <c r="HMW132" s="531" t="e">
        <f t="shared" si="95"/>
        <v>#DIV/0!</v>
      </c>
      <c r="HMX132" s="531" t="e">
        <f t="shared" si="95"/>
        <v>#DIV/0!</v>
      </c>
      <c r="HMY132" s="531" t="e">
        <f t="shared" si="95"/>
        <v>#DIV/0!</v>
      </c>
      <c r="HMZ132" s="531" t="e">
        <f t="shared" si="95"/>
        <v>#DIV/0!</v>
      </c>
      <c r="HNA132" s="531" t="e">
        <f t="shared" si="95"/>
        <v>#DIV/0!</v>
      </c>
      <c r="HNB132" s="531" t="e">
        <f t="shared" si="95"/>
        <v>#DIV/0!</v>
      </c>
      <c r="HNC132" s="531" t="e">
        <f t="shared" si="95"/>
        <v>#DIV/0!</v>
      </c>
      <c r="HND132" s="531" t="e">
        <f t="shared" si="95"/>
        <v>#DIV/0!</v>
      </c>
      <c r="HNE132" s="531" t="e">
        <f t="shared" si="95"/>
        <v>#DIV/0!</v>
      </c>
      <c r="HNF132" s="531" t="e">
        <f t="shared" si="95"/>
        <v>#DIV/0!</v>
      </c>
      <c r="HNG132" s="531" t="e">
        <f t="shared" si="95"/>
        <v>#DIV/0!</v>
      </c>
      <c r="HNH132" s="531" t="e">
        <f t="shared" si="95"/>
        <v>#DIV/0!</v>
      </c>
      <c r="HNI132" s="531" t="e">
        <f t="shared" si="95"/>
        <v>#DIV/0!</v>
      </c>
      <c r="HNJ132" s="531" t="e">
        <f t="shared" si="95"/>
        <v>#DIV/0!</v>
      </c>
      <c r="HNK132" s="531" t="e">
        <f t="shared" si="95"/>
        <v>#DIV/0!</v>
      </c>
      <c r="HNL132" s="531" t="e">
        <f t="shared" si="95"/>
        <v>#DIV/0!</v>
      </c>
      <c r="HNM132" s="531" t="e">
        <f t="shared" si="95"/>
        <v>#DIV/0!</v>
      </c>
      <c r="HNN132" s="531" t="e">
        <f t="shared" si="95"/>
        <v>#DIV/0!</v>
      </c>
      <c r="HNO132" s="531" t="e">
        <f t="shared" si="95"/>
        <v>#DIV/0!</v>
      </c>
      <c r="HNP132" s="531" t="e">
        <f t="shared" si="95"/>
        <v>#DIV/0!</v>
      </c>
      <c r="HNQ132" s="531" t="e">
        <f t="shared" si="95"/>
        <v>#DIV/0!</v>
      </c>
      <c r="HNR132" s="531" t="e">
        <f t="shared" si="95"/>
        <v>#DIV/0!</v>
      </c>
      <c r="HNS132" s="531" t="e">
        <f t="shared" si="95"/>
        <v>#DIV/0!</v>
      </c>
      <c r="HNT132" s="531" t="e">
        <f t="shared" si="95"/>
        <v>#DIV/0!</v>
      </c>
      <c r="HNU132" s="531" t="e">
        <f t="shared" si="95"/>
        <v>#DIV/0!</v>
      </c>
      <c r="HNV132" s="531" t="e">
        <f t="shared" si="95"/>
        <v>#DIV/0!</v>
      </c>
      <c r="HNW132" s="531" t="e">
        <f t="shared" si="95"/>
        <v>#DIV/0!</v>
      </c>
      <c r="HNX132" s="531" t="e">
        <f t="shared" si="95"/>
        <v>#DIV/0!</v>
      </c>
      <c r="HNY132" s="531" t="e">
        <f t="shared" si="95"/>
        <v>#DIV/0!</v>
      </c>
      <c r="HNZ132" s="531" t="e">
        <f t="shared" si="95"/>
        <v>#DIV/0!</v>
      </c>
      <c r="HOA132" s="531" t="e">
        <f t="shared" si="95"/>
        <v>#DIV/0!</v>
      </c>
      <c r="HOB132" s="531" t="e">
        <f t="shared" si="95"/>
        <v>#DIV/0!</v>
      </c>
      <c r="HOC132" s="531" t="e">
        <f t="shared" si="95"/>
        <v>#DIV/0!</v>
      </c>
      <c r="HOD132" s="531" t="e">
        <f t="shared" si="95"/>
        <v>#DIV/0!</v>
      </c>
      <c r="HOE132" s="531" t="e">
        <f t="shared" si="95"/>
        <v>#DIV/0!</v>
      </c>
      <c r="HOF132" s="531" t="e">
        <f t="shared" si="95"/>
        <v>#DIV/0!</v>
      </c>
      <c r="HOG132" s="531" t="e">
        <f t="shared" si="95"/>
        <v>#DIV/0!</v>
      </c>
      <c r="HOH132" s="531" t="e">
        <f t="shared" si="95"/>
        <v>#DIV/0!</v>
      </c>
      <c r="HOI132" s="531" t="e">
        <f t="shared" si="95"/>
        <v>#DIV/0!</v>
      </c>
      <c r="HOJ132" s="531" t="e">
        <f t="shared" si="95"/>
        <v>#DIV/0!</v>
      </c>
      <c r="HOK132" s="531" t="e">
        <f t="shared" si="95"/>
        <v>#DIV/0!</v>
      </c>
      <c r="HOL132" s="531" t="e">
        <f t="shared" si="95"/>
        <v>#DIV/0!</v>
      </c>
      <c r="HOM132" s="531" t="e">
        <f t="shared" si="95"/>
        <v>#DIV/0!</v>
      </c>
      <c r="HON132" s="531" t="e">
        <f t="shared" si="95"/>
        <v>#DIV/0!</v>
      </c>
      <c r="HOO132" s="531" t="e">
        <f t="shared" si="95"/>
        <v>#DIV/0!</v>
      </c>
      <c r="HOP132" s="531" t="e">
        <f t="shared" si="95"/>
        <v>#DIV/0!</v>
      </c>
      <c r="HOQ132" s="531" t="e">
        <f t="shared" si="95"/>
        <v>#DIV/0!</v>
      </c>
      <c r="HOR132" s="531" t="e">
        <f t="shared" si="95"/>
        <v>#DIV/0!</v>
      </c>
      <c r="HOS132" s="531" t="e">
        <f t="shared" si="95"/>
        <v>#DIV/0!</v>
      </c>
      <c r="HOT132" s="531" t="e">
        <f t="shared" si="95"/>
        <v>#DIV/0!</v>
      </c>
      <c r="HOU132" s="531" t="e">
        <f t="shared" si="95"/>
        <v>#DIV/0!</v>
      </c>
      <c r="HOV132" s="531" t="e">
        <f t="shared" si="95"/>
        <v>#DIV/0!</v>
      </c>
      <c r="HOW132" s="531" t="e">
        <f t="shared" si="95"/>
        <v>#DIV/0!</v>
      </c>
      <c r="HOX132" s="531" t="e">
        <f t="shared" si="95"/>
        <v>#DIV/0!</v>
      </c>
      <c r="HOY132" s="531" t="e">
        <f t="shared" si="95"/>
        <v>#DIV/0!</v>
      </c>
      <c r="HOZ132" s="531" t="e">
        <f t="shared" si="95"/>
        <v>#DIV/0!</v>
      </c>
      <c r="HPA132" s="531" t="e">
        <f t="shared" si="95"/>
        <v>#DIV/0!</v>
      </c>
      <c r="HPB132" s="531" t="e">
        <f t="shared" si="95"/>
        <v>#DIV/0!</v>
      </c>
      <c r="HPC132" s="531" t="e">
        <f t="shared" si="95"/>
        <v>#DIV/0!</v>
      </c>
      <c r="HPD132" s="531" t="e">
        <f t="shared" si="95"/>
        <v>#DIV/0!</v>
      </c>
      <c r="HPE132" s="531" t="e">
        <f t="shared" si="95"/>
        <v>#DIV/0!</v>
      </c>
      <c r="HPF132" s="531" t="e">
        <f t="shared" si="95"/>
        <v>#DIV/0!</v>
      </c>
      <c r="HPG132" s="531" t="e">
        <f t="shared" ref="HPG132:HRR132" si="96">(HPG128-HPG116)/(HPG52*10^5)</f>
        <v>#DIV/0!</v>
      </c>
      <c r="HPH132" s="531" t="e">
        <f t="shared" si="96"/>
        <v>#DIV/0!</v>
      </c>
      <c r="HPI132" s="531" t="e">
        <f t="shared" si="96"/>
        <v>#DIV/0!</v>
      </c>
      <c r="HPJ132" s="531" t="e">
        <f t="shared" si="96"/>
        <v>#DIV/0!</v>
      </c>
      <c r="HPK132" s="531" t="e">
        <f t="shared" si="96"/>
        <v>#DIV/0!</v>
      </c>
      <c r="HPL132" s="531" t="e">
        <f t="shared" si="96"/>
        <v>#DIV/0!</v>
      </c>
      <c r="HPM132" s="531" t="e">
        <f t="shared" si="96"/>
        <v>#DIV/0!</v>
      </c>
      <c r="HPN132" s="531" t="e">
        <f t="shared" si="96"/>
        <v>#DIV/0!</v>
      </c>
      <c r="HPO132" s="531" t="e">
        <f t="shared" si="96"/>
        <v>#DIV/0!</v>
      </c>
      <c r="HPP132" s="531" t="e">
        <f t="shared" si="96"/>
        <v>#DIV/0!</v>
      </c>
      <c r="HPQ132" s="531" t="e">
        <f t="shared" si="96"/>
        <v>#DIV/0!</v>
      </c>
      <c r="HPR132" s="531" t="e">
        <f t="shared" si="96"/>
        <v>#DIV/0!</v>
      </c>
      <c r="HPS132" s="531" t="e">
        <f t="shared" si="96"/>
        <v>#DIV/0!</v>
      </c>
      <c r="HPT132" s="531" t="e">
        <f t="shared" si="96"/>
        <v>#DIV/0!</v>
      </c>
      <c r="HPU132" s="531" t="e">
        <f t="shared" si="96"/>
        <v>#DIV/0!</v>
      </c>
      <c r="HPV132" s="531" t="e">
        <f t="shared" si="96"/>
        <v>#DIV/0!</v>
      </c>
      <c r="HPW132" s="531" t="e">
        <f t="shared" si="96"/>
        <v>#DIV/0!</v>
      </c>
      <c r="HPX132" s="531" t="e">
        <f t="shared" si="96"/>
        <v>#DIV/0!</v>
      </c>
      <c r="HPY132" s="531" t="e">
        <f t="shared" si="96"/>
        <v>#DIV/0!</v>
      </c>
      <c r="HPZ132" s="531" t="e">
        <f t="shared" si="96"/>
        <v>#DIV/0!</v>
      </c>
      <c r="HQA132" s="531" t="e">
        <f t="shared" si="96"/>
        <v>#DIV/0!</v>
      </c>
      <c r="HQB132" s="531" t="e">
        <f t="shared" si="96"/>
        <v>#DIV/0!</v>
      </c>
      <c r="HQC132" s="531" t="e">
        <f t="shared" si="96"/>
        <v>#DIV/0!</v>
      </c>
      <c r="HQD132" s="531" t="e">
        <f t="shared" si="96"/>
        <v>#DIV/0!</v>
      </c>
      <c r="HQE132" s="531" t="e">
        <f t="shared" si="96"/>
        <v>#DIV/0!</v>
      </c>
      <c r="HQF132" s="531" t="e">
        <f t="shared" si="96"/>
        <v>#DIV/0!</v>
      </c>
      <c r="HQG132" s="531" t="e">
        <f t="shared" si="96"/>
        <v>#DIV/0!</v>
      </c>
      <c r="HQH132" s="531" t="e">
        <f t="shared" si="96"/>
        <v>#DIV/0!</v>
      </c>
      <c r="HQI132" s="531" t="e">
        <f t="shared" si="96"/>
        <v>#DIV/0!</v>
      </c>
      <c r="HQJ132" s="531" t="e">
        <f t="shared" si="96"/>
        <v>#DIV/0!</v>
      </c>
      <c r="HQK132" s="531" t="e">
        <f t="shared" si="96"/>
        <v>#DIV/0!</v>
      </c>
      <c r="HQL132" s="531" t="e">
        <f t="shared" si="96"/>
        <v>#DIV/0!</v>
      </c>
      <c r="HQM132" s="531" t="e">
        <f t="shared" si="96"/>
        <v>#DIV/0!</v>
      </c>
      <c r="HQN132" s="531" t="e">
        <f t="shared" si="96"/>
        <v>#DIV/0!</v>
      </c>
      <c r="HQO132" s="531" t="e">
        <f t="shared" si="96"/>
        <v>#DIV/0!</v>
      </c>
      <c r="HQP132" s="531" t="e">
        <f t="shared" si="96"/>
        <v>#DIV/0!</v>
      </c>
      <c r="HQQ132" s="531" t="e">
        <f t="shared" si="96"/>
        <v>#DIV/0!</v>
      </c>
      <c r="HQR132" s="531" t="e">
        <f t="shared" si="96"/>
        <v>#DIV/0!</v>
      </c>
      <c r="HQS132" s="531" t="e">
        <f t="shared" si="96"/>
        <v>#DIV/0!</v>
      </c>
      <c r="HQT132" s="531" t="e">
        <f t="shared" si="96"/>
        <v>#DIV/0!</v>
      </c>
      <c r="HQU132" s="531" t="e">
        <f t="shared" si="96"/>
        <v>#DIV/0!</v>
      </c>
      <c r="HQV132" s="531" t="e">
        <f t="shared" si="96"/>
        <v>#DIV/0!</v>
      </c>
      <c r="HQW132" s="531" t="e">
        <f t="shared" si="96"/>
        <v>#DIV/0!</v>
      </c>
      <c r="HQX132" s="531" t="e">
        <f t="shared" si="96"/>
        <v>#DIV/0!</v>
      </c>
      <c r="HQY132" s="531" t="e">
        <f t="shared" si="96"/>
        <v>#DIV/0!</v>
      </c>
      <c r="HQZ132" s="531" t="e">
        <f t="shared" si="96"/>
        <v>#DIV/0!</v>
      </c>
      <c r="HRA132" s="531" t="e">
        <f t="shared" si="96"/>
        <v>#DIV/0!</v>
      </c>
      <c r="HRB132" s="531" t="e">
        <f t="shared" si="96"/>
        <v>#DIV/0!</v>
      </c>
      <c r="HRC132" s="531" t="e">
        <f t="shared" si="96"/>
        <v>#DIV/0!</v>
      </c>
      <c r="HRD132" s="531" t="e">
        <f t="shared" si="96"/>
        <v>#DIV/0!</v>
      </c>
      <c r="HRE132" s="531" t="e">
        <f t="shared" si="96"/>
        <v>#DIV/0!</v>
      </c>
      <c r="HRF132" s="531" t="e">
        <f t="shared" si="96"/>
        <v>#DIV/0!</v>
      </c>
      <c r="HRG132" s="531" t="e">
        <f t="shared" si="96"/>
        <v>#DIV/0!</v>
      </c>
      <c r="HRH132" s="531" t="e">
        <f t="shared" si="96"/>
        <v>#DIV/0!</v>
      </c>
      <c r="HRI132" s="531" t="e">
        <f t="shared" si="96"/>
        <v>#DIV/0!</v>
      </c>
      <c r="HRJ132" s="531" t="e">
        <f t="shared" si="96"/>
        <v>#DIV/0!</v>
      </c>
      <c r="HRK132" s="531" t="e">
        <f t="shared" si="96"/>
        <v>#DIV/0!</v>
      </c>
      <c r="HRL132" s="531" t="e">
        <f t="shared" si="96"/>
        <v>#DIV/0!</v>
      </c>
      <c r="HRM132" s="531" t="e">
        <f t="shared" si="96"/>
        <v>#DIV/0!</v>
      </c>
      <c r="HRN132" s="531" t="e">
        <f t="shared" si="96"/>
        <v>#DIV/0!</v>
      </c>
      <c r="HRO132" s="531" t="e">
        <f t="shared" si="96"/>
        <v>#DIV/0!</v>
      </c>
      <c r="HRP132" s="531" t="e">
        <f t="shared" si="96"/>
        <v>#DIV/0!</v>
      </c>
      <c r="HRQ132" s="531" t="e">
        <f t="shared" si="96"/>
        <v>#DIV/0!</v>
      </c>
      <c r="HRR132" s="531" t="e">
        <f t="shared" si="96"/>
        <v>#DIV/0!</v>
      </c>
      <c r="HRS132" s="531" t="e">
        <f t="shared" ref="HRS132:HUD132" si="97">(HRS128-HRS116)/(HRS52*10^5)</f>
        <v>#DIV/0!</v>
      </c>
      <c r="HRT132" s="531" t="e">
        <f t="shared" si="97"/>
        <v>#DIV/0!</v>
      </c>
      <c r="HRU132" s="531" t="e">
        <f t="shared" si="97"/>
        <v>#DIV/0!</v>
      </c>
      <c r="HRV132" s="531" t="e">
        <f t="shared" si="97"/>
        <v>#DIV/0!</v>
      </c>
      <c r="HRW132" s="531" t="e">
        <f t="shared" si="97"/>
        <v>#DIV/0!</v>
      </c>
      <c r="HRX132" s="531" t="e">
        <f t="shared" si="97"/>
        <v>#DIV/0!</v>
      </c>
      <c r="HRY132" s="531" t="e">
        <f t="shared" si="97"/>
        <v>#DIV/0!</v>
      </c>
      <c r="HRZ132" s="531" t="e">
        <f t="shared" si="97"/>
        <v>#DIV/0!</v>
      </c>
      <c r="HSA132" s="531" t="e">
        <f t="shared" si="97"/>
        <v>#DIV/0!</v>
      </c>
      <c r="HSB132" s="531" t="e">
        <f t="shared" si="97"/>
        <v>#DIV/0!</v>
      </c>
      <c r="HSC132" s="531" t="e">
        <f t="shared" si="97"/>
        <v>#DIV/0!</v>
      </c>
      <c r="HSD132" s="531" t="e">
        <f t="shared" si="97"/>
        <v>#DIV/0!</v>
      </c>
      <c r="HSE132" s="531" t="e">
        <f t="shared" si="97"/>
        <v>#DIV/0!</v>
      </c>
      <c r="HSF132" s="531" t="e">
        <f t="shared" si="97"/>
        <v>#DIV/0!</v>
      </c>
      <c r="HSG132" s="531" t="e">
        <f t="shared" si="97"/>
        <v>#DIV/0!</v>
      </c>
      <c r="HSH132" s="531" t="e">
        <f t="shared" si="97"/>
        <v>#DIV/0!</v>
      </c>
      <c r="HSI132" s="531" t="e">
        <f t="shared" si="97"/>
        <v>#DIV/0!</v>
      </c>
      <c r="HSJ132" s="531" t="e">
        <f t="shared" si="97"/>
        <v>#DIV/0!</v>
      </c>
      <c r="HSK132" s="531" t="e">
        <f t="shared" si="97"/>
        <v>#DIV/0!</v>
      </c>
      <c r="HSL132" s="531" t="e">
        <f t="shared" si="97"/>
        <v>#DIV/0!</v>
      </c>
      <c r="HSM132" s="531" t="e">
        <f t="shared" si="97"/>
        <v>#DIV/0!</v>
      </c>
      <c r="HSN132" s="531" t="e">
        <f t="shared" si="97"/>
        <v>#DIV/0!</v>
      </c>
      <c r="HSO132" s="531" t="e">
        <f t="shared" si="97"/>
        <v>#DIV/0!</v>
      </c>
      <c r="HSP132" s="531" t="e">
        <f t="shared" si="97"/>
        <v>#DIV/0!</v>
      </c>
      <c r="HSQ132" s="531" t="e">
        <f t="shared" si="97"/>
        <v>#DIV/0!</v>
      </c>
      <c r="HSR132" s="531" t="e">
        <f t="shared" si="97"/>
        <v>#DIV/0!</v>
      </c>
      <c r="HSS132" s="531" t="e">
        <f t="shared" si="97"/>
        <v>#DIV/0!</v>
      </c>
      <c r="HST132" s="531" t="e">
        <f t="shared" si="97"/>
        <v>#DIV/0!</v>
      </c>
      <c r="HSU132" s="531" t="e">
        <f t="shared" si="97"/>
        <v>#DIV/0!</v>
      </c>
      <c r="HSV132" s="531" t="e">
        <f t="shared" si="97"/>
        <v>#DIV/0!</v>
      </c>
      <c r="HSW132" s="531" t="e">
        <f t="shared" si="97"/>
        <v>#DIV/0!</v>
      </c>
      <c r="HSX132" s="531" t="e">
        <f t="shared" si="97"/>
        <v>#DIV/0!</v>
      </c>
      <c r="HSY132" s="531" t="e">
        <f t="shared" si="97"/>
        <v>#DIV/0!</v>
      </c>
      <c r="HSZ132" s="531" t="e">
        <f t="shared" si="97"/>
        <v>#DIV/0!</v>
      </c>
      <c r="HTA132" s="531" t="e">
        <f t="shared" si="97"/>
        <v>#DIV/0!</v>
      </c>
      <c r="HTB132" s="531" t="e">
        <f t="shared" si="97"/>
        <v>#DIV/0!</v>
      </c>
      <c r="HTC132" s="531" t="e">
        <f t="shared" si="97"/>
        <v>#DIV/0!</v>
      </c>
      <c r="HTD132" s="531" t="e">
        <f t="shared" si="97"/>
        <v>#DIV/0!</v>
      </c>
      <c r="HTE132" s="531" t="e">
        <f t="shared" si="97"/>
        <v>#DIV/0!</v>
      </c>
      <c r="HTF132" s="531" t="e">
        <f t="shared" si="97"/>
        <v>#DIV/0!</v>
      </c>
      <c r="HTG132" s="531" t="e">
        <f t="shared" si="97"/>
        <v>#DIV/0!</v>
      </c>
      <c r="HTH132" s="531" t="e">
        <f t="shared" si="97"/>
        <v>#DIV/0!</v>
      </c>
      <c r="HTI132" s="531" t="e">
        <f t="shared" si="97"/>
        <v>#DIV/0!</v>
      </c>
      <c r="HTJ132" s="531" t="e">
        <f t="shared" si="97"/>
        <v>#DIV/0!</v>
      </c>
      <c r="HTK132" s="531" t="e">
        <f t="shared" si="97"/>
        <v>#DIV/0!</v>
      </c>
      <c r="HTL132" s="531" t="e">
        <f t="shared" si="97"/>
        <v>#DIV/0!</v>
      </c>
      <c r="HTM132" s="531" t="e">
        <f t="shared" si="97"/>
        <v>#DIV/0!</v>
      </c>
      <c r="HTN132" s="531" t="e">
        <f t="shared" si="97"/>
        <v>#DIV/0!</v>
      </c>
      <c r="HTO132" s="531" t="e">
        <f t="shared" si="97"/>
        <v>#DIV/0!</v>
      </c>
      <c r="HTP132" s="531" t="e">
        <f t="shared" si="97"/>
        <v>#DIV/0!</v>
      </c>
      <c r="HTQ132" s="531" t="e">
        <f t="shared" si="97"/>
        <v>#DIV/0!</v>
      </c>
      <c r="HTR132" s="531" t="e">
        <f t="shared" si="97"/>
        <v>#DIV/0!</v>
      </c>
      <c r="HTS132" s="531" t="e">
        <f t="shared" si="97"/>
        <v>#DIV/0!</v>
      </c>
      <c r="HTT132" s="531" t="e">
        <f t="shared" si="97"/>
        <v>#DIV/0!</v>
      </c>
      <c r="HTU132" s="531" t="e">
        <f t="shared" si="97"/>
        <v>#DIV/0!</v>
      </c>
      <c r="HTV132" s="531" t="e">
        <f t="shared" si="97"/>
        <v>#DIV/0!</v>
      </c>
      <c r="HTW132" s="531" t="e">
        <f t="shared" si="97"/>
        <v>#DIV/0!</v>
      </c>
      <c r="HTX132" s="531" t="e">
        <f t="shared" si="97"/>
        <v>#DIV/0!</v>
      </c>
      <c r="HTY132" s="531" t="e">
        <f t="shared" si="97"/>
        <v>#DIV/0!</v>
      </c>
      <c r="HTZ132" s="531" t="e">
        <f t="shared" si="97"/>
        <v>#DIV/0!</v>
      </c>
      <c r="HUA132" s="531" t="e">
        <f t="shared" si="97"/>
        <v>#DIV/0!</v>
      </c>
      <c r="HUB132" s="531" t="e">
        <f t="shared" si="97"/>
        <v>#DIV/0!</v>
      </c>
      <c r="HUC132" s="531" t="e">
        <f t="shared" si="97"/>
        <v>#DIV/0!</v>
      </c>
      <c r="HUD132" s="531" t="e">
        <f t="shared" si="97"/>
        <v>#DIV/0!</v>
      </c>
      <c r="HUE132" s="531" t="e">
        <f t="shared" ref="HUE132:HWP132" si="98">(HUE128-HUE116)/(HUE52*10^5)</f>
        <v>#DIV/0!</v>
      </c>
      <c r="HUF132" s="531" t="e">
        <f t="shared" si="98"/>
        <v>#DIV/0!</v>
      </c>
      <c r="HUG132" s="531" t="e">
        <f t="shared" si="98"/>
        <v>#DIV/0!</v>
      </c>
      <c r="HUH132" s="531" t="e">
        <f t="shared" si="98"/>
        <v>#DIV/0!</v>
      </c>
      <c r="HUI132" s="531" t="e">
        <f t="shared" si="98"/>
        <v>#DIV/0!</v>
      </c>
      <c r="HUJ132" s="531" t="e">
        <f t="shared" si="98"/>
        <v>#DIV/0!</v>
      </c>
      <c r="HUK132" s="531" t="e">
        <f t="shared" si="98"/>
        <v>#DIV/0!</v>
      </c>
      <c r="HUL132" s="531" t="e">
        <f t="shared" si="98"/>
        <v>#DIV/0!</v>
      </c>
      <c r="HUM132" s="531" t="e">
        <f t="shared" si="98"/>
        <v>#DIV/0!</v>
      </c>
      <c r="HUN132" s="531" t="e">
        <f t="shared" si="98"/>
        <v>#DIV/0!</v>
      </c>
      <c r="HUO132" s="531" t="e">
        <f t="shared" si="98"/>
        <v>#DIV/0!</v>
      </c>
      <c r="HUP132" s="531" t="e">
        <f t="shared" si="98"/>
        <v>#DIV/0!</v>
      </c>
      <c r="HUQ132" s="531" t="e">
        <f t="shared" si="98"/>
        <v>#DIV/0!</v>
      </c>
      <c r="HUR132" s="531" t="e">
        <f t="shared" si="98"/>
        <v>#DIV/0!</v>
      </c>
      <c r="HUS132" s="531" t="e">
        <f t="shared" si="98"/>
        <v>#DIV/0!</v>
      </c>
      <c r="HUT132" s="531" t="e">
        <f t="shared" si="98"/>
        <v>#DIV/0!</v>
      </c>
      <c r="HUU132" s="531" t="e">
        <f t="shared" si="98"/>
        <v>#DIV/0!</v>
      </c>
      <c r="HUV132" s="531" t="e">
        <f t="shared" si="98"/>
        <v>#DIV/0!</v>
      </c>
      <c r="HUW132" s="531" t="e">
        <f t="shared" si="98"/>
        <v>#DIV/0!</v>
      </c>
      <c r="HUX132" s="531" t="e">
        <f t="shared" si="98"/>
        <v>#DIV/0!</v>
      </c>
      <c r="HUY132" s="531" t="e">
        <f t="shared" si="98"/>
        <v>#DIV/0!</v>
      </c>
      <c r="HUZ132" s="531" t="e">
        <f t="shared" si="98"/>
        <v>#DIV/0!</v>
      </c>
      <c r="HVA132" s="531" t="e">
        <f t="shared" si="98"/>
        <v>#DIV/0!</v>
      </c>
      <c r="HVB132" s="531" t="e">
        <f t="shared" si="98"/>
        <v>#DIV/0!</v>
      </c>
      <c r="HVC132" s="531" t="e">
        <f t="shared" si="98"/>
        <v>#DIV/0!</v>
      </c>
      <c r="HVD132" s="531" t="e">
        <f t="shared" si="98"/>
        <v>#DIV/0!</v>
      </c>
      <c r="HVE132" s="531" t="e">
        <f t="shared" si="98"/>
        <v>#DIV/0!</v>
      </c>
      <c r="HVF132" s="531" t="e">
        <f t="shared" si="98"/>
        <v>#DIV/0!</v>
      </c>
      <c r="HVG132" s="531" t="e">
        <f t="shared" si="98"/>
        <v>#DIV/0!</v>
      </c>
      <c r="HVH132" s="531" t="e">
        <f t="shared" si="98"/>
        <v>#DIV/0!</v>
      </c>
      <c r="HVI132" s="531" t="e">
        <f t="shared" si="98"/>
        <v>#DIV/0!</v>
      </c>
      <c r="HVJ132" s="531" t="e">
        <f t="shared" si="98"/>
        <v>#DIV/0!</v>
      </c>
      <c r="HVK132" s="531" t="e">
        <f t="shared" si="98"/>
        <v>#DIV/0!</v>
      </c>
      <c r="HVL132" s="531" t="e">
        <f t="shared" si="98"/>
        <v>#DIV/0!</v>
      </c>
      <c r="HVM132" s="531" t="e">
        <f t="shared" si="98"/>
        <v>#DIV/0!</v>
      </c>
      <c r="HVN132" s="531" t="e">
        <f t="shared" si="98"/>
        <v>#DIV/0!</v>
      </c>
      <c r="HVO132" s="531" t="e">
        <f t="shared" si="98"/>
        <v>#DIV/0!</v>
      </c>
      <c r="HVP132" s="531" t="e">
        <f t="shared" si="98"/>
        <v>#DIV/0!</v>
      </c>
      <c r="HVQ132" s="531" t="e">
        <f t="shared" si="98"/>
        <v>#DIV/0!</v>
      </c>
      <c r="HVR132" s="531" t="e">
        <f t="shared" si="98"/>
        <v>#DIV/0!</v>
      </c>
      <c r="HVS132" s="531" t="e">
        <f t="shared" si="98"/>
        <v>#DIV/0!</v>
      </c>
      <c r="HVT132" s="531" t="e">
        <f t="shared" si="98"/>
        <v>#DIV/0!</v>
      </c>
      <c r="HVU132" s="531" t="e">
        <f t="shared" si="98"/>
        <v>#DIV/0!</v>
      </c>
      <c r="HVV132" s="531" t="e">
        <f t="shared" si="98"/>
        <v>#DIV/0!</v>
      </c>
      <c r="HVW132" s="531" t="e">
        <f t="shared" si="98"/>
        <v>#DIV/0!</v>
      </c>
      <c r="HVX132" s="531" t="e">
        <f t="shared" si="98"/>
        <v>#DIV/0!</v>
      </c>
      <c r="HVY132" s="531" t="e">
        <f t="shared" si="98"/>
        <v>#DIV/0!</v>
      </c>
      <c r="HVZ132" s="531" t="e">
        <f t="shared" si="98"/>
        <v>#DIV/0!</v>
      </c>
      <c r="HWA132" s="531" t="e">
        <f t="shared" si="98"/>
        <v>#DIV/0!</v>
      </c>
      <c r="HWB132" s="531" t="e">
        <f t="shared" si="98"/>
        <v>#DIV/0!</v>
      </c>
      <c r="HWC132" s="531" t="e">
        <f t="shared" si="98"/>
        <v>#DIV/0!</v>
      </c>
      <c r="HWD132" s="531" t="e">
        <f t="shared" si="98"/>
        <v>#DIV/0!</v>
      </c>
      <c r="HWE132" s="531" t="e">
        <f t="shared" si="98"/>
        <v>#DIV/0!</v>
      </c>
      <c r="HWF132" s="531" t="e">
        <f t="shared" si="98"/>
        <v>#DIV/0!</v>
      </c>
      <c r="HWG132" s="531" t="e">
        <f t="shared" si="98"/>
        <v>#DIV/0!</v>
      </c>
      <c r="HWH132" s="531" t="e">
        <f t="shared" si="98"/>
        <v>#DIV/0!</v>
      </c>
      <c r="HWI132" s="531" t="e">
        <f t="shared" si="98"/>
        <v>#DIV/0!</v>
      </c>
      <c r="HWJ132" s="531" t="e">
        <f t="shared" si="98"/>
        <v>#DIV/0!</v>
      </c>
      <c r="HWK132" s="531" t="e">
        <f t="shared" si="98"/>
        <v>#DIV/0!</v>
      </c>
      <c r="HWL132" s="531" t="e">
        <f t="shared" si="98"/>
        <v>#DIV/0!</v>
      </c>
      <c r="HWM132" s="531" t="e">
        <f t="shared" si="98"/>
        <v>#DIV/0!</v>
      </c>
      <c r="HWN132" s="531" t="e">
        <f t="shared" si="98"/>
        <v>#DIV/0!</v>
      </c>
      <c r="HWO132" s="531" t="e">
        <f t="shared" si="98"/>
        <v>#DIV/0!</v>
      </c>
      <c r="HWP132" s="531" t="e">
        <f t="shared" si="98"/>
        <v>#DIV/0!</v>
      </c>
      <c r="HWQ132" s="531" t="e">
        <f t="shared" ref="HWQ132:HZB132" si="99">(HWQ128-HWQ116)/(HWQ52*10^5)</f>
        <v>#DIV/0!</v>
      </c>
      <c r="HWR132" s="531" t="e">
        <f t="shared" si="99"/>
        <v>#DIV/0!</v>
      </c>
      <c r="HWS132" s="531" t="e">
        <f t="shared" si="99"/>
        <v>#DIV/0!</v>
      </c>
      <c r="HWT132" s="531" t="e">
        <f t="shared" si="99"/>
        <v>#DIV/0!</v>
      </c>
      <c r="HWU132" s="531" t="e">
        <f t="shared" si="99"/>
        <v>#DIV/0!</v>
      </c>
      <c r="HWV132" s="531" t="e">
        <f t="shared" si="99"/>
        <v>#DIV/0!</v>
      </c>
      <c r="HWW132" s="531" t="e">
        <f t="shared" si="99"/>
        <v>#DIV/0!</v>
      </c>
      <c r="HWX132" s="531" t="e">
        <f t="shared" si="99"/>
        <v>#DIV/0!</v>
      </c>
      <c r="HWY132" s="531" t="e">
        <f t="shared" si="99"/>
        <v>#DIV/0!</v>
      </c>
      <c r="HWZ132" s="531" t="e">
        <f t="shared" si="99"/>
        <v>#DIV/0!</v>
      </c>
      <c r="HXA132" s="531" t="e">
        <f t="shared" si="99"/>
        <v>#DIV/0!</v>
      </c>
      <c r="HXB132" s="531" t="e">
        <f t="shared" si="99"/>
        <v>#DIV/0!</v>
      </c>
      <c r="HXC132" s="531" t="e">
        <f t="shared" si="99"/>
        <v>#DIV/0!</v>
      </c>
      <c r="HXD132" s="531" t="e">
        <f t="shared" si="99"/>
        <v>#DIV/0!</v>
      </c>
      <c r="HXE132" s="531" t="e">
        <f t="shared" si="99"/>
        <v>#DIV/0!</v>
      </c>
      <c r="HXF132" s="531" t="e">
        <f t="shared" si="99"/>
        <v>#DIV/0!</v>
      </c>
      <c r="HXG132" s="531" t="e">
        <f t="shared" si="99"/>
        <v>#DIV/0!</v>
      </c>
      <c r="HXH132" s="531" t="e">
        <f t="shared" si="99"/>
        <v>#DIV/0!</v>
      </c>
      <c r="HXI132" s="531" t="e">
        <f t="shared" si="99"/>
        <v>#DIV/0!</v>
      </c>
      <c r="HXJ132" s="531" t="e">
        <f t="shared" si="99"/>
        <v>#DIV/0!</v>
      </c>
      <c r="HXK132" s="531" t="e">
        <f t="shared" si="99"/>
        <v>#DIV/0!</v>
      </c>
      <c r="HXL132" s="531" t="e">
        <f t="shared" si="99"/>
        <v>#DIV/0!</v>
      </c>
      <c r="HXM132" s="531" t="e">
        <f t="shared" si="99"/>
        <v>#DIV/0!</v>
      </c>
      <c r="HXN132" s="531" t="e">
        <f t="shared" si="99"/>
        <v>#DIV/0!</v>
      </c>
      <c r="HXO132" s="531" t="e">
        <f t="shared" si="99"/>
        <v>#DIV/0!</v>
      </c>
      <c r="HXP132" s="531" t="e">
        <f t="shared" si="99"/>
        <v>#DIV/0!</v>
      </c>
      <c r="HXQ132" s="531" t="e">
        <f t="shared" si="99"/>
        <v>#DIV/0!</v>
      </c>
      <c r="HXR132" s="531" t="e">
        <f t="shared" si="99"/>
        <v>#DIV/0!</v>
      </c>
      <c r="HXS132" s="531" t="e">
        <f t="shared" si="99"/>
        <v>#DIV/0!</v>
      </c>
      <c r="HXT132" s="531" t="e">
        <f t="shared" si="99"/>
        <v>#DIV/0!</v>
      </c>
      <c r="HXU132" s="531" t="e">
        <f t="shared" si="99"/>
        <v>#DIV/0!</v>
      </c>
      <c r="HXV132" s="531" t="e">
        <f t="shared" si="99"/>
        <v>#DIV/0!</v>
      </c>
      <c r="HXW132" s="531" t="e">
        <f t="shared" si="99"/>
        <v>#DIV/0!</v>
      </c>
      <c r="HXX132" s="531" t="e">
        <f t="shared" si="99"/>
        <v>#DIV/0!</v>
      </c>
      <c r="HXY132" s="531" t="e">
        <f t="shared" si="99"/>
        <v>#DIV/0!</v>
      </c>
      <c r="HXZ132" s="531" t="e">
        <f t="shared" si="99"/>
        <v>#DIV/0!</v>
      </c>
      <c r="HYA132" s="531" t="e">
        <f t="shared" si="99"/>
        <v>#DIV/0!</v>
      </c>
      <c r="HYB132" s="531" t="e">
        <f t="shared" si="99"/>
        <v>#DIV/0!</v>
      </c>
      <c r="HYC132" s="531" t="e">
        <f t="shared" si="99"/>
        <v>#DIV/0!</v>
      </c>
      <c r="HYD132" s="531" t="e">
        <f t="shared" si="99"/>
        <v>#DIV/0!</v>
      </c>
      <c r="HYE132" s="531" t="e">
        <f t="shared" si="99"/>
        <v>#DIV/0!</v>
      </c>
      <c r="HYF132" s="531" t="e">
        <f t="shared" si="99"/>
        <v>#DIV/0!</v>
      </c>
      <c r="HYG132" s="531" t="e">
        <f t="shared" si="99"/>
        <v>#DIV/0!</v>
      </c>
      <c r="HYH132" s="531" t="e">
        <f t="shared" si="99"/>
        <v>#DIV/0!</v>
      </c>
      <c r="HYI132" s="531" t="e">
        <f t="shared" si="99"/>
        <v>#DIV/0!</v>
      </c>
      <c r="HYJ132" s="531" t="e">
        <f t="shared" si="99"/>
        <v>#DIV/0!</v>
      </c>
      <c r="HYK132" s="531" t="e">
        <f t="shared" si="99"/>
        <v>#DIV/0!</v>
      </c>
      <c r="HYL132" s="531" t="e">
        <f t="shared" si="99"/>
        <v>#DIV/0!</v>
      </c>
      <c r="HYM132" s="531" t="e">
        <f t="shared" si="99"/>
        <v>#DIV/0!</v>
      </c>
      <c r="HYN132" s="531" t="e">
        <f t="shared" si="99"/>
        <v>#DIV/0!</v>
      </c>
      <c r="HYO132" s="531" t="e">
        <f t="shared" si="99"/>
        <v>#DIV/0!</v>
      </c>
      <c r="HYP132" s="531" t="e">
        <f t="shared" si="99"/>
        <v>#DIV/0!</v>
      </c>
      <c r="HYQ132" s="531" t="e">
        <f t="shared" si="99"/>
        <v>#DIV/0!</v>
      </c>
      <c r="HYR132" s="531" t="e">
        <f t="shared" si="99"/>
        <v>#DIV/0!</v>
      </c>
      <c r="HYS132" s="531" t="e">
        <f t="shared" si="99"/>
        <v>#DIV/0!</v>
      </c>
      <c r="HYT132" s="531" t="e">
        <f t="shared" si="99"/>
        <v>#DIV/0!</v>
      </c>
      <c r="HYU132" s="531" t="e">
        <f t="shared" si="99"/>
        <v>#DIV/0!</v>
      </c>
      <c r="HYV132" s="531" t="e">
        <f t="shared" si="99"/>
        <v>#DIV/0!</v>
      </c>
      <c r="HYW132" s="531" t="e">
        <f t="shared" si="99"/>
        <v>#DIV/0!</v>
      </c>
      <c r="HYX132" s="531" t="e">
        <f t="shared" si="99"/>
        <v>#DIV/0!</v>
      </c>
      <c r="HYY132" s="531" t="e">
        <f t="shared" si="99"/>
        <v>#DIV/0!</v>
      </c>
      <c r="HYZ132" s="531" t="e">
        <f t="shared" si="99"/>
        <v>#DIV/0!</v>
      </c>
      <c r="HZA132" s="531" t="e">
        <f t="shared" si="99"/>
        <v>#DIV/0!</v>
      </c>
      <c r="HZB132" s="531" t="e">
        <f t="shared" si="99"/>
        <v>#DIV/0!</v>
      </c>
      <c r="HZC132" s="531" t="e">
        <f t="shared" ref="HZC132:IBN132" si="100">(HZC128-HZC116)/(HZC52*10^5)</f>
        <v>#DIV/0!</v>
      </c>
      <c r="HZD132" s="531" t="e">
        <f t="shared" si="100"/>
        <v>#DIV/0!</v>
      </c>
      <c r="HZE132" s="531" t="e">
        <f t="shared" si="100"/>
        <v>#DIV/0!</v>
      </c>
      <c r="HZF132" s="531" t="e">
        <f t="shared" si="100"/>
        <v>#DIV/0!</v>
      </c>
      <c r="HZG132" s="531" t="e">
        <f t="shared" si="100"/>
        <v>#DIV/0!</v>
      </c>
      <c r="HZH132" s="531" t="e">
        <f t="shared" si="100"/>
        <v>#DIV/0!</v>
      </c>
      <c r="HZI132" s="531" t="e">
        <f t="shared" si="100"/>
        <v>#DIV/0!</v>
      </c>
      <c r="HZJ132" s="531" t="e">
        <f t="shared" si="100"/>
        <v>#DIV/0!</v>
      </c>
      <c r="HZK132" s="531" t="e">
        <f t="shared" si="100"/>
        <v>#DIV/0!</v>
      </c>
      <c r="HZL132" s="531" t="e">
        <f t="shared" si="100"/>
        <v>#DIV/0!</v>
      </c>
      <c r="HZM132" s="531" t="e">
        <f t="shared" si="100"/>
        <v>#DIV/0!</v>
      </c>
      <c r="HZN132" s="531" t="e">
        <f t="shared" si="100"/>
        <v>#DIV/0!</v>
      </c>
      <c r="HZO132" s="531" t="e">
        <f t="shared" si="100"/>
        <v>#DIV/0!</v>
      </c>
      <c r="HZP132" s="531" t="e">
        <f t="shared" si="100"/>
        <v>#DIV/0!</v>
      </c>
      <c r="HZQ132" s="531" t="e">
        <f t="shared" si="100"/>
        <v>#DIV/0!</v>
      </c>
      <c r="HZR132" s="531" t="e">
        <f t="shared" si="100"/>
        <v>#DIV/0!</v>
      </c>
      <c r="HZS132" s="531" t="e">
        <f t="shared" si="100"/>
        <v>#DIV/0!</v>
      </c>
      <c r="HZT132" s="531" t="e">
        <f t="shared" si="100"/>
        <v>#DIV/0!</v>
      </c>
      <c r="HZU132" s="531" t="e">
        <f t="shared" si="100"/>
        <v>#DIV/0!</v>
      </c>
      <c r="HZV132" s="531" t="e">
        <f t="shared" si="100"/>
        <v>#DIV/0!</v>
      </c>
      <c r="HZW132" s="531" t="e">
        <f t="shared" si="100"/>
        <v>#DIV/0!</v>
      </c>
      <c r="HZX132" s="531" t="e">
        <f t="shared" si="100"/>
        <v>#DIV/0!</v>
      </c>
      <c r="HZY132" s="531" t="e">
        <f t="shared" si="100"/>
        <v>#DIV/0!</v>
      </c>
      <c r="HZZ132" s="531" t="e">
        <f t="shared" si="100"/>
        <v>#DIV/0!</v>
      </c>
      <c r="IAA132" s="531" t="e">
        <f t="shared" si="100"/>
        <v>#DIV/0!</v>
      </c>
      <c r="IAB132" s="531" t="e">
        <f t="shared" si="100"/>
        <v>#DIV/0!</v>
      </c>
      <c r="IAC132" s="531" t="e">
        <f t="shared" si="100"/>
        <v>#DIV/0!</v>
      </c>
      <c r="IAD132" s="531" t="e">
        <f t="shared" si="100"/>
        <v>#DIV/0!</v>
      </c>
      <c r="IAE132" s="531" t="e">
        <f t="shared" si="100"/>
        <v>#DIV/0!</v>
      </c>
      <c r="IAF132" s="531" t="e">
        <f t="shared" si="100"/>
        <v>#DIV/0!</v>
      </c>
      <c r="IAG132" s="531" t="e">
        <f t="shared" si="100"/>
        <v>#DIV/0!</v>
      </c>
      <c r="IAH132" s="531" t="e">
        <f t="shared" si="100"/>
        <v>#DIV/0!</v>
      </c>
      <c r="IAI132" s="531" t="e">
        <f t="shared" si="100"/>
        <v>#DIV/0!</v>
      </c>
      <c r="IAJ132" s="531" t="e">
        <f t="shared" si="100"/>
        <v>#DIV/0!</v>
      </c>
      <c r="IAK132" s="531" t="e">
        <f t="shared" si="100"/>
        <v>#DIV/0!</v>
      </c>
      <c r="IAL132" s="531" t="e">
        <f t="shared" si="100"/>
        <v>#DIV/0!</v>
      </c>
      <c r="IAM132" s="531" t="e">
        <f t="shared" si="100"/>
        <v>#DIV/0!</v>
      </c>
      <c r="IAN132" s="531" t="e">
        <f t="shared" si="100"/>
        <v>#DIV/0!</v>
      </c>
      <c r="IAO132" s="531" t="e">
        <f t="shared" si="100"/>
        <v>#DIV/0!</v>
      </c>
      <c r="IAP132" s="531" t="e">
        <f t="shared" si="100"/>
        <v>#DIV/0!</v>
      </c>
      <c r="IAQ132" s="531" t="e">
        <f t="shared" si="100"/>
        <v>#DIV/0!</v>
      </c>
      <c r="IAR132" s="531" t="e">
        <f t="shared" si="100"/>
        <v>#DIV/0!</v>
      </c>
      <c r="IAS132" s="531" t="e">
        <f t="shared" si="100"/>
        <v>#DIV/0!</v>
      </c>
      <c r="IAT132" s="531" t="e">
        <f t="shared" si="100"/>
        <v>#DIV/0!</v>
      </c>
      <c r="IAU132" s="531" t="e">
        <f t="shared" si="100"/>
        <v>#DIV/0!</v>
      </c>
      <c r="IAV132" s="531" t="e">
        <f t="shared" si="100"/>
        <v>#DIV/0!</v>
      </c>
      <c r="IAW132" s="531" t="e">
        <f t="shared" si="100"/>
        <v>#DIV/0!</v>
      </c>
      <c r="IAX132" s="531" t="e">
        <f t="shared" si="100"/>
        <v>#DIV/0!</v>
      </c>
      <c r="IAY132" s="531" t="e">
        <f t="shared" si="100"/>
        <v>#DIV/0!</v>
      </c>
      <c r="IAZ132" s="531" t="e">
        <f t="shared" si="100"/>
        <v>#DIV/0!</v>
      </c>
      <c r="IBA132" s="531" t="e">
        <f t="shared" si="100"/>
        <v>#DIV/0!</v>
      </c>
      <c r="IBB132" s="531" t="e">
        <f t="shared" si="100"/>
        <v>#DIV/0!</v>
      </c>
      <c r="IBC132" s="531" t="e">
        <f t="shared" si="100"/>
        <v>#DIV/0!</v>
      </c>
      <c r="IBD132" s="531" t="e">
        <f t="shared" si="100"/>
        <v>#DIV/0!</v>
      </c>
      <c r="IBE132" s="531" t="e">
        <f t="shared" si="100"/>
        <v>#DIV/0!</v>
      </c>
      <c r="IBF132" s="531" t="e">
        <f t="shared" si="100"/>
        <v>#DIV/0!</v>
      </c>
      <c r="IBG132" s="531" t="e">
        <f t="shared" si="100"/>
        <v>#DIV/0!</v>
      </c>
      <c r="IBH132" s="531" t="e">
        <f t="shared" si="100"/>
        <v>#DIV/0!</v>
      </c>
      <c r="IBI132" s="531" t="e">
        <f t="shared" si="100"/>
        <v>#DIV/0!</v>
      </c>
      <c r="IBJ132" s="531" t="e">
        <f t="shared" si="100"/>
        <v>#DIV/0!</v>
      </c>
      <c r="IBK132" s="531" t="e">
        <f t="shared" si="100"/>
        <v>#DIV/0!</v>
      </c>
      <c r="IBL132" s="531" t="e">
        <f t="shared" si="100"/>
        <v>#DIV/0!</v>
      </c>
      <c r="IBM132" s="531" t="e">
        <f t="shared" si="100"/>
        <v>#DIV/0!</v>
      </c>
      <c r="IBN132" s="531" t="e">
        <f t="shared" si="100"/>
        <v>#DIV/0!</v>
      </c>
      <c r="IBO132" s="531" t="e">
        <f t="shared" ref="IBO132:IDZ132" si="101">(IBO128-IBO116)/(IBO52*10^5)</f>
        <v>#DIV/0!</v>
      </c>
      <c r="IBP132" s="531" t="e">
        <f t="shared" si="101"/>
        <v>#DIV/0!</v>
      </c>
      <c r="IBQ132" s="531" t="e">
        <f t="shared" si="101"/>
        <v>#DIV/0!</v>
      </c>
      <c r="IBR132" s="531" t="e">
        <f t="shared" si="101"/>
        <v>#DIV/0!</v>
      </c>
      <c r="IBS132" s="531" t="e">
        <f t="shared" si="101"/>
        <v>#DIV/0!</v>
      </c>
      <c r="IBT132" s="531" t="e">
        <f t="shared" si="101"/>
        <v>#DIV/0!</v>
      </c>
      <c r="IBU132" s="531" t="e">
        <f t="shared" si="101"/>
        <v>#DIV/0!</v>
      </c>
      <c r="IBV132" s="531" t="e">
        <f t="shared" si="101"/>
        <v>#DIV/0!</v>
      </c>
      <c r="IBW132" s="531" t="e">
        <f t="shared" si="101"/>
        <v>#DIV/0!</v>
      </c>
      <c r="IBX132" s="531" t="e">
        <f t="shared" si="101"/>
        <v>#DIV/0!</v>
      </c>
      <c r="IBY132" s="531" t="e">
        <f t="shared" si="101"/>
        <v>#DIV/0!</v>
      </c>
      <c r="IBZ132" s="531" t="e">
        <f t="shared" si="101"/>
        <v>#DIV/0!</v>
      </c>
      <c r="ICA132" s="531" t="e">
        <f t="shared" si="101"/>
        <v>#DIV/0!</v>
      </c>
      <c r="ICB132" s="531" t="e">
        <f t="shared" si="101"/>
        <v>#DIV/0!</v>
      </c>
      <c r="ICC132" s="531" t="e">
        <f t="shared" si="101"/>
        <v>#DIV/0!</v>
      </c>
      <c r="ICD132" s="531" t="e">
        <f t="shared" si="101"/>
        <v>#DIV/0!</v>
      </c>
      <c r="ICE132" s="531" t="e">
        <f t="shared" si="101"/>
        <v>#DIV/0!</v>
      </c>
      <c r="ICF132" s="531" t="e">
        <f t="shared" si="101"/>
        <v>#DIV/0!</v>
      </c>
      <c r="ICG132" s="531" t="e">
        <f t="shared" si="101"/>
        <v>#DIV/0!</v>
      </c>
      <c r="ICH132" s="531" t="e">
        <f t="shared" si="101"/>
        <v>#DIV/0!</v>
      </c>
      <c r="ICI132" s="531" t="e">
        <f t="shared" si="101"/>
        <v>#DIV/0!</v>
      </c>
      <c r="ICJ132" s="531" t="e">
        <f t="shared" si="101"/>
        <v>#DIV/0!</v>
      </c>
      <c r="ICK132" s="531" t="e">
        <f t="shared" si="101"/>
        <v>#DIV/0!</v>
      </c>
      <c r="ICL132" s="531" t="e">
        <f t="shared" si="101"/>
        <v>#DIV/0!</v>
      </c>
      <c r="ICM132" s="531" t="e">
        <f t="shared" si="101"/>
        <v>#DIV/0!</v>
      </c>
      <c r="ICN132" s="531" t="e">
        <f t="shared" si="101"/>
        <v>#DIV/0!</v>
      </c>
      <c r="ICO132" s="531" t="e">
        <f t="shared" si="101"/>
        <v>#DIV/0!</v>
      </c>
      <c r="ICP132" s="531" t="e">
        <f t="shared" si="101"/>
        <v>#DIV/0!</v>
      </c>
      <c r="ICQ132" s="531" t="e">
        <f t="shared" si="101"/>
        <v>#DIV/0!</v>
      </c>
      <c r="ICR132" s="531" t="e">
        <f t="shared" si="101"/>
        <v>#DIV/0!</v>
      </c>
      <c r="ICS132" s="531" t="e">
        <f t="shared" si="101"/>
        <v>#DIV/0!</v>
      </c>
      <c r="ICT132" s="531" t="e">
        <f t="shared" si="101"/>
        <v>#DIV/0!</v>
      </c>
      <c r="ICU132" s="531" t="e">
        <f t="shared" si="101"/>
        <v>#DIV/0!</v>
      </c>
      <c r="ICV132" s="531" t="e">
        <f t="shared" si="101"/>
        <v>#DIV/0!</v>
      </c>
      <c r="ICW132" s="531" t="e">
        <f t="shared" si="101"/>
        <v>#DIV/0!</v>
      </c>
      <c r="ICX132" s="531" t="e">
        <f t="shared" si="101"/>
        <v>#DIV/0!</v>
      </c>
      <c r="ICY132" s="531" t="e">
        <f t="shared" si="101"/>
        <v>#DIV/0!</v>
      </c>
      <c r="ICZ132" s="531" t="e">
        <f t="shared" si="101"/>
        <v>#DIV/0!</v>
      </c>
      <c r="IDA132" s="531" t="e">
        <f t="shared" si="101"/>
        <v>#DIV/0!</v>
      </c>
      <c r="IDB132" s="531" t="e">
        <f t="shared" si="101"/>
        <v>#DIV/0!</v>
      </c>
      <c r="IDC132" s="531" t="e">
        <f t="shared" si="101"/>
        <v>#DIV/0!</v>
      </c>
      <c r="IDD132" s="531" t="e">
        <f t="shared" si="101"/>
        <v>#DIV/0!</v>
      </c>
      <c r="IDE132" s="531" t="e">
        <f t="shared" si="101"/>
        <v>#DIV/0!</v>
      </c>
      <c r="IDF132" s="531" t="e">
        <f t="shared" si="101"/>
        <v>#DIV/0!</v>
      </c>
      <c r="IDG132" s="531" t="e">
        <f t="shared" si="101"/>
        <v>#DIV/0!</v>
      </c>
      <c r="IDH132" s="531" t="e">
        <f t="shared" si="101"/>
        <v>#DIV/0!</v>
      </c>
      <c r="IDI132" s="531" t="e">
        <f t="shared" si="101"/>
        <v>#DIV/0!</v>
      </c>
      <c r="IDJ132" s="531" t="e">
        <f t="shared" si="101"/>
        <v>#DIV/0!</v>
      </c>
      <c r="IDK132" s="531" t="e">
        <f t="shared" si="101"/>
        <v>#DIV/0!</v>
      </c>
      <c r="IDL132" s="531" t="e">
        <f t="shared" si="101"/>
        <v>#DIV/0!</v>
      </c>
      <c r="IDM132" s="531" t="e">
        <f t="shared" si="101"/>
        <v>#DIV/0!</v>
      </c>
      <c r="IDN132" s="531" t="e">
        <f t="shared" si="101"/>
        <v>#DIV/0!</v>
      </c>
      <c r="IDO132" s="531" t="e">
        <f t="shared" si="101"/>
        <v>#DIV/0!</v>
      </c>
      <c r="IDP132" s="531" t="e">
        <f t="shared" si="101"/>
        <v>#DIV/0!</v>
      </c>
      <c r="IDQ132" s="531" t="e">
        <f t="shared" si="101"/>
        <v>#DIV/0!</v>
      </c>
      <c r="IDR132" s="531" t="e">
        <f t="shared" si="101"/>
        <v>#DIV/0!</v>
      </c>
      <c r="IDS132" s="531" t="e">
        <f t="shared" si="101"/>
        <v>#DIV/0!</v>
      </c>
      <c r="IDT132" s="531" t="e">
        <f t="shared" si="101"/>
        <v>#DIV/0!</v>
      </c>
      <c r="IDU132" s="531" t="e">
        <f t="shared" si="101"/>
        <v>#DIV/0!</v>
      </c>
      <c r="IDV132" s="531" t="e">
        <f t="shared" si="101"/>
        <v>#DIV/0!</v>
      </c>
      <c r="IDW132" s="531" t="e">
        <f t="shared" si="101"/>
        <v>#DIV/0!</v>
      </c>
      <c r="IDX132" s="531" t="e">
        <f t="shared" si="101"/>
        <v>#DIV/0!</v>
      </c>
      <c r="IDY132" s="531" t="e">
        <f t="shared" si="101"/>
        <v>#DIV/0!</v>
      </c>
      <c r="IDZ132" s="531" t="e">
        <f t="shared" si="101"/>
        <v>#DIV/0!</v>
      </c>
      <c r="IEA132" s="531" t="e">
        <f t="shared" ref="IEA132:IGL132" si="102">(IEA128-IEA116)/(IEA52*10^5)</f>
        <v>#DIV/0!</v>
      </c>
      <c r="IEB132" s="531" t="e">
        <f t="shared" si="102"/>
        <v>#DIV/0!</v>
      </c>
      <c r="IEC132" s="531" t="e">
        <f t="shared" si="102"/>
        <v>#DIV/0!</v>
      </c>
      <c r="IED132" s="531" t="e">
        <f t="shared" si="102"/>
        <v>#DIV/0!</v>
      </c>
      <c r="IEE132" s="531" t="e">
        <f t="shared" si="102"/>
        <v>#DIV/0!</v>
      </c>
      <c r="IEF132" s="531" t="e">
        <f t="shared" si="102"/>
        <v>#DIV/0!</v>
      </c>
      <c r="IEG132" s="531" t="e">
        <f t="shared" si="102"/>
        <v>#DIV/0!</v>
      </c>
      <c r="IEH132" s="531" t="e">
        <f t="shared" si="102"/>
        <v>#DIV/0!</v>
      </c>
      <c r="IEI132" s="531" t="e">
        <f t="shared" si="102"/>
        <v>#DIV/0!</v>
      </c>
      <c r="IEJ132" s="531" t="e">
        <f t="shared" si="102"/>
        <v>#DIV/0!</v>
      </c>
      <c r="IEK132" s="531" t="e">
        <f t="shared" si="102"/>
        <v>#DIV/0!</v>
      </c>
      <c r="IEL132" s="531" t="e">
        <f t="shared" si="102"/>
        <v>#DIV/0!</v>
      </c>
      <c r="IEM132" s="531" t="e">
        <f t="shared" si="102"/>
        <v>#DIV/0!</v>
      </c>
      <c r="IEN132" s="531" t="e">
        <f t="shared" si="102"/>
        <v>#DIV/0!</v>
      </c>
      <c r="IEO132" s="531" t="e">
        <f t="shared" si="102"/>
        <v>#DIV/0!</v>
      </c>
      <c r="IEP132" s="531" t="e">
        <f t="shared" si="102"/>
        <v>#DIV/0!</v>
      </c>
      <c r="IEQ132" s="531" t="e">
        <f t="shared" si="102"/>
        <v>#DIV/0!</v>
      </c>
      <c r="IER132" s="531" t="e">
        <f t="shared" si="102"/>
        <v>#DIV/0!</v>
      </c>
      <c r="IES132" s="531" t="e">
        <f t="shared" si="102"/>
        <v>#DIV/0!</v>
      </c>
      <c r="IET132" s="531" t="e">
        <f t="shared" si="102"/>
        <v>#DIV/0!</v>
      </c>
      <c r="IEU132" s="531" t="e">
        <f t="shared" si="102"/>
        <v>#DIV/0!</v>
      </c>
      <c r="IEV132" s="531" t="e">
        <f t="shared" si="102"/>
        <v>#DIV/0!</v>
      </c>
      <c r="IEW132" s="531" t="e">
        <f t="shared" si="102"/>
        <v>#DIV/0!</v>
      </c>
      <c r="IEX132" s="531" t="e">
        <f t="shared" si="102"/>
        <v>#DIV/0!</v>
      </c>
      <c r="IEY132" s="531" t="e">
        <f t="shared" si="102"/>
        <v>#DIV/0!</v>
      </c>
      <c r="IEZ132" s="531" t="e">
        <f t="shared" si="102"/>
        <v>#DIV/0!</v>
      </c>
      <c r="IFA132" s="531" t="e">
        <f t="shared" si="102"/>
        <v>#DIV/0!</v>
      </c>
      <c r="IFB132" s="531" t="e">
        <f t="shared" si="102"/>
        <v>#DIV/0!</v>
      </c>
      <c r="IFC132" s="531" t="e">
        <f t="shared" si="102"/>
        <v>#DIV/0!</v>
      </c>
      <c r="IFD132" s="531" t="e">
        <f t="shared" si="102"/>
        <v>#DIV/0!</v>
      </c>
      <c r="IFE132" s="531" t="e">
        <f t="shared" si="102"/>
        <v>#DIV/0!</v>
      </c>
      <c r="IFF132" s="531" t="e">
        <f t="shared" si="102"/>
        <v>#DIV/0!</v>
      </c>
      <c r="IFG132" s="531" t="e">
        <f t="shared" si="102"/>
        <v>#DIV/0!</v>
      </c>
      <c r="IFH132" s="531" t="e">
        <f t="shared" si="102"/>
        <v>#DIV/0!</v>
      </c>
      <c r="IFI132" s="531" t="e">
        <f t="shared" si="102"/>
        <v>#DIV/0!</v>
      </c>
      <c r="IFJ132" s="531" t="e">
        <f t="shared" si="102"/>
        <v>#DIV/0!</v>
      </c>
      <c r="IFK132" s="531" t="e">
        <f t="shared" si="102"/>
        <v>#DIV/0!</v>
      </c>
      <c r="IFL132" s="531" t="e">
        <f t="shared" si="102"/>
        <v>#DIV/0!</v>
      </c>
      <c r="IFM132" s="531" t="e">
        <f t="shared" si="102"/>
        <v>#DIV/0!</v>
      </c>
      <c r="IFN132" s="531" t="e">
        <f t="shared" si="102"/>
        <v>#DIV/0!</v>
      </c>
      <c r="IFO132" s="531" t="e">
        <f t="shared" si="102"/>
        <v>#DIV/0!</v>
      </c>
      <c r="IFP132" s="531" t="e">
        <f t="shared" si="102"/>
        <v>#DIV/0!</v>
      </c>
      <c r="IFQ132" s="531" t="e">
        <f t="shared" si="102"/>
        <v>#DIV/0!</v>
      </c>
      <c r="IFR132" s="531" t="e">
        <f t="shared" si="102"/>
        <v>#DIV/0!</v>
      </c>
      <c r="IFS132" s="531" t="e">
        <f t="shared" si="102"/>
        <v>#DIV/0!</v>
      </c>
      <c r="IFT132" s="531" t="e">
        <f t="shared" si="102"/>
        <v>#DIV/0!</v>
      </c>
      <c r="IFU132" s="531" t="e">
        <f t="shared" si="102"/>
        <v>#DIV/0!</v>
      </c>
      <c r="IFV132" s="531" t="e">
        <f t="shared" si="102"/>
        <v>#DIV/0!</v>
      </c>
      <c r="IFW132" s="531" t="e">
        <f t="shared" si="102"/>
        <v>#DIV/0!</v>
      </c>
      <c r="IFX132" s="531" t="e">
        <f t="shared" si="102"/>
        <v>#DIV/0!</v>
      </c>
      <c r="IFY132" s="531" t="e">
        <f t="shared" si="102"/>
        <v>#DIV/0!</v>
      </c>
      <c r="IFZ132" s="531" t="e">
        <f t="shared" si="102"/>
        <v>#DIV/0!</v>
      </c>
      <c r="IGA132" s="531" t="e">
        <f t="shared" si="102"/>
        <v>#DIV/0!</v>
      </c>
      <c r="IGB132" s="531" t="e">
        <f t="shared" si="102"/>
        <v>#DIV/0!</v>
      </c>
      <c r="IGC132" s="531" t="e">
        <f t="shared" si="102"/>
        <v>#DIV/0!</v>
      </c>
      <c r="IGD132" s="531" t="e">
        <f t="shared" si="102"/>
        <v>#DIV/0!</v>
      </c>
      <c r="IGE132" s="531" t="e">
        <f t="shared" si="102"/>
        <v>#DIV/0!</v>
      </c>
      <c r="IGF132" s="531" t="e">
        <f t="shared" si="102"/>
        <v>#DIV/0!</v>
      </c>
      <c r="IGG132" s="531" t="e">
        <f t="shared" si="102"/>
        <v>#DIV/0!</v>
      </c>
      <c r="IGH132" s="531" t="e">
        <f t="shared" si="102"/>
        <v>#DIV/0!</v>
      </c>
      <c r="IGI132" s="531" t="e">
        <f t="shared" si="102"/>
        <v>#DIV/0!</v>
      </c>
      <c r="IGJ132" s="531" t="e">
        <f t="shared" si="102"/>
        <v>#DIV/0!</v>
      </c>
      <c r="IGK132" s="531" t="e">
        <f t="shared" si="102"/>
        <v>#DIV/0!</v>
      </c>
      <c r="IGL132" s="531" t="e">
        <f t="shared" si="102"/>
        <v>#DIV/0!</v>
      </c>
      <c r="IGM132" s="531" t="e">
        <f t="shared" ref="IGM132:IIX132" si="103">(IGM128-IGM116)/(IGM52*10^5)</f>
        <v>#DIV/0!</v>
      </c>
      <c r="IGN132" s="531" t="e">
        <f t="shared" si="103"/>
        <v>#DIV/0!</v>
      </c>
      <c r="IGO132" s="531" t="e">
        <f t="shared" si="103"/>
        <v>#DIV/0!</v>
      </c>
      <c r="IGP132" s="531" t="e">
        <f t="shared" si="103"/>
        <v>#DIV/0!</v>
      </c>
      <c r="IGQ132" s="531" t="e">
        <f t="shared" si="103"/>
        <v>#DIV/0!</v>
      </c>
      <c r="IGR132" s="531" t="e">
        <f t="shared" si="103"/>
        <v>#DIV/0!</v>
      </c>
      <c r="IGS132" s="531" t="e">
        <f t="shared" si="103"/>
        <v>#DIV/0!</v>
      </c>
      <c r="IGT132" s="531" t="e">
        <f t="shared" si="103"/>
        <v>#DIV/0!</v>
      </c>
      <c r="IGU132" s="531" t="e">
        <f t="shared" si="103"/>
        <v>#DIV/0!</v>
      </c>
      <c r="IGV132" s="531" t="e">
        <f t="shared" si="103"/>
        <v>#DIV/0!</v>
      </c>
      <c r="IGW132" s="531" t="e">
        <f t="shared" si="103"/>
        <v>#DIV/0!</v>
      </c>
      <c r="IGX132" s="531" t="e">
        <f t="shared" si="103"/>
        <v>#DIV/0!</v>
      </c>
      <c r="IGY132" s="531" t="e">
        <f t="shared" si="103"/>
        <v>#DIV/0!</v>
      </c>
      <c r="IGZ132" s="531" t="e">
        <f t="shared" si="103"/>
        <v>#DIV/0!</v>
      </c>
      <c r="IHA132" s="531" t="e">
        <f t="shared" si="103"/>
        <v>#DIV/0!</v>
      </c>
      <c r="IHB132" s="531" t="e">
        <f t="shared" si="103"/>
        <v>#DIV/0!</v>
      </c>
      <c r="IHC132" s="531" t="e">
        <f t="shared" si="103"/>
        <v>#DIV/0!</v>
      </c>
      <c r="IHD132" s="531" t="e">
        <f t="shared" si="103"/>
        <v>#DIV/0!</v>
      </c>
      <c r="IHE132" s="531" t="e">
        <f t="shared" si="103"/>
        <v>#DIV/0!</v>
      </c>
      <c r="IHF132" s="531" t="e">
        <f t="shared" si="103"/>
        <v>#DIV/0!</v>
      </c>
      <c r="IHG132" s="531" t="e">
        <f t="shared" si="103"/>
        <v>#DIV/0!</v>
      </c>
      <c r="IHH132" s="531" t="e">
        <f t="shared" si="103"/>
        <v>#DIV/0!</v>
      </c>
      <c r="IHI132" s="531" t="e">
        <f t="shared" si="103"/>
        <v>#DIV/0!</v>
      </c>
      <c r="IHJ132" s="531" t="e">
        <f t="shared" si="103"/>
        <v>#DIV/0!</v>
      </c>
      <c r="IHK132" s="531" t="e">
        <f t="shared" si="103"/>
        <v>#DIV/0!</v>
      </c>
      <c r="IHL132" s="531" t="e">
        <f t="shared" si="103"/>
        <v>#DIV/0!</v>
      </c>
      <c r="IHM132" s="531" t="e">
        <f t="shared" si="103"/>
        <v>#DIV/0!</v>
      </c>
      <c r="IHN132" s="531" t="e">
        <f t="shared" si="103"/>
        <v>#DIV/0!</v>
      </c>
      <c r="IHO132" s="531" t="e">
        <f t="shared" si="103"/>
        <v>#DIV/0!</v>
      </c>
      <c r="IHP132" s="531" t="e">
        <f t="shared" si="103"/>
        <v>#DIV/0!</v>
      </c>
      <c r="IHQ132" s="531" t="e">
        <f t="shared" si="103"/>
        <v>#DIV/0!</v>
      </c>
      <c r="IHR132" s="531" t="e">
        <f t="shared" si="103"/>
        <v>#DIV/0!</v>
      </c>
      <c r="IHS132" s="531" t="e">
        <f t="shared" si="103"/>
        <v>#DIV/0!</v>
      </c>
      <c r="IHT132" s="531" t="e">
        <f t="shared" si="103"/>
        <v>#DIV/0!</v>
      </c>
      <c r="IHU132" s="531" t="e">
        <f t="shared" si="103"/>
        <v>#DIV/0!</v>
      </c>
      <c r="IHV132" s="531" t="e">
        <f t="shared" si="103"/>
        <v>#DIV/0!</v>
      </c>
      <c r="IHW132" s="531" t="e">
        <f t="shared" si="103"/>
        <v>#DIV/0!</v>
      </c>
      <c r="IHX132" s="531" t="e">
        <f t="shared" si="103"/>
        <v>#DIV/0!</v>
      </c>
      <c r="IHY132" s="531" t="e">
        <f t="shared" si="103"/>
        <v>#DIV/0!</v>
      </c>
      <c r="IHZ132" s="531" t="e">
        <f t="shared" si="103"/>
        <v>#DIV/0!</v>
      </c>
      <c r="IIA132" s="531" t="e">
        <f t="shared" si="103"/>
        <v>#DIV/0!</v>
      </c>
      <c r="IIB132" s="531" t="e">
        <f t="shared" si="103"/>
        <v>#DIV/0!</v>
      </c>
      <c r="IIC132" s="531" t="e">
        <f t="shared" si="103"/>
        <v>#DIV/0!</v>
      </c>
      <c r="IID132" s="531" t="e">
        <f t="shared" si="103"/>
        <v>#DIV/0!</v>
      </c>
      <c r="IIE132" s="531" t="e">
        <f t="shared" si="103"/>
        <v>#DIV/0!</v>
      </c>
      <c r="IIF132" s="531" t="e">
        <f t="shared" si="103"/>
        <v>#DIV/0!</v>
      </c>
      <c r="IIG132" s="531" t="e">
        <f t="shared" si="103"/>
        <v>#DIV/0!</v>
      </c>
      <c r="IIH132" s="531" t="e">
        <f t="shared" si="103"/>
        <v>#DIV/0!</v>
      </c>
      <c r="III132" s="531" t="e">
        <f t="shared" si="103"/>
        <v>#DIV/0!</v>
      </c>
      <c r="IIJ132" s="531" t="e">
        <f t="shared" si="103"/>
        <v>#DIV/0!</v>
      </c>
      <c r="IIK132" s="531" t="e">
        <f t="shared" si="103"/>
        <v>#DIV/0!</v>
      </c>
      <c r="IIL132" s="531" t="e">
        <f t="shared" si="103"/>
        <v>#DIV/0!</v>
      </c>
      <c r="IIM132" s="531" t="e">
        <f t="shared" si="103"/>
        <v>#DIV/0!</v>
      </c>
      <c r="IIN132" s="531" t="e">
        <f t="shared" si="103"/>
        <v>#DIV/0!</v>
      </c>
      <c r="IIO132" s="531" t="e">
        <f t="shared" si="103"/>
        <v>#DIV/0!</v>
      </c>
      <c r="IIP132" s="531" t="e">
        <f t="shared" si="103"/>
        <v>#DIV/0!</v>
      </c>
      <c r="IIQ132" s="531" t="e">
        <f t="shared" si="103"/>
        <v>#DIV/0!</v>
      </c>
      <c r="IIR132" s="531" t="e">
        <f t="shared" si="103"/>
        <v>#DIV/0!</v>
      </c>
      <c r="IIS132" s="531" t="e">
        <f t="shared" si="103"/>
        <v>#DIV/0!</v>
      </c>
      <c r="IIT132" s="531" t="e">
        <f t="shared" si="103"/>
        <v>#DIV/0!</v>
      </c>
      <c r="IIU132" s="531" t="e">
        <f t="shared" si="103"/>
        <v>#DIV/0!</v>
      </c>
      <c r="IIV132" s="531" t="e">
        <f t="shared" si="103"/>
        <v>#DIV/0!</v>
      </c>
      <c r="IIW132" s="531" t="e">
        <f t="shared" si="103"/>
        <v>#DIV/0!</v>
      </c>
      <c r="IIX132" s="531" t="e">
        <f t="shared" si="103"/>
        <v>#DIV/0!</v>
      </c>
      <c r="IIY132" s="531" t="e">
        <f t="shared" ref="IIY132:ILJ132" si="104">(IIY128-IIY116)/(IIY52*10^5)</f>
        <v>#DIV/0!</v>
      </c>
      <c r="IIZ132" s="531" t="e">
        <f t="shared" si="104"/>
        <v>#DIV/0!</v>
      </c>
      <c r="IJA132" s="531" t="e">
        <f t="shared" si="104"/>
        <v>#DIV/0!</v>
      </c>
      <c r="IJB132" s="531" t="e">
        <f t="shared" si="104"/>
        <v>#DIV/0!</v>
      </c>
      <c r="IJC132" s="531" t="e">
        <f t="shared" si="104"/>
        <v>#DIV/0!</v>
      </c>
      <c r="IJD132" s="531" t="e">
        <f t="shared" si="104"/>
        <v>#DIV/0!</v>
      </c>
      <c r="IJE132" s="531" t="e">
        <f t="shared" si="104"/>
        <v>#DIV/0!</v>
      </c>
      <c r="IJF132" s="531" t="e">
        <f t="shared" si="104"/>
        <v>#DIV/0!</v>
      </c>
      <c r="IJG132" s="531" t="e">
        <f t="shared" si="104"/>
        <v>#DIV/0!</v>
      </c>
      <c r="IJH132" s="531" t="e">
        <f t="shared" si="104"/>
        <v>#DIV/0!</v>
      </c>
      <c r="IJI132" s="531" t="e">
        <f t="shared" si="104"/>
        <v>#DIV/0!</v>
      </c>
      <c r="IJJ132" s="531" t="e">
        <f t="shared" si="104"/>
        <v>#DIV/0!</v>
      </c>
      <c r="IJK132" s="531" t="e">
        <f t="shared" si="104"/>
        <v>#DIV/0!</v>
      </c>
      <c r="IJL132" s="531" t="e">
        <f t="shared" si="104"/>
        <v>#DIV/0!</v>
      </c>
      <c r="IJM132" s="531" t="e">
        <f t="shared" si="104"/>
        <v>#DIV/0!</v>
      </c>
      <c r="IJN132" s="531" t="e">
        <f t="shared" si="104"/>
        <v>#DIV/0!</v>
      </c>
      <c r="IJO132" s="531" t="e">
        <f t="shared" si="104"/>
        <v>#DIV/0!</v>
      </c>
      <c r="IJP132" s="531" t="e">
        <f t="shared" si="104"/>
        <v>#DIV/0!</v>
      </c>
      <c r="IJQ132" s="531" t="e">
        <f t="shared" si="104"/>
        <v>#DIV/0!</v>
      </c>
      <c r="IJR132" s="531" t="e">
        <f t="shared" si="104"/>
        <v>#DIV/0!</v>
      </c>
      <c r="IJS132" s="531" t="e">
        <f t="shared" si="104"/>
        <v>#DIV/0!</v>
      </c>
      <c r="IJT132" s="531" t="e">
        <f t="shared" si="104"/>
        <v>#DIV/0!</v>
      </c>
      <c r="IJU132" s="531" t="e">
        <f t="shared" si="104"/>
        <v>#DIV/0!</v>
      </c>
      <c r="IJV132" s="531" t="e">
        <f t="shared" si="104"/>
        <v>#DIV/0!</v>
      </c>
      <c r="IJW132" s="531" t="e">
        <f t="shared" si="104"/>
        <v>#DIV/0!</v>
      </c>
      <c r="IJX132" s="531" t="e">
        <f t="shared" si="104"/>
        <v>#DIV/0!</v>
      </c>
      <c r="IJY132" s="531" t="e">
        <f t="shared" si="104"/>
        <v>#DIV/0!</v>
      </c>
      <c r="IJZ132" s="531" t="e">
        <f t="shared" si="104"/>
        <v>#DIV/0!</v>
      </c>
      <c r="IKA132" s="531" t="e">
        <f t="shared" si="104"/>
        <v>#DIV/0!</v>
      </c>
      <c r="IKB132" s="531" t="e">
        <f t="shared" si="104"/>
        <v>#DIV/0!</v>
      </c>
      <c r="IKC132" s="531" t="e">
        <f t="shared" si="104"/>
        <v>#DIV/0!</v>
      </c>
      <c r="IKD132" s="531" t="e">
        <f t="shared" si="104"/>
        <v>#DIV/0!</v>
      </c>
      <c r="IKE132" s="531" t="e">
        <f t="shared" si="104"/>
        <v>#DIV/0!</v>
      </c>
      <c r="IKF132" s="531" t="e">
        <f t="shared" si="104"/>
        <v>#DIV/0!</v>
      </c>
      <c r="IKG132" s="531" t="e">
        <f t="shared" si="104"/>
        <v>#DIV/0!</v>
      </c>
      <c r="IKH132" s="531" t="e">
        <f t="shared" si="104"/>
        <v>#DIV/0!</v>
      </c>
      <c r="IKI132" s="531" t="e">
        <f t="shared" si="104"/>
        <v>#DIV/0!</v>
      </c>
      <c r="IKJ132" s="531" t="e">
        <f t="shared" si="104"/>
        <v>#DIV/0!</v>
      </c>
      <c r="IKK132" s="531" t="e">
        <f t="shared" si="104"/>
        <v>#DIV/0!</v>
      </c>
      <c r="IKL132" s="531" t="e">
        <f t="shared" si="104"/>
        <v>#DIV/0!</v>
      </c>
      <c r="IKM132" s="531" t="e">
        <f t="shared" si="104"/>
        <v>#DIV/0!</v>
      </c>
      <c r="IKN132" s="531" t="e">
        <f t="shared" si="104"/>
        <v>#DIV/0!</v>
      </c>
      <c r="IKO132" s="531" t="e">
        <f t="shared" si="104"/>
        <v>#DIV/0!</v>
      </c>
      <c r="IKP132" s="531" t="e">
        <f t="shared" si="104"/>
        <v>#DIV/0!</v>
      </c>
      <c r="IKQ132" s="531" t="e">
        <f t="shared" si="104"/>
        <v>#DIV/0!</v>
      </c>
      <c r="IKR132" s="531" t="e">
        <f t="shared" si="104"/>
        <v>#DIV/0!</v>
      </c>
      <c r="IKS132" s="531" t="e">
        <f t="shared" si="104"/>
        <v>#DIV/0!</v>
      </c>
      <c r="IKT132" s="531" t="e">
        <f t="shared" si="104"/>
        <v>#DIV/0!</v>
      </c>
      <c r="IKU132" s="531" t="e">
        <f t="shared" si="104"/>
        <v>#DIV/0!</v>
      </c>
      <c r="IKV132" s="531" t="e">
        <f t="shared" si="104"/>
        <v>#DIV/0!</v>
      </c>
      <c r="IKW132" s="531" t="e">
        <f t="shared" si="104"/>
        <v>#DIV/0!</v>
      </c>
      <c r="IKX132" s="531" t="e">
        <f t="shared" si="104"/>
        <v>#DIV/0!</v>
      </c>
      <c r="IKY132" s="531" t="e">
        <f t="shared" si="104"/>
        <v>#DIV/0!</v>
      </c>
      <c r="IKZ132" s="531" t="e">
        <f t="shared" si="104"/>
        <v>#DIV/0!</v>
      </c>
      <c r="ILA132" s="531" t="e">
        <f t="shared" si="104"/>
        <v>#DIV/0!</v>
      </c>
      <c r="ILB132" s="531" t="e">
        <f t="shared" si="104"/>
        <v>#DIV/0!</v>
      </c>
      <c r="ILC132" s="531" t="e">
        <f t="shared" si="104"/>
        <v>#DIV/0!</v>
      </c>
      <c r="ILD132" s="531" t="e">
        <f t="shared" si="104"/>
        <v>#DIV/0!</v>
      </c>
      <c r="ILE132" s="531" t="e">
        <f t="shared" si="104"/>
        <v>#DIV/0!</v>
      </c>
      <c r="ILF132" s="531" t="e">
        <f t="shared" si="104"/>
        <v>#DIV/0!</v>
      </c>
      <c r="ILG132" s="531" t="e">
        <f t="shared" si="104"/>
        <v>#DIV/0!</v>
      </c>
      <c r="ILH132" s="531" t="e">
        <f t="shared" si="104"/>
        <v>#DIV/0!</v>
      </c>
      <c r="ILI132" s="531" t="e">
        <f t="shared" si="104"/>
        <v>#DIV/0!</v>
      </c>
      <c r="ILJ132" s="531" t="e">
        <f t="shared" si="104"/>
        <v>#DIV/0!</v>
      </c>
      <c r="ILK132" s="531" t="e">
        <f t="shared" ref="ILK132:INV132" si="105">(ILK128-ILK116)/(ILK52*10^5)</f>
        <v>#DIV/0!</v>
      </c>
      <c r="ILL132" s="531" t="e">
        <f t="shared" si="105"/>
        <v>#DIV/0!</v>
      </c>
      <c r="ILM132" s="531" t="e">
        <f t="shared" si="105"/>
        <v>#DIV/0!</v>
      </c>
      <c r="ILN132" s="531" t="e">
        <f t="shared" si="105"/>
        <v>#DIV/0!</v>
      </c>
      <c r="ILO132" s="531" t="e">
        <f t="shared" si="105"/>
        <v>#DIV/0!</v>
      </c>
      <c r="ILP132" s="531" t="e">
        <f t="shared" si="105"/>
        <v>#DIV/0!</v>
      </c>
      <c r="ILQ132" s="531" t="e">
        <f t="shared" si="105"/>
        <v>#DIV/0!</v>
      </c>
      <c r="ILR132" s="531" t="e">
        <f t="shared" si="105"/>
        <v>#DIV/0!</v>
      </c>
      <c r="ILS132" s="531" t="e">
        <f t="shared" si="105"/>
        <v>#DIV/0!</v>
      </c>
      <c r="ILT132" s="531" t="e">
        <f t="shared" si="105"/>
        <v>#DIV/0!</v>
      </c>
      <c r="ILU132" s="531" t="e">
        <f t="shared" si="105"/>
        <v>#DIV/0!</v>
      </c>
      <c r="ILV132" s="531" t="e">
        <f t="shared" si="105"/>
        <v>#DIV/0!</v>
      </c>
      <c r="ILW132" s="531" t="e">
        <f t="shared" si="105"/>
        <v>#DIV/0!</v>
      </c>
      <c r="ILX132" s="531" t="e">
        <f t="shared" si="105"/>
        <v>#DIV/0!</v>
      </c>
      <c r="ILY132" s="531" t="e">
        <f t="shared" si="105"/>
        <v>#DIV/0!</v>
      </c>
      <c r="ILZ132" s="531" t="e">
        <f t="shared" si="105"/>
        <v>#DIV/0!</v>
      </c>
      <c r="IMA132" s="531" t="e">
        <f t="shared" si="105"/>
        <v>#DIV/0!</v>
      </c>
      <c r="IMB132" s="531" t="e">
        <f t="shared" si="105"/>
        <v>#DIV/0!</v>
      </c>
      <c r="IMC132" s="531" t="e">
        <f t="shared" si="105"/>
        <v>#DIV/0!</v>
      </c>
      <c r="IMD132" s="531" t="e">
        <f t="shared" si="105"/>
        <v>#DIV/0!</v>
      </c>
      <c r="IME132" s="531" t="e">
        <f t="shared" si="105"/>
        <v>#DIV/0!</v>
      </c>
      <c r="IMF132" s="531" t="e">
        <f t="shared" si="105"/>
        <v>#DIV/0!</v>
      </c>
      <c r="IMG132" s="531" t="e">
        <f t="shared" si="105"/>
        <v>#DIV/0!</v>
      </c>
      <c r="IMH132" s="531" t="e">
        <f t="shared" si="105"/>
        <v>#DIV/0!</v>
      </c>
      <c r="IMI132" s="531" t="e">
        <f t="shared" si="105"/>
        <v>#DIV/0!</v>
      </c>
      <c r="IMJ132" s="531" t="e">
        <f t="shared" si="105"/>
        <v>#DIV/0!</v>
      </c>
      <c r="IMK132" s="531" t="e">
        <f t="shared" si="105"/>
        <v>#DIV/0!</v>
      </c>
      <c r="IML132" s="531" t="e">
        <f t="shared" si="105"/>
        <v>#DIV/0!</v>
      </c>
      <c r="IMM132" s="531" t="e">
        <f t="shared" si="105"/>
        <v>#DIV/0!</v>
      </c>
      <c r="IMN132" s="531" t="e">
        <f t="shared" si="105"/>
        <v>#DIV/0!</v>
      </c>
      <c r="IMO132" s="531" t="e">
        <f t="shared" si="105"/>
        <v>#DIV/0!</v>
      </c>
      <c r="IMP132" s="531" t="e">
        <f t="shared" si="105"/>
        <v>#DIV/0!</v>
      </c>
      <c r="IMQ132" s="531" t="e">
        <f t="shared" si="105"/>
        <v>#DIV/0!</v>
      </c>
      <c r="IMR132" s="531" t="e">
        <f t="shared" si="105"/>
        <v>#DIV/0!</v>
      </c>
      <c r="IMS132" s="531" t="e">
        <f t="shared" si="105"/>
        <v>#DIV/0!</v>
      </c>
      <c r="IMT132" s="531" t="e">
        <f t="shared" si="105"/>
        <v>#DIV/0!</v>
      </c>
      <c r="IMU132" s="531" t="e">
        <f t="shared" si="105"/>
        <v>#DIV/0!</v>
      </c>
      <c r="IMV132" s="531" t="e">
        <f t="shared" si="105"/>
        <v>#DIV/0!</v>
      </c>
      <c r="IMW132" s="531" t="e">
        <f t="shared" si="105"/>
        <v>#DIV/0!</v>
      </c>
      <c r="IMX132" s="531" t="e">
        <f t="shared" si="105"/>
        <v>#DIV/0!</v>
      </c>
      <c r="IMY132" s="531" t="e">
        <f t="shared" si="105"/>
        <v>#DIV/0!</v>
      </c>
      <c r="IMZ132" s="531" t="e">
        <f t="shared" si="105"/>
        <v>#DIV/0!</v>
      </c>
      <c r="INA132" s="531" t="e">
        <f t="shared" si="105"/>
        <v>#DIV/0!</v>
      </c>
      <c r="INB132" s="531" t="e">
        <f t="shared" si="105"/>
        <v>#DIV/0!</v>
      </c>
      <c r="INC132" s="531" t="e">
        <f t="shared" si="105"/>
        <v>#DIV/0!</v>
      </c>
      <c r="IND132" s="531" t="e">
        <f t="shared" si="105"/>
        <v>#DIV/0!</v>
      </c>
      <c r="INE132" s="531" t="e">
        <f t="shared" si="105"/>
        <v>#DIV/0!</v>
      </c>
      <c r="INF132" s="531" t="e">
        <f t="shared" si="105"/>
        <v>#DIV/0!</v>
      </c>
      <c r="ING132" s="531" t="e">
        <f t="shared" si="105"/>
        <v>#DIV/0!</v>
      </c>
      <c r="INH132" s="531" t="e">
        <f t="shared" si="105"/>
        <v>#DIV/0!</v>
      </c>
      <c r="INI132" s="531" t="e">
        <f t="shared" si="105"/>
        <v>#DIV/0!</v>
      </c>
      <c r="INJ132" s="531" t="e">
        <f t="shared" si="105"/>
        <v>#DIV/0!</v>
      </c>
      <c r="INK132" s="531" t="e">
        <f t="shared" si="105"/>
        <v>#DIV/0!</v>
      </c>
      <c r="INL132" s="531" t="e">
        <f t="shared" si="105"/>
        <v>#DIV/0!</v>
      </c>
      <c r="INM132" s="531" t="e">
        <f t="shared" si="105"/>
        <v>#DIV/0!</v>
      </c>
      <c r="INN132" s="531" t="e">
        <f t="shared" si="105"/>
        <v>#DIV/0!</v>
      </c>
      <c r="INO132" s="531" t="e">
        <f t="shared" si="105"/>
        <v>#DIV/0!</v>
      </c>
      <c r="INP132" s="531" t="e">
        <f t="shared" si="105"/>
        <v>#DIV/0!</v>
      </c>
      <c r="INQ132" s="531" t="e">
        <f t="shared" si="105"/>
        <v>#DIV/0!</v>
      </c>
      <c r="INR132" s="531" t="e">
        <f t="shared" si="105"/>
        <v>#DIV/0!</v>
      </c>
      <c r="INS132" s="531" t="e">
        <f t="shared" si="105"/>
        <v>#DIV/0!</v>
      </c>
      <c r="INT132" s="531" t="e">
        <f t="shared" si="105"/>
        <v>#DIV/0!</v>
      </c>
      <c r="INU132" s="531" t="e">
        <f t="shared" si="105"/>
        <v>#DIV/0!</v>
      </c>
      <c r="INV132" s="531" t="e">
        <f t="shared" si="105"/>
        <v>#DIV/0!</v>
      </c>
      <c r="INW132" s="531" t="e">
        <f t="shared" ref="INW132:IQH132" si="106">(INW128-INW116)/(INW52*10^5)</f>
        <v>#DIV/0!</v>
      </c>
      <c r="INX132" s="531" t="e">
        <f t="shared" si="106"/>
        <v>#DIV/0!</v>
      </c>
      <c r="INY132" s="531" t="e">
        <f t="shared" si="106"/>
        <v>#DIV/0!</v>
      </c>
      <c r="INZ132" s="531" t="e">
        <f t="shared" si="106"/>
        <v>#DIV/0!</v>
      </c>
      <c r="IOA132" s="531" t="e">
        <f t="shared" si="106"/>
        <v>#DIV/0!</v>
      </c>
      <c r="IOB132" s="531" t="e">
        <f t="shared" si="106"/>
        <v>#DIV/0!</v>
      </c>
      <c r="IOC132" s="531" t="e">
        <f t="shared" si="106"/>
        <v>#DIV/0!</v>
      </c>
      <c r="IOD132" s="531" t="e">
        <f t="shared" si="106"/>
        <v>#DIV/0!</v>
      </c>
      <c r="IOE132" s="531" t="e">
        <f t="shared" si="106"/>
        <v>#DIV/0!</v>
      </c>
      <c r="IOF132" s="531" t="e">
        <f t="shared" si="106"/>
        <v>#DIV/0!</v>
      </c>
      <c r="IOG132" s="531" t="e">
        <f t="shared" si="106"/>
        <v>#DIV/0!</v>
      </c>
      <c r="IOH132" s="531" t="e">
        <f t="shared" si="106"/>
        <v>#DIV/0!</v>
      </c>
      <c r="IOI132" s="531" t="e">
        <f t="shared" si="106"/>
        <v>#DIV/0!</v>
      </c>
      <c r="IOJ132" s="531" t="e">
        <f t="shared" si="106"/>
        <v>#DIV/0!</v>
      </c>
      <c r="IOK132" s="531" t="e">
        <f t="shared" si="106"/>
        <v>#DIV/0!</v>
      </c>
      <c r="IOL132" s="531" t="e">
        <f t="shared" si="106"/>
        <v>#DIV/0!</v>
      </c>
      <c r="IOM132" s="531" t="e">
        <f t="shared" si="106"/>
        <v>#DIV/0!</v>
      </c>
      <c r="ION132" s="531" t="e">
        <f t="shared" si="106"/>
        <v>#DIV/0!</v>
      </c>
      <c r="IOO132" s="531" t="e">
        <f t="shared" si="106"/>
        <v>#DIV/0!</v>
      </c>
      <c r="IOP132" s="531" t="e">
        <f t="shared" si="106"/>
        <v>#DIV/0!</v>
      </c>
      <c r="IOQ132" s="531" t="e">
        <f t="shared" si="106"/>
        <v>#DIV/0!</v>
      </c>
      <c r="IOR132" s="531" t="e">
        <f t="shared" si="106"/>
        <v>#DIV/0!</v>
      </c>
      <c r="IOS132" s="531" t="e">
        <f t="shared" si="106"/>
        <v>#DIV/0!</v>
      </c>
      <c r="IOT132" s="531" t="e">
        <f t="shared" si="106"/>
        <v>#DIV/0!</v>
      </c>
      <c r="IOU132" s="531" t="e">
        <f t="shared" si="106"/>
        <v>#DIV/0!</v>
      </c>
      <c r="IOV132" s="531" t="e">
        <f t="shared" si="106"/>
        <v>#DIV/0!</v>
      </c>
      <c r="IOW132" s="531" t="e">
        <f t="shared" si="106"/>
        <v>#DIV/0!</v>
      </c>
      <c r="IOX132" s="531" t="e">
        <f t="shared" si="106"/>
        <v>#DIV/0!</v>
      </c>
      <c r="IOY132" s="531" t="e">
        <f t="shared" si="106"/>
        <v>#DIV/0!</v>
      </c>
      <c r="IOZ132" s="531" t="e">
        <f t="shared" si="106"/>
        <v>#DIV/0!</v>
      </c>
      <c r="IPA132" s="531" t="e">
        <f t="shared" si="106"/>
        <v>#DIV/0!</v>
      </c>
      <c r="IPB132" s="531" t="e">
        <f t="shared" si="106"/>
        <v>#DIV/0!</v>
      </c>
      <c r="IPC132" s="531" t="e">
        <f t="shared" si="106"/>
        <v>#DIV/0!</v>
      </c>
      <c r="IPD132" s="531" t="e">
        <f t="shared" si="106"/>
        <v>#DIV/0!</v>
      </c>
      <c r="IPE132" s="531" t="e">
        <f t="shared" si="106"/>
        <v>#DIV/0!</v>
      </c>
      <c r="IPF132" s="531" t="e">
        <f t="shared" si="106"/>
        <v>#DIV/0!</v>
      </c>
      <c r="IPG132" s="531" t="e">
        <f t="shared" si="106"/>
        <v>#DIV/0!</v>
      </c>
      <c r="IPH132" s="531" t="e">
        <f t="shared" si="106"/>
        <v>#DIV/0!</v>
      </c>
      <c r="IPI132" s="531" t="e">
        <f t="shared" si="106"/>
        <v>#DIV/0!</v>
      </c>
      <c r="IPJ132" s="531" t="e">
        <f t="shared" si="106"/>
        <v>#DIV/0!</v>
      </c>
      <c r="IPK132" s="531" t="e">
        <f t="shared" si="106"/>
        <v>#DIV/0!</v>
      </c>
      <c r="IPL132" s="531" t="e">
        <f t="shared" si="106"/>
        <v>#DIV/0!</v>
      </c>
      <c r="IPM132" s="531" t="e">
        <f t="shared" si="106"/>
        <v>#DIV/0!</v>
      </c>
      <c r="IPN132" s="531" t="e">
        <f t="shared" si="106"/>
        <v>#DIV/0!</v>
      </c>
      <c r="IPO132" s="531" t="e">
        <f t="shared" si="106"/>
        <v>#DIV/0!</v>
      </c>
      <c r="IPP132" s="531" t="e">
        <f t="shared" si="106"/>
        <v>#DIV/0!</v>
      </c>
      <c r="IPQ132" s="531" t="e">
        <f t="shared" si="106"/>
        <v>#DIV/0!</v>
      </c>
      <c r="IPR132" s="531" t="e">
        <f t="shared" si="106"/>
        <v>#DIV/0!</v>
      </c>
      <c r="IPS132" s="531" t="e">
        <f t="shared" si="106"/>
        <v>#DIV/0!</v>
      </c>
      <c r="IPT132" s="531" t="e">
        <f t="shared" si="106"/>
        <v>#DIV/0!</v>
      </c>
      <c r="IPU132" s="531" t="e">
        <f t="shared" si="106"/>
        <v>#DIV/0!</v>
      </c>
      <c r="IPV132" s="531" t="e">
        <f t="shared" si="106"/>
        <v>#DIV/0!</v>
      </c>
      <c r="IPW132" s="531" t="e">
        <f t="shared" si="106"/>
        <v>#DIV/0!</v>
      </c>
      <c r="IPX132" s="531" t="e">
        <f t="shared" si="106"/>
        <v>#DIV/0!</v>
      </c>
      <c r="IPY132" s="531" t="e">
        <f t="shared" si="106"/>
        <v>#DIV/0!</v>
      </c>
      <c r="IPZ132" s="531" t="e">
        <f t="shared" si="106"/>
        <v>#DIV/0!</v>
      </c>
      <c r="IQA132" s="531" t="e">
        <f t="shared" si="106"/>
        <v>#DIV/0!</v>
      </c>
      <c r="IQB132" s="531" t="e">
        <f t="shared" si="106"/>
        <v>#DIV/0!</v>
      </c>
      <c r="IQC132" s="531" t="e">
        <f t="shared" si="106"/>
        <v>#DIV/0!</v>
      </c>
      <c r="IQD132" s="531" t="e">
        <f t="shared" si="106"/>
        <v>#DIV/0!</v>
      </c>
      <c r="IQE132" s="531" t="e">
        <f t="shared" si="106"/>
        <v>#DIV/0!</v>
      </c>
      <c r="IQF132" s="531" t="e">
        <f t="shared" si="106"/>
        <v>#DIV/0!</v>
      </c>
      <c r="IQG132" s="531" t="e">
        <f t="shared" si="106"/>
        <v>#DIV/0!</v>
      </c>
      <c r="IQH132" s="531" t="e">
        <f t="shared" si="106"/>
        <v>#DIV/0!</v>
      </c>
      <c r="IQI132" s="531" t="e">
        <f t="shared" ref="IQI132:IST132" si="107">(IQI128-IQI116)/(IQI52*10^5)</f>
        <v>#DIV/0!</v>
      </c>
      <c r="IQJ132" s="531" t="e">
        <f t="shared" si="107"/>
        <v>#DIV/0!</v>
      </c>
      <c r="IQK132" s="531" t="e">
        <f t="shared" si="107"/>
        <v>#DIV/0!</v>
      </c>
      <c r="IQL132" s="531" t="e">
        <f t="shared" si="107"/>
        <v>#DIV/0!</v>
      </c>
      <c r="IQM132" s="531" t="e">
        <f t="shared" si="107"/>
        <v>#DIV/0!</v>
      </c>
      <c r="IQN132" s="531" t="e">
        <f t="shared" si="107"/>
        <v>#DIV/0!</v>
      </c>
      <c r="IQO132" s="531" t="e">
        <f t="shared" si="107"/>
        <v>#DIV/0!</v>
      </c>
      <c r="IQP132" s="531" t="e">
        <f t="shared" si="107"/>
        <v>#DIV/0!</v>
      </c>
      <c r="IQQ132" s="531" t="e">
        <f t="shared" si="107"/>
        <v>#DIV/0!</v>
      </c>
      <c r="IQR132" s="531" t="e">
        <f t="shared" si="107"/>
        <v>#DIV/0!</v>
      </c>
      <c r="IQS132" s="531" t="e">
        <f t="shared" si="107"/>
        <v>#DIV/0!</v>
      </c>
      <c r="IQT132" s="531" t="e">
        <f t="shared" si="107"/>
        <v>#DIV/0!</v>
      </c>
      <c r="IQU132" s="531" t="e">
        <f t="shared" si="107"/>
        <v>#DIV/0!</v>
      </c>
      <c r="IQV132" s="531" t="e">
        <f t="shared" si="107"/>
        <v>#DIV/0!</v>
      </c>
      <c r="IQW132" s="531" t="e">
        <f t="shared" si="107"/>
        <v>#DIV/0!</v>
      </c>
      <c r="IQX132" s="531" t="e">
        <f t="shared" si="107"/>
        <v>#DIV/0!</v>
      </c>
      <c r="IQY132" s="531" t="e">
        <f t="shared" si="107"/>
        <v>#DIV/0!</v>
      </c>
      <c r="IQZ132" s="531" t="e">
        <f t="shared" si="107"/>
        <v>#DIV/0!</v>
      </c>
      <c r="IRA132" s="531" t="e">
        <f t="shared" si="107"/>
        <v>#DIV/0!</v>
      </c>
      <c r="IRB132" s="531" t="e">
        <f t="shared" si="107"/>
        <v>#DIV/0!</v>
      </c>
      <c r="IRC132" s="531" t="e">
        <f t="shared" si="107"/>
        <v>#DIV/0!</v>
      </c>
      <c r="IRD132" s="531" t="e">
        <f t="shared" si="107"/>
        <v>#DIV/0!</v>
      </c>
      <c r="IRE132" s="531" t="e">
        <f t="shared" si="107"/>
        <v>#DIV/0!</v>
      </c>
      <c r="IRF132" s="531" t="e">
        <f t="shared" si="107"/>
        <v>#DIV/0!</v>
      </c>
      <c r="IRG132" s="531" t="e">
        <f t="shared" si="107"/>
        <v>#DIV/0!</v>
      </c>
      <c r="IRH132" s="531" t="e">
        <f t="shared" si="107"/>
        <v>#DIV/0!</v>
      </c>
      <c r="IRI132" s="531" t="e">
        <f t="shared" si="107"/>
        <v>#DIV/0!</v>
      </c>
      <c r="IRJ132" s="531" t="e">
        <f t="shared" si="107"/>
        <v>#DIV/0!</v>
      </c>
      <c r="IRK132" s="531" t="e">
        <f t="shared" si="107"/>
        <v>#DIV/0!</v>
      </c>
      <c r="IRL132" s="531" t="e">
        <f t="shared" si="107"/>
        <v>#DIV/0!</v>
      </c>
      <c r="IRM132" s="531" t="e">
        <f t="shared" si="107"/>
        <v>#DIV/0!</v>
      </c>
      <c r="IRN132" s="531" t="e">
        <f t="shared" si="107"/>
        <v>#DIV/0!</v>
      </c>
      <c r="IRO132" s="531" t="e">
        <f t="shared" si="107"/>
        <v>#DIV/0!</v>
      </c>
      <c r="IRP132" s="531" t="e">
        <f t="shared" si="107"/>
        <v>#DIV/0!</v>
      </c>
      <c r="IRQ132" s="531" t="e">
        <f t="shared" si="107"/>
        <v>#DIV/0!</v>
      </c>
      <c r="IRR132" s="531" t="e">
        <f t="shared" si="107"/>
        <v>#DIV/0!</v>
      </c>
      <c r="IRS132" s="531" t="e">
        <f t="shared" si="107"/>
        <v>#DIV/0!</v>
      </c>
      <c r="IRT132" s="531" t="e">
        <f t="shared" si="107"/>
        <v>#DIV/0!</v>
      </c>
      <c r="IRU132" s="531" t="e">
        <f t="shared" si="107"/>
        <v>#DIV/0!</v>
      </c>
      <c r="IRV132" s="531" t="e">
        <f t="shared" si="107"/>
        <v>#DIV/0!</v>
      </c>
      <c r="IRW132" s="531" t="e">
        <f t="shared" si="107"/>
        <v>#DIV/0!</v>
      </c>
      <c r="IRX132" s="531" t="e">
        <f t="shared" si="107"/>
        <v>#DIV/0!</v>
      </c>
      <c r="IRY132" s="531" t="e">
        <f t="shared" si="107"/>
        <v>#DIV/0!</v>
      </c>
      <c r="IRZ132" s="531" t="e">
        <f t="shared" si="107"/>
        <v>#DIV/0!</v>
      </c>
      <c r="ISA132" s="531" t="e">
        <f t="shared" si="107"/>
        <v>#DIV/0!</v>
      </c>
      <c r="ISB132" s="531" t="e">
        <f t="shared" si="107"/>
        <v>#DIV/0!</v>
      </c>
      <c r="ISC132" s="531" t="e">
        <f t="shared" si="107"/>
        <v>#DIV/0!</v>
      </c>
      <c r="ISD132" s="531" t="e">
        <f t="shared" si="107"/>
        <v>#DIV/0!</v>
      </c>
      <c r="ISE132" s="531" t="e">
        <f t="shared" si="107"/>
        <v>#DIV/0!</v>
      </c>
      <c r="ISF132" s="531" t="e">
        <f t="shared" si="107"/>
        <v>#DIV/0!</v>
      </c>
      <c r="ISG132" s="531" t="e">
        <f t="shared" si="107"/>
        <v>#DIV/0!</v>
      </c>
      <c r="ISH132" s="531" t="e">
        <f t="shared" si="107"/>
        <v>#DIV/0!</v>
      </c>
      <c r="ISI132" s="531" t="e">
        <f t="shared" si="107"/>
        <v>#DIV/0!</v>
      </c>
      <c r="ISJ132" s="531" t="e">
        <f t="shared" si="107"/>
        <v>#DIV/0!</v>
      </c>
      <c r="ISK132" s="531" t="e">
        <f t="shared" si="107"/>
        <v>#DIV/0!</v>
      </c>
      <c r="ISL132" s="531" t="e">
        <f t="shared" si="107"/>
        <v>#DIV/0!</v>
      </c>
      <c r="ISM132" s="531" t="e">
        <f t="shared" si="107"/>
        <v>#DIV/0!</v>
      </c>
      <c r="ISN132" s="531" t="e">
        <f t="shared" si="107"/>
        <v>#DIV/0!</v>
      </c>
      <c r="ISO132" s="531" t="e">
        <f t="shared" si="107"/>
        <v>#DIV/0!</v>
      </c>
      <c r="ISP132" s="531" t="e">
        <f t="shared" si="107"/>
        <v>#DIV/0!</v>
      </c>
      <c r="ISQ132" s="531" t="e">
        <f t="shared" si="107"/>
        <v>#DIV/0!</v>
      </c>
      <c r="ISR132" s="531" t="e">
        <f t="shared" si="107"/>
        <v>#DIV/0!</v>
      </c>
      <c r="ISS132" s="531" t="e">
        <f t="shared" si="107"/>
        <v>#DIV/0!</v>
      </c>
      <c r="IST132" s="531" t="e">
        <f t="shared" si="107"/>
        <v>#DIV/0!</v>
      </c>
      <c r="ISU132" s="531" t="e">
        <f t="shared" ref="ISU132:IVF132" si="108">(ISU128-ISU116)/(ISU52*10^5)</f>
        <v>#DIV/0!</v>
      </c>
      <c r="ISV132" s="531" t="e">
        <f t="shared" si="108"/>
        <v>#DIV/0!</v>
      </c>
      <c r="ISW132" s="531" t="e">
        <f t="shared" si="108"/>
        <v>#DIV/0!</v>
      </c>
      <c r="ISX132" s="531" t="e">
        <f t="shared" si="108"/>
        <v>#DIV/0!</v>
      </c>
      <c r="ISY132" s="531" t="e">
        <f t="shared" si="108"/>
        <v>#DIV/0!</v>
      </c>
      <c r="ISZ132" s="531" t="e">
        <f t="shared" si="108"/>
        <v>#DIV/0!</v>
      </c>
      <c r="ITA132" s="531" t="e">
        <f t="shared" si="108"/>
        <v>#DIV/0!</v>
      </c>
      <c r="ITB132" s="531" t="e">
        <f t="shared" si="108"/>
        <v>#DIV/0!</v>
      </c>
      <c r="ITC132" s="531" t="e">
        <f t="shared" si="108"/>
        <v>#DIV/0!</v>
      </c>
      <c r="ITD132" s="531" t="e">
        <f t="shared" si="108"/>
        <v>#DIV/0!</v>
      </c>
      <c r="ITE132" s="531" t="e">
        <f t="shared" si="108"/>
        <v>#DIV/0!</v>
      </c>
      <c r="ITF132" s="531" t="e">
        <f t="shared" si="108"/>
        <v>#DIV/0!</v>
      </c>
      <c r="ITG132" s="531" t="e">
        <f t="shared" si="108"/>
        <v>#DIV/0!</v>
      </c>
      <c r="ITH132" s="531" t="e">
        <f t="shared" si="108"/>
        <v>#DIV/0!</v>
      </c>
      <c r="ITI132" s="531" t="e">
        <f t="shared" si="108"/>
        <v>#DIV/0!</v>
      </c>
      <c r="ITJ132" s="531" t="e">
        <f t="shared" si="108"/>
        <v>#DIV/0!</v>
      </c>
      <c r="ITK132" s="531" t="e">
        <f t="shared" si="108"/>
        <v>#DIV/0!</v>
      </c>
      <c r="ITL132" s="531" t="e">
        <f t="shared" si="108"/>
        <v>#DIV/0!</v>
      </c>
      <c r="ITM132" s="531" t="e">
        <f t="shared" si="108"/>
        <v>#DIV/0!</v>
      </c>
      <c r="ITN132" s="531" t="e">
        <f t="shared" si="108"/>
        <v>#DIV/0!</v>
      </c>
      <c r="ITO132" s="531" t="e">
        <f t="shared" si="108"/>
        <v>#DIV/0!</v>
      </c>
      <c r="ITP132" s="531" t="e">
        <f t="shared" si="108"/>
        <v>#DIV/0!</v>
      </c>
      <c r="ITQ132" s="531" t="e">
        <f t="shared" si="108"/>
        <v>#DIV/0!</v>
      </c>
      <c r="ITR132" s="531" t="e">
        <f t="shared" si="108"/>
        <v>#DIV/0!</v>
      </c>
      <c r="ITS132" s="531" t="e">
        <f t="shared" si="108"/>
        <v>#DIV/0!</v>
      </c>
      <c r="ITT132" s="531" t="e">
        <f t="shared" si="108"/>
        <v>#DIV/0!</v>
      </c>
      <c r="ITU132" s="531" t="e">
        <f t="shared" si="108"/>
        <v>#DIV/0!</v>
      </c>
      <c r="ITV132" s="531" t="e">
        <f t="shared" si="108"/>
        <v>#DIV/0!</v>
      </c>
      <c r="ITW132" s="531" t="e">
        <f t="shared" si="108"/>
        <v>#DIV/0!</v>
      </c>
      <c r="ITX132" s="531" t="e">
        <f t="shared" si="108"/>
        <v>#DIV/0!</v>
      </c>
      <c r="ITY132" s="531" t="e">
        <f t="shared" si="108"/>
        <v>#DIV/0!</v>
      </c>
      <c r="ITZ132" s="531" t="e">
        <f t="shared" si="108"/>
        <v>#DIV/0!</v>
      </c>
      <c r="IUA132" s="531" t="e">
        <f t="shared" si="108"/>
        <v>#DIV/0!</v>
      </c>
      <c r="IUB132" s="531" t="e">
        <f t="shared" si="108"/>
        <v>#DIV/0!</v>
      </c>
      <c r="IUC132" s="531" t="e">
        <f t="shared" si="108"/>
        <v>#DIV/0!</v>
      </c>
      <c r="IUD132" s="531" t="e">
        <f t="shared" si="108"/>
        <v>#DIV/0!</v>
      </c>
      <c r="IUE132" s="531" t="e">
        <f t="shared" si="108"/>
        <v>#DIV/0!</v>
      </c>
      <c r="IUF132" s="531" t="e">
        <f t="shared" si="108"/>
        <v>#DIV/0!</v>
      </c>
      <c r="IUG132" s="531" t="e">
        <f t="shared" si="108"/>
        <v>#DIV/0!</v>
      </c>
      <c r="IUH132" s="531" t="e">
        <f t="shared" si="108"/>
        <v>#DIV/0!</v>
      </c>
      <c r="IUI132" s="531" t="e">
        <f t="shared" si="108"/>
        <v>#DIV/0!</v>
      </c>
      <c r="IUJ132" s="531" t="e">
        <f t="shared" si="108"/>
        <v>#DIV/0!</v>
      </c>
      <c r="IUK132" s="531" t="e">
        <f t="shared" si="108"/>
        <v>#DIV/0!</v>
      </c>
      <c r="IUL132" s="531" t="e">
        <f t="shared" si="108"/>
        <v>#DIV/0!</v>
      </c>
      <c r="IUM132" s="531" t="e">
        <f t="shared" si="108"/>
        <v>#DIV/0!</v>
      </c>
      <c r="IUN132" s="531" t="e">
        <f t="shared" si="108"/>
        <v>#DIV/0!</v>
      </c>
      <c r="IUO132" s="531" t="e">
        <f t="shared" si="108"/>
        <v>#DIV/0!</v>
      </c>
      <c r="IUP132" s="531" t="e">
        <f t="shared" si="108"/>
        <v>#DIV/0!</v>
      </c>
      <c r="IUQ132" s="531" t="e">
        <f t="shared" si="108"/>
        <v>#DIV/0!</v>
      </c>
      <c r="IUR132" s="531" t="e">
        <f t="shared" si="108"/>
        <v>#DIV/0!</v>
      </c>
      <c r="IUS132" s="531" t="e">
        <f t="shared" si="108"/>
        <v>#DIV/0!</v>
      </c>
      <c r="IUT132" s="531" t="e">
        <f t="shared" si="108"/>
        <v>#DIV/0!</v>
      </c>
      <c r="IUU132" s="531" t="e">
        <f t="shared" si="108"/>
        <v>#DIV/0!</v>
      </c>
      <c r="IUV132" s="531" t="e">
        <f t="shared" si="108"/>
        <v>#DIV/0!</v>
      </c>
      <c r="IUW132" s="531" t="e">
        <f t="shared" si="108"/>
        <v>#DIV/0!</v>
      </c>
      <c r="IUX132" s="531" t="e">
        <f t="shared" si="108"/>
        <v>#DIV/0!</v>
      </c>
      <c r="IUY132" s="531" t="e">
        <f t="shared" si="108"/>
        <v>#DIV/0!</v>
      </c>
      <c r="IUZ132" s="531" t="e">
        <f t="shared" si="108"/>
        <v>#DIV/0!</v>
      </c>
      <c r="IVA132" s="531" t="e">
        <f t="shared" si="108"/>
        <v>#DIV/0!</v>
      </c>
      <c r="IVB132" s="531" t="e">
        <f t="shared" si="108"/>
        <v>#DIV/0!</v>
      </c>
      <c r="IVC132" s="531" t="e">
        <f t="shared" si="108"/>
        <v>#DIV/0!</v>
      </c>
      <c r="IVD132" s="531" t="e">
        <f t="shared" si="108"/>
        <v>#DIV/0!</v>
      </c>
      <c r="IVE132" s="531" t="e">
        <f t="shared" si="108"/>
        <v>#DIV/0!</v>
      </c>
      <c r="IVF132" s="531" t="e">
        <f t="shared" si="108"/>
        <v>#DIV/0!</v>
      </c>
      <c r="IVG132" s="531" t="e">
        <f t="shared" ref="IVG132:IXR132" si="109">(IVG128-IVG116)/(IVG52*10^5)</f>
        <v>#DIV/0!</v>
      </c>
      <c r="IVH132" s="531" t="e">
        <f t="shared" si="109"/>
        <v>#DIV/0!</v>
      </c>
      <c r="IVI132" s="531" t="e">
        <f t="shared" si="109"/>
        <v>#DIV/0!</v>
      </c>
      <c r="IVJ132" s="531" t="e">
        <f t="shared" si="109"/>
        <v>#DIV/0!</v>
      </c>
      <c r="IVK132" s="531" t="e">
        <f t="shared" si="109"/>
        <v>#DIV/0!</v>
      </c>
      <c r="IVL132" s="531" t="e">
        <f t="shared" si="109"/>
        <v>#DIV/0!</v>
      </c>
      <c r="IVM132" s="531" t="e">
        <f t="shared" si="109"/>
        <v>#DIV/0!</v>
      </c>
      <c r="IVN132" s="531" t="e">
        <f t="shared" si="109"/>
        <v>#DIV/0!</v>
      </c>
      <c r="IVO132" s="531" t="e">
        <f t="shared" si="109"/>
        <v>#DIV/0!</v>
      </c>
      <c r="IVP132" s="531" t="e">
        <f t="shared" si="109"/>
        <v>#DIV/0!</v>
      </c>
      <c r="IVQ132" s="531" t="e">
        <f t="shared" si="109"/>
        <v>#DIV/0!</v>
      </c>
      <c r="IVR132" s="531" t="e">
        <f t="shared" si="109"/>
        <v>#DIV/0!</v>
      </c>
      <c r="IVS132" s="531" t="e">
        <f t="shared" si="109"/>
        <v>#DIV/0!</v>
      </c>
      <c r="IVT132" s="531" t="e">
        <f t="shared" si="109"/>
        <v>#DIV/0!</v>
      </c>
      <c r="IVU132" s="531" t="e">
        <f t="shared" si="109"/>
        <v>#DIV/0!</v>
      </c>
      <c r="IVV132" s="531" t="e">
        <f t="shared" si="109"/>
        <v>#DIV/0!</v>
      </c>
      <c r="IVW132" s="531" t="e">
        <f t="shared" si="109"/>
        <v>#DIV/0!</v>
      </c>
      <c r="IVX132" s="531" t="e">
        <f t="shared" si="109"/>
        <v>#DIV/0!</v>
      </c>
      <c r="IVY132" s="531" t="e">
        <f t="shared" si="109"/>
        <v>#DIV/0!</v>
      </c>
      <c r="IVZ132" s="531" t="e">
        <f t="shared" si="109"/>
        <v>#DIV/0!</v>
      </c>
      <c r="IWA132" s="531" t="e">
        <f t="shared" si="109"/>
        <v>#DIV/0!</v>
      </c>
      <c r="IWB132" s="531" t="e">
        <f t="shared" si="109"/>
        <v>#DIV/0!</v>
      </c>
      <c r="IWC132" s="531" t="e">
        <f t="shared" si="109"/>
        <v>#DIV/0!</v>
      </c>
      <c r="IWD132" s="531" t="e">
        <f t="shared" si="109"/>
        <v>#DIV/0!</v>
      </c>
      <c r="IWE132" s="531" t="e">
        <f t="shared" si="109"/>
        <v>#DIV/0!</v>
      </c>
      <c r="IWF132" s="531" t="e">
        <f t="shared" si="109"/>
        <v>#DIV/0!</v>
      </c>
      <c r="IWG132" s="531" t="e">
        <f t="shared" si="109"/>
        <v>#DIV/0!</v>
      </c>
      <c r="IWH132" s="531" t="e">
        <f t="shared" si="109"/>
        <v>#DIV/0!</v>
      </c>
      <c r="IWI132" s="531" t="e">
        <f t="shared" si="109"/>
        <v>#DIV/0!</v>
      </c>
      <c r="IWJ132" s="531" t="e">
        <f t="shared" si="109"/>
        <v>#DIV/0!</v>
      </c>
      <c r="IWK132" s="531" t="e">
        <f t="shared" si="109"/>
        <v>#DIV/0!</v>
      </c>
      <c r="IWL132" s="531" t="e">
        <f t="shared" si="109"/>
        <v>#DIV/0!</v>
      </c>
      <c r="IWM132" s="531" t="e">
        <f t="shared" si="109"/>
        <v>#DIV/0!</v>
      </c>
      <c r="IWN132" s="531" t="e">
        <f t="shared" si="109"/>
        <v>#DIV/0!</v>
      </c>
      <c r="IWO132" s="531" t="e">
        <f t="shared" si="109"/>
        <v>#DIV/0!</v>
      </c>
      <c r="IWP132" s="531" t="e">
        <f t="shared" si="109"/>
        <v>#DIV/0!</v>
      </c>
      <c r="IWQ132" s="531" t="e">
        <f t="shared" si="109"/>
        <v>#DIV/0!</v>
      </c>
      <c r="IWR132" s="531" t="e">
        <f t="shared" si="109"/>
        <v>#DIV/0!</v>
      </c>
      <c r="IWS132" s="531" t="e">
        <f t="shared" si="109"/>
        <v>#DIV/0!</v>
      </c>
      <c r="IWT132" s="531" t="e">
        <f t="shared" si="109"/>
        <v>#DIV/0!</v>
      </c>
      <c r="IWU132" s="531" t="e">
        <f t="shared" si="109"/>
        <v>#DIV/0!</v>
      </c>
      <c r="IWV132" s="531" t="e">
        <f t="shared" si="109"/>
        <v>#DIV/0!</v>
      </c>
      <c r="IWW132" s="531" t="e">
        <f t="shared" si="109"/>
        <v>#DIV/0!</v>
      </c>
      <c r="IWX132" s="531" t="e">
        <f t="shared" si="109"/>
        <v>#DIV/0!</v>
      </c>
      <c r="IWY132" s="531" t="e">
        <f t="shared" si="109"/>
        <v>#DIV/0!</v>
      </c>
      <c r="IWZ132" s="531" t="e">
        <f t="shared" si="109"/>
        <v>#DIV/0!</v>
      </c>
      <c r="IXA132" s="531" t="e">
        <f t="shared" si="109"/>
        <v>#DIV/0!</v>
      </c>
      <c r="IXB132" s="531" t="e">
        <f t="shared" si="109"/>
        <v>#DIV/0!</v>
      </c>
      <c r="IXC132" s="531" t="e">
        <f t="shared" si="109"/>
        <v>#DIV/0!</v>
      </c>
      <c r="IXD132" s="531" t="e">
        <f t="shared" si="109"/>
        <v>#DIV/0!</v>
      </c>
      <c r="IXE132" s="531" t="e">
        <f t="shared" si="109"/>
        <v>#DIV/0!</v>
      </c>
      <c r="IXF132" s="531" t="e">
        <f t="shared" si="109"/>
        <v>#DIV/0!</v>
      </c>
      <c r="IXG132" s="531" t="e">
        <f t="shared" si="109"/>
        <v>#DIV/0!</v>
      </c>
      <c r="IXH132" s="531" t="e">
        <f t="shared" si="109"/>
        <v>#DIV/0!</v>
      </c>
      <c r="IXI132" s="531" t="e">
        <f t="shared" si="109"/>
        <v>#DIV/0!</v>
      </c>
      <c r="IXJ132" s="531" t="e">
        <f t="shared" si="109"/>
        <v>#DIV/0!</v>
      </c>
      <c r="IXK132" s="531" t="e">
        <f t="shared" si="109"/>
        <v>#DIV/0!</v>
      </c>
      <c r="IXL132" s="531" t="e">
        <f t="shared" si="109"/>
        <v>#DIV/0!</v>
      </c>
      <c r="IXM132" s="531" t="e">
        <f t="shared" si="109"/>
        <v>#DIV/0!</v>
      </c>
      <c r="IXN132" s="531" t="e">
        <f t="shared" si="109"/>
        <v>#DIV/0!</v>
      </c>
      <c r="IXO132" s="531" t="e">
        <f t="shared" si="109"/>
        <v>#DIV/0!</v>
      </c>
      <c r="IXP132" s="531" t="e">
        <f t="shared" si="109"/>
        <v>#DIV/0!</v>
      </c>
      <c r="IXQ132" s="531" t="e">
        <f t="shared" si="109"/>
        <v>#DIV/0!</v>
      </c>
      <c r="IXR132" s="531" t="e">
        <f t="shared" si="109"/>
        <v>#DIV/0!</v>
      </c>
      <c r="IXS132" s="531" t="e">
        <f t="shared" ref="IXS132:JAD132" si="110">(IXS128-IXS116)/(IXS52*10^5)</f>
        <v>#DIV/0!</v>
      </c>
      <c r="IXT132" s="531" t="e">
        <f t="shared" si="110"/>
        <v>#DIV/0!</v>
      </c>
      <c r="IXU132" s="531" t="e">
        <f t="shared" si="110"/>
        <v>#DIV/0!</v>
      </c>
      <c r="IXV132" s="531" t="e">
        <f t="shared" si="110"/>
        <v>#DIV/0!</v>
      </c>
      <c r="IXW132" s="531" t="e">
        <f t="shared" si="110"/>
        <v>#DIV/0!</v>
      </c>
      <c r="IXX132" s="531" t="e">
        <f t="shared" si="110"/>
        <v>#DIV/0!</v>
      </c>
      <c r="IXY132" s="531" t="e">
        <f t="shared" si="110"/>
        <v>#DIV/0!</v>
      </c>
      <c r="IXZ132" s="531" t="e">
        <f t="shared" si="110"/>
        <v>#DIV/0!</v>
      </c>
      <c r="IYA132" s="531" t="e">
        <f t="shared" si="110"/>
        <v>#DIV/0!</v>
      </c>
      <c r="IYB132" s="531" t="e">
        <f t="shared" si="110"/>
        <v>#DIV/0!</v>
      </c>
      <c r="IYC132" s="531" t="e">
        <f t="shared" si="110"/>
        <v>#DIV/0!</v>
      </c>
      <c r="IYD132" s="531" t="e">
        <f t="shared" si="110"/>
        <v>#DIV/0!</v>
      </c>
      <c r="IYE132" s="531" t="e">
        <f t="shared" si="110"/>
        <v>#DIV/0!</v>
      </c>
      <c r="IYF132" s="531" t="e">
        <f t="shared" si="110"/>
        <v>#DIV/0!</v>
      </c>
      <c r="IYG132" s="531" t="e">
        <f t="shared" si="110"/>
        <v>#DIV/0!</v>
      </c>
      <c r="IYH132" s="531" t="e">
        <f t="shared" si="110"/>
        <v>#DIV/0!</v>
      </c>
      <c r="IYI132" s="531" t="e">
        <f t="shared" si="110"/>
        <v>#DIV/0!</v>
      </c>
      <c r="IYJ132" s="531" t="e">
        <f t="shared" si="110"/>
        <v>#DIV/0!</v>
      </c>
      <c r="IYK132" s="531" t="e">
        <f t="shared" si="110"/>
        <v>#DIV/0!</v>
      </c>
      <c r="IYL132" s="531" t="e">
        <f t="shared" si="110"/>
        <v>#DIV/0!</v>
      </c>
      <c r="IYM132" s="531" t="e">
        <f t="shared" si="110"/>
        <v>#DIV/0!</v>
      </c>
      <c r="IYN132" s="531" t="e">
        <f t="shared" si="110"/>
        <v>#DIV/0!</v>
      </c>
      <c r="IYO132" s="531" t="e">
        <f t="shared" si="110"/>
        <v>#DIV/0!</v>
      </c>
      <c r="IYP132" s="531" t="e">
        <f t="shared" si="110"/>
        <v>#DIV/0!</v>
      </c>
      <c r="IYQ132" s="531" t="e">
        <f t="shared" si="110"/>
        <v>#DIV/0!</v>
      </c>
      <c r="IYR132" s="531" t="e">
        <f t="shared" si="110"/>
        <v>#DIV/0!</v>
      </c>
      <c r="IYS132" s="531" t="e">
        <f t="shared" si="110"/>
        <v>#DIV/0!</v>
      </c>
      <c r="IYT132" s="531" t="e">
        <f t="shared" si="110"/>
        <v>#DIV/0!</v>
      </c>
      <c r="IYU132" s="531" t="e">
        <f t="shared" si="110"/>
        <v>#DIV/0!</v>
      </c>
      <c r="IYV132" s="531" t="e">
        <f t="shared" si="110"/>
        <v>#DIV/0!</v>
      </c>
      <c r="IYW132" s="531" t="e">
        <f t="shared" si="110"/>
        <v>#DIV/0!</v>
      </c>
      <c r="IYX132" s="531" t="e">
        <f t="shared" si="110"/>
        <v>#DIV/0!</v>
      </c>
      <c r="IYY132" s="531" t="e">
        <f t="shared" si="110"/>
        <v>#DIV/0!</v>
      </c>
      <c r="IYZ132" s="531" t="e">
        <f t="shared" si="110"/>
        <v>#DIV/0!</v>
      </c>
      <c r="IZA132" s="531" t="e">
        <f t="shared" si="110"/>
        <v>#DIV/0!</v>
      </c>
      <c r="IZB132" s="531" t="e">
        <f t="shared" si="110"/>
        <v>#DIV/0!</v>
      </c>
      <c r="IZC132" s="531" t="e">
        <f t="shared" si="110"/>
        <v>#DIV/0!</v>
      </c>
      <c r="IZD132" s="531" t="e">
        <f t="shared" si="110"/>
        <v>#DIV/0!</v>
      </c>
      <c r="IZE132" s="531" t="e">
        <f t="shared" si="110"/>
        <v>#DIV/0!</v>
      </c>
      <c r="IZF132" s="531" t="e">
        <f t="shared" si="110"/>
        <v>#DIV/0!</v>
      </c>
      <c r="IZG132" s="531" t="e">
        <f t="shared" si="110"/>
        <v>#DIV/0!</v>
      </c>
      <c r="IZH132" s="531" t="e">
        <f t="shared" si="110"/>
        <v>#DIV/0!</v>
      </c>
      <c r="IZI132" s="531" t="e">
        <f t="shared" si="110"/>
        <v>#DIV/0!</v>
      </c>
      <c r="IZJ132" s="531" t="e">
        <f t="shared" si="110"/>
        <v>#DIV/0!</v>
      </c>
      <c r="IZK132" s="531" t="e">
        <f t="shared" si="110"/>
        <v>#DIV/0!</v>
      </c>
      <c r="IZL132" s="531" t="e">
        <f t="shared" si="110"/>
        <v>#DIV/0!</v>
      </c>
      <c r="IZM132" s="531" t="e">
        <f t="shared" si="110"/>
        <v>#DIV/0!</v>
      </c>
      <c r="IZN132" s="531" t="e">
        <f t="shared" si="110"/>
        <v>#DIV/0!</v>
      </c>
      <c r="IZO132" s="531" t="e">
        <f t="shared" si="110"/>
        <v>#DIV/0!</v>
      </c>
      <c r="IZP132" s="531" t="e">
        <f t="shared" si="110"/>
        <v>#DIV/0!</v>
      </c>
      <c r="IZQ132" s="531" t="e">
        <f t="shared" si="110"/>
        <v>#DIV/0!</v>
      </c>
      <c r="IZR132" s="531" t="e">
        <f t="shared" si="110"/>
        <v>#DIV/0!</v>
      </c>
      <c r="IZS132" s="531" t="e">
        <f t="shared" si="110"/>
        <v>#DIV/0!</v>
      </c>
      <c r="IZT132" s="531" t="e">
        <f t="shared" si="110"/>
        <v>#DIV/0!</v>
      </c>
      <c r="IZU132" s="531" t="e">
        <f t="shared" si="110"/>
        <v>#DIV/0!</v>
      </c>
      <c r="IZV132" s="531" t="e">
        <f t="shared" si="110"/>
        <v>#DIV/0!</v>
      </c>
      <c r="IZW132" s="531" t="e">
        <f t="shared" si="110"/>
        <v>#DIV/0!</v>
      </c>
      <c r="IZX132" s="531" t="e">
        <f t="shared" si="110"/>
        <v>#DIV/0!</v>
      </c>
      <c r="IZY132" s="531" t="e">
        <f t="shared" si="110"/>
        <v>#DIV/0!</v>
      </c>
      <c r="IZZ132" s="531" t="e">
        <f t="shared" si="110"/>
        <v>#DIV/0!</v>
      </c>
      <c r="JAA132" s="531" t="e">
        <f t="shared" si="110"/>
        <v>#DIV/0!</v>
      </c>
      <c r="JAB132" s="531" t="e">
        <f t="shared" si="110"/>
        <v>#DIV/0!</v>
      </c>
      <c r="JAC132" s="531" t="e">
        <f t="shared" si="110"/>
        <v>#DIV/0!</v>
      </c>
      <c r="JAD132" s="531" t="e">
        <f t="shared" si="110"/>
        <v>#DIV/0!</v>
      </c>
      <c r="JAE132" s="531" t="e">
        <f t="shared" ref="JAE132:JCP132" si="111">(JAE128-JAE116)/(JAE52*10^5)</f>
        <v>#DIV/0!</v>
      </c>
      <c r="JAF132" s="531" t="e">
        <f t="shared" si="111"/>
        <v>#DIV/0!</v>
      </c>
      <c r="JAG132" s="531" t="e">
        <f t="shared" si="111"/>
        <v>#DIV/0!</v>
      </c>
      <c r="JAH132" s="531" t="e">
        <f t="shared" si="111"/>
        <v>#DIV/0!</v>
      </c>
      <c r="JAI132" s="531" t="e">
        <f t="shared" si="111"/>
        <v>#DIV/0!</v>
      </c>
      <c r="JAJ132" s="531" t="e">
        <f t="shared" si="111"/>
        <v>#DIV/0!</v>
      </c>
      <c r="JAK132" s="531" t="e">
        <f t="shared" si="111"/>
        <v>#DIV/0!</v>
      </c>
      <c r="JAL132" s="531" t="e">
        <f t="shared" si="111"/>
        <v>#DIV/0!</v>
      </c>
      <c r="JAM132" s="531" t="e">
        <f t="shared" si="111"/>
        <v>#DIV/0!</v>
      </c>
      <c r="JAN132" s="531" t="e">
        <f t="shared" si="111"/>
        <v>#DIV/0!</v>
      </c>
      <c r="JAO132" s="531" t="e">
        <f t="shared" si="111"/>
        <v>#DIV/0!</v>
      </c>
      <c r="JAP132" s="531" t="e">
        <f t="shared" si="111"/>
        <v>#DIV/0!</v>
      </c>
      <c r="JAQ132" s="531" t="e">
        <f t="shared" si="111"/>
        <v>#DIV/0!</v>
      </c>
      <c r="JAR132" s="531" t="e">
        <f t="shared" si="111"/>
        <v>#DIV/0!</v>
      </c>
      <c r="JAS132" s="531" t="e">
        <f t="shared" si="111"/>
        <v>#DIV/0!</v>
      </c>
      <c r="JAT132" s="531" t="e">
        <f t="shared" si="111"/>
        <v>#DIV/0!</v>
      </c>
      <c r="JAU132" s="531" t="e">
        <f t="shared" si="111"/>
        <v>#DIV/0!</v>
      </c>
      <c r="JAV132" s="531" t="e">
        <f t="shared" si="111"/>
        <v>#DIV/0!</v>
      </c>
      <c r="JAW132" s="531" t="e">
        <f t="shared" si="111"/>
        <v>#DIV/0!</v>
      </c>
      <c r="JAX132" s="531" t="e">
        <f t="shared" si="111"/>
        <v>#DIV/0!</v>
      </c>
      <c r="JAY132" s="531" t="e">
        <f t="shared" si="111"/>
        <v>#DIV/0!</v>
      </c>
      <c r="JAZ132" s="531" t="e">
        <f t="shared" si="111"/>
        <v>#DIV/0!</v>
      </c>
      <c r="JBA132" s="531" t="e">
        <f t="shared" si="111"/>
        <v>#DIV/0!</v>
      </c>
      <c r="JBB132" s="531" t="e">
        <f t="shared" si="111"/>
        <v>#DIV/0!</v>
      </c>
      <c r="JBC132" s="531" t="e">
        <f t="shared" si="111"/>
        <v>#DIV/0!</v>
      </c>
      <c r="JBD132" s="531" t="e">
        <f t="shared" si="111"/>
        <v>#DIV/0!</v>
      </c>
      <c r="JBE132" s="531" t="e">
        <f t="shared" si="111"/>
        <v>#DIV/0!</v>
      </c>
      <c r="JBF132" s="531" t="e">
        <f t="shared" si="111"/>
        <v>#DIV/0!</v>
      </c>
      <c r="JBG132" s="531" t="e">
        <f t="shared" si="111"/>
        <v>#DIV/0!</v>
      </c>
      <c r="JBH132" s="531" t="e">
        <f t="shared" si="111"/>
        <v>#DIV/0!</v>
      </c>
      <c r="JBI132" s="531" t="e">
        <f t="shared" si="111"/>
        <v>#DIV/0!</v>
      </c>
      <c r="JBJ132" s="531" t="e">
        <f t="shared" si="111"/>
        <v>#DIV/0!</v>
      </c>
      <c r="JBK132" s="531" t="e">
        <f t="shared" si="111"/>
        <v>#DIV/0!</v>
      </c>
      <c r="JBL132" s="531" t="e">
        <f t="shared" si="111"/>
        <v>#DIV/0!</v>
      </c>
      <c r="JBM132" s="531" t="e">
        <f t="shared" si="111"/>
        <v>#DIV/0!</v>
      </c>
      <c r="JBN132" s="531" t="e">
        <f t="shared" si="111"/>
        <v>#DIV/0!</v>
      </c>
      <c r="JBO132" s="531" t="e">
        <f t="shared" si="111"/>
        <v>#DIV/0!</v>
      </c>
      <c r="JBP132" s="531" t="e">
        <f t="shared" si="111"/>
        <v>#DIV/0!</v>
      </c>
      <c r="JBQ132" s="531" t="e">
        <f t="shared" si="111"/>
        <v>#DIV/0!</v>
      </c>
      <c r="JBR132" s="531" t="e">
        <f t="shared" si="111"/>
        <v>#DIV/0!</v>
      </c>
      <c r="JBS132" s="531" t="e">
        <f t="shared" si="111"/>
        <v>#DIV/0!</v>
      </c>
      <c r="JBT132" s="531" t="e">
        <f t="shared" si="111"/>
        <v>#DIV/0!</v>
      </c>
      <c r="JBU132" s="531" t="e">
        <f t="shared" si="111"/>
        <v>#DIV/0!</v>
      </c>
      <c r="JBV132" s="531" t="e">
        <f t="shared" si="111"/>
        <v>#DIV/0!</v>
      </c>
      <c r="JBW132" s="531" t="e">
        <f t="shared" si="111"/>
        <v>#DIV/0!</v>
      </c>
      <c r="JBX132" s="531" t="e">
        <f t="shared" si="111"/>
        <v>#DIV/0!</v>
      </c>
      <c r="JBY132" s="531" t="e">
        <f t="shared" si="111"/>
        <v>#DIV/0!</v>
      </c>
      <c r="JBZ132" s="531" t="e">
        <f t="shared" si="111"/>
        <v>#DIV/0!</v>
      </c>
      <c r="JCA132" s="531" t="e">
        <f t="shared" si="111"/>
        <v>#DIV/0!</v>
      </c>
      <c r="JCB132" s="531" t="e">
        <f t="shared" si="111"/>
        <v>#DIV/0!</v>
      </c>
      <c r="JCC132" s="531" t="e">
        <f t="shared" si="111"/>
        <v>#DIV/0!</v>
      </c>
      <c r="JCD132" s="531" t="e">
        <f t="shared" si="111"/>
        <v>#DIV/0!</v>
      </c>
      <c r="JCE132" s="531" t="e">
        <f t="shared" si="111"/>
        <v>#DIV/0!</v>
      </c>
      <c r="JCF132" s="531" t="e">
        <f t="shared" si="111"/>
        <v>#DIV/0!</v>
      </c>
      <c r="JCG132" s="531" t="e">
        <f t="shared" si="111"/>
        <v>#DIV/0!</v>
      </c>
      <c r="JCH132" s="531" t="e">
        <f t="shared" si="111"/>
        <v>#DIV/0!</v>
      </c>
      <c r="JCI132" s="531" t="e">
        <f t="shared" si="111"/>
        <v>#DIV/0!</v>
      </c>
      <c r="JCJ132" s="531" t="e">
        <f t="shared" si="111"/>
        <v>#DIV/0!</v>
      </c>
      <c r="JCK132" s="531" t="e">
        <f t="shared" si="111"/>
        <v>#DIV/0!</v>
      </c>
      <c r="JCL132" s="531" t="e">
        <f t="shared" si="111"/>
        <v>#DIV/0!</v>
      </c>
      <c r="JCM132" s="531" t="e">
        <f t="shared" si="111"/>
        <v>#DIV/0!</v>
      </c>
      <c r="JCN132" s="531" t="e">
        <f t="shared" si="111"/>
        <v>#DIV/0!</v>
      </c>
      <c r="JCO132" s="531" t="e">
        <f t="shared" si="111"/>
        <v>#DIV/0!</v>
      </c>
      <c r="JCP132" s="531" t="e">
        <f t="shared" si="111"/>
        <v>#DIV/0!</v>
      </c>
      <c r="JCQ132" s="531" t="e">
        <f t="shared" ref="JCQ132:JFB132" si="112">(JCQ128-JCQ116)/(JCQ52*10^5)</f>
        <v>#DIV/0!</v>
      </c>
      <c r="JCR132" s="531" t="e">
        <f t="shared" si="112"/>
        <v>#DIV/0!</v>
      </c>
      <c r="JCS132" s="531" t="e">
        <f t="shared" si="112"/>
        <v>#DIV/0!</v>
      </c>
      <c r="JCT132" s="531" t="e">
        <f t="shared" si="112"/>
        <v>#DIV/0!</v>
      </c>
      <c r="JCU132" s="531" t="e">
        <f t="shared" si="112"/>
        <v>#DIV/0!</v>
      </c>
      <c r="JCV132" s="531" t="e">
        <f t="shared" si="112"/>
        <v>#DIV/0!</v>
      </c>
      <c r="JCW132" s="531" t="e">
        <f t="shared" si="112"/>
        <v>#DIV/0!</v>
      </c>
      <c r="JCX132" s="531" t="e">
        <f t="shared" si="112"/>
        <v>#DIV/0!</v>
      </c>
      <c r="JCY132" s="531" t="e">
        <f t="shared" si="112"/>
        <v>#DIV/0!</v>
      </c>
      <c r="JCZ132" s="531" t="e">
        <f t="shared" si="112"/>
        <v>#DIV/0!</v>
      </c>
      <c r="JDA132" s="531" t="e">
        <f t="shared" si="112"/>
        <v>#DIV/0!</v>
      </c>
      <c r="JDB132" s="531" t="e">
        <f t="shared" si="112"/>
        <v>#DIV/0!</v>
      </c>
      <c r="JDC132" s="531" t="e">
        <f t="shared" si="112"/>
        <v>#DIV/0!</v>
      </c>
      <c r="JDD132" s="531" t="e">
        <f t="shared" si="112"/>
        <v>#DIV/0!</v>
      </c>
      <c r="JDE132" s="531" t="e">
        <f t="shared" si="112"/>
        <v>#DIV/0!</v>
      </c>
      <c r="JDF132" s="531" t="e">
        <f t="shared" si="112"/>
        <v>#DIV/0!</v>
      </c>
      <c r="JDG132" s="531" t="e">
        <f t="shared" si="112"/>
        <v>#DIV/0!</v>
      </c>
      <c r="JDH132" s="531" t="e">
        <f t="shared" si="112"/>
        <v>#DIV/0!</v>
      </c>
      <c r="JDI132" s="531" t="e">
        <f t="shared" si="112"/>
        <v>#DIV/0!</v>
      </c>
      <c r="JDJ132" s="531" t="e">
        <f t="shared" si="112"/>
        <v>#DIV/0!</v>
      </c>
      <c r="JDK132" s="531" t="e">
        <f t="shared" si="112"/>
        <v>#DIV/0!</v>
      </c>
      <c r="JDL132" s="531" t="e">
        <f t="shared" si="112"/>
        <v>#DIV/0!</v>
      </c>
      <c r="JDM132" s="531" t="e">
        <f t="shared" si="112"/>
        <v>#DIV/0!</v>
      </c>
      <c r="JDN132" s="531" t="e">
        <f t="shared" si="112"/>
        <v>#DIV/0!</v>
      </c>
      <c r="JDO132" s="531" t="e">
        <f t="shared" si="112"/>
        <v>#DIV/0!</v>
      </c>
      <c r="JDP132" s="531" t="e">
        <f t="shared" si="112"/>
        <v>#DIV/0!</v>
      </c>
      <c r="JDQ132" s="531" t="e">
        <f t="shared" si="112"/>
        <v>#DIV/0!</v>
      </c>
      <c r="JDR132" s="531" t="e">
        <f t="shared" si="112"/>
        <v>#DIV/0!</v>
      </c>
      <c r="JDS132" s="531" t="e">
        <f t="shared" si="112"/>
        <v>#DIV/0!</v>
      </c>
      <c r="JDT132" s="531" t="e">
        <f t="shared" si="112"/>
        <v>#DIV/0!</v>
      </c>
      <c r="JDU132" s="531" t="e">
        <f t="shared" si="112"/>
        <v>#DIV/0!</v>
      </c>
      <c r="JDV132" s="531" t="e">
        <f t="shared" si="112"/>
        <v>#DIV/0!</v>
      </c>
      <c r="JDW132" s="531" t="e">
        <f t="shared" si="112"/>
        <v>#DIV/0!</v>
      </c>
      <c r="JDX132" s="531" t="e">
        <f t="shared" si="112"/>
        <v>#DIV/0!</v>
      </c>
      <c r="JDY132" s="531" t="e">
        <f t="shared" si="112"/>
        <v>#DIV/0!</v>
      </c>
      <c r="JDZ132" s="531" t="e">
        <f t="shared" si="112"/>
        <v>#DIV/0!</v>
      </c>
      <c r="JEA132" s="531" t="e">
        <f t="shared" si="112"/>
        <v>#DIV/0!</v>
      </c>
      <c r="JEB132" s="531" t="e">
        <f t="shared" si="112"/>
        <v>#DIV/0!</v>
      </c>
      <c r="JEC132" s="531" t="e">
        <f t="shared" si="112"/>
        <v>#DIV/0!</v>
      </c>
      <c r="JED132" s="531" t="e">
        <f t="shared" si="112"/>
        <v>#DIV/0!</v>
      </c>
      <c r="JEE132" s="531" t="e">
        <f t="shared" si="112"/>
        <v>#DIV/0!</v>
      </c>
      <c r="JEF132" s="531" t="e">
        <f t="shared" si="112"/>
        <v>#DIV/0!</v>
      </c>
      <c r="JEG132" s="531" t="e">
        <f t="shared" si="112"/>
        <v>#DIV/0!</v>
      </c>
      <c r="JEH132" s="531" t="e">
        <f t="shared" si="112"/>
        <v>#DIV/0!</v>
      </c>
      <c r="JEI132" s="531" t="e">
        <f t="shared" si="112"/>
        <v>#DIV/0!</v>
      </c>
      <c r="JEJ132" s="531" t="e">
        <f t="shared" si="112"/>
        <v>#DIV/0!</v>
      </c>
      <c r="JEK132" s="531" t="e">
        <f t="shared" si="112"/>
        <v>#DIV/0!</v>
      </c>
      <c r="JEL132" s="531" t="e">
        <f t="shared" si="112"/>
        <v>#DIV/0!</v>
      </c>
      <c r="JEM132" s="531" t="e">
        <f t="shared" si="112"/>
        <v>#DIV/0!</v>
      </c>
      <c r="JEN132" s="531" t="e">
        <f t="shared" si="112"/>
        <v>#DIV/0!</v>
      </c>
      <c r="JEO132" s="531" t="e">
        <f t="shared" si="112"/>
        <v>#DIV/0!</v>
      </c>
      <c r="JEP132" s="531" t="e">
        <f t="shared" si="112"/>
        <v>#DIV/0!</v>
      </c>
      <c r="JEQ132" s="531" t="e">
        <f t="shared" si="112"/>
        <v>#DIV/0!</v>
      </c>
      <c r="JER132" s="531" t="e">
        <f t="shared" si="112"/>
        <v>#DIV/0!</v>
      </c>
      <c r="JES132" s="531" t="e">
        <f t="shared" si="112"/>
        <v>#DIV/0!</v>
      </c>
      <c r="JET132" s="531" t="e">
        <f t="shared" si="112"/>
        <v>#DIV/0!</v>
      </c>
      <c r="JEU132" s="531" t="e">
        <f t="shared" si="112"/>
        <v>#DIV/0!</v>
      </c>
      <c r="JEV132" s="531" t="e">
        <f t="shared" si="112"/>
        <v>#DIV/0!</v>
      </c>
      <c r="JEW132" s="531" t="e">
        <f t="shared" si="112"/>
        <v>#DIV/0!</v>
      </c>
      <c r="JEX132" s="531" t="e">
        <f t="shared" si="112"/>
        <v>#DIV/0!</v>
      </c>
      <c r="JEY132" s="531" t="e">
        <f t="shared" si="112"/>
        <v>#DIV/0!</v>
      </c>
      <c r="JEZ132" s="531" t="e">
        <f t="shared" si="112"/>
        <v>#DIV/0!</v>
      </c>
      <c r="JFA132" s="531" t="e">
        <f t="shared" si="112"/>
        <v>#DIV/0!</v>
      </c>
      <c r="JFB132" s="531" t="e">
        <f t="shared" si="112"/>
        <v>#DIV/0!</v>
      </c>
      <c r="JFC132" s="531" t="e">
        <f t="shared" ref="JFC132:JHN132" si="113">(JFC128-JFC116)/(JFC52*10^5)</f>
        <v>#DIV/0!</v>
      </c>
      <c r="JFD132" s="531" t="e">
        <f t="shared" si="113"/>
        <v>#DIV/0!</v>
      </c>
      <c r="JFE132" s="531" t="e">
        <f t="shared" si="113"/>
        <v>#DIV/0!</v>
      </c>
      <c r="JFF132" s="531" t="e">
        <f t="shared" si="113"/>
        <v>#DIV/0!</v>
      </c>
      <c r="JFG132" s="531" t="e">
        <f t="shared" si="113"/>
        <v>#DIV/0!</v>
      </c>
      <c r="JFH132" s="531" t="e">
        <f t="shared" si="113"/>
        <v>#DIV/0!</v>
      </c>
      <c r="JFI132" s="531" t="e">
        <f t="shared" si="113"/>
        <v>#DIV/0!</v>
      </c>
      <c r="JFJ132" s="531" t="e">
        <f t="shared" si="113"/>
        <v>#DIV/0!</v>
      </c>
      <c r="JFK132" s="531" t="e">
        <f t="shared" si="113"/>
        <v>#DIV/0!</v>
      </c>
      <c r="JFL132" s="531" t="e">
        <f t="shared" si="113"/>
        <v>#DIV/0!</v>
      </c>
      <c r="JFM132" s="531" t="e">
        <f t="shared" si="113"/>
        <v>#DIV/0!</v>
      </c>
      <c r="JFN132" s="531" t="e">
        <f t="shared" si="113"/>
        <v>#DIV/0!</v>
      </c>
      <c r="JFO132" s="531" t="e">
        <f t="shared" si="113"/>
        <v>#DIV/0!</v>
      </c>
      <c r="JFP132" s="531" t="e">
        <f t="shared" si="113"/>
        <v>#DIV/0!</v>
      </c>
      <c r="JFQ132" s="531" t="e">
        <f t="shared" si="113"/>
        <v>#DIV/0!</v>
      </c>
      <c r="JFR132" s="531" t="e">
        <f t="shared" si="113"/>
        <v>#DIV/0!</v>
      </c>
      <c r="JFS132" s="531" t="e">
        <f t="shared" si="113"/>
        <v>#DIV/0!</v>
      </c>
      <c r="JFT132" s="531" t="e">
        <f t="shared" si="113"/>
        <v>#DIV/0!</v>
      </c>
      <c r="JFU132" s="531" t="e">
        <f t="shared" si="113"/>
        <v>#DIV/0!</v>
      </c>
      <c r="JFV132" s="531" t="e">
        <f t="shared" si="113"/>
        <v>#DIV/0!</v>
      </c>
      <c r="JFW132" s="531" t="e">
        <f t="shared" si="113"/>
        <v>#DIV/0!</v>
      </c>
      <c r="JFX132" s="531" t="e">
        <f t="shared" si="113"/>
        <v>#DIV/0!</v>
      </c>
      <c r="JFY132" s="531" t="e">
        <f t="shared" si="113"/>
        <v>#DIV/0!</v>
      </c>
      <c r="JFZ132" s="531" t="e">
        <f t="shared" si="113"/>
        <v>#DIV/0!</v>
      </c>
      <c r="JGA132" s="531" t="e">
        <f t="shared" si="113"/>
        <v>#DIV/0!</v>
      </c>
      <c r="JGB132" s="531" t="e">
        <f t="shared" si="113"/>
        <v>#DIV/0!</v>
      </c>
      <c r="JGC132" s="531" t="e">
        <f t="shared" si="113"/>
        <v>#DIV/0!</v>
      </c>
      <c r="JGD132" s="531" t="e">
        <f t="shared" si="113"/>
        <v>#DIV/0!</v>
      </c>
      <c r="JGE132" s="531" t="e">
        <f t="shared" si="113"/>
        <v>#DIV/0!</v>
      </c>
      <c r="JGF132" s="531" t="e">
        <f t="shared" si="113"/>
        <v>#DIV/0!</v>
      </c>
      <c r="JGG132" s="531" t="e">
        <f t="shared" si="113"/>
        <v>#DIV/0!</v>
      </c>
      <c r="JGH132" s="531" t="e">
        <f t="shared" si="113"/>
        <v>#DIV/0!</v>
      </c>
      <c r="JGI132" s="531" t="e">
        <f t="shared" si="113"/>
        <v>#DIV/0!</v>
      </c>
      <c r="JGJ132" s="531" t="e">
        <f t="shared" si="113"/>
        <v>#DIV/0!</v>
      </c>
      <c r="JGK132" s="531" t="e">
        <f t="shared" si="113"/>
        <v>#DIV/0!</v>
      </c>
      <c r="JGL132" s="531" t="e">
        <f t="shared" si="113"/>
        <v>#DIV/0!</v>
      </c>
      <c r="JGM132" s="531" t="e">
        <f t="shared" si="113"/>
        <v>#DIV/0!</v>
      </c>
      <c r="JGN132" s="531" t="e">
        <f t="shared" si="113"/>
        <v>#DIV/0!</v>
      </c>
      <c r="JGO132" s="531" t="e">
        <f t="shared" si="113"/>
        <v>#DIV/0!</v>
      </c>
      <c r="JGP132" s="531" t="e">
        <f t="shared" si="113"/>
        <v>#DIV/0!</v>
      </c>
      <c r="JGQ132" s="531" t="e">
        <f t="shared" si="113"/>
        <v>#DIV/0!</v>
      </c>
      <c r="JGR132" s="531" t="e">
        <f t="shared" si="113"/>
        <v>#DIV/0!</v>
      </c>
      <c r="JGS132" s="531" t="e">
        <f t="shared" si="113"/>
        <v>#DIV/0!</v>
      </c>
      <c r="JGT132" s="531" t="e">
        <f t="shared" si="113"/>
        <v>#DIV/0!</v>
      </c>
      <c r="JGU132" s="531" t="e">
        <f t="shared" si="113"/>
        <v>#DIV/0!</v>
      </c>
      <c r="JGV132" s="531" t="e">
        <f t="shared" si="113"/>
        <v>#DIV/0!</v>
      </c>
      <c r="JGW132" s="531" t="e">
        <f t="shared" si="113"/>
        <v>#DIV/0!</v>
      </c>
      <c r="JGX132" s="531" t="e">
        <f t="shared" si="113"/>
        <v>#DIV/0!</v>
      </c>
      <c r="JGY132" s="531" t="e">
        <f t="shared" si="113"/>
        <v>#DIV/0!</v>
      </c>
      <c r="JGZ132" s="531" t="e">
        <f t="shared" si="113"/>
        <v>#DIV/0!</v>
      </c>
      <c r="JHA132" s="531" t="e">
        <f t="shared" si="113"/>
        <v>#DIV/0!</v>
      </c>
      <c r="JHB132" s="531" t="e">
        <f t="shared" si="113"/>
        <v>#DIV/0!</v>
      </c>
      <c r="JHC132" s="531" t="e">
        <f t="shared" si="113"/>
        <v>#DIV/0!</v>
      </c>
      <c r="JHD132" s="531" t="e">
        <f t="shared" si="113"/>
        <v>#DIV/0!</v>
      </c>
      <c r="JHE132" s="531" t="e">
        <f t="shared" si="113"/>
        <v>#DIV/0!</v>
      </c>
      <c r="JHF132" s="531" t="e">
        <f t="shared" si="113"/>
        <v>#DIV/0!</v>
      </c>
      <c r="JHG132" s="531" t="e">
        <f t="shared" si="113"/>
        <v>#DIV/0!</v>
      </c>
      <c r="JHH132" s="531" t="e">
        <f t="shared" si="113"/>
        <v>#DIV/0!</v>
      </c>
      <c r="JHI132" s="531" t="e">
        <f t="shared" si="113"/>
        <v>#DIV/0!</v>
      </c>
      <c r="JHJ132" s="531" t="e">
        <f t="shared" si="113"/>
        <v>#DIV/0!</v>
      </c>
      <c r="JHK132" s="531" t="e">
        <f t="shared" si="113"/>
        <v>#DIV/0!</v>
      </c>
      <c r="JHL132" s="531" t="e">
        <f t="shared" si="113"/>
        <v>#DIV/0!</v>
      </c>
      <c r="JHM132" s="531" t="e">
        <f t="shared" si="113"/>
        <v>#DIV/0!</v>
      </c>
      <c r="JHN132" s="531" t="e">
        <f t="shared" si="113"/>
        <v>#DIV/0!</v>
      </c>
      <c r="JHO132" s="531" t="e">
        <f t="shared" ref="JHO132:JJZ132" si="114">(JHO128-JHO116)/(JHO52*10^5)</f>
        <v>#DIV/0!</v>
      </c>
      <c r="JHP132" s="531" t="e">
        <f t="shared" si="114"/>
        <v>#DIV/0!</v>
      </c>
      <c r="JHQ132" s="531" t="e">
        <f t="shared" si="114"/>
        <v>#DIV/0!</v>
      </c>
      <c r="JHR132" s="531" t="e">
        <f t="shared" si="114"/>
        <v>#DIV/0!</v>
      </c>
      <c r="JHS132" s="531" t="e">
        <f t="shared" si="114"/>
        <v>#DIV/0!</v>
      </c>
      <c r="JHT132" s="531" t="e">
        <f t="shared" si="114"/>
        <v>#DIV/0!</v>
      </c>
      <c r="JHU132" s="531" t="e">
        <f t="shared" si="114"/>
        <v>#DIV/0!</v>
      </c>
      <c r="JHV132" s="531" t="e">
        <f t="shared" si="114"/>
        <v>#DIV/0!</v>
      </c>
      <c r="JHW132" s="531" t="e">
        <f t="shared" si="114"/>
        <v>#DIV/0!</v>
      </c>
      <c r="JHX132" s="531" t="e">
        <f t="shared" si="114"/>
        <v>#DIV/0!</v>
      </c>
      <c r="JHY132" s="531" t="e">
        <f t="shared" si="114"/>
        <v>#DIV/0!</v>
      </c>
      <c r="JHZ132" s="531" t="e">
        <f t="shared" si="114"/>
        <v>#DIV/0!</v>
      </c>
      <c r="JIA132" s="531" t="e">
        <f t="shared" si="114"/>
        <v>#DIV/0!</v>
      </c>
      <c r="JIB132" s="531" t="e">
        <f t="shared" si="114"/>
        <v>#DIV/0!</v>
      </c>
      <c r="JIC132" s="531" t="e">
        <f t="shared" si="114"/>
        <v>#DIV/0!</v>
      </c>
      <c r="JID132" s="531" t="e">
        <f t="shared" si="114"/>
        <v>#DIV/0!</v>
      </c>
      <c r="JIE132" s="531" t="e">
        <f t="shared" si="114"/>
        <v>#DIV/0!</v>
      </c>
      <c r="JIF132" s="531" t="e">
        <f t="shared" si="114"/>
        <v>#DIV/0!</v>
      </c>
      <c r="JIG132" s="531" t="e">
        <f t="shared" si="114"/>
        <v>#DIV/0!</v>
      </c>
      <c r="JIH132" s="531" t="e">
        <f t="shared" si="114"/>
        <v>#DIV/0!</v>
      </c>
      <c r="JII132" s="531" t="e">
        <f t="shared" si="114"/>
        <v>#DIV/0!</v>
      </c>
      <c r="JIJ132" s="531" t="e">
        <f t="shared" si="114"/>
        <v>#DIV/0!</v>
      </c>
      <c r="JIK132" s="531" t="e">
        <f t="shared" si="114"/>
        <v>#DIV/0!</v>
      </c>
      <c r="JIL132" s="531" t="e">
        <f t="shared" si="114"/>
        <v>#DIV/0!</v>
      </c>
      <c r="JIM132" s="531" t="e">
        <f t="shared" si="114"/>
        <v>#DIV/0!</v>
      </c>
      <c r="JIN132" s="531" t="e">
        <f t="shared" si="114"/>
        <v>#DIV/0!</v>
      </c>
      <c r="JIO132" s="531" t="e">
        <f t="shared" si="114"/>
        <v>#DIV/0!</v>
      </c>
      <c r="JIP132" s="531" t="e">
        <f t="shared" si="114"/>
        <v>#DIV/0!</v>
      </c>
      <c r="JIQ132" s="531" t="e">
        <f t="shared" si="114"/>
        <v>#DIV/0!</v>
      </c>
      <c r="JIR132" s="531" t="e">
        <f t="shared" si="114"/>
        <v>#DIV/0!</v>
      </c>
      <c r="JIS132" s="531" t="e">
        <f t="shared" si="114"/>
        <v>#DIV/0!</v>
      </c>
      <c r="JIT132" s="531" t="e">
        <f t="shared" si="114"/>
        <v>#DIV/0!</v>
      </c>
      <c r="JIU132" s="531" t="e">
        <f t="shared" si="114"/>
        <v>#DIV/0!</v>
      </c>
      <c r="JIV132" s="531" t="e">
        <f t="shared" si="114"/>
        <v>#DIV/0!</v>
      </c>
      <c r="JIW132" s="531" t="e">
        <f t="shared" si="114"/>
        <v>#DIV/0!</v>
      </c>
      <c r="JIX132" s="531" t="e">
        <f t="shared" si="114"/>
        <v>#DIV/0!</v>
      </c>
      <c r="JIY132" s="531" t="e">
        <f t="shared" si="114"/>
        <v>#DIV/0!</v>
      </c>
      <c r="JIZ132" s="531" t="e">
        <f t="shared" si="114"/>
        <v>#DIV/0!</v>
      </c>
      <c r="JJA132" s="531" t="e">
        <f t="shared" si="114"/>
        <v>#DIV/0!</v>
      </c>
      <c r="JJB132" s="531" t="e">
        <f t="shared" si="114"/>
        <v>#DIV/0!</v>
      </c>
      <c r="JJC132" s="531" t="e">
        <f t="shared" si="114"/>
        <v>#DIV/0!</v>
      </c>
      <c r="JJD132" s="531" t="e">
        <f t="shared" si="114"/>
        <v>#DIV/0!</v>
      </c>
      <c r="JJE132" s="531" t="e">
        <f t="shared" si="114"/>
        <v>#DIV/0!</v>
      </c>
      <c r="JJF132" s="531" t="e">
        <f t="shared" si="114"/>
        <v>#DIV/0!</v>
      </c>
      <c r="JJG132" s="531" t="e">
        <f t="shared" si="114"/>
        <v>#DIV/0!</v>
      </c>
      <c r="JJH132" s="531" t="e">
        <f t="shared" si="114"/>
        <v>#DIV/0!</v>
      </c>
      <c r="JJI132" s="531" t="e">
        <f t="shared" si="114"/>
        <v>#DIV/0!</v>
      </c>
      <c r="JJJ132" s="531" t="e">
        <f t="shared" si="114"/>
        <v>#DIV/0!</v>
      </c>
      <c r="JJK132" s="531" t="e">
        <f t="shared" si="114"/>
        <v>#DIV/0!</v>
      </c>
      <c r="JJL132" s="531" t="e">
        <f t="shared" si="114"/>
        <v>#DIV/0!</v>
      </c>
      <c r="JJM132" s="531" t="e">
        <f t="shared" si="114"/>
        <v>#DIV/0!</v>
      </c>
      <c r="JJN132" s="531" t="e">
        <f t="shared" si="114"/>
        <v>#DIV/0!</v>
      </c>
      <c r="JJO132" s="531" t="e">
        <f t="shared" si="114"/>
        <v>#DIV/0!</v>
      </c>
      <c r="JJP132" s="531" t="e">
        <f t="shared" si="114"/>
        <v>#DIV/0!</v>
      </c>
      <c r="JJQ132" s="531" t="e">
        <f t="shared" si="114"/>
        <v>#DIV/0!</v>
      </c>
      <c r="JJR132" s="531" t="e">
        <f t="shared" si="114"/>
        <v>#DIV/0!</v>
      </c>
      <c r="JJS132" s="531" t="e">
        <f t="shared" si="114"/>
        <v>#DIV/0!</v>
      </c>
      <c r="JJT132" s="531" t="e">
        <f t="shared" si="114"/>
        <v>#DIV/0!</v>
      </c>
      <c r="JJU132" s="531" t="e">
        <f t="shared" si="114"/>
        <v>#DIV/0!</v>
      </c>
      <c r="JJV132" s="531" t="e">
        <f t="shared" si="114"/>
        <v>#DIV/0!</v>
      </c>
      <c r="JJW132" s="531" t="e">
        <f t="shared" si="114"/>
        <v>#DIV/0!</v>
      </c>
      <c r="JJX132" s="531" t="e">
        <f t="shared" si="114"/>
        <v>#DIV/0!</v>
      </c>
      <c r="JJY132" s="531" t="e">
        <f t="shared" si="114"/>
        <v>#DIV/0!</v>
      </c>
      <c r="JJZ132" s="531" t="e">
        <f t="shared" si="114"/>
        <v>#DIV/0!</v>
      </c>
      <c r="JKA132" s="531" t="e">
        <f t="shared" ref="JKA132:JML132" si="115">(JKA128-JKA116)/(JKA52*10^5)</f>
        <v>#DIV/0!</v>
      </c>
      <c r="JKB132" s="531" t="e">
        <f t="shared" si="115"/>
        <v>#DIV/0!</v>
      </c>
      <c r="JKC132" s="531" t="e">
        <f t="shared" si="115"/>
        <v>#DIV/0!</v>
      </c>
      <c r="JKD132" s="531" t="e">
        <f t="shared" si="115"/>
        <v>#DIV/0!</v>
      </c>
      <c r="JKE132" s="531" t="e">
        <f t="shared" si="115"/>
        <v>#DIV/0!</v>
      </c>
      <c r="JKF132" s="531" t="e">
        <f t="shared" si="115"/>
        <v>#DIV/0!</v>
      </c>
      <c r="JKG132" s="531" t="e">
        <f t="shared" si="115"/>
        <v>#DIV/0!</v>
      </c>
      <c r="JKH132" s="531" t="e">
        <f t="shared" si="115"/>
        <v>#DIV/0!</v>
      </c>
      <c r="JKI132" s="531" t="e">
        <f t="shared" si="115"/>
        <v>#DIV/0!</v>
      </c>
      <c r="JKJ132" s="531" t="e">
        <f t="shared" si="115"/>
        <v>#DIV/0!</v>
      </c>
      <c r="JKK132" s="531" t="e">
        <f t="shared" si="115"/>
        <v>#DIV/0!</v>
      </c>
      <c r="JKL132" s="531" t="e">
        <f t="shared" si="115"/>
        <v>#DIV/0!</v>
      </c>
      <c r="JKM132" s="531" t="e">
        <f t="shared" si="115"/>
        <v>#DIV/0!</v>
      </c>
      <c r="JKN132" s="531" t="e">
        <f t="shared" si="115"/>
        <v>#DIV/0!</v>
      </c>
      <c r="JKO132" s="531" t="e">
        <f t="shared" si="115"/>
        <v>#DIV/0!</v>
      </c>
      <c r="JKP132" s="531" t="e">
        <f t="shared" si="115"/>
        <v>#DIV/0!</v>
      </c>
      <c r="JKQ132" s="531" t="e">
        <f t="shared" si="115"/>
        <v>#DIV/0!</v>
      </c>
      <c r="JKR132" s="531" t="e">
        <f t="shared" si="115"/>
        <v>#DIV/0!</v>
      </c>
      <c r="JKS132" s="531" t="e">
        <f t="shared" si="115"/>
        <v>#DIV/0!</v>
      </c>
      <c r="JKT132" s="531" t="e">
        <f t="shared" si="115"/>
        <v>#DIV/0!</v>
      </c>
      <c r="JKU132" s="531" t="e">
        <f t="shared" si="115"/>
        <v>#DIV/0!</v>
      </c>
      <c r="JKV132" s="531" t="e">
        <f t="shared" si="115"/>
        <v>#DIV/0!</v>
      </c>
      <c r="JKW132" s="531" t="e">
        <f t="shared" si="115"/>
        <v>#DIV/0!</v>
      </c>
      <c r="JKX132" s="531" t="e">
        <f t="shared" si="115"/>
        <v>#DIV/0!</v>
      </c>
      <c r="JKY132" s="531" t="e">
        <f t="shared" si="115"/>
        <v>#DIV/0!</v>
      </c>
      <c r="JKZ132" s="531" t="e">
        <f t="shared" si="115"/>
        <v>#DIV/0!</v>
      </c>
      <c r="JLA132" s="531" t="e">
        <f t="shared" si="115"/>
        <v>#DIV/0!</v>
      </c>
      <c r="JLB132" s="531" t="e">
        <f t="shared" si="115"/>
        <v>#DIV/0!</v>
      </c>
      <c r="JLC132" s="531" t="e">
        <f t="shared" si="115"/>
        <v>#DIV/0!</v>
      </c>
      <c r="JLD132" s="531" t="e">
        <f t="shared" si="115"/>
        <v>#DIV/0!</v>
      </c>
      <c r="JLE132" s="531" t="e">
        <f t="shared" si="115"/>
        <v>#DIV/0!</v>
      </c>
      <c r="JLF132" s="531" t="e">
        <f t="shared" si="115"/>
        <v>#DIV/0!</v>
      </c>
      <c r="JLG132" s="531" t="e">
        <f t="shared" si="115"/>
        <v>#DIV/0!</v>
      </c>
      <c r="JLH132" s="531" t="e">
        <f t="shared" si="115"/>
        <v>#DIV/0!</v>
      </c>
      <c r="JLI132" s="531" t="e">
        <f t="shared" si="115"/>
        <v>#DIV/0!</v>
      </c>
      <c r="JLJ132" s="531" t="e">
        <f t="shared" si="115"/>
        <v>#DIV/0!</v>
      </c>
      <c r="JLK132" s="531" t="e">
        <f t="shared" si="115"/>
        <v>#DIV/0!</v>
      </c>
      <c r="JLL132" s="531" t="e">
        <f t="shared" si="115"/>
        <v>#DIV/0!</v>
      </c>
      <c r="JLM132" s="531" t="e">
        <f t="shared" si="115"/>
        <v>#DIV/0!</v>
      </c>
      <c r="JLN132" s="531" t="e">
        <f t="shared" si="115"/>
        <v>#DIV/0!</v>
      </c>
      <c r="JLO132" s="531" t="e">
        <f t="shared" si="115"/>
        <v>#DIV/0!</v>
      </c>
      <c r="JLP132" s="531" t="e">
        <f t="shared" si="115"/>
        <v>#DIV/0!</v>
      </c>
      <c r="JLQ132" s="531" t="e">
        <f t="shared" si="115"/>
        <v>#DIV/0!</v>
      </c>
      <c r="JLR132" s="531" t="e">
        <f t="shared" si="115"/>
        <v>#DIV/0!</v>
      </c>
      <c r="JLS132" s="531" t="e">
        <f t="shared" si="115"/>
        <v>#DIV/0!</v>
      </c>
      <c r="JLT132" s="531" t="e">
        <f t="shared" si="115"/>
        <v>#DIV/0!</v>
      </c>
      <c r="JLU132" s="531" t="e">
        <f t="shared" si="115"/>
        <v>#DIV/0!</v>
      </c>
      <c r="JLV132" s="531" t="e">
        <f t="shared" si="115"/>
        <v>#DIV/0!</v>
      </c>
      <c r="JLW132" s="531" t="e">
        <f t="shared" si="115"/>
        <v>#DIV/0!</v>
      </c>
      <c r="JLX132" s="531" t="e">
        <f t="shared" si="115"/>
        <v>#DIV/0!</v>
      </c>
      <c r="JLY132" s="531" t="e">
        <f t="shared" si="115"/>
        <v>#DIV/0!</v>
      </c>
      <c r="JLZ132" s="531" t="e">
        <f t="shared" si="115"/>
        <v>#DIV/0!</v>
      </c>
      <c r="JMA132" s="531" t="e">
        <f t="shared" si="115"/>
        <v>#DIV/0!</v>
      </c>
      <c r="JMB132" s="531" t="e">
        <f t="shared" si="115"/>
        <v>#DIV/0!</v>
      </c>
      <c r="JMC132" s="531" t="e">
        <f t="shared" si="115"/>
        <v>#DIV/0!</v>
      </c>
      <c r="JMD132" s="531" t="e">
        <f t="shared" si="115"/>
        <v>#DIV/0!</v>
      </c>
      <c r="JME132" s="531" t="e">
        <f t="shared" si="115"/>
        <v>#DIV/0!</v>
      </c>
      <c r="JMF132" s="531" t="e">
        <f t="shared" si="115"/>
        <v>#DIV/0!</v>
      </c>
      <c r="JMG132" s="531" t="e">
        <f t="shared" si="115"/>
        <v>#DIV/0!</v>
      </c>
      <c r="JMH132" s="531" t="e">
        <f t="shared" si="115"/>
        <v>#DIV/0!</v>
      </c>
      <c r="JMI132" s="531" t="e">
        <f t="shared" si="115"/>
        <v>#DIV/0!</v>
      </c>
      <c r="JMJ132" s="531" t="e">
        <f t="shared" si="115"/>
        <v>#DIV/0!</v>
      </c>
      <c r="JMK132" s="531" t="e">
        <f t="shared" si="115"/>
        <v>#DIV/0!</v>
      </c>
      <c r="JML132" s="531" t="e">
        <f t="shared" si="115"/>
        <v>#DIV/0!</v>
      </c>
      <c r="JMM132" s="531" t="e">
        <f t="shared" ref="JMM132:JOX132" si="116">(JMM128-JMM116)/(JMM52*10^5)</f>
        <v>#DIV/0!</v>
      </c>
      <c r="JMN132" s="531" t="e">
        <f t="shared" si="116"/>
        <v>#DIV/0!</v>
      </c>
      <c r="JMO132" s="531" t="e">
        <f t="shared" si="116"/>
        <v>#DIV/0!</v>
      </c>
      <c r="JMP132" s="531" t="e">
        <f t="shared" si="116"/>
        <v>#DIV/0!</v>
      </c>
      <c r="JMQ132" s="531" t="e">
        <f t="shared" si="116"/>
        <v>#DIV/0!</v>
      </c>
      <c r="JMR132" s="531" t="e">
        <f t="shared" si="116"/>
        <v>#DIV/0!</v>
      </c>
      <c r="JMS132" s="531" t="e">
        <f t="shared" si="116"/>
        <v>#DIV/0!</v>
      </c>
      <c r="JMT132" s="531" t="e">
        <f t="shared" si="116"/>
        <v>#DIV/0!</v>
      </c>
      <c r="JMU132" s="531" t="e">
        <f t="shared" si="116"/>
        <v>#DIV/0!</v>
      </c>
      <c r="JMV132" s="531" t="e">
        <f t="shared" si="116"/>
        <v>#DIV/0!</v>
      </c>
      <c r="JMW132" s="531" t="e">
        <f t="shared" si="116"/>
        <v>#DIV/0!</v>
      </c>
      <c r="JMX132" s="531" t="e">
        <f t="shared" si="116"/>
        <v>#DIV/0!</v>
      </c>
      <c r="JMY132" s="531" t="e">
        <f t="shared" si="116"/>
        <v>#DIV/0!</v>
      </c>
      <c r="JMZ132" s="531" t="e">
        <f t="shared" si="116"/>
        <v>#DIV/0!</v>
      </c>
      <c r="JNA132" s="531" t="e">
        <f t="shared" si="116"/>
        <v>#DIV/0!</v>
      </c>
      <c r="JNB132" s="531" t="e">
        <f t="shared" si="116"/>
        <v>#DIV/0!</v>
      </c>
      <c r="JNC132" s="531" t="e">
        <f t="shared" si="116"/>
        <v>#DIV/0!</v>
      </c>
      <c r="JND132" s="531" t="e">
        <f t="shared" si="116"/>
        <v>#DIV/0!</v>
      </c>
      <c r="JNE132" s="531" t="e">
        <f t="shared" si="116"/>
        <v>#DIV/0!</v>
      </c>
      <c r="JNF132" s="531" t="e">
        <f t="shared" si="116"/>
        <v>#DIV/0!</v>
      </c>
      <c r="JNG132" s="531" t="e">
        <f t="shared" si="116"/>
        <v>#DIV/0!</v>
      </c>
      <c r="JNH132" s="531" t="e">
        <f t="shared" si="116"/>
        <v>#DIV/0!</v>
      </c>
      <c r="JNI132" s="531" t="e">
        <f t="shared" si="116"/>
        <v>#DIV/0!</v>
      </c>
      <c r="JNJ132" s="531" t="e">
        <f t="shared" si="116"/>
        <v>#DIV/0!</v>
      </c>
      <c r="JNK132" s="531" t="e">
        <f t="shared" si="116"/>
        <v>#DIV/0!</v>
      </c>
      <c r="JNL132" s="531" t="e">
        <f t="shared" si="116"/>
        <v>#DIV/0!</v>
      </c>
      <c r="JNM132" s="531" t="e">
        <f t="shared" si="116"/>
        <v>#DIV/0!</v>
      </c>
      <c r="JNN132" s="531" t="e">
        <f t="shared" si="116"/>
        <v>#DIV/0!</v>
      </c>
      <c r="JNO132" s="531" t="e">
        <f t="shared" si="116"/>
        <v>#DIV/0!</v>
      </c>
      <c r="JNP132" s="531" t="e">
        <f t="shared" si="116"/>
        <v>#DIV/0!</v>
      </c>
      <c r="JNQ132" s="531" t="e">
        <f t="shared" si="116"/>
        <v>#DIV/0!</v>
      </c>
      <c r="JNR132" s="531" t="e">
        <f t="shared" si="116"/>
        <v>#DIV/0!</v>
      </c>
      <c r="JNS132" s="531" t="e">
        <f t="shared" si="116"/>
        <v>#DIV/0!</v>
      </c>
      <c r="JNT132" s="531" t="e">
        <f t="shared" si="116"/>
        <v>#DIV/0!</v>
      </c>
      <c r="JNU132" s="531" t="e">
        <f t="shared" si="116"/>
        <v>#DIV/0!</v>
      </c>
      <c r="JNV132" s="531" t="e">
        <f t="shared" si="116"/>
        <v>#DIV/0!</v>
      </c>
      <c r="JNW132" s="531" t="e">
        <f t="shared" si="116"/>
        <v>#DIV/0!</v>
      </c>
      <c r="JNX132" s="531" t="e">
        <f t="shared" si="116"/>
        <v>#DIV/0!</v>
      </c>
      <c r="JNY132" s="531" t="e">
        <f t="shared" si="116"/>
        <v>#DIV/0!</v>
      </c>
      <c r="JNZ132" s="531" t="e">
        <f t="shared" si="116"/>
        <v>#DIV/0!</v>
      </c>
      <c r="JOA132" s="531" t="e">
        <f t="shared" si="116"/>
        <v>#DIV/0!</v>
      </c>
      <c r="JOB132" s="531" t="e">
        <f t="shared" si="116"/>
        <v>#DIV/0!</v>
      </c>
      <c r="JOC132" s="531" t="e">
        <f t="shared" si="116"/>
        <v>#DIV/0!</v>
      </c>
      <c r="JOD132" s="531" t="e">
        <f t="shared" si="116"/>
        <v>#DIV/0!</v>
      </c>
      <c r="JOE132" s="531" t="e">
        <f t="shared" si="116"/>
        <v>#DIV/0!</v>
      </c>
      <c r="JOF132" s="531" t="e">
        <f t="shared" si="116"/>
        <v>#DIV/0!</v>
      </c>
      <c r="JOG132" s="531" t="e">
        <f t="shared" si="116"/>
        <v>#DIV/0!</v>
      </c>
      <c r="JOH132" s="531" t="e">
        <f t="shared" si="116"/>
        <v>#DIV/0!</v>
      </c>
      <c r="JOI132" s="531" t="e">
        <f t="shared" si="116"/>
        <v>#DIV/0!</v>
      </c>
      <c r="JOJ132" s="531" t="e">
        <f t="shared" si="116"/>
        <v>#DIV/0!</v>
      </c>
      <c r="JOK132" s="531" t="e">
        <f t="shared" si="116"/>
        <v>#DIV/0!</v>
      </c>
      <c r="JOL132" s="531" t="e">
        <f t="shared" si="116"/>
        <v>#DIV/0!</v>
      </c>
      <c r="JOM132" s="531" t="e">
        <f t="shared" si="116"/>
        <v>#DIV/0!</v>
      </c>
      <c r="JON132" s="531" t="e">
        <f t="shared" si="116"/>
        <v>#DIV/0!</v>
      </c>
      <c r="JOO132" s="531" t="e">
        <f t="shared" si="116"/>
        <v>#DIV/0!</v>
      </c>
      <c r="JOP132" s="531" t="e">
        <f t="shared" si="116"/>
        <v>#DIV/0!</v>
      </c>
      <c r="JOQ132" s="531" t="e">
        <f t="shared" si="116"/>
        <v>#DIV/0!</v>
      </c>
      <c r="JOR132" s="531" t="e">
        <f t="shared" si="116"/>
        <v>#DIV/0!</v>
      </c>
      <c r="JOS132" s="531" t="e">
        <f t="shared" si="116"/>
        <v>#DIV/0!</v>
      </c>
      <c r="JOT132" s="531" t="e">
        <f t="shared" si="116"/>
        <v>#DIV/0!</v>
      </c>
      <c r="JOU132" s="531" t="e">
        <f t="shared" si="116"/>
        <v>#DIV/0!</v>
      </c>
      <c r="JOV132" s="531" t="e">
        <f t="shared" si="116"/>
        <v>#DIV/0!</v>
      </c>
      <c r="JOW132" s="531" t="e">
        <f t="shared" si="116"/>
        <v>#DIV/0!</v>
      </c>
      <c r="JOX132" s="531" t="e">
        <f t="shared" si="116"/>
        <v>#DIV/0!</v>
      </c>
      <c r="JOY132" s="531" t="e">
        <f t="shared" ref="JOY132:JRJ132" si="117">(JOY128-JOY116)/(JOY52*10^5)</f>
        <v>#DIV/0!</v>
      </c>
      <c r="JOZ132" s="531" t="e">
        <f t="shared" si="117"/>
        <v>#DIV/0!</v>
      </c>
      <c r="JPA132" s="531" t="e">
        <f t="shared" si="117"/>
        <v>#DIV/0!</v>
      </c>
      <c r="JPB132" s="531" t="e">
        <f t="shared" si="117"/>
        <v>#DIV/0!</v>
      </c>
      <c r="JPC132" s="531" t="e">
        <f t="shared" si="117"/>
        <v>#DIV/0!</v>
      </c>
      <c r="JPD132" s="531" t="e">
        <f t="shared" si="117"/>
        <v>#DIV/0!</v>
      </c>
      <c r="JPE132" s="531" t="e">
        <f t="shared" si="117"/>
        <v>#DIV/0!</v>
      </c>
      <c r="JPF132" s="531" t="e">
        <f t="shared" si="117"/>
        <v>#DIV/0!</v>
      </c>
      <c r="JPG132" s="531" t="e">
        <f t="shared" si="117"/>
        <v>#DIV/0!</v>
      </c>
      <c r="JPH132" s="531" t="e">
        <f t="shared" si="117"/>
        <v>#DIV/0!</v>
      </c>
      <c r="JPI132" s="531" t="e">
        <f t="shared" si="117"/>
        <v>#DIV/0!</v>
      </c>
      <c r="JPJ132" s="531" t="e">
        <f t="shared" si="117"/>
        <v>#DIV/0!</v>
      </c>
      <c r="JPK132" s="531" t="e">
        <f t="shared" si="117"/>
        <v>#DIV/0!</v>
      </c>
      <c r="JPL132" s="531" t="e">
        <f t="shared" si="117"/>
        <v>#DIV/0!</v>
      </c>
      <c r="JPM132" s="531" t="e">
        <f t="shared" si="117"/>
        <v>#DIV/0!</v>
      </c>
      <c r="JPN132" s="531" t="e">
        <f t="shared" si="117"/>
        <v>#DIV/0!</v>
      </c>
      <c r="JPO132" s="531" t="e">
        <f t="shared" si="117"/>
        <v>#DIV/0!</v>
      </c>
      <c r="JPP132" s="531" t="e">
        <f t="shared" si="117"/>
        <v>#DIV/0!</v>
      </c>
      <c r="JPQ132" s="531" t="e">
        <f t="shared" si="117"/>
        <v>#DIV/0!</v>
      </c>
      <c r="JPR132" s="531" t="e">
        <f t="shared" si="117"/>
        <v>#DIV/0!</v>
      </c>
      <c r="JPS132" s="531" t="e">
        <f t="shared" si="117"/>
        <v>#DIV/0!</v>
      </c>
      <c r="JPT132" s="531" t="e">
        <f t="shared" si="117"/>
        <v>#DIV/0!</v>
      </c>
      <c r="JPU132" s="531" t="e">
        <f t="shared" si="117"/>
        <v>#DIV/0!</v>
      </c>
      <c r="JPV132" s="531" t="e">
        <f t="shared" si="117"/>
        <v>#DIV/0!</v>
      </c>
      <c r="JPW132" s="531" t="e">
        <f t="shared" si="117"/>
        <v>#DIV/0!</v>
      </c>
      <c r="JPX132" s="531" t="e">
        <f t="shared" si="117"/>
        <v>#DIV/0!</v>
      </c>
      <c r="JPY132" s="531" t="e">
        <f t="shared" si="117"/>
        <v>#DIV/0!</v>
      </c>
      <c r="JPZ132" s="531" t="e">
        <f t="shared" si="117"/>
        <v>#DIV/0!</v>
      </c>
      <c r="JQA132" s="531" t="e">
        <f t="shared" si="117"/>
        <v>#DIV/0!</v>
      </c>
      <c r="JQB132" s="531" t="e">
        <f t="shared" si="117"/>
        <v>#DIV/0!</v>
      </c>
      <c r="JQC132" s="531" t="e">
        <f t="shared" si="117"/>
        <v>#DIV/0!</v>
      </c>
      <c r="JQD132" s="531" t="e">
        <f t="shared" si="117"/>
        <v>#DIV/0!</v>
      </c>
      <c r="JQE132" s="531" t="e">
        <f t="shared" si="117"/>
        <v>#DIV/0!</v>
      </c>
      <c r="JQF132" s="531" t="e">
        <f t="shared" si="117"/>
        <v>#DIV/0!</v>
      </c>
      <c r="JQG132" s="531" t="e">
        <f t="shared" si="117"/>
        <v>#DIV/0!</v>
      </c>
      <c r="JQH132" s="531" t="e">
        <f t="shared" si="117"/>
        <v>#DIV/0!</v>
      </c>
      <c r="JQI132" s="531" t="e">
        <f t="shared" si="117"/>
        <v>#DIV/0!</v>
      </c>
      <c r="JQJ132" s="531" t="e">
        <f t="shared" si="117"/>
        <v>#DIV/0!</v>
      </c>
      <c r="JQK132" s="531" t="e">
        <f t="shared" si="117"/>
        <v>#DIV/0!</v>
      </c>
      <c r="JQL132" s="531" t="e">
        <f t="shared" si="117"/>
        <v>#DIV/0!</v>
      </c>
      <c r="JQM132" s="531" t="e">
        <f t="shared" si="117"/>
        <v>#DIV/0!</v>
      </c>
      <c r="JQN132" s="531" t="e">
        <f t="shared" si="117"/>
        <v>#DIV/0!</v>
      </c>
      <c r="JQO132" s="531" t="e">
        <f t="shared" si="117"/>
        <v>#DIV/0!</v>
      </c>
      <c r="JQP132" s="531" t="e">
        <f t="shared" si="117"/>
        <v>#DIV/0!</v>
      </c>
      <c r="JQQ132" s="531" t="e">
        <f t="shared" si="117"/>
        <v>#DIV/0!</v>
      </c>
      <c r="JQR132" s="531" t="e">
        <f t="shared" si="117"/>
        <v>#DIV/0!</v>
      </c>
      <c r="JQS132" s="531" t="e">
        <f t="shared" si="117"/>
        <v>#DIV/0!</v>
      </c>
      <c r="JQT132" s="531" t="e">
        <f t="shared" si="117"/>
        <v>#DIV/0!</v>
      </c>
      <c r="JQU132" s="531" t="e">
        <f t="shared" si="117"/>
        <v>#DIV/0!</v>
      </c>
      <c r="JQV132" s="531" t="e">
        <f t="shared" si="117"/>
        <v>#DIV/0!</v>
      </c>
      <c r="JQW132" s="531" t="e">
        <f t="shared" si="117"/>
        <v>#DIV/0!</v>
      </c>
      <c r="JQX132" s="531" t="e">
        <f t="shared" si="117"/>
        <v>#DIV/0!</v>
      </c>
      <c r="JQY132" s="531" t="e">
        <f t="shared" si="117"/>
        <v>#DIV/0!</v>
      </c>
      <c r="JQZ132" s="531" t="e">
        <f t="shared" si="117"/>
        <v>#DIV/0!</v>
      </c>
      <c r="JRA132" s="531" t="e">
        <f t="shared" si="117"/>
        <v>#DIV/0!</v>
      </c>
      <c r="JRB132" s="531" t="e">
        <f t="shared" si="117"/>
        <v>#DIV/0!</v>
      </c>
      <c r="JRC132" s="531" t="e">
        <f t="shared" si="117"/>
        <v>#DIV/0!</v>
      </c>
      <c r="JRD132" s="531" t="e">
        <f t="shared" si="117"/>
        <v>#DIV/0!</v>
      </c>
      <c r="JRE132" s="531" t="e">
        <f t="shared" si="117"/>
        <v>#DIV/0!</v>
      </c>
      <c r="JRF132" s="531" t="e">
        <f t="shared" si="117"/>
        <v>#DIV/0!</v>
      </c>
      <c r="JRG132" s="531" t="e">
        <f t="shared" si="117"/>
        <v>#DIV/0!</v>
      </c>
      <c r="JRH132" s="531" t="e">
        <f t="shared" si="117"/>
        <v>#DIV/0!</v>
      </c>
      <c r="JRI132" s="531" t="e">
        <f t="shared" si="117"/>
        <v>#DIV/0!</v>
      </c>
      <c r="JRJ132" s="531" t="e">
        <f t="shared" si="117"/>
        <v>#DIV/0!</v>
      </c>
      <c r="JRK132" s="531" t="e">
        <f t="shared" ref="JRK132:JTV132" si="118">(JRK128-JRK116)/(JRK52*10^5)</f>
        <v>#DIV/0!</v>
      </c>
      <c r="JRL132" s="531" t="e">
        <f t="shared" si="118"/>
        <v>#DIV/0!</v>
      </c>
      <c r="JRM132" s="531" t="e">
        <f t="shared" si="118"/>
        <v>#DIV/0!</v>
      </c>
      <c r="JRN132" s="531" t="e">
        <f t="shared" si="118"/>
        <v>#DIV/0!</v>
      </c>
      <c r="JRO132" s="531" t="e">
        <f t="shared" si="118"/>
        <v>#DIV/0!</v>
      </c>
      <c r="JRP132" s="531" t="e">
        <f t="shared" si="118"/>
        <v>#DIV/0!</v>
      </c>
      <c r="JRQ132" s="531" t="e">
        <f t="shared" si="118"/>
        <v>#DIV/0!</v>
      </c>
      <c r="JRR132" s="531" t="e">
        <f t="shared" si="118"/>
        <v>#DIV/0!</v>
      </c>
      <c r="JRS132" s="531" t="e">
        <f t="shared" si="118"/>
        <v>#DIV/0!</v>
      </c>
      <c r="JRT132" s="531" t="e">
        <f t="shared" si="118"/>
        <v>#DIV/0!</v>
      </c>
      <c r="JRU132" s="531" t="e">
        <f t="shared" si="118"/>
        <v>#DIV/0!</v>
      </c>
      <c r="JRV132" s="531" t="e">
        <f t="shared" si="118"/>
        <v>#DIV/0!</v>
      </c>
      <c r="JRW132" s="531" t="e">
        <f t="shared" si="118"/>
        <v>#DIV/0!</v>
      </c>
      <c r="JRX132" s="531" t="e">
        <f t="shared" si="118"/>
        <v>#DIV/0!</v>
      </c>
      <c r="JRY132" s="531" t="e">
        <f t="shared" si="118"/>
        <v>#DIV/0!</v>
      </c>
      <c r="JRZ132" s="531" t="e">
        <f t="shared" si="118"/>
        <v>#DIV/0!</v>
      </c>
      <c r="JSA132" s="531" t="e">
        <f t="shared" si="118"/>
        <v>#DIV/0!</v>
      </c>
      <c r="JSB132" s="531" t="e">
        <f t="shared" si="118"/>
        <v>#DIV/0!</v>
      </c>
      <c r="JSC132" s="531" t="e">
        <f t="shared" si="118"/>
        <v>#DIV/0!</v>
      </c>
      <c r="JSD132" s="531" t="e">
        <f t="shared" si="118"/>
        <v>#DIV/0!</v>
      </c>
      <c r="JSE132" s="531" t="e">
        <f t="shared" si="118"/>
        <v>#DIV/0!</v>
      </c>
      <c r="JSF132" s="531" t="e">
        <f t="shared" si="118"/>
        <v>#DIV/0!</v>
      </c>
      <c r="JSG132" s="531" t="e">
        <f t="shared" si="118"/>
        <v>#DIV/0!</v>
      </c>
      <c r="JSH132" s="531" t="e">
        <f t="shared" si="118"/>
        <v>#DIV/0!</v>
      </c>
      <c r="JSI132" s="531" t="e">
        <f t="shared" si="118"/>
        <v>#DIV/0!</v>
      </c>
      <c r="JSJ132" s="531" t="e">
        <f t="shared" si="118"/>
        <v>#DIV/0!</v>
      </c>
      <c r="JSK132" s="531" t="e">
        <f t="shared" si="118"/>
        <v>#DIV/0!</v>
      </c>
      <c r="JSL132" s="531" t="e">
        <f t="shared" si="118"/>
        <v>#DIV/0!</v>
      </c>
      <c r="JSM132" s="531" t="e">
        <f t="shared" si="118"/>
        <v>#DIV/0!</v>
      </c>
      <c r="JSN132" s="531" t="e">
        <f t="shared" si="118"/>
        <v>#DIV/0!</v>
      </c>
      <c r="JSO132" s="531" t="e">
        <f t="shared" si="118"/>
        <v>#DIV/0!</v>
      </c>
      <c r="JSP132" s="531" t="e">
        <f t="shared" si="118"/>
        <v>#DIV/0!</v>
      </c>
      <c r="JSQ132" s="531" t="e">
        <f t="shared" si="118"/>
        <v>#DIV/0!</v>
      </c>
      <c r="JSR132" s="531" t="e">
        <f t="shared" si="118"/>
        <v>#DIV/0!</v>
      </c>
      <c r="JSS132" s="531" t="e">
        <f t="shared" si="118"/>
        <v>#DIV/0!</v>
      </c>
      <c r="JST132" s="531" t="e">
        <f t="shared" si="118"/>
        <v>#DIV/0!</v>
      </c>
      <c r="JSU132" s="531" t="e">
        <f t="shared" si="118"/>
        <v>#DIV/0!</v>
      </c>
      <c r="JSV132" s="531" t="e">
        <f t="shared" si="118"/>
        <v>#DIV/0!</v>
      </c>
      <c r="JSW132" s="531" t="e">
        <f t="shared" si="118"/>
        <v>#DIV/0!</v>
      </c>
      <c r="JSX132" s="531" t="e">
        <f t="shared" si="118"/>
        <v>#DIV/0!</v>
      </c>
      <c r="JSY132" s="531" t="e">
        <f t="shared" si="118"/>
        <v>#DIV/0!</v>
      </c>
      <c r="JSZ132" s="531" t="e">
        <f t="shared" si="118"/>
        <v>#DIV/0!</v>
      </c>
      <c r="JTA132" s="531" t="e">
        <f t="shared" si="118"/>
        <v>#DIV/0!</v>
      </c>
      <c r="JTB132" s="531" t="e">
        <f t="shared" si="118"/>
        <v>#DIV/0!</v>
      </c>
      <c r="JTC132" s="531" t="e">
        <f t="shared" si="118"/>
        <v>#DIV/0!</v>
      </c>
      <c r="JTD132" s="531" t="e">
        <f t="shared" si="118"/>
        <v>#DIV/0!</v>
      </c>
      <c r="JTE132" s="531" t="e">
        <f t="shared" si="118"/>
        <v>#DIV/0!</v>
      </c>
      <c r="JTF132" s="531" t="e">
        <f t="shared" si="118"/>
        <v>#DIV/0!</v>
      </c>
      <c r="JTG132" s="531" t="e">
        <f t="shared" si="118"/>
        <v>#DIV/0!</v>
      </c>
      <c r="JTH132" s="531" t="e">
        <f t="shared" si="118"/>
        <v>#DIV/0!</v>
      </c>
      <c r="JTI132" s="531" t="e">
        <f t="shared" si="118"/>
        <v>#DIV/0!</v>
      </c>
      <c r="JTJ132" s="531" t="e">
        <f t="shared" si="118"/>
        <v>#DIV/0!</v>
      </c>
      <c r="JTK132" s="531" t="e">
        <f t="shared" si="118"/>
        <v>#DIV/0!</v>
      </c>
      <c r="JTL132" s="531" t="e">
        <f t="shared" si="118"/>
        <v>#DIV/0!</v>
      </c>
      <c r="JTM132" s="531" t="e">
        <f t="shared" si="118"/>
        <v>#DIV/0!</v>
      </c>
      <c r="JTN132" s="531" t="e">
        <f t="shared" si="118"/>
        <v>#DIV/0!</v>
      </c>
      <c r="JTO132" s="531" t="e">
        <f t="shared" si="118"/>
        <v>#DIV/0!</v>
      </c>
      <c r="JTP132" s="531" t="e">
        <f t="shared" si="118"/>
        <v>#DIV/0!</v>
      </c>
      <c r="JTQ132" s="531" t="e">
        <f t="shared" si="118"/>
        <v>#DIV/0!</v>
      </c>
      <c r="JTR132" s="531" t="e">
        <f t="shared" si="118"/>
        <v>#DIV/0!</v>
      </c>
      <c r="JTS132" s="531" t="e">
        <f t="shared" si="118"/>
        <v>#DIV/0!</v>
      </c>
      <c r="JTT132" s="531" t="e">
        <f t="shared" si="118"/>
        <v>#DIV/0!</v>
      </c>
      <c r="JTU132" s="531" t="e">
        <f t="shared" si="118"/>
        <v>#DIV/0!</v>
      </c>
      <c r="JTV132" s="531" t="e">
        <f t="shared" si="118"/>
        <v>#DIV/0!</v>
      </c>
      <c r="JTW132" s="531" t="e">
        <f t="shared" ref="JTW132:JWH132" si="119">(JTW128-JTW116)/(JTW52*10^5)</f>
        <v>#DIV/0!</v>
      </c>
      <c r="JTX132" s="531" t="e">
        <f t="shared" si="119"/>
        <v>#DIV/0!</v>
      </c>
      <c r="JTY132" s="531" t="e">
        <f t="shared" si="119"/>
        <v>#DIV/0!</v>
      </c>
      <c r="JTZ132" s="531" t="e">
        <f t="shared" si="119"/>
        <v>#DIV/0!</v>
      </c>
      <c r="JUA132" s="531" t="e">
        <f t="shared" si="119"/>
        <v>#DIV/0!</v>
      </c>
      <c r="JUB132" s="531" t="e">
        <f t="shared" si="119"/>
        <v>#DIV/0!</v>
      </c>
      <c r="JUC132" s="531" t="e">
        <f t="shared" si="119"/>
        <v>#DIV/0!</v>
      </c>
      <c r="JUD132" s="531" t="e">
        <f t="shared" si="119"/>
        <v>#DIV/0!</v>
      </c>
      <c r="JUE132" s="531" t="e">
        <f t="shared" si="119"/>
        <v>#DIV/0!</v>
      </c>
      <c r="JUF132" s="531" t="e">
        <f t="shared" si="119"/>
        <v>#DIV/0!</v>
      </c>
      <c r="JUG132" s="531" t="e">
        <f t="shared" si="119"/>
        <v>#DIV/0!</v>
      </c>
      <c r="JUH132" s="531" t="e">
        <f t="shared" si="119"/>
        <v>#DIV/0!</v>
      </c>
      <c r="JUI132" s="531" t="e">
        <f t="shared" si="119"/>
        <v>#DIV/0!</v>
      </c>
      <c r="JUJ132" s="531" t="e">
        <f t="shared" si="119"/>
        <v>#DIV/0!</v>
      </c>
      <c r="JUK132" s="531" t="e">
        <f t="shared" si="119"/>
        <v>#DIV/0!</v>
      </c>
      <c r="JUL132" s="531" t="e">
        <f t="shared" si="119"/>
        <v>#DIV/0!</v>
      </c>
      <c r="JUM132" s="531" t="e">
        <f t="shared" si="119"/>
        <v>#DIV/0!</v>
      </c>
      <c r="JUN132" s="531" t="e">
        <f t="shared" si="119"/>
        <v>#DIV/0!</v>
      </c>
      <c r="JUO132" s="531" t="e">
        <f t="shared" si="119"/>
        <v>#DIV/0!</v>
      </c>
      <c r="JUP132" s="531" t="e">
        <f t="shared" si="119"/>
        <v>#DIV/0!</v>
      </c>
      <c r="JUQ132" s="531" t="e">
        <f t="shared" si="119"/>
        <v>#DIV/0!</v>
      </c>
      <c r="JUR132" s="531" t="e">
        <f t="shared" si="119"/>
        <v>#DIV/0!</v>
      </c>
      <c r="JUS132" s="531" t="e">
        <f t="shared" si="119"/>
        <v>#DIV/0!</v>
      </c>
      <c r="JUT132" s="531" t="e">
        <f t="shared" si="119"/>
        <v>#DIV/0!</v>
      </c>
      <c r="JUU132" s="531" t="e">
        <f t="shared" si="119"/>
        <v>#DIV/0!</v>
      </c>
      <c r="JUV132" s="531" t="e">
        <f t="shared" si="119"/>
        <v>#DIV/0!</v>
      </c>
      <c r="JUW132" s="531" t="e">
        <f t="shared" si="119"/>
        <v>#DIV/0!</v>
      </c>
      <c r="JUX132" s="531" t="e">
        <f t="shared" si="119"/>
        <v>#DIV/0!</v>
      </c>
      <c r="JUY132" s="531" t="e">
        <f t="shared" si="119"/>
        <v>#DIV/0!</v>
      </c>
      <c r="JUZ132" s="531" t="e">
        <f t="shared" si="119"/>
        <v>#DIV/0!</v>
      </c>
      <c r="JVA132" s="531" t="e">
        <f t="shared" si="119"/>
        <v>#DIV/0!</v>
      </c>
      <c r="JVB132" s="531" t="e">
        <f t="shared" si="119"/>
        <v>#DIV/0!</v>
      </c>
      <c r="JVC132" s="531" t="e">
        <f t="shared" si="119"/>
        <v>#DIV/0!</v>
      </c>
      <c r="JVD132" s="531" t="e">
        <f t="shared" si="119"/>
        <v>#DIV/0!</v>
      </c>
      <c r="JVE132" s="531" t="e">
        <f t="shared" si="119"/>
        <v>#DIV/0!</v>
      </c>
      <c r="JVF132" s="531" t="e">
        <f t="shared" si="119"/>
        <v>#DIV/0!</v>
      </c>
      <c r="JVG132" s="531" t="e">
        <f t="shared" si="119"/>
        <v>#DIV/0!</v>
      </c>
      <c r="JVH132" s="531" t="e">
        <f t="shared" si="119"/>
        <v>#DIV/0!</v>
      </c>
      <c r="JVI132" s="531" t="e">
        <f t="shared" si="119"/>
        <v>#DIV/0!</v>
      </c>
      <c r="JVJ132" s="531" t="e">
        <f t="shared" si="119"/>
        <v>#DIV/0!</v>
      </c>
      <c r="JVK132" s="531" t="e">
        <f t="shared" si="119"/>
        <v>#DIV/0!</v>
      </c>
      <c r="JVL132" s="531" t="e">
        <f t="shared" si="119"/>
        <v>#DIV/0!</v>
      </c>
      <c r="JVM132" s="531" t="e">
        <f t="shared" si="119"/>
        <v>#DIV/0!</v>
      </c>
      <c r="JVN132" s="531" t="e">
        <f t="shared" si="119"/>
        <v>#DIV/0!</v>
      </c>
      <c r="JVO132" s="531" t="e">
        <f t="shared" si="119"/>
        <v>#DIV/0!</v>
      </c>
      <c r="JVP132" s="531" t="e">
        <f t="shared" si="119"/>
        <v>#DIV/0!</v>
      </c>
      <c r="JVQ132" s="531" t="e">
        <f t="shared" si="119"/>
        <v>#DIV/0!</v>
      </c>
      <c r="JVR132" s="531" t="e">
        <f t="shared" si="119"/>
        <v>#DIV/0!</v>
      </c>
      <c r="JVS132" s="531" t="e">
        <f t="shared" si="119"/>
        <v>#DIV/0!</v>
      </c>
      <c r="JVT132" s="531" t="e">
        <f t="shared" si="119"/>
        <v>#DIV/0!</v>
      </c>
      <c r="JVU132" s="531" t="e">
        <f t="shared" si="119"/>
        <v>#DIV/0!</v>
      </c>
      <c r="JVV132" s="531" t="e">
        <f t="shared" si="119"/>
        <v>#DIV/0!</v>
      </c>
      <c r="JVW132" s="531" t="e">
        <f t="shared" si="119"/>
        <v>#DIV/0!</v>
      </c>
      <c r="JVX132" s="531" t="e">
        <f t="shared" si="119"/>
        <v>#DIV/0!</v>
      </c>
      <c r="JVY132" s="531" t="e">
        <f t="shared" si="119"/>
        <v>#DIV/0!</v>
      </c>
      <c r="JVZ132" s="531" t="e">
        <f t="shared" si="119"/>
        <v>#DIV/0!</v>
      </c>
      <c r="JWA132" s="531" t="e">
        <f t="shared" si="119"/>
        <v>#DIV/0!</v>
      </c>
      <c r="JWB132" s="531" t="e">
        <f t="shared" si="119"/>
        <v>#DIV/0!</v>
      </c>
      <c r="JWC132" s="531" t="e">
        <f t="shared" si="119"/>
        <v>#DIV/0!</v>
      </c>
      <c r="JWD132" s="531" t="e">
        <f t="shared" si="119"/>
        <v>#DIV/0!</v>
      </c>
      <c r="JWE132" s="531" t="e">
        <f t="shared" si="119"/>
        <v>#DIV/0!</v>
      </c>
      <c r="JWF132" s="531" t="e">
        <f t="shared" si="119"/>
        <v>#DIV/0!</v>
      </c>
      <c r="JWG132" s="531" t="e">
        <f t="shared" si="119"/>
        <v>#DIV/0!</v>
      </c>
      <c r="JWH132" s="531" t="e">
        <f t="shared" si="119"/>
        <v>#DIV/0!</v>
      </c>
      <c r="JWI132" s="531" t="e">
        <f t="shared" ref="JWI132:JYT132" si="120">(JWI128-JWI116)/(JWI52*10^5)</f>
        <v>#DIV/0!</v>
      </c>
      <c r="JWJ132" s="531" t="e">
        <f t="shared" si="120"/>
        <v>#DIV/0!</v>
      </c>
      <c r="JWK132" s="531" t="e">
        <f t="shared" si="120"/>
        <v>#DIV/0!</v>
      </c>
      <c r="JWL132" s="531" t="e">
        <f t="shared" si="120"/>
        <v>#DIV/0!</v>
      </c>
      <c r="JWM132" s="531" t="e">
        <f t="shared" si="120"/>
        <v>#DIV/0!</v>
      </c>
      <c r="JWN132" s="531" t="e">
        <f t="shared" si="120"/>
        <v>#DIV/0!</v>
      </c>
      <c r="JWO132" s="531" t="e">
        <f t="shared" si="120"/>
        <v>#DIV/0!</v>
      </c>
      <c r="JWP132" s="531" t="e">
        <f t="shared" si="120"/>
        <v>#DIV/0!</v>
      </c>
      <c r="JWQ132" s="531" t="e">
        <f t="shared" si="120"/>
        <v>#DIV/0!</v>
      </c>
      <c r="JWR132" s="531" t="e">
        <f t="shared" si="120"/>
        <v>#DIV/0!</v>
      </c>
      <c r="JWS132" s="531" t="e">
        <f t="shared" si="120"/>
        <v>#DIV/0!</v>
      </c>
      <c r="JWT132" s="531" t="e">
        <f t="shared" si="120"/>
        <v>#DIV/0!</v>
      </c>
      <c r="JWU132" s="531" t="e">
        <f t="shared" si="120"/>
        <v>#DIV/0!</v>
      </c>
      <c r="JWV132" s="531" t="e">
        <f t="shared" si="120"/>
        <v>#DIV/0!</v>
      </c>
      <c r="JWW132" s="531" t="e">
        <f t="shared" si="120"/>
        <v>#DIV/0!</v>
      </c>
      <c r="JWX132" s="531" t="e">
        <f t="shared" si="120"/>
        <v>#DIV/0!</v>
      </c>
      <c r="JWY132" s="531" t="e">
        <f t="shared" si="120"/>
        <v>#DIV/0!</v>
      </c>
      <c r="JWZ132" s="531" t="e">
        <f t="shared" si="120"/>
        <v>#DIV/0!</v>
      </c>
      <c r="JXA132" s="531" t="e">
        <f t="shared" si="120"/>
        <v>#DIV/0!</v>
      </c>
      <c r="JXB132" s="531" t="e">
        <f t="shared" si="120"/>
        <v>#DIV/0!</v>
      </c>
      <c r="JXC132" s="531" t="e">
        <f t="shared" si="120"/>
        <v>#DIV/0!</v>
      </c>
      <c r="JXD132" s="531" t="e">
        <f t="shared" si="120"/>
        <v>#DIV/0!</v>
      </c>
      <c r="JXE132" s="531" t="e">
        <f t="shared" si="120"/>
        <v>#DIV/0!</v>
      </c>
      <c r="JXF132" s="531" t="e">
        <f t="shared" si="120"/>
        <v>#DIV/0!</v>
      </c>
      <c r="JXG132" s="531" t="e">
        <f t="shared" si="120"/>
        <v>#DIV/0!</v>
      </c>
      <c r="JXH132" s="531" t="e">
        <f t="shared" si="120"/>
        <v>#DIV/0!</v>
      </c>
      <c r="JXI132" s="531" t="e">
        <f t="shared" si="120"/>
        <v>#DIV/0!</v>
      </c>
      <c r="JXJ132" s="531" t="e">
        <f t="shared" si="120"/>
        <v>#DIV/0!</v>
      </c>
      <c r="JXK132" s="531" t="e">
        <f t="shared" si="120"/>
        <v>#DIV/0!</v>
      </c>
      <c r="JXL132" s="531" t="e">
        <f t="shared" si="120"/>
        <v>#DIV/0!</v>
      </c>
      <c r="JXM132" s="531" t="e">
        <f t="shared" si="120"/>
        <v>#DIV/0!</v>
      </c>
      <c r="JXN132" s="531" t="e">
        <f t="shared" si="120"/>
        <v>#DIV/0!</v>
      </c>
      <c r="JXO132" s="531" t="e">
        <f t="shared" si="120"/>
        <v>#DIV/0!</v>
      </c>
      <c r="JXP132" s="531" t="e">
        <f t="shared" si="120"/>
        <v>#DIV/0!</v>
      </c>
      <c r="JXQ132" s="531" t="e">
        <f t="shared" si="120"/>
        <v>#DIV/0!</v>
      </c>
      <c r="JXR132" s="531" t="e">
        <f t="shared" si="120"/>
        <v>#DIV/0!</v>
      </c>
      <c r="JXS132" s="531" t="e">
        <f t="shared" si="120"/>
        <v>#DIV/0!</v>
      </c>
      <c r="JXT132" s="531" t="e">
        <f t="shared" si="120"/>
        <v>#DIV/0!</v>
      </c>
      <c r="JXU132" s="531" t="e">
        <f t="shared" si="120"/>
        <v>#DIV/0!</v>
      </c>
      <c r="JXV132" s="531" t="e">
        <f t="shared" si="120"/>
        <v>#DIV/0!</v>
      </c>
      <c r="JXW132" s="531" t="e">
        <f t="shared" si="120"/>
        <v>#DIV/0!</v>
      </c>
      <c r="JXX132" s="531" t="e">
        <f t="shared" si="120"/>
        <v>#DIV/0!</v>
      </c>
      <c r="JXY132" s="531" t="e">
        <f t="shared" si="120"/>
        <v>#DIV/0!</v>
      </c>
      <c r="JXZ132" s="531" t="e">
        <f t="shared" si="120"/>
        <v>#DIV/0!</v>
      </c>
      <c r="JYA132" s="531" t="e">
        <f t="shared" si="120"/>
        <v>#DIV/0!</v>
      </c>
      <c r="JYB132" s="531" t="e">
        <f t="shared" si="120"/>
        <v>#DIV/0!</v>
      </c>
      <c r="JYC132" s="531" t="e">
        <f t="shared" si="120"/>
        <v>#DIV/0!</v>
      </c>
      <c r="JYD132" s="531" t="e">
        <f t="shared" si="120"/>
        <v>#DIV/0!</v>
      </c>
      <c r="JYE132" s="531" t="e">
        <f t="shared" si="120"/>
        <v>#DIV/0!</v>
      </c>
      <c r="JYF132" s="531" t="e">
        <f t="shared" si="120"/>
        <v>#DIV/0!</v>
      </c>
      <c r="JYG132" s="531" t="e">
        <f t="shared" si="120"/>
        <v>#DIV/0!</v>
      </c>
      <c r="JYH132" s="531" t="e">
        <f t="shared" si="120"/>
        <v>#DIV/0!</v>
      </c>
      <c r="JYI132" s="531" t="e">
        <f t="shared" si="120"/>
        <v>#DIV/0!</v>
      </c>
      <c r="JYJ132" s="531" t="e">
        <f t="shared" si="120"/>
        <v>#DIV/0!</v>
      </c>
      <c r="JYK132" s="531" t="e">
        <f t="shared" si="120"/>
        <v>#DIV/0!</v>
      </c>
      <c r="JYL132" s="531" t="e">
        <f t="shared" si="120"/>
        <v>#DIV/0!</v>
      </c>
      <c r="JYM132" s="531" t="e">
        <f t="shared" si="120"/>
        <v>#DIV/0!</v>
      </c>
      <c r="JYN132" s="531" t="e">
        <f t="shared" si="120"/>
        <v>#DIV/0!</v>
      </c>
      <c r="JYO132" s="531" t="e">
        <f t="shared" si="120"/>
        <v>#DIV/0!</v>
      </c>
      <c r="JYP132" s="531" t="e">
        <f t="shared" si="120"/>
        <v>#DIV/0!</v>
      </c>
      <c r="JYQ132" s="531" t="e">
        <f t="shared" si="120"/>
        <v>#DIV/0!</v>
      </c>
      <c r="JYR132" s="531" t="e">
        <f t="shared" si="120"/>
        <v>#DIV/0!</v>
      </c>
      <c r="JYS132" s="531" t="e">
        <f t="shared" si="120"/>
        <v>#DIV/0!</v>
      </c>
      <c r="JYT132" s="531" t="e">
        <f t="shared" si="120"/>
        <v>#DIV/0!</v>
      </c>
      <c r="JYU132" s="531" t="e">
        <f t="shared" ref="JYU132:KBF132" si="121">(JYU128-JYU116)/(JYU52*10^5)</f>
        <v>#DIV/0!</v>
      </c>
      <c r="JYV132" s="531" t="e">
        <f t="shared" si="121"/>
        <v>#DIV/0!</v>
      </c>
      <c r="JYW132" s="531" t="e">
        <f t="shared" si="121"/>
        <v>#DIV/0!</v>
      </c>
      <c r="JYX132" s="531" t="e">
        <f t="shared" si="121"/>
        <v>#DIV/0!</v>
      </c>
      <c r="JYY132" s="531" t="e">
        <f t="shared" si="121"/>
        <v>#DIV/0!</v>
      </c>
      <c r="JYZ132" s="531" t="e">
        <f t="shared" si="121"/>
        <v>#DIV/0!</v>
      </c>
      <c r="JZA132" s="531" t="e">
        <f t="shared" si="121"/>
        <v>#DIV/0!</v>
      </c>
      <c r="JZB132" s="531" t="e">
        <f t="shared" si="121"/>
        <v>#DIV/0!</v>
      </c>
      <c r="JZC132" s="531" t="e">
        <f t="shared" si="121"/>
        <v>#DIV/0!</v>
      </c>
      <c r="JZD132" s="531" t="e">
        <f t="shared" si="121"/>
        <v>#DIV/0!</v>
      </c>
      <c r="JZE132" s="531" t="e">
        <f t="shared" si="121"/>
        <v>#DIV/0!</v>
      </c>
      <c r="JZF132" s="531" t="e">
        <f t="shared" si="121"/>
        <v>#DIV/0!</v>
      </c>
      <c r="JZG132" s="531" t="e">
        <f t="shared" si="121"/>
        <v>#DIV/0!</v>
      </c>
      <c r="JZH132" s="531" t="e">
        <f t="shared" si="121"/>
        <v>#DIV/0!</v>
      </c>
      <c r="JZI132" s="531" t="e">
        <f t="shared" si="121"/>
        <v>#DIV/0!</v>
      </c>
      <c r="JZJ132" s="531" t="e">
        <f t="shared" si="121"/>
        <v>#DIV/0!</v>
      </c>
      <c r="JZK132" s="531" t="e">
        <f t="shared" si="121"/>
        <v>#DIV/0!</v>
      </c>
      <c r="JZL132" s="531" t="e">
        <f t="shared" si="121"/>
        <v>#DIV/0!</v>
      </c>
      <c r="JZM132" s="531" t="e">
        <f t="shared" si="121"/>
        <v>#DIV/0!</v>
      </c>
      <c r="JZN132" s="531" t="e">
        <f t="shared" si="121"/>
        <v>#DIV/0!</v>
      </c>
      <c r="JZO132" s="531" t="e">
        <f t="shared" si="121"/>
        <v>#DIV/0!</v>
      </c>
      <c r="JZP132" s="531" t="e">
        <f t="shared" si="121"/>
        <v>#DIV/0!</v>
      </c>
      <c r="JZQ132" s="531" t="e">
        <f t="shared" si="121"/>
        <v>#DIV/0!</v>
      </c>
      <c r="JZR132" s="531" t="e">
        <f t="shared" si="121"/>
        <v>#DIV/0!</v>
      </c>
      <c r="JZS132" s="531" t="e">
        <f t="shared" si="121"/>
        <v>#DIV/0!</v>
      </c>
      <c r="JZT132" s="531" t="e">
        <f t="shared" si="121"/>
        <v>#DIV/0!</v>
      </c>
      <c r="JZU132" s="531" t="e">
        <f t="shared" si="121"/>
        <v>#DIV/0!</v>
      </c>
      <c r="JZV132" s="531" t="e">
        <f t="shared" si="121"/>
        <v>#DIV/0!</v>
      </c>
      <c r="JZW132" s="531" t="e">
        <f t="shared" si="121"/>
        <v>#DIV/0!</v>
      </c>
      <c r="JZX132" s="531" t="e">
        <f t="shared" si="121"/>
        <v>#DIV/0!</v>
      </c>
      <c r="JZY132" s="531" t="e">
        <f t="shared" si="121"/>
        <v>#DIV/0!</v>
      </c>
      <c r="JZZ132" s="531" t="e">
        <f t="shared" si="121"/>
        <v>#DIV/0!</v>
      </c>
      <c r="KAA132" s="531" t="e">
        <f t="shared" si="121"/>
        <v>#DIV/0!</v>
      </c>
      <c r="KAB132" s="531" t="e">
        <f t="shared" si="121"/>
        <v>#DIV/0!</v>
      </c>
      <c r="KAC132" s="531" t="e">
        <f t="shared" si="121"/>
        <v>#DIV/0!</v>
      </c>
      <c r="KAD132" s="531" t="e">
        <f t="shared" si="121"/>
        <v>#DIV/0!</v>
      </c>
      <c r="KAE132" s="531" t="e">
        <f t="shared" si="121"/>
        <v>#DIV/0!</v>
      </c>
      <c r="KAF132" s="531" t="e">
        <f t="shared" si="121"/>
        <v>#DIV/0!</v>
      </c>
      <c r="KAG132" s="531" t="e">
        <f t="shared" si="121"/>
        <v>#DIV/0!</v>
      </c>
      <c r="KAH132" s="531" t="e">
        <f t="shared" si="121"/>
        <v>#DIV/0!</v>
      </c>
      <c r="KAI132" s="531" t="e">
        <f t="shared" si="121"/>
        <v>#DIV/0!</v>
      </c>
      <c r="KAJ132" s="531" t="e">
        <f t="shared" si="121"/>
        <v>#DIV/0!</v>
      </c>
      <c r="KAK132" s="531" t="e">
        <f t="shared" si="121"/>
        <v>#DIV/0!</v>
      </c>
      <c r="KAL132" s="531" t="e">
        <f t="shared" si="121"/>
        <v>#DIV/0!</v>
      </c>
      <c r="KAM132" s="531" t="e">
        <f t="shared" si="121"/>
        <v>#DIV/0!</v>
      </c>
      <c r="KAN132" s="531" t="e">
        <f t="shared" si="121"/>
        <v>#DIV/0!</v>
      </c>
      <c r="KAO132" s="531" t="e">
        <f t="shared" si="121"/>
        <v>#DIV/0!</v>
      </c>
      <c r="KAP132" s="531" t="e">
        <f t="shared" si="121"/>
        <v>#DIV/0!</v>
      </c>
      <c r="KAQ132" s="531" t="e">
        <f t="shared" si="121"/>
        <v>#DIV/0!</v>
      </c>
      <c r="KAR132" s="531" t="e">
        <f t="shared" si="121"/>
        <v>#DIV/0!</v>
      </c>
      <c r="KAS132" s="531" t="e">
        <f t="shared" si="121"/>
        <v>#DIV/0!</v>
      </c>
      <c r="KAT132" s="531" t="e">
        <f t="shared" si="121"/>
        <v>#DIV/0!</v>
      </c>
      <c r="KAU132" s="531" t="e">
        <f t="shared" si="121"/>
        <v>#DIV/0!</v>
      </c>
      <c r="KAV132" s="531" t="e">
        <f t="shared" si="121"/>
        <v>#DIV/0!</v>
      </c>
      <c r="KAW132" s="531" t="e">
        <f t="shared" si="121"/>
        <v>#DIV/0!</v>
      </c>
      <c r="KAX132" s="531" t="e">
        <f t="shared" si="121"/>
        <v>#DIV/0!</v>
      </c>
      <c r="KAY132" s="531" t="e">
        <f t="shared" si="121"/>
        <v>#DIV/0!</v>
      </c>
      <c r="KAZ132" s="531" t="e">
        <f t="shared" si="121"/>
        <v>#DIV/0!</v>
      </c>
      <c r="KBA132" s="531" t="e">
        <f t="shared" si="121"/>
        <v>#DIV/0!</v>
      </c>
      <c r="KBB132" s="531" t="e">
        <f t="shared" si="121"/>
        <v>#DIV/0!</v>
      </c>
      <c r="KBC132" s="531" t="e">
        <f t="shared" si="121"/>
        <v>#DIV/0!</v>
      </c>
      <c r="KBD132" s="531" t="e">
        <f t="shared" si="121"/>
        <v>#DIV/0!</v>
      </c>
      <c r="KBE132" s="531" t="e">
        <f t="shared" si="121"/>
        <v>#DIV/0!</v>
      </c>
      <c r="KBF132" s="531" t="e">
        <f t="shared" si="121"/>
        <v>#DIV/0!</v>
      </c>
      <c r="KBG132" s="531" t="e">
        <f t="shared" ref="KBG132:KDR132" si="122">(KBG128-KBG116)/(KBG52*10^5)</f>
        <v>#DIV/0!</v>
      </c>
      <c r="KBH132" s="531" t="e">
        <f t="shared" si="122"/>
        <v>#DIV/0!</v>
      </c>
      <c r="KBI132" s="531" t="e">
        <f t="shared" si="122"/>
        <v>#DIV/0!</v>
      </c>
      <c r="KBJ132" s="531" t="e">
        <f t="shared" si="122"/>
        <v>#DIV/0!</v>
      </c>
      <c r="KBK132" s="531" t="e">
        <f t="shared" si="122"/>
        <v>#DIV/0!</v>
      </c>
      <c r="KBL132" s="531" t="e">
        <f t="shared" si="122"/>
        <v>#DIV/0!</v>
      </c>
      <c r="KBM132" s="531" t="e">
        <f t="shared" si="122"/>
        <v>#DIV/0!</v>
      </c>
      <c r="KBN132" s="531" t="e">
        <f t="shared" si="122"/>
        <v>#DIV/0!</v>
      </c>
      <c r="KBO132" s="531" t="e">
        <f t="shared" si="122"/>
        <v>#DIV/0!</v>
      </c>
      <c r="KBP132" s="531" t="e">
        <f t="shared" si="122"/>
        <v>#DIV/0!</v>
      </c>
      <c r="KBQ132" s="531" t="e">
        <f t="shared" si="122"/>
        <v>#DIV/0!</v>
      </c>
      <c r="KBR132" s="531" t="e">
        <f t="shared" si="122"/>
        <v>#DIV/0!</v>
      </c>
      <c r="KBS132" s="531" t="e">
        <f t="shared" si="122"/>
        <v>#DIV/0!</v>
      </c>
      <c r="KBT132" s="531" t="e">
        <f t="shared" si="122"/>
        <v>#DIV/0!</v>
      </c>
      <c r="KBU132" s="531" t="e">
        <f t="shared" si="122"/>
        <v>#DIV/0!</v>
      </c>
      <c r="KBV132" s="531" t="e">
        <f t="shared" si="122"/>
        <v>#DIV/0!</v>
      </c>
      <c r="KBW132" s="531" t="e">
        <f t="shared" si="122"/>
        <v>#DIV/0!</v>
      </c>
      <c r="KBX132" s="531" t="e">
        <f t="shared" si="122"/>
        <v>#DIV/0!</v>
      </c>
      <c r="KBY132" s="531" t="e">
        <f t="shared" si="122"/>
        <v>#DIV/0!</v>
      </c>
      <c r="KBZ132" s="531" t="e">
        <f t="shared" si="122"/>
        <v>#DIV/0!</v>
      </c>
      <c r="KCA132" s="531" t="e">
        <f t="shared" si="122"/>
        <v>#DIV/0!</v>
      </c>
      <c r="KCB132" s="531" t="e">
        <f t="shared" si="122"/>
        <v>#DIV/0!</v>
      </c>
      <c r="KCC132" s="531" t="e">
        <f t="shared" si="122"/>
        <v>#DIV/0!</v>
      </c>
      <c r="KCD132" s="531" t="e">
        <f t="shared" si="122"/>
        <v>#DIV/0!</v>
      </c>
      <c r="KCE132" s="531" t="e">
        <f t="shared" si="122"/>
        <v>#DIV/0!</v>
      </c>
      <c r="KCF132" s="531" t="e">
        <f t="shared" si="122"/>
        <v>#DIV/0!</v>
      </c>
      <c r="KCG132" s="531" t="e">
        <f t="shared" si="122"/>
        <v>#DIV/0!</v>
      </c>
      <c r="KCH132" s="531" t="e">
        <f t="shared" si="122"/>
        <v>#DIV/0!</v>
      </c>
      <c r="KCI132" s="531" t="e">
        <f t="shared" si="122"/>
        <v>#DIV/0!</v>
      </c>
      <c r="KCJ132" s="531" t="e">
        <f t="shared" si="122"/>
        <v>#DIV/0!</v>
      </c>
      <c r="KCK132" s="531" t="e">
        <f t="shared" si="122"/>
        <v>#DIV/0!</v>
      </c>
      <c r="KCL132" s="531" t="e">
        <f t="shared" si="122"/>
        <v>#DIV/0!</v>
      </c>
      <c r="KCM132" s="531" t="e">
        <f t="shared" si="122"/>
        <v>#DIV/0!</v>
      </c>
      <c r="KCN132" s="531" t="e">
        <f t="shared" si="122"/>
        <v>#DIV/0!</v>
      </c>
      <c r="KCO132" s="531" t="e">
        <f t="shared" si="122"/>
        <v>#DIV/0!</v>
      </c>
      <c r="KCP132" s="531" t="e">
        <f t="shared" si="122"/>
        <v>#DIV/0!</v>
      </c>
      <c r="KCQ132" s="531" t="e">
        <f t="shared" si="122"/>
        <v>#DIV/0!</v>
      </c>
      <c r="KCR132" s="531" t="e">
        <f t="shared" si="122"/>
        <v>#DIV/0!</v>
      </c>
      <c r="KCS132" s="531" t="e">
        <f t="shared" si="122"/>
        <v>#DIV/0!</v>
      </c>
      <c r="KCT132" s="531" t="e">
        <f t="shared" si="122"/>
        <v>#DIV/0!</v>
      </c>
      <c r="KCU132" s="531" t="e">
        <f t="shared" si="122"/>
        <v>#DIV/0!</v>
      </c>
      <c r="KCV132" s="531" t="e">
        <f t="shared" si="122"/>
        <v>#DIV/0!</v>
      </c>
      <c r="KCW132" s="531" t="e">
        <f t="shared" si="122"/>
        <v>#DIV/0!</v>
      </c>
      <c r="KCX132" s="531" t="e">
        <f t="shared" si="122"/>
        <v>#DIV/0!</v>
      </c>
      <c r="KCY132" s="531" t="e">
        <f t="shared" si="122"/>
        <v>#DIV/0!</v>
      </c>
      <c r="KCZ132" s="531" t="e">
        <f t="shared" si="122"/>
        <v>#DIV/0!</v>
      </c>
      <c r="KDA132" s="531" t="e">
        <f t="shared" si="122"/>
        <v>#DIV/0!</v>
      </c>
      <c r="KDB132" s="531" t="e">
        <f t="shared" si="122"/>
        <v>#DIV/0!</v>
      </c>
      <c r="KDC132" s="531" t="e">
        <f t="shared" si="122"/>
        <v>#DIV/0!</v>
      </c>
      <c r="KDD132" s="531" t="e">
        <f t="shared" si="122"/>
        <v>#DIV/0!</v>
      </c>
      <c r="KDE132" s="531" t="e">
        <f t="shared" si="122"/>
        <v>#DIV/0!</v>
      </c>
      <c r="KDF132" s="531" t="e">
        <f t="shared" si="122"/>
        <v>#DIV/0!</v>
      </c>
      <c r="KDG132" s="531" t="e">
        <f t="shared" si="122"/>
        <v>#DIV/0!</v>
      </c>
      <c r="KDH132" s="531" t="e">
        <f t="shared" si="122"/>
        <v>#DIV/0!</v>
      </c>
      <c r="KDI132" s="531" t="e">
        <f t="shared" si="122"/>
        <v>#DIV/0!</v>
      </c>
      <c r="KDJ132" s="531" t="e">
        <f t="shared" si="122"/>
        <v>#DIV/0!</v>
      </c>
      <c r="KDK132" s="531" t="e">
        <f t="shared" si="122"/>
        <v>#DIV/0!</v>
      </c>
      <c r="KDL132" s="531" t="e">
        <f t="shared" si="122"/>
        <v>#DIV/0!</v>
      </c>
      <c r="KDM132" s="531" t="e">
        <f t="shared" si="122"/>
        <v>#DIV/0!</v>
      </c>
      <c r="KDN132" s="531" t="e">
        <f t="shared" si="122"/>
        <v>#DIV/0!</v>
      </c>
      <c r="KDO132" s="531" t="e">
        <f t="shared" si="122"/>
        <v>#DIV/0!</v>
      </c>
      <c r="KDP132" s="531" t="e">
        <f t="shared" si="122"/>
        <v>#DIV/0!</v>
      </c>
      <c r="KDQ132" s="531" t="e">
        <f t="shared" si="122"/>
        <v>#DIV/0!</v>
      </c>
      <c r="KDR132" s="531" t="e">
        <f t="shared" si="122"/>
        <v>#DIV/0!</v>
      </c>
      <c r="KDS132" s="531" t="e">
        <f t="shared" ref="KDS132:KGD132" si="123">(KDS128-KDS116)/(KDS52*10^5)</f>
        <v>#DIV/0!</v>
      </c>
      <c r="KDT132" s="531" t="e">
        <f t="shared" si="123"/>
        <v>#DIV/0!</v>
      </c>
      <c r="KDU132" s="531" t="e">
        <f t="shared" si="123"/>
        <v>#DIV/0!</v>
      </c>
      <c r="KDV132" s="531" t="e">
        <f t="shared" si="123"/>
        <v>#DIV/0!</v>
      </c>
      <c r="KDW132" s="531" t="e">
        <f t="shared" si="123"/>
        <v>#DIV/0!</v>
      </c>
      <c r="KDX132" s="531" t="e">
        <f t="shared" si="123"/>
        <v>#DIV/0!</v>
      </c>
      <c r="KDY132" s="531" t="e">
        <f t="shared" si="123"/>
        <v>#DIV/0!</v>
      </c>
      <c r="KDZ132" s="531" t="e">
        <f t="shared" si="123"/>
        <v>#DIV/0!</v>
      </c>
      <c r="KEA132" s="531" t="e">
        <f t="shared" si="123"/>
        <v>#DIV/0!</v>
      </c>
      <c r="KEB132" s="531" t="e">
        <f t="shared" si="123"/>
        <v>#DIV/0!</v>
      </c>
      <c r="KEC132" s="531" t="e">
        <f t="shared" si="123"/>
        <v>#DIV/0!</v>
      </c>
      <c r="KED132" s="531" t="e">
        <f t="shared" si="123"/>
        <v>#DIV/0!</v>
      </c>
      <c r="KEE132" s="531" t="e">
        <f t="shared" si="123"/>
        <v>#DIV/0!</v>
      </c>
      <c r="KEF132" s="531" t="e">
        <f t="shared" si="123"/>
        <v>#DIV/0!</v>
      </c>
      <c r="KEG132" s="531" t="e">
        <f t="shared" si="123"/>
        <v>#DIV/0!</v>
      </c>
      <c r="KEH132" s="531" t="e">
        <f t="shared" si="123"/>
        <v>#DIV/0!</v>
      </c>
      <c r="KEI132" s="531" t="e">
        <f t="shared" si="123"/>
        <v>#DIV/0!</v>
      </c>
      <c r="KEJ132" s="531" t="e">
        <f t="shared" si="123"/>
        <v>#DIV/0!</v>
      </c>
      <c r="KEK132" s="531" t="e">
        <f t="shared" si="123"/>
        <v>#DIV/0!</v>
      </c>
      <c r="KEL132" s="531" t="e">
        <f t="shared" si="123"/>
        <v>#DIV/0!</v>
      </c>
      <c r="KEM132" s="531" t="e">
        <f t="shared" si="123"/>
        <v>#DIV/0!</v>
      </c>
      <c r="KEN132" s="531" t="e">
        <f t="shared" si="123"/>
        <v>#DIV/0!</v>
      </c>
      <c r="KEO132" s="531" t="e">
        <f t="shared" si="123"/>
        <v>#DIV/0!</v>
      </c>
      <c r="KEP132" s="531" t="e">
        <f t="shared" si="123"/>
        <v>#DIV/0!</v>
      </c>
      <c r="KEQ132" s="531" t="e">
        <f t="shared" si="123"/>
        <v>#DIV/0!</v>
      </c>
      <c r="KER132" s="531" t="e">
        <f t="shared" si="123"/>
        <v>#DIV/0!</v>
      </c>
      <c r="KES132" s="531" t="e">
        <f t="shared" si="123"/>
        <v>#DIV/0!</v>
      </c>
      <c r="KET132" s="531" t="e">
        <f t="shared" si="123"/>
        <v>#DIV/0!</v>
      </c>
      <c r="KEU132" s="531" t="e">
        <f t="shared" si="123"/>
        <v>#DIV/0!</v>
      </c>
      <c r="KEV132" s="531" t="e">
        <f t="shared" si="123"/>
        <v>#DIV/0!</v>
      </c>
      <c r="KEW132" s="531" t="e">
        <f t="shared" si="123"/>
        <v>#DIV/0!</v>
      </c>
      <c r="KEX132" s="531" t="e">
        <f t="shared" si="123"/>
        <v>#DIV/0!</v>
      </c>
      <c r="KEY132" s="531" t="e">
        <f t="shared" si="123"/>
        <v>#DIV/0!</v>
      </c>
      <c r="KEZ132" s="531" t="e">
        <f t="shared" si="123"/>
        <v>#DIV/0!</v>
      </c>
      <c r="KFA132" s="531" t="e">
        <f t="shared" si="123"/>
        <v>#DIV/0!</v>
      </c>
      <c r="KFB132" s="531" t="e">
        <f t="shared" si="123"/>
        <v>#DIV/0!</v>
      </c>
      <c r="KFC132" s="531" t="e">
        <f t="shared" si="123"/>
        <v>#DIV/0!</v>
      </c>
      <c r="KFD132" s="531" t="e">
        <f t="shared" si="123"/>
        <v>#DIV/0!</v>
      </c>
      <c r="KFE132" s="531" t="e">
        <f t="shared" si="123"/>
        <v>#DIV/0!</v>
      </c>
      <c r="KFF132" s="531" t="e">
        <f t="shared" si="123"/>
        <v>#DIV/0!</v>
      </c>
      <c r="KFG132" s="531" t="e">
        <f t="shared" si="123"/>
        <v>#DIV/0!</v>
      </c>
      <c r="KFH132" s="531" t="e">
        <f t="shared" si="123"/>
        <v>#DIV/0!</v>
      </c>
      <c r="KFI132" s="531" t="e">
        <f t="shared" si="123"/>
        <v>#DIV/0!</v>
      </c>
      <c r="KFJ132" s="531" t="e">
        <f t="shared" si="123"/>
        <v>#DIV/0!</v>
      </c>
      <c r="KFK132" s="531" t="e">
        <f t="shared" si="123"/>
        <v>#DIV/0!</v>
      </c>
      <c r="KFL132" s="531" t="e">
        <f t="shared" si="123"/>
        <v>#DIV/0!</v>
      </c>
      <c r="KFM132" s="531" t="e">
        <f t="shared" si="123"/>
        <v>#DIV/0!</v>
      </c>
      <c r="KFN132" s="531" t="e">
        <f t="shared" si="123"/>
        <v>#DIV/0!</v>
      </c>
      <c r="KFO132" s="531" t="e">
        <f t="shared" si="123"/>
        <v>#DIV/0!</v>
      </c>
      <c r="KFP132" s="531" t="e">
        <f t="shared" si="123"/>
        <v>#DIV/0!</v>
      </c>
      <c r="KFQ132" s="531" t="e">
        <f t="shared" si="123"/>
        <v>#DIV/0!</v>
      </c>
      <c r="KFR132" s="531" t="e">
        <f t="shared" si="123"/>
        <v>#DIV/0!</v>
      </c>
      <c r="KFS132" s="531" t="e">
        <f t="shared" si="123"/>
        <v>#DIV/0!</v>
      </c>
      <c r="KFT132" s="531" t="e">
        <f t="shared" si="123"/>
        <v>#DIV/0!</v>
      </c>
      <c r="KFU132" s="531" t="e">
        <f t="shared" si="123"/>
        <v>#DIV/0!</v>
      </c>
      <c r="KFV132" s="531" t="e">
        <f t="shared" si="123"/>
        <v>#DIV/0!</v>
      </c>
      <c r="KFW132" s="531" t="e">
        <f t="shared" si="123"/>
        <v>#DIV/0!</v>
      </c>
      <c r="KFX132" s="531" t="e">
        <f t="shared" si="123"/>
        <v>#DIV/0!</v>
      </c>
      <c r="KFY132" s="531" t="e">
        <f t="shared" si="123"/>
        <v>#DIV/0!</v>
      </c>
      <c r="KFZ132" s="531" t="e">
        <f t="shared" si="123"/>
        <v>#DIV/0!</v>
      </c>
      <c r="KGA132" s="531" t="e">
        <f t="shared" si="123"/>
        <v>#DIV/0!</v>
      </c>
      <c r="KGB132" s="531" t="e">
        <f t="shared" si="123"/>
        <v>#DIV/0!</v>
      </c>
      <c r="KGC132" s="531" t="e">
        <f t="shared" si="123"/>
        <v>#DIV/0!</v>
      </c>
      <c r="KGD132" s="531" t="e">
        <f t="shared" si="123"/>
        <v>#DIV/0!</v>
      </c>
      <c r="KGE132" s="531" t="e">
        <f t="shared" ref="KGE132:KIP132" si="124">(KGE128-KGE116)/(KGE52*10^5)</f>
        <v>#DIV/0!</v>
      </c>
      <c r="KGF132" s="531" t="e">
        <f t="shared" si="124"/>
        <v>#DIV/0!</v>
      </c>
      <c r="KGG132" s="531" t="e">
        <f t="shared" si="124"/>
        <v>#DIV/0!</v>
      </c>
      <c r="KGH132" s="531" t="e">
        <f t="shared" si="124"/>
        <v>#DIV/0!</v>
      </c>
      <c r="KGI132" s="531" t="e">
        <f t="shared" si="124"/>
        <v>#DIV/0!</v>
      </c>
      <c r="KGJ132" s="531" t="e">
        <f t="shared" si="124"/>
        <v>#DIV/0!</v>
      </c>
      <c r="KGK132" s="531" t="e">
        <f t="shared" si="124"/>
        <v>#DIV/0!</v>
      </c>
      <c r="KGL132" s="531" t="e">
        <f t="shared" si="124"/>
        <v>#DIV/0!</v>
      </c>
      <c r="KGM132" s="531" t="e">
        <f t="shared" si="124"/>
        <v>#DIV/0!</v>
      </c>
      <c r="KGN132" s="531" t="e">
        <f t="shared" si="124"/>
        <v>#DIV/0!</v>
      </c>
      <c r="KGO132" s="531" t="e">
        <f t="shared" si="124"/>
        <v>#DIV/0!</v>
      </c>
      <c r="KGP132" s="531" t="e">
        <f t="shared" si="124"/>
        <v>#DIV/0!</v>
      </c>
      <c r="KGQ132" s="531" t="e">
        <f t="shared" si="124"/>
        <v>#DIV/0!</v>
      </c>
      <c r="KGR132" s="531" t="e">
        <f t="shared" si="124"/>
        <v>#DIV/0!</v>
      </c>
      <c r="KGS132" s="531" t="e">
        <f t="shared" si="124"/>
        <v>#DIV/0!</v>
      </c>
      <c r="KGT132" s="531" t="e">
        <f t="shared" si="124"/>
        <v>#DIV/0!</v>
      </c>
      <c r="KGU132" s="531" t="e">
        <f t="shared" si="124"/>
        <v>#DIV/0!</v>
      </c>
      <c r="KGV132" s="531" t="e">
        <f t="shared" si="124"/>
        <v>#DIV/0!</v>
      </c>
      <c r="KGW132" s="531" t="e">
        <f t="shared" si="124"/>
        <v>#DIV/0!</v>
      </c>
      <c r="KGX132" s="531" t="e">
        <f t="shared" si="124"/>
        <v>#DIV/0!</v>
      </c>
      <c r="KGY132" s="531" t="e">
        <f t="shared" si="124"/>
        <v>#DIV/0!</v>
      </c>
      <c r="KGZ132" s="531" t="e">
        <f t="shared" si="124"/>
        <v>#DIV/0!</v>
      </c>
      <c r="KHA132" s="531" t="e">
        <f t="shared" si="124"/>
        <v>#DIV/0!</v>
      </c>
      <c r="KHB132" s="531" t="e">
        <f t="shared" si="124"/>
        <v>#DIV/0!</v>
      </c>
      <c r="KHC132" s="531" t="e">
        <f t="shared" si="124"/>
        <v>#DIV/0!</v>
      </c>
      <c r="KHD132" s="531" t="e">
        <f t="shared" si="124"/>
        <v>#DIV/0!</v>
      </c>
      <c r="KHE132" s="531" t="e">
        <f t="shared" si="124"/>
        <v>#DIV/0!</v>
      </c>
      <c r="KHF132" s="531" t="e">
        <f t="shared" si="124"/>
        <v>#DIV/0!</v>
      </c>
      <c r="KHG132" s="531" t="e">
        <f t="shared" si="124"/>
        <v>#DIV/0!</v>
      </c>
      <c r="KHH132" s="531" t="e">
        <f t="shared" si="124"/>
        <v>#DIV/0!</v>
      </c>
      <c r="KHI132" s="531" t="e">
        <f t="shared" si="124"/>
        <v>#DIV/0!</v>
      </c>
      <c r="KHJ132" s="531" t="e">
        <f t="shared" si="124"/>
        <v>#DIV/0!</v>
      </c>
      <c r="KHK132" s="531" t="e">
        <f t="shared" si="124"/>
        <v>#DIV/0!</v>
      </c>
      <c r="KHL132" s="531" t="e">
        <f t="shared" si="124"/>
        <v>#DIV/0!</v>
      </c>
      <c r="KHM132" s="531" t="e">
        <f t="shared" si="124"/>
        <v>#DIV/0!</v>
      </c>
      <c r="KHN132" s="531" t="e">
        <f t="shared" si="124"/>
        <v>#DIV/0!</v>
      </c>
      <c r="KHO132" s="531" t="e">
        <f t="shared" si="124"/>
        <v>#DIV/0!</v>
      </c>
      <c r="KHP132" s="531" t="e">
        <f t="shared" si="124"/>
        <v>#DIV/0!</v>
      </c>
      <c r="KHQ132" s="531" t="e">
        <f t="shared" si="124"/>
        <v>#DIV/0!</v>
      </c>
      <c r="KHR132" s="531" t="e">
        <f t="shared" si="124"/>
        <v>#DIV/0!</v>
      </c>
      <c r="KHS132" s="531" t="e">
        <f t="shared" si="124"/>
        <v>#DIV/0!</v>
      </c>
      <c r="KHT132" s="531" t="e">
        <f t="shared" si="124"/>
        <v>#DIV/0!</v>
      </c>
      <c r="KHU132" s="531" t="e">
        <f t="shared" si="124"/>
        <v>#DIV/0!</v>
      </c>
      <c r="KHV132" s="531" t="e">
        <f t="shared" si="124"/>
        <v>#DIV/0!</v>
      </c>
      <c r="KHW132" s="531" t="e">
        <f t="shared" si="124"/>
        <v>#DIV/0!</v>
      </c>
      <c r="KHX132" s="531" t="e">
        <f t="shared" si="124"/>
        <v>#DIV/0!</v>
      </c>
      <c r="KHY132" s="531" t="e">
        <f t="shared" si="124"/>
        <v>#DIV/0!</v>
      </c>
      <c r="KHZ132" s="531" t="e">
        <f t="shared" si="124"/>
        <v>#DIV/0!</v>
      </c>
      <c r="KIA132" s="531" t="e">
        <f t="shared" si="124"/>
        <v>#DIV/0!</v>
      </c>
      <c r="KIB132" s="531" t="e">
        <f t="shared" si="124"/>
        <v>#DIV/0!</v>
      </c>
      <c r="KIC132" s="531" t="e">
        <f t="shared" si="124"/>
        <v>#DIV/0!</v>
      </c>
      <c r="KID132" s="531" t="e">
        <f t="shared" si="124"/>
        <v>#DIV/0!</v>
      </c>
      <c r="KIE132" s="531" t="e">
        <f t="shared" si="124"/>
        <v>#DIV/0!</v>
      </c>
      <c r="KIF132" s="531" t="e">
        <f t="shared" si="124"/>
        <v>#DIV/0!</v>
      </c>
      <c r="KIG132" s="531" t="e">
        <f t="shared" si="124"/>
        <v>#DIV/0!</v>
      </c>
      <c r="KIH132" s="531" t="e">
        <f t="shared" si="124"/>
        <v>#DIV/0!</v>
      </c>
      <c r="KII132" s="531" t="e">
        <f t="shared" si="124"/>
        <v>#DIV/0!</v>
      </c>
      <c r="KIJ132" s="531" t="e">
        <f t="shared" si="124"/>
        <v>#DIV/0!</v>
      </c>
      <c r="KIK132" s="531" t="e">
        <f t="shared" si="124"/>
        <v>#DIV/0!</v>
      </c>
      <c r="KIL132" s="531" t="e">
        <f t="shared" si="124"/>
        <v>#DIV/0!</v>
      </c>
      <c r="KIM132" s="531" t="e">
        <f t="shared" si="124"/>
        <v>#DIV/0!</v>
      </c>
      <c r="KIN132" s="531" t="e">
        <f t="shared" si="124"/>
        <v>#DIV/0!</v>
      </c>
      <c r="KIO132" s="531" t="e">
        <f t="shared" si="124"/>
        <v>#DIV/0!</v>
      </c>
      <c r="KIP132" s="531" t="e">
        <f t="shared" si="124"/>
        <v>#DIV/0!</v>
      </c>
      <c r="KIQ132" s="531" t="e">
        <f t="shared" ref="KIQ132:KLB132" si="125">(KIQ128-KIQ116)/(KIQ52*10^5)</f>
        <v>#DIV/0!</v>
      </c>
      <c r="KIR132" s="531" t="e">
        <f t="shared" si="125"/>
        <v>#DIV/0!</v>
      </c>
      <c r="KIS132" s="531" t="e">
        <f t="shared" si="125"/>
        <v>#DIV/0!</v>
      </c>
      <c r="KIT132" s="531" t="e">
        <f t="shared" si="125"/>
        <v>#DIV/0!</v>
      </c>
      <c r="KIU132" s="531" t="e">
        <f t="shared" si="125"/>
        <v>#DIV/0!</v>
      </c>
      <c r="KIV132" s="531" t="e">
        <f t="shared" si="125"/>
        <v>#DIV/0!</v>
      </c>
      <c r="KIW132" s="531" t="e">
        <f t="shared" si="125"/>
        <v>#DIV/0!</v>
      </c>
      <c r="KIX132" s="531" t="e">
        <f t="shared" si="125"/>
        <v>#DIV/0!</v>
      </c>
      <c r="KIY132" s="531" t="e">
        <f t="shared" si="125"/>
        <v>#DIV/0!</v>
      </c>
      <c r="KIZ132" s="531" t="e">
        <f t="shared" si="125"/>
        <v>#DIV/0!</v>
      </c>
      <c r="KJA132" s="531" t="e">
        <f t="shared" si="125"/>
        <v>#DIV/0!</v>
      </c>
      <c r="KJB132" s="531" t="e">
        <f t="shared" si="125"/>
        <v>#DIV/0!</v>
      </c>
      <c r="KJC132" s="531" t="e">
        <f t="shared" si="125"/>
        <v>#DIV/0!</v>
      </c>
      <c r="KJD132" s="531" t="e">
        <f t="shared" si="125"/>
        <v>#DIV/0!</v>
      </c>
      <c r="KJE132" s="531" t="e">
        <f t="shared" si="125"/>
        <v>#DIV/0!</v>
      </c>
      <c r="KJF132" s="531" t="e">
        <f t="shared" si="125"/>
        <v>#DIV/0!</v>
      </c>
      <c r="KJG132" s="531" t="e">
        <f t="shared" si="125"/>
        <v>#DIV/0!</v>
      </c>
      <c r="KJH132" s="531" t="e">
        <f t="shared" si="125"/>
        <v>#DIV/0!</v>
      </c>
      <c r="KJI132" s="531" t="e">
        <f t="shared" si="125"/>
        <v>#DIV/0!</v>
      </c>
      <c r="KJJ132" s="531" t="e">
        <f t="shared" si="125"/>
        <v>#DIV/0!</v>
      </c>
      <c r="KJK132" s="531" t="e">
        <f t="shared" si="125"/>
        <v>#DIV/0!</v>
      </c>
      <c r="KJL132" s="531" t="e">
        <f t="shared" si="125"/>
        <v>#DIV/0!</v>
      </c>
      <c r="KJM132" s="531" t="e">
        <f t="shared" si="125"/>
        <v>#DIV/0!</v>
      </c>
      <c r="KJN132" s="531" t="e">
        <f t="shared" si="125"/>
        <v>#DIV/0!</v>
      </c>
      <c r="KJO132" s="531" t="e">
        <f t="shared" si="125"/>
        <v>#DIV/0!</v>
      </c>
      <c r="KJP132" s="531" t="e">
        <f t="shared" si="125"/>
        <v>#DIV/0!</v>
      </c>
      <c r="KJQ132" s="531" t="e">
        <f t="shared" si="125"/>
        <v>#DIV/0!</v>
      </c>
      <c r="KJR132" s="531" t="e">
        <f t="shared" si="125"/>
        <v>#DIV/0!</v>
      </c>
      <c r="KJS132" s="531" t="e">
        <f t="shared" si="125"/>
        <v>#DIV/0!</v>
      </c>
      <c r="KJT132" s="531" t="e">
        <f t="shared" si="125"/>
        <v>#DIV/0!</v>
      </c>
      <c r="KJU132" s="531" t="e">
        <f t="shared" si="125"/>
        <v>#DIV/0!</v>
      </c>
      <c r="KJV132" s="531" t="e">
        <f t="shared" si="125"/>
        <v>#DIV/0!</v>
      </c>
      <c r="KJW132" s="531" t="e">
        <f t="shared" si="125"/>
        <v>#DIV/0!</v>
      </c>
      <c r="KJX132" s="531" t="e">
        <f t="shared" si="125"/>
        <v>#DIV/0!</v>
      </c>
      <c r="KJY132" s="531" t="e">
        <f t="shared" si="125"/>
        <v>#DIV/0!</v>
      </c>
      <c r="KJZ132" s="531" t="e">
        <f t="shared" si="125"/>
        <v>#DIV/0!</v>
      </c>
      <c r="KKA132" s="531" t="e">
        <f t="shared" si="125"/>
        <v>#DIV/0!</v>
      </c>
      <c r="KKB132" s="531" t="e">
        <f t="shared" si="125"/>
        <v>#DIV/0!</v>
      </c>
      <c r="KKC132" s="531" t="e">
        <f t="shared" si="125"/>
        <v>#DIV/0!</v>
      </c>
      <c r="KKD132" s="531" t="e">
        <f t="shared" si="125"/>
        <v>#DIV/0!</v>
      </c>
      <c r="KKE132" s="531" t="e">
        <f t="shared" si="125"/>
        <v>#DIV/0!</v>
      </c>
      <c r="KKF132" s="531" t="e">
        <f t="shared" si="125"/>
        <v>#DIV/0!</v>
      </c>
      <c r="KKG132" s="531" t="e">
        <f t="shared" si="125"/>
        <v>#DIV/0!</v>
      </c>
      <c r="KKH132" s="531" t="e">
        <f t="shared" si="125"/>
        <v>#DIV/0!</v>
      </c>
      <c r="KKI132" s="531" t="e">
        <f t="shared" si="125"/>
        <v>#DIV/0!</v>
      </c>
      <c r="KKJ132" s="531" t="e">
        <f t="shared" si="125"/>
        <v>#DIV/0!</v>
      </c>
      <c r="KKK132" s="531" t="e">
        <f t="shared" si="125"/>
        <v>#DIV/0!</v>
      </c>
      <c r="KKL132" s="531" t="e">
        <f t="shared" si="125"/>
        <v>#DIV/0!</v>
      </c>
      <c r="KKM132" s="531" t="e">
        <f t="shared" si="125"/>
        <v>#DIV/0!</v>
      </c>
      <c r="KKN132" s="531" t="e">
        <f t="shared" si="125"/>
        <v>#DIV/0!</v>
      </c>
      <c r="KKO132" s="531" t="e">
        <f t="shared" si="125"/>
        <v>#DIV/0!</v>
      </c>
      <c r="KKP132" s="531" t="e">
        <f t="shared" si="125"/>
        <v>#DIV/0!</v>
      </c>
      <c r="KKQ132" s="531" t="e">
        <f t="shared" si="125"/>
        <v>#DIV/0!</v>
      </c>
      <c r="KKR132" s="531" t="e">
        <f t="shared" si="125"/>
        <v>#DIV/0!</v>
      </c>
      <c r="KKS132" s="531" t="e">
        <f t="shared" si="125"/>
        <v>#DIV/0!</v>
      </c>
      <c r="KKT132" s="531" t="e">
        <f t="shared" si="125"/>
        <v>#DIV/0!</v>
      </c>
      <c r="KKU132" s="531" t="e">
        <f t="shared" si="125"/>
        <v>#DIV/0!</v>
      </c>
      <c r="KKV132" s="531" t="e">
        <f t="shared" si="125"/>
        <v>#DIV/0!</v>
      </c>
      <c r="KKW132" s="531" t="e">
        <f t="shared" si="125"/>
        <v>#DIV/0!</v>
      </c>
      <c r="KKX132" s="531" t="e">
        <f t="shared" si="125"/>
        <v>#DIV/0!</v>
      </c>
      <c r="KKY132" s="531" t="e">
        <f t="shared" si="125"/>
        <v>#DIV/0!</v>
      </c>
      <c r="KKZ132" s="531" t="e">
        <f t="shared" si="125"/>
        <v>#DIV/0!</v>
      </c>
      <c r="KLA132" s="531" t="e">
        <f t="shared" si="125"/>
        <v>#DIV/0!</v>
      </c>
      <c r="KLB132" s="531" t="e">
        <f t="shared" si="125"/>
        <v>#DIV/0!</v>
      </c>
      <c r="KLC132" s="531" t="e">
        <f t="shared" ref="KLC132:KNN132" si="126">(KLC128-KLC116)/(KLC52*10^5)</f>
        <v>#DIV/0!</v>
      </c>
      <c r="KLD132" s="531" t="e">
        <f t="shared" si="126"/>
        <v>#DIV/0!</v>
      </c>
      <c r="KLE132" s="531" t="e">
        <f t="shared" si="126"/>
        <v>#DIV/0!</v>
      </c>
      <c r="KLF132" s="531" t="e">
        <f t="shared" si="126"/>
        <v>#DIV/0!</v>
      </c>
      <c r="KLG132" s="531" t="e">
        <f t="shared" si="126"/>
        <v>#DIV/0!</v>
      </c>
      <c r="KLH132" s="531" t="e">
        <f t="shared" si="126"/>
        <v>#DIV/0!</v>
      </c>
      <c r="KLI132" s="531" t="e">
        <f t="shared" si="126"/>
        <v>#DIV/0!</v>
      </c>
      <c r="KLJ132" s="531" t="e">
        <f t="shared" si="126"/>
        <v>#DIV/0!</v>
      </c>
      <c r="KLK132" s="531" t="e">
        <f t="shared" si="126"/>
        <v>#DIV/0!</v>
      </c>
      <c r="KLL132" s="531" t="e">
        <f t="shared" si="126"/>
        <v>#DIV/0!</v>
      </c>
      <c r="KLM132" s="531" t="e">
        <f t="shared" si="126"/>
        <v>#DIV/0!</v>
      </c>
      <c r="KLN132" s="531" t="e">
        <f t="shared" si="126"/>
        <v>#DIV/0!</v>
      </c>
      <c r="KLO132" s="531" t="e">
        <f t="shared" si="126"/>
        <v>#DIV/0!</v>
      </c>
      <c r="KLP132" s="531" t="e">
        <f t="shared" si="126"/>
        <v>#DIV/0!</v>
      </c>
      <c r="KLQ132" s="531" t="e">
        <f t="shared" si="126"/>
        <v>#DIV/0!</v>
      </c>
      <c r="KLR132" s="531" t="e">
        <f t="shared" si="126"/>
        <v>#DIV/0!</v>
      </c>
      <c r="KLS132" s="531" t="e">
        <f t="shared" si="126"/>
        <v>#DIV/0!</v>
      </c>
      <c r="KLT132" s="531" t="e">
        <f t="shared" si="126"/>
        <v>#DIV/0!</v>
      </c>
      <c r="KLU132" s="531" t="e">
        <f t="shared" si="126"/>
        <v>#DIV/0!</v>
      </c>
      <c r="KLV132" s="531" t="e">
        <f t="shared" si="126"/>
        <v>#DIV/0!</v>
      </c>
      <c r="KLW132" s="531" t="e">
        <f t="shared" si="126"/>
        <v>#DIV/0!</v>
      </c>
      <c r="KLX132" s="531" t="e">
        <f t="shared" si="126"/>
        <v>#DIV/0!</v>
      </c>
      <c r="KLY132" s="531" t="e">
        <f t="shared" si="126"/>
        <v>#DIV/0!</v>
      </c>
      <c r="KLZ132" s="531" t="e">
        <f t="shared" si="126"/>
        <v>#DIV/0!</v>
      </c>
      <c r="KMA132" s="531" t="e">
        <f t="shared" si="126"/>
        <v>#DIV/0!</v>
      </c>
      <c r="KMB132" s="531" t="e">
        <f t="shared" si="126"/>
        <v>#DIV/0!</v>
      </c>
      <c r="KMC132" s="531" t="e">
        <f t="shared" si="126"/>
        <v>#DIV/0!</v>
      </c>
      <c r="KMD132" s="531" t="e">
        <f t="shared" si="126"/>
        <v>#DIV/0!</v>
      </c>
      <c r="KME132" s="531" t="e">
        <f t="shared" si="126"/>
        <v>#DIV/0!</v>
      </c>
      <c r="KMF132" s="531" t="e">
        <f t="shared" si="126"/>
        <v>#DIV/0!</v>
      </c>
      <c r="KMG132" s="531" t="e">
        <f t="shared" si="126"/>
        <v>#DIV/0!</v>
      </c>
      <c r="KMH132" s="531" t="e">
        <f t="shared" si="126"/>
        <v>#DIV/0!</v>
      </c>
      <c r="KMI132" s="531" t="e">
        <f t="shared" si="126"/>
        <v>#DIV/0!</v>
      </c>
      <c r="KMJ132" s="531" t="e">
        <f t="shared" si="126"/>
        <v>#DIV/0!</v>
      </c>
      <c r="KMK132" s="531" t="e">
        <f t="shared" si="126"/>
        <v>#DIV/0!</v>
      </c>
      <c r="KML132" s="531" t="e">
        <f t="shared" si="126"/>
        <v>#DIV/0!</v>
      </c>
      <c r="KMM132" s="531" t="e">
        <f t="shared" si="126"/>
        <v>#DIV/0!</v>
      </c>
      <c r="KMN132" s="531" t="e">
        <f t="shared" si="126"/>
        <v>#DIV/0!</v>
      </c>
      <c r="KMO132" s="531" t="e">
        <f t="shared" si="126"/>
        <v>#DIV/0!</v>
      </c>
      <c r="KMP132" s="531" t="e">
        <f t="shared" si="126"/>
        <v>#DIV/0!</v>
      </c>
      <c r="KMQ132" s="531" t="e">
        <f t="shared" si="126"/>
        <v>#DIV/0!</v>
      </c>
      <c r="KMR132" s="531" t="e">
        <f t="shared" si="126"/>
        <v>#DIV/0!</v>
      </c>
      <c r="KMS132" s="531" t="e">
        <f t="shared" si="126"/>
        <v>#DIV/0!</v>
      </c>
      <c r="KMT132" s="531" t="e">
        <f t="shared" si="126"/>
        <v>#DIV/0!</v>
      </c>
      <c r="KMU132" s="531" t="e">
        <f t="shared" si="126"/>
        <v>#DIV/0!</v>
      </c>
      <c r="KMV132" s="531" t="e">
        <f t="shared" si="126"/>
        <v>#DIV/0!</v>
      </c>
      <c r="KMW132" s="531" t="e">
        <f t="shared" si="126"/>
        <v>#DIV/0!</v>
      </c>
      <c r="KMX132" s="531" t="e">
        <f t="shared" si="126"/>
        <v>#DIV/0!</v>
      </c>
      <c r="KMY132" s="531" t="e">
        <f t="shared" si="126"/>
        <v>#DIV/0!</v>
      </c>
      <c r="KMZ132" s="531" t="e">
        <f t="shared" si="126"/>
        <v>#DIV/0!</v>
      </c>
      <c r="KNA132" s="531" t="e">
        <f t="shared" si="126"/>
        <v>#DIV/0!</v>
      </c>
      <c r="KNB132" s="531" t="e">
        <f t="shared" si="126"/>
        <v>#DIV/0!</v>
      </c>
      <c r="KNC132" s="531" t="e">
        <f t="shared" si="126"/>
        <v>#DIV/0!</v>
      </c>
      <c r="KND132" s="531" t="e">
        <f t="shared" si="126"/>
        <v>#DIV/0!</v>
      </c>
      <c r="KNE132" s="531" t="e">
        <f t="shared" si="126"/>
        <v>#DIV/0!</v>
      </c>
      <c r="KNF132" s="531" t="e">
        <f t="shared" si="126"/>
        <v>#DIV/0!</v>
      </c>
      <c r="KNG132" s="531" t="e">
        <f t="shared" si="126"/>
        <v>#DIV/0!</v>
      </c>
      <c r="KNH132" s="531" t="e">
        <f t="shared" si="126"/>
        <v>#DIV/0!</v>
      </c>
      <c r="KNI132" s="531" t="e">
        <f t="shared" si="126"/>
        <v>#DIV/0!</v>
      </c>
      <c r="KNJ132" s="531" t="e">
        <f t="shared" si="126"/>
        <v>#DIV/0!</v>
      </c>
      <c r="KNK132" s="531" t="e">
        <f t="shared" si="126"/>
        <v>#DIV/0!</v>
      </c>
      <c r="KNL132" s="531" t="e">
        <f t="shared" si="126"/>
        <v>#DIV/0!</v>
      </c>
      <c r="KNM132" s="531" t="e">
        <f t="shared" si="126"/>
        <v>#DIV/0!</v>
      </c>
      <c r="KNN132" s="531" t="e">
        <f t="shared" si="126"/>
        <v>#DIV/0!</v>
      </c>
      <c r="KNO132" s="531" t="e">
        <f t="shared" ref="KNO132:KPZ132" si="127">(KNO128-KNO116)/(KNO52*10^5)</f>
        <v>#DIV/0!</v>
      </c>
      <c r="KNP132" s="531" t="e">
        <f t="shared" si="127"/>
        <v>#DIV/0!</v>
      </c>
      <c r="KNQ132" s="531" t="e">
        <f t="shared" si="127"/>
        <v>#DIV/0!</v>
      </c>
      <c r="KNR132" s="531" t="e">
        <f t="shared" si="127"/>
        <v>#DIV/0!</v>
      </c>
      <c r="KNS132" s="531" t="e">
        <f t="shared" si="127"/>
        <v>#DIV/0!</v>
      </c>
      <c r="KNT132" s="531" t="e">
        <f t="shared" si="127"/>
        <v>#DIV/0!</v>
      </c>
      <c r="KNU132" s="531" t="e">
        <f t="shared" si="127"/>
        <v>#DIV/0!</v>
      </c>
      <c r="KNV132" s="531" t="e">
        <f t="shared" si="127"/>
        <v>#DIV/0!</v>
      </c>
      <c r="KNW132" s="531" t="e">
        <f t="shared" si="127"/>
        <v>#DIV/0!</v>
      </c>
      <c r="KNX132" s="531" t="e">
        <f t="shared" si="127"/>
        <v>#DIV/0!</v>
      </c>
      <c r="KNY132" s="531" t="e">
        <f t="shared" si="127"/>
        <v>#DIV/0!</v>
      </c>
      <c r="KNZ132" s="531" t="e">
        <f t="shared" si="127"/>
        <v>#DIV/0!</v>
      </c>
      <c r="KOA132" s="531" t="e">
        <f t="shared" si="127"/>
        <v>#DIV/0!</v>
      </c>
      <c r="KOB132" s="531" t="e">
        <f t="shared" si="127"/>
        <v>#DIV/0!</v>
      </c>
      <c r="KOC132" s="531" t="e">
        <f t="shared" si="127"/>
        <v>#DIV/0!</v>
      </c>
      <c r="KOD132" s="531" t="e">
        <f t="shared" si="127"/>
        <v>#DIV/0!</v>
      </c>
      <c r="KOE132" s="531" t="e">
        <f t="shared" si="127"/>
        <v>#DIV/0!</v>
      </c>
      <c r="KOF132" s="531" t="e">
        <f t="shared" si="127"/>
        <v>#DIV/0!</v>
      </c>
      <c r="KOG132" s="531" t="e">
        <f t="shared" si="127"/>
        <v>#DIV/0!</v>
      </c>
      <c r="KOH132" s="531" t="e">
        <f t="shared" si="127"/>
        <v>#DIV/0!</v>
      </c>
      <c r="KOI132" s="531" t="e">
        <f t="shared" si="127"/>
        <v>#DIV/0!</v>
      </c>
      <c r="KOJ132" s="531" t="e">
        <f t="shared" si="127"/>
        <v>#DIV/0!</v>
      </c>
      <c r="KOK132" s="531" t="e">
        <f t="shared" si="127"/>
        <v>#DIV/0!</v>
      </c>
      <c r="KOL132" s="531" t="e">
        <f t="shared" si="127"/>
        <v>#DIV/0!</v>
      </c>
      <c r="KOM132" s="531" t="e">
        <f t="shared" si="127"/>
        <v>#DIV/0!</v>
      </c>
      <c r="KON132" s="531" t="e">
        <f t="shared" si="127"/>
        <v>#DIV/0!</v>
      </c>
      <c r="KOO132" s="531" t="e">
        <f t="shared" si="127"/>
        <v>#DIV/0!</v>
      </c>
      <c r="KOP132" s="531" t="e">
        <f t="shared" si="127"/>
        <v>#DIV/0!</v>
      </c>
      <c r="KOQ132" s="531" t="e">
        <f t="shared" si="127"/>
        <v>#DIV/0!</v>
      </c>
      <c r="KOR132" s="531" t="e">
        <f t="shared" si="127"/>
        <v>#DIV/0!</v>
      </c>
      <c r="KOS132" s="531" t="e">
        <f t="shared" si="127"/>
        <v>#DIV/0!</v>
      </c>
      <c r="KOT132" s="531" t="e">
        <f t="shared" si="127"/>
        <v>#DIV/0!</v>
      </c>
      <c r="KOU132" s="531" t="e">
        <f t="shared" si="127"/>
        <v>#DIV/0!</v>
      </c>
      <c r="KOV132" s="531" t="e">
        <f t="shared" si="127"/>
        <v>#DIV/0!</v>
      </c>
      <c r="KOW132" s="531" t="e">
        <f t="shared" si="127"/>
        <v>#DIV/0!</v>
      </c>
      <c r="KOX132" s="531" t="e">
        <f t="shared" si="127"/>
        <v>#DIV/0!</v>
      </c>
      <c r="KOY132" s="531" t="e">
        <f t="shared" si="127"/>
        <v>#DIV/0!</v>
      </c>
      <c r="KOZ132" s="531" t="e">
        <f t="shared" si="127"/>
        <v>#DIV/0!</v>
      </c>
      <c r="KPA132" s="531" t="e">
        <f t="shared" si="127"/>
        <v>#DIV/0!</v>
      </c>
      <c r="KPB132" s="531" t="e">
        <f t="shared" si="127"/>
        <v>#DIV/0!</v>
      </c>
      <c r="KPC132" s="531" t="e">
        <f t="shared" si="127"/>
        <v>#DIV/0!</v>
      </c>
      <c r="KPD132" s="531" t="e">
        <f t="shared" si="127"/>
        <v>#DIV/0!</v>
      </c>
      <c r="KPE132" s="531" t="e">
        <f t="shared" si="127"/>
        <v>#DIV/0!</v>
      </c>
      <c r="KPF132" s="531" t="e">
        <f t="shared" si="127"/>
        <v>#DIV/0!</v>
      </c>
      <c r="KPG132" s="531" t="e">
        <f t="shared" si="127"/>
        <v>#DIV/0!</v>
      </c>
      <c r="KPH132" s="531" t="e">
        <f t="shared" si="127"/>
        <v>#DIV/0!</v>
      </c>
      <c r="KPI132" s="531" t="e">
        <f t="shared" si="127"/>
        <v>#DIV/0!</v>
      </c>
      <c r="KPJ132" s="531" t="e">
        <f t="shared" si="127"/>
        <v>#DIV/0!</v>
      </c>
      <c r="KPK132" s="531" t="e">
        <f t="shared" si="127"/>
        <v>#DIV/0!</v>
      </c>
      <c r="KPL132" s="531" t="e">
        <f t="shared" si="127"/>
        <v>#DIV/0!</v>
      </c>
      <c r="KPM132" s="531" t="e">
        <f t="shared" si="127"/>
        <v>#DIV/0!</v>
      </c>
      <c r="KPN132" s="531" t="e">
        <f t="shared" si="127"/>
        <v>#DIV/0!</v>
      </c>
      <c r="KPO132" s="531" t="e">
        <f t="shared" si="127"/>
        <v>#DIV/0!</v>
      </c>
      <c r="KPP132" s="531" t="e">
        <f t="shared" si="127"/>
        <v>#DIV/0!</v>
      </c>
      <c r="KPQ132" s="531" t="e">
        <f t="shared" si="127"/>
        <v>#DIV/0!</v>
      </c>
      <c r="KPR132" s="531" t="e">
        <f t="shared" si="127"/>
        <v>#DIV/0!</v>
      </c>
      <c r="KPS132" s="531" t="e">
        <f t="shared" si="127"/>
        <v>#DIV/0!</v>
      </c>
      <c r="KPT132" s="531" t="e">
        <f t="shared" si="127"/>
        <v>#DIV/0!</v>
      </c>
      <c r="KPU132" s="531" t="e">
        <f t="shared" si="127"/>
        <v>#DIV/0!</v>
      </c>
      <c r="KPV132" s="531" t="e">
        <f t="shared" si="127"/>
        <v>#DIV/0!</v>
      </c>
      <c r="KPW132" s="531" t="e">
        <f t="shared" si="127"/>
        <v>#DIV/0!</v>
      </c>
      <c r="KPX132" s="531" t="e">
        <f t="shared" si="127"/>
        <v>#DIV/0!</v>
      </c>
      <c r="KPY132" s="531" t="e">
        <f t="shared" si="127"/>
        <v>#DIV/0!</v>
      </c>
      <c r="KPZ132" s="531" t="e">
        <f t="shared" si="127"/>
        <v>#DIV/0!</v>
      </c>
      <c r="KQA132" s="531" t="e">
        <f t="shared" ref="KQA132:KSL132" si="128">(KQA128-KQA116)/(KQA52*10^5)</f>
        <v>#DIV/0!</v>
      </c>
      <c r="KQB132" s="531" t="e">
        <f t="shared" si="128"/>
        <v>#DIV/0!</v>
      </c>
      <c r="KQC132" s="531" t="e">
        <f t="shared" si="128"/>
        <v>#DIV/0!</v>
      </c>
      <c r="KQD132" s="531" t="e">
        <f t="shared" si="128"/>
        <v>#DIV/0!</v>
      </c>
      <c r="KQE132" s="531" t="e">
        <f t="shared" si="128"/>
        <v>#DIV/0!</v>
      </c>
      <c r="KQF132" s="531" t="e">
        <f t="shared" si="128"/>
        <v>#DIV/0!</v>
      </c>
      <c r="KQG132" s="531" t="e">
        <f t="shared" si="128"/>
        <v>#DIV/0!</v>
      </c>
      <c r="KQH132" s="531" t="e">
        <f t="shared" si="128"/>
        <v>#DIV/0!</v>
      </c>
      <c r="KQI132" s="531" t="e">
        <f t="shared" si="128"/>
        <v>#DIV/0!</v>
      </c>
      <c r="KQJ132" s="531" t="e">
        <f t="shared" si="128"/>
        <v>#DIV/0!</v>
      </c>
      <c r="KQK132" s="531" t="e">
        <f t="shared" si="128"/>
        <v>#DIV/0!</v>
      </c>
      <c r="KQL132" s="531" t="e">
        <f t="shared" si="128"/>
        <v>#DIV/0!</v>
      </c>
      <c r="KQM132" s="531" t="e">
        <f t="shared" si="128"/>
        <v>#DIV/0!</v>
      </c>
      <c r="KQN132" s="531" t="e">
        <f t="shared" si="128"/>
        <v>#DIV/0!</v>
      </c>
      <c r="KQO132" s="531" t="e">
        <f t="shared" si="128"/>
        <v>#DIV/0!</v>
      </c>
      <c r="KQP132" s="531" t="e">
        <f t="shared" si="128"/>
        <v>#DIV/0!</v>
      </c>
      <c r="KQQ132" s="531" t="e">
        <f t="shared" si="128"/>
        <v>#DIV/0!</v>
      </c>
      <c r="KQR132" s="531" t="e">
        <f t="shared" si="128"/>
        <v>#DIV/0!</v>
      </c>
      <c r="KQS132" s="531" t="e">
        <f t="shared" si="128"/>
        <v>#DIV/0!</v>
      </c>
      <c r="KQT132" s="531" t="e">
        <f t="shared" si="128"/>
        <v>#DIV/0!</v>
      </c>
      <c r="KQU132" s="531" t="e">
        <f t="shared" si="128"/>
        <v>#DIV/0!</v>
      </c>
      <c r="KQV132" s="531" t="e">
        <f t="shared" si="128"/>
        <v>#DIV/0!</v>
      </c>
      <c r="KQW132" s="531" t="e">
        <f t="shared" si="128"/>
        <v>#DIV/0!</v>
      </c>
      <c r="KQX132" s="531" t="e">
        <f t="shared" si="128"/>
        <v>#DIV/0!</v>
      </c>
      <c r="KQY132" s="531" t="e">
        <f t="shared" si="128"/>
        <v>#DIV/0!</v>
      </c>
      <c r="KQZ132" s="531" t="e">
        <f t="shared" si="128"/>
        <v>#DIV/0!</v>
      </c>
      <c r="KRA132" s="531" t="e">
        <f t="shared" si="128"/>
        <v>#DIV/0!</v>
      </c>
      <c r="KRB132" s="531" t="e">
        <f t="shared" si="128"/>
        <v>#DIV/0!</v>
      </c>
      <c r="KRC132" s="531" t="e">
        <f t="shared" si="128"/>
        <v>#DIV/0!</v>
      </c>
      <c r="KRD132" s="531" t="e">
        <f t="shared" si="128"/>
        <v>#DIV/0!</v>
      </c>
      <c r="KRE132" s="531" t="e">
        <f t="shared" si="128"/>
        <v>#DIV/0!</v>
      </c>
      <c r="KRF132" s="531" t="e">
        <f t="shared" si="128"/>
        <v>#DIV/0!</v>
      </c>
      <c r="KRG132" s="531" t="e">
        <f t="shared" si="128"/>
        <v>#DIV/0!</v>
      </c>
      <c r="KRH132" s="531" t="e">
        <f t="shared" si="128"/>
        <v>#DIV/0!</v>
      </c>
      <c r="KRI132" s="531" t="e">
        <f t="shared" si="128"/>
        <v>#DIV/0!</v>
      </c>
      <c r="KRJ132" s="531" t="e">
        <f t="shared" si="128"/>
        <v>#DIV/0!</v>
      </c>
      <c r="KRK132" s="531" t="e">
        <f t="shared" si="128"/>
        <v>#DIV/0!</v>
      </c>
      <c r="KRL132" s="531" t="e">
        <f t="shared" si="128"/>
        <v>#DIV/0!</v>
      </c>
      <c r="KRM132" s="531" t="e">
        <f t="shared" si="128"/>
        <v>#DIV/0!</v>
      </c>
      <c r="KRN132" s="531" t="e">
        <f t="shared" si="128"/>
        <v>#DIV/0!</v>
      </c>
      <c r="KRO132" s="531" t="e">
        <f t="shared" si="128"/>
        <v>#DIV/0!</v>
      </c>
      <c r="KRP132" s="531" t="e">
        <f t="shared" si="128"/>
        <v>#DIV/0!</v>
      </c>
      <c r="KRQ132" s="531" t="e">
        <f t="shared" si="128"/>
        <v>#DIV/0!</v>
      </c>
      <c r="KRR132" s="531" t="e">
        <f t="shared" si="128"/>
        <v>#DIV/0!</v>
      </c>
      <c r="KRS132" s="531" t="e">
        <f t="shared" si="128"/>
        <v>#DIV/0!</v>
      </c>
      <c r="KRT132" s="531" t="e">
        <f t="shared" si="128"/>
        <v>#DIV/0!</v>
      </c>
      <c r="KRU132" s="531" t="e">
        <f t="shared" si="128"/>
        <v>#DIV/0!</v>
      </c>
      <c r="KRV132" s="531" t="e">
        <f t="shared" si="128"/>
        <v>#DIV/0!</v>
      </c>
      <c r="KRW132" s="531" t="e">
        <f t="shared" si="128"/>
        <v>#DIV/0!</v>
      </c>
      <c r="KRX132" s="531" t="e">
        <f t="shared" si="128"/>
        <v>#DIV/0!</v>
      </c>
      <c r="KRY132" s="531" t="e">
        <f t="shared" si="128"/>
        <v>#DIV/0!</v>
      </c>
      <c r="KRZ132" s="531" t="e">
        <f t="shared" si="128"/>
        <v>#DIV/0!</v>
      </c>
      <c r="KSA132" s="531" t="e">
        <f t="shared" si="128"/>
        <v>#DIV/0!</v>
      </c>
      <c r="KSB132" s="531" t="e">
        <f t="shared" si="128"/>
        <v>#DIV/0!</v>
      </c>
      <c r="KSC132" s="531" t="e">
        <f t="shared" si="128"/>
        <v>#DIV/0!</v>
      </c>
      <c r="KSD132" s="531" t="e">
        <f t="shared" si="128"/>
        <v>#DIV/0!</v>
      </c>
      <c r="KSE132" s="531" t="e">
        <f t="shared" si="128"/>
        <v>#DIV/0!</v>
      </c>
      <c r="KSF132" s="531" t="e">
        <f t="shared" si="128"/>
        <v>#DIV/0!</v>
      </c>
      <c r="KSG132" s="531" t="e">
        <f t="shared" si="128"/>
        <v>#DIV/0!</v>
      </c>
      <c r="KSH132" s="531" t="e">
        <f t="shared" si="128"/>
        <v>#DIV/0!</v>
      </c>
      <c r="KSI132" s="531" t="e">
        <f t="shared" si="128"/>
        <v>#DIV/0!</v>
      </c>
      <c r="KSJ132" s="531" t="e">
        <f t="shared" si="128"/>
        <v>#DIV/0!</v>
      </c>
      <c r="KSK132" s="531" t="e">
        <f t="shared" si="128"/>
        <v>#DIV/0!</v>
      </c>
      <c r="KSL132" s="531" t="e">
        <f t="shared" si="128"/>
        <v>#DIV/0!</v>
      </c>
      <c r="KSM132" s="531" t="e">
        <f t="shared" ref="KSM132:KUX132" si="129">(KSM128-KSM116)/(KSM52*10^5)</f>
        <v>#DIV/0!</v>
      </c>
      <c r="KSN132" s="531" t="e">
        <f t="shared" si="129"/>
        <v>#DIV/0!</v>
      </c>
      <c r="KSO132" s="531" t="e">
        <f t="shared" si="129"/>
        <v>#DIV/0!</v>
      </c>
      <c r="KSP132" s="531" t="e">
        <f t="shared" si="129"/>
        <v>#DIV/0!</v>
      </c>
      <c r="KSQ132" s="531" t="e">
        <f t="shared" si="129"/>
        <v>#DIV/0!</v>
      </c>
      <c r="KSR132" s="531" t="e">
        <f t="shared" si="129"/>
        <v>#DIV/0!</v>
      </c>
      <c r="KSS132" s="531" t="e">
        <f t="shared" si="129"/>
        <v>#DIV/0!</v>
      </c>
      <c r="KST132" s="531" t="e">
        <f t="shared" si="129"/>
        <v>#DIV/0!</v>
      </c>
      <c r="KSU132" s="531" t="e">
        <f t="shared" si="129"/>
        <v>#DIV/0!</v>
      </c>
      <c r="KSV132" s="531" t="e">
        <f t="shared" si="129"/>
        <v>#DIV/0!</v>
      </c>
      <c r="KSW132" s="531" t="e">
        <f t="shared" si="129"/>
        <v>#DIV/0!</v>
      </c>
      <c r="KSX132" s="531" t="e">
        <f t="shared" si="129"/>
        <v>#DIV/0!</v>
      </c>
      <c r="KSY132" s="531" t="e">
        <f t="shared" si="129"/>
        <v>#DIV/0!</v>
      </c>
      <c r="KSZ132" s="531" t="e">
        <f t="shared" si="129"/>
        <v>#DIV/0!</v>
      </c>
      <c r="KTA132" s="531" t="e">
        <f t="shared" si="129"/>
        <v>#DIV/0!</v>
      </c>
      <c r="KTB132" s="531" t="e">
        <f t="shared" si="129"/>
        <v>#DIV/0!</v>
      </c>
      <c r="KTC132" s="531" t="e">
        <f t="shared" si="129"/>
        <v>#DIV/0!</v>
      </c>
      <c r="KTD132" s="531" t="e">
        <f t="shared" si="129"/>
        <v>#DIV/0!</v>
      </c>
      <c r="KTE132" s="531" t="e">
        <f t="shared" si="129"/>
        <v>#DIV/0!</v>
      </c>
      <c r="KTF132" s="531" t="e">
        <f t="shared" si="129"/>
        <v>#DIV/0!</v>
      </c>
      <c r="KTG132" s="531" t="e">
        <f t="shared" si="129"/>
        <v>#DIV/0!</v>
      </c>
      <c r="KTH132" s="531" t="e">
        <f t="shared" si="129"/>
        <v>#DIV/0!</v>
      </c>
      <c r="KTI132" s="531" t="e">
        <f t="shared" si="129"/>
        <v>#DIV/0!</v>
      </c>
      <c r="KTJ132" s="531" t="e">
        <f t="shared" si="129"/>
        <v>#DIV/0!</v>
      </c>
      <c r="KTK132" s="531" t="e">
        <f t="shared" si="129"/>
        <v>#DIV/0!</v>
      </c>
      <c r="KTL132" s="531" t="e">
        <f t="shared" si="129"/>
        <v>#DIV/0!</v>
      </c>
      <c r="KTM132" s="531" t="e">
        <f t="shared" si="129"/>
        <v>#DIV/0!</v>
      </c>
      <c r="KTN132" s="531" t="e">
        <f t="shared" si="129"/>
        <v>#DIV/0!</v>
      </c>
      <c r="KTO132" s="531" t="e">
        <f t="shared" si="129"/>
        <v>#DIV/0!</v>
      </c>
      <c r="KTP132" s="531" t="e">
        <f t="shared" si="129"/>
        <v>#DIV/0!</v>
      </c>
      <c r="KTQ132" s="531" t="e">
        <f t="shared" si="129"/>
        <v>#DIV/0!</v>
      </c>
      <c r="KTR132" s="531" t="e">
        <f t="shared" si="129"/>
        <v>#DIV/0!</v>
      </c>
      <c r="KTS132" s="531" t="e">
        <f t="shared" si="129"/>
        <v>#DIV/0!</v>
      </c>
      <c r="KTT132" s="531" t="e">
        <f t="shared" si="129"/>
        <v>#DIV/0!</v>
      </c>
      <c r="KTU132" s="531" t="e">
        <f t="shared" si="129"/>
        <v>#DIV/0!</v>
      </c>
      <c r="KTV132" s="531" t="e">
        <f t="shared" si="129"/>
        <v>#DIV/0!</v>
      </c>
      <c r="KTW132" s="531" t="e">
        <f t="shared" si="129"/>
        <v>#DIV/0!</v>
      </c>
      <c r="KTX132" s="531" t="e">
        <f t="shared" si="129"/>
        <v>#DIV/0!</v>
      </c>
      <c r="KTY132" s="531" t="e">
        <f t="shared" si="129"/>
        <v>#DIV/0!</v>
      </c>
      <c r="KTZ132" s="531" t="e">
        <f t="shared" si="129"/>
        <v>#DIV/0!</v>
      </c>
      <c r="KUA132" s="531" t="e">
        <f t="shared" si="129"/>
        <v>#DIV/0!</v>
      </c>
      <c r="KUB132" s="531" t="e">
        <f t="shared" si="129"/>
        <v>#DIV/0!</v>
      </c>
      <c r="KUC132" s="531" t="e">
        <f t="shared" si="129"/>
        <v>#DIV/0!</v>
      </c>
      <c r="KUD132" s="531" t="e">
        <f t="shared" si="129"/>
        <v>#DIV/0!</v>
      </c>
      <c r="KUE132" s="531" t="e">
        <f t="shared" si="129"/>
        <v>#DIV/0!</v>
      </c>
      <c r="KUF132" s="531" t="e">
        <f t="shared" si="129"/>
        <v>#DIV/0!</v>
      </c>
      <c r="KUG132" s="531" t="e">
        <f t="shared" si="129"/>
        <v>#DIV/0!</v>
      </c>
      <c r="KUH132" s="531" t="e">
        <f t="shared" si="129"/>
        <v>#DIV/0!</v>
      </c>
      <c r="KUI132" s="531" t="e">
        <f t="shared" si="129"/>
        <v>#DIV/0!</v>
      </c>
      <c r="KUJ132" s="531" t="e">
        <f t="shared" si="129"/>
        <v>#DIV/0!</v>
      </c>
      <c r="KUK132" s="531" t="e">
        <f t="shared" si="129"/>
        <v>#DIV/0!</v>
      </c>
      <c r="KUL132" s="531" t="e">
        <f t="shared" si="129"/>
        <v>#DIV/0!</v>
      </c>
      <c r="KUM132" s="531" t="e">
        <f t="shared" si="129"/>
        <v>#DIV/0!</v>
      </c>
      <c r="KUN132" s="531" t="e">
        <f t="shared" si="129"/>
        <v>#DIV/0!</v>
      </c>
      <c r="KUO132" s="531" t="e">
        <f t="shared" si="129"/>
        <v>#DIV/0!</v>
      </c>
      <c r="KUP132" s="531" t="e">
        <f t="shared" si="129"/>
        <v>#DIV/0!</v>
      </c>
      <c r="KUQ132" s="531" t="e">
        <f t="shared" si="129"/>
        <v>#DIV/0!</v>
      </c>
      <c r="KUR132" s="531" t="e">
        <f t="shared" si="129"/>
        <v>#DIV/0!</v>
      </c>
      <c r="KUS132" s="531" t="e">
        <f t="shared" si="129"/>
        <v>#DIV/0!</v>
      </c>
      <c r="KUT132" s="531" t="e">
        <f t="shared" si="129"/>
        <v>#DIV/0!</v>
      </c>
      <c r="KUU132" s="531" t="e">
        <f t="shared" si="129"/>
        <v>#DIV/0!</v>
      </c>
      <c r="KUV132" s="531" t="e">
        <f t="shared" si="129"/>
        <v>#DIV/0!</v>
      </c>
      <c r="KUW132" s="531" t="e">
        <f t="shared" si="129"/>
        <v>#DIV/0!</v>
      </c>
      <c r="KUX132" s="531" t="e">
        <f t="shared" si="129"/>
        <v>#DIV/0!</v>
      </c>
      <c r="KUY132" s="531" t="e">
        <f t="shared" ref="KUY132:KXJ132" si="130">(KUY128-KUY116)/(KUY52*10^5)</f>
        <v>#DIV/0!</v>
      </c>
      <c r="KUZ132" s="531" t="e">
        <f t="shared" si="130"/>
        <v>#DIV/0!</v>
      </c>
      <c r="KVA132" s="531" t="e">
        <f t="shared" si="130"/>
        <v>#DIV/0!</v>
      </c>
      <c r="KVB132" s="531" t="e">
        <f t="shared" si="130"/>
        <v>#DIV/0!</v>
      </c>
      <c r="KVC132" s="531" t="e">
        <f t="shared" si="130"/>
        <v>#DIV/0!</v>
      </c>
      <c r="KVD132" s="531" t="e">
        <f t="shared" si="130"/>
        <v>#DIV/0!</v>
      </c>
      <c r="KVE132" s="531" t="e">
        <f t="shared" si="130"/>
        <v>#DIV/0!</v>
      </c>
      <c r="KVF132" s="531" t="e">
        <f t="shared" si="130"/>
        <v>#DIV/0!</v>
      </c>
      <c r="KVG132" s="531" t="e">
        <f t="shared" si="130"/>
        <v>#DIV/0!</v>
      </c>
      <c r="KVH132" s="531" t="e">
        <f t="shared" si="130"/>
        <v>#DIV/0!</v>
      </c>
      <c r="KVI132" s="531" t="e">
        <f t="shared" si="130"/>
        <v>#DIV/0!</v>
      </c>
      <c r="KVJ132" s="531" t="e">
        <f t="shared" si="130"/>
        <v>#DIV/0!</v>
      </c>
      <c r="KVK132" s="531" t="e">
        <f t="shared" si="130"/>
        <v>#DIV/0!</v>
      </c>
      <c r="KVL132" s="531" t="e">
        <f t="shared" si="130"/>
        <v>#DIV/0!</v>
      </c>
      <c r="KVM132" s="531" t="e">
        <f t="shared" si="130"/>
        <v>#DIV/0!</v>
      </c>
      <c r="KVN132" s="531" t="e">
        <f t="shared" si="130"/>
        <v>#DIV/0!</v>
      </c>
      <c r="KVO132" s="531" t="e">
        <f t="shared" si="130"/>
        <v>#DIV/0!</v>
      </c>
      <c r="KVP132" s="531" t="e">
        <f t="shared" si="130"/>
        <v>#DIV/0!</v>
      </c>
      <c r="KVQ132" s="531" t="e">
        <f t="shared" si="130"/>
        <v>#DIV/0!</v>
      </c>
      <c r="KVR132" s="531" t="e">
        <f t="shared" si="130"/>
        <v>#DIV/0!</v>
      </c>
      <c r="KVS132" s="531" t="e">
        <f t="shared" si="130"/>
        <v>#DIV/0!</v>
      </c>
      <c r="KVT132" s="531" t="e">
        <f t="shared" si="130"/>
        <v>#DIV/0!</v>
      </c>
      <c r="KVU132" s="531" t="e">
        <f t="shared" si="130"/>
        <v>#DIV/0!</v>
      </c>
      <c r="KVV132" s="531" t="e">
        <f t="shared" si="130"/>
        <v>#DIV/0!</v>
      </c>
      <c r="KVW132" s="531" t="e">
        <f t="shared" si="130"/>
        <v>#DIV/0!</v>
      </c>
      <c r="KVX132" s="531" t="e">
        <f t="shared" si="130"/>
        <v>#DIV/0!</v>
      </c>
      <c r="KVY132" s="531" t="e">
        <f t="shared" si="130"/>
        <v>#DIV/0!</v>
      </c>
      <c r="KVZ132" s="531" t="e">
        <f t="shared" si="130"/>
        <v>#DIV/0!</v>
      </c>
      <c r="KWA132" s="531" t="e">
        <f t="shared" si="130"/>
        <v>#DIV/0!</v>
      </c>
      <c r="KWB132" s="531" t="e">
        <f t="shared" si="130"/>
        <v>#DIV/0!</v>
      </c>
      <c r="KWC132" s="531" t="e">
        <f t="shared" si="130"/>
        <v>#DIV/0!</v>
      </c>
      <c r="KWD132" s="531" t="e">
        <f t="shared" si="130"/>
        <v>#DIV/0!</v>
      </c>
      <c r="KWE132" s="531" t="e">
        <f t="shared" si="130"/>
        <v>#DIV/0!</v>
      </c>
      <c r="KWF132" s="531" t="e">
        <f t="shared" si="130"/>
        <v>#DIV/0!</v>
      </c>
      <c r="KWG132" s="531" t="e">
        <f t="shared" si="130"/>
        <v>#DIV/0!</v>
      </c>
      <c r="KWH132" s="531" t="e">
        <f t="shared" si="130"/>
        <v>#DIV/0!</v>
      </c>
      <c r="KWI132" s="531" t="e">
        <f t="shared" si="130"/>
        <v>#DIV/0!</v>
      </c>
      <c r="KWJ132" s="531" t="e">
        <f t="shared" si="130"/>
        <v>#DIV/0!</v>
      </c>
      <c r="KWK132" s="531" t="e">
        <f t="shared" si="130"/>
        <v>#DIV/0!</v>
      </c>
      <c r="KWL132" s="531" t="e">
        <f t="shared" si="130"/>
        <v>#DIV/0!</v>
      </c>
      <c r="KWM132" s="531" t="e">
        <f t="shared" si="130"/>
        <v>#DIV/0!</v>
      </c>
      <c r="KWN132" s="531" t="e">
        <f t="shared" si="130"/>
        <v>#DIV/0!</v>
      </c>
      <c r="KWO132" s="531" t="e">
        <f t="shared" si="130"/>
        <v>#DIV/0!</v>
      </c>
      <c r="KWP132" s="531" t="e">
        <f t="shared" si="130"/>
        <v>#DIV/0!</v>
      </c>
      <c r="KWQ132" s="531" t="e">
        <f t="shared" si="130"/>
        <v>#DIV/0!</v>
      </c>
      <c r="KWR132" s="531" t="e">
        <f t="shared" si="130"/>
        <v>#DIV/0!</v>
      </c>
      <c r="KWS132" s="531" t="e">
        <f t="shared" si="130"/>
        <v>#DIV/0!</v>
      </c>
      <c r="KWT132" s="531" t="e">
        <f t="shared" si="130"/>
        <v>#DIV/0!</v>
      </c>
      <c r="KWU132" s="531" t="e">
        <f t="shared" si="130"/>
        <v>#DIV/0!</v>
      </c>
      <c r="KWV132" s="531" t="e">
        <f t="shared" si="130"/>
        <v>#DIV/0!</v>
      </c>
      <c r="KWW132" s="531" t="e">
        <f t="shared" si="130"/>
        <v>#DIV/0!</v>
      </c>
      <c r="KWX132" s="531" t="e">
        <f t="shared" si="130"/>
        <v>#DIV/0!</v>
      </c>
      <c r="KWY132" s="531" t="e">
        <f t="shared" si="130"/>
        <v>#DIV/0!</v>
      </c>
      <c r="KWZ132" s="531" t="e">
        <f t="shared" si="130"/>
        <v>#DIV/0!</v>
      </c>
      <c r="KXA132" s="531" t="e">
        <f t="shared" si="130"/>
        <v>#DIV/0!</v>
      </c>
      <c r="KXB132" s="531" t="e">
        <f t="shared" si="130"/>
        <v>#DIV/0!</v>
      </c>
      <c r="KXC132" s="531" t="e">
        <f t="shared" si="130"/>
        <v>#DIV/0!</v>
      </c>
      <c r="KXD132" s="531" t="e">
        <f t="shared" si="130"/>
        <v>#DIV/0!</v>
      </c>
      <c r="KXE132" s="531" t="e">
        <f t="shared" si="130"/>
        <v>#DIV/0!</v>
      </c>
      <c r="KXF132" s="531" t="e">
        <f t="shared" si="130"/>
        <v>#DIV/0!</v>
      </c>
      <c r="KXG132" s="531" t="e">
        <f t="shared" si="130"/>
        <v>#DIV/0!</v>
      </c>
      <c r="KXH132" s="531" t="e">
        <f t="shared" si="130"/>
        <v>#DIV/0!</v>
      </c>
      <c r="KXI132" s="531" t="e">
        <f t="shared" si="130"/>
        <v>#DIV/0!</v>
      </c>
      <c r="KXJ132" s="531" t="e">
        <f t="shared" si="130"/>
        <v>#DIV/0!</v>
      </c>
      <c r="KXK132" s="531" t="e">
        <f t="shared" ref="KXK132:KZV132" si="131">(KXK128-KXK116)/(KXK52*10^5)</f>
        <v>#DIV/0!</v>
      </c>
      <c r="KXL132" s="531" t="e">
        <f t="shared" si="131"/>
        <v>#DIV/0!</v>
      </c>
      <c r="KXM132" s="531" t="e">
        <f t="shared" si="131"/>
        <v>#DIV/0!</v>
      </c>
      <c r="KXN132" s="531" t="e">
        <f t="shared" si="131"/>
        <v>#DIV/0!</v>
      </c>
      <c r="KXO132" s="531" t="e">
        <f t="shared" si="131"/>
        <v>#DIV/0!</v>
      </c>
      <c r="KXP132" s="531" t="e">
        <f t="shared" si="131"/>
        <v>#DIV/0!</v>
      </c>
      <c r="KXQ132" s="531" t="e">
        <f t="shared" si="131"/>
        <v>#DIV/0!</v>
      </c>
      <c r="KXR132" s="531" t="e">
        <f t="shared" si="131"/>
        <v>#DIV/0!</v>
      </c>
      <c r="KXS132" s="531" t="e">
        <f t="shared" si="131"/>
        <v>#DIV/0!</v>
      </c>
      <c r="KXT132" s="531" t="e">
        <f t="shared" si="131"/>
        <v>#DIV/0!</v>
      </c>
      <c r="KXU132" s="531" t="e">
        <f t="shared" si="131"/>
        <v>#DIV/0!</v>
      </c>
      <c r="KXV132" s="531" t="e">
        <f t="shared" si="131"/>
        <v>#DIV/0!</v>
      </c>
      <c r="KXW132" s="531" t="e">
        <f t="shared" si="131"/>
        <v>#DIV/0!</v>
      </c>
      <c r="KXX132" s="531" t="e">
        <f t="shared" si="131"/>
        <v>#DIV/0!</v>
      </c>
      <c r="KXY132" s="531" t="e">
        <f t="shared" si="131"/>
        <v>#DIV/0!</v>
      </c>
      <c r="KXZ132" s="531" t="e">
        <f t="shared" si="131"/>
        <v>#DIV/0!</v>
      </c>
      <c r="KYA132" s="531" t="e">
        <f t="shared" si="131"/>
        <v>#DIV/0!</v>
      </c>
      <c r="KYB132" s="531" t="e">
        <f t="shared" si="131"/>
        <v>#DIV/0!</v>
      </c>
      <c r="KYC132" s="531" t="e">
        <f t="shared" si="131"/>
        <v>#DIV/0!</v>
      </c>
      <c r="KYD132" s="531" t="e">
        <f t="shared" si="131"/>
        <v>#DIV/0!</v>
      </c>
      <c r="KYE132" s="531" t="e">
        <f t="shared" si="131"/>
        <v>#DIV/0!</v>
      </c>
      <c r="KYF132" s="531" t="e">
        <f t="shared" si="131"/>
        <v>#DIV/0!</v>
      </c>
      <c r="KYG132" s="531" t="e">
        <f t="shared" si="131"/>
        <v>#DIV/0!</v>
      </c>
      <c r="KYH132" s="531" t="e">
        <f t="shared" si="131"/>
        <v>#DIV/0!</v>
      </c>
      <c r="KYI132" s="531" t="e">
        <f t="shared" si="131"/>
        <v>#DIV/0!</v>
      </c>
      <c r="KYJ132" s="531" t="e">
        <f t="shared" si="131"/>
        <v>#DIV/0!</v>
      </c>
      <c r="KYK132" s="531" t="e">
        <f t="shared" si="131"/>
        <v>#DIV/0!</v>
      </c>
      <c r="KYL132" s="531" t="e">
        <f t="shared" si="131"/>
        <v>#DIV/0!</v>
      </c>
      <c r="KYM132" s="531" t="e">
        <f t="shared" si="131"/>
        <v>#DIV/0!</v>
      </c>
      <c r="KYN132" s="531" t="e">
        <f t="shared" si="131"/>
        <v>#DIV/0!</v>
      </c>
      <c r="KYO132" s="531" t="e">
        <f t="shared" si="131"/>
        <v>#DIV/0!</v>
      </c>
      <c r="KYP132" s="531" t="e">
        <f t="shared" si="131"/>
        <v>#DIV/0!</v>
      </c>
      <c r="KYQ132" s="531" t="e">
        <f t="shared" si="131"/>
        <v>#DIV/0!</v>
      </c>
      <c r="KYR132" s="531" t="e">
        <f t="shared" si="131"/>
        <v>#DIV/0!</v>
      </c>
      <c r="KYS132" s="531" t="e">
        <f t="shared" si="131"/>
        <v>#DIV/0!</v>
      </c>
      <c r="KYT132" s="531" t="e">
        <f t="shared" si="131"/>
        <v>#DIV/0!</v>
      </c>
      <c r="KYU132" s="531" t="e">
        <f t="shared" si="131"/>
        <v>#DIV/0!</v>
      </c>
      <c r="KYV132" s="531" t="e">
        <f t="shared" si="131"/>
        <v>#DIV/0!</v>
      </c>
      <c r="KYW132" s="531" t="e">
        <f t="shared" si="131"/>
        <v>#DIV/0!</v>
      </c>
      <c r="KYX132" s="531" t="e">
        <f t="shared" si="131"/>
        <v>#DIV/0!</v>
      </c>
      <c r="KYY132" s="531" t="e">
        <f t="shared" si="131"/>
        <v>#DIV/0!</v>
      </c>
      <c r="KYZ132" s="531" t="e">
        <f t="shared" si="131"/>
        <v>#DIV/0!</v>
      </c>
      <c r="KZA132" s="531" t="e">
        <f t="shared" si="131"/>
        <v>#DIV/0!</v>
      </c>
      <c r="KZB132" s="531" t="e">
        <f t="shared" si="131"/>
        <v>#DIV/0!</v>
      </c>
      <c r="KZC132" s="531" t="e">
        <f t="shared" si="131"/>
        <v>#DIV/0!</v>
      </c>
      <c r="KZD132" s="531" t="e">
        <f t="shared" si="131"/>
        <v>#DIV/0!</v>
      </c>
      <c r="KZE132" s="531" t="e">
        <f t="shared" si="131"/>
        <v>#DIV/0!</v>
      </c>
      <c r="KZF132" s="531" t="e">
        <f t="shared" si="131"/>
        <v>#DIV/0!</v>
      </c>
      <c r="KZG132" s="531" t="e">
        <f t="shared" si="131"/>
        <v>#DIV/0!</v>
      </c>
      <c r="KZH132" s="531" t="e">
        <f t="shared" si="131"/>
        <v>#DIV/0!</v>
      </c>
      <c r="KZI132" s="531" t="e">
        <f t="shared" si="131"/>
        <v>#DIV/0!</v>
      </c>
      <c r="KZJ132" s="531" t="e">
        <f t="shared" si="131"/>
        <v>#DIV/0!</v>
      </c>
      <c r="KZK132" s="531" t="e">
        <f t="shared" si="131"/>
        <v>#DIV/0!</v>
      </c>
      <c r="KZL132" s="531" t="e">
        <f t="shared" si="131"/>
        <v>#DIV/0!</v>
      </c>
      <c r="KZM132" s="531" t="e">
        <f t="shared" si="131"/>
        <v>#DIV/0!</v>
      </c>
      <c r="KZN132" s="531" t="e">
        <f t="shared" si="131"/>
        <v>#DIV/0!</v>
      </c>
      <c r="KZO132" s="531" t="e">
        <f t="shared" si="131"/>
        <v>#DIV/0!</v>
      </c>
      <c r="KZP132" s="531" t="e">
        <f t="shared" si="131"/>
        <v>#DIV/0!</v>
      </c>
      <c r="KZQ132" s="531" t="e">
        <f t="shared" si="131"/>
        <v>#DIV/0!</v>
      </c>
      <c r="KZR132" s="531" t="e">
        <f t="shared" si="131"/>
        <v>#DIV/0!</v>
      </c>
      <c r="KZS132" s="531" t="e">
        <f t="shared" si="131"/>
        <v>#DIV/0!</v>
      </c>
      <c r="KZT132" s="531" t="e">
        <f t="shared" si="131"/>
        <v>#DIV/0!</v>
      </c>
      <c r="KZU132" s="531" t="e">
        <f t="shared" si="131"/>
        <v>#DIV/0!</v>
      </c>
      <c r="KZV132" s="531" t="e">
        <f t="shared" si="131"/>
        <v>#DIV/0!</v>
      </c>
      <c r="KZW132" s="531" t="e">
        <f t="shared" ref="KZW132:LCH132" si="132">(KZW128-KZW116)/(KZW52*10^5)</f>
        <v>#DIV/0!</v>
      </c>
      <c r="KZX132" s="531" t="e">
        <f t="shared" si="132"/>
        <v>#DIV/0!</v>
      </c>
      <c r="KZY132" s="531" t="e">
        <f t="shared" si="132"/>
        <v>#DIV/0!</v>
      </c>
      <c r="KZZ132" s="531" t="e">
        <f t="shared" si="132"/>
        <v>#DIV/0!</v>
      </c>
      <c r="LAA132" s="531" t="e">
        <f t="shared" si="132"/>
        <v>#DIV/0!</v>
      </c>
      <c r="LAB132" s="531" t="e">
        <f t="shared" si="132"/>
        <v>#DIV/0!</v>
      </c>
      <c r="LAC132" s="531" t="e">
        <f t="shared" si="132"/>
        <v>#DIV/0!</v>
      </c>
      <c r="LAD132" s="531" t="e">
        <f t="shared" si="132"/>
        <v>#DIV/0!</v>
      </c>
      <c r="LAE132" s="531" t="e">
        <f t="shared" si="132"/>
        <v>#DIV/0!</v>
      </c>
      <c r="LAF132" s="531" t="e">
        <f t="shared" si="132"/>
        <v>#DIV/0!</v>
      </c>
      <c r="LAG132" s="531" t="e">
        <f t="shared" si="132"/>
        <v>#DIV/0!</v>
      </c>
      <c r="LAH132" s="531" t="e">
        <f t="shared" si="132"/>
        <v>#DIV/0!</v>
      </c>
      <c r="LAI132" s="531" t="e">
        <f t="shared" si="132"/>
        <v>#DIV/0!</v>
      </c>
      <c r="LAJ132" s="531" t="e">
        <f t="shared" si="132"/>
        <v>#DIV/0!</v>
      </c>
      <c r="LAK132" s="531" t="e">
        <f t="shared" si="132"/>
        <v>#DIV/0!</v>
      </c>
      <c r="LAL132" s="531" t="e">
        <f t="shared" si="132"/>
        <v>#DIV/0!</v>
      </c>
      <c r="LAM132" s="531" t="e">
        <f t="shared" si="132"/>
        <v>#DIV/0!</v>
      </c>
      <c r="LAN132" s="531" t="e">
        <f t="shared" si="132"/>
        <v>#DIV/0!</v>
      </c>
      <c r="LAO132" s="531" t="e">
        <f t="shared" si="132"/>
        <v>#DIV/0!</v>
      </c>
      <c r="LAP132" s="531" t="e">
        <f t="shared" si="132"/>
        <v>#DIV/0!</v>
      </c>
      <c r="LAQ132" s="531" t="e">
        <f t="shared" si="132"/>
        <v>#DIV/0!</v>
      </c>
      <c r="LAR132" s="531" t="e">
        <f t="shared" si="132"/>
        <v>#DIV/0!</v>
      </c>
      <c r="LAS132" s="531" t="e">
        <f t="shared" si="132"/>
        <v>#DIV/0!</v>
      </c>
      <c r="LAT132" s="531" t="e">
        <f t="shared" si="132"/>
        <v>#DIV/0!</v>
      </c>
      <c r="LAU132" s="531" t="e">
        <f t="shared" si="132"/>
        <v>#DIV/0!</v>
      </c>
      <c r="LAV132" s="531" t="e">
        <f t="shared" si="132"/>
        <v>#DIV/0!</v>
      </c>
      <c r="LAW132" s="531" t="e">
        <f t="shared" si="132"/>
        <v>#DIV/0!</v>
      </c>
      <c r="LAX132" s="531" t="e">
        <f t="shared" si="132"/>
        <v>#DIV/0!</v>
      </c>
      <c r="LAY132" s="531" t="e">
        <f t="shared" si="132"/>
        <v>#DIV/0!</v>
      </c>
      <c r="LAZ132" s="531" t="e">
        <f t="shared" si="132"/>
        <v>#DIV/0!</v>
      </c>
      <c r="LBA132" s="531" t="e">
        <f t="shared" si="132"/>
        <v>#DIV/0!</v>
      </c>
      <c r="LBB132" s="531" t="e">
        <f t="shared" si="132"/>
        <v>#DIV/0!</v>
      </c>
      <c r="LBC132" s="531" t="e">
        <f t="shared" si="132"/>
        <v>#DIV/0!</v>
      </c>
      <c r="LBD132" s="531" t="e">
        <f t="shared" si="132"/>
        <v>#DIV/0!</v>
      </c>
      <c r="LBE132" s="531" t="e">
        <f t="shared" si="132"/>
        <v>#DIV/0!</v>
      </c>
      <c r="LBF132" s="531" t="e">
        <f t="shared" si="132"/>
        <v>#DIV/0!</v>
      </c>
      <c r="LBG132" s="531" t="e">
        <f t="shared" si="132"/>
        <v>#DIV/0!</v>
      </c>
      <c r="LBH132" s="531" t="e">
        <f t="shared" si="132"/>
        <v>#DIV/0!</v>
      </c>
      <c r="LBI132" s="531" t="e">
        <f t="shared" si="132"/>
        <v>#DIV/0!</v>
      </c>
      <c r="LBJ132" s="531" t="e">
        <f t="shared" si="132"/>
        <v>#DIV/0!</v>
      </c>
      <c r="LBK132" s="531" t="e">
        <f t="shared" si="132"/>
        <v>#DIV/0!</v>
      </c>
      <c r="LBL132" s="531" t="e">
        <f t="shared" si="132"/>
        <v>#DIV/0!</v>
      </c>
      <c r="LBM132" s="531" t="e">
        <f t="shared" si="132"/>
        <v>#DIV/0!</v>
      </c>
      <c r="LBN132" s="531" t="e">
        <f t="shared" si="132"/>
        <v>#DIV/0!</v>
      </c>
      <c r="LBO132" s="531" t="e">
        <f t="shared" si="132"/>
        <v>#DIV/0!</v>
      </c>
      <c r="LBP132" s="531" t="e">
        <f t="shared" si="132"/>
        <v>#DIV/0!</v>
      </c>
      <c r="LBQ132" s="531" t="e">
        <f t="shared" si="132"/>
        <v>#DIV/0!</v>
      </c>
      <c r="LBR132" s="531" t="e">
        <f t="shared" si="132"/>
        <v>#DIV/0!</v>
      </c>
      <c r="LBS132" s="531" t="e">
        <f t="shared" si="132"/>
        <v>#DIV/0!</v>
      </c>
      <c r="LBT132" s="531" t="e">
        <f t="shared" si="132"/>
        <v>#DIV/0!</v>
      </c>
      <c r="LBU132" s="531" t="e">
        <f t="shared" si="132"/>
        <v>#DIV/0!</v>
      </c>
      <c r="LBV132" s="531" t="e">
        <f t="shared" si="132"/>
        <v>#DIV/0!</v>
      </c>
      <c r="LBW132" s="531" t="e">
        <f t="shared" si="132"/>
        <v>#DIV/0!</v>
      </c>
      <c r="LBX132" s="531" t="e">
        <f t="shared" si="132"/>
        <v>#DIV/0!</v>
      </c>
      <c r="LBY132" s="531" t="e">
        <f t="shared" si="132"/>
        <v>#DIV/0!</v>
      </c>
      <c r="LBZ132" s="531" t="e">
        <f t="shared" si="132"/>
        <v>#DIV/0!</v>
      </c>
      <c r="LCA132" s="531" t="e">
        <f t="shared" si="132"/>
        <v>#DIV/0!</v>
      </c>
      <c r="LCB132" s="531" t="e">
        <f t="shared" si="132"/>
        <v>#DIV/0!</v>
      </c>
      <c r="LCC132" s="531" t="e">
        <f t="shared" si="132"/>
        <v>#DIV/0!</v>
      </c>
      <c r="LCD132" s="531" t="e">
        <f t="shared" si="132"/>
        <v>#DIV/0!</v>
      </c>
      <c r="LCE132" s="531" t="e">
        <f t="shared" si="132"/>
        <v>#DIV/0!</v>
      </c>
      <c r="LCF132" s="531" t="e">
        <f t="shared" si="132"/>
        <v>#DIV/0!</v>
      </c>
      <c r="LCG132" s="531" t="e">
        <f t="shared" si="132"/>
        <v>#DIV/0!</v>
      </c>
      <c r="LCH132" s="531" t="e">
        <f t="shared" si="132"/>
        <v>#DIV/0!</v>
      </c>
      <c r="LCI132" s="531" t="e">
        <f t="shared" ref="LCI132:LET132" si="133">(LCI128-LCI116)/(LCI52*10^5)</f>
        <v>#DIV/0!</v>
      </c>
      <c r="LCJ132" s="531" t="e">
        <f t="shared" si="133"/>
        <v>#DIV/0!</v>
      </c>
      <c r="LCK132" s="531" t="e">
        <f t="shared" si="133"/>
        <v>#DIV/0!</v>
      </c>
      <c r="LCL132" s="531" t="e">
        <f t="shared" si="133"/>
        <v>#DIV/0!</v>
      </c>
      <c r="LCM132" s="531" t="e">
        <f t="shared" si="133"/>
        <v>#DIV/0!</v>
      </c>
      <c r="LCN132" s="531" t="e">
        <f t="shared" si="133"/>
        <v>#DIV/0!</v>
      </c>
      <c r="LCO132" s="531" t="e">
        <f t="shared" si="133"/>
        <v>#DIV/0!</v>
      </c>
      <c r="LCP132" s="531" t="e">
        <f t="shared" si="133"/>
        <v>#DIV/0!</v>
      </c>
      <c r="LCQ132" s="531" t="e">
        <f t="shared" si="133"/>
        <v>#DIV/0!</v>
      </c>
      <c r="LCR132" s="531" t="e">
        <f t="shared" si="133"/>
        <v>#DIV/0!</v>
      </c>
      <c r="LCS132" s="531" t="e">
        <f t="shared" si="133"/>
        <v>#DIV/0!</v>
      </c>
      <c r="LCT132" s="531" t="e">
        <f t="shared" si="133"/>
        <v>#DIV/0!</v>
      </c>
      <c r="LCU132" s="531" t="e">
        <f t="shared" si="133"/>
        <v>#DIV/0!</v>
      </c>
      <c r="LCV132" s="531" t="e">
        <f t="shared" si="133"/>
        <v>#DIV/0!</v>
      </c>
      <c r="LCW132" s="531" t="e">
        <f t="shared" si="133"/>
        <v>#DIV/0!</v>
      </c>
      <c r="LCX132" s="531" t="e">
        <f t="shared" si="133"/>
        <v>#DIV/0!</v>
      </c>
      <c r="LCY132" s="531" t="e">
        <f t="shared" si="133"/>
        <v>#DIV/0!</v>
      </c>
      <c r="LCZ132" s="531" t="e">
        <f t="shared" si="133"/>
        <v>#DIV/0!</v>
      </c>
      <c r="LDA132" s="531" t="e">
        <f t="shared" si="133"/>
        <v>#DIV/0!</v>
      </c>
      <c r="LDB132" s="531" t="e">
        <f t="shared" si="133"/>
        <v>#DIV/0!</v>
      </c>
      <c r="LDC132" s="531" t="e">
        <f t="shared" si="133"/>
        <v>#DIV/0!</v>
      </c>
      <c r="LDD132" s="531" t="e">
        <f t="shared" si="133"/>
        <v>#DIV/0!</v>
      </c>
      <c r="LDE132" s="531" t="e">
        <f t="shared" si="133"/>
        <v>#DIV/0!</v>
      </c>
      <c r="LDF132" s="531" t="e">
        <f t="shared" si="133"/>
        <v>#DIV/0!</v>
      </c>
      <c r="LDG132" s="531" t="e">
        <f t="shared" si="133"/>
        <v>#DIV/0!</v>
      </c>
      <c r="LDH132" s="531" t="e">
        <f t="shared" si="133"/>
        <v>#DIV/0!</v>
      </c>
      <c r="LDI132" s="531" t="e">
        <f t="shared" si="133"/>
        <v>#DIV/0!</v>
      </c>
      <c r="LDJ132" s="531" t="e">
        <f t="shared" si="133"/>
        <v>#DIV/0!</v>
      </c>
      <c r="LDK132" s="531" t="e">
        <f t="shared" si="133"/>
        <v>#DIV/0!</v>
      </c>
      <c r="LDL132" s="531" t="e">
        <f t="shared" si="133"/>
        <v>#DIV/0!</v>
      </c>
      <c r="LDM132" s="531" t="e">
        <f t="shared" si="133"/>
        <v>#DIV/0!</v>
      </c>
      <c r="LDN132" s="531" t="e">
        <f t="shared" si="133"/>
        <v>#DIV/0!</v>
      </c>
      <c r="LDO132" s="531" t="e">
        <f t="shared" si="133"/>
        <v>#DIV/0!</v>
      </c>
      <c r="LDP132" s="531" t="e">
        <f t="shared" si="133"/>
        <v>#DIV/0!</v>
      </c>
      <c r="LDQ132" s="531" t="e">
        <f t="shared" si="133"/>
        <v>#DIV/0!</v>
      </c>
      <c r="LDR132" s="531" t="e">
        <f t="shared" si="133"/>
        <v>#DIV/0!</v>
      </c>
      <c r="LDS132" s="531" t="e">
        <f t="shared" si="133"/>
        <v>#DIV/0!</v>
      </c>
      <c r="LDT132" s="531" t="e">
        <f t="shared" si="133"/>
        <v>#DIV/0!</v>
      </c>
      <c r="LDU132" s="531" t="e">
        <f t="shared" si="133"/>
        <v>#DIV/0!</v>
      </c>
      <c r="LDV132" s="531" t="e">
        <f t="shared" si="133"/>
        <v>#DIV/0!</v>
      </c>
      <c r="LDW132" s="531" t="e">
        <f t="shared" si="133"/>
        <v>#DIV/0!</v>
      </c>
      <c r="LDX132" s="531" t="e">
        <f t="shared" si="133"/>
        <v>#DIV/0!</v>
      </c>
      <c r="LDY132" s="531" t="e">
        <f t="shared" si="133"/>
        <v>#DIV/0!</v>
      </c>
      <c r="LDZ132" s="531" t="e">
        <f t="shared" si="133"/>
        <v>#DIV/0!</v>
      </c>
      <c r="LEA132" s="531" t="e">
        <f t="shared" si="133"/>
        <v>#DIV/0!</v>
      </c>
      <c r="LEB132" s="531" t="e">
        <f t="shared" si="133"/>
        <v>#DIV/0!</v>
      </c>
      <c r="LEC132" s="531" t="e">
        <f t="shared" si="133"/>
        <v>#DIV/0!</v>
      </c>
      <c r="LED132" s="531" t="e">
        <f t="shared" si="133"/>
        <v>#DIV/0!</v>
      </c>
      <c r="LEE132" s="531" t="e">
        <f t="shared" si="133"/>
        <v>#DIV/0!</v>
      </c>
      <c r="LEF132" s="531" t="e">
        <f t="shared" si="133"/>
        <v>#DIV/0!</v>
      </c>
      <c r="LEG132" s="531" t="e">
        <f t="shared" si="133"/>
        <v>#DIV/0!</v>
      </c>
      <c r="LEH132" s="531" t="e">
        <f t="shared" si="133"/>
        <v>#DIV/0!</v>
      </c>
      <c r="LEI132" s="531" t="e">
        <f t="shared" si="133"/>
        <v>#DIV/0!</v>
      </c>
      <c r="LEJ132" s="531" t="e">
        <f t="shared" si="133"/>
        <v>#DIV/0!</v>
      </c>
      <c r="LEK132" s="531" t="e">
        <f t="shared" si="133"/>
        <v>#DIV/0!</v>
      </c>
      <c r="LEL132" s="531" t="e">
        <f t="shared" si="133"/>
        <v>#DIV/0!</v>
      </c>
      <c r="LEM132" s="531" t="e">
        <f t="shared" si="133"/>
        <v>#DIV/0!</v>
      </c>
      <c r="LEN132" s="531" t="e">
        <f t="shared" si="133"/>
        <v>#DIV/0!</v>
      </c>
      <c r="LEO132" s="531" t="e">
        <f t="shared" si="133"/>
        <v>#DIV/0!</v>
      </c>
      <c r="LEP132" s="531" t="e">
        <f t="shared" si="133"/>
        <v>#DIV/0!</v>
      </c>
      <c r="LEQ132" s="531" t="e">
        <f t="shared" si="133"/>
        <v>#DIV/0!</v>
      </c>
      <c r="LER132" s="531" t="e">
        <f t="shared" si="133"/>
        <v>#DIV/0!</v>
      </c>
      <c r="LES132" s="531" t="e">
        <f t="shared" si="133"/>
        <v>#DIV/0!</v>
      </c>
      <c r="LET132" s="531" t="e">
        <f t="shared" si="133"/>
        <v>#DIV/0!</v>
      </c>
      <c r="LEU132" s="531" t="e">
        <f t="shared" ref="LEU132:LHF132" si="134">(LEU128-LEU116)/(LEU52*10^5)</f>
        <v>#DIV/0!</v>
      </c>
      <c r="LEV132" s="531" t="e">
        <f t="shared" si="134"/>
        <v>#DIV/0!</v>
      </c>
      <c r="LEW132" s="531" t="e">
        <f t="shared" si="134"/>
        <v>#DIV/0!</v>
      </c>
      <c r="LEX132" s="531" t="e">
        <f t="shared" si="134"/>
        <v>#DIV/0!</v>
      </c>
      <c r="LEY132" s="531" t="e">
        <f t="shared" si="134"/>
        <v>#DIV/0!</v>
      </c>
      <c r="LEZ132" s="531" t="e">
        <f t="shared" si="134"/>
        <v>#DIV/0!</v>
      </c>
      <c r="LFA132" s="531" t="e">
        <f t="shared" si="134"/>
        <v>#DIV/0!</v>
      </c>
      <c r="LFB132" s="531" t="e">
        <f t="shared" si="134"/>
        <v>#DIV/0!</v>
      </c>
      <c r="LFC132" s="531" t="e">
        <f t="shared" si="134"/>
        <v>#DIV/0!</v>
      </c>
      <c r="LFD132" s="531" t="e">
        <f t="shared" si="134"/>
        <v>#DIV/0!</v>
      </c>
      <c r="LFE132" s="531" t="e">
        <f t="shared" si="134"/>
        <v>#DIV/0!</v>
      </c>
      <c r="LFF132" s="531" t="e">
        <f t="shared" si="134"/>
        <v>#DIV/0!</v>
      </c>
      <c r="LFG132" s="531" t="e">
        <f t="shared" si="134"/>
        <v>#DIV/0!</v>
      </c>
      <c r="LFH132" s="531" t="e">
        <f t="shared" si="134"/>
        <v>#DIV/0!</v>
      </c>
      <c r="LFI132" s="531" t="e">
        <f t="shared" si="134"/>
        <v>#DIV/0!</v>
      </c>
      <c r="LFJ132" s="531" t="e">
        <f t="shared" si="134"/>
        <v>#DIV/0!</v>
      </c>
      <c r="LFK132" s="531" t="e">
        <f t="shared" si="134"/>
        <v>#DIV/0!</v>
      </c>
      <c r="LFL132" s="531" t="e">
        <f t="shared" si="134"/>
        <v>#DIV/0!</v>
      </c>
      <c r="LFM132" s="531" t="e">
        <f t="shared" si="134"/>
        <v>#DIV/0!</v>
      </c>
      <c r="LFN132" s="531" t="e">
        <f t="shared" si="134"/>
        <v>#DIV/0!</v>
      </c>
      <c r="LFO132" s="531" t="e">
        <f t="shared" si="134"/>
        <v>#DIV/0!</v>
      </c>
      <c r="LFP132" s="531" t="e">
        <f t="shared" si="134"/>
        <v>#DIV/0!</v>
      </c>
      <c r="LFQ132" s="531" t="e">
        <f t="shared" si="134"/>
        <v>#DIV/0!</v>
      </c>
      <c r="LFR132" s="531" t="e">
        <f t="shared" si="134"/>
        <v>#DIV/0!</v>
      </c>
      <c r="LFS132" s="531" t="e">
        <f t="shared" si="134"/>
        <v>#DIV/0!</v>
      </c>
      <c r="LFT132" s="531" t="e">
        <f t="shared" si="134"/>
        <v>#DIV/0!</v>
      </c>
      <c r="LFU132" s="531" t="e">
        <f t="shared" si="134"/>
        <v>#DIV/0!</v>
      </c>
      <c r="LFV132" s="531" t="e">
        <f t="shared" si="134"/>
        <v>#DIV/0!</v>
      </c>
      <c r="LFW132" s="531" t="e">
        <f t="shared" si="134"/>
        <v>#DIV/0!</v>
      </c>
      <c r="LFX132" s="531" t="e">
        <f t="shared" si="134"/>
        <v>#DIV/0!</v>
      </c>
      <c r="LFY132" s="531" t="e">
        <f t="shared" si="134"/>
        <v>#DIV/0!</v>
      </c>
      <c r="LFZ132" s="531" t="e">
        <f t="shared" si="134"/>
        <v>#DIV/0!</v>
      </c>
      <c r="LGA132" s="531" t="e">
        <f t="shared" si="134"/>
        <v>#DIV/0!</v>
      </c>
      <c r="LGB132" s="531" t="e">
        <f t="shared" si="134"/>
        <v>#DIV/0!</v>
      </c>
      <c r="LGC132" s="531" t="e">
        <f t="shared" si="134"/>
        <v>#DIV/0!</v>
      </c>
      <c r="LGD132" s="531" t="e">
        <f t="shared" si="134"/>
        <v>#DIV/0!</v>
      </c>
      <c r="LGE132" s="531" t="e">
        <f t="shared" si="134"/>
        <v>#DIV/0!</v>
      </c>
      <c r="LGF132" s="531" t="e">
        <f t="shared" si="134"/>
        <v>#DIV/0!</v>
      </c>
      <c r="LGG132" s="531" t="e">
        <f t="shared" si="134"/>
        <v>#DIV/0!</v>
      </c>
      <c r="LGH132" s="531" t="e">
        <f t="shared" si="134"/>
        <v>#DIV/0!</v>
      </c>
      <c r="LGI132" s="531" t="e">
        <f t="shared" si="134"/>
        <v>#DIV/0!</v>
      </c>
      <c r="LGJ132" s="531" t="e">
        <f t="shared" si="134"/>
        <v>#DIV/0!</v>
      </c>
      <c r="LGK132" s="531" t="e">
        <f t="shared" si="134"/>
        <v>#DIV/0!</v>
      </c>
      <c r="LGL132" s="531" t="e">
        <f t="shared" si="134"/>
        <v>#DIV/0!</v>
      </c>
      <c r="LGM132" s="531" t="e">
        <f t="shared" si="134"/>
        <v>#DIV/0!</v>
      </c>
      <c r="LGN132" s="531" t="e">
        <f t="shared" si="134"/>
        <v>#DIV/0!</v>
      </c>
      <c r="LGO132" s="531" t="e">
        <f t="shared" si="134"/>
        <v>#DIV/0!</v>
      </c>
      <c r="LGP132" s="531" t="e">
        <f t="shared" si="134"/>
        <v>#DIV/0!</v>
      </c>
      <c r="LGQ132" s="531" t="e">
        <f t="shared" si="134"/>
        <v>#DIV/0!</v>
      </c>
      <c r="LGR132" s="531" t="e">
        <f t="shared" si="134"/>
        <v>#DIV/0!</v>
      </c>
      <c r="LGS132" s="531" t="e">
        <f t="shared" si="134"/>
        <v>#DIV/0!</v>
      </c>
      <c r="LGT132" s="531" t="e">
        <f t="shared" si="134"/>
        <v>#DIV/0!</v>
      </c>
      <c r="LGU132" s="531" t="e">
        <f t="shared" si="134"/>
        <v>#DIV/0!</v>
      </c>
      <c r="LGV132" s="531" t="e">
        <f t="shared" si="134"/>
        <v>#DIV/0!</v>
      </c>
      <c r="LGW132" s="531" t="e">
        <f t="shared" si="134"/>
        <v>#DIV/0!</v>
      </c>
      <c r="LGX132" s="531" t="e">
        <f t="shared" si="134"/>
        <v>#DIV/0!</v>
      </c>
      <c r="LGY132" s="531" t="e">
        <f t="shared" si="134"/>
        <v>#DIV/0!</v>
      </c>
      <c r="LGZ132" s="531" t="e">
        <f t="shared" si="134"/>
        <v>#DIV/0!</v>
      </c>
      <c r="LHA132" s="531" t="e">
        <f t="shared" si="134"/>
        <v>#DIV/0!</v>
      </c>
      <c r="LHB132" s="531" t="e">
        <f t="shared" si="134"/>
        <v>#DIV/0!</v>
      </c>
      <c r="LHC132" s="531" t="e">
        <f t="shared" si="134"/>
        <v>#DIV/0!</v>
      </c>
      <c r="LHD132" s="531" t="e">
        <f t="shared" si="134"/>
        <v>#DIV/0!</v>
      </c>
      <c r="LHE132" s="531" t="e">
        <f t="shared" si="134"/>
        <v>#DIV/0!</v>
      </c>
      <c r="LHF132" s="531" t="e">
        <f t="shared" si="134"/>
        <v>#DIV/0!</v>
      </c>
      <c r="LHG132" s="531" t="e">
        <f t="shared" ref="LHG132:LJR132" si="135">(LHG128-LHG116)/(LHG52*10^5)</f>
        <v>#DIV/0!</v>
      </c>
      <c r="LHH132" s="531" t="e">
        <f t="shared" si="135"/>
        <v>#DIV/0!</v>
      </c>
      <c r="LHI132" s="531" t="e">
        <f t="shared" si="135"/>
        <v>#DIV/0!</v>
      </c>
      <c r="LHJ132" s="531" t="e">
        <f t="shared" si="135"/>
        <v>#DIV/0!</v>
      </c>
      <c r="LHK132" s="531" t="e">
        <f t="shared" si="135"/>
        <v>#DIV/0!</v>
      </c>
      <c r="LHL132" s="531" t="e">
        <f t="shared" si="135"/>
        <v>#DIV/0!</v>
      </c>
      <c r="LHM132" s="531" t="e">
        <f t="shared" si="135"/>
        <v>#DIV/0!</v>
      </c>
      <c r="LHN132" s="531" t="e">
        <f t="shared" si="135"/>
        <v>#DIV/0!</v>
      </c>
      <c r="LHO132" s="531" t="e">
        <f t="shared" si="135"/>
        <v>#DIV/0!</v>
      </c>
      <c r="LHP132" s="531" t="e">
        <f t="shared" si="135"/>
        <v>#DIV/0!</v>
      </c>
      <c r="LHQ132" s="531" t="e">
        <f t="shared" si="135"/>
        <v>#DIV/0!</v>
      </c>
      <c r="LHR132" s="531" t="e">
        <f t="shared" si="135"/>
        <v>#DIV/0!</v>
      </c>
      <c r="LHS132" s="531" t="e">
        <f t="shared" si="135"/>
        <v>#DIV/0!</v>
      </c>
      <c r="LHT132" s="531" t="e">
        <f t="shared" si="135"/>
        <v>#DIV/0!</v>
      </c>
      <c r="LHU132" s="531" t="e">
        <f t="shared" si="135"/>
        <v>#DIV/0!</v>
      </c>
      <c r="LHV132" s="531" t="e">
        <f t="shared" si="135"/>
        <v>#DIV/0!</v>
      </c>
      <c r="LHW132" s="531" t="e">
        <f t="shared" si="135"/>
        <v>#DIV/0!</v>
      </c>
      <c r="LHX132" s="531" t="e">
        <f t="shared" si="135"/>
        <v>#DIV/0!</v>
      </c>
      <c r="LHY132" s="531" t="e">
        <f t="shared" si="135"/>
        <v>#DIV/0!</v>
      </c>
      <c r="LHZ132" s="531" t="e">
        <f t="shared" si="135"/>
        <v>#DIV/0!</v>
      </c>
      <c r="LIA132" s="531" t="e">
        <f t="shared" si="135"/>
        <v>#DIV/0!</v>
      </c>
      <c r="LIB132" s="531" t="e">
        <f t="shared" si="135"/>
        <v>#DIV/0!</v>
      </c>
      <c r="LIC132" s="531" t="e">
        <f t="shared" si="135"/>
        <v>#DIV/0!</v>
      </c>
      <c r="LID132" s="531" t="e">
        <f t="shared" si="135"/>
        <v>#DIV/0!</v>
      </c>
      <c r="LIE132" s="531" t="e">
        <f t="shared" si="135"/>
        <v>#DIV/0!</v>
      </c>
      <c r="LIF132" s="531" t="e">
        <f t="shared" si="135"/>
        <v>#DIV/0!</v>
      </c>
      <c r="LIG132" s="531" t="e">
        <f t="shared" si="135"/>
        <v>#DIV/0!</v>
      </c>
      <c r="LIH132" s="531" t="e">
        <f t="shared" si="135"/>
        <v>#DIV/0!</v>
      </c>
      <c r="LII132" s="531" t="e">
        <f t="shared" si="135"/>
        <v>#DIV/0!</v>
      </c>
      <c r="LIJ132" s="531" t="e">
        <f t="shared" si="135"/>
        <v>#DIV/0!</v>
      </c>
      <c r="LIK132" s="531" t="e">
        <f t="shared" si="135"/>
        <v>#DIV/0!</v>
      </c>
      <c r="LIL132" s="531" t="e">
        <f t="shared" si="135"/>
        <v>#DIV/0!</v>
      </c>
      <c r="LIM132" s="531" t="e">
        <f t="shared" si="135"/>
        <v>#DIV/0!</v>
      </c>
      <c r="LIN132" s="531" t="e">
        <f t="shared" si="135"/>
        <v>#DIV/0!</v>
      </c>
      <c r="LIO132" s="531" t="e">
        <f t="shared" si="135"/>
        <v>#DIV/0!</v>
      </c>
      <c r="LIP132" s="531" t="e">
        <f t="shared" si="135"/>
        <v>#DIV/0!</v>
      </c>
      <c r="LIQ132" s="531" t="e">
        <f t="shared" si="135"/>
        <v>#DIV/0!</v>
      </c>
      <c r="LIR132" s="531" t="e">
        <f t="shared" si="135"/>
        <v>#DIV/0!</v>
      </c>
      <c r="LIS132" s="531" t="e">
        <f t="shared" si="135"/>
        <v>#DIV/0!</v>
      </c>
      <c r="LIT132" s="531" t="e">
        <f t="shared" si="135"/>
        <v>#DIV/0!</v>
      </c>
      <c r="LIU132" s="531" t="e">
        <f t="shared" si="135"/>
        <v>#DIV/0!</v>
      </c>
      <c r="LIV132" s="531" t="e">
        <f t="shared" si="135"/>
        <v>#DIV/0!</v>
      </c>
      <c r="LIW132" s="531" t="e">
        <f t="shared" si="135"/>
        <v>#DIV/0!</v>
      </c>
      <c r="LIX132" s="531" t="e">
        <f t="shared" si="135"/>
        <v>#DIV/0!</v>
      </c>
      <c r="LIY132" s="531" t="e">
        <f t="shared" si="135"/>
        <v>#DIV/0!</v>
      </c>
      <c r="LIZ132" s="531" t="e">
        <f t="shared" si="135"/>
        <v>#DIV/0!</v>
      </c>
      <c r="LJA132" s="531" t="e">
        <f t="shared" si="135"/>
        <v>#DIV/0!</v>
      </c>
      <c r="LJB132" s="531" t="e">
        <f t="shared" si="135"/>
        <v>#DIV/0!</v>
      </c>
      <c r="LJC132" s="531" t="e">
        <f t="shared" si="135"/>
        <v>#DIV/0!</v>
      </c>
      <c r="LJD132" s="531" t="e">
        <f t="shared" si="135"/>
        <v>#DIV/0!</v>
      </c>
      <c r="LJE132" s="531" t="e">
        <f t="shared" si="135"/>
        <v>#DIV/0!</v>
      </c>
      <c r="LJF132" s="531" t="e">
        <f t="shared" si="135"/>
        <v>#DIV/0!</v>
      </c>
      <c r="LJG132" s="531" t="e">
        <f t="shared" si="135"/>
        <v>#DIV/0!</v>
      </c>
      <c r="LJH132" s="531" t="e">
        <f t="shared" si="135"/>
        <v>#DIV/0!</v>
      </c>
      <c r="LJI132" s="531" t="e">
        <f t="shared" si="135"/>
        <v>#DIV/0!</v>
      </c>
      <c r="LJJ132" s="531" t="e">
        <f t="shared" si="135"/>
        <v>#DIV/0!</v>
      </c>
      <c r="LJK132" s="531" t="e">
        <f t="shared" si="135"/>
        <v>#DIV/0!</v>
      </c>
      <c r="LJL132" s="531" t="e">
        <f t="shared" si="135"/>
        <v>#DIV/0!</v>
      </c>
      <c r="LJM132" s="531" t="e">
        <f t="shared" si="135"/>
        <v>#DIV/0!</v>
      </c>
      <c r="LJN132" s="531" t="e">
        <f t="shared" si="135"/>
        <v>#DIV/0!</v>
      </c>
      <c r="LJO132" s="531" t="e">
        <f t="shared" si="135"/>
        <v>#DIV/0!</v>
      </c>
      <c r="LJP132" s="531" t="e">
        <f t="shared" si="135"/>
        <v>#DIV/0!</v>
      </c>
      <c r="LJQ132" s="531" t="e">
        <f t="shared" si="135"/>
        <v>#DIV/0!</v>
      </c>
      <c r="LJR132" s="531" t="e">
        <f t="shared" si="135"/>
        <v>#DIV/0!</v>
      </c>
      <c r="LJS132" s="531" t="e">
        <f t="shared" ref="LJS132:LMD132" si="136">(LJS128-LJS116)/(LJS52*10^5)</f>
        <v>#DIV/0!</v>
      </c>
      <c r="LJT132" s="531" t="e">
        <f t="shared" si="136"/>
        <v>#DIV/0!</v>
      </c>
      <c r="LJU132" s="531" t="e">
        <f t="shared" si="136"/>
        <v>#DIV/0!</v>
      </c>
      <c r="LJV132" s="531" t="e">
        <f t="shared" si="136"/>
        <v>#DIV/0!</v>
      </c>
      <c r="LJW132" s="531" t="e">
        <f t="shared" si="136"/>
        <v>#DIV/0!</v>
      </c>
      <c r="LJX132" s="531" t="e">
        <f t="shared" si="136"/>
        <v>#DIV/0!</v>
      </c>
      <c r="LJY132" s="531" t="e">
        <f t="shared" si="136"/>
        <v>#DIV/0!</v>
      </c>
      <c r="LJZ132" s="531" t="e">
        <f t="shared" si="136"/>
        <v>#DIV/0!</v>
      </c>
      <c r="LKA132" s="531" t="e">
        <f t="shared" si="136"/>
        <v>#DIV/0!</v>
      </c>
      <c r="LKB132" s="531" t="e">
        <f t="shared" si="136"/>
        <v>#DIV/0!</v>
      </c>
      <c r="LKC132" s="531" t="e">
        <f t="shared" si="136"/>
        <v>#DIV/0!</v>
      </c>
      <c r="LKD132" s="531" t="e">
        <f t="shared" si="136"/>
        <v>#DIV/0!</v>
      </c>
      <c r="LKE132" s="531" t="e">
        <f t="shared" si="136"/>
        <v>#DIV/0!</v>
      </c>
      <c r="LKF132" s="531" t="e">
        <f t="shared" si="136"/>
        <v>#DIV/0!</v>
      </c>
      <c r="LKG132" s="531" t="e">
        <f t="shared" si="136"/>
        <v>#DIV/0!</v>
      </c>
      <c r="LKH132" s="531" t="e">
        <f t="shared" si="136"/>
        <v>#DIV/0!</v>
      </c>
      <c r="LKI132" s="531" t="e">
        <f t="shared" si="136"/>
        <v>#DIV/0!</v>
      </c>
      <c r="LKJ132" s="531" t="e">
        <f t="shared" si="136"/>
        <v>#DIV/0!</v>
      </c>
      <c r="LKK132" s="531" t="e">
        <f t="shared" si="136"/>
        <v>#DIV/0!</v>
      </c>
      <c r="LKL132" s="531" t="e">
        <f t="shared" si="136"/>
        <v>#DIV/0!</v>
      </c>
      <c r="LKM132" s="531" t="e">
        <f t="shared" si="136"/>
        <v>#DIV/0!</v>
      </c>
      <c r="LKN132" s="531" t="e">
        <f t="shared" si="136"/>
        <v>#DIV/0!</v>
      </c>
      <c r="LKO132" s="531" t="e">
        <f t="shared" si="136"/>
        <v>#DIV/0!</v>
      </c>
      <c r="LKP132" s="531" t="e">
        <f t="shared" si="136"/>
        <v>#DIV/0!</v>
      </c>
      <c r="LKQ132" s="531" t="e">
        <f t="shared" si="136"/>
        <v>#DIV/0!</v>
      </c>
      <c r="LKR132" s="531" t="e">
        <f t="shared" si="136"/>
        <v>#DIV/0!</v>
      </c>
      <c r="LKS132" s="531" t="e">
        <f t="shared" si="136"/>
        <v>#DIV/0!</v>
      </c>
      <c r="LKT132" s="531" t="e">
        <f t="shared" si="136"/>
        <v>#DIV/0!</v>
      </c>
      <c r="LKU132" s="531" t="e">
        <f t="shared" si="136"/>
        <v>#DIV/0!</v>
      </c>
      <c r="LKV132" s="531" t="e">
        <f t="shared" si="136"/>
        <v>#DIV/0!</v>
      </c>
      <c r="LKW132" s="531" t="e">
        <f t="shared" si="136"/>
        <v>#DIV/0!</v>
      </c>
      <c r="LKX132" s="531" t="e">
        <f t="shared" si="136"/>
        <v>#DIV/0!</v>
      </c>
      <c r="LKY132" s="531" t="e">
        <f t="shared" si="136"/>
        <v>#DIV/0!</v>
      </c>
      <c r="LKZ132" s="531" t="e">
        <f t="shared" si="136"/>
        <v>#DIV/0!</v>
      </c>
      <c r="LLA132" s="531" t="e">
        <f t="shared" si="136"/>
        <v>#DIV/0!</v>
      </c>
      <c r="LLB132" s="531" t="e">
        <f t="shared" si="136"/>
        <v>#DIV/0!</v>
      </c>
      <c r="LLC132" s="531" t="e">
        <f t="shared" si="136"/>
        <v>#DIV/0!</v>
      </c>
      <c r="LLD132" s="531" t="e">
        <f t="shared" si="136"/>
        <v>#DIV/0!</v>
      </c>
      <c r="LLE132" s="531" t="e">
        <f t="shared" si="136"/>
        <v>#DIV/0!</v>
      </c>
      <c r="LLF132" s="531" t="e">
        <f t="shared" si="136"/>
        <v>#DIV/0!</v>
      </c>
      <c r="LLG132" s="531" t="e">
        <f t="shared" si="136"/>
        <v>#DIV/0!</v>
      </c>
      <c r="LLH132" s="531" t="e">
        <f t="shared" si="136"/>
        <v>#DIV/0!</v>
      </c>
      <c r="LLI132" s="531" t="e">
        <f t="shared" si="136"/>
        <v>#DIV/0!</v>
      </c>
      <c r="LLJ132" s="531" t="e">
        <f t="shared" si="136"/>
        <v>#DIV/0!</v>
      </c>
      <c r="LLK132" s="531" t="e">
        <f t="shared" si="136"/>
        <v>#DIV/0!</v>
      </c>
      <c r="LLL132" s="531" t="e">
        <f t="shared" si="136"/>
        <v>#DIV/0!</v>
      </c>
      <c r="LLM132" s="531" t="e">
        <f t="shared" si="136"/>
        <v>#DIV/0!</v>
      </c>
      <c r="LLN132" s="531" t="e">
        <f t="shared" si="136"/>
        <v>#DIV/0!</v>
      </c>
      <c r="LLO132" s="531" t="e">
        <f t="shared" si="136"/>
        <v>#DIV/0!</v>
      </c>
      <c r="LLP132" s="531" t="e">
        <f t="shared" si="136"/>
        <v>#DIV/0!</v>
      </c>
      <c r="LLQ132" s="531" t="e">
        <f t="shared" si="136"/>
        <v>#DIV/0!</v>
      </c>
      <c r="LLR132" s="531" t="e">
        <f t="shared" si="136"/>
        <v>#DIV/0!</v>
      </c>
      <c r="LLS132" s="531" t="e">
        <f t="shared" si="136"/>
        <v>#DIV/0!</v>
      </c>
      <c r="LLT132" s="531" t="e">
        <f t="shared" si="136"/>
        <v>#DIV/0!</v>
      </c>
      <c r="LLU132" s="531" t="e">
        <f t="shared" si="136"/>
        <v>#DIV/0!</v>
      </c>
      <c r="LLV132" s="531" t="e">
        <f t="shared" si="136"/>
        <v>#DIV/0!</v>
      </c>
      <c r="LLW132" s="531" t="e">
        <f t="shared" si="136"/>
        <v>#DIV/0!</v>
      </c>
      <c r="LLX132" s="531" t="e">
        <f t="shared" si="136"/>
        <v>#DIV/0!</v>
      </c>
      <c r="LLY132" s="531" t="e">
        <f t="shared" si="136"/>
        <v>#DIV/0!</v>
      </c>
      <c r="LLZ132" s="531" t="e">
        <f t="shared" si="136"/>
        <v>#DIV/0!</v>
      </c>
      <c r="LMA132" s="531" t="e">
        <f t="shared" si="136"/>
        <v>#DIV/0!</v>
      </c>
      <c r="LMB132" s="531" t="e">
        <f t="shared" si="136"/>
        <v>#DIV/0!</v>
      </c>
      <c r="LMC132" s="531" t="e">
        <f t="shared" si="136"/>
        <v>#DIV/0!</v>
      </c>
      <c r="LMD132" s="531" t="e">
        <f t="shared" si="136"/>
        <v>#DIV/0!</v>
      </c>
      <c r="LME132" s="531" t="e">
        <f t="shared" ref="LME132:LOP132" si="137">(LME128-LME116)/(LME52*10^5)</f>
        <v>#DIV/0!</v>
      </c>
      <c r="LMF132" s="531" t="e">
        <f t="shared" si="137"/>
        <v>#DIV/0!</v>
      </c>
      <c r="LMG132" s="531" t="e">
        <f t="shared" si="137"/>
        <v>#DIV/0!</v>
      </c>
      <c r="LMH132" s="531" t="e">
        <f t="shared" si="137"/>
        <v>#DIV/0!</v>
      </c>
      <c r="LMI132" s="531" t="e">
        <f t="shared" si="137"/>
        <v>#DIV/0!</v>
      </c>
      <c r="LMJ132" s="531" t="e">
        <f t="shared" si="137"/>
        <v>#DIV/0!</v>
      </c>
      <c r="LMK132" s="531" t="e">
        <f t="shared" si="137"/>
        <v>#DIV/0!</v>
      </c>
      <c r="LML132" s="531" t="e">
        <f t="shared" si="137"/>
        <v>#DIV/0!</v>
      </c>
      <c r="LMM132" s="531" t="e">
        <f t="shared" si="137"/>
        <v>#DIV/0!</v>
      </c>
      <c r="LMN132" s="531" t="e">
        <f t="shared" si="137"/>
        <v>#DIV/0!</v>
      </c>
      <c r="LMO132" s="531" t="e">
        <f t="shared" si="137"/>
        <v>#DIV/0!</v>
      </c>
      <c r="LMP132" s="531" t="e">
        <f t="shared" si="137"/>
        <v>#DIV/0!</v>
      </c>
      <c r="LMQ132" s="531" t="e">
        <f t="shared" si="137"/>
        <v>#DIV/0!</v>
      </c>
      <c r="LMR132" s="531" t="e">
        <f t="shared" si="137"/>
        <v>#DIV/0!</v>
      </c>
      <c r="LMS132" s="531" t="e">
        <f t="shared" si="137"/>
        <v>#DIV/0!</v>
      </c>
      <c r="LMT132" s="531" t="e">
        <f t="shared" si="137"/>
        <v>#DIV/0!</v>
      </c>
      <c r="LMU132" s="531" t="e">
        <f t="shared" si="137"/>
        <v>#DIV/0!</v>
      </c>
      <c r="LMV132" s="531" t="e">
        <f t="shared" si="137"/>
        <v>#DIV/0!</v>
      </c>
      <c r="LMW132" s="531" t="e">
        <f t="shared" si="137"/>
        <v>#DIV/0!</v>
      </c>
      <c r="LMX132" s="531" t="e">
        <f t="shared" si="137"/>
        <v>#DIV/0!</v>
      </c>
      <c r="LMY132" s="531" t="e">
        <f t="shared" si="137"/>
        <v>#DIV/0!</v>
      </c>
      <c r="LMZ132" s="531" t="e">
        <f t="shared" si="137"/>
        <v>#DIV/0!</v>
      </c>
      <c r="LNA132" s="531" t="e">
        <f t="shared" si="137"/>
        <v>#DIV/0!</v>
      </c>
      <c r="LNB132" s="531" t="e">
        <f t="shared" si="137"/>
        <v>#DIV/0!</v>
      </c>
      <c r="LNC132" s="531" t="e">
        <f t="shared" si="137"/>
        <v>#DIV/0!</v>
      </c>
      <c r="LND132" s="531" t="e">
        <f t="shared" si="137"/>
        <v>#DIV/0!</v>
      </c>
      <c r="LNE132" s="531" t="e">
        <f t="shared" si="137"/>
        <v>#DIV/0!</v>
      </c>
      <c r="LNF132" s="531" t="e">
        <f t="shared" si="137"/>
        <v>#DIV/0!</v>
      </c>
      <c r="LNG132" s="531" t="e">
        <f t="shared" si="137"/>
        <v>#DIV/0!</v>
      </c>
      <c r="LNH132" s="531" t="e">
        <f t="shared" si="137"/>
        <v>#DIV/0!</v>
      </c>
      <c r="LNI132" s="531" t="e">
        <f t="shared" si="137"/>
        <v>#DIV/0!</v>
      </c>
      <c r="LNJ132" s="531" t="e">
        <f t="shared" si="137"/>
        <v>#DIV/0!</v>
      </c>
      <c r="LNK132" s="531" t="e">
        <f t="shared" si="137"/>
        <v>#DIV/0!</v>
      </c>
      <c r="LNL132" s="531" t="e">
        <f t="shared" si="137"/>
        <v>#DIV/0!</v>
      </c>
      <c r="LNM132" s="531" t="e">
        <f t="shared" si="137"/>
        <v>#DIV/0!</v>
      </c>
      <c r="LNN132" s="531" t="e">
        <f t="shared" si="137"/>
        <v>#DIV/0!</v>
      </c>
      <c r="LNO132" s="531" t="e">
        <f t="shared" si="137"/>
        <v>#DIV/0!</v>
      </c>
      <c r="LNP132" s="531" t="e">
        <f t="shared" si="137"/>
        <v>#DIV/0!</v>
      </c>
      <c r="LNQ132" s="531" t="e">
        <f t="shared" si="137"/>
        <v>#DIV/0!</v>
      </c>
      <c r="LNR132" s="531" t="e">
        <f t="shared" si="137"/>
        <v>#DIV/0!</v>
      </c>
      <c r="LNS132" s="531" t="e">
        <f t="shared" si="137"/>
        <v>#DIV/0!</v>
      </c>
      <c r="LNT132" s="531" t="e">
        <f t="shared" si="137"/>
        <v>#DIV/0!</v>
      </c>
      <c r="LNU132" s="531" t="e">
        <f t="shared" si="137"/>
        <v>#DIV/0!</v>
      </c>
      <c r="LNV132" s="531" t="e">
        <f t="shared" si="137"/>
        <v>#DIV/0!</v>
      </c>
      <c r="LNW132" s="531" t="e">
        <f t="shared" si="137"/>
        <v>#DIV/0!</v>
      </c>
      <c r="LNX132" s="531" t="e">
        <f t="shared" si="137"/>
        <v>#DIV/0!</v>
      </c>
      <c r="LNY132" s="531" t="e">
        <f t="shared" si="137"/>
        <v>#DIV/0!</v>
      </c>
      <c r="LNZ132" s="531" t="e">
        <f t="shared" si="137"/>
        <v>#DIV/0!</v>
      </c>
      <c r="LOA132" s="531" t="e">
        <f t="shared" si="137"/>
        <v>#DIV/0!</v>
      </c>
      <c r="LOB132" s="531" t="e">
        <f t="shared" si="137"/>
        <v>#DIV/0!</v>
      </c>
      <c r="LOC132" s="531" t="e">
        <f t="shared" si="137"/>
        <v>#DIV/0!</v>
      </c>
      <c r="LOD132" s="531" t="e">
        <f t="shared" si="137"/>
        <v>#DIV/0!</v>
      </c>
      <c r="LOE132" s="531" t="e">
        <f t="shared" si="137"/>
        <v>#DIV/0!</v>
      </c>
      <c r="LOF132" s="531" t="e">
        <f t="shared" si="137"/>
        <v>#DIV/0!</v>
      </c>
      <c r="LOG132" s="531" t="e">
        <f t="shared" si="137"/>
        <v>#DIV/0!</v>
      </c>
      <c r="LOH132" s="531" t="e">
        <f t="shared" si="137"/>
        <v>#DIV/0!</v>
      </c>
      <c r="LOI132" s="531" t="e">
        <f t="shared" si="137"/>
        <v>#DIV/0!</v>
      </c>
      <c r="LOJ132" s="531" t="e">
        <f t="shared" si="137"/>
        <v>#DIV/0!</v>
      </c>
      <c r="LOK132" s="531" t="e">
        <f t="shared" si="137"/>
        <v>#DIV/0!</v>
      </c>
      <c r="LOL132" s="531" t="e">
        <f t="shared" si="137"/>
        <v>#DIV/0!</v>
      </c>
      <c r="LOM132" s="531" t="e">
        <f t="shared" si="137"/>
        <v>#DIV/0!</v>
      </c>
      <c r="LON132" s="531" t="e">
        <f t="shared" si="137"/>
        <v>#DIV/0!</v>
      </c>
      <c r="LOO132" s="531" t="e">
        <f t="shared" si="137"/>
        <v>#DIV/0!</v>
      </c>
      <c r="LOP132" s="531" t="e">
        <f t="shared" si="137"/>
        <v>#DIV/0!</v>
      </c>
      <c r="LOQ132" s="531" t="e">
        <f t="shared" ref="LOQ132:LRB132" si="138">(LOQ128-LOQ116)/(LOQ52*10^5)</f>
        <v>#DIV/0!</v>
      </c>
      <c r="LOR132" s="531" t="e">
        <f t="shared" si="138"/>
        <v>#DIV/0!</v>
      </c>
      <c r="LOS132" s="531" t="e">
        <f t="shared" si="138"/>
        <v>#DIV/0!</v>
      </c>
      <c r="LOT132" s="531" t="e">
        <f t="shared" si="138"/>
        <v>#DIV/0!</v>
      </c>
      <c r="LOU132" s="531" t="e">
        <f t="shared" si="138"/>
        <v>#DIV/0!</v>
      </c>
      <c r="LOV132" s="531" t="e">
        <f t="shared" si="138"/>
        <v>#DIV/0!</v>
      </c>
      <c r="LOW132" s="531" t="e">
        <f t="shared" si="138"/>
        <v>#DIV/0!</v>
      </c>
      <c r="LOX132" s="531" t="e">
        <f t="shared" si="138"/>
        <v>#DIV/0!</v>
      </c>
      <c r="LOY132" s="531" t="e">
        <f t="shared" si="138"/>
        <v>#DIV/0!</v>
      </c>
      <c r="LOZ132" s="531" t="e">
        <f t="shared" si="138"/>
        <v>#DIV/0!</v>
      </c>
      <c r="LPA132" s="531" t="e">
        <f t="shared" si="138"/>
        <v>#DIV/0!</v>
      </c>
      <c r="LPB132" s="531" t="e">
        <f t="shared" si="138"/>
        <v>#DIV/0!</v>
      </c>
      <c r="LPC132" s="531" t="e">
        <f t="shared" si="138"/>
        <v>#DIV/0!</v>
      </c>
      <c r="LPD132" s="531" t="e">
        <f t="shared" si="138"/>
        <v>#DIV/0!</v>
      </c>
      <c r="LPE132" s="531" t="e">
        <f t="shared" si="138"/>
        <v>#DIV/0!</v>
      </c>
      <c r="LPF132" s="531" t="e">
        <f t="shared" si="138"/>
        <v>#DIV/0!</v>
      </c>
      <c r="LPG132" s="531" t="e">
        <f t="shared" si="138"/>
        <v>#DIV/0!</v>
      </c>
      <c r="LPH132" s="531" t="e">
        <f t="shared" si="138"/>
        <v>#DIV/0!</v>
      </c>
      <c r="LPI132" s="531" t="e">
        <f t="shared" si="138"/>
        <v>#DIV/0!</v>
      </c>
      <c r="LPJ132" s="531" t="e">
        <f t="shared" si="138"/>
        <v>#DIV/0!</v>
      </c>
      <c r="LPK132" s="531" t="e">
        <f t="shared" si="138"/>
        <v>#DIV/0!</v>
      </c>
      <c r="LPL132" s="531" t="e">
        <f t="shared" si="138"/>
        <v>#DIV/0!</v>
      </c>
      <c r="LPM132" s="531" t="e">
        <f t="shared" si="138"/>
        <v>#DIV/0!</v>
      </c>
      <c r="LPN132" s="531" t="e">
        <f t="shared" si="138"/>
        <v>#DIV/0!</v>
      </c>
      <c r="LPO132" s="531" t="e">
        <f t="shared" si="138"/>
        <v>#DIV/0!</v>
      </c>
      <c r="LPP132" s="531" t="e">
        <f t="shared" si="138"/>
        <v>#DIV/0!</v>
      </c>
      <c r="LPQ132" s="531" t="e">
        <f t="shared" si="138"/>
        <v>#DIV/0!</v>
      </c>
      <c r="LPR132" s="531" t="e">
        <f t="shared" si="138"/>
        <v>#DIV/0!</v>
      </c>
      <c r="LPS132" s="531" t="e">
        <f t="shared" si="138"/>
        <v>#DIV/0!</v>
      </c>
      <c r="LPT132" s="531" t="e">
        <f t="shared" si="138"/>
        <v>#DIV/0!</v>
      </c>
      <c r="LPU132" s="531" t="e">
        <f t="shared" si="138"/>
        <v>#DIV/0!</v>
      </c>
      <c r="LPV132" s="531" t="e">
        <f t="shared" si="138"/>
        <v>#DIV/0!</v>
      </c>
      <c r="LPW132" s="531" t="e">
        <f t="shared" si="138"/>
        <v>#DIV/0!</v>
      </c>
      <c r="LPX132" s="531" t="e">
        <f t="shared" si="138"/>
        <v>#DIV/0!</v>
      </c>
      <c r="LPY132" s="531" t="e">
        <f t="shared" si="138"/>
        <v>#DIV/0!</v>
      </c>
      <c r="LPZ132" s="531" t="e">
        <f t="shared" si="138"/>
        <v>#DIV/0!</v>
      </c>
      <c r="LQA132" s="531" t="e">
        <f t="shared" si="138"/>
        <v>#DIV/0!</v>
      </c>
      <c r="LQB132" s="531" t="e">
        <f t="shared" si="138"/>
        <v>#DIV/0!</v>
      </c>
      <c r="LQC132" s="531" t="e">
        <f t="shared" si="138"/>
        <v>#DIV/0!</v>
      </c>
      <c r="LQD132" s="531" t="e">
        <f t="shared" si="138"/>
        <v>#DIV/0!</v>
      </c>
      <c r="LQE132" s="531" t="e">
        <f t="shared" si="138"/>
        <v>#DIV/0!</v>
      </c>
      <c r="LQF132" s="531" t="e">
        <f t="shared" si="138"/>
        <v>#DIV/0!</v>
      </c>
      <c r="LQG132" s="531" t="e">
        <f t="shared" si="138"/>
        <v>#DIV/0!</v>
      </c>
      <c r="LQH132" s="531" t="e">
        <f t="shared" si="138"/>
        <v>#DIV/0!</v>
      </c>
      <c r="LQI132" s="531" t="e">
        <f t="shared" si="138"/>
        <v>#DIV/0!</v>
      </c>
      <c r="LQJ132" s="531" t="e">
        <f t="shared" si="138"/>
        <v>#DIV/0!</v>
      </c>
      <c r="LQK132" s="531" t="e">
        <f t="shared" si="138"/>
        <v>#DIV/0!</v>
      </c>
      <c r="LQL132" s="531" t="e">
        <f t="shared" si="138"/>
        <v>#DIV/0!</v>
      </c>
      <c r="LQM132" s="531" t="e">
        <f t="shared" si="138"/>
        <v>#DIV/0!</v>
      </c>
      <c r="LQN132" s="531" t="e">
        <f t="shared" si="138"/>
        <v>#DIV/0!</v>
      </c>
      <c r="LQO132" s="531" t="e">
        <f t="shared" si="138"/>
        <v>#DIV/0!</v>
      </c>
      <c r="LQP132" s="531" t="e">
        <f t="shared" si="138"/>
        <v>#DIV/0!</v>
      </c>
      <c r="LQQ132" s="531" t="e">
        <f t="shared" si="138"/>
        <v>#DIV/0!</v>
      </c>
      <c r="LQR132" s="531" t="e">
        <f t="shared" si="138"/>
        <v>#DIV/0!</v>
      </c>
      <c r="LQS132" s="531" t="e">
        <f t="shared" si="138"/>
        <v>#DIV/0!</v>
      </c>
      <c r="LQT132" s="531" t="e">
        <f t="shared" si="138"/>
        <v>#DIV/0!</v>
      </c>
      <c r="LQU132" s="531" t="e">
        <f t="shared" si="138"/>
        <v>#DIV/0!</v>
      </c>
      <c r="LQV132" s="531" t="e">
        <f t="shared" si="138"/>
        <v>#DIV/0!</v>
      </c>
      <c r="LQW132" s="531" t="e">
        <f t="shared" si="138"/>
        <v>#DIV/0!</v>
      </c>
      <c r="LQX132" s="531" t="e">
        <f t="shared" si="138"/>
        <v>#DIV/0!</v>
      </c>
      <c r="LQY132" s="531" t="e">
        <f t="shared" si="138"/>
        <v>#DIV/0!</v>
      </c>
      <c r="LQZ132" s="531" t="e">
        <f t="shared" si="138"/>
        <v>#DIV/0!</v>
      </c>
      <c r="LRA132" s="531" t="e">
        <f t="shared" si="138"/>
        <v>#DIV/0!</v>
      </c>
      <c r="LRB132" s="531" t="e">
        <f t="shared" si="138"/>
        <v>#DIV/0!</v>
      </c>
      <c r="LRC132" s="531" t="e">
        <f t="shared" ref="LRC132:LTN132" si="139">(LRC128-LRC116)/(LRC52*10^5)</f>
        <v>#DIV/0!</v>
      </c>
      <c r="LRD132" s="531" t="e">
        <f t="shared" si="139"/>
        <v>#DIV/0!</v>
      </c>
      <c r="LRE132" s="531" t="e">
        <f t="shared" si="139"/>
        <v>#DIV/0!</v>
      </c>
      <c r="LRF132" s="531" t="e">
        <f t="shared" si="139"/>
        <v>#DIV/0!</v>
      </c>
      <c r="LRG132" s="531" t="e">
        <f t="shared" si="139"/>
        <v>#DIV/0!</v>
      </c>
      <c r="LRH132" s="531" t="e">
        <f t="shared" si="139"/>
        <v>#DIV/0!</v>
      </c>
      <c r="LRI132" s="531" t="e">
        <f t="shared" si="139"/>
        <v>#DIV/0!</v>
      </c>
      <c r="LRJ132" s="531" t="e">
        <f t="shared" si="139"/>
        <v>#DIV/0!</v>
      </c>
      <c r="LRK132" s="531" t="e">
        <f t="shared" si="139"/>
        <v>#DIV/0!</v>
      </c>
      <c r="LRL132" s="531" t="e">
        <f t="shared" si="139"/>
        <v>#DIV/0!</v>
      </c>
      <c r="LRM132" s="531" t="e">
        <f t="shared" si="139"/>
        <v>#DIV/0!</v>
      </c>
      <c r="LRN132" s="531" t="e">
        <f t="shared" si="139"/>
        <v>#DIV/0!</v>
      </c>
      <c r="LRO132" s="531" t="e">
        <f t="shared" si="139"/>
        <v>#DIV/0!</v>
      </c>
      <c r="LRP132" s="531" t="e">
        <f t="shared" si="139"/>
        <v>#DIV/0!</v>
      </c>
      <c r="LRQ132" s="531" t="e">
        <f t="shared" si="139"/>
        <v>#DIV/0!</v>
      </c>
      <c r="LRR132" s="531" t="e">
        <f t="shared" si="139"/>
        <v>#DIV/0!</v>
      </c>
      <c r="LRS132" s="531" t="e">
        <f t="shared" si="139"/>
        <v>#DIV/0!</v>
      </c>
      <c r="LRT132" s="531" t="e">
        <f t="shared" si="139"/>
        <v>#DIV/0!</v>
      </c>
      <c r="LRU132" s="531" t="e">
        <f t="shared" si="139"/>
        <v>#DIV/0!</v>
      </c>
      <c r="LRV132" s="531" t="e">
        <f t="shared" si="139"/>
        <v>#DIV/0!</v>
      </c>
      <c r="LRW132" s="531" t="e">
        <f t="shared" si="139"/>
        <v>#DIV/0!</v>
      </c>
      <c r="LRX132" s="531" t="e">
        <f t="shared" si="139"/>
        <v>#DIV/0!</v>
      </c>
      <c r="LRY132" s="531" t="e">
        <f t="shared" si="139"/>
        <v>#DIV/0!</v>
      </c>
      <c r="LRZ132" s="531" t="e">
        <f t="shared" si="139"/>
        <v>#DIV/0!</v>
      </c>
      <c r="LSA132" s="531" t="e">
        <f t="shared" si="139"/>
        <v>#DIV/0!</v>
      </c>
      <c r="LSB132" s="531" t="e">
        <f t="shared" si="139"/>
        <v>#DIV/0!</v>
      </c>
      <c r="LSC132" s="531" t="e">
        <f t="shared" si="139"/>
        <v>#DIV/0!</v>
      </c>
      <c r="LSD132" s="531" t="e">
        <f t="shared" si="139"/>
        <v>#DIV/0!</v>
      </c>
      <c r="LSE132" s="531" t="e">
        <f t="shared" si="139"/>
        <v>#DIV/0!</v>
      </c>
      <c r="LSF132" s="531" t="e">
        <f t="shared" si="139"/>
        <v>#DIV/0!</v>
      </c>
      <c r="LSG132" s="531" t="e">
        <f t="shared" si="139"/>
        <v>#DIV/0!</v>
      </c>
      <c r="LSH132" s="531" t="e">
        <f t="shared" si="139"/>
        <v>#DIV/0!</v>
      </c>
      <c r="LSI132" s="531" t="e">
        <f t="shared" si="139"/>
        <v>#DIV/0!</v>
      </c>
      <c r="LSJ132" s="531" t="e">
        <f t="shared" si="139"/>
        <v>#DIV/0!</v>
      </c>
      <c r="LSK132" s="531" t="e">
        <f t="shared" si="139"/>
        <v>#DIV/0!</v>
      </c>
      <c r="LSL132" s="531" t="e">
        <f t="shared" si="139"/>
        <v>#DIV/0!</v>
      </c>
      <c r="LSM132" s="531" t="e">
        <f t="shared" si="139"/>
        <v>#DIV/0!</v>
      </c>
      <c r="LSN132" s="531" t="e">
        <f t="shared" si="139"/>
        <v>#DIV/0!</v>
      </c>
      <c r="LSO132" s="531" t="e">
        <f t="shared" si="139"/>
        <v>#DIV/0!</v>
      </c>
      <c r="LSP132" s="531" t="e">
        <f t="shared" si="139"/>
        <v>#DIV/0!</v>
      </c>
      <c r="LSQ132" s="531" t="e">
        <f t="shared" si="139"/>
        <v>#DIV/0!</v>
      </c>
      <c r="LSR132" s="531" t="e">
        <f t="shared" si="139"/>
        <v>#DIV/0!</v>
      </c>
      <c r="LSS132" s="531" t="e">
        <f t="shared" si="139"/>
        <v>#DIV/0!</v>
      </c>
      <c r="LST132" s="531" t="e">
        <f t="shared" si="139"/>
        <v>#DIV/0!</v>
      </c>
      <c r="LSU132" s="531" t="e">
        <f t="shared" si="139"/>
        <v>#DIV/0!</v>
      </c>
      <c r="LSV132" s="531" t="e">
        <f t="shared" si="139"/>
        <v>#DIV/0!</v>
      </c>
      <c r="LSW132" s="531" t="e">
        <f t="shared" si="139"/>
        <v>#DIV/0!</v>
      </c>
      <c r="LSX132" s="531" t="e">
        <f t="shared" si="139"/>
        <v>#DIV/0!</v>
      </c>
      <c r="LSY132" s="531" t="e">
        <f t="shared" si="139"/>
        <v>#DIV/0!</v>
      </c>
      <c r="LSZ132" s="531" t="e">
        <f t="shared" si="139"/>
        <v>#DIV/0!</v>
      </c>
      <c r="LTA132" s="531" t="e">
        <f t="shared" si="139"/>
        <v>#DIV/0!</v>
      </c>
      <c r="LTB132" s="531" t="e">
        <f t="shared" si="139"/>
        <v>#DIV/0!</v>
      </c>
      <c r="LTC132" s="531" t="e">
        <f t="shared" si="139"/>
        <v>#DIV/0!</v>
      </c>
      <c r="LTD132" s="531" t="e">
        <f t="shared" si="139"/>
        <v>#DIV/0!</v>
      </c>
      <c r="LTE132" s="531" t="e">
        <f t="shared" si="139"/>
        <v>#DIV/0!</v>
      </c>
      <c r="LTF132" s="531" t="e">
        <f t="shared" si="139"/>
        <v>#DIV/0!</v>
      </c>
      <c r="LTG132" s="531" t="e">
        <f t="shared" si="139"/>
        <v>#DIV/0!</v>
      </c>
      <c r="LTH132" s="531" t="e">
        <f t="shared" si="139"/>
        <v>#DIV/0!</v>
      </c>
      <c r="LTI132" s="531" t="e">
        <f t="shared" si="139"/>
        <v>#DIV/0!</v>
      </c>
      <c r="LTJ132" s="531" t="e">
        <f t="shared" si="139"/>
        <v>#DIV/0!</v>
      </c>
      <c r="LTK132" s="531" t="e">
        <f t="shared" si="139"/>
        <v>#DIV/0!</v>
      </c>
      <c r="LTL132" s="531" t="e">
        <f t="shared" si="139"/>
        <v>#DIV/0!</v>
      </c>
      <c r="LTM132" s="531" t="e">
        <f t="shared" si="139"/>
        <v>#DIV/0!</v>
      </c>
      <c r="LTN132" s="531" t="e">
        <f t="shared" si="139"/>
        <v>#DIV/0!</v>
      </c>
      <c r="LTO132" s="531" t="e">
        <f t="shared" ref="LTO132:LVZ132" si="140">(LTO128-LTO116)/(LTO52*10^5)</f>
        <v>#DIV/0!</v>
      </c>
      <c r="LTP132" s="531" t="e">
        <f t="shared" si="140"/>
        <v>#DIV/0!</v>
      </c>
      <c r="LTQ132" s="531" t="e">
        <f t="shared" si="140"/>
        <v>#DIV/0!</v>
      </c>
      <c r="LTR132" s="531" t="e">
        <f t="shared" si="140"/>
        <v>#DIV/0!</v>
      </c>
      <c r="LTS132" s="531" t="e">
        <f t="shared" si="140"/>
        <v>#DIV/0!</v>
      </c>
      <c r="LTT132" s="531" t="e">
        <f t="shared" si="140"/>
        <v>#DIV/0!</v>
      </c>
      <c r="LTU132" s="531" t="e">
        <f t="shared" si="140"/>
        <v>#DIV/0!</v>
      </c>
      <c r="LTV132" s="531" t="e">
        <f t="shared" si="140"/>
        <v>#DIV/0!</v>
      </c>
      <c r="LTW132" s="531" t="e">
        <f t="shared" si="140"/>
        <v>#DIV/0!</v>
      </c>
      <c r="LTX132" s="531" t="e">
        <f t="shared" si="140"/>
        <v>#DIV/0!</v>
      </c>
      <c r="LTY132" s="531" t="e">
        <f t="shared" si="140"/>
        <v>#DIV/0!</v>
      </c>
      <c r="LTZ132" s="531" t="e">
        <f t="shared" si="140"/>
        <v>#DIV/0!</v>
      </c>
      <c r="LUA132" s="531" t="e">
        <f t="shared" si="140"/>
        <v>#DIV/0!</v>
      </c>
      <c r="LUB132" s="531" t="e">
        <f t="shared" si="140"/>
        <v>#DIV/0!</v>
      </c>
      <c r="LUC132" s="531" t="e">
        <f t="shared" si="140"/>
        <v>#DIV/0!</v>
      </c>
      <c r="LUD132" s="531" t="e">
        <f t="shared" si="140"/>
        <v>#DIV/0!</v>
      </c>
      <c r="LUE132" s="531" t="e">
        <f t="shared" si="140"/>
        <v>#DIV/0!</v>
      </c>
      <c r="LUF132" s="531" t="e">
        <f t="shared" si="140"/>
        <v>#DIV/0!</v>
      </c>
      <c r="LUG132" s="531" t="e">
        <f t="shared" si="140"/>
        <v>#DIV/0!</v>
      </c>
      <c r="LUH132" s="531" t="e">
        <f t="shared" si="140"/>
        <v>#DIV/0!</v>
      </c>
      <c r="LUI132" s="531" t="e">
        <f t="shared" si="140"/>
        <v>#DIV/0!</v>
      </c>
      <c r="LUJ132" s="531" t="e">
        <f t="shared" si="140"/>
        <v>#DIV/0!</v>
      </c>
      <c r="LUK132" s="531" t="e">
        <f t="shared" si="140"/>
        <v>#DIV/0!</v>
      </c>
      <c r="LUL132" s="531" t="e">
        <f t="shared" si="140"/>
        <v>#DIV/0!</v>
      </c>
      <c r="LUM132" s="531" t="e">
        <f t="shared" si="140"/>
        <v>#DIV/0!</v>
      </c>
      <c r="LUN132" s="531" t="e">
        <f t="shared" si="140"/>
        <v>#DIV/0!</v>
      </c>
      <c r="LUO132" s="531" t="e">
        <f t="shared" si="140"/>
        <v>#DIV/0!</v>
      </c>
      <c r="LUP132" s="531" t="e">
        <f t="shared" si="140"/>
        <v>#DIV/0!</v>
      </c>
      <c r="LUQ132" s="531" t="e">
        <f t="shared" si="140"/>
        <v>#DIV/0!</v>
      </c>
      <c r="LUR132" s="531" t="e">
        <f t="shared" si="140"/>
        <v>#DIV/0!</v>
      </c>
      <c r="LUS132" s="531" t="e">
        <f t="shared" si="140"/>
        <v>#DIV/0!</v>
      </c>
      <c r="LUT132" s="531" t="e">
        <f t="shared" si="140"/>
        <v>#DIV/0!</v>
      </c>
      <c r="LUU132" s="531" t="e">
        <f t="shared" si="140"/>
        <v>#DIV/0!</v>
      </c>
      <c r="LUV132" s="531" t="e">
        <f t="shared" si="140"/>
        <v>#DIV/0!</v>
      </c>
      <c r="LUW132" s="531" t="e">
        <f t="shared" si="140"/>
        <v>#DIV/0!</v>
      </c>
      <c r="LUX132" s="531" t="e">
        <f t="shared" si="140"/>
        <v>#DIV/0!</v>
      </c>
      <c r="LUY132" s="531" t="e">
        <f t="shared" si="140"/>
        <v>#DIV/0!</v>
      </c>
      <c r="LUZ132" s="531" t="e">
        <f t="shared" si="140"/>
        <v>#DIV/0!</v>
      </c>
      <c r="LVA132" s="531" t="e">
        <f t="shared" si="140"/>
        <v>#DIV/0!</v>
      </c>
      <c r="LVB132" s="531" t="e">
        <f t="shared" si="140"/>
        <v>#DIV/0!</v>
      </c>
      <c r="LVC132" s="531" t="e">
        <f t="shared" si="140"/>
        <v>#DIV/0!</v>
      </c>
      <c r="LVD132" s="531" t="e">
        <f t="shared" si="140"/>
        <v>#DIV/0!</v>
      </c>
      <c r="LVE132" s="531" t="e">
        <f t="shared" si="140"/>
        <v>#DIV/0!</v>
      </c>
      <c r="LVF132" s="531" t="e">
        <f t="shared" si="140"/>
        <v>#DIV/0!</v>
      </c>
      <c r="LVG132" s="531" t="e">
        <f t="shared" si="140"/>
        <v>#DIV/0!</v>
      </c>
      <c r="LVH132" s="531" t="e">
        <f t="shared" si="140"/>
        <v>#DIV/0!</v>
      </c>
      <c r="LVI132" s="531" t="e">
        <f t="shared" si="140"/>
        <v>#DIV/0!</v>
      </c>
      <c r="LVJ132" s="531" t="e">
        <f t="shared" si="140"/>
        <v>#DIV/0!</v>
      </c>
      <c r="LVK132" s="531" t="e">
        <f t="shared" si="140"/>
        <v>#DIV/0!</v>
      </c>
      <c r="LVL132" s="531" t="e">
        <f t="shared" si="140"/>
        <v>#DIV/0!</v>
      </c>
      <c r="LVM132" s="531" t="e">
        <f t="shared" si="140"/>
        <v>#DIV/0!</v>
      </c>
      <c r="LVN132" s="531" t="e">
        <f t="shared" si="140"/>
        <v>#DIV/0!</v>
      </c>
      <c r="LVO132" s="531" t="e">
        <f t="shared" si="140"/>
        <v>#DIV/0!</v>
      </c>
      <c r="LVP132" s="531" t="e">
        <f t="shared" si="140"/>
        <v>#DIV/0!</v>
      </c>
      <c r="LVQ132" s="531" t="e">
        <f t="shared" si="140"/>
        <v>#DIV/0!</v>
      </c>
      <c r="LVR132" s="531" t="e">
        <f t="shared" si="140"/>
        <v>#DIV/0!</v>
      </c>
      <c r="LVS132" s="531" t="e">
        <f t="shared" si="140"/>
        <v>#DIV/0!</v>
      </c>
      <c r="LVT132" s="531" t="e">
        <f t="shared" si="140"/>
        <v>#DIV/0!</v>
      </c>
      <c r="LVU132" s="531" t="e">
        <f t="shared" si="140"/>
        <v>#DIV/0!</v>
      </c>
      <c r="LVV132" s="531" t="e">
        <f t="shared" si="140"/>
        <v>#DIV/0!</v>
      </c>
      <c r="LVW132" s="531" t="e">
        <f t="shared" si="140"/>
        <v>#DIV/0!</v>
      </c>
      <c r="LVX132" s="531" t="e">
        <f t="shared" si="140"/>
        <v>#DIV/0!</v>
      </c>
      <c r="LVY132" s="531" t="e">
        <f t="shared" si="140"/>
        <v>#DIV/0!</v>
      </c>
      <c r="LVZ132" s="531" t="e">
        <f t="shared" si="140"/>
        <v>#DIV/0!</v>
      </c>
      <c r="LWA132" s="531" t="e">
        <f t="shared" ref="LWA132:LYL132" si="141">(LWA128-LWA116)/(LWA52*10^5)</f>
        <v>#DIV/0!</v>
      </c>
      <c r="LWB132" s="531" t="e">
        <f t="shared" si="141"/>
        <v>#DIV/0!</v>
      </c>
      <c r="LWC132" s="531" t="e">
        <f t="shared" si="141"/>
        <v>#DIV/0!</v>
      </c>
      <c r="LWD132" s="531" t="e">
        <f t="shared" si="141"/>
        <v>#DIV/0!</v>
      </c>
      <c r="LWE132" s="531" t="e">
        <f t="shared" si="141"/>
        <v>#DIV/0!</v>
      </c>
      <c r="LWF132" s="531" t="e">
        <f t="shared" si="141"/>
        <v>#DIV/0!</v>
      </c>
      <c r="LWG132" s="531" t="e">
        <f t="shared" si="141"/>
        <v>#DIV/0!</v>
      </c>
      <c r="LWH132" s="531" t="e">
        <f t="shared" si="141"/>
        <v>#DIV/0!</v>
      </c>
      <c r="LWI132" s="531" t="e">
        <f t="shared" si="141"/>
        <v>#DIV/0!</v>
      </c>
      <c r="LWJ132" s="531" t="e">
        <f t="shared" si="141"/>
        <v>#DIV/0!</v>
      </c>
      <c r="LWK132" s="531" t="e">
        <f t="shared" si="141"/>
        <v>#DIV/0!</v>
      </c>
      <c r="LWL132" s="531" t="e">
        <f t="shared" si="141"/>
        <v>#DIV/0!</v>
      </c>
      <c r="LWM132" s="531" t="e">
        <f t="shared" si="141"/>
        <v>#DIV/0!</v>
      </c>
      <c r="LWN132" s="531" t="e">
        <f t="shared" si="141"/>
        <v>#DIV/0!</v>
      </c>
      <c r="LWO132" s="531" t="e">
        <f t="shared" si="141"/>
        <v>#DIV/0!</v>
      </c>
      <c r="LWP132" s="531" t="e">
        <f t="shared" si="141"/>
        <v>#DIV/0!</v>
      </c>
      <c r="LWQ132" s="531" t="e">
        <f t="shared" si="141"/>
        <v>#DIV/0!</v>
      </c>
      <c r="LWR132" s="531" t="e">
        <f t="shared" si="141"/>
        <v>#DIV/0!</v>
      </c>
      <c r="LWS132" s="531" t="e">
        <f t="shared" si="141"/>
        <v>#DIV/0!</v>
      </c>
      <c r="LWT132" s="531" t="e">
        <f t="shared" si="141"/>
        <v>#DIV/0!</v>
      </c>
      <c r="LWU132" s="531" t="e">
        <f t="shared" si="141"/>
        <v>#DIV/0!</v>
      </c>
      <c r="LWV132" s="531" t="e">
        <f t="shared" si="141"/>
        <v>#DIV/0!</v>
      </c>
      <c r="LWW132" s="531" t="e">
        <f t="shared" si="141"/>
        <v>#DIV/0!</v>
      </c>
      <c r="LWX132" s="531" t="e">
        <f t="shared" si="141"/>
        <v>#DIV/0!</v>
      </c>
      <c r="LWY132" s="531" t="e">
        <f t="shared" si="141"/>
        <v>#DIV/0!</v>
      </c>
      <c r="LWZ132" s="531" t="e">
        <f t="shared" si="141"/>
        <v>#DIV/0!</v>
      </c>
      <c r="LXA132" s="531" t="e">
        <f t="shared" si="141"/>
        <v>#DIV/0!</v>
      </c>
      <c r="LXB132" s="531" t="e">
        <f t="shared" si="141"/>
        <v>#DIV/0!</v>
      </c>
      <c r="LXC132" s="531" t="e">
        <f t="shared" si="141"/>
        <v>#DIV/0!</v>
      </c>
      <c r="LXD132" s="531" t="e">
        <f t="shared" si="141"/>
        <v>#DIV/0!</v>
      </c>
      <c r="LXE132" s="531" t="e">
        <f t="shared" si="141"/>
        <v>#DIV/0!</v>
      </c>
      <c r="LXF132" s="531" t="e">
        <f t="shared" si="141"/>
        <v>#DIV/0!</v>
      </c>
      <c r="LXG132" s="531" t="e">
        <f t="shared" si="141"/>
        <v>#DIV/0!</v>
      </c>
      <c r="LXH132" s="531" t="e">
        <f t="shared" si="141"/>
        <v>#DIV/0!</v>
      </c>
      <c r="LXI132" s="531" t="e">
        <f t="shared" si="141"/>
        <v>#DIV/0!</v>
      </c>
      <c r="LXJ132" s="531" t="e">
        <f t="shared" si="141"/>
        <v>#DIV/0!</v>
      </c>
      <c r="LXK132" s="531" t="e">
        <f t="shared" si="141"/>
        <v>#DIV/0!</v>
      </c>
      <c r="LXL132" s="531" t="e">
        <f t="shared" si="141"/>
        <v>#DIV/0!</v>
      </c>
      <c r="LXM132" s="531" t="e">
        <f t="shared" si="141"/>
        <v>#DIV/0!</v>
      </c>
      <c r="LXN132" s="531" t="e">
        <f t="shared" si="141"/>
        <v>#DIV/0!</v>
      </c>
      <c r="LXO132" s="531" t="e">
        <f t="shared" si="141"/>
        <v>#DIV/0!</v>
      </c>
      <c r="LXP132" s="531" t="e">
        <f t="shared" si="141"/>
        <v>#DIV/0!</v>
      </c>
      <c r="LXQ132" s="531" t="e">
        <f t="shared" si="141"/>
        <v>#DIV/0!</v>
      </c>
      <c r="LXR132" s="531" t="e">
        <f t="shared" si="141"/>
        <v>#DIV/0!</v>
      </c>
      <c r="LXS132" s="531" t="e">
        <f t="shared" si="141"/>
        <v>#DIV/0!</v>
      </c>
      <c r="LXT132" s="531" t="e">
        <f t="shared" si="141"/>
        <v>#DIV/0!</v>
      </c>
      <c r="LXU132" s="531" t="e">
        <f t="shared" si="141"/>
        <v>#DIV/0!</v>
      </c>
      <c r="LXV132" s="531" t="e">
        <f t="shared" si="141"/>
        <v>#DIV/0!</v>
      </c>
      <c r="LXW132" s="531" t="e">
        <f t="shared" si="141"/>
        <v>#DIV/0!</v>
      </c>
      <c r="LXX132" s="531" t="e">
        <f t="shared" si="141"/>
        <v>#DIV/0!</v>
      </c>
      <c r="LXY132" s="531" t="e">
        <f t="shared" si="141"/>
        <v>#DIV/0!</v>
      </c>
      <c r="LXZ132" s="531" t="e">
        <f t="shared" si="141"/>
        <v>#DIV/0!</v>
      </c>
      <c r="LYA132" s="531" t="e">
        <f t="shared" si="141"/>
        <v>#DIV/0!</v>
      </c>
      <c r="LYB132" s="531" t="e">
        <f t="shared" si="141"/>
        <v>#DIV/0!</v>
      </c>
      <c r="LYC132" s="531" t="e">
        <f t="shared" si="141"/>
        <v>#DIV/0!</v>
      </c>
      <c r="LYD132" s="531" t="e">
        <f t="shared" si="141"/>
        <v>#DIV/0!</v>
      </c>
      <c r="LYE132" s="531" t="e">
        <f t="shared" si="141"/>
        <v>#DIV/0!</v>
      </c>
      <c r="LYF132" s="531" t="e">
        <f t="shared" si="141"/>
        <v>#DIV/0!</v>
      </c>
      <c r="LYG132" s="531" t="e">
        <f t="shared" si="141"/>
        <v>#DIV/0!</v>
      </c>
      <c r="LYH132" s="531" t="e">
        <f t="shared" si="141"/>
        <v>#DIV/0!</v>
      </c>
      <c r="LYI132" s="531" t="e">
        <f t="shared" si="141"/>
        <v>#DIV/0!</v>
      </c>
      <c r="LYJ132" s="531" t="e">
        <f t="shared" si="141"/>
        <v>#DIV/0!</v>
      </c>
      <c r="LYK132" s="531" t="e">
        <f t="shared" si="141"/>
        <v>#DIV/0!</v>
      </c>
      <c r="LYL132" s="531" t="e">
        <f t="shared" si="141"/>
        <v>#DIV/0!</v>
      </c>
      <c r="LYM132" s="531" t="e">
        <f t="shared" ref="LYM132:MAX132" si="142">(LYM128-LYM116)/(LYM52*10^5)</f>
        <v>#DIV/0!</v>
      </c>
      <c r="LYN132" s="531" t="e">
        <f t="shared" si="142"/>
        <v>#DIV/0!</v>
      </c>
      <c r="LYO132" s="531" t="e">
        <f t="shared" si="142"/>
        <v>#DIV/0!</v>
      </c>
      <c r="LYP132" s="531" t="e">
        <f t="shared" si="142"/>
        <v>#DIV/0!</v>
      </c>
      <c r="LYQ132" s="531" t="e">
        <f t="shared" si="142"/>
        <v>#DIV/0!</v>
      </c>
      <c r="LYR132" s="531" t="e">
        <f t="shared" si="142"/>
        <v>#DIV/0!</v>
      </c>
      <c r="LYS132" s="531" t="e">
        <f t="shared" si="142"/>
        <v>#DIV/0!</v>
      </c>
      <c r="LYT132" s="531" t="e">
        <f t="shared" si="142"/>
        <v>#DIV/0!</v>
      </c>
      <c r="LYU132" s="531" t="e">
        <f t="shared" si="142"/>
        <v>#DIV/0!</v>
      </c>
      <c r="LYV132" s="531" t="e">
        <f t="shared" si="142"/>
        <v>#DIV/0!</v>
      </c>
      <c r="LYW132" s="531" t="e">
        <f t="shared" si="142"/>
        <v>#DIV/0!</v>
      </c>
      <c r="LYX132" s="531" t="e">
        <f t="shared" si="142"/>
        <v>#DIV/0!</v>
      </c>
      <c r="LYY132" s="531" t="e">
        <f t="shared" si="142"/>
        <v>#DIV/0!</v>
      </c>
      <c r="LYZ132" s="531" t="e">
        <f t="shared" si="142"/>
        <v>#DIV/0!</v>
      </c>
      <c r="LZA132" s="531" t="e">
        <f t="shared" si="142"/>
        <v>#DIV/0!</v>
      </c>
      <c r="LZB132" s="531" t="e">
        <f t="shared" si="142"/>
        <v>#DIV/0!</v>
      </c>
      <c r="LZC132" s="531" t="e">
        <f t="shared" si="142"/>
        <v>#DIV/0!</v>
      </c>
      <c r="LZD132" s="531" t="e">
        <f t="shared" si="142"/>
        <v>#DIV/0!</v>
      </c>
      <c r="LZE132" s="531" t="e">
        <f t="shared" si="142"/>
        <v>#DIV/0!</v>
      </c>
      <c r="LZF132" s="531" t="e">
        <f t="shared" si="142"/>
        <v>#DIV/0!</v>
      </c>
      <c r="LZG132" s="531" t="e">
        <f t="shared" si="142"/>
        <v>#DIV/0!</v>
      </c>
      <c r="LZH132" s="531" t="e">
        <f t="shared" si="142"/>
        <v>#DIV/0!</v>
      </c>
      <c r="LZI132" s="531" t="e">
        <f t="shared" si="142"/>
        <v>#DIV/0!</v>
      </c>
      <c r="LZJ132" s="531" t="e">
        <f t="shared" si="142"/>
        <v>#DIV/0!</v>
      </c>
      <c r="LZK132" s="531" t="e">
        <f t="shared" si="142"/>
        <v>#DIV/0!</v>
      </c>
      <c r="LZL132" s="531" t="e">
        <f t="shared" si="142"/>
        <v>#DIV/0!</v>
      </c>
      <c r="LZM132" s="531" t="e">
        <f t="shared" si="142"/>
        <v>#DIV/0!</v>
      </c>
      <c r="LZN132" s="531" t="e">
        <f t="shared" si="142"/>
        <v>#DIV/0!</v>
      </c>
      <c r="LZO132" s="531" t="e">
        <f t="shared" si="142"/>
        <v>#DIV/0!</v>
      </c>
      <c r="LZP132" s="531" t="e">
        <f t="shared" si="142"/>
        <v>#DIV/0!</v>
      </c>
      <c r="LZQ132" s="531" t="e">
        <f t="shared" si="142"/>
        <v>#DIV/0!</v>
      </c>
      <c r="LZR132" s="531" t="e">
        <f t="shared" si="142"/>
        <v>#DIV/0!</v>
      </c>
      <c r="LZS132" s="531" t="e">
        <f t="shared" si="142"/>
        <v>#DIV/0!</v>
      </c>
      <c r="LZT132" s="531" t="e">
        <f t="shared" si="142"/>
        <v>#DIV/0!</v>
      </c>
      <c r="LZU132" s="531" t="e">
        <f t="shared" si="142"/>
        <v>#DIV/0!</v>
      </c>
      <c r="LZV132" s="531" t="e">
        <f t="shared" si="142"/>
        <v>#DIV/0!</v>
      </c>
      <c r="LZW132" s="531" t="e">
        <f t="shared" si="142"/>
        <v>#DIV/0!</v>
      </c>
      <c r="LZX132" s="531" t="e">
        <f t="shared" si="142"/>
        <v>#DIV/0!</v>
      </c>
      <c r="LZY132" s="531" t="e">
        <f t="shared" si="142"/>
        <v>#DIV/0!</v>
      </c>
      <c r="LZZ132" s="531" t="e">
        <f t="shared" si="142"/>
        <v>#DIV/0!</v>
      </c>
      <c r="MAA132" s="531" t="e">
        <f t="shared" si="142"/>
        <v>#DIV/0!</v>
      </c>
      <c r="MAB132" s="531" t="e">
        <f t="shared" si="142"/>
        <v>#DIV/0!</v>
      </c>
      <c r="MAC132" s="531" t="e">
        <f t="shared" si="142"/>
        <v>#DIV/0!</v>
      </c>
      <c r="MAD132" s="531" t="e">
        <f t="shared" si="142"/>
        <v>#DIV/0!</v>
      </c>
      <c r="MAE132" s="531" t="e">
        <f t="shared" si="142"/>
        <v>#DIV/0!</v>
      </c>
      <c r="MAF132" s="531" t="e">
        <f t="shared" si="142"/>
        <v>#DIV/0!</v>
      </c>
      <c r="MAG132" s="531" t="e">
        <f t="shared" si="142"/>
        <v>#DIV/0!</v>
      </c>
      <c r="MAH132" s="531" t="e">
        <f t="shared" si="142"/>
        <v>#DIV/0!</v>
      </c>
      <c r="MAI132" s="531" t="e">
        <f t="shared" si="142"/>
        <v>#DIV/0!</v>
      </c>
      <c r="MAJ132" s="531" t="e">
        <f t="shared" si="142"/>
        <v>#DIV/0!</v>
      </c>
      <c r="MAK132" s="531" t="e">
        <f t="shared" si="142"/>
        <v>#DIV/0!</v>
      </c>
      <c r="MAL132" s="531" t="e">
        <f t="shared" si="142"/>
        <v>#DIV/0!</v>
      </c>
      <c r="MAM132" s="531" t="e">
        <f t="shared" si="142"/>
        <v>#DIV/0!</v>
      </c>
      <c r="MAN132" s="531" t="e">
        <f t="shared" si="142"/>
        <v>#DIV/0!</v>
      </c>
      <c r="MAO132" s="531" t="e">
        <f t="shared" si="142"/>
        <v>#DIV/0!</v>
      </c>
      <c r="MAP132" s="531" t="e">
        <f t="shared" si="142"/>
        <v>#DIV/0!</v>
      </c>
      <c r="MAQ132" s="531" t="e">
        <f t="shared" si="142"/>
        <v>#DIV/0!</v>
      </c>
      <c r="MAR132" s="531" t="e">
        <f t="shared" si="142"/>
        <v>#DIV/0!</v>
      </c>
      <c r="MAS132" s="531" t="e">
        <f t="shared" si="142"/>
        <v>#DIV/0!</v>
      </c>
      <c r="MAT132" s="531" t="e">
        <f t="shared" si="142"/>
        <v>#DIV/0!</v>
      </c>
      <c r="MAU132" s="531" t="e">
        <f t="shared" si="142"/>
        <v>#DIV/0!</v>
      </c>
      <c r="MAV132" s="531" t="e">
        <f t="shared" si="142"/>
        <v>#DIV/0!</v>
      </c>
      <c r="MAW132" s="531" t="e">
        <f t="shared" si="142"/>
        <v>#DIV/0!</v>
      </c>
      <c r="MAX132" s="531" t="e">
        <f t="shared" si="142"/>
        <v>#DIV/0!</v>
      </c>
      <c r="MAY132" s="531" t="e">
        <f t="shared" ref="MAY132:MDJ132" si="143">(MAY128-MAY116)/(MAY52*10^5)</f>
        <v>#DIV/0!</v>
      </c>
      <c r="MAZ132" s="531" t="e">
        <f t="shared" si="143"/>
        <v>#DIV/0!</v>
      </c>
      <c r="MBA132" s="531" t="e">
        <f t="shared" si="143"/>
        <v>#DIV/0!</v>
      </c>
      <c r="MBB132" s="531" t="e">
        <f t="shared" si="143"/>
        <v>#DIV/0!</v>
      </c>
      <c r="MBC132" s="531" t="e">
        <f t="shared" si="143"/>
        <v>#DIV/0!</v>
      </c>
      <c r="MBD132" s="531" t="e">
        <f t="shared" si="143"/>
        <v>#DIV/0!</v>
      </c>
      <c r="MBE132" s="531" t="e">
        <f t="shared" si="143"/>
        <v>#DIV/0!</v>
      </c>
      <c r="MBF132" s="531" t="e">
        <f t="shared" si="143"/>
        <v>#DIV/0!</v>
      </c>
      <c r="MBG132" s="531" t="e">
        <f t="shared" si="143"/>
        <v>#DIV/0!</v>
      </c>
      <c r="MBH132" s="531" t="e">
        <f t="shared" si="143"/>
        <v>#DIV/0!</v>
      </c>
      <c r="MBI132" s="531" t="e">
        <f t="shared" si="143"/>
        <v>#DIV/0!</v>
      </c>
      <c r="MBJ132" s="531" t="e">
        <f t="shared" si="143"/>
        <v>#DIV/0!</v>
      </c>
      <c r="MBK132" s="531" t="e">
        <f t="shared" si="143"/>
        <v>#DIV/0!</v>
      </c>
      <c r="MBL132" s="531" t="e">
        <f t="shared" si="143"/>
        <v>#DIV/0!</v>
      </c>
      <c r="MBM132" s="531" t="e">
        <f t="shared" si="143"/>
        <v>#DIV/0!</v>
      </c>
      <c r="MBN132" s="531" t="e">
        <f t="shared" si="143"/>
        <v>#DIV/0!</v>
      </c>
      <c r="MBO132" s="531" t="e">
        <f t="shared" si="143"/>
        <v>#DIV/0!</v>
      </c>
      <c r="MBP132" s="531" t="e">
        <f t="shared" si="143"/>
        <v>#DIV/0!</v>
      </c>
      <c r="MBQ132" s="531" t="e">
        <f t="shared" si="143"/>
        <v>#DIV/0!</v>
      </c>
      <c r="MBR132" s="531" t="e">
        <f t="shared" si="143"/>
        <v>#DIV/0!</v>
      </c>
      <c r="MBS132" s="531" t="e">
        <f t="shared" si="143"/>
        <v>#DIV/0!</v>
      </c>
      <c r="MBT132" s="531" t="e">
        <f t="shared" si="143"/>
        <v>#DIV/0!</v>
      </c>
      <c r="MBU132" s="531" t="e">
        <f t="shared" si="143"/>
        <v>#DIV/0!</v>
      </c>
      <c r="MBV132" s="531" t="e">
        <f t="shared" si="143"/>
        <v>#DIV/0!</v>
      </c>
      <c r="MBW132" s="531" t="e">
        <f t="shared" si="143"/>
        <v>#DIV/0!</v>
      </c>
      <c r="MBX132" s="531" t="e">
        <f t="shared" si="143"/>
        <v>#DIV/0!</v>
      </c>
      <c r="MBY132" s="531" t="e">
        <f t="shared" si="143"/>
        <v>#DIV/0!</v>
      </c>
      <c r="MBZ132" s="531" t="e">
        <f t="shared" si="143"/>
        <v>#DIV/0!</v>
      </c>
      <c r="MCA132" s="531" t="e">
        <f t="shared" si="143"/>
        <v>#DIV/0!</v>
      </c>
      <c r="MCB132" s="531" t="e">
        <f t="shared" si="143"/>
        <v>#DIV/0!</v>
      </c>
      <c r="MCC132" s="531" t="e">
        <f t="shared" si="143"/>
        <v>#DIV/0!</v>
      </c>
      <c r="MCD132" s="531" t="e">
        <f t="shared" si="143"/>
        <v>#DIV/0!</v>
      </c>
      <c r="MCE132" s="531" t="e">
        <f t="shared" si="143"/>
        <v>#DIV/0!</v>
      </c>
      <c r="MCF132" s="531" t="e">
        <f t="shared" si="143"/>
        <v>#DIV/0!</v>
      </c>
      <c r="MCG132" s="531" t="e">
        <f t="shared" si="143"/>
        <v>#DIV/0!</v>
      </c>
      <c r="MCH132" s="531" t="e">
        <f t="shared" si="143"/>
        <v>#DIV/0!</v>
      </c>
      <c r="MCI132" s="531" t="e">
        <f t="shared" si="143"/>
        <v>#DIV/0!</v>
      </c>
      <c r="MCJ132" s="531" t="e">
        <f t="shared" si="143"/>
        <v>#DIV/0!</v>
      </c>
      <c r="MCK132" s="531" t="e">
        <f t="shared" si="143"/>
        <v>#DIV/0!</v>
      </c>
      <c r="MCL132" s="531" t="e">
        <f t="shared" si="143"/>
        <v>#DIV/0!</v>
      </c>
      <c r="MCM132" s="531" t="e">
        <f t="shared" si="143"/>
        <v>#DIV/0!</v>
      </c>
      <c r="MCN132" s="531" t="e">
        <f t="shared" si="143"/>
        <v>#DIV/0!</v>
      </c>
      <c r="MCO132" s="531" t="e">
        <f t="shared" si="143"/>
        <v>#DIV/0!</v>
      </c>
      <c r="MCP132" s="531" t="e">
        <f t="shared" si="143"/>
        <v>#DIV/0!</v>
      </c>
      <c r="MCQ132" s="531" t="e">
        <f t="shared" si="143"/>
        <v>#DIV/0!</v>
      </c>
      <c r="MCR132" s="531" t="e">
        <f t="shared" si="143"/>
        <v>#DIV/0!</v>
      </c>
      <c r="MCS132" s="531" t="e">
        <f t="shared" si="143"/>
        <v>#DIV/0!</v>
      </c>
      <c r="MCT132" s="531" t="e">
        <f t="shared" si="143"/>
        <v>#DIV/0!</v>
      </c>
      <c r="MCU132" s="531" t="e">
        <f t="shared" si="143"/>
        <v>#DIV/0!</v>
      </c>
      <c r="MCV132" s="531" t="e">
        <f t="shared" si="143"/>
        <v>#DIV/0!</v>
      </c>
      <c r="MCW132" s="531" t="e">
        <f t="shared" si="143"/>
        <v>#DIV/0!</v>
      </c>
      <c r="MCX132" s="531" t="e">
        <f t="shared" si="143"/>
        <v>#DIV/0!</v>
      </c>
      <c r="MCY132" s="531" t="e">
        <f t="shared" si="143"/>
        <v>#DIV/0!</v>
      </c>
      <c r="MCZ132" s="531" t="e">
        <f t="shared" si="143"/>
        <v>#DIV/0!</v>
      </c>
      <c r="MDA132" s="531" t="e">
        <f t="shared" si="143"/>
        <v>#DIV/0!</v>
      </c>
      <c r="MDB132" s="531" t="e">
        <f t="shared" si="143"/>
        <v>#DIV/0!</v>
      </c>
      <c r="MDC132" s="531" t="e">
        <f t="shared" si="143"/>
        <v>#DIV/0!</v>
      </c>
      <c r="MDD132" s="531" t="e">
        <f t="shared" si="143"/>
        <v>#DIV/0!</v>
      </c>
      <c r="MDE132" s="531" t="e">
        <f t="shared" si="143"/>
        <v>#DIV/0!</v>
      </c>
      <c r="MDF132" s="531" t="e">
        <f t="shared" si="143"/>
        <v>#DIV/0!</v>
      </c>
      <c r="MDG132" s="531" t="e">
        <f t="shared" si="143"/>
        <v>#DIV/0!</v>
      </c>
      <c r="MDH132" s="531" t="e">
        <f t="shared" si="143"/>
        <v>#DIV/0!</v>
      </c>
      <c r="MDI132" s="531" t="e">
        <f t="shared" si="143"/>
        <v>#DIV/0!</v>
      </c>
      <c r="MDJ132" s="531" t="e">
        <f t="shared" si="143"/>
        <v>#DIV/0!</v>
      </c>
      <c r="MDK132" s="531" t="e">
        <f t="shared" ref="MDK132:MFV132" si="144">(MDK128-MDK116)/(MDK52*10^5)</f>
        <v>#DIV/0!</v>
      </c>
      <c r="MDL132" s="531" t="e">
        <f t="shared" si="144"/>
        <v>#DIV/0!</v>
      </c>
      <c r="MDM132" s="531" t="e">
        <f t="shared" si="144"/>
        <v>#DIV/0!</v>
      </c>
      <c r="MDN132" s="531" t="e">
        <f t="shared" si="144"/>
        <v>#DIV/0!</v>
      </c>
      <c r="MDO132" s="531" t="e">
        <f t="shared" si="144"/>
        <v>#DIV/0!</v>
      </c>
      <c r="MDP132" s="531" t="e">
        <f t="shared" si="144"/>
        <v>#DIV/0!</v>
      </c>
      <c r="MDQ132" s="531" t="e">
        <f t="shared" si="144"/>
        <v>#DIV/0!</v>
      </c>
      <c r="MDR132" s="531" t="e">
        <f t="shared" si="144"/>
        <v>#DIV/0!</v>
      </c>
      <c r="MDS132" s="531" t="e">
        <f t="shared" si="144"/>
        <v>#DIV/0!</v>
      </c>
      <c r="MDT132" s="531" t="e">
        <f t="shared" si="144"/>
        <v>#DIV/0!</v>
      </c>
      <c r="MDU132" s="531" t="e">
        <f t="shared" si="144"/>
        <v>#DIV/0!</v>
      </c>
      <c r="MDV132" s="531" t="e">
        <f t="shared" si="144"/>
        <v>#DIV/0!</v>
      </c>
      <c r="MDW132" s="531" t="e">
        <f t="shared" si="144"/>
        <v>#DIV/0!</v>
      </c>
      <c r="MDX132" s="531" t="e">
        <f t="shared" si="144"/>
        <v>#DIV/0!</v>
      </c>
      <c r="MDY132" s="531" t="e">
        <f t="shared" si="144"/>
        <v>#DIV/0!</v>
      </c>
      <c r="MDZ132" s="531" t="e">
        <f t="shared" si="144"/>
        <v>#DIV/0!</v>
      </c>
      <c r="MEA132" s="531" t="e">
        <f t="shared" si="144"/>
        <v>#DIV/0!</v>
      </c>
      <c r="MEB132" s="531" t="e">
        <f t="shared" si="144"/>
        <v>#DIV/0!</v>
      </c>
      <c r="MEC132" s="531" t="e">
        <f t="shared" si="144"/>
        <v>#DIV/0!</v>
      </c>
      <c r="MED132" s="531" t="e">
        <f t="shared" si="144"/>
        <v>#DIV/0!</v>
      </c>
      <c r="MEE132" s="531" t="e">
        <f t="shared" si="144"/>
        <v>#DIV/0!</v>
      </c>
      <c r="MEF132" s="531" t="e">
        <f t="shared" si="144"/>
        <v>#DIV/0!</v>
      </c>
      <c r="MEG132" s="531" t="e">
        <f t="shared" si="144"/>
        <v>#DIV/0!</v>
      </c>
      <c r="MEH132" s="531" t="e">
        <f t="shared" si="144"/>
        <v>#DIV/0!</v>
      </c>
      <c r="MEI132" s="531" t="e">
        <f t="shared" si="144"/>
        <v>#DIV/0!</v>
      </c>
      <c r="MEJ132" s="531" t="e">
        <f t="shared" si="144"/>
        <v>#DIV/0!</v>
      </c>
      <c r="MEK132" s="531" t="e">
        <f t="shared" si="144"/>
        <v>#DIV/0!</v>
      </c>
      <c r="MEL132" s="531" t="e">
        <f t="shared" si="144"/>
        <v>#DIV/0!</v>
      </c>
      <c r="MEM132" s="531" t="e">
        <f t="shared" si="144"/>
        <v>#DIV/0!</v>
      </c>
      <c r="MEN132" s="531" t="e">
        <f t="shared" si="144"/>
        <v>#DIV/0!</v>
      </c>
      <c r="MEO132" s="531" t="e">
        <f t="shared" si="144"/>
        <v>#DIV/0!</v>
      </c>
      <c r="MEP132" s="531" t="e">
        <f t="shared" si="144"/>
        <v>#DIV/0!</v>
      </c>
      <c r="MEQ132" s="531" t="e">
        <f t="shared" si="144"/>
        <v>#DIV/0!</v>
      </c>
      <c r="MER132" s="531" t="e">
        <f t="shared" si="144"/>
        <v>#DIV/0!</v>
      </c>
      <c r="MES132" s="531" t="e">
        <f t="shared" si="144"/>
        <v>#DIV/0!</v>
      </c>
      <c r="MET132" s="531" t="e">
        <f t="shared" si="144"/>
        <v>#DIV/0!</v>
      </c>
      <c r="MEU132" s="531" t="e">
        <f t="shared" si="144"/>
        <v>#DIV/0!</v>
      </c>
      <c r="MEV132" s="531" t="e">
        <f t="shared" si="144"/>
        <v>#DIV/0!</v>
      </c>
      <c r="MEW132" s="531" t="e">
        <f t="shared" si="144"/>
        <v>#DIV/0!</v>
      </c>
      <c r="MEX132" s="531" t="e">
        <f t="shared" si="144"/>
        <v>#DIV/0!</v>
      </c>
      <c r="MEY132" s="531" t="e">
        <f t="shared" si="144"/>
        <v>#DIV/0!</v>
      </c>
      <c r="MEZ132" s="531" t="e">
        <f t="shared" si="144"/>
        <v>#DIV/0!</v>
      </c>
      <c r="MFA132" s="531" t="e">
        <f t="shared" si="144"/>
        <v>#DIV/0!</v>
      </c>
      <c r="MFB132" s="531" t="e">
        <f t="shared" si="144"/>
        <v>#DIV/0!</v>
      </c>
      <c r="MFC132" s="531" t="e">
        <f t="shared" si="144"/>
        <v>#DIV/0!</v>
      </c>
      <c r="MFD132" s="531" t="e">
        <f t="shared" si="144"/>
        <v>#DIV/0!</v>
      </c>
      <c r="MFE132" s="531" t="e">
        <f t="shared" si="144"/>
        <v>#DIV/0!</v>
      </c>
      <c r="MFF132" s="531" t="e">
        <f t="shared" si="144"/>
        <v>#DIV/0!</v>
      </c>
      <c r="MFG132" s="531" t="e">
        <f t="shared" si="144"/>
        <v>#DIV/0!</v>
      </c>
      <c r="MFH132" s="531" t="e">
        <f t="shared" si="144"/>
        <v>#DIV/0!</v>
      </c>
      <c r="MFI132" s="531" t="e">
        <f t="shared" si="144"/>
        <v>#DIV/0!</v>
      </c>
      <c r="MFJ132" s="531" t="e">
        <f t="shared" si="144"/>
        <v>#DIV/0!</v>
      </c>
      <c r="MFK132" s="531" t="e">
        <f t="shared" si="144"/>
        <v>#DIV/0!</v>
      </c>
      <c r="MFL132" s="531" t="e">
        <f t="shared" si="144"/>
        <v>#DIV/0!</v>
      </c>
      <c r="MFM132" s="531" t="e">
        <f t="shared" si="144"/>
        <v>#DIV/0!</v>
      </c>
      <c r="MFN132" s="531" t="e">
        <f t="shared" si="144"/>
        <v>#DIV/0!</v>
      </c>
      <c r="MFO132" s="531" t="e">
        <f t="shared" si="144"/>
        <v>#DIV/0!</v>
      </c>
      <c r="MFP132" s="531" t="e">
        <f t="shared" si="144"/>
        <v>#DIV/0!</v>
      </c>
      <c r="MFQ132" s="531" t="e">
        <f t="shared" si="144"/>
        <v>#DIV/0!</v>
      </c>
      <c r="MFR132" s="531" t="e">
        <f t="shared" si="144"/>
        <v>#DIV/0!</v>
      </c>
      <c r="MFS132" s="531" t="e">
        <f t="shared" si="144"/>
        <v>#DIV/0!</v>
      </c>
      <c r="MFT132" s="531" t="e">
        <f t="shared" si="144"/>
        <v>#DIV/0!</v>
      </c>
      <c r="MFU132" s="531" t="e">
        <f t="shared" si="144"/>
        <v>#DIV/0!</v>
      </c>
      <c r="MFV132" s="531" t="e">
        <f t="shared" si="144"/>
        <v>#DIV/0!</v>
      </c>
      <c r="MFW132" s="531" t="e">
        <f t="shared" ref="MFW132:MIH132" si="145">(MFW128-MFW116)/(MFW52*10^5)</f>
        <v>#DIV/0!</v>
      </c>
      <c r="MFX132" s="531" t="e">
        <f t="shared" si="145"/>
        <v>#DIV/0!</v>
      </c>
      <c r="MFY132" s="531" t="e">
        <f t="shared" si="145"/>
        <v>#DIV/0!</v>
      </c>
      <c r="MFZ132" s="531" t="e">
        <f t="shared" si="145"/>
        <v>#DIV/0!</v>
      </c>
      <c r="MGA132" s="531" t="e">
        <f t="shared" si="145"/>
        <v>#DIV/0!</v>
      </c>
      <c r="MGB132" s="531" t="e">
        <f t="shared" si="145"/>
        <v>#DIV/0!</v>
      </c>
      <c r="MGC132" s="531" t="e">
        <f t="shared" si="145"/>
        <v>#DIV/0!</v>
      </c>
      <c r="MGD132" s="531" t="e">
        <f t="shared" si="145"/>
        <v>#DIV/0!</v>
      </c>
      <c r="MGE132" s="531" t="e">
        <f t="shared" si="145"/>
        <v>#DIV/0!</v>
      </c>
      <c r="MGF132" s="531" t="e">
        <f t="shared" si="145"/>
        <v>#DIV/0!</v>
      </c>
      <c r="MGG132" s="531" t="e">
        <f t="shared" si="145"/>
        <v>#DIV/0!</v>
      </c>
      <c r="MGH132" s="531" t="e">
        <f t="shared" si="145"/>
        <v>#DIV/0!</v>
      </c>
      <c r="MGI132" s="531" t="e">
        <f t="shared" si="145"/>
        <v>#DIV/0!</v>
      </c>
      <c r="MGJ132" s="531" t="e">
        <f t="shared" si="145"/>
        <v>#DIV/0!</v>
      </c>
      <c r="MGK132" s="531" t="e">
        <f t="shared" si="145"/>
        <v>#DIV/0!</v>
      </c>
      <c r="MGL132" s="531" t="e">
        <f t="shared" si="145"/>
        <v>#DIV/0!</v>
      </c>
      <c r="MGM132" s="531" t="e">
        <f t="shared" si="145"/>
        <v>#DIV/0!</v>
      </c>
      <c r="MGN132" s="531" t="e">
        <f t="shared" si="145"/>
        <v>#DIV/0!</v>
      </c>
      <c r="MGO132" s="531" t="e">
        <f t="shared" si="145"/>
        <v>#DIV/0!</v>
      </c>
      <c r="MGP132" s="531" t="e">
        <f t="shared" si="145"/>
        <v>#DIV/0!</v>
      </c>
      <c r="MGQ132" s="531" t="e">
        <f t="shared" si="145"/>
        <v>#DIV/0!</v>
      </c>
      <c r="MGR132" s="531" t="e">
        <f t="shared" si="145"/>
        <v>#DIV/0!</v>
      </c>
      <c r="MGS132" s="531" t="e">
        <f t="shared" si="145"/>
        <v>#DIV/0!</v>
      </c>
      <c r="MGT132" s="531" t="e">
        <f t="shared" si="145"/>
        <v>#DIV/0!</v>
      </c>
      <c r="MGU132" s="531" t="e">
        <f t="shared" si="145"/>
        <v>#DIV/0!</v>
      </c>
      <c r="MGV132" s="531" t="e">
        <f t="shared" si="145"/>
        <v>#DIV/0!</v>
      </c>
      <c r="MGW132" s="531" t="e">
        <f t="shared" si="145"/>
        <v>#DIV/0!</v>
      </c>
      <c r="MGX132" s="531" t="e">
        <f t="shared" si="145"/>
        <v>#DIV/0!</v>
      </c>
      <c r="MGY132" s="531" t="e">
        <f t="shared" si="145"/>
        <v>#DIV/0!</v>
      </c>
      <c r="MGZ132" s="531" t="e">
        <f t="shared" si="145"/>
        <v>#DIV/0!</v>
      </c>
      <c r="MHA132" s="531" t="e">
        <f t="shared" si="145"/>
        <v>#DIV/0!</v>
      </c>
      <c r="MHB132" s="531" t="e">
        <f t="shared" si="145"/>
        <v>#DIV/0!</v>
      </c>
      <c r="MHC132" s="531" t="e">
        <f t="shared" si="145"/>
        <v>#DIV/0!</v>
      </c>
      <c r="MHD132" s="531" t="e">
        <f t="shared" si="145"/>
        <v>#DIV/0!</v>
      </c>
      <c r="MHE132" s="531" t="e">
        <f t="shared" si="145"/>
        <v>#DIV/0!</v>
      </c>
      <c r="MHF132" s="531" t="e">
        <f t="shared" si="145"/>
        <v>#DIV/0!</v>
      </c>
      <c r="MHG132" s="531" t="e">
        <f t="shared" si="145"/>
        <v>#DIV/0!</v>
      </c>
      <c r="MHH132" s="531" t="e">
        <f t="shared" si="145"/>
        <v>#DIV/0!</v>
      </c>
      <c r="MHI132" s="531" t="e">
        <f t="shared" si="145"/>
        <v>#DIV/0!</v>
      </c>
      <c r="MHJ132" s="531" t="e">
        <f t="shared" si="145"/>
        <v>#DIV/0!</v>
      </c>
      <c r="MHK132" s="531" t="e">
        <f t="shared" si="145"/>
        <v>#DIV/0!</v>
      </c>
      <c r="MHL132" s="531" t="e">
        <f t="shared" si="145"/>
        <v>#DIV/0!</v>
      </c>
      <c r="MHM132" s="531" t="e">
        <f t="shared" si="145"/>
        <v>#DIV/0!</v>
      </c>
      <c r="MHN132" s="531" t="e">
        <f t="shared" si="145"/>
        <v>#DIV/0!</v>
      </c>
      <c r="MHO132" s="531" t="e">
        <f t="shared" si="145"/>
        <v>#DIV/0!</v>
      </c>
      <c r="MHP132" s="531" t="e">
        <f t="shared" si="145"/>
        <v>#DIV/0!</v>
      </c>
      <c r="MHQ132" s="531" t="e">
        <f t="shared" si="145"/>
        <v>#DIV/0!</v>
      </c>
      <c r="MHR132" s="531" t="e">
        <f t="shared" si="145"/>
        <v>#DIV/0!</v>
      </c>
      <c r="MHS132" s="531" t="e">
        <f t="shared" si="145"/>
        <v>#DIV/0!</v>
      </c>
      <c r="MHT132" s="531" t="e">
        <f t="shared" si="145"/>
        <v>#DIV/0!</v>
      </c>
      <c r="MHU132" s="531" t="e">
        <f t="shared" si="145"/>
        <v>#DIV/0!</v>
      </c>
      <c r="MHV132" s="531" t="e">
        <f t="shared" si="145"/>
        <v>#DIV/0!</v>
      </c>
      <c r="MHW132" s="531" t="e">
        <f t="shared" si="145"/>
        <v>#DIV/0!</v>
      </c>
      <c r="MHX132" s="531" t="e">
        <f t="shared" si="145"/>
        <v>#DIV/0!</v>
      </c>
      <c r="MHY132" s="531" t="e">
        <f t="shared" si="145"/>
        <v>#DIV/0!</v>
      </c>
      <c r="MHZ132" s="531" t="e">
        <f t="shared" si="145"/>
        <v>#DIV/0!</v>
      </c>
      <c r="MIA132" s="531" t="e">
        <f t="shared" si="145"/>
        <v>#DIV/0!</v>
      </c>
      <c r="MIB132" s="531" t="e">
        <f t="shared" si="145"/>
        <v>#DIV/0!</v>
      </c>
      <c r="MIC132" s="531" t="e">
        <f t="shared" si="145"/>
        <v>#DIV/0!</v>
      </c>
      <c r="MID132" s="531" t="e">
        <f t="shared" si="145"/>
        <v>#DIV/0!</v>
      </c>
      <c r="MIE132" s="531" t="e">
        <f t="shared" si="145"/>
        <v>#DIV/0!</v>
      </c>
      <c r="MIF132" s="531" t="e">
        <f t="shared" si="145"/>
        <v>#DIV/0!</v>
      </c>
      <c r="MIG132" s="531" t="e">
        <f t="shared" si="145"/>
        <v>#DIV/0!</v>
      </c>
      <c r="MIH132" s="531" t="e">
        <f t="shared" si="145"/>
        <v>#DIV/0!</v>
      </c>
      <c r="MII132" s="531" t="e">
        <f t="shared" ref="MII132:MKT132" si="146">(MII128-MII116)/(MII52*10^5)</f>
        <v>#DIV/0!</v>
      </c>
      <c r="MIJ132" s="531" t="e">
        <f t="shared" si="146"/>
        <v>#DIV/0!</v>
      </c>
      <c r="MIK132" s="531" t="e">
        <f t="shared" si="146"/>
        <v>#DIV/0!</v>
      </c>
      <c r="MIL132" s="531" t="e">
        <f t="shared" si="146"/>
        <v>#DIV/0!</v>
      </c>
      <c r="MIM132" s="531" t="e">
        <f t="shared" si="146"/>
        <v>#DIV/0!</v>
      </c>
      <c r="MIN132" s="531" t="e">
        <f t="shared" si="146"/>
        <v>#DIV/0!</v>
      </c>
      <c r="MIO132" s="531" t="e">
        <f t="shared" si="146"/>
        <v>#DIV/0!</v>
      </c>
      <c r="MIP132" s="531" t="e">
        <f t="shared" si="146"/>
        <v>#DIV/0!</v>
      </c>
      <c r="MIQ132" s="531" t="e">
        <f t="shared" si="146"/>
        <v>#DIV/0!</v>
      </c>
      <c r="MIR132" s="531" t="e">
        <f t="shared" si="146"/>
        <v>#DIV/0!</v>
      </c>
      <c r="MIS132" s="531" t="e">
        <f t="shared" si="146"/>
        <v>#DIV/0!</v>
      </c>
      <c r="MIT132" s="531" t="e">
        <f t="shared" si="146"/>
        <v>#DIV/0!</v>
      </c>
      <c r="MIU132" s="531" t="e">
        <f t="shared" si="146"/>
        <v>#DIV/0!</v>
      </c>
      <c r="MIV132" s="531" t="e">
        <f t="shared" si="146"/>
        <v>#DIV/0!</v>
      </c>
      <c r="MIW132" s="531" t="e">
        <f t="shared" si="146"/>
        <v>#DIV/0!</v>
      </c>
      <c r="MIX132" s="531" t="e">
        <f t="shared" si="146"/>
        <v>#DIV/0!</v>
      </c>
      <c r="MIY132" s="531" t="e">
        <f t="shared" si="146"/>
        <v>#DIV/0!</v>
      </c>
      <c r="MIZ132" s="531" t="e">
        <f t="shared" si="146"/>
        <v>#DIV/0!</v>
      </c>
      <c r="MJA132" s="531" t="e">
        <f t="shared" si="146"/>
        <v>#DIV/0!</v>
      </c>
      <c r="MJB132" s="531" t="e">
        <f t="shared" si="146"/>
        <v>#DIV/0!</v>
      </c>
      <c r="MJC132" s="531" t="e">
        <f t="shared" si="146"/>
        <v>#DIV/0!</v>
      </c>
      <c r="MJD132" s="531" t="e">
        <f t="shared" si="146"/>
        <v>#DIV/0!</v>
      </c>
      <c r="MJE132" s="531" t="e">
        <f t="shared" si="146"/>
        <v>#DIV/0!</v>
      </c>
      <c r="MJF132" s="531" t="e">
        <f t="shared" si="146"/>
        <v>#DIV/0!</v>
      </c>
      <c r="MJG132" s="531" t="e">
        <f t="shared" si="146"/>
        <v>#DIV/0!</v>
      </c>
      <c r="MJH132" s="531" t="e">
        <f t="shared" si="146"/>
        <v>#DIV/0!</v>
      </c>
      <c r="MJI132" s="531" t="e">
        <f t="shared" si="146"/>
        <v>#DIV/0!</v>
      </c>
      <c r="MJJ132" s="531" t="e">
        <f t="shared" si="146"/>
        <v>#DIV/0!</v>
      </c>
      <c r="MJK132" s="531" t="e">
        <f t="shared" si="146"/>
        <v>#DIV/0!</v>
      </c>
      <c r="MJL132" s="531" t="e">
        <f t="shared" si="146"/>
        <v>#DIV/0!</v>
      </c>
      <c r="MJM132" s="531" t="e">
        <f t="shared" si="146"/>
        <v>#DIV/0!</v>
      </c>
      <c r="MJN132" s="531" t="e">
        <f t="shared" si="146"/>
        <v>#DIV/0!</v>
      </c>
      <c r="MJO132" s="531" t="e">
        <f t="shared" si="146"/>
        <v>#DIV/0!</v>
      </c>
      <c r="MJP132" s="531" t="e">
        <f t="shared" si="146"/>
        <v>#DIV/0!</v>
      </c>
      <c r="MJQ132" s="531" t="e">
        <f t="shared" si="146"/>
        <v>#DIV/0!</v>
      </c>
      <c r="MJR132" s="531" t="e">
        <f t="shared" si="146"/>
        <v>#DIV/0!</v>
      </c>
      <c r="MJS132" s="531" t="e">
        <f t="shared" si="146"/>
        <v>#DIV/0!</v>
      </c>
      <c r="MJT132" s="531" t="e">
        <f t="shared" si="146"/>
        <v>#DIV/0!</v>
      </c>
      <c r="MJU132" s="531" t="e">
        <f t="shared" si="146"/>
        <v>#DIV/0!</v>
      </c>
      <c r="MJV132" s="531" t="e">
        <f t="shared" si="146"/>
        <v>#DIV/0!</v>
      </c>
      <c r="MJW132" s="531" t="e">
        <f t="shared" si="146"/>
        <v>#DIV/0!</v>
      </c>
      <c r="MJX132" s="531" t="e">
        <f t="shared" si="146"/>
        <v>#DIV/0!</v>
      </c>
      <c r="MJY132" s="531" t="e">
        <f t="shared" si="146"/>
        <v>#DIV/0!</v>
      </c>
      <c r="MJZ132" s="531" t="e">
        <f t="shared" si="146"/>
        <v>#DIV/0!</v>
      </c>
      <c r="MKA132" s="531" t="e">
        <f t="shared" si="146"/>
        <v>#DIV/0!</v>
      </c>
      <c r="MKB132" s="531" t="e">
        <f t="shared" si="146"/>
        <v>#DIV/0!</v>
      </c>
      <c r="MKC132" s="531" t="e">
        <f t="shared" si="146"/>
        <v>#DIV/0!</v>
      </c>
      <c r="MKD132" s="531" t="e">
        <f t="shared" si="146"/>
        <v>#DIV/0!</v>
      </c>
      <c r="MKE132" s="531" t="e">
        <f t="shared" si="146"/>
        <v>#DIV/0!</v>
      </c>
      <c r="MKF132" s="531" t="e">
        <f t="shared" si="146"/>
        <v>#DIV/0!</v>
      </c>
      <c r="MKG132" s="531" t="e">
        <f t="shared" si="146"/>
        <v>#DIV/0!</v>
      </c>
      <c r="MKH132" s="531" t="e">
        <f t="shared" si="146"/>
        <v>#DIV/0!</v>
      </c>
      <c r="MKI132" s="531" t="e">
        <f t="shared" si="146"/>
        <v>#DIV/0!</v>
      </c>
      <c r="MKJ132" s="531" t="e">
        <f t="shared" si="146"/>
        <v>#DIV/0!</v>
      </c>
      <c r="MKK132" s="531" t="e">
        <f t="shared" si="146"/>
        <v>#DIV/0!</v>
      </c>
      <c r="MKL132" s="531" t="e">
        <f t="shared" si="146"/>
        <v>#DIV/0!</v>
      </c>
      <c r="MKM132" s="531" t="e">
        <f t="shared" si="146"/>
        <v>#DIV/0!</v>
      </c>
      <c r="MKN132" s="531" t="e">
        <f t="shared" si="146"/>
        <v>#DIV/0!</v>
      </c>
      <c r="MKO132" s="531" t="e">
        <f t="shared" si="146"/>
        <v>#DIV/0!</v>
      </c>
      <c r="MKP132" s="531" t="e">
        <f t="shared" si="146"/>
        <v>#DIV/0!</v>
      </c>
      <c r="MKQ132" s="531" t="e">
        <f t="shared" si="146"/>
        <v>#DIV/0!</v>
      </c>
      <c r="MKR132" s="531" t="e">
        <f t="shared" si="146"/>
        <v>#DIV/0!</v>
      </c>
      <c r="MKS132" s="531" t="e">
        <f t="shared" si="146"/>
        <v>#DIV/0!</v>
      </c>
      <c r="MKT132" s="531" t="e">
        <f t="shared" si="146"/>
        <v>#DIV/0!</v>
      </c>
      <c r="MKU132" s="531" t="e">
        <f t="shared" ref="MKU132:MNF132" si="147">(MKU128-MKU116)/(MKU52*10^5)</f>
        <v>#DIV/0!</v>
      </c>
      <c r="MKV132" s="531" t="e">
        <f t="shared" si="147"/>
        <v>#DIV/0!</v>
      </c>
      <c r="MKW132" s="531" t="e">
        <f t="shared" si="147"/>
        <v>#DIV/0!</v>
      </c>
      <c r="MKX132" s="531" t="e">
        <f t="shared" si="147"/>
        <v>#DIV/0!</v>
      </c>
      <c r="MKY132" s="531" t="e">
        <f t="shared" si="147"/>
        <v>#DIV/0!</v>
      </c>
      <c r="MKZ132" s="531" t="e">
        <f t="shared" si="147"/>
        <v>#DIV/0!</v>
      </c>
      <c r="MLA132" s="531" t="e">
        <f t="shared" si="147"/>
        <v>#DIV/0!</v>
      </c>
      <c r="MLB132" s="531" t="e">
        <f t="shared" si="147"/>
        <v>#DIV/0!</v>
      </c>
      <c r="MLC132" s="531" t="e">
        <f t="shared" si="147"/>
        <v>#DIV/0!</v>
      </c>
      <c r="MLD132" s="531" t="e">
        <f t="shared" si="147"/>
        <v>#DIV/0!</v>
      </c>
      <c r="MLE132" s="531" t="e">
        <f t="shared" si="147"/>
        <v>#DIV/0!</v>
      </c>
      <c r="MLF132" s="531" t="e">
        <f t="shared" si="147"/>
        <v>#DIV/0!</v>
      </c>
      <c r="MLG132" s="531" t="e">
        <f t="shared" si="147"/>
        <v>#DIV/0!</v>
      </c>
      <c r="MLH132" s="531" t="e">
        <f t="shared" si="147"/>
        <v>#DIV/0!</v>
      </c>
      <c r="MLI132" s="531" t="e">
        <f t="shared" si="147"/>
        <v>#DIV/0!</v>
      </c>
      <c r="MLJ132" s="531" t="e">
        <f t="shared" si="147"/>
        <v>#DIV/0!</v>
      </c>
      <c r="MLK132" s="531" t="e">
        <f t="shared" si="147"/>
        <v>#DIV/0!</v>
      </c>
      <c r="MLL132" s="531" t="e">
        <f t="shared" si="147"/>
        <v>#DIV/0!</v>
      </c>
      <c r="MLM132" s="531" t="e">
        <f t="shared" si="147"/>
        <v>#DIV/0!</v>
      </c>
      <c r="MLN132" s="531" t="e">
        <f t="shared" si="147"/>
        <v>#DIV/0!</v>
      </c>
      <c r="MLO132" s="531" t="e">
        <f t="shared" si="147"/>
        <v>#DIV/0!</v>
      </c>
      <c r="MLP132" s="531" t="e">
        <f t="shared" si="147"/>
        <v>#DIV/0!</v>
      </c>
      <c r="MLQ132" s="531" t="e">
        <f t="shared" si="147"/>
        <v>#DIV/0!</v>
      </c>
      <c r="MLR132" s="531" t="e">
        <f t="shared" si="147"/>
        <v>#DIV/0!</v>
      </c>
      <c r="MLS132" s="531" t="e">
        <f t="shared" si="147"/>
        <v>#DIV/0!</v>
      </c>
      <c r="MLT132" s="531" t="e">
        <f t="shared" si="147"/>
        <v>#DIV/0!</v>
      </c>
      <c r="MLU132" s="531" t="e">
        <f t="shared" si="147"/>
        <v>#DIV/0!</v>
      </c>
      <c r="MLV132" s="531" t="e">
        <f t="shared" si="147"/>
        <v>#DIV/0!</v>
      </c>
      <c r="MLW132" s="531" t="e">
        <f t="shared" si="147"/>
        <v>#DIV/0!</v>
      </c>
      <c r="MLX132" s="531" t="e">
        <f t="shared" si="147"/>
        <v>#DIV/0!</v>
      </c>
      <c r="MLY132" s="531" t="e">
        <f t="shared" si="147"/>
        <v>#DIV/0!</v>
      </c>
      <c r="MLZ132" s="531" t="e">
        <f t="shared" si="147"/>
        <v>#DIV/0!</v>
      </c>
      <c r="MMA132" s="531" t="e">
        <f t="shared" si="147"/>
        <v>#DIV/0!</v>
      </c>
      <c r="MMB132" s="531" t="e">
        <f t="shared" si="147"/>
        <v>#DIV/0!</v>
      </c>
      <c r="MMC132" s="531" t="e">
        <f t="shared" si="147"/>
        <v>#DIV/0!</v>
      </c>
      <c r="MMD132" s="531" t="e">
        <f t="shared" si="147"/>
        <v>#DIV/0!</v>
      </c>
      <c r="MME132" s="531" t="e">
        <f t="shared" si="147"/>
        <v>#DIV/0!</v>
      </c>
      <c r="MMF132" s="531" t="e">
        <f t="shared" si="147"/>
        <v>#DIV/0!</v>
      </c>
      <c r="MMG132" s="531" t="e">
        <f t="shared" si="147"/>
        <v>#DIV/0!</v>
      </c>
      <c r="MMH132" s="531" t="e">
        <f t="shared" si="147"/>
        <v>#DIV/0!</v>
      </c>
      <c r="MMI132" s="531" t="e">
        <f t="shared" si="147"/>
        <v>#DIV/0!</v>
      </c>
      <c r="MMJ132" s="531" t="e">
        <f t="shared" si="147"/>
        <v>#DIV/0!</v>
      </c>
      <c r="MMK132" s="531" t="e">
        <f t="shared" si="147"/>
        <v>#DIV/0!</v>
      </c>
      <c r="MML132" s="531" t="e">
        <f t="shared" si="147"/>
        <v>#DIV/0!</v>
      </c>
      <c r="MMM132" s="531" t="e">
        <f t="shared" si="147"/>
        <v>#DIV/0!</v>
      </c>
      <c r="MMN132" s="531" t="e">
        <f t="shared" si="147"/>
        <v>#DIV/0!</v>
      </c>
      <c r="MMO132" s="531" t="e">
        <f t="shared" si="147"/>
        <v>#DIV/0!</v>
      </c>
      <c r="MMP132" s="531" t="e">
        <f t="shared" si="147"/>
        <v>#DIV/0!</v>
      </c>
      <c r="MMQ132" s="531" t="e">
        <f t="shared" si="147"/>
        <v>#DIV/0!</v>
      </c>
      <c r="MMR132" s="531" t="e">
        <f t="shared" si="147"/>
        <v>#DIV/0!</v>
      </c>
      <c r="MMS132" s="531" t="e">
        <f t="shared" si="147"/>
        <v>#DIV/0!</v>
      </c>
      <c r="MMT132" s="531" t="e">
        <f t="shared" si="147"/>
        <v>#DIV/0!</v>
      </c>
      <c r="MMU132" s="531" t="e">
        <f t="shared" si="147"/>
        <v>#DIV/0!</v>
      </c>
      <c r="MMV132" s="531" t="e">
        <f t="shared" si="147"/>
        <v>#DIV/0!</v>
      </c>
      <c r="MMW132" s="531" t="e">
        <f t="shared" si="147"/>
        <v>#DIV/0!</v>
      </c>
      <c r="MMX132" s="531" t="e">
        <f t="shared" si="147"/>
        <v>#DIV/0!</v>
      </c>
      <c r="MMY132" s="531" t="e">
        <f t="shared" si="147"/>
        <v>#DIV/0!</v>
      </c>
      <c r="MMZ132" s="531" t="e">
        <f t="shared" si="147"/>
        <v>#DIV/0!</v>
      </c>
      <c r="MNA132" s="531" t="e">
        <f t="shared" si="147"/>
        <v>#DIV/0!</v>
      </c>
      <c r="MNB132" s="531" t="e">
        <f t="shared" si="147"/>
        <v>#DIV/0!</v>
      </c>
      <c r="MNC132" s="531" t="e">
        <f t="shared" si="147"/>
        <v>#DIV/0!</v>
      </c>
      <c r="MND132" s="531" t="e">
        <f t="shared" si="147"/>
        <v>#DIV/0!</v>
      </c>
      <c r="MNE132" s="531" t="e">
        <f t="shared" si="147"/>
        <v>#DIV/0!</v>
      </c>
      <c r="MNF132" s="531" t="e">
        <f t="shared" si="147"/>
        <v>#DIV/0!</v>
      </c>
      <c r="MNG132" s="531" t="e">
        <f t="shared" ref="MNG132:MPR132" si="148">(MNG128-MNG116)/(MNG52*10^5)</f>
        <v>#DIV/0!</v>
      </c>
      <c r="MNH132" s="531" t="e">
        <f t="shared" si="148"/>
        <v>#DIV/0!</v>
      </c>
      <c r="MNI132" s="531" t="e">
        <f t="shared" si="148"/>
        <v>#DIV/0!</v>
      </c>
      <c r="MNJ132" s="531" t="e">
        <f t="shared" si="148"/>
        <v>#DIV/0!</v>
      </c>
      <c r="MNK132" s="531" t="e">
        <f t="shared" si="148"/>
        <v>#DIV/0!</v>
      </c>
      <c r="MNL132" s="531" t="e">
        <f t="shared" si="148"/>
        <v>#DIV/0!</v>
      </c>
      <c r="MNM132" s="531" t="e">
        <f t="shared" si="148"/>
        <v>#DIV/0!</v>
      </c>
      <c r="MNN132" s="531" t="e">
        <f t="shared" si="148"/>
        <v>#DIV/0!</v>
      </c>
      <c r="MNO132" s="531" t="e">
        <f t="shared" si="148"/>
        <v>#DIV/0!</v>
      </c>
      <c r="MNP132" s="531" t="e">
        <f t="shared" si="148"/>
        <v>#DIV/0!</v>
      </c>
      <c r="MNQ132" s="531" t="e">
        <f t="shared" si="148"/>
        <v>#DIV/0!</v>
      </c>
      <c r="MNR132" s="531" t="e">
        <f t="shared" si="148"/>
        <v>#DIV/0!</v>
      </c>
      <c r="MNS132" s="531" t="e">
        <f t="shared" si="148"/>
        <v>#DIV/0!</v>
      </c>
      <c r="MNT132" s="531" t="e">
        <f t="shared" si="148"/>
        <v>#DIV/0!</v>
      </c>
      <c r="MNU132" s="531" t="e">
        <f t="shared" si="148"/>
        <v>#DIV/0!</v>
      </c>
      <c r="MNV132" s="531" t="e">
        <f t="shared" si="148"/>
        <v>#DIV/0!</v>
      </c>
      <c r="MNW132" s="531" t="e">
        <f t="shared" si="148"/>
        <v>#DIV/0!</v>
      </c>
      <c r="MNX132" s="531" t="e">
        <f t="shared" si="148"/>
        <v>#DIV/0!</v>
      </c>
      <c r="MNY132" s="531" t="e">
        <f t="shared" si="148"/>
        <v>#DIV/0!</v>
      </c>
      <c r="MNZ132" s="531" t="e">
        <f t="shared" si="148"/>
        <v>#DIV/0!</v>
      </c>
      <c r="MOA132" s="531" t="e">
        <f t="shared" si="148"/>
        <v>#DIV/0!</v>
      </c>
      <c r="MOB132" s="531" t="e">
        <f t="shared" si="148"/>
        <v>#DIV/0!</v>
      </c>
      <c r="MOC132" s="531" t="e">
        <f t="shared" si="148"/>
        <v>#DIV/0!</v>
      </c>
      <c r="MOD132" s="531" t="e">
        <f t="shared" si="148"/>
        <v>#DIV/0!</v>
      </c>
      <c r="MOE132" s="531" t="e">
        <f t="shared" si="148"/>
        <v>#DIV/0!</v>
      </c>
      <c r="MOF132" s="531" t="e">
        <f t="shared" si="148"/>
        <v>#DIV/0!</v>
      </c>
      <c r="MOG132" s="531" t="e">
        <f t="shared" si="148"/>
        <v>#DIV/0!</v>
      </c>
      <c r="MOH132" s="531" t="e">
        <f t="shared" si="148"/>
        <v>#DIV/0!</v>
      </c>
      <c r="MOI132" s="531" t="e">
        <f t="shared" si="148"/>
        <v>#DIV/0!</v>
      </c>
      <c r="MOJ132" s="531" t="e">
        <f t="shared" si="148"/>
        <v>#DIV/0!</v>
      </c>
      <c r="MOK132" s="531" t="e">
        <f t="shared" si="148"/>
        <v>#DIV/0!</v>
      </c>
      <c r="MOL132" s="531" t="e">
        <f t="shared" si="148"/>
        <v>#DIV/0!</v>
      </c>
      <c r="MOM132" s="531" t="e">
        <f t="shared" si="148"/>
        <v>#DIV/0!</v>
      </c>
      <c r="MON132" s="531" t="e">
        <f t="shared" si="148"/>
        <v>#DIV/0!</v>
      </c>
      <c r="MOO132" s="531" t="e">
        <f t="shared" si="148"/>
        <v>#DIV/0!</v>
      </c>
      <c r="MOP132" s="531" t="e">
        <f t="shared" si="148"/>
        <v>#DIV/0!</v>
      </c>
      <c r="MOQ132" s="531" t="e">
        <f t="shared" si="148"/>
        <v>#DIV/0!</v>
      </c>
      <c r="MOR132" s="531" t="e">
        <f t="shared" si="148"/>
        <v>#DIV/0!</v>
      </c>
      <c r="MOS132" s="531" t="e">
        <f t="shared" si="148"/>
        <v>#DIV/0!</v>
      </c>
      <c r="MOT132" s="531" t="e">
        <f t="shared" si="148"/>
        <v>#DIV/0!</v>
      </c>
      <c r="MOU132" s="531" t="e">
        <f t="shared" si="148"/>
        <v>#DIV/0!</v>
      </c>
      <c r="MOV132" s="531" t="e">
        <f t="shared" si="148"/>
        <v>#DIV/0!</v>
      </c>
      <c r="MOW132" s="531" t="e">
        <f t="shared" si="148"/>
        <v>#DIV/0!</v>
      </c>
      <c r="MOX132" s="531" t="e">
        <f t="shared" si="148"/>
        <v>#DIV/0!</v>
      </c>
      <c r="MOY132" s="531" t="e">
        <f t="shared" si="148"/>
        <v>#DIV/0!</v>
      </c>
      <c r="MOZ132" s="531" t="e">
        <f t="shared" si="148"/>
        <v>#DIV/0!</v>
      </c>
      <c r="MPA132" s="531" t="e">
        <f t="shared" si="148"/>
        <v>#DIV/0!</v>
      </c>
      <c r="MPB132" s="531" t="e">
        <f t="shared" si="148"/>
        <v>#DIV/0!</v>
      </c>
      <c r="MPC132" s="531" t="e">
        <f t="shared" si="148"/>
        <v>#DIV/0!</v>
      </c>
      <c r="MPD132" s="531" t="e">
        <f t="shared" si="148"/>
        <v>#DIV/0!</v>
      </c>
      <c r="MPE132" s="531" t="e">
        <f t="shared" si="148"/>
        <v>#DIV/0!</v>
      </c>
      <c r="MPF132" s="531" t="e">
        <f t="shared" si="148"/>
        <v>#DIV/0!</v>
      </c>
      <c r="MPG132" s="531" t="e">
        <f t="shared" si="148"/>
        <v>#DIV/0!</v>
      </c>
      <c r="MPH132" s="531" t="e">
        <f t="shared" si="148"/>
        <v>#DIV/0!</v>
      </c>
      <c r="MPI132" s="531" t="e">
        <f t="shared" si="148"/>
        <v>#DIV/0!</v>
      </c>
      <c r="MPJ132" s="531" t="e">
        <f t="shared" si="148"/>
        <v>#DIV/0!</v>
      </c>
      <c r="MPK132" s="531" t="e">
        <f t="shared" si="148"/>
        <v>#DIV/0!</v>
      </c>
      <c r="MPL132" s="531" t="e">
        <f t="shared" si="148"/>
        <v>#DIV/0!</v>
      </c>
      <c r="MPM132" s="531" t="e">
        <f t="shared" si="148"/>
        <v>#DIV/0!</v>
      </c>
      <c r="MPN132" s="531" t="e">
        <f t="shared" si="148"/>
        <v>#DIV/0!</v>
      </c>
      <c r="MPO132" s="531" t="e">
        <f t="shared" si="148"/>
        <v>#DIV/0!</v>
      </c>
      <c r="MPP132" s="531" t="e">
        <f t="shared" si="148"/>
        <v>#DIV/0!</v>
      </c>
      <c r="MPQ132" s="531" t="e">
        <f t="shared" si="148"/>
        <v>#DIV/0!</v>
      </c>
      <c r="MPR132" s="531" t="e">
        <f t="shared" si="148"/>
        <v>#DIV/0!</v>
      </c>
      <c r="MPS132" s="531" t="e">
        <f t="shared" ref="MPS132:MSD132" si="149">(MPS128-MPS116)/(MPS52*10^5)</f>
        <v>#DIV/0!</v>
      </c>
      <c r="MPT132" s="531" t="e">
        <f t="shared" si="149"/>
        <v>#DIV/0!</v>
      </c>
      <c r="MPU132" s="531" t="e">
        <f t="shared" si="149"/>
        <v>#DIV/0!</v>
      </c>
      <c r="MPV132" s="531" t="e">
        <f t="shared" si="149"/>
        <v>#DIV/0!</v>
      </c>
      <c r="MPW132" s="531" t="e">
        <f t="shared" si="149"/>
        <v>#DIV/0!</v>
      </c>
      <c r="MPX132" s="531" t="e">
        <f t="shared" si="149"/>
        <v>#DIV/0!</v>
      </c>
      <c r="MPY132" s="531" t="e">
        <f t="shared" si="149"/>
        <v>#DIV/0!</v>
      </c>
      <c r="MPZ132" s="531" t="e">
        <f t="shared" si="149"/>
        <v>#DIV/0!</v>
      </c>
      <c r="MQA132" s="531" t="e">
        <f t="shared" si="149"/>
        <v>#DIV/0!</v>
      </c>
      <c r="MQB132" s="531" t="e">
        <f t="shared" si="149"/>
        <v>#DIV/0!</v>
      </c>
      <c r="MQC132" s="531" t="e">
        <f t="shared" si="149"/>
        <v>#DIV/0!</v>
      </c>
      <c r="MQD132" s="531" t="e">
        <f t="shared" si="149"/>
        <v>#DIV/0!</v>
      </c>
      <c r="MQE132" s="531" t="e">
        <f t="shared" si="149"/>
        <v>#DIV/0!</v>
      </c>
      <c r="MQF132" s="531" t="e">
        <f t="shared" si="149"/>
        <v>#DIV/0!</v>
      </c>
      <c r="MQG132" s="531" t="e">
        <f t="shared" si="149"/>
        <v>#DIV/0!</v>
      </c>
      <c r="MQH132" s="531" t="e">
        <f t="shared" si="149"/>
        <v>#DIV/0!</v>
      </c>
      <c r="MQI132" s="531" t="e">
        <f t="shared" si="149"/>
        <v>#DIV/0!</v>
      </c>
      <c r="MQJ132" s="531" t="e">
        <f t="shared" si="149"/>
        <v>#DIV/0!</v>
      </c>
      <c r="MQK132" s="531" t="e">
        <f t="shared" si="149"/>
        <v>#DIV/0!</v>
      </c>
      <c r="MQL132" s="531" t="e">
        <f t="shared" si="149"/>
        <v>#DIV/0!</v>
      </c>
      <c r="MQM132" s="531" t="e">
        <f t="shared" si="149"/>
        <v>#DIV/0!</v>
      </c>
      <c r="MQN132" s="531" t="e">
        <f t="shared" si="149"/>
        <v>#DIV/0!</v>
      </c>
      <c r="MQO132" s="531" t="e">
        <f t="shared" si="149"/>
        <v>#DIV/0!</v>
      </c>
      <c r="MQP132" s="531" t="e">
        <f t="shared" si="149"/>
        <v>#DIV/0!</v>
      </c>
      <c r="MQQ132" s="531" t="e">
        <f t="shared" si="149"/>
        <v>#DIV/0!</v>
      </c>
      <c r="MQR132" s="531" t="e">
        <f t="shared" si="149"/>
        <v>#DIV/0!</v>
      </c>
      <c r="MQS132" s="531" t="e">
        <f t="shared" si="149"/>
        <v>#DIV/0!</v>
      </c>
      <c r="MQT132" s="531" t="e">
        <f t="shared" si="149"/>
        <v>#DIV/0!</v>
      </c>
      <c r="MQU132" s="531" t="e">
        <f t="shared" si="149"/>
        <v>#DIV/0!</v>
      </c>
      <c r="MQV132" s="531" t="e">
        <f t="shared" si="149"/>
        <v>#DIV/0!</v>
      </c>
      <c r="MQW132" s="531" t="e">
        <f t="shared" si="149"/>
        <v>#DIV/0!</v>
      </c>
      <c r="MQX132" s="531" t="e">
        <f t="shared" si="149"/>
        <v>#DIV/0!</v>
      </c>
      <c r="MQY132" s="531" t="e">
        <f t="shared" si="149"/>
        <v>#DIV/0!</v>
      </c>
      <c r="MQZ132" s="531" t="e">
        <f t="shared" si="149"/>
        <v>#DIV/0!</v>
      </c>
      <c r="MRA132" s="531" t="e">
        <f t="shared" si="149"/>
        <v>#DIV/0!</v>
      </c>
      <c r="MRB132" s="531" t="e">
        <f t="shared" si="149"/>
        <v>#DIV/0!</v>
      </c>
      <c r="MRC132" s="531" t="e">
        <f t="shared" si="149"/>
        <v>#DIV/0!</v>
      </c>
      <c r="MRD132" s="531" t="e">
        <f t="shared" si="149"/>
        <v>#DIV/0!</v>
      </c>
      <c r="MRE132" s="531" t="e">
        <f t="shared" si="149"/>
        <v>#DIV/0!</v>
      </c>
      <c r="MRF132" s="531" t="e">
        <f t="shared" si="149"/>
        <v>#DIV/0!</v>
      </c>
      <c r="MRG132" s="531" t="e">
        <f t="shared" si="149"/>
        <v>#DIV/0!</v>
      </c>
      <c r="MRH132" s="531" t="e">
        <f t="shared" si="149"/>
        <v>#DIV/0!</v>
      </c>
      <c r="MRI132" s="531" t="e">
        <f t="shared" si="149"/>
        <v>#DIV/0!</v>
      </c>
      <c r="MRJ132" s="531" t="e">
        <f t="shared" si="149"/>
        <v>#DIV/0!</v>
      </c>
      <c r="MRK132" s="531" t="e">
        <f t="shared" si="149"/>
        <v>#DIV/0!</v>
      </c>
      <c r="MRL132" s="531" t="e">
        <f t="shared" si="149"/>
        <v>#DIV/0!</v>
      </c>
      <c r="MRM132" s="531" t="e">
        <f t="shared" si="149"/>
        <v>#DIV/0!</v>
      </c>
      <c r="MRN132" s="531" t="e">
        <f t="shared" si="149"/>
        <v>#DIV/0!</v>
      </c>
      <c r="MRO132" s="531" t="e">
        <f t="shared" si="149"/>
        <v>#DIV/0!</v>
      </c>
      <c r="MRP132" s="531" t="e">
        <f t="shared" si="149"/>
        <v>#DIV/0!</v>
      </c>
      <c r="MRQ132" s="531" t="e">
        <f t="shared" si="149"/>
        <v>#DIV/0!</v>
      </c>
      <c r="MRR132" s="531" t="e">
        <f t="shared" si="149"/>
        <v>#DIV/0!</v>
      </c>
      <c r="MRS132" s="531" t="e">
        <f t="shared" si="149"/>
        <v>#DIV/0!</v>
      </c>
      <c r="MRT132" s="531" t="e">
        <f t="shared" si="149"/>
        <v>#DIV/0!</v>
      </c>
      <c r="MRU132" s="531" t="e">
        <f t="shared" si="149"/>
        <v>#DIV/0!</v>
      </c>
      <c r="MRV132" s="531" t="e">
        <f t="shared" si="149"/>
        <v>#DIV/0!</v>
      </c>
      <c r="MRW132" s="531" t="e">
        <f t="shared" si="149"/>
        <v>#DIV/0!</v>
      </c>
      <c r="MRX132" s="531" t="e">
        <f t="shared" si="149"/>
        <v>#DIV/0!</v>
      </c>
      <c r="MRY132" s="531" t="e">
        <f t="shared" si="149"/>
        <v>#DIV/0!</v>
      </c>
      <c r="MRZ132" s="531" t="e">
        <f t="shared" si="149"/>
        <v>#DIV/0!</v>
      </c>
      <c r="MSA132" s="531" t="e">
        <f t="shared" si="149"/>
        <v>#DIV/0!</v>
      </c>
      <c r="MSB132" s="531" t="e">
        <f t="shared" si="149"/>
        <v>#DIV/0!</v>
      </c>
      <c r="MSC132" s="531" t="e">
        <f t="shared" si="149"/>
        <v>#DIV/0!</v>
      </c>
      <c r="MSD132" s="531" t="e">
        <f t="shared" si="149"/>
        <v>#DIV/0!</v>
      </c>
      <c r="MSE132" s="531" t="e">
        <f t="shared" ref="MSE132:MUP132" si="150">(MSE128-MSE116)/(MSE52*10^5)</f>
        <v>#DIV/0!</v>
      </c>
      <c r="MSF132" s="531" t="e">
        <f t="shared" si="150"/>
        <v>#DIV/0!</v>
      </c>
      <c r="MSG132" s="531" t="e">
        <f t="shared" si="150"/>
        <v>#DIV/0!</v>
      </c>
      <c r="MSH132" s="531" t="e">
        <f t="shared" si="150"/>
        <v>#DIV/0!</v>
      </c>
      <c r="MSI132" s="531" t="e">
        <f t="shared" si="150"/>
        <v>#DIV/0!</v>
      </c>
      <c r="MSJ132" s="531" t="e">
        <f t="shared" si="150"/>
        <v>#DIV/0!</v>
      </c>
      <c r="MSK132" s="531" t="e">
        <f t="shared" si="150"/>
        <v>#DIV/0!</v>
      </c>
      <c r="MSL132" s="531" t="e">
        <f t="shared" si="150"/>
        <v>#DIV/0!</v>
      </c>
      <c r="MSM132" s="531" t="e">
        <f t="shared" si="150"/>
        <v>#DIV/0!</v>
      </c>
      <c r="MSN132" s="531" t="e">
        <f t="shared" si="150"/>
        <v>#DIV/0!</v>
      </c>
      <c r="MSO132" s="531" t="e">
        <f t="shared" si="150"/>
        <v>#DIV/0!</v>
      </c>
      <c r="MSP132" s="531" t="e">
        <f t="shared" si="150"/>
        <v>#DIV/0!</v>
      </c>
      <c r="MSQ132" s="531" t="e">
        <f t="shared" si="150"/>
        <v>#DIV/0!</v>
      </c>
      <c r="MSR132" s="531" t="e">
        <f t="shared" si="150"/>
        <v>#DIV/0!</v>
      </c>
      <c r="MSS132" s="531" t="e">
        <f t="shared" si="150"/>
        <v>#DIV/0!</v>
      </c>
      <c r="MST132" s="531" t="e">
        <f t="shared" si="150"/>
        <v>#DIV/0!</v>
      </c>
      <c r="MSU132" s="531" t="e">
        <f t="shared" si="150"/>
        <v>#DIV/0!</v>
      </c>
      <c r="MSV132" s="531" t="e">
        <f t="shared" si="150"/>
        <v>#DIV/0!</v>
      </c>
      <c r="MSW132" s="531" t="e">
        <f t="shared" si="150"/>
        <v>#DIV/0!</v>
      </c>
      <c r="MSX132" s="531" t="e">
        <f t="shared" si="150"/>
        <v>#DIV/0!</v>
      </c>
      <c r="MSY132" s="531" t="e">
        <f t="shared" si="150"/>
        <v>#DIV/0!</v>
      </c>
      <c r="MSZ132" s="531" t="e">
        <f t="shared" si="150"/>
        <v>#DIV/0!</v>
      </c>
      <c r="MTA132" s="531" t="e">
        <f t="shared" si="150"/>
        <v>#DIV/0!</v>
      </c>
      <c r="MTB132" s="531" t="e">
        <f t="shared" si="150"/>
        <v>#DIV/0!</v>
      </c>
      <c r="MTC132" s="531" t="e">
        <f t="shared" si="150"/>
        <v>#DIV/0!</v>
      </c>
      <c r="MTD132" s="531" t="e">
        <f t="shared" si="150"/>
        <v>#DIV/0!</v>
      </c>
      <c r="MTE132" s="531" t="e">
        <f t="shared" si="150"/>
        <v>#DIV/0!</v>
      </c>
      <c r="MTF132" s="531" t="e">
        <f t="shared" si="150"/>
        <v>#DIV/0!</v>
      </c>
      <c r="MTG132" s="531" t="e">
        <f t="shared" si="150"/>
        <v>#DIV/0!</v>
      </c>
      <c r="MTH132" s="531" t="e">
        <f t="shared" si="150"/>
        <v>#DIV/0!</v>
      </c>
      <c r="MTI132" s="531" t="e">
        <f t="shared" si="150"/>
        <v>#DIV/0!</v>
      </c>
      <c r="MTJ132" s="531" t="e">
        <f t="shared" si="150"/>
        <v>#DIV/0!</v>
      </c>
      <c r="MTK132" s="531" t="e">
        <f t="shared" si="150"/>
        <v>#DIV/0!</v>
      </c>
      <c r="MTL132" s="531" t="e">
        <f t="shared" si="150"/>
        <v>#DIV/0!</v>
      </c>
      <c r="MTM132" s="531" t="e">
        <f t="shared" si="150"/>
        <v>#DIV/0!</v>
      </c>
      <c r="MTN132" s="531" t="e">
        <f t="shared" si="150"/>
        <v>#DIV/0!</v>
      </c>
      <c r="MTO132" s="531" t="e">
        <f t="shared" si="150"/>
        <v>#DIV/0!</v>
      </c>
      <c r="MTP132" s="531" t="e">
        <f t="shared" si="150"/>
        <v>#DIV/0!</v>
      </c>
      <c r="MTQ132" s="531" t="e">
        <f t="shared" si="150"/>
        <v>#DIV/0!</v>
      </c>
      <c r="MTR132" s="531" t="e">
        <f t="shared" si="150"/>
        <v>#DIV/0!</v>
      </c>
      <c r="MTS132" s="531" t="e">
        <f t="shared" si="150"/>
        <v>#DIV/0!</v>
      </c>
      <c r="MTT132" s="531" t="e">
        <f t="shared" si="150"/>
        <v>#DIV/0!</v>
      </c>
      <c r="MTU132" s="531" t="e">
        <f t="shared" si="150"/>
        <v>#DIV/0!</v>
      </c>
      <c r="MTV132" s="531" t="e">
        <f t="shared" si="150"/>
        <v>#DIV/0!</v>
      </c>
      <c r="MTW132" s="531" t="e">
        <f t="shared" si="150"/>
        <v>#DIV/0!</v>
      </c>
      <c r="MTX132" s="531" t="e">
        <f t="shared" si="150"/>
        <v>#DIV/0!</v>
      </c>
      <c r="MTY132" s="531" t="e">
        <f t="shared" si="150"/>
        <v>#DIV/0!</v>
      </c>
      <c r="MTZ132" s="531" t="e">
        <f t="shared" si="150"/>
        <v>#DIV/0!</v>
      </c>
      <c r="MUA132" s="531" t="e">
        <f t="shared" si="150"/>
        <v>#DIV/0!</v>
      </c>
      <c r="MUB132" s="531" t="e">
        <f t="shared" si="150"/>
        <v>#DIV/0!</v>
      </c>
      <c r="MUC132" s="531" t="e">
        <f t="shared" si="150"/>
        <v>#DIV/0!</v>
      </c>
      <c r="MUD132" s="531" t="e">
        <f t="shared" si="150"/>
        <v>#DIV/0!</v>
      </c>
      <c r="MUE132" s="531" t="e">
        <f t="shared" si="150"/>
        <v>#DIV/0!</v>
      </c>
      <c r="MUF132" s="531" t="e">
        <f t="shared" si="150"/>
        <v>#DIV/0!</v>
      </c>
      <c r="MUG132" s="531" t="e">
        <f t="shared" si="150"/>
        <v>#DIV/0!</v>
      </c>
      <c r="MUH132" s="531" t="e">
        <f t="shared" si="150"/>
        <v>#DIV/0!</v>
      </c>
      <c r="MUI132" s="531" t="e">
        <f t="shared" si="150"/>
        <v>#DIV/0!</v>
      </c>
      <c r="MUJ132" s="531" t="e">
        <f t="shared" si="150"/>
        <v>#DIV/0!</v>
      </c>
      <c r="MUK132" s="531" t="e">
        <f t="shared" si="150"/>
        <v>#DIV/0!</v>
      </c>
      <c r="MUL132" s="531" t="e">
        <f t="shared" si="150"/>
        <v>#DIV/0!</v>
      </c>
      <c r="MUM132" s="531" t="e">
        <f t="shared" si="150"/>
        <v>#DIV/0!</v>
      </c>
      <c r="MUN132" s="531" t="e">
        <f t="shared" si="150"/>
        <v>#DIV/0!</v>
      </c>
      <c r="MUO132" s="531" t="e">
        <f t="shared" si="150"/>
        <v>#DIV/0!</v>
      </c>
      <c r="MUP132" s="531" t="e">
        <f t="shared" si="150"/>
        <v>#DIV/0!</v>
      </c>
      <c r="MUQ132" s="531" t="e">
        <f t="shared" ref="MUQ132:MXB132" si="151">(MUQ128-MUQ116)/(MUQ52*10^5)</f>
        <v>#DIV/0!</v>
      </c>
      <c r="MUR132" s="531" t="e">
        <f t="shared" si="151"/>
        <v>#DIV/0!</v>
      </c>
      <c r="MUS132" s="531" t="e">
        <f t="shared" si="151"/>
        <v>#DIV/0!</v>
      </c>
      <c r="MUT132" s="531" t="e">
        <f t="shared" si="151"/>
        <v>#DIV/0!</v>
      </c>
      <c r="MUU132" s="531" t="e">
        <f t="shared" si="151"/>
        <v>#DIV/0!</v>
      </c>
      <c r="MUV132" s="531" t="e">
        <f t="shared" si="151"/>
        <v>#DIV/0!</v>
      </c>
      <c r="MUW132" s="531" t="e">
        <f t="shared" si="151"/>
        <v>#DIV/0!</v>
      </c>
      <c r="MUX132" s="531" t="e">
        <f t="shared" si="151"/>
        <v>#DIV/0!</v>
      </c>
      <c r="MUY132" s="531" t="e">
        <f t="shared" si="151"/>
        <v>#DIV/0!</v>
      </c>
      <c r="MUZ132" s="531" t="e">
        <f t="shared" si="151"/>
        <v>#DIV/0!</v>
      </c>
      <c r="MVA132" s="531" t="e">
        <f t="shared" si="151"/>
        <v>#DIV/0!</v>
      </c>
      <c r="MVB132" s="531" t="e">
        <f t="shared" si="151"/>
        <v>#DIV/0!</v>
      </c>
      <c r="MVC132" s="531" t="e">
        <f t="shared" si="151"/>
        <v>#DIV/0!</v>
      </c>
      <c r="MVD132" s="531" t="e">
        <f t="shared" si="151"/>
        <v>#DIV/0!</v>
      </c>
      <c r="MVE132" s="531" t="e">
        <f t="shared" si="151"/>
        <v>#DIV/0!</v>
      </c>
      <c r="MVF132" s="531" t="e">
        <f t="shared" si="151"/>
        <v>#DIV/0!</v>
      </c>
      <c r="MVG132" s="531" t="e">
        <f t="shared" si="151"/>
        <v>#DIV/0!</v>
      </c>
      <c r="MVH132" s="531" t="e">
        <f t="shared" si="151"/>
        <v>#DIV/0!</v>
      </c>
      <c r="MVI132" s="531" t="e">
        <f t="shared" si="151"/>
        <v>#DIV/0!</v>
      </c>
      <c r="MVJ132" s="531" t="e">
        <f t="shared" si="151"/>
        <v>#DIV/0!</v>
      </c>
      <c r="MVK132" s="531" t="e">
        <f t="shared" si="151"/>
        <v>#DIV/0!</v>
      </c>
      <c r="MVL132" s="531" t="e">
        <f t="shared" si="151"/>
        <v>#DIV/0!</v>
      </c>
      <c r="MVM132" s="531" t="e">
        <f t="shared" si="151"/>
        <v>#DIV/0!</v>
      </c>
      <c r="MVN132" s="531" t="e">
        <f t="shared" si="151"/>
        <v>#DIV/0!</v>
      </c>
      <c r="MVO132" s="531" t="e">
        <f t="shared" si="151"/>
        <v>#DIV/0!</v>
      </c>
      <c r="MVP132" s="531" t="e">
        <f t="shared" si="151"/>
        <v>#DIV/0!</v>
      </c>
      <c r="MVQ132" s="531" t="e">
        <f t="shared" si="151"/>
        <v>#DIV/0!</v>
      </c>
      <c r="MVR132" s="531" t="e">
        <f t="shared" si="151"/>
        <v>#DIV/0!</v>
      </c>
      <c r="MVS132" s="531" t="e">
        <f t="shared" si="151"/>
        <v>#DIV/0!</v>
      </c>
      <c r="MVT132" s="531" t="e">
        <f t="shared" si="151"/>
        <v>#DIV/0!</v>
      </c>
      <c r="MVU132" s="531" t="e">
        <f t="shared" si="151"/>
        <v>#DIV/0!</v>
      </c>
      <c r="MVV132" s="531" t="e">
        <f t="shared" si="151"/>
        <v>#DIV/0!</v>
      </c>
      <c r="MVW132" s="531" t="e">
        <f t="shared" si="151"/>
        <v>#DIV/0!</v>
      </c>
      <c r="MVX132" s="531" t="e">
        <f t="shared" si="151"/>
        <v>#DIV/0!</v>
      </c>
      <c r="MVY132" s="531" t="e">
        <f t="shared" si="151"/>
        <v>#DIV/0!</v>
      </c>
      <c r="MVZ132" s="531" t="e">
        <f t="shared" si="151"/>
        <v>#DIV/0!</v>
      </c>
      <c r="MWA132" s="531" t="e">
        <f t="shared" si="151"/>
        <v>#DIV/0!</v>
      </c>
      <c r="MWB132" s="531" t="e">
        <f t="shared" si="151"/>
        <v>#DIV/0!</v>
      </c>
      <c r="MWC132" s="531" t="e">
        <f t="shared" si="151"/>
        <v>#DIV/0!</v>
      </c>
      <c r="MWD132" s="531" t="e">
        <f t="shared" si="151"/>
        <v>#DIV/0!</v>
      </c>
      <c r="MWE132" s="531" t="e">
        <f t="shared" si="151"/>
        <v>#DIV/0!</v>
      </c>
      <c r="MWF132" s="531" t="e">
        <f t="shared" si="151"/>
        <v>#DIV/0!</v>
      </c>
      <c r="MWG132" s="531" t="e">
        <f t="shared" si="151"/>
        <v>#DIV/0!</v>
      </c>
      <c r="MWH132" s="531" t="e">
        <f t="shared" si="151"/>
        <v>#DIV/0!</v>
      </c>
      <c r="MWI132" s="531" t="e">
        <f t="shared" si="151"/>
        <v>#DIV/0!</v>
      </c>
      <c r="MWJ132" s="531" t="e">
        <f t="shared" si="151"/>
        <v>#DIV/0!</v>
      </c>
      <c r="MWK132" s="531" t="e">
        <f t="shared" si="151"/>
        <v>#DIV/0!</v>
      </c>
      <c r="MWL132" s="531" t="e">
        <f t="shared" si="151"/>
        <v>#DIV/0!</v>
      </c>
      <c r="MWM132" s="531" t="e">
        <f t="shared" si="151"/>
        <v>#DIV/0!</v>
      </c>
      <c r="MWN132" s="531" t="e">
        <f t="shared" si="151"/>
        <v>#DIV/0!</v>
      </c>
      <c r="MWO132" s="531" t="e">
        <f t="shared" si="151"/>
        <v>#DIV/0!</v>
      </c>
      <c r="MWP132" s="531" t="e">
        <f t="shared" si="151"/>
        <v>#DIV/0!</v>
      </c>
      <c r="MWQ132" s="531" t="e">
        <f t="shared" si="151"/>
        <v>#DIV/0!</v>
      </c>
      <c r="MWR132" s="531" t="e">
        <f t="shared" si="151"/>
        <v>#DIV/0!</v>
      </c>
      <c r="MWS132" s="531" t="e">
        <f t="shared" si="151"/>
        <v>#DIV/0!</v>
      </c>
      <c r="MWT132" s="531" t="e">
        <f t="shared" si="151"/>
        <v>#DIV/0!</v>
      </c>
      <c r="MWU132" s="531" t="e">
        <f t="shared" si="151"/>
        <v>#DIV/0!</v>
      </c>
      <c r="MWV132" s="531" t="e">
        <f t="shared" si="151"/>
        <v>#DIV/0!</v>
      </c>
      <c r="MWW132" s="531" t="e">
        <f t="shared" si="151"/>
        <v>#DIV/0!</v>
      </c>
      <c r="MWX132" s="531" t="e">
        <f t="shared" si="151"/>
        <v>#DIV/0!</v>
      </c>
      <c r="MWY132" s="531" t="e">
        <f t="shared" si="151"/>
        <v>#DIV/0!</v>
      </c>
      <c r="MWZ132" s="531" t="e">
        <f t="shared" si="151"/>
        <v>#DIV/0!</v>
      </c>
      <c r="MXA132" s="531" t="e">
        <f t="shared" si="151"/>
        <v>#DIV/0!</v>
      </c>
      <c r="MXB132" s="531" t="e">
        <f t="shared" si="151"/>
        <v>#DIV/0!</v>
      </c>
      <c r="MXC132" s="531" t="e">
        <f t="shared" ref="MXC132:MZN132" si="152">(MXC128-MXC116)/(MXC52*10^5)</f>
        <v>#DIV/0!</v>
      </c>
      <c r="MXD132" s="531" t="e">
        <f t="shared" si="152"/>
        <v>#DIV/0!</v>
      </c>
      <c r="MXE132" s="531" t="e">
        <f t="shared" si="152"/>
        <v>#DIV/0!</v>
      </c>
      <c r="MXF132" s="531" t="e">
        <f t="shared" si="152"/>
        <v>#DIV/0!</v>
      </c>
      <c r="MXG132" s="531" t="e">
        <f t="shared" si="152"/>
        <v>#DIV/0!</v>
      </c>
      <c r="MXH132" s="531" t="e">
        <f t="shared" si="152"/>
        <v>#DIV/0!</v>
      </c>
      <c r="MXI132" s="531" t="e">
        <f t="shared" si="152"/>
        <v>#DIV/0!</v>
      </c>
      <c r="MXJ132" s="531" t="e">
        <f t="shared" si="152"/>
        <v>#DIV/0!</v>
      </c>
      <c r="MXK132" s="531" t="e">
        <f t="shared" si="152"/>
        <v>#DIV/0!</v>
      </c>
      <c r="MXL132" s="531" t="e">
        <f t="shared" si="152"/>
        <v>#DIV/0!</v>
      </c>
      <c r="MXM132" s="531" t="e">
        <f t="shared" si="152"/>
        <v>#DIV/0!</v>
      </c>
      <c r="MXN132" s="531" t="e">
        <f t="shared" si="152"/>
        <v>#DIV/0!</v>
      </c>
      <c r="MXO132" s="531" t="e">
        <f t="shared" si="152"/>
        <v>#DIV/0!</v>
      </c>
      <c r="MXP132" s="531" t="e">
        <f t="shared" si="152"/>
        <v>#DIV/0!</v>
      </c>
      <c r="MXQ132" s="531" t="e">
        <f t="shared" si="152"/>
        <v>#DIV/0!</v>
      </c>
      <c r="MXR132" s="531" t="e">
        <f t="shared" si="152"/>
        <v>#DIV/0!</v>
      </c>
      <c r="MXS132" s="531" t="e">
        <f t="shared" si="152"/>
        <v>#DIV/0!</v>
      </c>
      <c r="MXT132" s="531" t="e">
        <f t="shared" si="152"/>
        <v>#DIV/0!</v>
      </c>
      <c r="MXU132" s="531" t="e">
        <f t="shared" si="152"/>
        <v>#DIV/0!</v>
      </c>
      <c r="MXV132" s="531" t="e">
        <f t="shared" si="152"/>
        <v>#DIV/0!</v>
      </c>
      <c r="MXW132" s="531" t="e">
        <f t="shared" si="152"/>
        <v>#DIV/0!</v>
      </c>
      <c r="MXX132" s="531" t="e">
        <f t="shared" si="152"/>
        <v>#DIV/0!</v>
      </c>
      <c r="MXY132" s="531" t="e">
        <f t="shared" si="152"/>
        <v>#DIV/0!</v>
      </c>
      <c r="MXZ132" s="531" t="e">
        <f t="shared" si="152"/>
        <v>#DIV/0!</v>
      </c>
      <c r="MYA132" s="531" t="e">
        <f t="shared" si="152"/>
        <v>#DIV/0!</v>
      </c>
      <c r="MYB132" s="531" t="e">
        <f t="shared" si="152"/>
        <v>#DIV/0!</v>
      </c>
      <c r="MYC132" s="531" t="e">
        <f t="shared" si="152"/>
        <v>#DIV/0!</v>
      </c>
      <c r="MYD132" s="531" t="e">
        <f t="shared" si="152"/>
        <v>#DIV/0!</v>
      </c>
      <c r="MYE132" s="531" t="e">
        <f t="shared" si="152"/>
        <v>#DIV/0!</v>
      </c>
      <c r="MYF132" s="531" t="e">
        <f t="shared" si="152"/>
        <v>#DIV/0!</v>
      </c>
      <c r="MYG132" s="531" t="e">
        <f t="shared" si="152"/>
        <v>#DIV/0!</v>
      </c>
      <c r="MYH132" s="531" t="e">
        <f t="shared" si="152"/>
        <v>#DIV/0!</v>
      </c>
      <c r="MYI132" s="531" t="e">
        <f t="shared" si="152"/>
        <v>#DIV/0!</v>
      </c>
      <c r="MYJ132" s="531" t="e">
        <f t="shared" si="152"/>
        <v>#DIV/0!</v>
      </c>
      <c r="MYK132" s="531" t="e">
        <f t="shared" si="152"/>
        <v>#DIV/0!</v>
      </c>
      <c r="MYL132" s="531" t="e">
        <f t="shared" si="152"/>
        <v>#DIV/0!</v>
      </c>
      <c r="MYM132" s="531" t="e">
        <f t="shared" si="152"/>
        <v>#DIV/0!</v>
      </c>
      <c r="MYN132" s="531" t="e">
        <f t="shared" si="152"/>
        <v>#DIV/0!</v>
      </c>
      <c r="MYO132" s="531" t="e">
        <f t="shared" si="152"/>
        <v>#DIV/0!</v>
      </c>
      <c r="MYP132" s="531" t="e">
        <f t="shared" si="152"/>
        <v>#DIV/0!</v>
      </c>
      <c r="MYQ132" s="531" t="e">
        <f t="shared" si="152"/>
        <v>#DIV/0!</v>
      </c>
      <c r="MYR132" s="531" t="e">
        <f t="shared" si="152"/>
        <v>#DIV/0!</v>
      </c>
      <c r="MYS132" s="531" t="e">
        <f t="shared" si="152"/>
        <v>#DIV/0!</v>
      </c>
      <c r="MYT132" s="531" t="e">
        <f t="shared" si="152"/>
        <v>#DIV/0!</v>
      </c>
      <c r="MYU132" s="531" t="e">
        <f t="shared" si="152"/>
        <v>#DIV/0!</v>
      </c>
      <c r="MYV132" s="531" t="e">
        <f t="shared" si="152"/>
        <v>#DIV/0!</v>
      </c>
      <c r="MYW132" s="531" t="e">
        <f t="shared" si="152"/>
        <v>#DIV/0!</v>
      </c>
      <c r="MYX132" s="531" t="e">
        <f t="shared" si="152"/>
        <v>#DIV/0!</v>
      </c>
      <c r="MYY132" s="531" t="e">
        <f t="shared" si="152"/>
        <v>#DIV/0!</v>
      </c>
      <c r="MYZ132" s="531" t="e">
        <f t="shared" si="152"/>
        <v>#DIV/0!</v>
      </c>
      <c r="MZA132" s="531" t="e">
        <f t="shared" si="152"/>
        <v>#DIV/0!</v>
      </c>
      <c r="MZB132" s="531" t="e">
        <f t="shared" si="152"/>
        <v>#DIV/0!</v>
      </c>
      <c r="MZC132" s="531" t="e">
        <f t="shared" si="152"/>
        <v>#DIV/0!</v>
      </c>
      <c r="MZD132" s="531" t="e">
        <f t="shared" si="152"/>
        <v>#DIV/0!</v>
      </c>
      <c r="MZE132" s="531" t="e">
        <f t="shared" si="152"/>
        <v>#DIV/0!</v>
      </c>
      <c r="MZF132" s="531" t="e">
        <f t="shared" si="152"/>
        <v>#DIV/0!</v>
      </c>
      <c r="MZG132" s="531" t="e">
        <f t="shared" si="152"/>
        <v>#DIV/0!</v>
      </c>
      <c r="MZH132" s="531" t="e">
        <f t="shared" si="152"/>
        <v>#DIV/0!</v>
      </c>
      <c r="MZI132" s="531" t="e">
        <f t="shared" si="152"/>
        <v>#DIV/0!</v>
      </c>
      <c r="MZJ132" s="531" t="e">
        <f t="shared" si="152"/>
        <v>#DIV/0!</v>
      </c>
      <c r="MZK132" s="531" t="e">
        <f t="shared" si="152"/>
        <v>#DIV/0!</v>
      </c>
      <c r="MZL132" s="531" t="e">
        <f t="shared" si="152"/>
        <v>#DIV/0!</v>
      </c>
      <c r="MZM132" s="531" t="e">
        <f t="shared" si="152"/>
        <v>#DIV/0!</v>
      </c>
      <c r="MZN132" s="531" t="e">
        <f t="shared" si="152"/>
        <v>#DIV/0!</v>
      </c>
      <c r="MZO132" s="531" t="e">
        <f t="shared" ref="MZO132:NBZ132" si="153">(MZO128-MZO116)/(MZO52*10^5)</f>
        <v>#DIV/0!</v>
      </c>
      <c r="MZP132" s="531" t="e">
        <f t="shared" si="153"/>
        <v>#DIV/0!</v>
      </c>
      <c r="MZQ132" s="531" t="e">
        <f t="shared" si="153"/>
        <v>#DIV/0!</v>
      </c>
      <c r="MZR132" s="531" t="e">
        <f t="shared" si="153"/>
        <v>#DIV/0!</v>
      </c>
      <c r="MZS132" s="531" t="e">
        <f t="shared" si="153"/>
        <v>#DIV/0!</v>
      </c>
      <c r="MZT132" s="531" t="e">
        <f t="shared" si="153"/>
        <v>#DIV/0!</v>
      </c>
      <c r="MZU132" s="531" t="e">
        <f t="shared" si="153"/>
        <v>#DIV/0!</v>
      </c>
      <c r="MZV132" s="531" t="e">
        <f t="shared" si="153"/>
        <v>#DIV/0!</v>
      </c>
      <c r="MZW132" s="531" t="e">
        <f t="shared" si="153"/>
        <v>#DIV/0!</v>
      </c>
      <c r="MZX132" s="531" t="e">
        <f t="shared" si="153"/>
        <v>#DIV/0!</v>
      </c>
      <c r="MZY132" s="531" t="e">
        <f t="shared" si="153"/>
        <v>#DIV/0!</v>
      </c>
      <c r="MZZ132" s="531" t="e">
        <f t="shared" si="153"/>
        <v>#DIV/0!</v>
      </c>
      <c r="NAA132" s="531" t="e">
        <f t="shared" si="153"/>
        <v>#DIV/0!</v>
      </c>
      <c r="NAB132" s="531" t="e">
        <f t="shared" si="153"/>
        <v>#DIV/0!</v>
      </c>
      <c r="NAC132" s="531" t="e">
        <f t="shared" si="153"/>
        <v>#DIV/0!</v>
      </c>
      <c r="NAD132" s="531" t="e">
        <f t="shared" si="153"/>
        <v>#DIV/0!</v>
      </c>
      <c r="NAE132" s="531" t="e">
        <f t="shared" si="153"/>
        <v>#DIV/0!</v>
      </c>
      <c r="NAF132" s="531" t="e">
        <f t="shared" si="153"/>
        <v>#DIV/0!</v>
      </c>
      <c r="NAG132" s="531" t="e">
        <f t="shared" si="153"/>
        <v>#DIV/0!</v>
      </c>
      <c r="NAH132" s="531" t="e">
        <f t="shared" si="153"/>
        <v>#DIV/0!</v>
      </c>
      <c r="NAI132" s="531" t="e">
        <f t="shared" si="153"/>
        <v>#DIV/0!</v>
      </c>
      <c r="NAJ132" s="531" t="e">
        <f t="shared" si="153"/>
        <v>#DIV/0!</v>
      </c>
      <c r="NAK132" s="531" t="e">
        <f t="shared" si="153"/>
        <v>#DIV/0!</v>
      </c>
      <c r="NAL132" s="531" t="e">
        <f t="shared" si="153"/>
        <v>#DIV/0!</v>
      </c>
      <c r="NAM132" s="531" t="e">
        <f t="shared" si="153"/>
        <v>#DIV/0!</v>
      </c>
      <c r="NAN132" s="531" t="e">
        <f t="shared" si="153"/>
        <v>#DIV/0!</v>
      </c>
      <c r="NAO132" s="531" t="e">
        <f t="shared" si="153"/>
        <v>#DIV/0!</v>
      </c>
      <c r="NAP132" s="531" t="e">
        <f t="shared" si="153"/>
        <v>#DIV/0!</v>
      </c>
      <c r="NAQ132" s="531" t="e">
        <f t="shared" si="153"/>
        <v>#DIV/0!</v>
      </c>
      <c r="NAR132" s="531" t="e">
        <f t="shared" si="153"/>
        <v>#DIV/0!</v>
      </c>
      <c r="NAS132" s="531" t="e">
        <f t="shared" si="153"/>
        <v>#DIV/0!</v>
      </c>
      <c r="NAT132" s="531" t="e">
        <f t="shared" si="153"/>
        <v>#DIV/0!</v>
      </c>
      <c r="NAU132" s="531" t="e">
        <f t="shared" si="153"/>
        <v>#DIV/0!</v>
      </c>
      <c r="NAV132" s="531" t="e">
        <f t="shared" si="153"/>
        <v>#DIV/0!</v>
      </c>
      <c r="NAW132" s="531" t="e">
        <f t="shared" si="153"/>
        <v>#DIV/0!</v>
      </c>
      <c r="NAX132" s="531" t="e">
        <f t="shared" si="153"/>
        <v>#DIV/0!</v>
      </c>
      <c r="NAY132" s="531" t="e">
        <f t="shared" si="153"/>
        <v>#DIV/0!</v>
      </c>
      <c r="NAZ132" s="531" t="e">
        <f t="shared" si="153"/>
        <v>#DIV/0!</v>
      </c>
      <c r="NBA132" s="531" t="e">
        <f t="shared" si="153"/>
        <v>#DIV/0!</v>
      </c>
      <c r="NBB132" s="531" t="e">
        <f t="shared" si="153"/>
        <v>#DIV/0!</v>
      </c>
      <c r="NBC132" s="531" t="e">
        <f t="shared" si="153"/>
        <v>#DIV/0!</v>
      </c>
      <c r="NBD132" s="531" t="e">
        <f t="shared" si="153"/>
        <v>#DIV/0!</v>
      </c>
      <c r="NBE132" s="531" t="e">
        <f t="shared" si="153"/>
        <v>#DIV/0!</v>
      </c>
      <c r="NBF132" s="531" t="e">
        <f t="shared" si="153"/>
        <v>#DIV/0!</v>
      </c>
      <c r="NBG132" s="531" t="e">
        <f t="shared" si="153"/>
        <v>#DIV/0!</v>
      </c>
      <c r="NBH132" s="531" t="e">
        <f t="shared" si="153"/>
        <v>#DIV/0!</v>
      </c>
      <c r="NBI132" s="531" t="e">
        <f t="shared" si="153"/>
        <v>#DIV/0!</v>
      </c>
      <c r="NBJ132" s="531" t="e">
        <f t="shared" si="153"/>
        <v>#DIV/0!</v>
      </c>
      <c r="NBK132" s="531" t="e">
        <f t="shared" si="153"/>
        <v>#DIV/0!</v>
      </c>
      <c r="NBL132" s="531" t="e">
        <f t="shared" si="153"/>
        <v>#DIV/0!</v>
      </c>
      <c r="NBM132" s="531" t="e">
        <f t="shared" si="153"/>
        <v>#DIV/0!</v>
      </c>
      <c r="NBN132" s="531" t="e">
        <f t="shared" si="153"/>
        <v>#DIV/0!</v>
      </c>
      <c r="NBO132" s="531" t="e">
        <f t="shared" si="153"/>
        <v>#DIV/0!</v>
      </c>
      <c r="NBP132" s="531" t="e">
        <f t="shared" si="153"/>
        <v>#DIV/0!</v>
      </c>
      <c r="NBQ132" s="531" t="e">
        <f t="shared" si="153"/>
        <v>#DIV/0!</v>
      </c>
      <c r="NBR132" s="531" t="e">
        <f t="shared" si="153"/>
        <v>#DIV/0!</v>
      </c>
      <c r="NBS132" s="531" t="e">
        <f t="shared" si="153"/>
        <v>#DIV/0!</v>
      </c>
      <c r="NBT132" s="531" t="e">
        <f t="shared" si="153"/>
        <v>#DIV/0!</v>
      </c>
      <c r="NBU132" s="531" t="e">
        <f t="shared" si="153"/>
        <v>#DIV/0!</v>
      </c>
      <c r="NBV132" s="531" t="e">
        <f t="shared" si="153"/>
        <v>#DIV/0!</v>
      </c>
      <c r="NBW132" s="531" t="e">
        <f t="shared" si="153"/>
        <v>#DIV/0!</v>
      </c>
      <c r="NBX132" s="531" t="e">
        <f t="shared" si="153"/>
        <v>#DIV/0!</v>
      </c>
      <c r="NBY132" s="531" t="e">
        <f t="shared" si="153"/>
        <v>#DIV/0!</v>
      </c>
      <c r="NBZ132" s="531" t="e">
        <f t="shared" si="153"/>
        <v>#DIV/0!</v>
      </c>
      <c r="NCA132" s="531" t="e">
        <f t="shared" ref="NCA132:NEL132" si="154">(NCA128-NCA116)/(NCA52*10^5)</f>
        <v>#DIV/0!</v>
      </c>
      <c r="NCB132" s="531" t="e">
        <f t="shared" si="154"/>
        <v>#DIV/0!</v>
      </c>
      <c r="NCC132" s="531" t="e">
        <f t="shared" si="154"/>
        <v>#DIV/0!</v>
      </c>
      <c r="NCD132" s="531" t="e">
        <f t="shared" si="154"/>
        <v>#DIV/0!</v>
      </c>
      <c r="NCE132" s="531" t="e">
        <f t="shared" si="154"/>
        <v>#DIV/0!</v>
      </c>
      <c r="NCF132" s="531" t="e">
        <f t="shared" si="154"/>
        <v>#DIV/0!</v>
      </c>
      <c r="NCG132" s="531" t="e">
        <f t="shared" si="154"/>
        <v>#DIV/0!</v>
      </c>
      <c r="NCH132" s="531" t="e">
        <f t="shared" si="154"/>
        <v>#DIV/0!</v>
      </c>
      <c r="NCI132" s="531" t="e">
        <f t="shared" si="154"/>
        <v>#DIV/0!</v>
      </c>
      <c r="NCJ132" s="531" t="e">
        <f t="shared" si="154"/>
        <v>#DIV/0!</v>
      </c>
      <c r="NCK132" s="531" t="e">
        <f t="shared" si="154"/>
        <v>#DIV/0!</v>
      </c>
      <c r="NCL132" s="531" t="e">
        <f t="shared" si="154"/>
        <v>#DIV/0!</v>
      </c>
      <c r="NCM132" s="531" t="e">
        <f t="shared" si="154"/>
        <v>#DIV/0!</v>
      </c>
      <c r="NCN132" s="531" t="e">
        <f t="shared" si="154"/>
        <v>#DIV/0!</v>
      </c>
      <c r="NCO132" s="531" t="e">
        <f t="shared" si="154"/>
        <v>#DIV/0!</v>
      </c>
      <c r="NCP132" s="531" t="e">
        <f t="shared" si="154"/>
        <v>#DIV/0!</v>
      </c>
      <c r="NCQ132" s="531" t="e">
        <f t="shared" si="154"/>
        <v>#DIV/0!</v>
      </c>
      <c r="NCR132" s="531" t="e">
        <f t="shared" si="154"/>
        <v>#DIV/0!</v>
      </c>
      <c r="NCS132" s="531" t="e">
        <f t="shared" si="154"/>
        <v>#DIV/0!</v>
      </c>
      <c r="NCT132" s="531" t="e">
        <f t="shared" si="154"/>
        <v>#DIV/0!</v>
      </c>
      <c r="NCU132" s="531" t="e">
        <f t="shared" si="154"/>
        <v>#DIV/0!</v>
      </c>
      <c r="NCV132" s="531" t="e">
        <f t="shared" si="154"/>
        <v>#DIV/0!</v>
      </c>
      <c r="NCW132" s="531" t="e">
        <f t="shared" si="154"/>
        <v>#DIV/0!</v>
      </c>
      <c r="NCX132" s="531" t="e">
        <f t="shared" si="154"/>
        <v>#DIV/0!</v>
      </c>
      <c r="NCY132" s="531" t="e">
        <f t="shared" si="154"/>
        <v>#DIV/0!</v>
      </c>
      <c r="NCZ132" s="531" t="e">
        <f t="shared" si="154"/>
        <v>#DIV/0!</v>
      </c>
      <c r="NDA132" s="531" t="e">
        <f t="shared" si="154"/>
        <v>#DIV/0!</v>
      </c>
      <c r="NDB132" s="531" t="e">
        <f t="shared" si="154"/>
        <v>#DIV/0!</v>
      </c>
      <c r="NDC132" s="531" t="e">
        <f t="shared" si="154"/>
        <v>#DIV/0!</v>
      </c>
      <c r="NDD132" s="531" t="e">
        <f t="shared" si="154"/>
        <v>#DIV/0!</v>
      </c>
      <c r="NDE132" s="531" t="e">
        <f t="shared" si="154"/>
        <v>#DIV/0!</v>
      </c>
      <c r="NDF132" s="531" t="e">
        <f t="shared" si="154"/>
        <v>#DIV/0!</v>
      </c>
      <c r="NDG132" s="531" t="e">
        <f t="shared" si="154"/>
        <v>#DIV/0!</v>
      </c>
      <c r="NDH132" s="531" t="e">
        <f t="shared" si="154"/>
        <v>#DIV/0!</v>
      </c>
      <c r="NDI132" s="531" t="e">
        <f t="shared" si="154"/>
        <v>#DIV/0!</v>
      </c>
      <c r="NDJ132" s="531" t="e">
        <f t="shared" si="154"/>
        <v>#DIV/0!</v>
      </c>
      <c r="NDK132" s="531" t="e">
        <f t="shared" si="154"/>
        <v>#DIV/0!</v>
      </c>
      <c r="NDL132" s="531" t="e">
        <f t="shared" si="154"/>
        <v>#DIV/0!</v>
      </c>
      <c r="NDM132" s="531" t="e">
        <f t="shared" si="154"/>
        <v>#DIV/0!</v>
      </c>
      <c r="NDN132" s="531" t="e">
        <f t="shared" si="154"/>
        <v>#DIV/0!</v>
      </c>
      <c r="NDO132" s="531" t="e">
        <f t="shared" si="154"/>
        <v>#DIV/0!</v>
      </c>
      <c r="NDP132" s="531" t="e">
        <f t="shared" si="154"/>
        <v>#DIV/0!</v>
      </c>
      <c r="NDQ132" s="531" t="e">
        <f t="shared" si="154"/>
        <v>#DIV/0!</v>
      </c>
      <c r="NDR132" s="531" t="e">
        <f t="shared" si="154"/>
        <v>#DIV/0!</v>
      </c>
      <c r="NDS132" s="531" t="e">
        <f t="shared" si="154"/>
        <v>#DIV/0!</v>
      </c>
      <c r="NDT132" s="531" t="e">
        <f t="shared" si="154"/>
        <v>#DIV/0!</v>
      </c>
      <c r="NDU132" s="531" t="e">
        <f t="shared" si="154"/>
        <v>#DIV/0!</v>
      </c>
      <c r="NDV132" s="531" t="e">
        <f t="shared" si="154"/>
        <v>#DIV/0!</v>
      </c>
      <c r="NDW132" s="531" t="e">
        <f t="shared" si="154"/>
        <v>#DIV/0!</v>
      </c>
      <c r="NDX132" s="531" t="e">
        <f t="shared" si="154"/>
        <v>#DIV/0!</v>
      </c>
      <c r="NDY132" s="531" t="e">
        <f t="shared" si="154"/>
        <v>#DIV/0!</v>
      </c>
      <c r="NDZ132" s="531" t="e">
        <f t="shared" si="154"/>
        <v>#DIV/0!</v>
      </c>
      <c r="NEA132" s="531" t="e">
        <f t="shared" si="154"/>
        <v>#DIV/0!</v>
      </c>
      <c r="NEB132" s="531" t="e">
        <f t="shared" si="154"/>
        <v>#DIV/0!</v>
      </c>
      <c r="NEC132" s="531" t="e">
        <f t="shared" si="154"/>
        <v>#DIV/0!</v>
      </c>
      <c r="NED132" s="531" t="e">
        <f t="shared" si="154"/>
        <v>#DIV/0!</v>
      </c>
      <c r="NEE132" s="531" t="e">
        <f t="shared" si="154"/>
        <v>#DIV/0!</v>
      </c>
      <c r="NEF132" s="531" t="e">
        <f t="shared" si="154"/>
        <v>#DIV/0!</v>
      </c>
      <c r="NEG132" s="531" t="e">
        <f t="shared" si="154"/>
        <v>#DIV/0!</v>
      </c>
      <c r="NEH132" s="531" t="e">
        <f t="shared" si="154"/>
        <v>#DIV/0!</v>
      </c>
      <c r="NEI132" s="531" t="e">
        <f t="shared" si="154"/>
        <v>#DIV/0!</v>
      </c>
      <c r="NEJ132" s="531" t="e">
        <f t="shared" si="154"/>
        <v>#DIV/0!</v>
      </c>
      <c r="NEK132" s="531" t="e">
        <f t="shared" si="154"/>
        <v>#DIV/0!</v>
      </c>
      <c r="NEL132" s="531" t="e">
        <f t="shared" si="154"/>
        <v>#DIV/0!</v>
      </c>
      <c r="NEM132" s="531" t="e">
        <f t="shared" ref="NEM132:NGX132" si="155">(NEM128-NEM116)/(NEM52*10^5)</f>
        <v>#DIV/0!</v>
      </c>
      <c r="NEN132" s="531" t="e">
        <f t="shared" si="155"/>
        <v>#DIV/0!</v>
      </c>
      <c r="NEO132" s="531" t="e">
        <f t="shared" si="155"/>
        <v>#DIV/0!</v>
      </c>
      <c r="NEP132" s="531" t="e">
        <f t="shared" si="155"/>
        <v>#DIV/0!</v>
      </c>
      <c r="NEQ132" s="531" t="e">
        <f t="shared" si="155"/>
        <v>#DIV/0!</v>
      </c>
      <c r="NER132" s="531" t="e">
        <f t="shared" si="155"/>
        <v>#DIV/0!</v>
      </c>
      <c r="NES132" s="531" t="e">
        <f t="shared" si="155"/>
        <v>#DIV/0!</v>
      </c>
      <c r="NET132" s="531" t="e">
        <f t="shared" si="155"/>
        <v>#DIV/0!</v>
      </c>
      <c r="NEU132" s="531" t="e">
        <f t="shared" si="155"/>
        <v>#DIV/0!</v>
      </c>
      <c r="NEV132" s="531" t="e">
        <f t="shared" si="155"/>
        <v>#DIV/0!</v>
      </c>
      <c r="NEW132" s="531" t="e">
        <f t="shared" si="155"/>
        <v>#DIV/0!</v>
      </c>
      <c r="NEX132" s="531" t="e">
        <f t="shared" si="155"/>
        <v>#DIV/0!</v>
      </c>
      <c r="NEY132" s="531" t="e">
        <f t="shared" si="155"/>
        <v>#DIV/0!</v>
      </c>
      <c r="NEZ132" s="531" t="e">
        <f t="shared" si="155"/>
        <v>#DIV/0!</v>
      </c>
      <c r="NFA132" s="531" t="e">
        <f t="shared" si="155"/>
        <v>#DIV/0!</v>
      </c>
      <c r="NFB132" s="531" t="e">
        <f t="shared" si="155"/>
        <v>#DIV/0!</v>
      </c>
      <c r="NFC132" s="531" t="e">
        <f t="shared" si="155"/>
        <v>#DIV/0!</v>
      </c>
      <c r="NFD132" s="531" t="e">
        <f t="shared" si="155"/>
        <v>#DIV/0!</v>
      </c>
      <c r="NFE132" s="531" t="e">
        <f t="shared" si="155"/>
        <v>#DIV/0!</v>
      </c>
      <c r="NFF132" s="531" t="e">
        <f t="shared" si="155"/>
        <v>#DIV/0!</v>
      </c>
      <c r="NFG132" s="531" t="e">
        <f t="shared" si="155"/>
        <v>#DIV/0!</v>
      </c>
      <c r="NFH132" s="531" t="e">
        <f t="shared" si="155"/>
        <v>#DIV/0!</v>
      </c>
      <c r="NFI132" s="531" t="e">
        <f t="shared" si="155"/>
        <v>#DIV/0!</v>
      </c>
      <c r="NFJ132" s="531" t="e">
        <f t="shared" si="155"/>
        <v>#DIV/0!</v>
      </c>
      <c r="NFK132" s="531" t="e">
        <f t="shared" si="155"/>
        <v>#DIV/0!</v>
      </c>
      <c r="NFL132" s="531" t="e">
        <f t="shared" si="155"/>
        <v>#DIV/0!</v>
      </c>
      <c r="NFM132" s="531" t="e">
        <f t="shared" si="155"/>
        <v>#DIV/0!</v>
      </c>
      <c r="NFN132" s="531" t="e">
        <f t="shared" si="155"/>
        <v>#DIV/0!</v>
      </c>
      <c r="NFO132" s="531" t="e">
        <f t="shared" si="155"/>
        <v>#DIV/0!</v>
      </c>
      <c r="NFP132" s="531" t="e">
        <f t="shared" si="155"/>
        <v>#DIV/0!</v>
      </c>
      <c r="NFQ132" s="531" t="e">
        <f t="shared" si="155"/>
        <v>#DIV/0!</v>
      </c>
      <c r="NFR132" s="531" t="e">
        <f t="shared" si="155"/>
        <v>#DIV/0!</v>
      </c>
      <c r="NFS132" s="531" t="e">
        <f t="shared" si="155"/>
        <v>#DIV/0!</v>
      </c>
      <c r="NFT132" s="531" t="e">
        <f t="shared" si="155"/>
        <v>#DIV/0!</v>
      </c>
      <c r="NFU132" s="531" t="e">
        <f t="shared" si="155"/>
        <v>#DIV/0!</v>
      </c>
      <c r="NFV132" s="531" t="e">
        <f t="shared" si="155"/>
        <v>#DIV/0!</v>
      </c>
      <c r="NFW132" s="531" t="e">
        <f t="shared" si="155"/>
        <v>#DIV/0!</v>
      </c>
      <c r="NFX132" s="531" t="e">
        <f t="shared" si="155"/>
        <v>#DIV/0!</v>
      </c>
      <c r="NFY132" s="531" t="e">
        <f t="shared" si="155"/>
        <v>#DIV/0!</v>
      </c>
      <c r="NFZ132" s="531" t="e">
        <f t="shared" si="155"/>
        <v>#DIV/0!</v>
      </c>
      <c r="NGA132" s="531" t="e">
        <f t="shared" si="155"/>
        <v>#DIV/0!</v>
      </c>
      <c r="NGB132" s="531" t="e">
        <f t="shared" si="155"/>
        <v>#DIV/0!</v>
      </c>
      <c r="NGC132" s="531" t="e">
        <f t="shared" si="155"/>
        <v>#DIV/0!</v>
      </c>
      <c r="NGD132" s="531" t="e">
        <f t="shared" si="155"/>
        <v>#DIV/0!</v>
      </c>
      <c r="NGE132" s="531" t="e">
        <f t="shared" si="155"/>
        <v>#DIV/0!</v>
      </c>
      <c r="NGF132" s="531" t="e">
        <f t="shared" si="155"/>
        <v>#DIV/0!</v>
      </c>
      <c r="NGG132" s="531" t="e">
        <f t="shared" si="155"/>
        <v>#DIV/0!</v>
      </c>
      <c r="NGH132" s="531" t="e">
        <f t="shared" si="155"/>
        <v>#DIV/0!</v>
      </c>
      <c r="NGI132" s="531" t="e">
        <f t="shared" si="155"/>
        <v>#DIV/0!</v>
      </c>
      <c r="NGJ132" s="531" t="e">
        <f t="shared" si="155"/>
        <v>#DIV/0!</v>
      </c>
      <c r="NGK132" s="531" t="e">
        <f t="shared" si="155"/>
        <v>#DIV/0!</v>
      </c>
      <c r="NGL132" s="531" t="e">
        <f t="shared" si="155"/>
        <v>#DIV/0!</v>
      </c>
      <c r="NGM132" s="531" t="e">
        <f t="shared" si="155"/>
        <v>#DIV/0!</v>
      </c>
      <c r="NGN132" s="531" t="e">
        <f t="shared" si="155"/>
        <v>#DIV/0!</v>
      </c>
      <c r="NGO132" s="531" t="e">
        <f t="shared" si="155"/>
        <v>#DIV/0!</v>
      </c>
      <c r="NGP132" s="531" t="e">
        <f t="shared" si="155"/>
        <v>#DIV/0!</v>
      </c>
      <c r="NGQ132" s="531" t="e">
        <f t="shared" si="155"/>
        <v>#DIV/0!</v>
      </c>
      <c r="NGR132" s="531" t="e">
        <f t="shared" si="155"/>
        <v>#DIV/0!</v>
      </c>
      <c r="NGS132" s="531" t="e">
        <f t="shared" si="155"/>
        <v>#DIV/0!</v>
      </c>
      <c r="NGT132" s="531" t="e">
        <f t="shared" si="155"/>
        <v>#DIV/0!</v>
      </c>
      <c r="NGU132" s="531" t="e">
        <f t="shared" si="155"/>
        <v>#DIV/0!</v>
      </c>
      <c r="NGV132" s="531" t="e">
        <f t="shared" si="155"/>
        <v>#DIV/0!</v>
      </c>
      <c r="NGW132" s="531" t="e">
        <f t="shared" si="155"/>
        <v>#DIV/0!</v>
      </c>
      <c r="NGX132" s="531" t="e">
        <f t="shared" si="155"/>
        <v>#DIV/0!</v>
      </c>
      <c r="NGY132" s="531" t="e">
        <f t="shared" ref="NGY132:NJJ132" si="156">(NGY128-NGY116)/(NGY52*10^5)</f>
        <v>#DIV/0!</v>
      </c>
      <c r="NGZ132" s="531" t="e">
        <f t="shared" si="156"/>
        <v>#DIV/0!</v>
      </c>
      <c r="NHA132" s="531" t="e">
        <f t="shared" si="156"/>
        <v>#DIV/0!</v>
      </c>
      <c r="NHB132" s="531" t="e">
        <f t="shared" si="156"/>
        <v>#DIV/0!</v>
      </c>
      <c r="NHC132" s="531" t="e">
        <f t="shared" si="156"/>
        <v>#DIV/0!</v>
      </c>
      <c r="NHD132" s="531" t="e">
        <f t="shared" si="156"/>
        <v>#DIV/0!</v>
      </c>
      <c r="NHE132" s="531" t="e">
        <f t="shared" si="156"/>
        <v>#DIV/0!</v>
      </c>
      <c r="NHF132" s="531" t="e">
        <f t="shared" si="156"/>
        <v>#DIV/0!</v>
      </c>
      <c r="NHG132" s="531" t="e">
        <f t="shared" si="156"/>
        <v>#DIV/0!</v>
      </c>
      <c r="NHH132" s="531" t="e">
        <f t="shared" si="156"/>
        <v>#DIV/0!</v>
      </c>
      <c r="NHI132" s="531" t="e">
        <f t="shared" si="156"/>
        <v>#DIV/0!</v>
      </c>
      <c r="NHJ132" s="531" t="e">
        <f t="shared" si="156"/>
        <v>#DIV/0!</v>
      </c>
      <c r="NHK132" s="531" t="e">
        <f t="shared" si="156"/>
        <v>#DIV/0!</v>
      </c>
      <c r="NHL132" s="531" t="e">
        <f t="shared" si="156"/>
        <v>#DIV/0!</v>
      </c>
      <c r="NHM132" s="531" t="e">
        <f t="shared" si="156"/>
        <v>#DIV/0!</v>
      </c>
      <c r="NHN132" s="531" t="e">
        <f t="shared" si="156"/>
        <v>#DIV/0!</v>
      </c>
      <c r="NHO132" s="531" t="e">
        <f t="shared" si="156"/>
        <v>#DIV/0!</v>
      </c>
      <c r="NHP132" s="531" t="e">
        <f t="shared" si="156"/>
        <v>#DIV/0!</v>
      </c>
      <c r="NHQ132" s="531" t="e">
        <f t="shared" si="156"/>
        <v>#DIV/0!</v>
      </c>
      <c r="NHR132" s="531" t="e">
        <f t="shared" si="156"/>
        <v>#DIV/0!</v>
      </c>
      <c r="NHS132" s="531" t="e">
        <f t="shared" si="156"/>
        <v>#DIV/0!</v>
      </c>
      <c r="NHT132" s="531" t="e">
        <f t="shared" si="156"/>
        <v>#DIV/0!</v>
      </c>
      <c r="NHU132" s="531" t="e">
        <f t="shared" si="156"/>
        <v>#DIV/0!</v>
      </c>
      <c r="NHV132" s="531" t="e">
        <f t="shared" si="156"/>
        <v>#DIV/0!</v>
      </c>
      <c r="NHW132" s="531" t="e">
        <f t="shared" si="156"/>
        <v>#DIV/0!</v>
      </c>
      <c r="NHX132" s="531" t="e">
        <f t="shared" si="156"/>
        <v>#DIV/0!</v>
      </c>
      <c r="NHY132" s="531" t="e">
        <f t="shared" si="156"/>
        <v>#DIV/0!</v>
      </c>
      <c r="NHZ132" s="531" t="e">
        <f t="shared" si="156"/>
        <v>#DIV/0!</v>
      </c>
      <c r="NIA132" s="531" t="e">
        <f t="shared" si="156"/>
        <v>#DIV/0!</v>
      </c>
      <c r="NIB132" s="531" t="e">
        <f t="shared" si="156"/>
        <v>#DIV/0!</v>
      </c>
      <c r="NIC132" s="531" t="e">
        <f t="shared" si="156"/>
        <v>#DIV/0!</v>
      </c>
      <c r="NID132" s="531" t="e">
        <f t="shared" si="156"/>
        <v>#DIV/0!</v>
      </c>
      <c r="NIE132" s="531" t="e">
        <f t="shared" si="156"/>
        <v>#DIV/0!</v>
      </c>
      <c r="NIF132" s="531" t="e">
        <f t="shared" si="156"/>
        <v>#DIV/0!</v>
      </c>
      <c r="NIG132" s="531" t="e">
        <f t="shared" si="156"/>
        <v>#DIV/0!</v>
      </c>
      <c r="NIH132" s="531" t="e">
        <f t="shared" si="156"/>
        <v>#DIV/0!</v>
      </c>
      <c r="NII132" s="531" t="e">
        <f t="shared" si="156"/>
        <v>#DIV/0!</v>
      </c>
      <c r="NIJ132" s="531" t="e">
        <f t="shared" si="156"/>
        <v>#DIV/0!</v>
      </c>
      <c r="NIK132" s="531" t="e">
        <f t="shared" si="156"/>
        <v>#DIV/0!</v>
      </c>
      <c r="NIL132" s="531" t="e">
        <f t="shared" si="156"/>
        <v>#DIV/0!</v>
      </c>
      <c r="NIM132" s="531" t="e">
        <f t="shared" si="156"/>
        <v>#DIV/0!</v>
      </c>
      <c r="NIN132" s="531" t="e">
        <f t="shared" si="156"/>
        <v>#DIV/0!</v>
      </c>
      <c r="NIO132" s="531" t="e">
        <f t="shared" si="156"/>
        <v>#DIV/0!</v>
      </c>
      <c r="NIP132" s="531" t="e">
        <f t="shared" si="156"/>
        <v>#DIV/0!</v>
      </c>
      <c r="NIQ132" s="531" t="e">
        <f t="shared" si="156"/>
        <v>#DIV/0!</v>
      </c>
      <c r="NIR132" s="531" t="e">
        <f t="shared" si="156"/>
        <v>#DIV/0!</v>
      </c>
      <c r="NIS132" s="531" t="e">
        <f t="shared" si="156"/>
        <v>#DIV/0!</v>
      </c>
      <c r="NIT132" s="531" t="e">
        <f t="shared" si="156"/>
        <v>#DIV/0!</v>
      </c>
      <c r="NIU132" s="531" t="e">
        <f t="shared" si="156"/>
        <v>#DIV/0!</v>
      </c>
      <c r="NIV132" s="531" t="e">
        <f t="shared" si="156"/>
        <v>#DIV/0!</v>
      </c>
      <c r="NIW132" s="531" t="e">
        <f t="shared" si="156"/>
        <v>#DIV/0!</v>
      </c>
      <c r="NIX132" s="531" t="e">
        <f t="shared" si="156"/>
        <v>#DIV/0!</v>
      </c>
      <c r="NIY132" s="531" t="e">
        <f t="shared" si="156"/>
        <v>#DIV/0!</v>
      </c>
      <c r="NIZ132" s="531" t="e">
        <f t="shared" si="156"/>
        <v>#DIV/0!</v>
      </c>
      <c r="NJA132" s="531" t="e">
        <f t="shared" si="156"/>
        <v>#DIV/0!</v>
      </c>
      <c r="NJB132" s="531" t="e">
        <f t="shared" si="156"/>
        <v>#DIV/0!</v>
      </c>
      <c r="NJC132" s="531" t="e">
        <f t="shared" si="156"/>
        <v>#DIV/0!</v>
      </c>
      <c r="NJD132" s="531" t="e">
        <f t="shared" si="156"/>
        <v>#DIV/0!</v>
      </c>
      <c r="NJE132" s="531" t="e">
        <f t="shared" si="156"/>
        <v>#DIV/0!</v>
      </c>
      <c r="NJF132" s="531" t="e">
        <f t="shared" si="156"/>
        <v>#DIV/0!</v>
      </c>
      <c r="NJG132" s="531" t="e">
        <f t="shared" si="156"/>
        <v>#DIV/0!</v>
      </c>
      <c r="NJH132" s="531" t="e">
        <f t="shared" si="156"/>
        <v>#DIV/0!</v>
      </c>
      <c r="NJI132" s="531" t="e">
        <f t="shared" si="156"/>
        <v>#DIV/0!</v>
      </c>
      <c r="NJJ132" s="531" t="e">
        <f t="shared" si="156"/>
        <v>#DIV/0!</v>
      </c>
      <c r="NJK132" s="531" t="e">
        <f t="shared" ref="NJK132:NLV132" si="157">(NJK128-NJK116)/(NJK52*10^5)</f>
        <v>#DIV/0!</v>
      </c>
      <c r="NJL132" s="531" t="e">
        <f t="shared" si="157"/>
        <v>#DIV/0!</v>
      </c>
      <c r="NJM132" s="531" t="e">
        <f t="shared" si="157"/>
        <v>#DIV/0!</v>
      </c>
      <c r="NJN132" s="531" t="e">
        <f t="shared" si="157"/>
        <v>#DIV/0!</v>
      </c>
      <c r="NJO132" s="531" t="e">
        <f t="shared" si="157"/>
        <v>#DIV/0!</v>
      </c>
      <c r="NJP132" s="531" t="e">
        <f t="shared" si="157"/>
        <v>#DIV/0!</v>
      </c>
      <c r="NJQ132" s="531" t="e">
        <f t="shared" si="157"/>
        <v>#DIV/0!</v>
      </c>
      <c r="NJR132" s="531" t="e">
        <f t="shared" si="157"/>
        <v>#DIV/0!</v>
      </c>
      <c r="NJS132" s="531" t="e">
        <f t="shared" si="157"/>
        <v>#DIV/0!</v>
      </c>
      <c r="NJT132" s="531" t="e">
        <f t="shared" si="157"/>
        <v>#DIV/0!</v>
      </c>
      <c r="NJU132" s="531" t="e">
        <f t="shared" si="157"/>
        <v>#DIV/0!</v>
      </c>
      <c r="NJV132" s="531" t="e">
        <f t="shared" si="157"/>
        <v>#DIV/0!</v>
      </c>
      <c r="NJW132" s="531" t="e">
        <f t="shared" si="157"/>
        <v>#DIV/0!</v>
      </c>
      <c r="NJX132" s="531" t="e">
        <f t="shared" si="157"/>
        <v>#DIV/0!</v>
      </c>
      <c r="NJY132" s="531" t="e">
        <f t="shared" si="157"/>
        <v>#DIV/0!</v>
      </c>
      <c r="NJZ132" s="531" t="e">
        <f t="shared" si="157"/>
        <v>#DIV/0!</v>
      </c>
      <c r="NKA132" s="531" t="e">
        <f t="shared" si="157"/>
        <v>#DIV/0!</v>
      </c>
      <c r="NKB132" s="531" t="e">
        <f t="shared" si="157"/>
        <v>#DIV/0!</v>
      </c>
      <c r="NKC132" s="531" t="e">
        <f t="shared" si="157"/>
        <v>#DIV/0!</v>
      </c>
      <c r="NKD132" s="531" t="e">
        <f t="shared" si="157"/>
        <v>#DIV/0!</v>
      </c>
      <c r="NKE132" s="531" t="e">
        <f t="shared" si="157"/>
        <v>#DIV/0!</v>
      </c>
      <c r="NKF132" s="531" t="e">
        <f t="shared" si="157"/>
        <v>#DIV/0!</v>
      </c>
      <c r="NKG132" s="531" t="e">
        <f t="shared" si="157"/>
        <v>#DIV/0!</v>
      </c>
      <c r="NKH132" s="531" t="e">
        <f t="shared" si="157"/>
        <v>#DIV/0!</v>
      </c>
      <c r="NKI132" s="531" t="e">
        <f t="shared" si="157"/>
        <v>#DIV/0!</v>
      </c>
      <c r="NKJ132" s="531" t="e">
        <f t="shared" si="157"/>
        <v>#DIV/0!</v>
      </c>
      <c r="NKK132" s="531" t="e">
        <f t="shared" si="157"/>
        <v>#DIV/0!</v>
      </c>
      <c r="NKL132" s="531" t="e">
        <f t="shared" si="157"/>
        <v>#DIV/0!</v>
      </c>
      <c r="NKM132" s="531" t="e">
        <f t="shared" si="157"/>
        <v>#DIV/0!</v>
      </c>
      <c r="NKN132" s="531" t="e">
        <f t="shared" si="157"/>
        <v>#DIV/0!</v>
      </c>
      <c r="NKO132" s="531" t="e">
        <f t="shared" si="157"/>
        <v>#DIV/0!</v>
      </c>
      <c r="NKP132" s="531" t="e">
        <f t="shared" si="157"/>
        <v>#DIV/0!</v>
      </c>
      <c r="NKQ132" s="531" t="e">
        <f t="shared" si="157"/>
        <v>#DIV/0!</v>
      </c>
      <c r="NKR132" s="531" t="e">
        <f t="shared" si="157"/>
        <v>#DIV/0!</v>
      </c>
      <c r="NKS132" s="531" t="e">
        <f t="shared" si="157"/>
        <v>#DIV/0!</v>
      </c>
      <c r="NKT132" s="531" t="e">
        <f t="shared" si="157"/>
        <v>#DIV/0!</v>
      </c>
      <c r="NKU132" s="531" t="e">
        <f t="shared" si="157"/>
        <v>#DIV/0!</v>
      </c>
      <c r="NKV132" s="531" t="e">
        <f t="shared" si="157"/>
        <v>#DIV/0!</v>
      </c>
      <c r="NKW132" s="531" t="e">
        <f t="shared" si="157"/>
        <v>#DIV/0!</v>
      </c>
      <c r="NKX132" s="531" t="e">
        <f t="shared" si="157"/>
        <v>#DIV/0!</v>
      </c>
      <c r="NKY132" s="531" t="e">
        <f t="shared" si="157"/>
        <v>#DIV/0!</v>
      </c>
      <c r="NKZ132" s="531" t="e">
        <f t="shared" si="157"/>
        <v>#DIV/0!</v>
      </c>
      <c r="NLA132" s="531" t="e">
        <f t="shared" si="157"/>
        <v>#DIV/0!</v>
      </c>
      <c r="NLB132" s="531" t="e">
        <f t="shared" si="157"/>
        <v>#DIV/0!</v>
      </c>
      <c r="NLC132" s="531" t="e">
        <f t="shared" si="157"/>
        <v>#DIV/0!</v>
      </c>
      <c r="NLD132" s="531" t="e">
        <f t="shared" si="157"/>
        <v>#DIV/0!</v>
      </c>
      <c r="NLE132" s="531" t="e">
        <f t="shared" si="157"/>
        <v>#DIV/0!</v>
      </c>
      <c r="NLF132" s="531" t="e">
        <f t="shared" si="157"/>
        <v>#DIV/0!</v>
      </c>
      <c r="NLG132" s="531" t="e">
        <f t="shared" si="157"/>
        <v>#DIV/0!</v>
      </c>
      <c r="NLH132" s="531" t="e">
        <f t="shared" si="157"/>
        <v>#DIV/0!</v>
      </c>
      <c r="NLI132" s="531" t="e">
        <f t="shared" si="157"/>
        <v>#DIV/0!</v>
      </c>
      <c r="NLJ132" s="531" t="e">
        <f t="shared" si="157"/>
        <v>#DIV/0!</v>
      </c>
      <c r="NLK132" s="531" t="e">
        <f t="shared" si="157"/>
        <v>#DIV/0!</v>
      </c>
      <c r="NLL132" s="531" t="e">
        <f t="shared" si="157"/>
        <v>#DIV/0!</v>
      </c>
      <c r="NLM132" s="531" t="e">
        <f t="shared" si="157"/>
        <v>#DIV/0!</v>
      </c>
      <c r="NLN132" s="531" t="e">
        <f t="shared" si="157"/>
        <v>#DIV/0!</v>
      </c>
      <c r="NLO132" s="531" t="e">
        <f t="shared" si="157"/>
        <v>#DIV/0!</v>
      </c>
      <c r="NLP132" s="531" t="e">
        <f t="shared" si="157"/>
        <v>#DIV/0!</v>
      </c>
      <c r="NLQ132" s="531" t="e">
        <f t="shared" si="157"/>
        <v>#DIV/0!</v>
      </c>
      <c r="NLR132" s="531" t="e">
        <f t="shared" si="157"/>
        <v>#DIV/0!</v>
      </c>
      <c r="NLS132" s="531" t="e">
        <f t="shared" si="157"/>
        <v>#DIV/0!</v>
      </c>
      <c r="NLT132" s="531" t="e">
        <f t="shared" si="157"/>
        <v>#DIV/0!</v>
      </c>
      <c r="NLU132" s="531" t="e">
        <f t="shared" si="157"/>
        <v>#DIV/0!</v>
      </c>
      <c r="NLV132" s="531" t="e">
        <f t="shared" si="157"/>
        <v>#DIV/0!</v>
      </c>
      <c r="NLW132" s="531" t="e">
        <f t="shared" ref="NLW132:NOH132" si="158">(NLW128-NLW116)/(NLW52*10^5)</f>
        <v>#DIV/0!</v>
      </c>
      <c r="NLX132" s="531" t="e">
        <f t="shared" si="158"/>
        <v>#DIV/0!</v>
      </c>
      <c r="NLY132" s="531" t="e">
        <f t="shared" si="158"/>
        <v>#DIV/0!</v>
      </c>
      <c r="NLZ132" s="531" t="e">
        <f t="shared" si="158"/>
        <v>#DIV/0!</v>
      </c>
      <c r="NMA132" s="531" t="e">
        <f t="shared" si="158"/>
        <v>#DIV/0!</v>
      </c>
      <c r="NMB132" s="531" t="e">
        <f t="shared" si="158"/>
        <v>#DIV/0!</v>
      </c>
      <c r="NMC132" s="531" t="e">
        <f t="shared" si="158"/>
        <v>#DIV/0!</v>
      </c>
      <c r="NMD132" s="531" t="e">
        <f t="shared" si="158"/>
        <v>#DIV/0!</v>
      </c>
      <c r="NME132" s="531" t="e">
        <f t="shared" si="158"/>
        <v>#DIV/0!</v>
      </c>
      <c r="NMF132" s="531" t="e">
        <f t="shared" si="158"/>
        <v>#DIV/0!</v>
      </c>
      <c r="NMG132" s="531" t="e">
        <f t="shared" si="158"/>
        <v>#DIV/0!</v>
      </c>
      <c r="NMH132" s="531" t="e">
        <f t="shared" si="158"/>
        <v>#DIV/0!</v>
      </c>
      <c r="NMI132" s="531" t="e">
        <f t="shared" si="158"/>
        <v>#DIV/0!</v>
      </c>
      <c r="NMJ132" s="531" t="e">
        <f t="shared" si="158"/>
        <v>#DIV/0!</v>
      </c>
      <c r="NMK132" s="531" t="e">
        <f t="shared" si="158"/>
        <v>#DIV/0!</v>
      </c>
      <c r="NML132" s="531" t="e">
        <f t="shared" si="158"/>
        <v>#DIV/0!</v>
      </c>
      <c r="NMM132" s="531" t="e">
        <f t="shared" si="158"/>
        <v>#DIV/0!</v>
      </c>
      <c r="NMN132" s="531" t="e">
        <f t="shared" si="158"/>
        <v>#DIV/0!</v>
      </c>
      <c r="NMO132" s="531" t="e">
        <f t="shared" si="158"/>
        <v>#DIV/0!</v>
      </c>
      <c r="NMP132" s="531" t="e">
        <f t="shared" si="158"/>
        <v>#DIV/0!</v>
      </c>
      <c r="NMQ132" s="531" t="e">
        <f t="shared" si="158"/>
        <v>#DIV/0!</v>
      </c>
      <c r="NMR132" s="531" t="e">
        <f t="shared" si="158"/>
        <v>#DIV/0!</v>
      </c>
      <c r="NMS132" s="531" t="e">
        <f t="shared" si="158"/>
        <v>#DIV/0!</v>
      </c>
      <c r="NMT132" s="531" t="e">
        <f t="shared" si="158"/>
        <v>#DIV/0!</v>
      </c>
      <c r="NMU132" s="531" t="e">
        <f t="shared" si="158"/>
        <v>#DIV/0!</v>
      </c>
      <c r="NMV132" s="531" t="e">
        <f t="shared" si="158"/>
        <v>#DIV/0!</v>
      </c>
      <c r="NMW132" s="531" t="e">
        <f t="shared" si="158"/>
        <v>#DIV/0!</v>
      </c>
      <c r="NMX132" s="531" t="e">
        <f t="shared" si="158"/>
        <v>#DIV/0!</v>
      </c>
      <c r="NMY132" s="531" t="e">
        <f t="shared" si="158"/>
        <v>#DIV/0!</v>
      </c>
      <c r="NMZ132" s="531" t="e">
        <f t="shared" si="158"/>
        <v>#DIV/0!</v>
      </c>
      <c r="NNA132" s="531" t="e">
        <f t="shared" si="158"/>
        <v>#DIV/0!</v>
      </c>
      <c r="NNB132" s="531" t="e">
        <f t="shared" si="158"/>
        <v>#DIV/0!</v>
      </c>
      <c r="NNC132" s="531" t="e">
        <f t="shared" si="158"/>
        <v>#DIV/0!</v>
      </c>
      <c r="NND132" s="531" t="e">
        <f t="shared" si="158"/>
        <v>#DIV/0!</v>
      </c>
      <c r="NNE132" s="531" t="e">
        <f t="shared" si="158"/>
        <v>#DIV/0!</v>
      </c>
      <c r="NNF132" s="531" t="e">
        <f t="shared" si="158"/>
        <v>#DIV/0!</v>
      </c>
      <c r="NNG132" s="531" t="e">
        <f t="shared" si="158"/>
        <v>#DIV/0!</v>
      </c>
      <c r="NNH132" s="531" t="e">
        <f t="shared" si="158"/>
        <v>#DIV/0!</v>
      </c>
      <c r="NNI132" s="531" t="e">
        <f t="shared" si="158"/>
        <v>#DIV/0!</v>
      </c>
      <c r="NNJ132" s="531" t="e">
        <f t="shared" si="158"/>
        <v>#DIV/0!</v>
      </c>
      <c r="NNK132" s="531" t="e">
        <f t="shared" si="158"/>
        <v>#DIV/0!</v>
      </c>
      <c r="NNL132" s="531" t="e">
        <f t="shared" si="158"/>
        <v>#DIV/0!</v>
      </c>
      <c r="NNM132" s="531" t="e">
        <f t="shared" si="158"/>
        <v>#DIV/0!</v>
      </c>
      <c r="NNN132" s="531" t="e">
        <f t="shared" si="158"/>
        <v>#DIV/0!</v>
      </c>
      <c r="NNO132" s="531" t="e">
        <f t="shared" si="158"/>
        <v>#DIV/0!</v>
      </c>
      <c r="NNP132" s="531" t="e">
        <f t="shared" si="158"/>
        <v>#DIV/0!</v>
      </c>
      <c r="NNQ132" s="531" t="e">
        <f t="shared" si="158"/>
        <v>#DIV/0!</v>
      </c>
      <c r="NNR132" s="531" t="e">
        <f t="shared" si="158"/>
        <v>#DIV/0!</v>
      </c>
      <c r="NNS132" s="531" t="e">
        <f t="shared" si="158"/>
        <v>#DIV/0!</v>
      </c>
      <c r="NNT132" s="531" t="e">
        <f t="shared" si="158"/>
        <v>#DIV/0!</v>
      </c>
      <c r="NNU132" s="531" t="e">
        <f t="shared" si="158"/>
        <v>#DIV/0!</v>
      </c>
      <c r="NNV132" s="531" t="e">
        <f t="shared" si="158"/>
        <v>#DIV/0!</v>
      </c>
      <c r="NNW132" s="531" t="e">
        <f t="shared" si="158"/>
        <v>#DIV/0!</v>
      </c>
      <c r="NNX132" s="531" t="e">
        <f t="shared" si="158"/>
        <v>#DIV/0!</v>
      </c>
      <c r="NNY132" s="531" t="e">
        <f t="shared" si="158"/>
        <v>#DIV/0!</v>
      </c>
      <c r="NNZ132" s="531" t="e">
        <f t="shared" si="158"/>
        <v>#DIV/0!</v>
      </c>
      <c r="NOA132" s="531" t="e">
        <f t="shared" si="158"/>
        <v>#DIV/0!</v>
      </c>
      <c r="NOB132" s="531" t="e">
        <f t="shared" si="158"/>
        <v>#DIV/0!</v>
      </c>
      <c r="NOC132" s="531" t="e">
        <f t="shared" si="158"/>
        <v>#DIV/0!</v>
      </c>
      <c r="NOD132" s="531" t="e">
        <f t="shared" si="158"/>
        <v>#DIV/0!</v>
      </c>
      <c r="NOE132" s="531" t="e">
        <f t="shared" si="158"/>
        <v>#DIV/0!</v>
      </c>
      <c r="NOF132" s="531" t="e">
        <f t="shared" si="158"/>
        <v>#DIV/0!</v>
      </c>
      <c r="NOG132" s="531" t="e">
        <f t="shared" si="158"/>
        <v>#DIV/0!</v>
      </c>
      <c r="NOH132" s="531" t="e">
        <f t="shared" si="158"/>
        <v>#DIV/0!</v>
      </c>
      <c r="NOI132" s="531" t="e">
        <f t="shared" ref="NOI132:NQT132" si="159">(NOI128-NOI116)/(NOI52*10^5)</f>
        <v>#DIV/0!</v>
      </c>
      <c r="NOJ132" s="531" t="e">
        <f t="shared" si="159"/>
        <v>#DIV/0!</v>
      </c>
      <c r="NOK132" s="531" t="e">
        <f t="shared" si="159"/>
        <v>#DIV/0!</v>
      </c>
      <c r="NOL132" s="531" t="e">
        <f t="shared" si="159"/>
        <v>#DIV/0!</v>
      </c>
      <c r="NOM132" s="531" t="e">
        <f t="shared" si="159"/>
        <v>#DIV/0!</v>
      </c>
      <c r="NON132" s="531" t="e">
        <f t="shared" si="159"/>
        <v>#DIV/0!</v>
      </c>
      <c r="NOO132" s="531" t="e">
        <f t="shared" si="159"/>
        <v>#DIV/0!</v>
      </c>
      <c r="NOP132" s="531" t="e">
        <f t="shared" si="159"/>
        <v>#DIV/0!</v>
      </c>
      <c r="NOQ132" s="531" t="e">
        <f t="shared" si="159"/>
        <v>#DIV/0!</v>
      </c>
      <c r="NOR132" s="531" t="e">
        <f t="shared" si="159"/>
        <v>#DIV/0!</v>
      </c>
      <c r="NOS132" s="531" t="e">
        <f t="shared" si="159"/>
        <v>#DIV/0!</v>
      </c>
      <c r="NOT132" s="531" t="e">
        <f t="shared" si="159"/>
        <v>#DIV/0!</v>
      </c>
      <c r="NOU132" s="531" t="e">
        <f t="shared" si="159"/>
        <v>#DIV/0!</v>
      </c>
      <c r="NOV132" s="531" t="e">
        <f t="shared" si="159"/>
        <v>#DIV/0!</v>
      </c>
      <c r="NOW132" s="531" t="e">
        <f t="shared" si="159"/>
        <v>#DIV/0!</v>
      </c>
      <c r="NOX132" s="531" t="e">
        <f t="shared" si="159"/>
        <v>#DIV/0!</v>
      </c>
      <c r="NOY132" s="531" t="e">
        <f t="shared" si="159"/>
        <v>#DIV/0!</v>
      </c>
      <c r="NOZ132" s="531" t="e">
        <f t="shared" si="159"/>
        <v>#DIV/0!</v>
      </c>
      <c r="NPA132" s="531" t="e">
        <f t="shared" si="159"/>
        <v>#DIV/0!</v>
      </c>
      <c r="NPB132" s="531" t="e">
        <f t="shared" si="159"/>
        <v>#DIV/0!</v>
      </c>
      <c r="NPC132" s="531" t="e">
        <f t="shared" si="159"/>
        <v>#DIV/0!</v>
      </c>
      <c r="NPD132" s="531" t="e">
        <f t="shared" si="159"/>
        <v>#DIV/0!</v>
      </c>
      <c r="NPE132" s="531" t="e">
        <f t="shared" si="159"/>
        <v>#DIV/0!</v>
      </c>
      <c r="NPF132" s="531" t="e">
        <f t="shared" si="159"/>
        <v>#DIV/0!</v>
      </c>
      <c r="NPG132" s="531" t="e">
        <f t="shared" si="159"/>
        <v>#DIV/0!</v>
      </c>
      <c r="NPH132" s="531" t="e">
        <f t="shared" si="159"/>
        <v>#DIV/0!</v>
      </c>
      <c r="NPI132" s="531" t="e">
        <f t="shared" si="159"/>
        <v>#DIV/0!</v>
      </c>
      <c r="NPJ132" s="531" t="e">
        <f t="shared" si="159"/>
        <v>#DIV/0!</v>
      </c>
      <c r="NPK132" s="531" t="e">
        <f t="shared" si="159"/>
        <v>#DIV/0!</v>
      </c>
      <c r="NPL132" s="531" t="e">
        <f t="shared" si="159"/>
        <v>#DIV/0!</v>
      </c>
      <c r="NPM132" s="531" t="e">
        <f t="shared" si="159"/>
        <v>#DIV/0!</v>
      </c>
      <c r="NPN132" s="531" t="e">
        <f t="shared" si="159"/>
        <v>#DIV/0!</v>
      </c>
      <c r="NPO132" s="531" t="e">
        <f t="shared" si="159"/>
        <v>#DIV/0!</v>
      </c>
      <c r="NPP132" s="531" t="e">
        <f t="shared" si="159"/>
        <v>#DIV/0!</v>
      </c>
      <c r="NPQ132" s="531" t="e">
        <f t="shared" si="159"/>
        <v>#DIV/0!</v>
      </c>
      <c r="NPR132" s="531" t="e">
        <f t="shared" si="159"/>
        <v>#DIV/0!</v>
      </c>
      <c r="NPS132" s="531" t="e">
        <f t="shared" si="159"/>
        <v>#DIV/0!</v>
      </c>
      <c r="NPT132" s="531" t="e">
        <f t="shared" si="159"/>
        <v>#DIV/0!</v>
      </c>
      <c r="NPU132" s="531" t="e">
        <f t="shared" si="159"/>
        <v>#DIV/0!</v>
      </c>
      <c r="NPV132" s="531" t="e">
        <f t="shared" si="159"/>
        <v>#DIV/0!</v>
      </c>
      <c r="NPW132" s="531" t="e">
        <f t="shared" si="159"/>
        <v>#DIV/0!</v>
      </c>
      <c r="NPX132" s="531" t="e">
        <f t="shared" si="159"/>
        <v>#DIV/0!</v>
      </c>
      <c r="NPY132" s="531" t="e">
        <f t="shared" si="159"/>
        <v>#DIV/0!</v>
      </c>
      <c r="NPZ132" s="531" t="e">
        <f t="shared" si="159"/>
        <v>#DIV/0!</v>
      </c>
      <c r="NQA132" s="531" t="e">
        <f t="shared" si="159"/>
        <v>#DIV/0!</v>
      </c>
      <c r="NQB132" s="531" t="e">
        <f t="shared" si="159"/>
        <v>#DIV/0!</v>
      </c>
      <c r="NQC132" s="531" t="e">
        <f t="shared" si="159"/>
        <v>#DIV/0!</v>
      </c>
      <c r="NQD132" s="531" t="e">
        <f t="shared" si="159"/>
        <v>#DIV/0!</v>
      </c>
      <c r="NQE132" s="531" t="e">
        <f t="shared" si="159"/>
        <v>#DIV/0!</v>
      </c>
      <c r="NQF132" s="531" t="e">
        <f t="shared" si="159"/>
        <v>#DIV/0!</v>
      </c>
      <c r="NQG132" s="531" t="e">
        <f t="shared" si="159"/>
        <v>#DIV/0!</v>
      </c>
      <c r="NQH132" s="531" t="e">
        <f t="shared" si="159"/>
        <v>#DIV/0!</v>
      </c>
      <c r="NQI132" s="531" t="e">
        <f t="shared" si="159"/>
        <v>#DIV/0!</v>
      </c>
      <c r="NQJ132" s="531" t="e">
        <f t="shared" si="159"/>
        <v>#DIV/0!</v>
      </c>
      <c r="NQK132" s="531" t="e">
        <f t="shared" si="159"/>
        <v>#DIV/0!</v>
      </c>
      <c r="NQL132" s="531" t="e">
        <f t="shared" si="159"/>
        <v>#DIV/0!</v>
      </c>
      <c r="NQM132" s="531" t="e">
        <f t="shared" si="159"/>
        <v>#DIV/0!</v>
      </c>
      <c r="NQN132" s="531" t="e">
        <f t="shared" si="159"/>
        <v>#DIV/0!</v>
      </c>
      <c r="NQO132" s="531" t="e">
        <f t="shared" si="159"/>
        <v>#DIV/0!</v>
      </c>
      <c r="NQP132" s="531" t="e">
        <f t="shared" si="159"/>
        <v>#DIV/0!</v>
      </c>
      <c r="NQQ132" s="531" t="e">
        <f t="shared" si="159"/>
        <v>#DIV/0!</v>
      </c>
      <c r="NQR132" s="531" t="e">
        <f t="shared" si="159"/>
        <v>#DIV/0!</v>
      </c>
      <c r="NQS132" s="531" t="e">
        <f t="shared" si="159"/>
        <v>#DIV/0!</v>
      </c>
      <c r="NQT132" s="531" t="e">
        <f t="shared" si="159"/>
        <v>#DIV/0!</v>
      </c>
      <c r="NQU132" s="531" t="e">
        <f t="shared" ref="NQU132:NTF132" si="160">(NQU128-NQU116)/(NQU52*10^5)</f>
        <v>#DIV/0!</v>
      </c>
      <c r="NQV132" s="531" t="e">
        <f t="shared" si="160"/>
        <v>#DIV/0!</v>
      </c>
      <c r="NQW132" s="531" t="e">
        <f t="shared" si="160"/>
        <v>#DIV/0!</v>
      </c>
      <c r="NQX132" s="531" t="e">
        <f t="shared" si="160"/>
        <v>#DIV/0!</v>
      </c>
      <c r="NQY132" s="531" t="e">
        <f t="shared" si="160"/>
        <v>#DIV/0!</v>
      </c>
      <c r="NQZ132" s="531" t="e">
        <f t="shared" si="160"/>
        <v>#DIV/0!</v>
      </c>
      <c r="NRA132" s="531" t="e">
        <f t="shared" si="160"/>
        <v>#DIV/0!</v>
      </c>
      <c r="NRB132" s="531" t="e">
        <f t="shared" si="160"/>
        <v>#DIV/0!</v>
      </c>
      <c r="NRC132" s="531" t="e">
        <f t="shared" si="160"/>
        <v>#DIV/0!</v>
      </c>
      <c r="NRD132" s="531" t="e">
        <f t="shared" si="160"/>
        <v>#DIV/0!</v>
      </c>
      <c r="NRE132" s="531" t="e">
        <f t="shared" si="160"/>
        <v>#DIV/0!</v>
      </c>
      <c r="NRF132" s="531" t="e">
        <f t="shared" si="160"/>
        <v>#DIV/0!</v>
      </c>
      <c r="NRG132" s="531" t="e">
        <f t="shared" si="160"/>
        <v>#DIV/0!</v>
      </c>
      <c r="NRH132" s="531" t="e">
        <f t="shared" si="160"/>
        <v>#DIV/0!</v>
      </c>
      <c r="NRI132" s="531" t="e">
        <f t="shared" si="160"/>
        <v>#DIV/0!</v>
      </c>
      <c r="NRJ132" s="531" t="e">
        <f t="shared" si="160"/>
        <v>#DIV/0!</v>
      </c>
      <c r="NRK132" s="531" t="e">
        <f t="shared" si="160"/>
        <v>#DIV/0!</v>
      </c>
      <c r="NRL132" s="531" t="e">
        <f t="shared" si="160"/>
        <v>#DIV/0!</v>
      </c>
      <c r="NRM132" s="531" t="e">
        <f t="shared" si="160"/>
        <v>#DIV/0!</v>
      </c>
      <c r="NRN132" s="531" t="e">
        <f t="shared" si="160"/>
        <v>#DIV/0!</v>
      </c>
      <c r="NRO132" s="531" t="e">
        <f t="shared" si="160"/>
        <v>#DIV/0!</v>
      </c>
      <c r="NRP132" s="531" t="e">
        <f t="shared" si="160"/>
        <v>#DIV/0!</v>
      </c>
      <c r="NRQ132" s="531" t="e">
        <f t="shared" si="160"/>
        <v>#DIV/0!</v>
      </c>
      <c r="NRR132" s="531" t="e">
        <f t="shared" si="160"/>
        <v>#DIV/0!</v>
      </c>
      <c r="NRS132" s="531" t="e">
        <f t="shared" si="160"/>
        <v>#DIV/0!</v>
      </c>
      <c r="NRT132" s="531" t="e">
        <f t="shared" si="160"/>
        <v>#DIV/0!</v>
      </c>
      <c r="NRU132" s="531" t="e">
        <f t="shared" si="160"/>
        <v>#DIV/0!</v>
      </c>
      <c r="NRV132" s="531" t="e">
        <f t="shared" si="160"/>
        <v>#DIV/0!</v>
      </c>
      <c r="NRW132" s="531" t="e">
        <f t="shared" si="160"/>
        <v>#DIV/0!</v>
      </c>
      <c r="NRX132" s="531" t="e">
        <f t="shared" si="160"/>
        <v>#DIV/0!</v>
      </c>
      <c r="NRY132" s="531" t="e">
        <f t="shared" si="160"/>
        <v>#DIV/0!</v>
      </c>
      <c r="NRZ132" s="531" t="e">
        <f t="shared" si="160"/>
        <v>#DIV/0!</v>
      </c>
      <c r="NSA132" s="531" t="e">
        <f t="shared" si="160"/>
        <v>#DIV/0!</v>
      </c>
      <c r="NSB132" s="531" t="e">
        <f t="shared" si="160"/>
        <v>#DIV/0!</v>
      </c>
      <c r="NSC132" s="531" t="e">
        <f t="shared" si="160"/>
        <v>#DIV/0!</v>
      </c>
      <c r="NSD132" s="531" t="e">
        <f t="shared" si="160"/>
        <v>#DIV/0!</v>
      </c>
      <c r="NSE132" s="531" t="e">
        <f t="shared" si="160"/>
        <v>#DIV/0!</v>
      </c>
      <c r="NSF132" s="531" t="e">
        <f t="shared" si="160"/>
        <v>#DIV/0!</v>
      </c>
      <c r="NSG132" s="531" t="e">
        <f t="shared" si="160"/>
        <v>#DIV/0!</v>
      </c>
      <c r="NSH132" s="531" t="e">
        <f t="shared" si="160"/>
        <v>#DIV/0!</v>
      </c>
      <c r="NSI132" s="531" t="e">
        <f t="shared" si="160"/>
        <v>#DIV/0!</v>
      </c>
      <c r="NSJ132" s="531" t="e">
        <f t="shared" si="160"/>
        <v>#DIV/0!</v>
      </c>
      <c r="NSK132" s="531" t="e">
        <f t="shared" si="160"/>
        <v>#DIV/0!</v>
      </c>
      <c r="NSL132" s="531" t="e">
        <f t="shared" si="160"/>
        <v>#DIV/0!</v>
      </c>
      <c r="NSM132" s="531" t="e">
        <f t="shared" si="160"/>
        <v>#DIV/0!</v>
      </c>
      <c r="NSN132" s="531" t="e">
        <f t="shared" si="160"/>
        <v>#DIV/0!</v>
      </c>
      <c r="NSO132" s="531" t="e">
        <f t="shared" si="160"/>
        <v>#DIV/0!</v>
      </c>
      <c r="NSP132" s="531" t="e">
        <f t="shared" si="160"/>
        <v>#DIV/0!</v>
      </c>
      <c r="NSQ132" s="531" t="e">
        <f t="shared" si="160"/>
        <v>#DIV/0!</v>
      </c>
      <c r="NSR132" s="531" t="e">
        <f t="shared" si="160"/>
        <v>#DIV/0!</v>
      </c>
      <c r="NSS132" s="531" t="e">
        <f t="shared" si="160"/>
        <v>#DIV/0!</v>
      </c>
      <c r="NST132" s="531" t="e">
        <f t="shared" si="160"/>
        <v>#DIV/0!</v>
      </c>
      <c r="NSU132" s="531" t="e">
        <f t="shared" si="160"/>
        <v>#DIV/0!</v>
      </c>
      <c r="NSV132" s="531" t="e">
        <f t="shared" si="160"/>
        <v>#DIV/0!</v>
      </c>
      <c r="NSW132" s="531" t="e">
        <f t="shared" si="160"/>
        <v>#DIV/0!</v>
      </c>
      <c r="NSX132" s="531" t="e">
        <f t="shared" si="160"/>
        <v>#DIV/0!</v>
      </c>
      <c r="NSY132" s="531" t="e">
        <f t="shared" si="160"/>
        <v>#DIV/0!</v>
      </c>
      <c r="NSZ132" s="531" t="e">
        <f t="shared" si="160"/>
        <v>#DIV/0!</v>
      </c>
      <c r="NTA132" s="531" t="e">
        <f t="shared" si="160"/>
        <v>#DIV/0!</v>
      </c>
      <c r="NTB132" s="531" t="e">
        <f t="shared" si="160"/>
        <v>#DIV/0!</v>
      </c>
      <c r="NTC132" s="531" t="e">
        <f t="shared" si="160"/>
        <v>#DIV/0!</v>
      </c>
      <c r="NTD132" s="531" t="e">
        <f t="shared" si="160"/>
        <v>#DIV/0!</v>
      </c>
      <c r="NTE132" s="531" t="e">
        <f t="shared" si="160"/>
        <v>#DIV/0!</v>
      </c>
      <c r="NTF132" s="531" t="e">
        <f t="shared" si="160"/>
        <v>#DIV/0!</v>
      </c>
      <c r="NTG132" s="531" t="e">
        <f t="shared" ref="NTG132:NVR132" si="161">(NTG128-NTG116)/(NTG52*10^5)</f>
        <v>#DIV/0!</v>
      </c>
      <c r="NTH132" s="531" t="e">
        <f t="shared" si="161"/>
        <v>#DIV/0!</v>
      </c>
      <c r="NTI132" s="531" t="e">
        <f t="shared" si="161"/>
        <v>#DIV/0!</v>
      </c>
      <c r="NTJ132" s="531" t="e">
        <f t="shared" si="161"/>
        <v>#DIV/0!</v>
      </c>
      <c r="NTK132" s="531" t="e">
        <f t="shared" si="161"/>
        <v>#DIV/0!</v>
      </c>
      <c r="NTL132" s="531" t="e">
        <f t="shared" si="161"/>
        <v>#DIV/0!</v>
      </c>
      <c r="NTM132" s="531" t="e">
        <f t="shared" si="161"/>
        <v>#DIV/0!</v>
      </c>
      <c r="NTN132" s="531" t="e">
        <f t="shared" si="161"/>
        <v>#DIV/0!</v>
      </c>
      <c r="NTO132" s="531" t="e">
        <f t="shared" si="161"/>
        <v>#DIV/0!</v>
      </c>
      <c r="NTP132" s="531" t="e">
        <f t="shared" si="161"/>
        <v>#DIV/0!</v>
      </c>
      <c r="NTQ132" s="531" t="e">
        <f t="shared" si="161"/>
        <v>#DIV/0!</v>
      </c>
      <c r="NTR132" s="531" t="e">
        <f t="shared" si="161"/>
        <v>#DIV/0!</v>
      </c>
      <c r="NTS132" s="531" t="e">
        <f t="shared" si="161"/>
        <v>#DIV/0!</v>
      </c>
      <c r="NTT132" s="531" t="e">
        <f t="shared" si="161"/>
        <v>#DIV/0!</v>
      </c>
      <c r="NTU132" s="531" t="e">
        <f t="shared" si="161"/>
        <v>#DIV/0!</v>
      </c>
      <c r="NTV132" s="531" t="e">
        <f t="shared" si="161"/>
        <v>#DIV/0!</v>
      </c>
      <c r="NTW132" s="531" t="e">
        <f t="shared" si="161"/>
        <v>#DIV/0!</v>
      </c>
      <c r="NTX132" s="531" t="e">
        <f t="shared" si="161"/>
        <v>#DIV/0!</v>
      </c>
      <c r="NTY132" s="531" t="e">
        <f t="shared" si="161"/>
        <v>#DIV/0!</v>
      </c>
      <c r="NTZ132" s="531" t="e">
        <f t="shared" si="161"/>
        <v>#DIV/0!</v>
      </c>
      <c r="NUA132" s="531" t="e">
        <f t="shared" si="161"/>
        <v>#DIV/0!</v>
      </c>
      <c r="NUB132" s="531" t="e">
        <f t="shared" si="161"/>
        <v>#DIV/0!</v>
      </c>
      <c r="NUC132" s="531" t="e">
        <f t="shared" si="161"/>
        <v>#DIV/0!</v>
      </c>
      <c r="NUD132" s="531" t="e">
        <f t="shared" si="161"/>
        <v>#DIV/0!</v>
      </c>
      <c r="NUE132" s="531" t="e">
        <f t="shared" si="161"/>
        <v>#DIV/0!</v>
      </c>
      <c r="NUF132" s="531" t="e">
        <f t="shared" si="161"/>
        <v>#DIV/0!</v>
      </c>
      <c r="NUG132" s="531" t="e">
        <f t="shared" si="161"/>
        <v>#DIV/0!</v>
      </c>
      <c r="NUH132" s="531" t="e">
        <f t="shared" si="161"/>
        <v>#DIV/0!</v>
      </c>
      <c r="NUI132" s="531" t="e">
        <f t="shared" si="161"/>
        <v>#DIV/0!</v>
      </c>
      <c r="NUJ132" s="531" t="e">
        <f t="shared" si="161"/>
        <v>#DIV/0!</v>
      </c>
      <c r="NUK132" s="531" t="e">
        <f t="shared" si="161"/>
        <v>#DIV/0!</v>
      </c>
      <c r="NUL132" s="531" t="e">
        <f t="shared" si="161"/>
        <v>#DIV/0!</v>
      </c>
      <c r="NUM132" s="531" t="e">
        <f t="shared" si="161"/>
        <v>#DIV/0!</v>
      </c>
      <c r="NUN132" s="531" t="e">
        <f t="shared" si="161"/>
        <v>#DIV/0!</v>
      </c>
      <c r="NUO132" s="531" t="e">
        <f t="shared" si="161"/>
        <v>#DIV/0!</v>
      </c>
      <c r="NUP132" s="531" t="e">
        <f t="shared" si="161"/>
        <v>#DIV/0!</v>
      </c>
      <c r="NUQ132" s="531" t="e">
        <f t="shared" si="161"/>
        <v>#DIV/0!</v>
      </c>
      <c r="NUR132" s="531" t="e">
        <f t="shared" si="161"/>
        <v>#DIV/0!</v>
      </c>
      <c r="NUS132" s="531" t="e">
        <f t="shared" si="161"/>
        <v>#DIV/0!</v>
      </c>
      <c r="NUT132" s="531" t="e">
        <f t="shared" si="161"/>
        <v>#DIV/0!</v>
      </c>
      <c r="NUU132" s="531" t="e">
        <f t="shared" si="161"/>
        <v>#DIV/0!</v>
      </c>
      <c r="NUV132" s="531" t="e">
        <f t="shared" si="161"/>
        <v>#DIV/0!</v>
      </c>
      <c r="NUW132" s="531" t="e">
        <f t="shared" si="161"/>
        <v>#DIV/0!</v>
      </c>
      <c r="NUX132" s="531" t="e">
        <f t="shared" si="161"/>
        <v>#DIV/0!</v>
      </c>
      <c r="NUY132" s="531" t="e">
        <f t="shared" si="161"/>
        <v>#DIV/0!</v>
      </c>
      <c r="NUZ132" s="531" t="e">
        <f t="shared" si="161"/>
        <v>#DIV/0!</v>
      </c>
      <c r="NVA132" s="531" t="e">
        <f t="shared" si="161"/>
        <v>#DIV/0!</v>
      </c>
      <c r="NVB132" s="531" t="e">
        <f t="shared" si="161"/>
        <v>#DIV/0!</v>
      </c>
      <c r="NVC132" s="531" t="e">
        <f t="shared" si="161"/>
        <v>#DIV/0!</v>
      </c>
      <c r="NVD132" s="531" t="e">
        <f t="shared" si="161"/>
        <v>#DIV/0!</v>
      </c>
      <c r="NVE132" s="531" t="e">
        <f t="shared" si="161"/>
        <v>#DIV/0!</v>
      </c>
      <c r="NVF132" s="531" t="e">
        <f t="shared" si="161"/>
        <v>#DIV/0!</v>
      </c>
      <c r="NVG132" s="531" t="e">
        <f t="shared" si="161"/>
        <v>#DIV/0!</v>
      </c>
      <c r="NVH132" s="531" t="e">
        <f t="shared" si="161"/>
        <v>#DIV/0!</v>
      </c>
      <c r="NVI132" s="531" t="e">
        <f t="shared" si="161"/>
        <v>#DIV/0!</v>
      </c>
      <c r="NVJ132" s="531" t="e">
        <f t="shared" si="161"/>
        <v>#DIV/0!</v>
      </c>
      <c r="NVK132" s="531" t="e">
        <f t="shared" si="161"/>
        <v>#DIV/0!</v>
      </c>
      <c r="NVL132" s="531" t="e">
        <f t="shared" si="161"/>
        <v>#DIV/0!</v>
      </c>
      <c r="NVM132" s="531" t="e">
        <f t="shared" si="161"/>
        <v>#DIV/0!</v>
      </c>
      <c r="NVN132" s="531" t="e">
        <f t="shared" si="161"/>
        <v>#DIV/0!</v>
      </c>
      <c r="NVO132" s="531" t="e">
        <f t="shared" si="161"/>
        <v>#DIV/0!</v>
      </c>
      <c r="NVP132" s="531" t="e">
        <f t="shared" si="161"/>
        <v>#DIV/0!</v>
      </c>
      <c r="NVQ132" s="531" t="e">
        <f t="shared" si="161"/>
        <v>#DIV/0!</v>
      </c>
      <c r="NVR132" s="531" t="e">
        <f t="shared" si="161"/>
        <v>#DIV/0!</v>
      </c>
      <c r="NVS132" s="531" t="e">
        <f t="shared" ref="NVS132:NYD132" si="162">(NVS128-NVS116)/(NVS52*10^5)</f>
        <v>#DIV/0!</v>
      </c>
      <c r="NVT132" s="531" t="e">
        <f t="shared" si="162"/>
        <v>#DIV/0!</v>
      </c>
      <c r="NVU132" s="531" t="e">
        <f t="shared" si="162"/>
        <v>#DIV/0!</v>
      </c>
      <c r="NVV132" s="531" t="e">
        <f t="shared" si="162"/>
        <v>#DIV/0!</v>
      </c>
      <c r="NVW132" s="531" t="e">
        <f t="shared" si="162"/>
        <v>#DIV/0!</v>
      </c>
      <c r="NVX132" s="531" t="e">
        <f t="shared" si="162"/>
        <v>#DIV/0!</v>
      </c>
      <c r="NVY132" s="531" t="e">
        <f t="shared" si="162"/>
        <v>#DIV/0!</v>
      </c>
      <c r="NVZ132" s="531" t="e">
        <f t="shared" si="162"/>
        <v>#DIV/0!</v>
      </c>
      <c r="NWA132" s="531" t="e">
        <f t="shared" si="162"/>
        <v>#DIV/0!</v>
      </c>
      <c r="NWB132" s="531" t="e">
        <f t="shared" si="162"/>
        <v>#DIV/0!</v>
      </c>
      <c r="NWC132" s="531" t="e">
        <f t="shared" si="162"/>
        <v>#DIV/0!</v>
      </c>
      <c r="NWD132" s="531" t="e">
        <f t="shared" si="162"/>
        <v>#DIV/0!</v>
      </c>
      <c r="NWE132" s="531" t="e">
        <f t="shared" si="162"/>
        <v>#DIV/0!</v>
      </c>
      <c r="NWF132" s="531" t="e">
        <f t="shared" si="162"/>
        <v>#DIV/0!</v>
      </c>
      <c r="NWG132" s="531" t="e">
        <f t="shared" si="162"/>
        <v>#DIV/0!</v>
      </c>
      <c r="NWH132" s="531" t="e">
        <f t="shared" si="162"/>
        <v>#DIV/0!</v>
      </c>
      <c r="NWI132" s="531" t="e">
        <f t="shared" si="162"/>
        <v>#DIV/0!</v>
      </c>
      <c r="NWJ132" s="531" t="e">
        <f t="shared" si="162"/>
        <v>#DIV/0!</v>
      </c>
      <c r="NWK132" s="531" t="e">
        <f t="shared" si="162"/>
        <v>#DIV/0!</v>
      </c>
      <c r="NWL132" s="531" t="e">
        <f t="shared" si="162"/>
        <v>#DIV/0!</v>
      </c>
      <c r="NWM132" s="531" t="e">
        <f t="shared" si="162"/>
        <v>#DIV/0!</v>
      </c>
      <c r="NWN132" s="531" t="e">
        <f t="shared" si="162"/>
        <v>#DIV/0!</v>
      </c>
      <c r="NWO132" s="531" t="e">
        <f t="shared" si="162"/>
        <v>#DIV/0!</v>
      </c>
      <c r="NWP132" s="531" t="e">
        <f t="shared" si="162"/>
        <v>#DIV/0!</v>
      </c>
      <c r="NWQ132" s="531" t="e">
        <f t="shared" si="162"/>
        <v>#DIV/0!</v>
      </c>
      <c r="NWR132" s="531" t="e">
        <f t="shared" si="162"/>
        <v>#DIV/0!</v>
      </c>
      <c r="NWS132" s="531" t="e">
        <f t="shared" si="162"/>
        <v>#DIV/0!</v>
      </c>
      <c r="NWT132" s="531" t="e">
        <f t="shared" si="162"/>
        <v>#DIV/0!</v>
      </c>
      <c r="NWU132" s="531" t="e">
        <f t="shared" si="162"/>
        <v>#DIV/0!</v>
      </c>
      <c r="NWV132" s="531" t="e">
        <f t="shared" si="162"/>
        <v>#DIV/0!</v>
      </c>
      <c r="NWW132" s="531" t="e">
        <f t="shared" si="162"/>
        <v>#DIV/0!</v>
      </c>
      <c r="NWX132" s="531" t="e">
        <f t="shared" si="162"/>
        <v>#DIV/0!</v>
      </c>
      <c r="NWY132" s="531" t="e">
        <f t="shared" si="162"/>
        <v>#DIV/0!</v>
      </c>
      <c r="NWZ132" s="531" t="e">
        <f t="shared" si="162"/>
        <v>#DIV/0!</v>
      </c>
      <c r="NXA132" s="531" t="e">
        <f t="shared" si="162"/>
        <v>#DIV/0!</v>
      </c>
      <c r="NXB132" s="531" t="e">
        <f t="shared" si="162"/>
        <v>#DIV/0!</v>
      </c>
      <c r="NXC132" s="531" t="e">
        <f t="shared" si="162"/>
        <v>#DIV/0!</v>
      </c>
      <c r="NXD132" s="531" t="e">
        <f t="shared" si="162"/>
        <v>#DIV/0!</v>
      </c>
      <c r="NXE132" s="531" t="e">
        <f t="shared" si="162"/>
        <v>#DIV/0!</v>
      </c>
      <c r="NXF132" s="531" t="e">
        <f t="shared" si="162"/>
        <v>#DIV/0!</v>
      </c>
      <c r="NXG132" s="531" t="e">
        <f t="shared" si="162"/>
        <v>#DIV/0!</v>
      </c>
      <c r="NXH132" s="531" t="e">
        <f t="shared" si="162"/>
        <v>#DIV/0!</v>
      </c>
      <c r="NXI132" s="531" t="e">
        <f t="shared" si="162"/>
        <v>#DIV/0!</v>
      </c>
      <c r="NXJ132" s="531" t="e">
        <f t="shared" si="162"/>
        <v>#DIV/0!</v>
      </c>
      <c r="NXK132" s="531" t="e">
        <f t="shared" si="162"/>
        <v>#DIV/0!</v>
      </c>
      <c r="NXL132" s="531" t="e">
        <f t="shared" si="162"/>
        <v>#DIV/0!</v>
      </c>
      <c r="NXM132" s="531" t="e">
        <f t="shared" si="162"/>
        <v>#DIV/0!</v>
      </c>
      <c r="NXN132" s="531" t="e">
        <f t="shared" si="162"/>
        <v>#DIV/0!</v>
      </c>
      <c r="NXO132" s="531" t="e">
        <f t="shared" si="162"/>
        <v>#DIV/0!</v>
      </c>
      <c r="NXP132" s="531" t="e">
        <f t="shared" si="162"/>
        <v>#DIV/0!</v>
      </c>
      <c r="NXQ132" s="531" t="e">
        <f t="shared" si="162"/>
        <v>#DIV/0!</v>
      </c>
      <c r="NXR132" s="531" t="e">
        <f t="shared" si="162"/>
        <v>#DIV/0!</v>
      </c>
      <c r="NXS132" s="531" t="e">
        <f t="shared" si="162"/>
        <v>#DIV/0!</v>
      </c>
      <c r="NXT132" s="531" t="e">
        <f t="shared" si="162"/>
        <v>#DIV/0!</v>
      </c>
      <c r="NXU132" s="531" t="e">
        <f t="shared" si="162"/>
        <v>#DIV/0!</v>
      </c>
      <c r="NXV132" s="531" t="e">
        <f t="shared" si="162"/>
        <v>#DIV/0!</v>
      </c>
      <c r="NXW132" s="531" t="e">
        <f t="shared" si="162"/>
        <v>#DIV/0!</v>
      </c>
      <c r="NXX132" s="531" t="e">
        <f t="shared" si="162"/>
        <v>#DIV/0!</v>
      </c>
      <c r="NXY132" s="531" t="e">
        <f t="shared" si="162"/>
        <v>#DIV/0!</v>
      </c>
      <c r="NXZ132" s="531" t="e">
        <f t="shared" si="162"/>
        <v>#DIV/0!</v>
      </c>
      <c r="NYA132" s="531" t="e">
        <f t="shared" si="162"/>
        <v>#DIV/0!</v>
      </c>
      <c r="NYB132" s="531" t="e">
        <f t="shared" si="162"/>
        <v>#DIV/0!</v>
      </c>
      <c r="NYC132" s="531" t="e">
        <f t="shared" si="162"/>
        <v>#DIV/0!</v>
      </c>
      <c r="NYD132" s="531" t="e">
        <f t="shared" si="162"/>
        <v>#DIV/0!</v>
      </c>
      <c r="NYE132" s="531" t="e">
        <f t="shared" ref="NYE132:OAP132" si="163">(NYE128-NYE116)/(NYE52*10^5)</f>
        <v>#DIV/0!</v>
      </c>
      <c r="NYF132" s="531" t="e">
        <f t="shared" si="163"/>
        <v>#DIV/0!</v>
      </c>
      <c r="NYG132" s="531" t="e">
        <f t="shared" si="163"/>
        <v>#DIV/0!</v>
      </c>
      <c r="NYH132" s="531" t="e">
        <f t="shared" si="163"/>
        <v>#DIV/0!</v>
      </c>
      <c r="NYI132" s="531" t="e">
        <f t="shared" si="163"/>
        <v>#DIV/0!</v>
      </c>
      <c r="NYJ132" s="531" t="e">
        <f t="shared" si="163"/>
        <v>#DIV/0!</v>
      </c>
      <c r="NYK132" s="531" t="e">
        <f t="shared" si="163"/>
        <v>#DIV/0!</v>
      </c>
      <c r="NYL132" s="531" t="e">
        <f t="shared" si="163"/>
        <v>#DIV/0!</v>
      </c>
      <c r="NYM132" s="531" t="e">
        <f t="shared" si="163"/>
        <v>#DIV/0!</v>
      </c>
      <c r="NYN132" s="531" t="e">
        <f t="shared" si="163"/>
        <v>#DIV/0!</v>
      </c>
      <c r="NYO132" s="531" t="e">
        <f t="shared" si="163"/>
        <v>#DIV/0!</v>
      </c>
      <c r="NYP132" s="531" t="e">
        <f t="shared" si="163"/>
        <v>#DIV/0!</v>
      </c>
      <c r="NYQ132" s="531" t="e">
        <f t="shared" si="163"/>
        <v>#DIV/0!</v>
      </c>
      <c r="NYR132" s="531" t="e">
        <f t="shared" si="163"/>
        <v>#DIV/0!</v>
      </c>
      <c r="NYS132" s="531" t="e">
        <f t="shared" si="163"/>
        <v>#DIV/0!</v>
      </c>
      <c r="NYT132" s="531" t="e">
        <f t="shared" si="163"/>
        <v>#DIV/0!</v>
      </c>
      <c r="NYU132" s="531" t="e">
        <f t="shared" si="163"/>
        <v>#DIV/0!</v>
      </c>
      <c r="NYV132" s="531" t="e">
        <f t="shared" si="163"/>
        <v>#DIV/0!</v>
      </c>
      <c r="NYW132" s="531" t="e">
        <f t="shared" si="163"/>
        <v>#DIV/0!</v>
      </c>
      <c r="NYX132" s="531" t="e">
        <f t="shared" si="163"/>
        <v>#DIV/0!</v>
      </c>
      <c r="NYY132" s="531" t="e">
        <f t="shared" si="163"/>
        <v>#DIV/0!</v>
      </c>
      <c r="NYZ132" s="531" t="e">
        <f t="shared" si="163"/>
        <v>#DIV/0!</v>
      </c>
      <c r="NZA132" s="531" t="e">
        <f t="shared" si="163"/>
        <v>#DIV/0!</v>
      </c>
      <c r="NZB132" s="531" t="e">
        <f t="shared" si="163"/>
        <v>#DIV/0!</v>
      </c>
      <c r="NZC132" s="531" t="e">
        <f t="shared" si="163"/>
        <v>#DIV/0!</v>
      </c>
      <c r="NZD132" s="531" t="e">
        <f t="shared" si="163"/>
        <v>#DIV/0!</v>
      </c>
      <c r="NZE132" s="531" t="e">
        <f t="shared" si="163"/>
        <v>#DIV/0!</v>
      </c>
      <c r="NZF132" s="531" t="e">
        <f t="shared" si="163"/>
        <v>#DIV/0!</v>
      </c>
      <c r="NZG132" s="531" t="e">
        <f t="shared" si="163"/>
        <v>#DIV/0!</v>
      </c>
      <c r="NZH132" s="531" t="e">
        <f t="shared" si="163"/>
        <v>#DIV/0!</v>
      </c>
      <c r="NZI132" s="531" t="e">
        <f t="shared" si="163"/>
        <v>#DIV/0!</v>
      </c>
      <c r="NZJ132" s="531" t="e">
        <f t="shared" si="163"/>
        <v>#DIV/0!</v>
      </c>
      <c r="NZK132" s="531" t="e">
        <f t="shared" si="163"/>
        <v>#DIV/0!</v>
      </c>
      <c r="NZL132" s="531" t="e">
        <f t="shared" si="163"/>
        <v>#DIV/0!</v>
      </c>
      <c r="NZM132" s="531" t="e">
        <f t="shared" si="163"/>
        <v>#DIV/0!</v>
      </c>
      <c r="NZN132" s="531" t="e">
        <f t="shared" si="163"/>
        <v>#DIV/0!</v>
      </c>
      <c r="NZO132" s="531" t="e">
        <f t="shared" si="163"/>
        <v>#DIV/0!</v>
      </c>
      <c r="NZP132" s="531" t="e">
        <f t="shared" si="163"/>
        <v>#DIV/0!</v>
      </c>
      <c r="NZQ132" s="531" t="e">
        <f t="shared" si="163"/>
        <v>#DIV/0!</v>
      </c>
      <c r="NZR132" s="531" t="e">
        <f t="shared" si="163"/>
        <v>#DIV/0!</v>
      </c>
      <c r="NZS132" s="531" t="e">
        <f t="shared" si="163"/>
        <v>#DIV/0!</v>
      </c>
      <c r="NZT132" s="531" t="e">
        <f t="shared" si="163"/>
        <v>#DIV/0!</v>
      </c>
      <c r="NZU132" s="531" t="e">
        <f t="shared" si="163"/>
        <v>#DIV/0!</v>
      </c>
      <c r="NZV132" s="531" t="e">
        <f t="shared" si="163"/>
        <v>#DIV/0!</v>
      </c>
      <c r="NZW132" s="531" t="e">
        <f t="shared" si="163"/>
        <v>#DIV/0!</v>
      </c>
      <c r="NZX132" s="531" t="e">
        <f t="shared" si="163"/>
        <v>#DIV/0!</v>
      </c>
      <c r="NZY132" s="531" t="e">
        <f t="shared" si="163"/>
        <v>#DIV/0!</v>
      </c>
      <c r="NZZ132" s="531" t="e">
        <f t="shared" si="163"/>
        <v>#DIV/0!</v>
      </c>
      <c r="OAA132" s="531" t="e">
        <f t="shared" si="163"/>
        <v>#DIV/0!</v>
      </c>
      <c r="OAB132" s="531" t="e">
        <f t="shared" si="163"/>
        <v>#DIV/0!</v>
      </c>
      <c r="OAC132" s="531" t="e">
        <f t="shared" si="163"/>
        <v>#DIV/0!</v>
      </c>
      <c r="OAD132" s="531" t="e">
        <f t="shared" si="163"/>
        <v>#DIV/0!</v>
      </c>
      <c r="OAE132" s="531" t="e">
        <f t="shared" si="163"/>
        <v>#DIV/0!</v>
      </c>
      <c r="OAF132" s="531" t="e">
        <f t="shared" si="163"/>
        <v>#DIV/0!</v>
      </c>
      <c r="OAG132" s="531" t="e">
        <f t="shared" si="163"/>
        <v>#DIV/0!</v>
      </c>
      <c r="OAH132" s="531" t="e">
        <f t="shared" si="163"/>
        <v>#DIV/0!</v>
      </c>
      <c r="OAI132" s="531" t="e">
        <f t="shared" si="163"/>
        <v>#DIV/0!</v>
      </c>
      <c r="OAJ132" s="531" t="e">
        <f t="shared" si="163"/>
        <v>#DIV/0!</v>
      </c>
      <c r="OAK132" s="531" t="e">
        <f t="shared" si="163"/>
        <v>#DIV/0!</v>
      </c>
      <c r="OAL132" s="531" t="e">
        <f t="shared" si="163"/>
        <v>#DIV/0!</v>
      </c>
      <c r="OAM132" s="531" t="e">
        <f t="shared" si="163"/>
        <v>#DIV/0!</v>
      </c>
      <c r="OAN132" s="531" t="e">
        <f t="shared" si="163"/>
        <v>#DIV/0!</v>
      </c>
      <c r="OAO132" s="531" t="e">
        <f t="shared" si="163"/>
        <v>#DIV/0!</v>
      </c>
      <c r="OAP132" s="531" t="e">
        <f t="shared" si="163"/>
        <v>#DIV/0!</v>
      </c>
      <c r="OAQ132" s="531" t="e">
        <f t="shared" ref="OAQ132:ODB132" si="164">(OAQ128-OAQ116)/(OAQ52*10^5)</f>
        <v>#DIV/0!</v>
      </c>
      <c r="OAR132" s="531" t="e">
        <f t="shared" si="164"/>
        <v>#DIV/0!</v>
      </c>
      <c r="OAS132" s="531" t="e">
        <f t="shared" si="164"/>
        <v>#DIV/0!</v>
      </c>
      <c r="OAT132" s="531" t="e">
        <f t="shared" si="164"/>
        <v>#DIV/0!</v>
      </c>
      <c r="OAU132" s="531" t="e">
        <f t="shared" si="164"/>
        <v>#DIV/0!</v>
      </c>
      <c r="OAV132" s="531" t="e">
        <f t="shared" si="164"/>
        <v>#DIV/0!</v>
      </c>
      <c r="OAW132" s="531" t="e">
        <f t="shared" si="164"/>
        <v>#DIV/0!</v>
      </c>
      <c r="OAX132" s="531" t="e">
        <f t="shared" si="164"/>
        <v>#DIV/0!</v>
      </c>
      <c r="OAY132" s="531" t="e">
        <f t="shared" si="164"/>
        <v>#DIV/0!</v>
      </c>
      <c r="OAZ132" s="531" t="e">
        <f t="shared" si="164"/>
        <v>#DIV/0!</v>
      </c>
      <c r="OBA132" s="531" t="e">
        <f t="shared" si="164"/>
        <v>#DIV/0!</v>
      </c>
      <c r="OBB132" s="531" t="e">
        <f t="shared" si="164"/>
        <v>#DIV/0!</v>
      </c>
      <c r="OBC132" s="531" t="e">
        <f t="shared" si="164"/>
        <v>#DIV/0!</v>
      </c>
      <c r="OBD132" s="531" t="e">
        <f t="shared" si="164"/>
        <v>#DIV/0!</v>
      </c>
      <c r="OBE132" s="531" t="e">
        <f t="shared" si="164"/>
        <v>#DIV/0!</v>
      </c>
      <c r="OBF132" s="531" t="e">
        <f t="shared" si="164"/>
        <v>#DIV/0!</v>
      </c>
      <c r="OBG132" s="531" t="e">
        <f t="shared" si="164"/>
        <v>#DIV/0!</v>
      </c>
      <c r="OBH132" s="531" t="e">
        <f t="shared" si="164"/>
        <v>#DIV/0!</v>
      </c>
      <c r="OBI132" s="531" t="e">
        <f t="shared" si="164"/>
        <v>#DIV/0!</v>
      </c>
      <c r="OBJ132" s="531" t="e">
        <f t="shared" si="164"/>
        <v>#DIV/0!</v>
      </c>
      <c r="OBK132" s="531" t="e">
        <f t="shared" si="164"/>
        <v>#DIV/0!</v>
      </c>
      <c r="OBL132" s="531" t="e">
        <f t="shared" si="164"/>
        <v>#DIV/0!</v>
      </c>
      <c r="OBM132" s="531" t="e">
        <f t="shared" si="164"/>
        <v>#DIV/0!</v>
      </c>
      <c r="OBN132" s="531" t="e">
        <f t="shared" si="164"/>
        <v>#DIV/0!</v>
      </c>
      <c r="OBO132" s="531" t="e">
        <f t="shared" si="164"/>
        <v>#DIV/0!</v>
      </c>
      <c r="OBP132" s="531" t="e">
        <f t="shared" si="164"/>
        <v>#DIV/0!</v>
      </c>
      <c r="OBQ132" s="531" t="e">
        <f t="shared" si="164"/>
        <v>#DIV/0!</v>
      </c>
      <c r="OBR132" s="531" t="e">
        <f t="shared" si="164"/>
        <v>#DIV/0!</v>
      </c>
      <c r="OBS132" s="531" t="e">
        <f t="shared" si="164"/>
        <v>#DIV/0!</v>
      </c>
      <c r="OBT132" s="531" t="e">
        <f t="shared" si="164"/>
        <v>#DIV/0!</v>
      </c>
      <c r="OBU132" s="531" t="e">
        <f t="shared" si="164"/>
        <v>#DIV/0!</v>
      </c>
      <c r="OBV132" s="531" t="e">
        <f t="shared" si="164"/>
        <v>#DIV/0!</v>
      </c>
      <c r="OBW132" s="531" t="e">
        <f t="shared" si="164"/>
        <v>#DIV/0!</v>
      </c>
      <c r="OBX132" s="531" t="e">
        <f t="shared" si="164"/>
        <v>#DIV/0!</v>
      </c>
      <c r="OBY132" s="531" t="e">
        <f t="shared" si="164"/>
        <v>#DIV/0!</v>
      </c>
      <c r="OBZ132" s="531" t="e">
        <f t="shared" si="164"/>
        <v>#DIV/0!</v>
      </c>
      <c r="OCA132" s="531" t="e">
        <f t="shared" si="164"/>
        <v>#DIV/0!</v>
      </c>
      <c r="OCB132" s="531" t="e">
        <f t="shared" si="164"/>
        <v>#DIV/0!</v>
      </c>
      <c r="OCC132" s="531" t="e">
        <f t="shared" si="164"/>
        <v>#DIV/0!</v>
      </c>
      <c r="OCD132" s="531" t="e">
        <f t="shared" si="164"/>
        <v>#DIV/0!</v>
      </c>
      <c r="OCE132" s="531" t="e">
        <f t="shared" si="164"/>
        <v>#DIV/0!</v>
      </c>
      <c r="OCF132" s="531" t="e">
        <f t="shared" si="164"/>
        <v>#DIV/0!</v>
      </c>
      <c r="OCG132" s="531" t="e">
        <f t="shared" si="164"/>
        <v>#DIV/0!</v>
      </c>
      <c r="OCH132" s="531" t="e">
        <f t="shared" si="164"/>
        <v>#DIV/0!</v>
      </c>
      <c r="OCI132" s="531" t="e">
        <f t="shared" si="164"/>
        <v>#DIV/0!</v>
      </c>
      <c r="OCJ132" s="531" t="e">
        <f t="shared" si="164"/>
        <v>#DIV/0!</v>
      </c>
      <c r="OCK132" s="531" t="e">
        <f t="shared" si="164"/>
        <v>#DIV/0!</v>
      </c>
      <c r="OCL132" s="531" t="e">
        <f t="shared" si="164"/>
        <v>#DIV/0!</v>
      </c>
      <c r="OCM132" s="531" t="e">
        <f t="shared" si="164"/>
        <v>#DIV/0!</v>
      </c>
      <c r="OCN132" s="531" t="e">
        <f t="shared" si="164"/>
        <v>#DIV/0!</v>
      </c>
      <c r="OCO132" s="531" t="e">
        <f t="shared" si="164"/>
        <v>#DIV/0!</v>
      </c>
      <c r="OCP132" s="531" t="e">
        <f t="shared" si="164"/>
        <v>#DIV/0!</v>
      </c>
      <c r="OCQ132" s="531" t="e">
        <f t="shared" si="164"/>
        <v>#DIV/0!</v>
      </c>
      <c r="OCR132" s="531" t="e">
        <f t="shared" si="164"/>
        <v>#DIV/0!</v>
      </c>
      <c r="OCS132" s="531" t="e">
        <f t="shared" si="164"/>
        <v>#DIV/0!</v>
      </c>
      <c r="OCT132" s="531" t="e">
        <f t="shared" si="164"/>
        <v>#DIV/0!</v>
      </c>
      <c r="OCU132" s="531" t="e">
        <f t="shared" si="164"/>
        <v>#DIV/0!</v>
      </c>
      <c r="OCV132" s="531" t="e">
        <f t="shared" si="164"/>
        <v>#DIV/0!</v>
      </c>
      <c r="OCW132" s="531" t="e">
        <f t="shared" si="164"/>
        <v>#DIV/0!</v>
      </c>
      <c r="OCX132" s="531" t="e">
        <f t="shared" si="164"/>
        <v>#DIV/0!</v>
      </c>
      <c r="OCY132" s="531" t="e">
        <f t="shared" si="164"/>
        <v>#DIV/0!</v>
      </c>
      <c r="OCZ132" s="531" t="e">
        <f t="shared" si="164"/>
        <v>#DIV/0!</v>
      </c>
      <c r="ODA132" s="531" t="e">
        <f t="shared" si="164"/>
        <v>#DIV/0!</v>
      </c>
      <c r="ODB132" s="531" t="e">
        <f t="shared" si="164"/>
        <v>#DIV/0!</v>
      </c>
      <c r="ODC132" s="531" t="e">
        <f t="shared" ref="ODC132:OFN132" si="165">(ODC128-ODC116)/(ODC52*10^5)</f>
        <v>#DIV/0!</v>
      </c>
      <c r="ODD132" s="531" t="e">
        <f t="shared" si="165"/>
        <v>#DIV/0!</v>
      </c>
      <c r="ODE132" s="531" t="e">
        <f t="shared" si="165"/>
        <v>#DIV/0!</v>
      </c>
      <c r="ODF132" s="531" t="e">
        <f t="shared" si="165"/>
        <v>#DIV/0!</v>
      </c>
      <c r="ODG132" s="531" t="e">
        <f t="shared" si="165"/>
        <v>#DIV/0!</v>
      </c>
      <c r="ODH132" s="531" t="e">
        <f t="shared" si="165"/>
        <v>#DIV/0!</v>
      </c>
      <c r="ODI132" s="531" t="e">
        <f t="shared" si="165"/>
        <v>#DIV/0!</v>
      </c>
      <c r="ODJ132" s="531" t="e">
        <f t="shared" si="165"/>
        <v>#DIV/0!</v>
      </c>
      <c r="ODK132" s="531" t="e">
        <f t="shared" si="165"/>
        <v>#DIV/0!</v>
      </c>
      <c r="ODL132" s="531" t="e">
        <f t="shared" si="165"/>
        <v>#DIV/0!</v>
      </c>
      <c r="ODM132" s="531" t="e">
        <f t="shared" si="165"/>
        <v>#DIV/0!</v>
      </c>
      <c r="ODN132" s="531" t="e">
        <f t="shared" si="165"/>
        <v>#DIV/0!</v>
      </c>
      <c r="ODO132" s="531" t="e">
        <f t="shared" si="165"/>
        <v>#DIV/0!</v>
      </c>
      <c r="ODP132" s="531" t="e">
        <f t="shared" si="165"/>
        <v>#DIV/0!</v>
      </c>
      <c r="ODQ132" s="531" t="e">
        <f t="shared" si="165"/>
        <v>#DIV/0!</v>
      </c>
      <c r="ODR132" s="531" t="e">
        <f t="shared" si="165"/>
        <v>#DIV/0!</v>
      </c>
      <c r="ODS132" s="531" t="e">
        <f t="shared" si="165"/>
        <v>#DIV/0!</v>
      </c>
      <c r="ODT132" s="531" t="e">
        <f t="shared" si="165"/>
        <v>#DIV/0!</v>
      </c>
      <c r="ODU132" s="531" t="e">
        <f t="shared" si="165"/>
        <v>#DIV/0!</v>
      </c>
      <c r="ODV132" s="531" t="e">
        <f t="shared" si="165"/>
        <v>#DIV/0!</v>
      </c>
      <c r="ODW132" s="531" t="e">
        <f t="shared" si="165"/>
        <v>#DIV/0!</v>
      </c>
      <c r="ODX132" s="531" t="e">
        <f t="shared" si="165"/>
        <v>#DIV/0!</v>
      </c>
      <c r="ODY132" s="531" t="e">
        <f t="shared" si="165"/>
        <v>#DIV/0!</v>
      </c>
      <c r="ODZ132" s="531" t="e">
        <f t="shared" si="165"/>
        <v>#DIV/0!</v>
      </c>
      <c r="OEA132" s="531" t="e">
        <f t="shared" si="165"/>
        <v>#DIV/0!</v>
      </c>
      <c r="OEB132" s="531" t="e">
        <f t="shared" si="165"/>
        <v>#DIV/0!</v>
      </c>
      <c r="OEC132" s="531" t="e">
        <f t="shared" si="165"/>
        <v>#DIV/0!</v>
      </c>
      <c r="OED132" s="531" t="e">
        <f t="shared" si="165"/>
        <v>#DIV/0!</v>
      </c>
      <c r="OEE132" s="531" t="e">
        <f t="shared" si="165"/>
        <v>#DIV/0!</v>
      </c>
      <c r="OEF132" s="531" t="e">
        <f t="shared" si="165"/>
        <v>#DIV/0!</v>
      </c>
      <c r="OEG132" s="531" t="e">
        <f t="shared" si="165"/>
        <v>#DIV/0!</v>
      </c>
      <c r="OEH132" s="531" t="e">
        <f t="shared" si="165"/>
        <v>#DIV/0!</v>
      </c>
      <c r="OEI132" s="531" t="e">
        <f t="shared" si="165"/>
        <v>#DIV/0!</v>
      </c>
      <c r="OEJ132" s="531" t="e">
        <f t="shared" si="165"/>
        <v>#DIV/0!</v>
      </c>
      <c r="OEK132" s="531" t="e">
        <f t="shared" si="165"/>
        <v>#DIV/0!</v>
      </c>
      <c r="OEL132" s="531" t="e">
        <f t="shared" si="165"/>
        <v>#DIV/0!</v>
      </c>
      <c r="OEM132" s="531" t="e">
        <f t="shared" si="165"/>
        <v>#DIV/0!</v>
      </c>
      <c r="OEN132" s="531" t="e">
        <f t="shared" si="165"/>
        <v>#DIV/0!</v>
      </c>
      <c r="OEO132" s="531" t="e">
        <f t="shared" si="165"/>
        <v>#DIV/0!</v>
      </c>
      <c r="OEP132" s="531" t="e">
        <f t="shared" si="165"/>
        <v>#DIV/0!</v>
      </c>
      <c r="OEQ132" s="531" t="e">
        <f t="shared" si="165"/>
        <v>#DIV/0!</v>
      </c>
      <c r="OER132" s="531" t="e">
        <f t="shared" si="165"/>
        <v>#DIV/0!</v>
      </c>
      <c r="OES132" s="531" t="e">
        <f t="shared" si="165"/>
        <v>#DIV/0!</v>
      </c>
      <c r="OET132" s="531" t="e">
        <f t="shared" si="165"/>
        <v>#DIV/0!</v>
      </c>
      <c r="OEU132" s="531" t="e">
        <f t="shared" si="165"/>
        <v>#DIV/0!</v>
      </c>
      <c r="OEV132" s="531" t="e">
        <f t="shared" si="165"/>
        <v>#DIV/0!</v>
      </c>
      <c r="OEW132" s="531" t="e">
        <f t="shared" si="165"/>
        <v>#DIV/0!</v>
      </c>
      <c r="OEX132" s="531" t="e">
        <f t="shared" si="165"/>
        <v>#DIV/0!</v>
      </c>
      <c r="OEY132" s="531" t="e">
        <f t="shared" si="165"/>
        <v>#DIV/0!</v>
      </c>
      <c r="OEZ132" s="531" t="e">
        <f t="shared" si="165"/>
        <v>#DIV/0!</v>
      </c>
      <c r="OFA132" s="531" t="e">
        <f t="shared" si="165"/>
        <v>#DIV/0!</v>
      </c>
      <c r="OFB132" s="531" t="e">
        <f t="shared" si="165"/>
        <v>#DIV/0!</v>
      </c>
      <c r="OFC132" s="531" t="e">
        <f t="shared" si="165"/>
        <v>#DIV/0!</v>
      </c>
      <c r="OFD132" s="531" t="e">
        <f t="shared" si="165"/>
        <v>#DIV/0!</v>
      </c>
      <c r="OFE132" s="531" t="e">
        <f t="shared" si="165"/>
        <v>#DIV/0!</v>
      </c>
      <c r="OFF132" s="531" t="e">
        <f t="shared" si="165"/>
        <v>#DIV/0!</v>
      </c>
      <c r="OFG132" s="531" t="e">
        <f t="shared" si="165"/>
        <v>#DIV/0!</v>
      </c>
      <c r="OFH132" s="531" t="e">
        <f t="shared" si="165"/>
        <v>#DIV/0!</v>
      </c>
      <c r="OFI132" s="531" t="e">
        <f t="shared" si="165"/>
        <v>#DIV/0!</v>
      </c>
      <c r="OFJ132" s="531" t="e">
        <f t="shared" si="165"/>
        <v>#DIV/0!</v>
      </c>
      <c r="OFK132" s="531" t="e">
        <f t="shared" si="165"/>
        <v>#DIV/0!</v>
      </c>
      <c r="OFL132" s="531" t="e">
        <f t="shared" si="165"/>
        <v>#DIV/0!</v>
      </c>
      <c r="OFM132" s="531" t="e">
        <f t="shared" si="165"/>
        <v>#DIV/0!</v>
      </c>
      <c r="OFN132" s="531" t="e">
        <f t="shared" si="165"/>
        <v>#DIV/0!</v>
      </c>
      <c r="OFO132" s="531" t="e">
        <f t="shared" ref="OFO132:OHZ132" si="166">(OFO128-OFO116)/(OFO52*10^5)</f>
        <v>#DIV/0!</v>
      </c>
      <c r="OFP132" s="531" t="e">
        <f t="shared" si="166"/>
        <v>#DIV/0!</v>
      </c>
      <c r="OFQ132" s="531" t="e">
        <f t="shared" si="166"/>
        <v>#DIV/0!</v>
      </c>
      <c r="OFR132" s="531" t="e">
        <f t="shared" si="166"/>
        <v>#DIV/0!</v>
      </c>
      <c r="OFS132" s="531" t="e">
        <f t="shared" si="166"/>
        <v>#DIV/0!</v>
      </c>
      <c r="OFT132" s="531" t="e">
        <f t="shared" si="166"/>
        <v>#DIV/0!</v>
      </c>
      <c r="OFU132" s="531" t="e">
        <f t="shared" si="166"/>
        <v>#DIV/0!</v>
      </c>
      <c r="OFV132" s="531" t="e">
        <f t="shared" si="166"/>
        <v>#DIV/0!</v>
      </c>
      <c r="OFW132" s="531" t="e">
        <f t="shared" si="166"/>
        <v>#DIV/0!</v>
      </c>
      <c r="OFX132" s="531" t="e">
        <f t="shared" si="166"/>
        <v>#DIV/0!</v>
      </c>
      <c r="OFY132" s="531" t="e">
        <f t="shared" si="166"/>
        <v>#DIV/0!</v>
      </c>
      <c r="OFZ132" s="531" t="e">
        <f t="shared" si="166"/>
        <v>#DIV/0!</v>
      </c>
      <c r="OGA132" s="531" t="e">
        <f t="shared" si="166"/>
        <v>#DIV/0!</v>
      </c>
      <c r="OGB132" s="531" t="e">
        <f t="shared" si="166"/>
        <v>#DIV/0!</v>
      </c>
      <c r="OGC132" s="531" t="e">
        <f t="shared" si="166"/>
        <v>#DIV/0!</v>
      </c>
      <c r="OGD132" s="531" t="e">
        <f t="shared" si="166"/>
        <v>#DIV/0!</v>
      </c>
      <c r="OGE132" s="531" t="e">
        <f t="shared" si="166"/>
        <v>#DIV/0!</v>
      </c>
      <c r="OGF132" s="531" t="e">
        <f t="shared" si="166"/>
        <v>#DIV/0!</v>
      </c>
      <c r="OGG132" s="531" t="e">
        <f t="shared" si="166"/>
        <v>#DIV/0!</v>
      </c>
      <c r="OGH132" s="531" t="e">
        <f t="shared" si="166"/>
        <v>#DIV/0!</v>
      </c>
      <c r="OGI132" s="531" t="e">
        <f t="shared" si="166"/>
        <v>#DIV/0!</v>
      </c>
      <c r="OGJ132" s="531" t="e">
        <f t="shared" si="166"/>
        <v>#DIV/0!</v>
      </c>
      <c r="OGK132" s="531" t="e">
        <f t="shared" si="166"/>
        <v>#DIV/0!</v>
      </c>
      <c r="OGL132" s="531" t="e">
        <f t="shared" si="166"/>
        <v>#DIV/0!</v>
      </c>
      <c r="OGM132" s="531" t="e">
        <f t="shared" si="166"/>
        <v>#DIV/0!</v>
      </c>
      <c r="OGN132" s="531" t="e">
        <f t="shared" si="166"/>
        <v>#DIV/0!</v>
      </c>
      <c r="OGO132" s="531" t="e">
        <f t="shared" si="166"/>
        <v>#DIV/0!</v>
      </c>
      <c r="OGP132" s="531" t="e">
        <f t="shared" si="166"/>
        <v>#DIV/0!</v>
      </c>
      <c r="OGQ132" s="531" t="e">
        <f t="shared" si="166"/>
        <v>#DIV/0!</v>
      </c>
      <c r="OGR132" s="531" t="e">
        <f t="shared" si="166"/>
        <v>#DIV/0!</v>
      </c>
      <c r="OGS132" s="531" t="e">
        <f t="shared" si="166"/>
        <v>#DIV/0!</v>
      </c>
      <c r="OGT132" s="531" t="e">
        <f t="shared" si="166"/>
        <v>#DIV/0!</v>
      </c>
      <c r="OGU132" s="531" t="e">
        <f t="shared" si="166"/>
        <v>#DIV/0!</v>
      </c>
      <c r="OGV132" s="531" t="e">
        <f t="shared" si="166"/>
        <v>#DIV/0!</v>
      </c>
      <c r="OGW132" s="531" t="e">
        <f t="shared" si="166"/>
        <v>#DIV/0!</v>
      </c>
      <c r="OGX132" s="531" t="e">
        <f t="shared" si="166"/>
        <v>#DIV/0!</v>
      </c>
      <c r="OGY132" s="531" t="e">
        <f t="shared" si="166"/>
        <v>#DIV/0!</v>
      </c>
      <c r="OGZ132" s="531" t="e">
        <f t="shared" si="166"/>
        <v>#DIV/0!</v>
      </c>
      <c r="OHA132" s="531" t="e">
        <f t="shared" si="166"/>
        <v>#DIV/0!</v>
      </c>
      <c r="OHB132" s="531" t="e">
        <f t="shared" si="166"/>
        <v>#DIV/0!</v>
      </c>
      <c r="OHC132" s="531" t="e">
        <f t="shared" si="166"/>
        <v>#DIV/0!</v>
      </c>
      <c r="OHD132" s="531" t="e">
        <f t="shared" si="166"/>
        <v>#DIV/0!</v>
      </c>
      <c r="OHE132" s="531" t="e">
        <f t="shared" si="166"/>
        <v>#DIV/0!</v>
      </c>
      <c r="OHF132" s="531" t="e">
        <f t="shared" si="166"/>
        <v>#DIV/0!</v>
      </c>
      <c r="OHG132" s="531" t="e">
        <f t="shared" si="166"/>
        <v>#DIV/0!</v>
      </c>
      <c r="OHH132" s="531" t="e">
        <f t="shared" si="166"/>
        <v>#DIV/0!</v>
      </c>
      <c r="OHI132" s="531" t="e">
        <f t="shared" si="166"/>
        <v>#DIV/0!</v>
      </c>
      <c r="OHJ132" s="531" t="e">
        <f t="shared" si="166"/>
        <v>#DIV/0!</v>
      </c>
      <c r="OHK132" s="531" t="e">
        <f t="shared" si="166"/>
        <v>#DIV/0!</v>
      </c>
      <c r="OHL132" s="531" t="e">
        <f t="shared" si="166"/>
        <v>#DIV/0!</v>
      </c>
      <c r="OHM132" s="531" t="e">
        <f t="shared" si="166"/>
        <v>#DIV/0!</v>
      </c>
      <c r="OHN132" s="531" t="e">
        <f t="shared" si="166"/>
        <v>#DIV/0!</v>
      </c>
      <c r="OHO132" s="531" t="e">
        <f t="shared" si="166"/>
        <v>#DIV/0!</v>
      </c>
      <c r="OHP132" s="531" t="e">
        <f t="shared" si="166"/>
        <v>#DIV/0!</v>
      </c>
      <c r="OHQ132" s="531" t="e">
        <f t="shared" si="166"/>
        <v>#DIV/0!</v>
      </c>
      <c r="OHR132" s="531" t="e">
        <f t="shared" si="166"/>
        <v>#DIV/0!</v>
      </c>
      <c r="OHS132" s="531" t="e">
        <f t="shared" si="166"/>
        <v>#DIV/0!</v>
      </c>
      <c r="OHT132" s="531" t="e">
        <f t="shared" si="166"/>
        <v>#DIV/0!</v>
      </c>
      <c r="OHU132" s="531" t="e">
        <f t="shared" si="166"/>
        <v>#DIV/0!</v>
      </c>
      <c r="OHV132" s="531" t="e">
        <f t="shared" si="166"/>
        <v>#DIV/0!</v>
      </c>
      <c r="OHW132" s="531" t="e">
        <f t="shared" si="166"/>
        <v>#DIV/0!</v>
      </c>
      <c r="OHX132" s="531" t="e">
        <f t="shared" si="166"/>
        <v>#DIV/0!</v>
      </c>
      <c r="OHY132" s="531" t="e">
        <f t="shared" si="166"/>
        <v>#DIV/0!</v>
      </c>
      <c r="OHZ132" s="531" t="e">
        <f t="shared" si="166"/>
        <v>#DIV/0!</v>
      </c>
      <c r="OIA132" s="531" t="e">
        <f t="shared" ref="OIA132:OKL132" si="167">(OIA128-OIA116)/(OIA52*10^5)</f>
        <v>#DIV/0!</v>
      </c>
      <c r="OIB132" s="531" t="e">
        <f t="shared" si="167"/>
        <v>#DIV/0!</v>
      </c>
      <c r="OIC132" s="531" t="e">
        <f t="shared" si="167"/>
        <v>#DIV/0!</v>
      </c>
      <c r="OID132" s="531" t="e">
        <f t="shared" si="167"/>
        <v>#DIV/0!</v>
      </c>
      <c r="OIE132" s="531" t="e">
        <f t="shared" si="167"/>
        <v>#DIV/0!</v>
      </c>
      <c r="OIF132" s="531" t="e">
        <f t="shared" si="167"/>
        <v>#DIV/0!</v>
      </c>
      <c r="OIG132" s="531" t="e">
        <f t="shared" si="167"/>
        <v>#DIV/0!</v>
      </c>
      <c r="OIH132" s="531" t="e">
        <f t="shared" si="167"/>
        <v>#DIV/0!</v>
      </c>
      <c r="OII132" s="531" t="e">
        <f t="shared" si="167"/>
        <v>#DIV/0!</v>
      </c>
      <c r="OIJ132" s="531" t="e">
        <f t="shared" si="167"/>
        <v>#DIV/0!</v>
      </c>
      <c r="OIK132" s="531" t="e">
        <f t="shared" si="167"/>
        <v>#DIV/0!</v>
      </c>
      <c r="OIL132" s="531" t="e">
        <f t="shared" si="167"/>
        <v>#DIV/0!</v>
      </c>
      <c r="OIM132" s="531" t="e">
        <f t="shared" si="167"/>
        <v>#DIV/0!</v>
      </c>
      <c r="OIN132" s="531" t="e">
        <f t="shared" si="167"/>
        <v>#DIV/0!</v>
      </c>
      <c r="OIO132" s="531" t="e">
        <f t="shared" si="167"/>
        <v>#DIV/0!</v>
      </c>
      <c r="OIP132" s="531" t="e">
        <f t="shared" si="167"/>
        <v>#DIV/0!</v>
      </c>
      <c r="OIQ132" s="531" t="e">
        <f t="shared" si="167"/>
        <v>#DIV/0!</v>
      </c>
      <c r="OIR132" s="531" t="e">
        <f t="shared" si="167"/>
        <v>#DIV/0!</v>
      </c>
      <c r="OIS132" s="531" t="e">
        <f t="shared" si="167"/>
        <v>#DIV/0!</v>
      </c>
      <c r="OIT132" s="531" t="e">
        <f t="shared" si="167"/>
        <v>#DIV/0!</v>
      </c>
      <c r="OIU132" s="531" t="e">
        <f t="shared" si="167"/>
        <v>#DIV/0!</v>
      </c>
      <c r="OIV132" s="531" t="e">
        <f t="shared" si="167"/>
        <v>#DIV/0!</v>
      </c>
      <c r="OIW132" s="531" t="e">
        <f t="shared" si="167"/>
        <v>#DIV/0!</v>
      </c>
      <c r="OIX132" s="531" t="e">
        <f t="shared" si="167"/>
        <v>#DIV/0!</v>
      </c>
      <c r="OIY132" s="531" t="e">
        <f t="shared" si="167"/>
        <v>#DIV/0!</v>
      </c>
      <c r="OIZ132" s="531" t="e">
        <f t="shared" si="167"/>
        <v>#DIV/0!</v>
      </c>
      <c r="OJA132" s="531" t="e">
        <f t="shared" si="167"/>
        <v>#DIV/0!</v>
      </c>
      <c r="OJB132" s="531" t="e">
        <f t="shared" si="167"/>
        <v>#DIV/0!</v>
      </c>
      <c r="OJC132" s="531" t="e">
        <f t="shared" si="167"/>
        <v>#DIV/0!</v>
      </c>
      <c r="OJD132" s="531" t="e">
        <f t="shared" si="167"/>
        <v>#DIV/0!</v>
      </c>
      <c r="OJE132" s="531" t="e">
        <f t="shared" si="167"/>
        <v>#DIV/0!</v>
      </c>
      <c r="OJF132" s="531" t="e">
        <f t="shared" si="167"/>
        <v>#DIV/0!</v>
      </c>
      <c r="OJG132" s="531" t="e">
        <f t="shared" si="167"/>
        <v>#DIV/0!</v>
      </c>
      <c r="OJH132" s="531" t="e">
        <f t="shared" si="167"/>
        <v>#DIV/0!</v>
      </c>
      <c r="OJI132" s="531" t="e">
        <f t="shared" si="167"/>
        <v>#DIV/0!</v>
      </c>
      <c r="OJJ132" s="531" t="e">
        <f t="shared" si="167"/>
        <v>#DIV/0!</v>
      </c>
      <c r="OJK132" s="531" t="e">
        <f t="shared" si="167"/>
        <v>#DIV/0!</v>
      </c>
      <c r="OJL132" s="531" t="e">
        <f t="shared" si="167"/>
        <v>#DIV/0!</v>
      </c>
      <c r="OJM132" s="531" t="e">
        <f t="shared" si="167"/>
        <v>#DIV/0!</v>
      </c>
      <c r="OJN132" s="531" t="e">
        <f t="shared" si="167"/>
        <v>#DIV/0!</v>
      </c>
      <c r="OJO132" s="531" t="e">
        <f t="shared" si="167"/>
        <v>#DIV/0!</v>
      </c>
      <c r="OJP132" s="531" t="e">
        <f t="shared" si="167"/>
        <v>#DIV/0!</v>
      </c>
      <c r="OJQ132" s="531" t="e">
        <f t="shared" si="167"/>
        <v>#DIV/0!</v>
      </c>
      <c r="OJR132" s="531" t="e">
        <f t="shared" si="167"/>
        <v>#DIV/0!</v>
      </c>
      <c r="OJS132" s="531" t="e">
        <f t="shared" si="167"/>
        <v>#DIV/0!</v>
      </c>
      <c r="OJT132" s="531" t="e">
        <f t="shared" si="167"/>
        <v>#DIV/0!</v>
      </c>
      <c r="OJU132" s="531" t="e">
        <f t="shared" si="167"/>
        <v>#DIV/0!</v>
      </c>
      <c r="OJV132" s="531" t="e">
        <f t="shared" si="167"/>
        <v>#DIV/0!</v>
      </c>
      <c r="OJW132" s="531" t="e">
        <f t="shared" si="167"/>
        <v>#DIV/0!</v>
      </c>
      <c r="OJX132" s="531" t="e">
        <f t="shared" si="167"/>
        <v>#DIV/0!</v>
      </c>
      <c r="OJY132" s="531" t="e">
        <f t="shared" si="167"/>
        <v>#DIV/0!</v>
      </c>
      <c r="OJZ132" s="531" t="e">
        <f t="shared" si="167"/>
        <v>#DIV/0!</v>
      </c>
      <c r="OKA132" s="531" t="e">
        <f t="shared" si="167"/>
        <v>#DIV/0!</v>
      </c>
      <c r="OKB132" s="531" t="e">
        <f t="shared" si="167"/>
        <v>#DIV/0!</v>
      </c>
      <c r="OKC132" s="531" t="e">
        <f t="shared" si="167"/>
        <v>#DIV/0!</v>
      </c>
      <c r="OKD132" s="531" t="e">
        <f t="shared" si="167"/>
        <v>#DIV/0!</v>
      </c>
      <c r="OKE132" s="531" t="e">
        <f t="shared" si="167"/>
        <v>#DIV/0!</v>
      </c>
      <c r="OKF132" s="531" t="e">
        <f t="shared" si="167"/>
        <v>#DIV/0!</v>
      </c>
      <c r="OKG132" s="531" t="e">
        <f t="shared" si="167"/>
        <v>#DIV/0!</v>
      </c>
      <c r="OKH132" s="531" t="e">
        <f t="shared" si="167"/>
        <v>#DIV/0!</v>
      </c>
      <c r="OKI132" s="531" t="e">
        <f t="shared" si="167"/>
        <v>#DIV/0!</v>
      </c>
      <c r="OKJ132" s="531" t="e">
        <f t="shared" si="167"/>
        <v>#DIV/0!</v>
      </c>
      <c r="OKK132" s="531" t="e">
        <f t="shared" si="167"/>
        <v>#DIV/0!</v>
      </c>
      <c r="OKL132" s="531" t="e">
        <f t="shared" si="167"/>
        <v>#DIV/0!</v>
      </c>
      <c r="OKM132" s="531" t="e">
        <f t="shared" ref="OKM132:OMX132" si="168">(OKM128-OKM116)/(OKM52*10^5)</f>
        <v>#DIV/0!</v>
      </c>
      <c r="OKN132" s="531" t="e">
        <f t="shared" si="168"/>
        <v>#DIV/0!</v>
      </c>
      <c r="OKO132" s="531" t="e">
        <f t="shared" si="168"/>
        <v>#DIV/0!</v>
      </c>
      <c r="OKP132" s="531" t="e">
        <f t="shared" si="168"/>
        <v>#DIV/0!</v>
      </c>
      <c r="OKQ132" s="531" t="e">
        <f t="shared" si="168"/>
        <v>#DIV/0!</v>
      </c>
      <c r="OKR132" s="531" t="e">
        <f t="shared" si="168"/>
        <v>#DIV/0!</v>
      </c>
      <c r="OKS132" s="531" t="e">
        <f t="shared" si="168"/>
        <v>#DIV/0!</v>
      </c>
      <c r="OKT132" s="531" t="e">
        <f t="shared" si="168"/>
        <v>#DIV/0!</v>
      </c>
      <c r="OKU132" s="531" t="e">
        <f t="shared" si="168"/>
        <v>#DIV/0!</v>
      </c>
      <c r="OKV132" s="531" t="e">
        <f t="shared" si="168"/>
        <v>#DIV/0!</v>
      </c>
      <c r="OKW132" s="531" t="e">
        <f t="shared" si="168"/>
        <v>#DIV/0!</v>
      </c>
      <c r="OKX132" s="531" t="e">
        <f t="shared" si="168"/>
        <v>#DIV/0!</v>
      </c>
      <c r="OKY132" s="531" t="e">
        <f t="shared" si="168"/>
        <v>#DIV/0!</v>
      </c>
      <c r="OKZ132" s="531" t="e">
        <f t="shared" si="168"/>
        <v>#DIV/0!</v>
      </c>
      <c r="OLA132" s="531" t="e">
        <f t="shared" si="168"/>
        <v>#DIV/0!</v>
      </c>
      <c r="OLB132" s="531" t="e">
        <f t="shared" si="168"/>
        <v>#DIV/0!</v>
      </c>
      <c r="OLC132" s="531" t="e">
        <f t="shared" si="168"/>
        <v>#DIV/0!</v>
      </c>
      <c r="OLD132" s="531" t="e">
        <f t="shared" si="168"/>
        <v>#DIV/0!</v>
      </c>
      <c r="OLE132" s="531" t="e">
        <f t="shared" si="168"/>
        <v>#DIV/0!</v>
      </c>
      <c r="OLF132" s="531" t="e">
        <f t="shared" si="168"/>
        <v>#DIV/0!</v>
      </c>
      <c r="OLG132" s="531" t="e">
        <f t="shared" si="168"/>
        <v>#DIV/0!</v>
      </c>
      <c r="OLH132" s="531" t="e">
        <f t="shared" si="168"/>
        <v>#DIV/0!</v>
      </c>
      <c r="OLI132" s="531" t="e">
        <f t="shared" si="168"/>
        <v>#DIV/0!</v>
      </c>
      <c r="OLJ132" s="531" t="e">
        <f t="shared" si="168"/>
        <v>#DIV/0!</v>
      </c>
      <c r="OLK132" s="531" t="e">
        <f t="shared" si="168"/>
        <v>#DIV/0!</v>
      </c>
      <c r="OLL132" s="531" t="e">
        <f t="shared" si="168"/>
        <v>#DIV/0!</v>
      </c>
      <c r="OLM132" s="531" t="e">
        <f t="shared" si="168"/>
        <v>#DIV/0!</v>
      </c>
      <c r="OLN132" s="531" t="e">
        <f t="shared" si="168"/>
        <v>#DIV/0!</v>
      </c>
      <c r="OLO132" s="531" t="e">
        <f t="shared" si="168"/>
        <v>#DIV/0!</v>
      </c>
      <c r="OLP132" s="531" t="e">
        <f t="shared" si="168"/>
        <v>#DIV/0!</v>
      </c>
      <c r="OLQ132" s="531" t="e">
        <f t="shared" si="168"/>
        <v>#DIV/0!</v>
      </c>
      <c r="OLR132" s="531" t="e">
        <f t="shared" si="168"/>
        <v>#DIV/0!</v>
      </c>
      <c r="OLS132" s="531" t="e">
        <f t="shared" si="168"/>
        <v>#DIV/0!</v>
      </c>
      <c r="OLT132" s="531" t="e">
        <f t="shared" si="168"/>
        <v>#DIV/0!</v>
      </c>
      <c r="OLU132" s="531" t="e">
        <f t="shared" si="168"/>
        <v>#DIV/0!</v>
      </c>
      <c r="OLV132" s="531" t="e">
        <f t="shared" si="168"/>
        <v>#DIV/0!</v>
      </c>
      <c r="OLW132" s="531" t="e">
        <f t="shared" si="168"/>
        <v>#DIV/0!</v>
      </c>
      <c r="OLX132" s="531" t="e">
        <f t="shared" si="168"/>
        <v>#DIV/0!</v>
      </c>
      <c r="OLY132" s="531" t="e">
        <f t="shared" si="168"/>
        <v>#DIV/0!</v>
      </c>
      <c r="OLZ132" s="531" t="e">
        <f t="shared" si="168"/>
        <v>#DIV/0!</v>
      </c>
      <c r="OMA132" s="531" t="e">
        <f t="shared" si="168"/>
        <v>#DIV/0!</v>
      </c>
      <c r="OMB132" s="531" t="e">
        <f t="shared" si="168"/>
        <v>#DIV/0!</v>
      </c>
      <c r="OMC132" s="531" t="e">
        <f t="shared" si="168"/>
        <v>#DIV/0!</v>
      </c>
      <c r="OMD132" s="531" t="e">
        <f t="shared" si="168"/>
        <v>#DIV/0!</v>
      </c>
      <c r="OME132" s="531" t="e">
        <f t="shared" si="168"/>
        <v>#DIV/0!</v>
      </c>
      <c r="OMF132" s="531" t="e">
        <f t="shared" si="168"/>
        <v>#DIV/0!</v>
      </c>
      <c r="OMG132" s="531" t="e">
        <f t="shared" si="168"/>
        <v>#DIV/0!</v>
      </c>
      <c r="OMH132" s="531" t="e">
        <f t="shared" si="168"/>
        <v>#DIV/0!</v>
      </c>
      <c r="OMI132" s="531" t="e">
        <f t="shared" si="168"/>
        <v>#DIV/0!</v>
      </c>
      <c r="OMJ132" s="531" t="e">
        <f t="shared" si="168"/>
        <v>#DIV/0!</v>
      </c>
      <c r="OMK132" s="531" t="e">
        <f t="shared" si="168"/>
        <v>#DIV/0!</v>
      </c>
      <c r="OML132" s="531" t="e">
        <f t="shared" si="168"/>
        <v>#DIV/0!</v>
      </c>
      <c r="OMM132" s="531" t="e">
        <f t="shared" si="168"/>
        <v>#DIV/0!</v>
      </c>
      <c r="OMN132" s="531" t="e">
        <f t="shared" si="168"/>
        <v>#DIV/0!</v>
      </c>
      <c r="OMO132" s="531" t="e">
        <f t="shared" si="168"/>
        <v>#DIV/0!</v>
      </c>
      <c r="OMP132" s="531" t="e">
        <f t="shared" si="168"/>
        <v>#DIV/0!</v>
      </c>
      <c r="OMQ132" s="531" t="e">
        <f t="shared" si="168"/>
        <v>#DIV/0!</v>
      </c>
      <c r="OMR132" s="531" t="e">
        <f t="shared" si="168"/>
        <v>#DIV/0!</v>
      </c>
      <c r="OMS132" s="531" t="e">
        <f t="shared" si="168"/>
        <v>#DIV/0!</v>
      </c>
      <c r="OMT132" s="531" t="e">
        <f t="shared" si="168"/>
        <v>#DIV/0!</v>
      </c>
      <c r="OMU132" s="531" t="e">
        <f t="shared" si="168"/>
        <v>#DIV/0!</v>
      </c>
      <c r="OMV132" s="531" t="e">
        <f t="shared" si="168"/>
        <v>#DIV/0!</v>
      </c>
      <c r="OMW132" s="531" t="e">
        <f t="shared" si="168"/>
        <v>#DIV/0!</v>
      </c>
      <c r="OMX132" s="531" t="e">
        <f t="shared" si="168"/>
        <v>#DIV/0!</v>
      </c>
      <c r="OMY132" s="531" t="e">
        <f t="shared" ref="OMY132:OPJ132" si="169">(OMY128-OMY116)/(OMY52*10^5)</f>
        <v>#DIV/0!</v>
      </c>
      <c r="OMZ132" s="531" t="e">
        <f t="shared" si="169"/>
        <v>#DIV/0!</v>
      </c>
      <c r="ONA132" s="531" t="e">
        <f t="shared" si="169"/>
        <v>#DIV/0!</v>
      </c>
      <c r="ONB132" s="531" t="e">
        <f t="shared" si="169"/>
        <v>#DIV/0!</v>
      </c>
      <c r="ONC132" s="531" t="e">
        <f t="shared" si="169"/>
        <v>#DIV/0!</v>
      </c>
      <c r="OND132" s="531" t="e">
        <f t="shared" si="169"/>
        <v>#DIV/0!</v>
      </c>
      <c r="ONE132" s="531" t="e">
        <f t="shared" si="169"/>
        <v>#DIV/0!</v>
      </c>
      <c r="ONF132" s="531" t="e">
        <f t="shared" si="169"/>
        <v>#DIV/0!</v>
      </c>
      <c r="ONG132" s="531" t="e">
        <f t="shared" si="169"/>
        <v>#DIV/0!</v>
      </c>
      <c r="ONH132" s="531" t="e">
        <f t="shared" si="169"/>
        <v>#DIV/0!</v>
      </c>
      <c r="ONI132" s="531" t="e">
        <f t="shared" si="169"/>
        <v>#DIV/0!</v>
      </c>
      <c r="ONJ132" s="531" t="e">
        <f t="shared" si="169"/>
        <v>#DIV/0!</v>
      </c>
      <c r="ONK132" s="531" t="e">
        <f t="shared" si="169"/>
        <v>#DIV/0!</v>
      </c>
      <c r="ONL132" s="531" t="e">
        <f t="shared" si="169"/>
        <v>#DIV/0!</v>
      </c>
      <c r="ONM132" s="531" t="e">
        <f t="shared" si="169"/>
        <v>#DIV/0!</v>
      </c>
      <c r="ONN132" s="531" t="e">
        <f t="shared" si="169"/>
        <v>#DIV/0!</v>
      </c>
      <c r="ONO132" s="531" t="e">
        <f t="shared" si="169"/>
        <v>#DIV/0!</v>
      </c>
      <c r="ONP132" s="531" t="e">
        <f t="shared" si="169"/>
        <v>#DIV/0!</v>
      </c>
      <c r="ONQ132" s="531" t="e">
        <f t="shared" si="169"/>
        <v>#DIV/0!</v>
      </c>
      <c r="ONR132" s="531" t="e">
        <f t="shared" si="169"/>
        <v>#DIV/0!</v>
      </c>
      <c r="ONS132" s="531" t="e">
        <f t="shared" si="169"/>
        <v>#DIV/0!</v>
      </c>
      <c r="ONT132" s="531" t="e">
        <f t="shared" si="169"/>
        <v>#DIV/0!</v>
      </c>
      <c r="ONU132" s="531" t="e">
        <f t="shared" si="169"/>
        <v>#DIV/0!</v>
      </c>
      <c r="ONV132" s="531" t="e">
        <f t="shared" si="169"/>
        <v>#DIV/0!</v>
      </c>
      <c r="ONW132" s="531" t="e">
        <f t="shared" si="169"/>
        <v>#DIV/0!</v>
      </c>
      <c r="ONX132" s="531" t="e">
        <f t="shared" si="169"/>
        <v>#DIV/0!</v>
      </c>
      <c r="ONY132" s="531" t="e">
        <f t="shared" si="169"/>
        <v>#DIV/0!</v>
      </c>
      <c r="ONZ132" s="531" t="e">
        <f t="shared" si="169"/>
        <v>#DIV/0!</v>
      </c>
      <c r="OOA132" s="531" t="e">
        <f t="shared" si="169"/>
        <v>#DIV/0!</v>
      </c>
      <c r="OOB132" s="531" t="e">
        <f t="shared" si="169"/>
        <v>#DIV/0!</v>
      </c>
      <c r="OOC132" s="531" t="e">
        <f t="shared" si="169"/>
        <v>#DIV/0!</v>
      </c>
      <c r="OOD132" s="531" t="e">
        <f t="shared" si="169"/>
        <v>#DIV/0!</v>
      </c>
      <c r="OOE132" s="531" t="e">
        <f t="shared" si="169"/>
        <v>#DIV/0!</v>
      </c>
      <c r="OOF132" s="531" t="e">
        <f t="shared" si="169"/>
        <v>#DIV/0!</v>
      </c>
      <c r="OOG132" s="531" t="e">
        <f t="shared" si="169"/>
        <v>#DIV/0!</v>
      </c>
      <c r="OOH132" s="531" t="e">
        <f t="shared" si="169"/>
        <v>#DIV/0!</v>
      </c>
      <c r="OOI132" s="531" t="e">
        <f t="shared" si="169"/>
        <v>#DIV/0!</v>
      </c>
      <c r="OOJ132" s="531" t="e">
        <f t="shared" si="169"/>
        <v>#DIV/0!</v>
      </c>
      <c r="OOK132" s="531" t="e">
        <f t="shared" si="169"/>
        <v>#DIV/0!</v>
      </c>
      <c r="OOL132" s="531" t="e">
        <f t="shared" si="169"/>
        <v>#DIV/0!</v>
      </c>
      <c r="OOM132" s="531" t="e">
        <f t="shared" si="169"/>
        <v>#DIV/0!</v>
      </c>
      <c r="OON132" s="531" t="e">
        <f t="shared" si="169"/>
        <v>#DIV/0!</v>
      </c>
      <c r="OOO132" s="531" t="e">
        <f t="shared" si="169"/>
        <v>#DIV/0!</v>
      </c>
      <c r="OOP132" s="531" t="e">
        <f t="shared" si="169"/>
        <v>#DIV/0!</v>
      </c>
      <c r="OOQ132" s="531" t="e">
        <f t="shared" si="169"/>
        <v>#DIV/0!</v>
      </c>
      <c r="OOR132" s="531" t="e">
        <f t="shared" si="169"/>
        <v>#DIV/0!</v>
      </c>
      <c r="OOS132" s="531" t="e">
        <f t="shared" si="169"/>
        <v>#DIV/0!</v>
      </c>
      <c r="OOT132" s="531" t="e">
        <f t="shared" si="169"/>
        <v>#DIV/0!</v>
      </c>
      <c r="OOU132" s="531" t="e">
        <f t="shared" si="169"/>
        <v>#DIV/0!</v>
      </c>
      <c r="OOV132" s="531" t="e">
        <f t="shared" si="169"/>
        <v>#DIV/0!</v>
      </c>
      <c r="OOW132" s="531" t="e">
        <f t="shared" si="169"/>
        <v>#DIV/0!</v>
      </c>
      <c r="OOX132" s="531" t="e">
        <f t="shared" si="169"/>
        <v>#DIV/0!</v>
      </c>
      <c r="OOY132" s="531" t="e">
        <f t="shared" si="169"/>
        <v>#DIV/0!</v>
      </c>
      <c r="OOZ132" s="531" t="e">
        <f t="shared" si="169"/>
        <v>#DIV/0!</v>
      </c>
      <c r="OPA132" s="531" t="e">
        <f t="shared" si="169"/>
        <v>#DIV/0!</v>
      </c>
      <c r="OPB132" s="531" t="e">
        <f t="shared" si="169"/>
        <v>#DIV/0!</v>
      </c>
      <c r="OPC132" s="531" t="e">
        <f t="shared" si="169"/>
        <v>#DIV/0!</v>
      </c>
      <c r="OPD132" s="531" t="e">
        <f t="shared" si="169"/>
        <v>#DIV/0!</v>
      </c>
      <c r="OPE132" s="531" t="e">
        <f t="shared" si="169"/>
        <v>#DIV/0!</v>
      </c>
      <c r="OPF132" s="531" t="e">
        <f t="shared" si="169"/>
        <v>#DIV/0!</v>
      </c>
      <c r="OPG132" s="531" t="e">
        <f t="shared" si="169"/>
        <v>#DIV/0!</v>
      </c>
      <c r="OPH132" s="531" t="e">
        <f t="shared" si="169"/>
        <v>#DIV/0!</v>
      </c>
      <c r="OPI132" s="531" t="e">
        <f t="shared" si="169"/>
        <v>#DIV/0!</v>
      </c>
      <c r="OPJ132" s="531" t="e">
        <f t="shared" si="169"/>
        <v>#DIV/0!</v>
      </c>
      <c r="OPK132" s="531" t="e">
        <f t="shared" ref="OPK132:ORV132" si="170">(OPK128-OPK116)/(OPK52*10^5)</f>
        <v>#DIV/0!</v>
      </c>
      <c r="OPL132" s="531" t="e">
        <f t="shared" si="170"/>
        <v>#DIV/0!</v>
      </c>
      <c r="OPM132" s="531" t="e">
        <f t="shared" si="170"/>
        <v>#DIV/0!</v>
      </c>
      <c r="OPN132" s="531" t="e">
        <f t="shared" si="170"/>
        <v>#DIV/0!</v>
      </c>
      <c r="OPO132" s="531" t="e">
        <f t="shared" si="170"/>
        <v>#DIV/0!</v>
      </c>
      <c r="OPP132" s="531" t="e">
        <f t="shared" si="170"/>
        <v>#DIV/0!</v>
      </c>
      <c r="OPQ132" s="531" t="e">
        <f t="shared" si="170"/>
        <v>#DIV/0!</v>
      </c>
      <c r="OPR132" s="531" t="e">
        <f t="shared" si="170"/>
        <v>#DIV/0!</v>
      </c>
      <c r="OPS132" s="531" t="e">
        <f t="shared" si="170"/>
        <v>#DIV/0!</v>
      </c>
      <c r="OPT132" s="531" t="e">
        <f t="shared" si="170"/>
        <v>#DIV/0!</v>
      </c>
      <c r="OPU132" s="531" t="e">
        <f t="shared" si="170"/>
        <v>#DIV/0!</v>
      </c>
      <c r="OPV132" s="531" t="e">
        <f t="shared" si="170"/>
        <v>#DIV/0!</v>
      </c>
      <c r="OPW132" s="531" t="e">
        <f t="shared" si="170"/>
        <v>#DIV/0!</v>
      </c>
      <c r="OPX132" s="531" t="e">
        <f t="shared" si="170"/>
        <v>#DIV/0!</v>
      </c>
      <c r="OPY132" s="531" t="e">
        <f t="shared" si="170"/>
        <v>#DIV/0!</v>
      </c>
      <c r="OPZ132" s="531" t="e">
        <f t="shared" si="170"/>
        <v>#DIV/0!</v>
      </c>
      <c r="OQA132" s="531" t="e">
        <f t="shared" si="170"/>
        <v>#DIV/0!</v>
      </c>
      <c r="OQB132" s="531" t="e">
        <f t="shared" si="170"/>
        <v>#DIV/0!</v>
      </c>
      <c r="OQC132" s="531" t="e">
        <f t="shared" si="170"/>
        <v>#DIV/0!</v>
      </c>
      <c r="OQD132" s="531" t="e">
        <f t="shared" si="170"/>
        <v>#DIV/0!</v>
      </c>
      <c r="OQE132" s="531" t="e">
        <f t="shared" si="170"/>
        <v>#DIV/0!</v>
      </c>
      <c r="OQF132" s="531" t="e">
        <f t="shared" si="170"/>
        <v>#DIV/0!</v>
      </c>
      <c r="OQG132" s="531" t="e">
        <f t="shared" si="170"/>
        <v>#DIV/0!</v>
      </c>
      <c r="OQH132" s="531" t="e">
        <f t="shared" si="170"/>
        <v>#DIV/0!</v>
      </c>
      <c r="OQI132" s="531" t="e">
        <f t="shared" si="170"/>
        <v>#DIV/0!</v>
      </c>
      <c r="OQJ132" s="531" t="e">
        <f t="shared" si="170"/>
        <v>#DIV/0!</v>
      </c>
      <c r="OQK132" s="531" t="e">
        <f t="shared" si="170"/>
        <v>#DIV/0!</v>
      </c>
      <c r="OQL132" s="531" t="e">
        <f t="shared" si="170"/>
        <v>#DIV/0!</v>
      </c>
      <c r="OQM132" s="531" t="e">
        <f t="shared" si="170"/>
        <v>#DIV/0!</v>
      </c>
      <c r="OQN132" s="531" t="e">
        <f t="shared" si="170"/>
        <v>#DIV/0!</v>
      </c>
      <c r="OQO132" s="531" t="e">
        <f t="shared" si="170"/>
        <v>#DIV/0!</v>
      </c>
      <c r="OQP132" s="531" t="e">
        <f t="shared" si="170"/>
        <v>#DIV/0!</v>
      </c>
      <c r="OQQ132" s="531" t="e">
        <f t="shared" si="170"/>
        <v>#DIV/0!</v>
      </c>
      <c r="OQR132" s="531" t="e">
        <f t="shared" si="170"/>
        <v>#DIV/0!</v>
      </c>
      <c r="OQS132" s="531" t="e">
        <f t="shared" si="170"/>
        <v>#DIV/0!</v>
      </c>
      <c r="OQT132" s="531" t="e">
        <f t="shared" si="170"/>
        <v>#DIV/0!</v>
      </c>
      <c r="OQU132" s="531" t="e">
        <f t="shared" si="170"/>
        <v>#DIV/0!</v>
      </c>
      <c r="OQV132" s="531" t="e">
        <f t="shared" si="170"/>
        <v>#DIV/0!</v>
      </c>
      <c r="OQW132" s="531" t="e">
        <f t="shared" si="170"/>
        <v>#DIV/0!</v>
      </c>
      <c r="OQX132" s="531" t="e">
        <f t="shared" si="170"/>
        <v>#DIV/0!</v>
      </c>
      <c r="OQY132" s="531" t="e">
        <f t="shared" si="170"/>
        <v>#DIV/0!</v>
      </c>
      <c r="OQZ132" s="531" t="e">
        <f t="shared" si="170"/>
        <v>#DIV/0!</v>
      </c>
      <c r="ORA132" s="531" t="e">
        <f t="shared" si="170"/>
        <v>#DIV/0!</v>
      </c>
      <c r="ORB132" s="531" t="e">
        <f t="shared" si="170"/>
        <v>#DIV/0!</v>
      </c>
      <c r="ORC132" s="531" t="e">
        <f t="shared" si="170"/>
        <v>#DIV/0!</v>
      </c>
      <c r="ORD132" s="531" t="e">
        <f t="shared" si="170"/>
        <v>#DIV/0!</v>
      </c>
      <c r="ORE132" s="531" t="e">
        <f t="shared" si="170"/>
        <v>#DIV/0!</v>
      </c>
      <c r="ORF132" s="531" t="e">
        <f t="shared" si="170"/>
        <v>#DIV/0!</v>
      </c>
      <c r="ORG132" s="531" t="e">
        <f t="shared" si="170"/>
        <v>#DIV/0!</v>
      </c>
      <c r="ORH132" s="531" t="e">
        <f t="shared" si="170"/>
        <v>#DIV/0!</v>
      </c>
      <c r="ORI132" s="531" t="e">
        <f t="shared" si="170"/>
        <v>#DIV/0!</v>
      </c>
      <c r="ORJ132" s="531" t="e">
        <f t="shared" si="170"/>
        <v>#DIV/0!</v>
      </c>
      <c r="ORK132" s="531" t="e">
        <f t="shared" si="170"/>
        <v>#DIV/0!</v>
      </c>
      <c r="ORL132" s="531" t="e">
        <f t="shared" si="170"/>
        <v>#DIV/0!</v>
      </c>
      <c r="ORM132" s="531" t="e">
        <f t="shared" si="170"/>
        <v>#DIV/0!</v>
      </c>
      <c r="ORN132" s="531" t="e">
        <f t="shared" si="170"/>
        <v>#DIV/0!</v>
      </c>
      <c r="ORO132" s="531" t="e">
        <f t="shared" si="170"/>
        <v>#DIV/0!</v>
      </c>
      <c r="ORP132" s="531" t="e">
        <f t="shared" si="170"/>
        <v>#DIV/0!</v>
      </c>
      <c r="ORQ132" s="531" t="e">
        <f t="shared" si="170"/>
        <v>#DIV/0!</v>
      </c>
      <c r="ORR132" s="531" t="e">
        <f t="shared" si="170"/>
        <v>#DIV/0!</v>
      </c>
      <c r="ORS132" s="531" t="e">
        <f t="shared" si="170"/>
        <v>#DIV/0!</v>
      </c>
      <c r="ORT132" s="531" t="e">
        <f t="shared" si="170"/>
        <v>#DIV/0!</v>
      </c>
      <c r="ORU132" s="531" t="e">
        <f t="shared" si="170"/>
        <v>#DIV/0!</v>
      </c>
      <c r="ORV132" s="531" t="e">
        <f t="shared" si="170"/>
        <v>#DIV/0!</v>
      </c>
      <c r="ORW132" s="531" t="e">
        <f t="shared" ref="ORW132:OUH132" si="171">(ORW128-ORW116)/(ORW52*10^5)</f>
        <v>#DIV/0!</v>
      </c>
      <c r="ORX132" s="531" t="e">
        <f t="shared" si="171"/>
        <v>#DIV/0!</v>
      </c>
      <c r="ORY132" s="531" t="e">
        <f t="shared" si="171"/>
        <v>#DIV/0!</v>
      </c>
      <c r="ORZ132" s="531" t="e">
        <f t="shared" si="171"/>
        <v>#DIV/0!</v>
      </c>
      <c r="OSA132" s="531" t="e">
        <f t="shared" si="171"/>
        <v>#DIV/0!</v>
      </c>
      <c r="OSB132" s="531" t="e">
        <f t="shared" si="171"/>
        <v>#DIV/0!</v>
      </c>
      <c r="OSC132" s="531" t="e">
        <f t="shared" si="171"/>
        <v>#DIV/0!</v>
      </c>
      <c r="OSD132" s="531" t="e">
        <f t="shared" si="171"/>
        <v>#DIV/0!</v>
      </c>
      <c r="OSE132" s="531" t="e">
        <f t="shared" si="171"/>
        <v>#DIV/0!</v>
      </c>
      <c r="OSF132" s="531" t="e">
        <f t="shared" si="171"/>
        <v>#DIV/0!</v>
      </c>
      <c r="OSG132" s="531" t="e">
        <f t="shared" si="171"/>
        <v>#DIV/0!</v>
      </c>
      <c r="OSH132" s="531" t="e">
        <f t="shared" si="171"/>
        <v>#DIV/0!</v>
      </c>
      <c r="OSI132" s="531" t="e">
        <f t="shared" si="171"/>
        <v>#DIV/0!</v>
      </c>
      <c r="OSJ132" s="531" t="e">
        <f t="shared" si="171"/>
        <v>#DIV/0!</v>
      </c>
      <c r="OSK132" s="531" t="e">
        <f t="shared" si="171"/>
        <v>#DIV/0!</v>
      </c>
      <c r="OSL132" s="531" t="e">
        <f t="shared" si="171"/>
        <v>#DIV/0!</v>
      </c>
      <c r="OSM132" s="531" t="e">
        <f t="shared" si="171"/>
        <v>#DIV/0!</v>
      </c>
      <c r="OSN132" s="531" t="e">
        <f t="shared" si="171"/>
        <v>#DIV/0!</v>
      </c>
      <c r="OSO132" s="531" t="e">
        <f t="shared" si="171"/>
        <v>#DIV/0!</v>
      </c>
      <c r="OSP132" s="531" t="e">
        <f t="shared" si="171"/>
        <v>#DIV/0!</v>
      </c>
      <c r="OSQ132" s="531" t="e">
        <f t="shared" si="171"/>
        <v>#DIV/0!</v>
      </c>
      <c r="OSR132" s="531" t="e">
        <f t="shared" si="171"/>
        <v>#DIV/0!</v>
      </c>
      <c r="OSS132" s="531" t="e">
        <f t="shared" si="171"/>
        <v>#DIV/0!</v>
      </c>
      <c r="OST132" s="531" t="e">
        <f t="shared" si="171"/>
        <v>#DIV/0!</v>
      </c>
      <c r="OSU132" s="531" t="e">
        <f t="shared" si="171"/>
        <v>#DIV/0!</v>
      </c>
      <c r="OSV132" s="531" t="e">
        <f t="shared" si="171"/>
        <v>#DIV/0!</v>
      </c>
      <c r="OSW132" s="531" t="e">
        <f t="shared" si="171"/>
        <v>#DIV/0!</v>
      </c>
      <c r="OSX132" s="531" t="e">
        <f t="shared" si="171"/>
        <v>#DIV/0!</v>
      </c>
      <c r="OSY132" s="531" t="e">
        <f t="shared" si="171"/>
        <v>#DIV/0!</v>
      </c>
      <c r="OSZ132" s="531" t="e">
        <f t="shared" si="171"/>
        <v>#DIV/0!</v>
      </c>
      <c r="OTA132" s="531" t="e">
        <f t="shared" si="171"/>
        <v>#DIV/0!</v>
      </c>
      <c r="OTB132" s="531" t="e">
        <f t="shared" si="171"/>
        <v>#DIV/0!</v>
      </c>
      <c r="OTC132" s="531" t="e">
        <f t="shared" si="171"/>
        <v>#DIV/0!</v>
      </c>
      <c r="OTD132" s="531" t="e">
        <f t="shared" si="171"/>
        <v>#DIV/0!</v>
      </c>
      <c r="OTE132" s="531" t="e">
        <f t="shared" si="171"/>
        <v>#DIV/0!</v>
      </c>
      <c r="OTF132" s="531" t="e">
        <f t="shared" si="171"/>
        <v>#DIV/0!</v>
      </c>
      <c r="OTG132" s="531" t="e">
        <f t="shared" si="171"/>
        <v>#DIV/0!</v>
      </c>
      <c r="OTH132" s="531" t="e">
        <f t="shared" si="171"/>
        <v>#DIV/0!</v>
      </c>
      <c r="OTI132" s="531" t="e">
        <f t="shared" si="171"/>
        <v>#DIV/0!</v>
      </c>
      <c r="OTJ132" s="531" t="e">
        <f t="shared" si="171"/>
        <v>#DIV/0!</v>
      </c>
      <c r="OTK132" s="531" t="e">
        <f t="shared" si="171"/>
        <v>#DIV/0!</v>
      </c>
      <c r="OTL132" s="531" t="e">
        <f t="shared" si="171"/>
        <v>#DIV/0!</v>
      </c>
      <c r="OTM132" s="531" t="e">
        <f t="shared" si="171"/>
        <v>#DIV/0!</v>
      </c>
      <c r="OTN132" s="531" t="e">
        <f t="shared" si="171"/>
        <v>#DIV/0!</v>
      </c>
      <c r="OTO132" s="531" t="e">
        <f t="shared" si="171"/>
        <v>#DIV/0!</v>
      </c>
      <c r="OTP132" s="531" t="e">
        <f t="shared" si="171"/>
        <v>#DIV/0!</v>
      </c>
      <c r="OTQ132" s="531" t="e">
        <f t="shared" si="171"/>
        <v>#DIV/0!</v>
      </c>
      <c r="OTR132" s="531" t="e">
        <f t="shared" si="171"/>
        <v>#DIV/0!</v>
      </c>
      <c r="OTS132" s="531" t="e">
        <f t="shared" si="171"/>
        <v>#DIV/0!</v>
      </c>
      <c r="OTT132" s="531" t="e">
        <f t="shared" si="171"/>
        <v>#DIV/0!</v>
      </c>
      <c r="OTU132" s="531" t="e">
        <f t="shared" si="171"/>
        <v>#DIV/0!</v>
      </c>
      <c r="OTV132" s="531" t="e">
        <f t="shared" si="171"/>
        <v>#DIV/0!</v>
      </c>
      <c r="OTW132" s="531" t="e">
        <f t="shared" si="171"/>
        <v>#DIV/0!</v>
      </c>
      <c r="OTX132" s="531" t="e">
        <f t="shared" si="171"/>
        <v>#DIV/0!</v>
      </c>
      <c r="OTY132" s="531" t="e">
        <f t="shared" si="171"/>
        <v>#DIV/0!</v>
      </c>
      <c r="OTZ132" s="531" t="e">
        <f t="shared" si="171"/>
        <v>#DIV/0!</v>
      </c>
      <c r="OUA132" s="531" t="e">
        <f t="shared" si="171"/>
        <v>#DIV/0!</v>
      </c>
      <c r="OUB132" s="531" t="e">
        <f t="shared" si="171"/>
        <v>#DIV/0!</v>
      </c>
      <c r="OUC132" s="531" t="e">
        <f t="shared" si="171"/>
        <v>#DIV/0!</v>
      </c>
      <c r="OUD132" s="531" t="e">
        <f t="shared" si="171"/>
        <v>#DIV/0!</v>
      </c>
      <c r="OUE132" s="531" t="e">
        <f t="shared" si="171"/>
        <v>#DIV/0!</v>
      </c>
      <c r="OUF132" s="531" t="e">
        <f t="shared" si="171"/>
        <v>#DIV/0!</v>
      </c>
      <c r="OUG132" s="531" t="e">
        <f t="shared" si="171"/>
        <v>#DIV/0!</v>
      </c>
      <c r="OUH132" s="531" t="e">
        <f t="shared" si="171"/>
        <v>#DIV/0!</v>
      </c>
      <c r="OUI132" s="531" t="e">
        <f t="shared" ref="OUI132:OWT132" si="172">(OUI128-OUI116)/(OUI52*10^5)</f>
        <v>#DIV/0!</v>
      </c>
      <c r="OUJ132" s="531" t="e">
        <f t="shared" si="172"/>
        <v>#DIV/0!</v>
      </c>
      <c r="OUK132" s="531" t="e">
        <f t="shared" si="172"/>
        <v>#DIV/0!</v>
      </c>
      <c r="OUL132" s="531" t="e">
        <f t="shared" si="172"/>
        <v>#DIV/0!</v>
      </c>
      <c r="OUM132" s="531" t="e">
        <f t="shared" si="172"/>
        <v>#DIV/0!</v>
      </c>
      <c r="OUN132" s="531" t="e">
        <f t="shared" si="172"/>
        <v>#DIV/0!</v>
      </c>
      <c r="OUO132" s="531" t="e">
        <f t="shared" si="172"/>
        <v>#DIV/0!</v>
      </c>
      <c r="OUP132" s="531" t="e">
        <f t="shared" si="172"/>
        <v>#DIV/0!</v>
      </c>
      <c r="OUQ132" s="531" t="e">
        <f t="shared" si="172"/>
        <v>#DIV/0!</v>
      </c>
      <c r="OUR132" s="531" t="e">
        <f t="shared" si="172"/>
        <v>#DIV/0!</v>
      </c>
      <c r="OUS132" s="531" t="e">
        <f t="shared" si="172"/>
        <v>#DIV/0!</v>
      </c>
      <c r="OUT132" s="531" t="e">
        <f t="shared" si="172"/>
        <v>#DIV/0!</v>
      </c>
      <c r="OUU132" s="531" t="e">
        <f t="shared" si="172"/>
        <v>#DIV/0!</v>
      </c>
      <c r="OUV132" s="531" t="e">
        <f t="shared" si="172"/>
        <v>#DIV/0!</v>
      </c>
      <c r="OUW132" s="531" t="e">
        <f t="shared" si="172"/>
        <v>#DIV/0!</v>
      </c>
      <c r="OUX132" s="531" t="e">
        <f t="shared" si="172"/>
        <v>#DIV/0!</v>
      </c>
      <c r="OUY132" s="531" t="e">
        <f t="shared" si="172"/>
        <v>#DIV/0!</v>
      </c>
      <c r="OUZ132" s="531" t="e">
        <f t="shared" si="172"/>
        <v>#DIV/0!</v>
      </c>
      <c r="OVA132" s="531" t="e">
        <f t="shared" si="172"/>
        <v>#DIV/0!</v>
      </c>
      <c r="OVB132" s="531" t="e">
        <f t="shared" si="172"/>
        <v>#DIV/0!</v>
      </c>
      <c r="OVC132" s="531" t="e">
        <f t="shared" si="172"/>
        <v>#DIV/0!</v>
      </c>
      <c r="OVD132" s="531" t="e">
        <f t="shared" si="172"/>
        <v>#DIV/0!</v>
      </c>
      <c r="OVE132" s="531" t="e">
        <f t="shared" si="172"/>
        <v>#DIV/0!</v>
      </c>
      <c r="OVF132" s="531" t="e">
        <f t="shared" si="172"/>
        <v>#DIV/0!</v>
      </c>
      <c r="OVG132" s="531" t="e">
        <f t="shared" si="172"/>
        <v>#DIV/0!</v>
      </c>
      <c r="OVH132" s="531" t="e">
        <f t="shared" si="172"/>
        <v>#DIV/0!</v>
      </c>
      <c r="OVI132" s="531" t="e">
        <f t="shared" si="172"/>
        <v>#DIV/0!</v>
      </c>
      <c r="OVJ132" s="531" t="e">
        <f t="shared" si="172"/>
        <v>#DIV/0!</v>
      </c>
      <c r="OVK132" s="531" t="e">
        <f t="shared" si="172"/>
        <v>#DIV/0!</v>
      </c>
      <c r="OVL132" s="531" t="e">
        <f t="shared" si="172"/>
        <v>#DIV/0!</v>
      </c>
      <c r="OVM132" s="531" t="e">
        <f t="shared" si="172"/>
        <v>#DIV/0!</v>
      </c>
      <c r="OVN132" s="531" t="e">
        <f t="shared" si="172"/>
        <v>#DIV/0!</v>
      </c>
      <c r="OVO132" s="531" t="e">
        <f t="shared" si="172"/>
        <v>#DIV/0!</v>
      </c>
      <c r="OVP132" s="531" t="e">
        <f t="shared" si="172"/>
        <v>#DIV/0!</v>
      </c>
      <c r="OVQ132" s="531" t="e">
        <f t="shared" si="172"/>
        <v>#DIV/0!</v>
      </c>
      <c r="OVR132" s="531" t="e">
        <f t="shared" si="172"/>
        <v>#DIV/0!</v>
      </c>
      <c r="OVS132" s="531" t="e">
        <f t="shared" si="172"/>
        <v>#DIV/0!</v>
      </c>
      <c r="OVT132" s="531" t="e">
        <f t="shared" si="172"/>
        <v>#DIV/0!</v>
      </c>
      <c r="OVU132" s="531" t="e">
        <f t="shared" si="172"/>
        <v>#DIV/0!</v>
      </c>
      <c r="OVV132" s="531" t="e">
        <f t="shared" si="172"/>
        <v>#DIV/0!</v>
      </c>
      <c r="OVW132" s="531" t="e">
        <f t="shared" si="172"/>
        <v>#DIV/0!</v>
      </c>
      <c r="OVX132" s="531" t="e">
        <f t="shared" si="172"/>
        <v>#DIV/0!</v>
      </c>
      <c r="OVY132" s="531" t="e">
        <f t="shared" si="172"/>
        <v>#DIV/0!</v>
      </c>
      <c r="OVZ132" s="531" t="e">
        <f t="shared" si="172"/>
        <v>#DIV/0!</v>
      </c>
      <c r="OWA132" s="531" t="e">
        <f t="shared" si="172"/>
        <v>#DIV/0!</v>
      </c>
      <c r="OWB132" s="531" t="e">
        <f t="shared" si="172"/>
        <v>#DIV/0!</v>
      </c>
      <c r="OWC132" s="531" t="e">
        <f t="shared" si="172"/>
        <v>#DIV/0!</v>
      </c>
      <c r="OWD132" s="531" t="e">
        <f t="shared" si="172"/>
        <v>#DIV/0!</v>
      </c>
      <c r="OWE132" s="531" t="e">
        <f t="shared" si="172"/>
        <v>#DIV/0!</v>
      </c>
      <c r="OWF132" s="531" t="e">
        <f t="shared" si="172"/>
        <v>#DIV/0!</v>
      </c>
      <c r="OWG132" s="531" t="e">
        <f t="shared" si="172"/>
        <v>#DIV/0!</v>
      </c>
      <c r="OWH132" s="531" t="e">
        <f t="shared" si="172"/>
        <v>#DIV/0!</v>
      </c>
      <c r="OWI132" s="531" t="e">
        <f t="shared" si="172"/>
        <v>#DIV/0!</v>
      </c>
      <c r="OWJ132" s="531" t="e">
        <f t="shared" si="172"/>
        <v>#DIV/0!</v>
      </c>
      <c r="OWK132" s="531" t="e">
        <f t="shared" si="172"/>
        <v>#DIV/0!</v>
      </c>
      <c r="OWL132" s="531" t="e">
        <f t="shared" si="172"/>
        <v>#DIV/0!</v>
      </c>
      <c r="OWM132" s="531" t="e">
        <f t="shared" si="172"/>
        <v>#DIV/0!</v>
      </c>
      <c r="OWN132" s="531" t="e">
        <f t="shared" si="172"/>
        <v>#DIV/0!</v>
      </c>
      <c r="OWO132" s="531" t="e">
        <f t="shared" si="172"/>
        <v>#DIV/0!</v>
      </c>
      <c r="OWP132" s="531" t="e">
        <f t="shared" si="172"/>
        <v>#DIV/0!</v>
      </c>
      <c r="OWQ132" s="531" t="e">
        <f t="shared" si="172"/>
        <v>#DIV/0!</v>
      </c>
      <c r="OWR132" s="531" t="e">
        <f t="shared" si="172"/>
        <v>#DIV/0!</v>
      </c>
      <c r="OWS132" s="531" t="e">
        <f t="shared" si="172"/>
        <v>#DIV/0!</v>
      </c>
      <c r="OWT132" s="531" t="e">
        <f t="shared" si="172"/>
        <v>#DIV/0!</v>
      </c>
      <c r="OWU132" s="531" t="e">
        <f t="shared" ref="OWU132:OZF132" si="173">(OWU128-OWU116)/(OWU52*10^5)</f>
        <v>#DIV/0!</v>
      </c>
      <c r="OWV132" s="531" t="e">
        <f t="shared" si="173"/>
        <v>#DIV/0!</v>
      </c>
      <c r="OWW132" s="531" t="e">
        <f t="shared" si="173"/>
        <v>#DIV/0!</v>
      </c>
      <c r="OWX132" s="531" t="e">
        <f t="shared" si="173"/>
        <v>#DIV/0!</v>
      </c>
      <c r="OWY132" s="531" t="e">
        <f t="shared" si="173"/>
        <v>#DIV/0!</v>
      </c>
      <c r="OWZ132" s="531" t="e">
        <f t="shared" si="173"/>
        <v>#DIV/0!</v>
      </c>
      <c r="OXA132" s="531" t="e">
        <f t="shared" si="173"/>
        <v>#DIV/0!</v>
      </c>
      <c r="OXB132" s="531" t="e">
        <f t="shared" si="173"/>
        <v>#DIV/0!</v>
      </c>
      <c r="OXC132" s="531" t="e">
        <f t="shared" si="173"/>
        <v>#DIV/0!</v>
      </c>
      <c r="OXD132" s="531" t="e">
        <f t="shared" si="173"/>
        <v>#DIV/0!</v>
      </c>
      <c r="OXE132" s="531" t="e">
        <f t="shared" si="173"/>
        <v>#DIV/0!</v>
      </c>
      <c r="OXF132" s="531" t="e">
        <f t="shared" si="173"/>
        <v>#DIV/0!</v>
      </c>
      <c r="OXG132" s="531" t="e">
        <f t="shared" si="173"/>
        <v>#DIV/0!</v>
      </c>
      <c r="OXH132" s="531" t="e">
        <f t="shared" si="173"/>
        <v>#DIV/0!</v>
      </c>
      <c r="OXI132" s="531" t="e">
        <f t="shared" si="173"/>
        <v>#DIV/0!</v>
      </c>
      <c r="OXJ132" s="531" t="e">
        <f t="shared" si="173"/>
        <v>#DIV/0!</v>
      </c>
      <c r="OXK132" s="531" t="e">
        <f t="shared" si="173"/>
        <v>#DIV/0!</v>
      </c>
      <c r="OXL132" s="531" t="e">
        <f t="shared" si="173"/>
        <v>#DIV/0!</v>
      </c>
      <c r="OXM132" s="531" t="e">
        <f t="shared" si="173"/>
        <v>#DIV/0!</v>
      </c>
      <c r="OXN132" s="531" t="e">
        <f t="shared" si="173"/>
        <v>#DIV/0!</v>
      </c>
      <c r="OXO132" s="531" t="e">
        <f t="shared" si="173"/>
        <v>#DIV/0!</v>
      </c>
      <c r="OXP132" s="531" t="e">
        <f t="shared" si="173"/>
        <v>#DIV/0!</v>
      </c>
      <c r="OXQ132" s="531" t="e">
        <f t="shared" si="173"/>
        <v>#DIV/0!</v>
      </c>
      <c r="OXR132" s="531" t="e">
        <f t="shared" si="173"/>
        <v>#DIV/0!</v>
      </c>
      <c r="OXS132" s="531" t="e">
        <f t="shared" si="173"/>
        <v>#DIV/0!</v>
      </c>
      <c r="OXT132" s="531" t="e">
        <f t="shared" si="173"/>
        <v>#DIV/0!</v>
      </c>
      <c r="OXU132" s="531" t="e">
        <f t="shared" si="173"/>
        <v>#DIV/0!</v>
      </c>
      <c r="OXV132" s="531" t="e">
        <f t="shared" si="173"/>
        <v>#DIV/0!</v>
      </c>
      <c r="OXW132" s="531" t="e">
        <f t="shared" si="173"/>
        <v>#DIV/0!</v>
      </c>
      <c r="OXX132" s="531" t="e">
        <f t="shared" si="173"/>
        <v>#DIV/0!</v>
      </c>
      <c r="OXY132" s="531" t="e">
        <f t="shared" si="173"/>
        <v>#DIV/0!</v>
      </c>
      <c r="OXZ132" s="531" t="e">
        <f t="shared" si="173"/>
        <v>#DIV/0!</v>
      </c>
      <c r="OYA132" s="531" t="e">
        <f t="shared" si="173"/>
        <v>#DIV/0!</v>
      </c>
      <c r="OYB132" s="531" t="e">
        <f t="shared" si="173"/>
        <v>#DIV/0!</v>
      </c>
      <c r="OYC132" s="531" t="e">
        <f t="shared" si="173"/>
        <v>#DIV/0!</v>
      </c>
      <c r="OYD132" s="531" t="e">
        <f t="shared" si="173"/>
        <v>#DIV/0!</v>
      </c>
      <c r="OYE132" s="531" t="e">
        <f t="shared" si="173"/>
        <v>#DIV/0!</v>
      </c>
      <c r="OYF132" s="531" t="e">
        <f t="shared" si="173"/>
        <v>#DIV/0!</v>
      </c>
      <c r="OYG132" s="531" t="e">
        <f t="shared" si="173"/>
        <v>#DIV/0!</v>
      </c>
      <c r="OYH132" s="531" t="e">
        <f t="shared" si="173"/>
        <v>#DIV/0!</v>
      </c>
      <c r="OYI132" s="531" t="e">
        <f t="shared" si="173"/>
        <v>#DIV/0!</v>
      </c>
      <c r="OYJ132" s="531" t="e">
        <f t="shared" si="173"/>
        <v>#DIV/0!</v>
      </c>
      <c r="OYK132" s="531" t="e">
        <f t="shared" si="173"/>
        <v>#DIV/0!</v>
      </c>
      <c r="OYL132" s="531" t="e">
        <f t="shared" si="173"/>
        <v>#DIV/0!</v>
      </c>
      <c r="OYM132" s="531" t="e">
        <f t="shared" si="173"/>
        <v>#DIV/0!</v>
      </c>
      <c r="OYN132" s="531" t="e">
        <f t="shared" si="173"/>
        <v>#DIV/0!</v>
      </c>
      <c r="OYO132" s="531" t="e">
        <f t="shared" si="173"/>
        <v>#DIV/0!</v>
      </c>
      <c r="OYP132" s="531" t="e">
        <f t="shared" si="173"/>
        <v>#DIV/0!</v>
      </c>
      <c r="OYQ132" s="531" t="e">
        <f t="shared" si="173"/>
        <v>#DIV/0!</v>
      </c>
      <c r="OYR132" s="531" t="e">
        <f t="shared" si="173"/>
        <v>#DIV/0!</v>
      </c>
      <c r="OYS132" s="531" t="e">
        <f t="shared" si="173"/>
        <v>#DIV/0!</v>
      </c>
      <c r="OYT132" s="531" t="e">
        <f t="shared" si="173"/>
        <v>#DIV/0!</v>
      </c>
      <c r="OYU132" s="531" t="e">
        <f t="shared" si="173"/>
        <v>#DIV/0!</v>
      </c>
      <c r="OYV132" s="531" t="e">
        <f t="shared" si="173"/>
        <v>#DIV/0!</v>
      </c>
      <c r="OYW132" s="531" t="e">
        <f t="shared" si="173"/>
        <v>#DIV/0!</v>
      </c>
      <c r="OYX132" s="531" t="e">
        <f t="shared" si="173"/>
        <v>#DIV/0!</v>
      </c>
      <c r="OYY132" s="531" t="e">
        <f t="shared" si="173"/>
        <v>#DIV/0!</v>
      </c>
      <c r="OYZ132" s="531" t="e">
        <f t="shared" si="173"/>
        <v>#DIV/0!</v>
      </c>
      <c r="OZA132" s="531" t="e">
        <f t="shared" si="173"/>
        <v>#DIV/0!</v>
      </c>
      <c r="OZB132" s="531" t="e">
        <f t="shared" si="173"/>
        <v>#DIV/0!</v>
      </c>
      <c r="OZC132" s="531" t="e">
        <f t="shared" si="173"/>
        <v>#DIV/0!</v>
      </c>
      <c r="OZD132" s="531" t="e">
        <f t="shared" si="173"/>
        <v>#DIV/0!</v>
      </c>
      <c r="OZE132" s="531" t="e">
        <f t="shared" si="173"/>
        <v>#DIV/0!</v>
      </c>
      <c r="OZF132" s="531" t="e">
        <f t="shared" si="173"/>
        <v>#DIV/0!</v>
      </c>
      <c r="OZG132" s="531" t="e">
        <f t="shared" ref="OZG132:PBR132" si="174">(OZG128-OZG116)/(OZG52*10^5)</f>
        <v>#DIV/0!</v>
      </c>
      <c r="OZH132" s="531" t="e">
        <f t="shared" si="174"/>
        <v>#DIV/0!</v>
      </c>
      <c r="OZI132" s="531" t="e">
        <f t="shared" si="174"/>
        <v>#DIV/0!</v>
      </c>
      <c r="OZJ132" s="531" t="e">
        <f t="shared" si="174"/>
        <v>#DIV/0!</v>
      </c>
      <c r="OZK132" s="531" t="e">
        <f t="shared" si="174"/>
        <v>#DIV/0!</v>
      </c>
      <c r="OZL132" s="531" t="e">
        <f t="shared" si="174"/>
        <v>#DIV/0!</v>
      </c>
      <c r="OZM132" s="531" t="e">
        <f t="shared" si="174"/>
        <v>#DIV/0!</v>
      </c>
      <c r="OZN132" s="531" t="e">
        <f t="shared" si="174"/>
        <v>#DIV/0!</v>
      </c>
      <c r="OZO132" s="531" t="e">
        <f t="shared" si="174"/>
        <v>#DIV/0!</v>
      </c>
      <c r="OZP132" s="531" t="e">
        <f t="shared" si="174"/>
        <v>#DIV/0!</v>
      </c>
      <c r="OZQ132" s="531" t="e">
        <f t="shared" si="174"/>
        <v>#DIV/0!</v>
      </c>
      <c r="OZR132" s="531" t="e">
        <f t="shared" si="174"/>
        <v>#DIV/0!</v>
      </c>
      <c r="OZS132" s="531" t="e">
        <f t="shared" si="174"/>
        <v>#DIV/0!</v>
      </c>
      <c r="OZT132" s="531" t="e">
        <f t="shared" si="174"/>
        <v>#DIV/0!</v>
      </c>
      <c r="OZU132" s="531" t="e">
        <f t="shared" si="174"/>
        <v>#DIV/0!</v>
      </c>
      <c r="OZV132" s="531" t="e">
        <f t="shared" si="174"/>
        <v>#DIV/0!</v>
      </c>
      <c r="OZW132" s="531" t="e">
        <f t="shared" si="174"/>
        <v>#DIV/0!</v>
      </c>
      <c r="OZX132" s="531" t="e">
        <f t="shared" si="174"/>
        <v>#DIV/0!</v>
      </c>
      <c r="OZY132" s="531" t="e">
        <f t="shared" si="174"/>
        <v>#DIV/0!</v>
      </c>
      <c r="OZZ132" s="531" t="e">
        <f t="shared" si="174"/>
        <v>#DIV/0!</v>
      </c>
      <c r="PAA132" s="531" t="e">
        <f t="shared" si="174"/>
        <v>#DIV/0!</v>
      </c>
      <c r="PAB132" s="531" t="e">
        <f t="shared" si="174"/>
        <v>#DIV/0!</v>
      </c>
      <c r="PAC132" s="531" t="e">
        <f t="shared" si="174"/>
        <v>#DIV/0!</v>
      </c>
      <c r="PAD132" s="531" t="e">
        <f t="shared" si="174"/>
        <v>#DIV/0!</v>
      </c>
      <c r="PAE132" s="531" t="e">
        <f t="shared" si="174"/>
        <v>#DIV/0!</v>
      </c>
      <c r="PAF132" s="531" t="e">
        <f t="shared" si="174"/>
        <v>#DIV/0!</v>
      </c>
      <c r="PAG132" s="531" t="e">
        <f t="shared" si="174"/>
        <v>#DIV/0!</v>
      </c>
      <c r="PAH132" s="531" t="e">
        <f t="shared" si="174"/>
        <v>#DIV/0!</v>
      </c>
      <c r="PAI132" s="531" t="e">
        <f t="shared" si="174"/>
        <v>#DIV/0!</v>
      </c>
      <c r="PAJ132" s="531" t="e">
        <f t="shared" si="174"/>
        <v>#DIV/0!</v>
      </c>
      <c r="PAK132" s="531" t="e">
        <f t="shared" si="174"/>
        <v>#DIV/0!</v>
      </c>
      <c r="PAL132" s="531" t="e">
        <f t="shared" si="174"/>
        <v>#DIV/0!</v>
      </c>
      <c r="PAM132" s="531" t="e">
        <f t="shared" si="174"/>
        <v>#DIV/0!</v>
      </c>
      <c r="PAN132" s="531" t="e">
        <f t="shared" si="174"/>
        <v>#DIV/0!</v>
      </c>
      <c r="PAO132" s="531" t="e">
        <f t="shared" si="174"/>
        <v>#DIV/0!</v>
      </c>
      <c r="PAP132" s="531" t="e">
        <f t="shared" si="174"/>
        <v>#DIV/0!</v>
      </c>
      <c r="PAQ132" s="531" t="e">
        <f t="shared" si="174"/>
        <v>#DIV/0!</v>
      </c>
      <c r="PAR132" s="531" t="e">
        <f t="shared" si="174"/>
        <v>#DIV/0!</v>
      </c>
      <c r="PAS132" s="531" t="e">
        <f t="shared" si="174"/>
        <v>#DIV/0!</v>
      </c>
      <c r="PAT132" s="531" t="e">
        <f t="shared" si="174"/>
        <v>#DIV/0!</v>
      </c>
      <c r="PAU132" s="531" t="e">
        <f t="shared" si="174"/>
        <v>#DIV/0!</v>
      </c>
      <c r="PAV132" s="531" t="e">
        <f t="shared" si="174"/>
        <v>#DIV/0!</v>
      </c>
      <c r="PAW132" s="531" t="e">
        <f t="shared" si="174"/>
        <v>#DIV/0!</v>
      </c>
      <c r="PAX132" s="531" t="e">
        <f t="shared" si="174"/>
        <v>#DIV/0!</v>
      </c>
      <c r="PAY132" s="531" t="e">
        <f t="shared" si="174"/>
        <v>#DIV/0!</v>
      </c>
      <c r="PAZ132" s="531" t="e">
        <f t="shared" si="174"/>
        <v>#DIV/0!</v>
      </c>
      <c r="PBA132" s="531" t="e">
        <f t="shared" si="174"/>
        <v>#DIV/0!</v>
      </c>
      <c r="PBB132" s="531" t="e">
        <f t="shared" si="174"/>
        <v>#DIV/0!</v>
      </c>
      <c r="PBC132" s="531" t="e">
        <f t="shared" si="174"/>
        <v>#DIV/0!</v>
      </c>
      <c r="PBD132" s="531" t="e">
        <f t="shared" si="174"/>
        <v>#DIV/0!</v>
      </c>
      <c r="PBE132" s="531" t="e">
        <f t="shared" si="174"/>
        <v>#DIV/0!</v>
      </c>
      <c r="PBF132" s="531" t="e">
        <f t="shared" si="174"/>
        <v>#DIV/0!</v>
      </c>
      <c r="PBG132" s="531" t="e">
        <f t="shared" si="174"/>
        <v>#DIV/0!</v>
      </c>
      <c r="PBH132" s="531" t="e">
        <f t="shared" si="174"/>
        <v>#DIV/0!</v>
      </c>
      <c r="PBI132" s="531" t="e">
        <f t="shared" si="174"/>
        <v>#DIV/0!</v>
      </c>
      <c r="PBJ132" s="531" t="e">
        <f t="shared" si="174"/>
        <v>#DIV/0!</v>
      </c>
      <c r="PBK132" s="531" t="e">
        <f t="shared" si="174"/>
        <v>#DIV/0!</v>
      </c>
      <c r="PBL132" s="531" t="e">
        <f t="shared" si="174"/>
        <v>#DIV/0!</v>
      </c>
      <c r="PBM132" s="531" t="e">
        <f t="shared" si="174"/>
        <v>#DIV/0!</v>
      </c>
      <c r="PBN132" s="531" t="e">
        <f t="shared" si="174"/>
        <v>#DIV/0!</v>
      </c>
      <c r="PBO132" s="531" t="e">
        <f t="shared" si="174"/>
        <v>#DIV/0!</v>
      </c>
      <c r="PBP132" s="531" t="e">
        <f t="shared" si="174"/>
        <v>#DIV/0!</v>
      </c>
      <c r="PBQ132" s="531" t="e">
        <f t="shared" si="174"/>
        <v>#DIV/0!</v>
      </c>
      <c r="PBR132" s="531" t="e">
        <f t="shared" si="174"/>
        <v>#DIV/0!</v>
      </c>
      <c r="PBS132" s="531" t="e">
        <f t="shared" ref="PBS132:PED132" si="175">(PBS128-PBS116)/(PBS52*10^5)</f>
        <v>#DIV/0!</v>
      </c>
      <c r="PBT132" s="531" t="e">
        <f t="shared" si="175"/>
        <v>#DIV/0!</v>
      </c>
      <c r="PBU132" s="531" t="e">
        <f t="shared" si="175"/>
        <v>#DIV/0!</v>
      </c>
      <c r="PBV132" s="531" t="e">
        <f t="shared" si="175"/>
        <v>#DIV/0!</v>
      </c>
      <c r="PBW132" s="531" t="e">
        <f t="shared" si="175"/>
        <v>#DIV/0!</v>
      </c>
      <c r="PBX132" s="531" t="e">
        <f t="shared" si="175"/>
        <v>#DIV/0!</v>
      </c>
      <c r="PBY132" s="531" t="e">
        <f t="shared" si="175"/>
        <v>#DIV/0!</v>
      </c>
      <c r="PBZ132" s="531" t="e">
        <f t="shared" si="175"/>
        <v>#DIV/0!</v>
      </c>
      <c r="PCA132" s="531" t="e">
        <f t="shared" si="175"/>
        <v>#DIV/0!</v>
      </c>
      <c r="PCB132" s="531" t="e">
        <f t="shared" si="175"/>
        <v>#DIV/0!</v>
      </c>
      <c r="PCC132" s="531" t="e">
        <f t="shared" si="175"/>
        <v>#DIV/0!</v>
      </c>
      <c r="PCD132" s="531" t="e">
        <f t="shared" si="175"/>
        <v>#DIV/0!</v>
      </c>
      <c r="PCE132" s="531" t="e">
        <f t="shared" si="175"/>
        <v>#DIV/0!</v>
      </c>
      <c r="PCF132" s="531" t="e">
        <f t="shared" si="175"/>
        <v>#DIV/0!</v>
      </c>
      <c r="PCG132" s="531" t="e">
        <f t="shared" si="175"/>
        <v>#DIV/0!</v>
      </c>
      <c r="PCH132" s="531" t="e">
        <f t="shared" si="175"/>
        <v>#DIV/0!</v>
      </c>
      <c r="PCI132" s="531" t="e">
        <f t="shared" si="175"/>
        <v>#DIV/0!</v>
      </c>
      <c r="PCJ132" s="531" t="e">
        <f t="shared" si="175"/>
        <v>#DIV/0!</v>
      </c>
      <c r="PCK132" s="531" t="e">
        <f t="shared" si="175"/>
        <v>#DIV/0!</v>
      </c>
      <c r="PCL132" s="531" t="e">
        <f t="shared" si="175"/>
        <v>#DIV/0!</v>
      </c>
      <c r="PCM132" s="531" t="e">
        <f t="shared" si="175"/>
        <v>#DIV/0!</v>
      </c>
      <c r="PCN132" s="531" t="e">
        <f t="shared" si="175"/>
        <v>#DIV/0!</v>
      </c>
      <c r="PCO132" s="531" t="e">
        <f t="shared" si="175"/>
        <v>#DIV/0!</v>
      </c>
      <c r="PCP132" s="531" t="e">
        <f t="shared" si="175"/>
        <v>#DIV/0!</v>
      </c>
      <c r="PCQ132" s="531" t="e">
        <f t="shared" si="175"/>
        <v>#DIV/0!</v>
      </c>
      <c r="PCR132" s="531" t="e">
        <f t="shared" si="175"/>
        <v>#DIV/0!</v>
      </c>
      <c r="PCS132" s="531" t="e">
        <f t="shared" si="175"/>
        <v>#DIV/0!</v>
      </c>
      <c r="PCT132" s="531" t="e">
        <f t="shared" si="175"/>
        <v>#DIV/0!</v>
      </c>
      <c r="PCU132" s="531" t="e">
        <f t="shared" si="175"/>
        <v>#DIV/0!</v>
      </c>
      <c r="PCV132" s="531" t="e">
        <f t="shared" si="175"/>
        <v>#DIV/0!</v>
      </c>
      <c r="PCW132" s="531" t="e">
        <f t="shared" si="175"/>
        <v>#DIV/0!</v>
      </c>
      <c r="PCX132" s="531" t="e">
        <f t="shared" si="175"/>
        <v>#DIV/0!</v>
      </c>
      <c r="PCY132" s="531" t="e">
        <f t="shared" si="175"/>
        <v>#DIV/0!</v>
      </c>
      <c r="PCZ132" s="531" t="e">
        <f t="shared" si="175"/>
        <v>#DIV/0!</v>
      </c>
      <c r="PDA132" s="531" t="e">
        <f t="shared" si="175"/>
        <v>#DIV/0!</v>
      </c>
      <c r="PDB132" s="531" t="e">
        <f t="shared" si="175"/>
        <v>#DIV/0!</v>
      </c>
      <c r="PDC132" s="531" t="e">
        <f t="shared" si="175"/>
        <v>#DIV/0!</v>
      </c>
      <c r="PDD132" s="531" t="e">
        <f t="shared" si="175"/>
        <v>#DIV/0!</v>
      </c>
      <c r="PDE132" s="531" t="e">
        <f t="shared" si="175"/>
        <v>#DIV/0!</v>
      </c>
      <c r="PDF132" s="531" t="e">
        <f t="shared" si="175"/>
        <v>#DIV/0!</v>
      </c>
      <c r="PDG132" s="531" t="e">
        <f t="shared" si="175"/>
        <v>#DIV/0!</v>
      </c>
      <c r="PDH132" s="531" t="e">
        <f t="shared" si="175"/>
        <v>#DIV/0!</v>
      </c>
      <c r="PDI132" s="531" t="e">
        <f t="shared" si="175"/>
        <v>#DIV/0!</v>
      </c>
      <c r="PDJ132" s="531" t="e">
        <f t="shared" si="175"/>
        <v>#DIV/0!</v>
      </c>
      <c r="PDK132" s="531" t="e">
        <f t="shared" si="175"/>
        <v>#DIV/0!</v>
      </c>
      <c r="PDL132" s="531" t="e">
        <f t="shared" si="175"/>
        <v>#DIV/0!</v>
      </c>
      <c r="PDM132" s="531" t="e">
        <f t="shared" si="175"/>
        <v>#DIV/0!</v>
      </c>
      <c r="PDN132" s="531" t="e">
        <f t="shared" si="175"/>
        <v>#DIV/0!</v>
      </c>
      <c r="PDO132" s="531" t="e">
        <f t="shared" si="175"/>
        <v>#DIV/0!</v>
      </c>
      <c r="PDP132" s="531" t="e">
        <f t="shared" si="175"/>
        <v>#DIV/0!</v>
      </c>
      <c r="PDQ132" s="531" t="e">
        <f t="shared" si="175"/>
        <v>#DIV/0!</v>
      </c>
      <c r="PDR132" s="531" t="e">
        <f t="shared" si="175"/>
        <v>#DIV/0!</v>
      </c>
      <c r="PDS132" s="531" t="e">
        <f t="shared" si="175"/>
        <v>#DIV/0!</v>
      </c>
      <c r="PDT132" s="531" t="e">
        <f t="shared" si="175"/>
        <v>#DIV/0!</v>
      </c>
      <c r="PDU132" s="531" t="e">
        <f t="shared" si="175"/>
        <v>#DIV/0!</v>
      </c>
      <c r="PDV132" s="531" t="e">
        <f t="shared" si="175"/>
        <v>#DIV/0!</v>
      </c>
      <c r="PDW132" s="531" t="e">
        <f t="shared" si="175"/>
        <v>#DIV/0!</v>
      </c>
      <c r="PDX132" s="531" t="e">
        <f t="shared" si="175"/>
        <v>#DIV/0!</v>
      </c>
      <c r="PDY132" s="531" t="e">
        <f t="shared" si="175"/>
        <v>#DIV/0!</v>
      </c>
      <c r="PDZ132" s="531" t="e">
        <f t="shared" si="175"/>
        <v>#DIV/0!</v>
      </c>
      <c r="PEA132" s="531" t="e">
        <f t="shared" si="175"/>
        <v>#DIV/0!</v>
      </c>
      <c r="PEB132" s="531" t="e">
        <f t="shared" si="175"/>
        <v>#DIV/0!</v>
      </c>
      <c r="PEC132" s="531" t="e">
        <f t="shared" si="175"/>
        <v>#DIV/0!</v>
      </c>
      <c r="PED132" s="531" t="e">
        <f t="shared" si="175"/>
        <v>#DIV/0!</v>
      </c>
      <c r="PEE132" s="531" t="e">
        <f t="shared" ref="PEE132:PGP132" si="176">(PEE128-PEE116)/(PEE52*10^5)</f>
        <v>#DIV/0!</v>
      </c>
      <c r="PEF132" s="531" t="e">
        <f t="shared" si="176"/>
        <v>#DIV/0!</v>
      </c>
      <c r="PEG132" s="531" t="e">
        <f t="shared" si="176"/>
        <v>#DIV/0!</v>
      </c>
      <c r="PEH132" s="531" t="e">
        <f t="shared" si="176"/>
        <v>#DIV/0!</v>
      </c>
      <c r="PEI132" s="531" t="e">
        <f t="shared" si="176"/>
        <v>#DIV/0!</v>
      </c>
      <c r="PEJ132" s="531" t="e">
        <f t="shared" si="176"/>
        <v>#DIV/0!</v>
      </c>
      <c r="PEK132" s="531" t="e">
        <f t="shared" si="176"/>
        <v>#DIV/0!</v>
      </c>
      <c r="PEL132" s="531" t="e">
        <f t="shared" si="176"/>
        <v>#DIV/0!</v>
      </c>
      <c r="PEM132" s="531" t="e">
        <f t="shared" si="176"/>
        <v>#DIV/0!</v>
      </c>
      <c r="PEN132" s="531" t="e">
        <f t="shared" si="176"/>
        <v>#DIV/0!</v>
      </c>
      <c r="PEO132" s="531" t="e">
        <f t="shared" si="176"/>
        <v>#DIV/0!</v>
      </c>
      <c r="PEP132" s="531" t="e">
        <f t="shared" si="176"/>
        <v>#DIV/0!</v>
      </c>
      <c r="PEQ132" s="531" t="e">
        <f t="shared" si="176"/>
        <v>#DIV/0!</v>
      </c>
      <c r="PER132" s="531" t="e">
        <f t="shared" si="176"/>
        <v>#DIV/0!</v>
      </c>
      <c r="PES132" s="531" t="e">
        <f t="shared" si="176"/>
        <v>#DIV/0!</v>
      </c>
      <c r="PET132" s="531" t="e">
        <f t="shared" si="176"/>
        <v>#DIV/0!</v>
      </c>
      <c r="PEU132" s="531" t="e">
        <f t="shared" si="176"/>
        <v>#DIV/0!</v>
      </c>
      <c r="PEV132" s="531" t="e">
        <f t="shared" si="176"/>
        <v>#DIV/0!</v>
      </c>
      <c r="PEW132" s="531" t="e">
        <f t="shared" si="176"/>
        <v>#DIV/0!</v>
      </c>
      <c r="PEX132" s="531" t="e">
        <f t="shared" si="176"/>
        <v>#DIV/0!</v>
      </c>
      <c r="PEY132" s="531" t="e">
        <f t="shared" si="176"/>
        <v>#DIV/0!</v>
      </c>
      <c r="PEZ132" s="531" t="e">
        <f t="shared" si="176"/>
        <v>#DIV/0!</v>
      </c>
      <c r="PFA132" s="531" t="e">
        <f t="shared" si="176"/>
        <v>#DIV/0!</v>
      </c>
      <c r="PFB132" s="531" t="e">
        <f t="shared" si="176"/>
        <v>#DIV/0!</v>
      </c>
      <c r="PFC132" s="531" t="e">
        <f t="shared" si="176"/>
        <v>#DIV/0!</v>
      </c>
      <c r="PFD132" s="531" t="e">
        <f t="shared" si="176"/>
        <v>#DIV/0!</v>
      </c>
      <c r="PFE132" s="531" t="e">
        <f t="shared" si="176"/>
        <v>#DIV/0!</v>
      </c>
      <c r="PFF132" s="531" t="e">
        <f t="shared" si="176"/>
        <v>#DIV/0!</v>
      </c>
      <c r="PFG132" s="531" t="e">
        <f t="shared" si="176"/>
        <v>#DIV/0!</v>
      </c>
      <c r="PFH132" s="531" t="e">
        <f t="shared" si="176"/>
        <v>#DIV/0!</v>
      </c>
      <c r="PFI132" s="531" t="e">
        <f t="shared" si="176"/>
        <v>#DIV/0!</v>
      </c>
      <c r="PFJ132" s="531" t="e">
        <f t="shared" si="176"/>
        <v>#DIV/0!</v>
      </c>
      <c r="PFK132" s="531" t="e">
        <f t="shared" si="176"/>
        <v>#DIV/0!</v>
      </c>
      <c r="PFL132" s="531" t="e">
        <f t="shared" si="176"/>
        <v>#DIV/0!</v>
      </c>
      <c r="PFM132" s="531" t="e">
        <f t="shared" si="176"/>
        <v>#DIV/0!</v>
      </c>
      <c r="PFN132" s="531" t="e">
        <f t="shared" si="176"/>
        <v>#DIV/0!</v>
      </c>
      <c r="PFO132" s="531" t="e">
        <f t="shared" si="176"/>
        <v>#DIV/0!</v>
      </c>
      <c r="PFP132" s="531" t="e">
        <f t="shared" si="176"/>
        <v>#DIV/0!</v>
      </c>
      <c r="PFQ132" s="531" t="e">
        <f t="shared" si="176"/>
        <v>#DIV/0!</v>
      </c>
      <c r="PFR132" s="531" t="e">
        <f t="shared" si="176"/>
        <v>#DIV/0!</v>
      </c>
      <c r="PFS132" s="531" t="e">
        <f t="shared" si="176"/>
        <v>#DIV/0!</v>
      </c>
      <c r="PFT132" s="531" t="e">
        <f t="shared" si="176"/>
        <v>#DIV/0!</v>
      </c>
      <c r="PFU132" s="531" t="e">
        <f t="shared" si="176"/>
        <v>#DIV/0!</v>
      </c>
      <c r="PFV132" s="531" t="e">
        <f t="shared" si="176"/>
        <v>#DIV/0!</v>
      </c>
      <c r="PFW132" s="531" t="e">
        <f t="shared" si="176"/>
        <v>#DIV/0!</v>
      </c>
      <c r="PFX132" s="531" t="e">
        <f t="shared" si="176"/>
        <v>#DIV/0!</v>
      </c>
      <c r="PFY132" s="531" t="e">
        <f t="shared" si="176"/>
        <v>#DIV/0!</v>
      </c>
      <c r="PFZ132" s="531" t="e">
        <f t="shared" si="176"/>
        <v>#DIV/0!</v>
      </c>
      <c r="PGA132" s="531" t="e">
        <f t="shared" si="176"/>
        <v>#DIV/0!</v>
      </c>
      <c r="PGB132" s="531" t="e">
        <f t="shared" si="176"/>
        <v>#DIV/0!</v>
      </c>
      <c r="PGC132" s="531" t="e">
        <f t="shared" si="176"/>
        <v>#DIV/0!</v>
      </c>
      <c r="PGD132" s="531" t="e">
        <f t="shared" si="176"/>
        <v>#DIV/0!</v>
      </c>
      <c r="PGE132" s="531" t="e">
        <f t="shared" si="176"/>
        <v>#DIV/0!</v>
      </c>
      <c r="PGF132" s="531" t="e">
        <f t="shared" si="176"/>
        <v>#DIV/0!</v>
      </c>
      <c r="PGG132" s="531" t="e">
        <f t="shared" si="176"/>
        <v>#DIV/0!</v>
      </c>
      <c r="PGH132" s="531" t="e">
        <f t="shared" si="176"/>
        <v>#DIV/0!</v>
      </c>
      <c r="PGI132" s="531" t="e">
        <f t="shared" si="176"/>
        <v>#DIV/0!</v>
      </c>
      <c r="PGJ132" s="531" t="e">
        <f t="shared" si="176"/>
        <v>#DIV/0!</v>
      </c>
      <c r="PGK132" s="531" t="e">
        <f t="shared" si="176"/>
        <v>#DIV/0!</v>
      </c>
      <c r="PGL132" s="531" t="e">
        <f t="shared" si="176"/>
        <v>#DIV/0!</v>
      </c>
      <c r="PGM132" s="531" t="e">
        <f t="shared" si="176"/>
        <v>#DIV/0!</v>
      </c>
      <c r="PGN132" s="531" t="e">
        <f t="shared" si="176"/>
        <v>#DIV/0!</v>
      </c>
      <c r="PGO132" s="531" t="e">
        <f t="shared" si="176"/>
        <v>#DIV/0!</v>
      </c>
      <c r="PGP132" s="531" t="e">
        <f t="shared" si="176"/>
        <v>#DIV/0!</v>
      </c>
      <c r="PGQ132" s="531" t="e">
        <f t="shared" ref="PGQ132:PJB132" si="177">(PGQ128-PGQ116)/(PGQ52*10^5)</f>
        <v>#DIV/0!</v>
      </c>
      <c r="PGR132" s="531" t="e">
        <f t="shared" si="177"/>
        <v>#DIV/0!</v>
      </c>
      <c r="PGS132" s="531" t="e">
        <f t="shared" si="177"/>
        <v>#DIV/0!</v>
      </c>
      <c r="PGT132" s="531" t="e">
        <f t="shared" si="177"/>
        <v>#DIV/0!</v>
      </c>
      <c r="PGU132" s="531" t="e">
        <f t="shared" si="177"/>
        <v>#DIV/0!</v>
      </c>
      <c r="PGV132" s="531" t="e">
        <f t="shared" si="177"/>
        <v>#DIV/0!</v>
      </c>
      <c r="PGW132" s="531" t="e">
        <f t="shared" si="177"/>
        <v>#DIV/0!</v>
      </c>
      <c r="PGX132" s="531" t="e">
        <f t="shared" si="177"/>
        <v>#DIV/0!</v>
      </c>
      <c r="PGY132" s="531" t="e">
        <f t="shared" si="177"/>
        <v>#DIV/0!</v>
      </c>
      <c r="PGZ132" s="531" t="e">
        <f t="shared" si="177"/>
        <v>#DIV/0!</v>
      </c>
      <c r="PHA132" s="531" t="e">
        <f t="shared" si="177"/>
        <v>#DIV/0!</v>
      </c>
      <c r="PHB132" s="531" t="e">
        <f t="shared" si="177"/>
        <v>#DIV/0!</v>
      </c>
      <c r="PHC132" s="531" t="e">
        <f t="shared" si="177"/>
        <v>#DIV/0!</v>
      </c>
      <c r="PHD132" s="531" t="e">
        <f t="shared" si="177"/>
        <v>#DIV/0!</v>
      </c>
      <c r="PHE132" s="531" t="e">
        <f t="shared" si="177"/>
        <v>#DIV/0!</v>
      </c>
      <c r="PHF132" s="531" t="e">
        <f t="shared" si="177"/>
        <v>#DIV/0!</v>
      </c>
      <c r="PHG132" s="531" t="e">
        <f t="shared" si="177"/>
        <v>#DIV/0!</v>
      </c>
      <c r="PHH132" s="531" t="e">
        <f t="shared" si="177"/>
        <v>#DIV/0!</v>
      </c>
      <c r="PHI132" s="531" t="e">
        <f t="shared" si="177"/>
        <v>#DIV/0!</v>
      </c>
      <c r="PHJ132" s="531" t="e">
        <f t="shared" si="177"/>
        <v>#DIV/0!</v>
      </c>
      <c r="PHK132" s="531" t="e">
        <f t="shared" si="177"/>
        <v>#DIV/0!</v>
      </c>
      <c r="PHL132" s="531" t="e">
        <f t="shared" si="177"/>
        <v>#DIV/0!</v>
      </c>
      <c r="PHM132" s="531" t="e">
        <f t="shared" si="177"/>
        <v>#DIV/0!</v>
      </c>
      <c r="PHN132" s="531" t="e">
        <f t="shared" si="177"/>
        <v>#DIV/0!</v>
      </c>
      <c r="PHO132" s="531" t="e">
        <f t="shared" si="177"/>
        <v>#DIV/0!</v>
      </c>
      <c r="PHP132" s="531" t="e">
        <f t="shared" si="177"/>
        <v>#DIV/0!</v>
      </c>
      <c r="PHQ132" s="531" t="e">
        <f t="shared" si="177"/>
        <v>#DIV/0!</v>
      </c>
      <c r="PHR132" s="531" t="e">
        <f t="shared" si="177"/>
        <v>#DIV/0!</v>
      </c>
      <c r="PHS132" s="531" t="e">
        <f t="shared" si="177"/>
        <v>#DIV/0!</v>
      </c>
      <c r="PHT132" s="531" t="e">
        <f t="shared" si="177"/>
        <v>#DIV/0!</v>
      </c>
      <c r="PHU132" s="531" t="e">
        <f t="shared" si="177"/>
        <v>#DIV/0!</v>
      </c>
      <c r="PHV132" s="531" t="e">
        <f t="shared" si="177"/>
        <v>#DIV/0!</v>
      </c>
      <c r="PHW132" s="531" t="e">
        <f t="shared" si="177"/>
        <v>#DIV/0!</v>
      </c>
      <c r="PHX132" s="531" t="e">
        <f t="shared" si="177"/>
        <v>#DIV/0!</v>
      </c>
      <c r="PHY132" s="531" t="e">
        <f t="shared" si="177"/>
        <v>#DIV/0!</v>
      </c>
      <c r="PHZ132" s="531" t="e">
        <f t="shared" si="177"/>
        <v>#DIV/0!</v>
      </c>
      <c r="PIA132" s="531" t="e">
        <f t="shared" si="177"/>
        <v>#DIV/0!</v>
      </c>
      <c r="PIB132" s="531" t="e">
        <f t="shared" si="177"/>
        <v>#DIV/0!</v>
      </c>
      <c r="PIC132" s="531" t="e">
        <f t="shared" si="177"/>
        <v>#DIV/0!</v>
      </c>
      <c r="PID132" s="531" t="e">
        <f t="shared" si="177"/>
        <v>#DIV/0!</v>
      </c>
      <c r="PIE132" s="531" t="e">
        <f t="shared" si="177"/>
        <v>#DIV/0!</v>
      </c>
      <c r="PIF132" s="531" t="e">
        <f t="shared" si="177"/>
        <v>#DIV/0!</v>
      </c>
      <c r="PIG132" s="531" t="e">
        <f t="shared" si="177"/>
        <v>#DIV/0!</v>
      </c>
      <c r="PIH132" s="531" t="e">
        <f t="shared" si="177"/>
        <v>#DIV/0!</v>
      </c>
      <c r="PII132" s="531" t="e">
        <f t="shared" si="177"/>
        <v>#DIV/0!</v>
      </c>
      <c r="PIJ132" s="531" t="e">
        <f t="shared" si="177"/>
        <v>#DIV/0!</v>
      </c>
      <c r="PIK132" s="531" t="e">
        <f t="shared" si="177"/>
        <v>#DIV/0!</v>
      </c>
      <c r="PIL132" s="531" t="e">
        <f t="shared" si="177"/>
        <v>#DIV/0!</v>
      </c>
      <c r="PIM132" s="531" t="e">
        <f t="shared" si="177"/>
        <v>#DIV/0!</v>
      </c>
      <c r="PIN132" s="531" t="e">
        <f t="shared" si="177"/>
        <v>#DIV/0!</v>
      </c>
      <c r="PIO132" s="531" t="e">
        <f t="shared" si="177"/>
        <v>#DIV/0!</v>
      </c>
      <c r="PIP132" s="531" t="e">
        <f t="shared" si="177"/>
        <v>#DIV/0!</v>
      </c>
      <c r="PIQ132" s="531" t="e">
        <f t="shared" si="177"/>
        <v>#DIV/0!</v>
      </c>
      <c r="PIR132" s="531" t="e">
        <f t="shared" si="177"/>
        <v>#DIV/0!</v>
      </c>
      <c r="PIS132" s="531" t="e">
        <f t="shared" si="177"/>
        <v>#DIV/0!</v>
      </c>
      <c r="PIT132" s="531" t="e">
        <f t="shared" si="177"/>
        <v>#DIV/0!</v>
      </c>
      <c r="PIU132" s="531" t="e">
        <f t="shared" si="177"/>
        <v>#DIV/0!</v>
      </c>
      <c r="PIV132" s="531" t="e">
        <f t="shared" si="177"/>
        <v>#DIV/0!</v>
      </c>
      <c r="PIW132" s="531" t="e">
        <f t="shared" si="177"/>
        <v>#DIV/0!</v>
      </c>
      <c r="PIX132" s="531" t="e">
        <f t="shared" si="177"/>
        <v>#DIV/0!</v>
      </c>
      <c r="PIY132" s="531" t="e">
        <f t="shared" si="177"/>
        <v>#DIV/0!</v>
      </c>
      <c r="PIZ132" s="531" t="e">
        <f t="shared" si="177"/>
        <v>#DIV/0!</v>
      </c>
      <c r="PJA132" s="531" t="e">
        <f t="shared" si="177"/>
        <v>#DIV/0!</v>
      </c>
      <c r="PJB132" s="531" t="e">
        <f t="shared" si="177"/>
        <v>#DIV/0!</v>
      </c>
      <c r="PJC132" s="531" t="e">
        <f t="shared" ref="PJC132:PLN132" si="178">(PJC128-PJC116)/(PJC52*10^5)</f>
        <v>#DIV/0!</v>
      </c>
      <c r="PJD132" s="531" t="e">
        <f t="shared" si="178"/>
        <v>#DIV/0!</v>
      </c>
      <c r="PJE132" s="531" t="e">
        <f t="shared" si="178"/>
        <v>#DIV/0!</v>
      </c>
      <c r="PJF132" s="531" t="e">
        <f t="shared" si="178"/>
        <v>#DIV/0!</v>
      </c>
      <c r="PJG132" s="531" t="e">
        <f t="shared" si="178"/>
        <v>#DIV/0!</v>
      </c>
      <c r="PJH132" s="531" t="e">
        <f t="shared" si="178"/>
        <v>#DIV/0!</v>
      </c>
      <c r="PJI132" s="531" t="e">
        <f t="shared" si="178"/>
        <v>#DIV/0!</v>
      </c>
      <c r="PJJ132" s="531" t="e">
        <f t="shared" si="178"/>
        <v>#DIV/0!</v>
      </c>
      <c r="PJK132" s="531" t="e">
        <f t="shared" si="178"/>
        <v>#DIV/0!</v>
      </c>
      <c r="PJL132" s="531" t="e">
        <f t="shared" si="178"/>
        <v>#DIV/0!</v>
      </c>
      <c r="PJM132" s="531" t="e">
        <f t="shared" si="178"/>
        <v>#DIV/0!</v>
      </c>
      <c r="PJN132" s="531" t="e">
        <f t="shared" si="178"/>
        <v>#DIV/0!</v>
      </c>
      <c r="PJO132" s="531" t="e">
        <f t="shared" si="178"/>
        <v>#DIV/0!</v>
      </c>
      <c r="PJP132" s="531" t="e">
        <f t="shared" si="178"/>
        <v>#DIV/0!</v>
      </c>
      <c r="PJQ132" s="531" t="e">
        <f t="shared" si="178"/>
        <v>#DIV/0!</v>
      </c>
      <c r="PJR132" s="531" t="e">
        <f t="shared" si="178"/>
        <v>#DIV/0!</v>
      </c>
      <c r="PJS132" s="531" t="e">
        <f t="shared" si="178"/>
        <v>#DIV/0!</v>
      </c>
      <c r="PJT132" s="531" t="e">
        <f t="shared" si="178"/>
        <v>#DIV/0!</v>
      </c>
      <c r="PJU132" s="531" t="e">
        <f t="shared" si="178"/>
        <v>#DIV/0!</v>
      </c>
      <c r="PJV132" s="531" t="e">
        <f t="shared" si="178"/>
        <v>#DIV/0!</v>
      </c>
      <c r="PJW132" s="531" t="e">
        <f t="shared" si="178"/>
        <v>#DIV/0!</v>
      </c>
      <c r="PJX132" s="531" t="e">
        <f t="shared" si="178"/>
        <v>#DIV/0!</v>
      </c>
      <c r="PJY132" s="531" t="e">
        <f t="shared" si="178"/>
        <v>#DIV/0!</v>
      </c>
      <c r="PJZ132" s="531" t="e">
        <f t="shared" si="178"/>
        <v>#DIV/0!</v>
      </c>
      <c r="PKA132" s="531" t="e">
        <f t="shared" si="178"/>
        <v>#DIV/0!</v>
      </c>
      <c r="PKB132" s="531" t="e">
        <f t="shared" si="178"/>
        <v>#DIV/0!</v>
      </c>
      <c r="PKC132" s="531" t="e">
        <f t="shared" si="178"/>
        <v>#DIV/0!</v>
      </c>
      <c r="PKD132" s="531" t="e">
        <f t="shared" si="178"/>
        <v>#DIV/0!</v>
      </c>
      <c r="PKE132" s="531" t="e">
        <f t="shared" si="178"/>
        <v>#DIV/0!</v>
      </c>
      <c r="PKF132" s="531" t="e">
        <f t="shared" si="178"/>
        <v>#DIV/0!</v>
      </c>
      <c r="PKG132" s="531" t="e">
        <f t="shared" si="178"/>
        <v>#DIV/0!</v>
      </c>
      <c r="PKH132" s="531" t="e">
        <f t="shared" si="178"/>
        <v>#DIV/0!</v>
      </c>
      <c r="PKI132" s="531" t="e">
        <f t="shared" si="178"/>
        <v>#DIV/0!</v>
      </c>
      <c r="PKJ132" s="531" t="e">
        <f t="shared" si="178"/>
        <v>#DIV/0!</v>
      </c>
      <c r="PKK132" s="531" t="e">
        <f t="shared" si="178"/>
        <v>#DIV/0!</v>
      </c>
      <c r="PKL132" s="531" t="e">
        <f t="shared" si="178"/>
        <v>#DIV/0!</v>
      </c>
      <c r="PKM132" s="531" t="e">
        <f t="shared" si="178"/>
        <v>#DIV/0!</v>
      </c>
      <c r="PKN132" s="531" t="e">
        <f t="shared" si="178"/>
        <v>#DIV/0!</v>
      </c>
      <c r="PKO132" s="531" t="e">
        <f t="shared" si="178"/>
        <v>#DIV/0!</v>
      </c>
      <c r="PKP132" s="531" t="e">
        <f t="shared" si="178"/>
        <v>#DIV/0!</v>
      </c>
      <c r="PKQ132" s="531" t="e">
        <f t="shared" si="178"/>
        <v>#DIV/0!</v>
      </c>
      <c r="PKR132" s="531" t="e">
        <f t="shared" si="178"/>
        <v>#DIV/0!</v>
      </c>
      <c r="PKS132" s="531" t="e">
        <f t="shared" si="178"/>
        <v>#DIV/0!</v>
      </c>
      <c r="PKT132" s="531" t="e">
        <f t="shared" si="178"/>
        <v>#DIV/0!</v>
      </c>
      <c r="PKU132" s="531" t="e">
        <f t="shared" si="178"/>
        <v>#DIV/0!</v>
      </c>
      <c r="PKV132" s="531" t="e">
        <f t="shared" si="178"/>
        <v>#DIV/0!</v>
      </c>
      <c r="PKW132" s="531" t="e">
        <f t="shared" si="178"/>
        <v>#DIV/0!</v>
      </c>
      <c r="PKX132" s="531" t="e">
        <f t="shared" si="178"/>
        <v>#DIV/0!</v>
      </c>
      <c r="PKY132" s="531" t="e">
        <f t="shared" si="178"/>
        <v>#DIV/0!</v>
      </c>
      <c r="PKZ132" s="531" t="e">
        <f t="shared" si="178"/>
        <v>#DIV/0!</v>
      </c>
      <c r="PLA132" s="531" t="e">
        <f t="shared" si="178"/>
        <v>#DIV/0!</v>
      </c>
      <c r="PLB132" s="531" t="e">
        <f t="shared" si="178"/>
        <v>#DIV/0!</v>
      </c>
      <c r="PLC132" s="531" t="e">
        <f t="shared" si="178"/>
        <v>#DIV/0!</v>
      </c>
      <c r="PLD132" s="531" t="e">
        <f t="shared" si="178"/>
        <v>#DIV/0!</v>
      </c>
      <c r="PLE132" s="531" t="e">
        <f t="shared" si="178"/>
        <v>#DIV/0!</v>
      </c>
      <c r="PLF132" s="531" t="e">
        <f t="shared" si="178"/>
        <v>#DIV/0!</v>
      </c>
      <c r="PLG132" s="531" t="e">
        <f t="shared" si="178"/>
        <v>#DIV/0!</v>
      </c>
      <c r="PLH132" s="531" t="e">
        <f t="shared" si="178"/>
        <v>#DIV/0!</v>
      </c>
      <c r="PLI132" s="531" t="e">
        <f t="shared" si="178"/>
        <v>#DIV/0!</v>
      </c>
      <c r="PLJ132" s="531" t="e">
        <f t="shared" si="178"/>
        <v>#DIV/0!</v>
      </c>
      <c r="PLK132" s="531" t="e">
        <f t="shared" si="178"/>
        <v>#DIV/0!</v>
      </c>
      <c r="PLL132" s="531" t="e">
        <f t="shared" si="178"/>
        <v>#DIV/0!</v>
      </c>
      <c r="PLM132" s="531" t="e">
        <f t="shared" si="178"/>
        <v>#DIV/0!</v>
      </c>
      <c r="PLN132" s="531" t="e">
        <f t="shared" si="178"/>
        <v>#DIV/0!</v>
      </c>
      <c r="PLO132" s="531" t="e">
        <f t="shared" ref="PLO132:PNZ132" si="179">(PLO128-PLO116)/(PLO52*10^5)</f>
        <v>#DIV/0!</v>
      </c>
      <c r="PLP132" s="531" t="e">
        <f t="shared" si="179"/>
        <v>#DIV/0!</v>
      </c>
      <c r="PLQ132" s="531" t="e">
        <f t="shared" si="179"/>
        <v>#DIV/0!</v>
      </c>
      <c r="PLR132" s="531" t="e">
        <f t="shared" si="179"/>
        <v>#DIV/0!</v>
      </c>
      <c r="PLS132" s="531" t="e">
        <f t="shared" si="179"/>
        <v>#DIV/0!</v>
      </c>
      <c r="PLT132" s="531" t="e">
        <f t="shared" si="179"/>
        <v>#DIV/0!</v>
      </c>
      <c r="PLU132" s="531" t="e">
        <f t="shared" si="179"/>
        <v>#DIV/0!</v>
      </c>
      <c r="PLV132" s="531" t="e">
        <f t="shared" si="179"/>
        <v>#DIV/0!</v>
      </c>
      <c r="PLW132" s="531" t="e">
        <f t="shared" si="179"/>
        <v>#DIV/0!</v>
      </c>
      <c r="PLX132" s="531" t="e">
        <f t="shared" si="179"/>
        <v>#DIV/0!</v>
      </c>
      <c r="PLY132" s="531" t="e">
        <f t="shared" si="179"/>
        <v>#DIV/0!</v>
      </c>
      <c r="PLZ132" s="531" t="e">
        <f t="shared" si="179"/>
        <v>#DIV/0!</v>
      </c>
      <c r="PMA132" s="531" t="e">
        <f t="shared" si="179"/>
        <v>#DIV/0!</v>
      </c>
      <c r="PMB132" s="531" t="e">
        <f t="shared" si="179"/>
        <v>#DIV/0!</v>
      </c>
      <c r="PMC132" s="531" t="e">
        <f t="shared" si="179"/>
        <v>#DIV/0!</v>
      </c>
      <c r="PMD132" s="531" t="e">
        <f t="shared" si="179"/>
        <v>#DIV/0!</v>
      </c>
      <c r="PME132" s="531" t="e">
        <f t="shared" si="179"/>
        <v>#DIV/0!</v>
      </c>
      <c r="PMF132" s="531" t="e">
        <f t="shared" si="179"/>
        <v>#DIV/0!</v>
      </c>
      <c r="PMG132" s="531" t="e">
        <f t="shared" si="179"/>
        <v>#DIV/0!</v>
      </c>
      <c r="PMH132" s="531" t="e">
        <f t="shared" si="179"/>
        <v>#DIV/0!</v>
      </c>
      <c r="PMI132" s="531" t="e">
        <f t="shared" si="179"/>
        <v>#DIV/0!</v>
      </c>
      <c r="PMJ132" s="531" t="e">
        <f t="shared" si="179"/>
        <v>#DIV/0!</v>
      </c>
      <c r="PMK132" s="531" t="e">
        <f t="shared" si="179"/>
        <v>#DIV/0!</v>
      </c>
      <c r="PML132" s="531" t="e">
        <f t="shared" si="179"/>
        <v>#DIV/0!</v>
      </c>
      <c r="PMM132" s="531" t="e">
        <f t="shared" si="179"/>
        <v>#DIV/0!</v>
      </c>
      <c r="PMN132" s="531" t="e">
        <f t="shared" si="179"/>
        <v>#DIV/0!</v>
      </c>
      <c r="PMO132" s="531" t="e">
        <f t="shared" si="179"/>
        <v>#DIV/0!</v>
      </c>
      <c r="PMP132" s="531" t="e">
        <f t="shared" si="179"/>
        <v>#DIV/0!</v>
      </c>
      <c r="PMQ132" s="531" t="e">
        <f t="shared" si="179"/>
        <v>#DIV/0!</v>
      </c>
      <c r="PMR132" s="531" t="e">
        <f t="shared" si="179"/>
        <v>#DIV/0!</v>
      </c>
      <c r="PMS132" s="531" t="e">
        <f t="shared" si="179"/>
        <v>#DIV/0!</v>
      </c>
      <c r="PMT132" s="531" t="e">
        <f t="shared" si="179"/>
        <v>#DIV/0!</v>
      </c>
      <c r="PMU132" s="531" t="e">
        <f t="shared" si="179"/>
        <v>#DIV/0!</v>
      </c>
      <c r="PMV132" s="531" t="e">
        <f t="shared" si="179"/>
        <v>#DIV/0!</v>
      </c>
      <c r="PMW132" s="531" t="e">
        <f t="shared" si="179"/>
        <v>#DIV/0!</v>
      </c>
      <c r="PMX132" s="531" t="e">
        <f t="shared" si="179"/>
        <v>#DIV/0!</v>
      </c>
      <c r="PMY132" s="531" t="e">
        <f t="shared" si="179"/>
        <v>#DIV/0!</v>
      </c>
      <c r="PMZ132" s="531" t="e">
        <f t="shared" si="179"/>
        <v>#DIV/0!</v>
      </c>
      <c r="PNA132" s="531" t="e">
        <f t="shared" si="179"/>
        <v>#DIV/0!</v>
      </c>
      <c r="PNB132" s="531" t="e">
        <f t="shared" si="179"/>
        <v>#DIV/0!</v>
      </c>
      <c r="PNC132" s="531" t="e">
        <f t="shared" si="179"/>
        <v>#DIV/0!</v>
      </c>
      <c r="PND132" s="531" t="e">
        <f t="shared" si="179"/>
        <v>#DIV/0!</v>
      </c>
      <c r="PNE132" s="531" t="e">
        <f t="shared" si="179"/>
        <v>#DIV/0!</v>
      </c>
      <c r="PNF132" s="531" t="e">
        <f t="shared" si="179"/>
        <v>#DIV/0!</v>
      </c>
      <c r="PNG132" s="531" t="e">
        <f t="shared" si="179"/>
        <v>#DIV/0!</v>
      </c>
      <c r="PNH132" s="531" t="e">
        <f t="shared" si="179"/>
        <v>#DIV/0!</v>
      </c>
      <c r="PNI132" s="531" t="e">
        <f t="shared" si="179"/>
        <v>#DIV/0!</v>
      </c>
      <c r="PNJ132" s="531" t="e">
        <f t="shared" si="179"/>
        <v>#DIV/0!</v>
      </c>
      <c r="PNK132" s="531" t="e">
        <f t="shared" si="179"/>
        <v>#DIV/0!</v>
      </c>
      <c r="PNL132" s="531" t="e">
        <f t="shared" si="179"/>
        <v>#DIV/0!</v>
      </c>
      <c r="PNM132" s="531" t="e">
        <f t="shared" si="179"/>
        <v>#DIV/0!</v>
      </c>
      <c r="PNN132" s="531" t="e">
        <f t="shared" si="179"/>
        <v>#DIV/0!</v>
      </c>
      <c r="PNO132" s="531" t="e">
        <f t="shared" si="179"/>
        <v>#DIV/0!</v>
      </c>
      <c r="PNP132" s="531" t="e">
        <f t="shared" si="179"/>
        <v>#DIV/0!</v>
      </c>
      <c r="PNQ132" s="531" t="e">
        <f t="shared" si="179"/>
        <v>#DIV/0!</v>
      </c>
      <c r="PNR132" s="531" t="e">
        <f t="shared" si="179"/>
        <v>#DIV/0!</v>
      </c>
      <c r="PNS132" s="531" t="e">
        <f t="shared" si="179"/>
        <v>#DIV/0!</v>
      </c>
      <c r="PNT132" s="531" t="e">
        <f t="shared" si="179"/>
        <v>#DIV/0!</v>
      </c>
      <c r="PNU132" s="531" t="e">
        <f t="shared" si="179"/>
        <v>#DIV/0!</v>
      </c>
      <c r="PNV132" s="531" t="e">
        <f t="shared" si="179"/>
        <v>#DIV/0!</v>
      </c>
      <c r="PNW132" s="531" t="e">
        <f t="shared" si="179"/>
        <v>#DIV/0!</v>
      </c>
      <c r="PNX132" s="531" t="e">
        <f t="shared" si="179"/>
        <v>#DIV/0!</v>
      </c>
      <c r="PNY132" s="531" t="e">
        <f t="shared" si="179"/>
        <v>#DIV/0!</v>
      </c>
      <c r="PNZ132" s="531" t="e">
        <f t="shared" si="179"/>
        <v>#DIV/0!</v>
      </c>
      <c r="POA132" s="531" t="e">
        <f t="shared" ref="POA132:PQL132" si="180">(POA128-POA116)/(POA52*10^5)</f>
        <v>#DIV/0!</v>
      </c>
      <c r="POB132" s="531" t="e">
        <f t="shared" si="180"/>
        <v>#DIV/0!</v>
      </c>
      <c r="POC132" s="531" t="e">
        <f t="shared" si="180"/>
        <v>#DIV/0!</v>
      </c>
      <c r="POD132" s="531" t="e">
        <f t="shared" si="180"/>
        <v>#DIV/0!</v>
      </c>
      <c r="POE132" s="531" t="e">
        <f t="shared" si="180"/>
        <v>#DIV/0!</v>
      </c>
      <c r="POF132" s="531" t="e">
        <f t="shared" si="180"/>
        <v>#DIV/0!</v>
      </c>
      <c r="POG132" s="531" t="e">
        <f t="shared" si="180"/>
        <v>#DIV/0!</v>
      </c>
      <c r="POH132" s="531" t="e">
        <f t="shared" si="180"/>
        <v>#DIV/0!</v>
      </c>
      <c r="POI132" s="531" t="e">
        <f t="shared" si="180"/>
        <v>#DIV/0!</v>
      </c>
      <c r="POJ132" s="531" t="e">
        <f t="shared" si="180"/>
        <v>#DIV/0!</v>
      </c>
      <c r="POK132" s="531" t="e">
        <f t="shared" si="180"/>
        <v>#DIV/0!</v>
      </c>
      <c r="POL132" s="531" t="e">
        <f t="shared" si="180"/>
        <v>#DIV/0!</v>
      </c>
      <c r="POM132" s="531" t="e">
        <f t="shared" si="180"/>
        <v>#DIV/0!</v>
      </c>
      <c r="PON132" s="531" t="e">
        <f t="shared" si="180"/>
        <v>#DIV/0!</v>
      </c>
      <c r="POO132" s="531" t="e">
        <f t="shared" si="180"/>
        <v>#DIV/0!</v>
      </c>
      <c r="POP132" s="531" t="e">
        <f t="shared" si="180"/>
        <v>#DIV/0!</v>
      </c>
      <c r="POQ132" s="531" t="e">
        <f t="shared" si="180"/>
        <v>#DIV/0!</v>
      </c>
      <c r="POR132" s="531" t="e">
        <f t="shared" si="180"/>
        <v>#DIV/0!</v>
      </c>
      <c r="POS132" s="531" t="e">
        <f t="shared" si="180"/>
        <v>#DIV/0!</v>
      </c>
      <c r="POT132" s="531" t="e">
        <f t="shared" si="180"/>
        <v>#DIV/0!</v>
      </c>
      <c r="POU132" s="531" t="e">
        <f t="shared" si="180"/>
        <v>#DIV/0!</v>
      </c>
      <c r="POV132" s="531" t="e">
        <f t="shared" si="180"/>
        <v>#DIV/0!</v>
      </c>
      <c r="POW132" s="531" t="e">
        <f t="shared" si="180"/>
        <v>#DIV/0!</v>
      </c>
      <c r="POX132" s="531" t="e">
        <f t="shared" si="180"/>
        <v>#DIV/0!</v>
      </c>
      <c r="POY132" s="531" t="e">
        <f t="shared" si="180"/>
        <v>#DIV/0!</v>
      </c>
      <c r="POZ132" s="531" t="e">
        <f t="shared" si="180"/>
        <v>#DIV/0!</v>
      </c>
      <c r="PPA132" s="531" t="e">
        <f t="shared" si="180"/>
        <v>#DIV/0!</v>
      </c>
      <c r="PPB132" s="531" t="e">
        <f t="shared" si="180"/>
        <v>#DIV/0!</v>
      </c>
      <c r="PPC132" s="531" t="e">
        <f t="shared" si="180"/>
        <v>#DIV/0!</v>
      </c>
      <c r="PPD132" s="531" t="e">
        <f t="shared" si="180"/>
        <v>#DIV/0!</v>
      </c>
      <c r="PPE132" s="531" t="e">
        <f t="shared" si="180"/>
        <v>#DIV/0!</v>
      </c>
      <c r="PPF132" s="531" t="e">
        <f t="shared" si="180"/>
        <v>#DIV/0!</v>
      </c>
      <c r="PPG132" s="531" t="e">
        <f t="shared" si="180"/>
        <v>#DIV/0!</v>
      </c>
      <c r="PPH132" s="531" t="e">
        <f t="shared" si="180"/>
        <v>#DIV/0!</v>
      </c>
      <c r="PPI132" s="531" t="e">
        <f t="shared" si="180"/>
        <v>#DIV/0!</v>
      </c>
      <c r="PPJ132" s="531" t="e">
        <f t="shared" si="180"/>
        <v>#DIV/0!</v>
      </c>
      <c r="PPK132" s="531" t="e">
        <f t="shared" si="180"/>
        <v>#DIV/0!</v>
      </c>
      <c r="PPL132" s="531" t="e">
        <f t="shared" si="180"/>
        <v>#DIV/0!</v>
      </c>
      <c r="PPM132" s="531" t="e">
        <f t="shared" si="180"/>
        <v>#DIV/0!</v>
      </c>
      <c r="PPN132" s="531" t="e">
        <f t="shared" si="180"/>
        <v>#DIV/0!</v>
      </c>
      <c r="PPO132" s="531" t="e">
        <f t="shared" si="180"/>
        <v>#DIV/0!</v>
      </c>
      <c r="PPP132" s="531" t="e">
        <f t="shared" si="180"/>
        <v>#DIV/0!</v>
      </c>
      <c r="PPQ132" s="531" t="e">
        <f t="shared" si="180"/>
        <v>#DIV/0!</v>
      </c>
      <c r="PPR132" s="531" t="e">
        <f t="shared" si="180"/>
        <v>#DIV/0!</v>
      </c>
      <c r="PPS132" s="531" t="e">
        <f t="shared" si="180"/>
        <v>#DIV/0!</v>
      </c>
      <c r="PPT132" s="531" t="e">
        <f t="shared" si="180"/>
        <v>#DIV/0!</v>
      </c>
      <c r="PPU132" s="531" t="e">
        <f t="shared" si="180"/>
        <v>#DIV/0!</v>
      </c>
      <c r="PPV132" s="531" t="e">
        <f t="shared" si="180"/>
        <v>#DIV/0!</v>
      </c>
      <c r="PPW132" s="531" t="e">
        <f t="shared" si="180"/>
        <v>#DIV/0!</v>
      </c>
      <c r="PPX132" s="531" t="e">
        <f t="shared" si="180"/>
        <v>#DIV/0!</v>
      </c>
      <c r="PPY132" s="531" t="e">
        <f t="shared" si="180"/>
        <v>#DIV/0!</v>
      </c>
      <c r="PPZ132" s="531" t="e">
        <f t="shared" si="180"/>
        <v>#DIV/0!</v>
      </c>
      <c r="PQA132" s="531" t="e">
        <f t="shared" si="180"/>
        <v>#DIV/0!</v>
      </c>
      <c r="PQB132" s="531" t="e">
        <f t="shared" si="180"/>
        <v>#DIV/0!</v>
      </c>
      <c r="PQC132" s="531" t="e">
        <f t="shared" si="180"/>
        <v>#DIV/0!</v>
      </c>
      <c r="PQD132" s="531" t="e">
        <f t="shared" si="180"/>
        <v>#DIV/0!</v>
      </c>
      <c r="PQE132" s="531" t="e">
        <f t="shared" si="180"/>
        <v>#DIV/0!</v>
      </c>
      <c r="PQF132" s="531" t="e">
        <f t="shared" si="180"/>
        <v>#DIV/0!</v>
      </c>
      <c r="PQG132" s="531" t="e">
        <f t="shared" si="180"/>
        <v>#DIV/0!</v>
      </c>
      <c r="PQH132" s="531" t="e">
        <f t="shared" si="180"/>
        <v>#DIV/0!</v>
      </c>
      <c r="PQI132" s="531" t="e">
        <f t="shared" si="180"/>
        <v>#DIV/0!</v>
      </c>
      <c r="PQJ132" s="531" t="e">
        <f t="shared" si="180"/>
        <v>#DIV/0!</v>
      </c>
      <c r="PQK132" s="531" t="e">
        <f t="shared" si="180"/>
        <v>#DIV/0!</v>
      </c>
      <c r="PQL132" s="531" t="e">
        <f t="shared" si="180"/>
        <v>#DIV/0!</v>
      </c>
      <c r="PQM132" s="531" t="e">
        <f t="shared" ref="PQM132:PSX132" si="181">(PQM128-PQM116)/(PQM52*10^5)</f>
        <v>#DIV/0!</v>
      </c>
      <c r="PQN132" s="531" t="e">
        <f t="shared" si="181"/>
        <v>#DIV/0!</v>
      </c>
      <c r="PQO132" s="531" t="e">
        <f t="shared" si="181"/>
        <v>#DIV/0!</v>
      </c>
      <c r="PQP132" s="531" t="e">
        <f t="shared" si="181"/>
        <v>#DIV/0!</v>
      </c>
      <c r="PQQ132" s="531" t="e">
        <f t="shared" si="181"/>
        <v>#DIV/0!</v>
      </c>
      <c r="PQR132" s="531" t="e">
        <f t="shared" si="181"/>
        <v>#DIV/0!</v>
      </c>
      <c r="PQS132" s="531" t="e">
        <f t="shared" si="181"/>
        <v>#DIV/0!</v>
      </c>
      <c r="PQT132" s="531" t="e">
        <f t="shared" si="181"/>
        <v>#DIV/0!</v>
      </c>
      <c r="PQU132" s="531" t="e">
        <f t="shared" si="181"/>
        <v>#DIV/0!</v>
      </c>
      <c r="PQV132" s="531" t="e">
        <f t="shared" si="181"/>
        <v>#DIV/0!</v>
      </c>
      <c r="PQW132" s="531" t="e">
        <f t="shared" si="181"/>
        <v>#DIV/0!</v>
      </c>
      <c r="PQX132" s="531" t="e">
        <f t="shared" si="181"/>
        <v>#DIV/0!</v>
      </c>
      <c r="PQY132" s="531" t="e">
        <f t="shared" si="181"/>
        <v>#DIV/0!</v>
      </c>
      <c r="PQZ132" s="531" t="e">
        <f t="shared" si="181"/>
        <v>#DIV/0!</v>
      </c>
      <c r="PRA132" s="531" t="e">
        <f t="shared" si="181"/>
        <v>#DIV/0!</v>
      </c>
      <c r="PRB132" s="531" t="e">
        <f t="shared" si="181"/>
        <v>#DIV/0!</v>
      </c>
      <c r="PRC132" s="531" t="e">
        <f t="shared" si="181"/>
        <v>#DIV/0!</v>
      </c>
      <c r="PRD132" s="531" t="e">
        <f t="shared" si="181"/>
        <v>#DIV/0!</v>
      </c>
      <c r="PRE132" s="531" t="e">
        <f t="shared" si="181"/>
        <v>#DIV/0!</v>
      </c>
      <c r="PRF132" s="531" t="e">
        <f t="shared" si="181"/>
        <v>#DIV/0!</v>
      </c>
      <c r="PRG132" s="531" t="e">
        <f t="shared" si="181"/>
        <v>#DIV/0!</v>
      </c>
      <c r="PRH132" s="531" t="e">
        <f t="shared" si="181"/>
        <v>#DIV/0!</v>
      </c>
      <c r="PRI132" s="531" t="e">
        <f t="shared" si="181"/>
        <v>#DIV/0!</v>
      </c>
      <c r="PRJ132" s="531" t="e">
        <f t="shared" si="181"/>
        <v>#DIV/0!</v>
      </c>
      <c r="PRK132" s="531" t="e">
        <f t="shared" si="181"/>
        <v>#DIV/0!</v>
      </c>
      <c r="PRL132" s="531" t="e">
        <f t="shared" si="181"/>
        <v>#DIV/0!</v>
      </c>
      <c r="PRM132" s="531" t="e">
        <f t="shared" si="181"/>
        <v>#DIV/0!</v>
      </c>
      <c r="PRN132" s="531" t="e">
        <f t="shared" si="181"/>
        <v>#DIV/0!</v>
      </c>
      <c r="PRO132" s="531" t="e">
        <f t="shared" si="181"/>
        <v>#DIV/0!</v>
      </c>
      <c r="PRP132" s="531" t="e">
        <f t="shared" si="181"/>
        <v>#DIV/0!</v>
      </c>
      <c r="PRQ132" s="531" t="e">
        <f t="shared" si="181"/>
        <v>#DIV/0!</v>
      </c>
      <c r="PRR132" s="531" t="e">
        <f t="shared" si="181"/>
        <v>#DIV/0!</v>
      </c>
      <c r="PRS132" s="531" t="e">
        <f t="shared" si="181"/>
        <v>#DIV/0!</v>
      </c>
      <c r="PRT132" s="531" t="e">
        <f t="shared" si="181"/>
        <v>#DIV/0!</v>
      </c>
      <c r="PRU132" s="531" t="e">
        <f t="shared" si="181"/>
        <v>#DIV/0!</v>
      </c>
      <c r="PRV132" s="531" t="e">
        <f t="shared" si="181"/>
        <v>#DIV/0!</v>
      </c>
      <c r="PRW132" s="531" t="e">
        <f t="shared" si="181"/>
        <v>#DIV/0!</v>
      </c>
      <c r="PRX132" s="531" t="e">
        <f t="shared" si="181"/>
        <v>#DIV/0!</v>
      </c>
      <c r="PRY132" s="531" t="e">
        <f t="shared" si="181"/>
        <v>#DIV/0!</v>
      </c>
      <c r="PRZ132" s="531" t="e">
        <f t="shared" si="181"/>
        <v>#DIV/0!</v>
      </c>
      <c r="PSA132" s="531" t="e">
        <f t="shared" si="181"/>
        <v>#DIV/0!</v>
      </c>
      <c r="PSB132" s="531" t="e">
        <f t="shared" si="181"/>
        <v>#DIV/0!</v>
      </c>
      <c r="PSC132" s="531" t="e">
        <f t="shared" si="181"/>
        <v>#DIV/0!</v>
      </c>
      <c r="PSD132" s="531" t="e">
        <f t="shared" si="181"/>
        <v>#DIV/0!</v>
      </c>
      <c r="PSE132" s="531" t="e">
        <f t="shared" si="181"/>
        <v>#DIV/0!</v>
      </c>
      <c r="PSF132" s="531" t="e">
        <f t="shared" si="181"/>
        <v>#DIV/0!</v>
      </c>
      <c r="PSG132" s="531" t="e">
        <f t="shared" si="181"/>
        <v>#DIV/0!</v>
      </c>
      <c r="PSH132" s="531" t="e">
        <f t="shared" si="181"/>
        <v>#DIV/0!</v>
      </c>
      <c r="PSI132" s="531" t="e">
        <f t="shared" si="181"/>
        <v>#DIV/0!</v>
      </c>
      <c r="PSJ132" s="531" t="e">
        <f t="shared" si="181"/>
        <v>#DIV/0!</v>
      </c>
      <c r="PSK132" s="531" t="e">
        <f t="shared" si="181"/>
        <v>#DIV/0!</v>
      </c>
      <c r="PSL132" s="531" t="e">
        <f t="shared" si="181"/>
        <v>#DIV/0!</v>
      </c>
      <c r="PSM132" s="531" t="e">
        <f t="shared" si="181"/>
        <v>#DIV/0!</v>
      </c>
      <c r="PSN132" s="531" t="e">
        <f t="shared" si="181"/>
        <v>#DIV/0!</v>
      </c>
      <c r="PSO132" s="531" t="e">
        <f t="shared" si="181"/>
        <v>#DIV/0!</v>
      </c>
      <c r="PSP132" s="531" t="e">
        <f t="shared" si="181"/>
        <v>#DIV/0!</v>
      </c>
      <c r="PSQ132" s="531" t="e">
        <f t="shared" si="181"/>
        <v>#DIV/0!</v>
      </c>
      <c r="PSR132" s="531" t="e">
        <f t="shared" si="181"/>
        <v>#DIV/0!</v>
      </c>
      <c r="PSS132" s="531" t="e">
        <f t="shared" si="181"/>
        <v>#DIV/0!</v>
      </c>
      <c r="PST132" s="531" t="e">
        <f t="shared" si="181"/>
        <v>#DIV/0!</v>
      </c>
      <c r="PSU132" s="531" t="e">
        <f t="shared" si="181"/>
        <v>#DIV/0!</v>
      </c>
      <c r="PSV132" s="531" t="e">
        <f t="shared" si="181"/>
        <v>#DIV/0!</v>
      </c>
      <c r="PSW132" s="531" t="e">
        <f t="shared" si="181"/>
        <v>#DIV/0!</v>
      </c>
      <c r="PSX132" s="531" t="e">
        <f t="shared" si="181"/>
        <v>#DIV/0!</v>
      </c>
      <c r="PSY132" s="531" t="e">
        <f t="shared" ref="PSY132:PVJ132" si="182">(PSY128-PSY116)/(PSY52*10^5)</f>
        <v>#DIV/0!</v>
      </c>
      <c r="PSZ132" s="531" t="e">
        <f t="shared" si="182"/>
        <v>#DIV/0!</v>
      </c>
      <c r="PTA132" s="531" t="e">
        <f t="shared" si="182"/>
        <v>#DIV/0!</v>
      </c>
      <c r="PTB132" s="531" t="e">
        <f t="shared" si="182"/>
        <v>#DIV/0!</v>
      </c>
      <c r="PTC132" s="531" t="e">
        <f t="shared" si="182"/>
        <v>#DIV/0!</v>
      </c>
      <c r="PTD132" s="531" t="e">
        <f t="shared" si="182"/>
        <v>#DIV/0!</v>
      </c>
      <c r="PTE132" s="531" t="e">
        <f t="shared" si="182"/>
        <v>#DIV/0!</v>
      </c>
      <c r="PTF132" s="531" t="e">
        <f t="shared" si="182"/>
        <v>#DIV/0!</v>
      </c>
      <c r="PTG132" s="531" t="e">
        <f t="shared" si="182"/>
        <v>#DIV/0!</v>
      </c>
      <c r="PTH132" s="531" t="e">
        <f t="shared" si="182"/>
        <v>#DIV/0!</v>
      </c>
      <c r="PTI132" s="531" t="e">
        <f t="shared" si="182"/>
        <v>#DIV/0!</v>
      </c>
      <c r="PTJ132" s="531" t="e">
        <f t="shared" si="182"/>
        <v>#DIV/0!</v>
      </c>
      <c r="PTK132" s="531" t="e">
        <f t="shared" si="182"/>
        <v>#DIV/0!</v>
      </c>
      <c r="PTL132" s="531" t="e">
        <f t="shared" si="182"/>
        <v>#DIV/0!</v>
      </c>
      <c r="PTM132" s="531" t="e">
        <f t="shared" si="182"/>
        <v>#DIV/0!</v>
      </c>
      <c r="PTN132" s="531" t="e">
        <f t="shared" si="182"/>
        <v>#DIV/0!</v>
      </c>
      <c r="PTO132" s="531" t="e">
        <f t="shared" si="182"/>
        <v>#DIV/0!</v>
      </c>
      <c r="PTP132" s="531" t="e">
        <f t="shared" si="182"/>
        <v>#DIV/0!</v>
      </c>
      <c r="PTQ132" s="531" t="e">
        <f t="shared" si="182"/>
        <v>#DIV/0!</v>
      </c>
      <c r="PTR132" s="531" t="e">
        <f t="shared" si="182"/>
        <v>#DIV/0!</v>
      </c>
      <c r="PTS132" s="531" t="e">
        <f t="shared" si="182"/>
        <v>#DIV/0!</v>
      </c>
      <c r="PTT132" s="531" t="e">
        <f t="shared" si="182"/>
        <v>#DIV/0!</v>
      </c>
      <c r="PTU132" s="531" t="e">
        <f t="shared" si="182"/>
        <v>#DIV/0!</v>
      </c>
      <c r="PTV132" s="531" t="e">
        <f t="shared" si="182"/>
        <v>#DIV/0!</v>
      </c>
      <c r="PTW132" s="531" t="e">
        <f t="shared" si="182"/>
        <v>#DIV/0!</v>
      </c>
      <c r="PTX132" s="531" t="e">
        <f t="shared" si="182"/>
        <v>#DIV/0!</v>
      </c>
      <c r="PTY132" s="531" t="e">
        <f t="shared" si="182"/>
        <v>#DIV/0!</v>
      </c>
      <c r="PTZ132" s="531" t="e">
        <f t="shared" si="182"/>
        <v>#DIV/0!</v>
      </c>
      <c r="PUA132" s="531" t="e">
        <f t="shared" si="182"/>
        <v>#DIV/0!</v>
      </c>
      <c r="PUB132" s="531" t="e">
        <f t="shared" si="182"/>
        <v>#DIV/0!</v>
      </c>
      <c r="PUC132" s="531" t="e">
        <f t="shared" si="182"/>
        <v>#DIV/0!</v>
      </c>
      <c r="PUD132" s="531" t="e">
        <f t="shared" si="182"/>
        <v>#DIV/0!</v>
      </c>
      <c r="PUE132" s="531" t="e">
        <f t="shared" si="182"/>
        <v>#DIV/0!</v>
      </c>
      <c r="PUF132" s="531" t="e">
        <f t="shared" si="182"/>
        <v>#DIV/0!</v>
      </c>
      <c r="PUG132" s="531" t="e">
        <f t="shared" si="182"/>
        <v>#DIV/0!</v>
      </c>
      <c r="PUH132" s="531" t="e">
        <f t="shared" si="182"/>
        <v>#DIV/0!</v>
      </c>
      <c r="PUI132" s="531" t="e">
        <f t="shared" si="182"/>
        <v>#DIV/0!</v>
      </c>
      <c r="PUJ132" s="531" t="e">
        <f t="shared" si="182"/>
        <v>#DIV/0!</v>
      </c>
      <c r="PUK132" s="531" t="e">
        <f t="shared" si="182"/>
        <v>#DIV/0!</v>
      </c>
      <c r="PUL132" s="531" t="e">
        <f t="shared" si="182"/>
        <v>#DIV/0!</v>
      </c>
      <c r="PUM132" s="531" t="e">
        <f t="shared" si="182"/>
        <v>#DIV/0!</v>
      </c>
      <c r="PUN132" s="531" t="e">
        <f t="shared" si="182"/>
        <v>#DIV/0!</v>
      </c>
      <c r="PUO132" s="531" t="e">
        <f t="shared" si="182"/>
        <v>#DIV/0!</v>
      </c>
      <c r="PUP132" s="531" t="e">
        <f t="shared" si="182"/>
        <v>#DIV/0!</v>
      </c>
      <c r="PUQ132" s="531" t="e">
        <f t="shared" si="182"/>
        <v>#DIV/0!</v>
      </c>
      <c r="PUR132" s="531" t="e">
        <f t="shared" si="182"/>
        <v>#DIV/0!</v>
      </c>
      <c r="PUS132" s="531" t="e">
        <f t="shared" si="182"/>
        <v>#DIV/0!</v>
      </c>
      <c r="PUT132" s="531" t="e">
        <f t="shared" si="182"/>
        <v>#DIV/0!</v>
      </c>
      <c r="PUU132" s="531" t="e">
        <f t="shared" si="182"/>
        <v>#DIV/0!</v>
      </c>
      <c r="PUV132" s="531" t="e">
        <f t="shared" si="182"/>
        <v>#DIV/0!</v>
      </c>
      <c r="PUW132" s="531" t="e">
        <f t="shared" si="182"/>
        <v>#DIV/0!</v>
      </c>
      <c r="PUX132" s="531" t="e">
        <f t="shared" si="182"/>
        <v>#DIV/0!</v>
      </c>
      <c r="PUY132" s="531" t="e">
        <f t="shared" si="182"/>
        <v>#DIV/0!</v>
      </c>
      <c r="PUZ132" s="531" t="e">
        <f t="shared" si="182"/>
        <v>#DIV/0!</v>
      </c>
      <c r="PVA132" s="531" t="e">
        <f t="shared" si="182"/>
        <v>#DIV/0!</v>
      </c>
      <c r="PVB132" s="531" t="e">
        <f t="shared" si="182"/>
        <v>#DIV/0!</v>
      </c>
      <c r="PVC132" s="531" t="e">
        <f t="shared" si="182"/>
        <v>#DIV/0!</v>
      </c>
      <c r="PVD132" s="531" t="e">
        <f t="shared" si="182"/>
        <v>#DIV/0!</v>
      </c>
      <c r="PVE132" s="531" t="e">
        <f t="shared" si="182"/>
        <v>#DIV/0!</v>
      </c>
      <c r="PVF132" s="531" t="e">
        <f t="shared" si="182"/>
        <v>#DIV/0!</v>
      </c>
      <c r="PVG132" s="531" t="e">
        <f t="shared" si="182"/>
        <v>#DIV/0!</v>
      </c>
      <c r="PVH132" s="531" t="e">
        <f t="shared" si="182"/>
        <v>#DIV/0!</v>
      </c>
      <c r="PVI132" s="531" t="e">
        <f t="shared" si="182"/>
        <v>#DIV/0!</v>
      </c>
      <c r="PVJ132" s="531" t="e">
        <f t="shared" si="182"/>
        <v>#DIV/0!</v>
      </c>
      <c r="PVK132" s="531" t="e">
        <f t="shared" ref="PVK132:PXV132" si="183">(PVK128-PVK116)/(PVK52*10^5)</f>
        <v>#DIV/0!</v>
      </c>
      <c r="PVL132" s="531" t="e">
        <f t="shared" si="183"/>
        <v>#DIV/0!</v>
      </c>
      <c r="PVM132" s="531" t="e">
        <f t="shared" si="183"/>
        <v>#DIV/0!</v>
      </c>
      <c r="PVN132" s="531" t="e">
        <f t="shared" si="183"/>
        <v>#DIV/0!</v>
      </c>
      <c r="PVO132" s="531" t="e">
        <f t="shared" si="183"/>
        <v>#DIV/0!</v>
      </c>
      <c r="PVP132" s="531" t="e">
        <f t="shared" si="183"/>
        <v>#DIV/0!</v>
      </c>
      <c r="PVQ132" s="531" t="e">
        <f t="shared" si="183"/>
        <v>#DIV/0!</v>
      </c>
      <c r="PVR132" s="531" t="e">
        <f t="shared" si="183"/>
        <v>#DIV/0!</v>
      </c>
      <c r="PVS132" s="531" t="e">
        <f t="shared" si="183"/>
        <v>#DIV/0!</v>
      </c>
      <c r="PVT132" s="531" t="e">
        <f t="shared" si="183"/>
        <v>#DIV/0!</v>
      </c>
      <c r="PVU132" s="531" t="e">
        <f t="shared" si="183"/>
        <v>#DIV/0!</v>
      </c>
      <c r="PVV132" s="531" t="e">
        <f t="shared" si="183"/>
        <v>#DIV/0!</v>
      </c>
      <c r="PVW132" s="531" t="e">
        <f t="shared" si="183"/>
        <v>#DIV/0!</v>
      </c>
      <c r="PVX132" s="531" t="e">
        <f t="shared" si="183"/>
        <v>#DIV/0!</v>
      </c>
      <c r="PVY132" s="531" t="e">
        <f t="shared" si="183"/>
        <v>#DIV/0!</v>
      </c>
      <c r="PVZ132" s="531" t="e">
        <f t="shared" si="183"/>
        <v>#DIV/0!</v>
      </c>
      <c r="PWA132" s="531" t="e">
        <f t="shared" si="183"/>
        <v>#DIV/0!</v>
      </c>
      <c r="PWB132" s="531" t="e">
        <f t="shared" si="183"/>
        <v>#DIV/0!</v>
      </c>
      <c r="PWC132" s="531" t="e">
        <f t="shared" si="183"/>
        <v>#DIV/0!</v>
      </c>
      <c r="PWD132" s="531" t="e">
        <f t="shared" si="183"/>
        <v>#DIV/0!</v>
      </c>
      <c r="PWE132" s="531" t="e">
        <f t="shared" si="183"/>
        <v>#DIV/0!</v>
      </c>
      <c r="PWF132" s="531" t="e">
        <f t="shared" si="183"/>
        <v>#DIV/0!</v>
      </c>
      <c r="PWG132" s="531" t="e">
        <f t="shared" si="183"/>
        <v>#DIV/0!</v>
      </c>
      <c r="PWH132" s="531" t="e">
        <f t="shared" si="183"/>
        <v>#DIV/0!</v>
      </c>
      <c r="PWI132" s="531" t="e">
        <f t="shared" si="183"/>
        <v>#DIV/0!</v>
      </c>
      <c r="PWJ132" s="531" t="e">
        <f t="shared" si="183"/>
        <v>#DIV/0!</v>
      </c>
      <c r="PWK132" s="531" t="e">
        <f t="shared" si="183"/>
        <v>#DIV/0!</v>
      </c>
      <c r="PWL132" s="531" t="e">
        <f t="shared" si="183"/>
        <v>#DIV/0!</v>
      </c>
      <c r="PWM132" s="531" t="e">
        <f t="shared" si="183"/>
        <v>#DIV/0!</v>
      </c>
      <c r="PWN132" s="531" t="e">
        <f t="shared" si="183"/>
        <v>#DIV/0!</v>
      </c>
      <c r="PWO132" s="531" t="e">
        <f t="shared" si="183"/>
        <v>#DIV/0!</v>
      </c>
      <c r="PWP132" s="531" t="e">
        <f t="shared" si="183"/>
        <v>#DIV/0!</v>
      </c>
      <c r="PWQ132" s="531" t="e">
        <f t="shared" si="183"/>
        <v>#DIV/0!</v>
      </c>
      <c r="PWR132" s="531" t="e">
        <f t="shared" si="183"/>
        <v>#DIV/0!</v>
      </c>
      <c r="PWS132" s="531" t="e">
        <f t="shared" si="183"/>
        <v>#DIV/0!</v>
      </c>
      <c r="PWT132" s="531" t="e">
        <f t="shared" si="183"/>
        <v>#DIV/0!</v>
      </c>
      <c r="PWU132" s="531" t="e">
        <f t="shared" si="183"/>
        <v>#DIV/0!</v>
      </c>
      <c r="PWV132" s="531" t="e">
        <f t="shared" si="183"/>
        <v>#DIV/0!</v>
      </c>
      <c r="PWW132" s="531" t="e">
        <f t="shared" si="183"/>
        <v>#DIV/0!</v>
      </c>
      <c r="PWX132" s="531" t="e">
        <f t="shared" si="183"/>
        <v>#DIV/0!</v>
      </c>
      <c r="PWY132" s="531" t="e">
        <f t="shared" si="183"/>
        <v>#DIV/0!</v>
      </c>
      <c r="PWZ132" s="531" t="e">
        <f t="shared" si="183"/>
        <v>#DIV/0!</v>
      </c>
      <c r="PXA132" s="531" t="e">
        <f t="shared" si="183"/>
        <v>#DIV/0!</v>
      </c>
      <c r="PXB132" s="531" t="e">
        <f t="shared" si="183"/>
        <v>#DIV/0!</v>
      </c>
      <c r="PXC132" s="531" t="e">
        <f t="shared" si="183"/>
        <v>#DIV/0!</v>
      </c>
      <c r="PXD132" s="531" t="e">
        <f t="shared" si="183"/>
        <v>#DIV/0!</v>
      </c>
      <c r="PXE132" s="531" t="e">
        <f t="shared" si="183"/>
        <v>#DIV/0!</v>
      </c>
      <c r="PXF132" s="531" t="e">
        <f t="shared" si="183"/>
        <v>#DIV/0!</v>
      </c>
      <c r="PXG132" s="531" t="e">
        <f t="shared" si="183"/>
        <v>#DIV/0!</v>
      </c>
      <c r="PXH132" s="531" t="e">
        <f t="shared" si="183"/>
        <v>#DIV/0!</v>
      </c>
      <c r="PXI132" s="531" t="e">
        <f t="shared" si="183"/>
        <v>#DIV/0!</v>
      </c>
      <c r="PXJ132" s="531" t="e">
        <f t="shared" si="183"/>
        <v>#DIV/0!</v>
      </c>
      <c r="PXK132" s="531" t="e">
        <f t="shared" si="183"/>
        <v>#DIV/0!</v>
      </c>
      <c r="PXL132" s="531" t="e">
        <f t="shared" si="183"/>
        <v>#DIV/0!</v>
      </c>
      <c r="PXM132" s="531" t="e">
        <f t="shared" si="183"/>
        <v>#DIV/0!</v>
      </c>
      <c r="PXN132" s="531" t="e">
        <f t="shared" si="183"/>
        <v>#DIV/0!</v>
      </c>
      <c r="PXO132" s="531" t="e">
        <f t="shared" si="183"/>
        <v>#DIV/0!</v>
      </c>
      <c r="PXP132" s="531" t="e">
        <f t="shared" si="183"/>
        <v>#DIV/0!</v>
      </c>
      <c r="PXQ132" s="531" t="e">
        <f t="shared" si="183"/>
        <v>#DIV/0!</v>
      </c>
      <c r="PXR132" s="531" t="e">
        <f t="shared" si="183"/>
        <v>#DIV/0!</v>
      </c>
      <c r="PXS132" s="531" t="e">
        <f t="shared" si="183"/>
        <v>#DIV/0!</v>
      </c>
      <c r="PXT132" s="531" t="e">
        <f t="shared" si="183"/>
        <v>#DIV/0!</v>
      </c>
      <c r="PXU132" s="531" t="e">
        <f t="shared" si="183"/>
        <v>#DIV/0!</v>
      </c>
      <c r="PXV132" s="531" t="e">
        <f t="shared" si="183"/>
        <v>#DIV/0!</v>
      </c>
      <c r="PXW132" s="531" t="e">
        <f t="shared" ref="PXW132:QAH132" si="184">(PXW128-PXW116)/(PXW52*10^5)</f>
        <v>#DIV/0!</v>
      </c>
      <c r="PXX132" s="531" t="e">
        <f t="shared" si="184"/>
        <v>#DIV/0!</v>
      </c>
      <c r="PXY132" s="531" t="e">
        <f t="shared" si="184"/>
        <v>#DIV/0!</v>
      </c>
      <c r="PXZ132" s="531" t="e">
        <f t="shared" si="184"/>
        <v>#DIV/0!</v>
      </c>
      <c r="PYA132" s="531" t="e">
        <f t="shared" si="184"/>
        <v>#DIV/0!</v>
      </c>
      <c r="PYB132" s="531" t="e">
        <f t="shared" si="184"/>
        <v>#DIV/0!</v>
      </c>
      <c r="PYC132" s="531" t="e">
        <f t="shared" si="184"/>
        <v>#DIV/0!</v>
      </c>
      <c r="PYD132" s="531" t="e">
        <f t="shared" si="184"/>
        <v>#DIV/0!</v>
      </c>
      <c r="PYE132" s="531" t="e">
        <f t="shared" si="184"/>
        <v>#DIV/0!</v>
      </c>
      <c r="PYF132" s="531" t="e">
        <f t="shared" si="184"/>
        <v>#DIV/0!</v>
      </c>
      <c r="PYG132" s="531" t="e">
        <f t="shared" si="184"/>
        <v>#DIV/0!</v>
      </c>
      <c r="PYH132" s="531" t="e">
        <f t="shared" si="184"/>
        <v>#DIV/0!</v>
      </c>
      <c r="PYI132" s="531" t="e">
        <f t="shared" si="184"/>
        <v>#DIV/0!</v>
      </c>
      <c r="PYJ132" s="531" t="e">
        <f t="shared" si="184"/>
        <v>#DIV/0!</v>
      </c>
      <c r="PYK132" s="531" t="e">
        <f t="shared" si="184"/>
        <v>#DIV/0!</v>
      </c>
      <c r="PYL132" s="531" t="e">
        <f t="shared" si="184"/>
        <v>#DIV/0!</v>
      </c>
      <c r="PYM132" s="531" t="e">
        <f t="shared" si="184"/>
        <v>#DIV/0!</v>
      </c>
      <c r="PYN132" s="531" t="e">
        <f t="shared" si="184"/>
        <v>#DIV/0!</v>
      </c>
      <c r="PYO132" s="531" t="e">
        <f t="shared" si="184"/>
        <v>#DIV/0!</v>
      </c>
      <c r="PYP132" s="531" t="e">
        <f t="shared" si="184"/>
        <v>#DIV/0!</v>
      </c>
      <c r="PYQ132" s="531" t="e">
        <f t="shared" si="184"/>
        <v>#DIV/0!</v>
      </c>
      <c r="PYR132" s="531" t="e">
        <f t="shared" si="184"/>
        <v>#DIV/0!</v>
      </c>
      <c r="PYS132" s="531" t="e">
        <f t="shared" si="184"/>
        <v>#DIV/0!</v>
      </c>
      <c r="PYT132" s="531" t="e">
        <f t="shared" si="184"/>
        <v>#DIV/0!</v>
      </c>
      <c r="PYU132" s="531" t="e">
        <f t="shared" si="184"/>
        <v>#DIV/0!</v>
      </c>
      <c r="PYV132" s="531" t="e">
        <f t="shared" si="184"/>
        <v>#DIV/0!</v>
      </c>
      <c r="PYW132" s="531" t="e">
        <f t="shared" si="184"/>
        <v>#DIV/0!</v>
      </c>
      <c r="PYX132" s="531" t="e">
        <f t="shared" si="184"/>
        <v>#DIV/0!</v>
      </c>
      <c r="PYY132" s="531" t="e">
        <f t="shared" si="184"/>
        <v>#DIV/0!</v>
      </c>
      <c r="PYZ132" s="531" t="e">
        <f t="shared" si="184"/>
        <v>#DIV/0!</v>
      </c>
      <c r="PZA132" s="531" t="e">
        <f t="shared" si="184"/>
        <v>#DIV/0!</v>
      </c>
      <c r="PZB132" s="531" t="e">
        <f t="shared" si="184"/>
        <v>#DIV/0!</v>
      </c>
      <c r="PZC132" s="531" t="e">
        <f t="shared" si="184"/>
        <v>#DIV/0!</v>
      </c>
      <c r="PZD132" s="531" t="e">
        <f t="shared" si="184"/>
        <v>#DIV/0!</v>
      </c>
      <c r="PZE132" s="531" t="e">
        <f t="shared" si="184"/>
        <v>#DIV/0!</v>
      </c>
      <c r="PZF132" s="531" t="e">
        <f t="shared" si="184"/>
        <v>#DIV/0!</v>
      </c>
      <c r="PZG132" s="531" t="e">
        <f t="shared" si="184"/>
        <v>#DIV/0!</v>
      </c>
      <c r="PZH132" s="531" t="e">
        <f t="shared" si="184"/>
        <v>#DIV/0!</v>
      </c>
      <c r="PZI132" s="531" t="e">
        <f t="shared" si="184"/>
        <v>#DIV/0!</v>
      </c>
      <c r="PZJ132" s="531" t="e">
        <f t="shared" si="184"/>
        <v>#DIV/0!</v>
      </c>
      <c r="PZK132" s="531" t="e">
        <f t="shared" si="184"/>
        <v>#DIV/0!</v>
      </c>
      <c r="PZL132" s="531" t="e">
        <f t="shared" si="184"/>
        <v>#DIV/0!</v>
      </c>
      <c r="PZM132" s="531" t="e">
        <f t="shared" si="184"/>
        <v>#DIV/0!</v>
      </c>
      <c r="PZN132" s="531" t="e">
        <f t="shared" si="184"/>
        <v>#DIV/0!</v>
      </c>
      <c r="PZO132" s="531" t="e">
        <f t="shared" si="184"/>
        <v>#DIV/0!</v>
      </c>
      <c r="PZP132" s="531" t="e">
        <f t="shared" si="184"/>
        <v>#DIV/0!</v>
      </c>
      <c r="PZQ132" s="531" t="e">
        <f t="shared" si="184"/>
        <v>#DIV/0!</v>
      </c>
      <c r="PZR132" s="531" t="e">
        <f t="shared" si="184"/>
        <v>#DIV/0!</v>
      </c>
      <c r="PZS132" s="531" t="e">
        <f t="shared" si="184"/>
        <v>#DIV/0!</v>
      </c>
      <c r="PZT132" s="531" t="e">
        <f t="shared" si="184"/>
        <v>#DIV/0!</v>
      </c>
      <c r="PZU132" s="531" t="e">
        <f t="shared" si="184"/>
        <v>#DIV/0!</v>
      </c>
      <c r="PZV132" s="531" t="e">
        <f t="shared" si="184"/>
        <v>#DIV/0!</v>
      </c>
      <c r="PZW132" s="531" t="e">
        <f t="shared" si="184"/>
        <v>#DIV/0!</v>
      </c>
      <c r="PZX132" s="531" t="e">
        <f t="shared" si="184"/>
        <v>#DIV/0!</v>
      </c>
      <c r="PZY132" s="531" t="e">
        <f t="shared" si="184"/>
        <v>#DIV/0!</v>
      </c>
      <c r="PZZ132" s="531" t="e">
        <f t="shared" si="184"/>
        <v>#DIV/0!</v>
      </c>
      <c r="QAA132" s="531" t="e">
        <f t="shared" si="184"/>
        <v>#DIV/0!</v>
      </c>
      <c r="QAB132" s="531" t="e">
        <f t="shared" si="184"/>
        <v>#DIV/0!</v>
      </c>
      <c r="QAC132" s="531" t="e">
        <f t="shared" si="184"/>
        <v>#DIV/0!</v>
      </c>
      <c r="QAD132" s="531" t="e">
        <f t="shared" si="184"/>
        <v>#DIV/0!</v>
      </c>
      <c r="QAE132" s="531" t="e">
        <f t="shared" si="184"/>
        <v>#DIV/0!</v>
      </c>
      <c r="QAF132" s="531" t="e">
        <f t="shared" si="184"/>
        <v>#DIV/0!</v>
      </c>
      <c r="QAG132" s="531" t="e">
        <f t="shared" si="184"/>
        <v>#DIV/0!</v>
      </c>
      <c r="QAH132" s="531" t="e">
        <f t="shared" si="184"/>
        <v>#DIV/0!</v>
      </c>
      <c r="QAI132" s="531" t="e">
        <f t="shared" ref="QAI132:QCT132" si="185">(QAI128-QAI116)/(QAI52*10^5)</f>
        <v>#DIV/0!</v>
      </c>
      <c r="QAJ132" s="531" t="e">
        <f t="shared" si="185"/>
        <v>#DIV/0!</v>
      </c>
      <c r="QAK132" s="531" t="e">
        <f t="shared" si="185"/>
        <v>#DIV/0!</v>
      </c>
      <c r="QAL132" s="531" t="e">
        <f t="shared" si="185"/>
        <v>#DIV/0!</v>
      </c>
      <c r="QAM132" s="531" t="e">
        <f t="shared" si="185"/>
        <v>#DIV/0!</v>
      </c>
      <c r="QAN132" s="531" t="e">
        <f t="shared" si="185"/>
        <v>#DIV/0!</v>
      </c>
      <c r="QAO132" s="531" t="e">
        <f t="shared" si="185"/>
        <v>#DIV/0!</v>
      </c>
      <c r="QAP132" s="531" t="e">
        <f t="shared" si="185"/>
        <v>#DIV/0!</v>
      </c>
      <c r="QAQ132" s="531" t="e">
        <f t="shared" si="185"/>
        <v>#DIV/0!</v>
      </c>
      <c r="QAR132" s="531" t="e">
        <f t="shared" si="185"/>
        <v>#DIV/0!</v>
      </c>
      <c r="QAS132" s="531" t="e">
        <f t="shared" si="185"/>
        <v>#DIV/0!</v>
      </c>
      <c r="QAT132" s="531" t="e">
        <f t="shared" si="185"/>
        <v>#DIV/0!</v>
      </c>
      <c r="QAU132" s="531" t="e">
        <f t="shared" si="185"/>
        <v>#DIV/0!</v>
      </c>
      <c r="QAV132" s="531" t="e">
        <f t="shared" si="185"/>
        <v>#DIV/0!</v>
      </c>
      <c r="QAW132" s="531" t="e">
        <f t="shared" si="185"/>
        <v>#DIV/0!</v>
      </c>
      <c r="QAX132" s="531" t="e">
        <f t="shared" si="185"/>
        <v>#DIV/0!</v>
      </c>
      <c r="QAY132" s="531" t="e">
        <f t="shared" si="185"/>
        <v>#DIV/0!</v>
      </c>
      <c r="QAZ132" s="531" t="e">
        <f t="shared" si="185"/>
        <v>#DIV/0!</v>
      </c>
      <c r="QBA132" s="531" t="e">
        <f t="shared" si="185"/>
        <v>#DIV/0!</v>
      </c>
      <c r="QBB132" s="531" t="e">
        <f t="shared" si="185"/>
        <v>#DIV/0!</v>
      </c>
      <c r="QBC132" s="531" t="e">
        <f t="shared" si="185"/>
        <v>#DIV/0!</v>
      </c>
      <c r="QBD132" s="531" t="e">
        <f t="shared" si="185"/>
        <v>#DIV/0!</v>
      </c>
      <c r="QBE132" s="531" t="e">
        <f t="shared" si="185"/>
        <v>#DIV/0!</v>
      </c>
      <c r="QBF132" s="531" t="e">
        <f t="shared" si="185"/>
        <v>#DIV/0!</v>
      </c>
      <c r="QBG132" s="531" t="e">
        <f t="shared" si="185"/>
        <v>#DIV/0!</v>
      </c>
      <c r="QBH132" s="531" t="e">
        <f t="shared" si="185"/>
        <v>#DIV/0!</v>
      </c>
      <c r="QBI132" s="531" t="e">
        <f t="shared" si="185"/>
        <v>#DIV/0!</v>
      </c>
      <c r="QBJ132" s="531" t="e">
        <f t="shared" si="185"/>
        <v>#DIV/0!</v>
      </c>
      <c r="QBK132" s="531" t="e">
        <f t="shared" si="185"/>
        <v>#DIV/0!</v>
      </c>
      <c r="QBL132" s="531" t="e">
        <f t="shared" si="185"/>
        <v>#DIV/0!</v>
      </c>
      <c r="QBM132" s="531" t="e">
        <f t="shared" si="185"/>
        <v>#DIV/0!</v>
      </c>
      <c r="QBN132" s="531" t="e">
        <f t="shared" si="185"/>
        <v>#DIV/0!</v>
      </c>
      <c r="QBO132" s="531" t="e">
        <f t="shared" si="185"/>
        <v>#DIV/0!</v>
      </c>
      <c r="QBP132" s="531" t="e">
        <f t="shared" si="185"/>
        <v>#DIV/0!</v>
      </c>
      <c r="QBQ132" s="531" t="e">
        <f t="shared" si="185"/>
        <v>#DIV/0!</v>
      </c>
      <c r="QBR132" s="531" t="e">
        <f t="shared" si="185"/>
        <v>#DIV/0!</v>
      </c>
      <c r="QBS132" s="531" t="e">
        <f t="shared" si="185"/>
        <v>#DIV/0!</v>
      </c>
      <c r="QBT132" s="531" t="e">
        <f t="shared" si="185"/>
        <v>#DIV/0!</v>
      </c>
      <c r="QBU132" s="531" t="e">
        <f t="shared" si="185"/>
        <v>#DIV/0!</v>
      </c>
      <c r="QBV132" s="531" t="e">
        <f t="shared" si="185"/>
        <v>#DIV/0!</v>
      </c>
      <c r="QBW132" s="531" t="e">
        <f t="shared" si="185"/>
        <v>#DIV/0!</v>
      </c>
      <c r="QBX132" s="531" t="e">
        <f t="shared" si="185"/>
        <v>#DIV/0!</v>
      </c>
      <c r="QBY132" s="531" t="e">
        <f t="shared" si="185"/>
        <v>#DIV/0!</v>
      </c>
      <c r="QBZ132" s="531" t="e">
        <f t="shared" si="185"/>
        <v>#DIV/0!</v>
      </c>
      <c r="QCA132" s="531" t="e">
        <f t="shared" si="185"/>
        <v>#DIV/0!</v>
      </c>
      <c r="QCB132" s="531" t="e">
        <f t="shared" si="185"/>
        <v>#DIV/0!</v>
      </c>
      <c r="QCC132" s="531" t="e">
        <f t="shared" si="185"/>
        <v>#DIV/0!</v>
      </c>
      <c r="QCD132" s="531" t="e">
        <f t="shared" si="185"/>
        <v>#DIV/0!</v>
      </c>
      <c r="QCE132" s="531" t="e">
        <f t="shared" si="185"/>
        <v>#DIV/0!</v>
      </c>
      <c r="QCF132" s="531" t="e">
        <f t="shared" si="185"/>
        <v>#DIV/0!</v>
      </c>
      <c r="QCG132" s="531" t="e">
        <f t="shared" si="185"/>
        <v>#DIV/0!</v>
      </c>
      <c r="QCH132" s="531" t="e">
        <f t="shared" si="185"/>
        <v>#DIV/0!</v>
      </c>
      <c r="QCI132" s="531" t="e">
        <f t="shared" si="185"/>
        <v>#DIV/0!</v>
      </c>
      <c r="QCJ132" s="531" t="e">
        <f t="shared" si="185"/>
        <v>#DIV/0!</v>
      </c>
      <c r="QCK132" s="531" t="e">
        <f t="shared" si="185"/>
        <v>#DIV/0!</v>
      </c>
      <c r="QCL132" s="531" t="e">
        <f t="shared" si="185"/>
        <v>#DIV/0!</v>
      </c>
      <c r="QCM132" s="531" t="e">
        <f t="shared" si="185"/>
        <v>#DIV/0!</v>
      </c>
      <c r="QCN132" s="531" t="e">
        <f t="shared" si="185"/>
        <v>#DIV/0!</v>
      </c>
      <c r="QCO132" s="531" t="e">
        <f t="shared" si="185"/>
        <v>#DIV/0!</v>
      </c>
      <c r="QCP132" s="531" t="e">
        <f t="shared" si="185"/>
        <v>#DIV/0!</v>
      </c>
      <c r="QCQ132" s="531" t="e">
        <f t="shared" si="185"/>
        <v>#DIV/0!</v>
      </c>
      <c r="QCR132" s="531" t="e">
        <f t="shared" si="185"/>
        <v>#DIV/0!</v>
      </c>
      <c r="QCS132" s="531" t="e">
        <f t="shared" si="185"/>
        <v>#DIV/0!</v>
      </c>
      <c r="QCT132" s="531" t="e">
        <f t="shared" si="185"/>
        <v>#DIV/0!</v>
      </c>
      <c r="QCU132" s="531" t="e">
        <f t="shared" ref="QCU132:QFF132" si="186">(QCU128-QCU116)/(QCU52*10^5)</f>
        <v>#DIV/0!</v>
      </c>
      <c r="QCV132" s="531" t="e">
        <f t="shared" si="186"/>
        <v>#DIV/0!</v>
      </c>
      <c r="QCW132" s="531" t="e">
        <f t="shared" si="186"/>
        <v>#DIV/0!</v>
      </c>
      <c r="QCX132" s="531" t="e">
        <f t="shared" si="186"/>
        <v>#DIV/0!</v>
      </c>
      <c r="QCY132" s="531" t="e">
        <f t="shared" si="186"/>
        <v>#DIV/0!</v>
      </c>
      <c r="QCZ132" s="531" t="e">
        <f t="shared" si="186"/>
        <v>#DIV/0!</v>
      </c>
      <c r="QDA132" s="531" t="e">
        <f t="shared" si="186"/>
        <v>#DIV/0!</v>
      </c>
      <c r="QDB132" s="531" t="e">
        <f t="shared" si="186"/>
        <v>#DIV/0!</v>
      </c>
      <c r="QDC132" s="531" t="e">
        <f t="shared" si="186"/>
        <v>#DIV/0!</v>
      </c>
      <c r="QDD132" s="531" t="e">
        <f t="shared" si="186"/>
        <v>#DIV/0!</v>
      </c>
      <c r="QDE132" s="531" t="e">
        <f t="shared" si="186"/>
        <v>#DIV/0!</v>
      </c>
      <c r="QDF132" s="531" t="e">
        <f t="shared" si="186"/>
        <v>#DIV/0!</v>
      </c>
      <c r="QDG132" s="531" t="e">
        <f t="shared" si="186"/>
        <v>#DIV/0!</v>
      </c>
      <c r="QDH132" s="531" t="e">
        <f t="shared" si="186"/>
        <v>#DIV/0!</v>
      </c>
      <c r="QDI132" s="531" t="e">
        <f t="shared" si="186"/>
        <v>#DIV/0!</v>
      </c>
      <c r="QDJ132" s="531" t="e">
        <f t="shared" si="186"/>
        <v>#DIV/0!</v>
      </c>
      <c r="QDK132" s="531" t="e">
        <f t="shared" si="186"/>
        <v>#DIV/0!</v>
      </c>
      <c r="QDL132" s="531" t="e">
        <f t="shared" si="186"/>
        <v>#DIV/0!</v>
      </c>
      <c r="QDM132" s="531" t="e">
        <f t="shared" si="186"/>
        <v>#DIV/0!</v>
      </c>
      <c r="QDN132" s="531" t="e">
        <f t="shared" si="186"/>
        <v>#DIV/0!</v>
      </c>
      <c r="QDO132" s="531" t="e">
        <f t="shared" si="186"/>
        <v>#DIV/0!</v>
      </c>
      <c r="QDP132" s="531" t="e">
        <f t="shared" si="186"/>
        <v>#DIV/0!</v>
      </c>
      <c r="QDQ132" s="531" t="e">
        <f t="shared" si="186"/>
        <v>#DIV/0!</v>
      </c>
      <c r="QDR132" s="531" t="e">
        <f t="shared" si="186"/>
        <v>#DIV/0!</v>
      </c>
      <c r="QDS132" s="531" t="e">
        <f t="shared" si="186"/>
        <v>#DIV/0!</v>
      </c>
      <c r="QDT132" s="531" t="e">
        <f t="shared" si="186"/>
        <v>#DIV/0!</v>
      </c>
      <c r="QDU132" s="531" t="e">
        <f t="shared" si="186"/>
        <v>#DIV/0!</v>
      </c>
      <c r="QDV132" s="531" t="e">
        <f t="shared" si="186"/>
        <v>#DIV/0!</v>
      </c>
      <c r="QDW132" s="531" t="e">
        <f t="shared" si="186"/>
        <v>#DIV/0!</v>
      </c>
      <c r="QDX132" s="531" t="e">
        <f t="shared" si="186"/>
        <v>#DIV/0!</v>
      </c>
      <c r="QDY132" s="531" t="e">
        <f t="shared" si="186"/>
        <v>#DIV/0!</v>
      </c>
      <c r="QDZ132" s="531" t="e">
        <f t="shared" si="186"/>
        <v>#DIV/0!</v>
      </c>
      <c r="QEA132" s="531" t="e">
        <f t="shared" si="186"/>
        <v>#DIV/0!</v>
      </c>
      <c r="QEB132" s="531" t="e">
        <f t="shared" si="186"/>
        <v>#DIV/0!</v>
      </c>
      <c r="QEC132" s="531" t="e">
        <f t="shared" si="186"/>
        <v>#DIV/0!</v>
      </c>
      <c r="QED132" s="531" t="e">
        <f t="shared" si="186"/>
        <v>#DIV/0!</v>
      </c>
      <c r="QEE132" s="531" t="e">
        <f t="shared" si="186"/>
        <v>#DIV/0!</v>
      </c>
      <c r="QEF132" s="531" t="e">
        <f t="shared" si="186"/>
        <v>#DIV/0!</v>
      </c>
      <c r="QEG132" s="531" t="e">
        <f t="shared" si="186"/>
        <v>#DIV/0!</v>
      </c>
      <c r="QEH132" s="531" t="e">
        <f t="shared" si="186"/>
        <v>#DIV/0!</v>
      </c>
      <c r="QEI132" s="531" t="e">
        <f t="shared" si="186"/>
        <v>#DIV/0!</v>
      </c>
      <c r="QEJ132" s="531" t="e">
        <f t="shared" si="186"/>
        <v>#DIV/0!</v>
      </c>
      <c r="QEK132" s="531" t="e">
        <f t="shared" si="186"/>
        <v>#DIV/0!</v>
      </c>
      <c r="QEL132" s="531" t="e">
        <f t="shared" si="186"/>
        <v>#DIV/0!</v>
      </c>
      <c r="QEM132" s="531" t="e">
        <f t="shared" si="186"/>
        <v>#DIV/0!</v>
      </c>
      <c r="QEN132" s="531" t="e">
        <f t="shared" si="186"/>
        <v>#DIV/0!</v>
      </c>
      <c r="QEO132" s="531" t="e">
        <f t="shared" si="186"/>
        <v>#DIV/0!</v>
      </c>
      <c r="QEP132" s="531" t="e">
        <f t="shared" si="186"/>
        <v>#DIV/0!</v>
      </c>
      <c r="QEQ132" s="531" t="e">
        <f t="shared" si="186"/>
        <v>#DIV/0!</v>
      </c>
      <c r="QER132" s="531" t="e">
        <f t="shared" si="186"/>
        <v>#DIV/0!</v>
      </c>
      <c r="QES132" s="531" t="e">
        <f t="shared" si="186"/>
        <v>#DIV/0!</v>
      </c>
      <c r="QET132" s="531" t="e">
        <f t="shared" si="186"/>
        <v>#DIV/0!</v>
      </c>
      <c r="QEU132" s="531" t="e">
        <f t="shared" si="186"/>
        <v>#DIV/0!</v>
      </c>
      <c r="QEV132" s="531" t="e">
        <f t="shared" si="186"/>
        <v>#DIV/0!</v>
      </c>
      <c r="QEW132" s="531" t="e">
        <f t="shared" si="186"/>
        <v>#DIV/0!</v>
      </c>
      <c r="QEX132" s="531" t="e">
        <f t="shared" si="186"/>
        <v>#DIV/0!</v>
      </c>
      <c r="QEY132" s="531" t="e">
        <f t="shared" si="186"/>
        <v>#DIV/0!</v>
      </c>
      <c r="QEZ132" s="531" t="e">
        <f t="shared" si="186"/>
        <v>#DIV/0!</v>
      </c>
      <c r="QFA132" s="531" t="e">
        <f t="shared" si="186"/>
        <v>#DIV/0!</v>
      </c>
      <c r="QFB132" s="531" t="e">
        <f t="shared" si="186"/>
        <v>#DIV/0!</v>
      </c>
      <c r="QFC132" s="531" t="e">
        <f t="shared" si="186"/>
        <v>#DIV/0!</v>
      </c>
      <c r="QFD132" s="531" t="e">
        <f t="shared" si="186"/>
        <v>#DIV/0!</v>
      </c>
      <c r="QFE132" s="531" t="e">
        <f t="shared" si="186"/>
        <v>#DIV/0!</v>
      </c>
      <c r="QFF132" s="531" t="e">
        <f t="shared" si="186"/>
        <v>#DIV/0!</v>
      </c>
      <c r="QFG132" s="531" t="e">
        <f t="shared" ref="QFG132:QHR132" si="187">(QFG128-QFG116)/(QFG52*10^5)</f>
        <v>#DIV/0!</v>
      </c>
      <c r="QFH132" s="531" t="e">
        <f t="shared" si="187"/>
        <v>#DIV/0!</v>
      </c>
      <c r="QFI132" s="531" t="e">
        <f t="shared" si="187"/>
        <v>#DIV/0!</v>
      </c>
      <c r="QFJ132" s="531" t="e">
        <f t="shared" si="187"/>
        <v>#DIV/0!</v>
      </c>
      <c r="QFK132" s="531" t="e">
        <f t="shared" si="187"/>
        <v>#DIV/0!</v>
      </c>
      <c r="QFL132" s="531" t="e">
        <f t="shared" si="187"/>
        <v>#DIV/0!</v>
      </c>
      <c r="QFM132" s="531" t="e">
        <f t="shared" si="187"/>
        <v>#DIV/0!</v>
      </c>
      <c r="QFN132" s="531" t="e">
        <f t="shared" si="187"/>
        <v>#DIV/0!</v>
      </c>
      <c r="QFO132" s="531" t="e">
        <f t="shared" si="187"/>
        <v>#DIV/0!</v>
      </c>
      <c r="QFP132" s="531" t="e">
        <f t="shared" si="187"/>
        <v>#DIV/0!</v>
      </c>
      <c r="QFQ132" s="531" t="e">
        <f t="shared" si="187"/>
        <v>#DIV/0!</v>
      </c>
      <c r="QFR132" s="531" t="e">
        <f t="shared" si="187"/>
        <v>#DIV/0!</v>
      </c>
      <c r="QFS132" s="531" t="e">
        <f t="shared" si="187"/>
        <v>#DIV/0!</v>
      </c>
      <c r="QFT132" s="531" t="e">
        <f t="shared" si="187"/>
        <v>#DIV/0!</v>
      </c>
      <c r="QFU132" s="531" t="e">
        <f t="shared" si="187"/>
        <v>#DIV/0!</v>
      </c>
      <c r="QFV132" s="531" t="e">
        <f t="shared" si="187"/>
        <v>#DIV/0!</v>
      </c>
      <c r="QFW132" s="531" t="e">
        <f t="shared" si="187"/>
        <v>#DIV/0!</v>
      </c>
      <c r="QFX132" s="531" t="e">
        <f t="shared" si="187"/>
        <v>#DIV/0!</v>
      </c>
      <c r="QFY132" s="531" t="e">
        <f t="shared" si="187"/>
        <v>#DIV/0!</v>
      </c>
      <c r="QFZ132" s="531" t="e">
        <f t="shared" si="187"/>
        <v>#DIV/0!</v>
      </c>
      <c r="QGA132" s="531" t="e">
        <f t="shared" si="187"/>
        <v>#DIV/0!</v>
      </c>
      <c r="QGB132" s="531" t="e">
        <f t="shared" si="187"/>
        <v>#DIV/0!</v>
      </c>
      <c r="QGC132" s="531" t="e">
        <f t="shared" si="187"/>
        <v>#DIV/0!</v>
      </c>
      <c r="QGD132" s="531" t="e">
        <f t="shared" si="187"/>
        <v>#DIV/0!</v>
      </c>
      <c r="QGE132" s="531" t="e">
        <f t="shared" si="187"/>
        <v>#DIV/0!</v>
      </c>
      <c r="QGF132" s="531" t="e">
        <f t="shared" si="187"/>
        <v>#DIV/0!</v>
      </c>
      <c r="QGG132" s="531" t="e">
        <f t="shared" si="187"/>
        <v>#DIV/0!</v>
      </c>
      <c r="QGH132" s="531" t="e">
        <f t="shared" si="187"/>
        <v>#DIV/0!</v>
      </c>
      <c r="QGI132" s="531" t="e">
        <f t="shared" si="187"/>
        <v>#DIV/0!</v>
      </c>
      <c r="QGJ132" s="531" t="e">
        <f t="shared" si="187"/>
        <v>#DIV/0!</v>
      </c>
      <c r="QGK132" s="531" t="e">
        <f t="shared" si="187"/>
        <v>#DIV/0!</v>
      </c>
      <c r="QGL132" s="531" t="e">
        <f t="shared" si="187"/>
        <v>#DIV/0!</v>
      </c>
      <c r="QGM132" s="531" t="e">
        <f t="shared" si="187"/>
        <v>#DIV/0!</v>
      </c>
      <c r="QGN132" s="531" t="e">
        <f t="shared" si="187"/>
        <v>#DIV/0!</v>
      </c>
      <c r="QGO132" s="531" t="e">
        <f t="shared" si="187"/>
        <v>#DIV/0!</v>
      </c>
      <c r="QGP132" s="531" t="e">
        <f t="shared" si="187"/>
        <v>#DIV/0!</v>
      </c>
      <c r="QGQ132" s="531" t="e">
        <f t="shared" si="187"/>
        <v>#DIV/0!</v>
      </c>
      <c r="QGR132" s="531" t="e">
        <f t="shared" si="187"/>
        <v>#DIV/0!</v>
      </c>
      <c r="QGS132" s="531" t="e">
        <f t="shared" si="187"/>
        <v>#DIV/0!</v>
      </c>
      <c r="QGT132" s="531" t="e">
        <f t="shared" si="187"/>
        <v>#DIV/0!</v>
      </c>
      <c r="QGU132" s="531" t="e">
        <f t="shared" si="187"/>
        <v>#DIV/0!</v>
      </c>
      <c r="QGV132" s="531" t="e">
        <f t="shared" si="187"/>
        <v>#DIV/0!</v>
      </c>
      <c r="QGW132" s="531" t="e">
        <f t="shared" si="187"/>
        <v>#DIV/0!</v>
      </c>
      <c r="QGX132" s="531" t="e">
        <f t="shared" si="187"/>
        <v>#DIV/0!</v>
      </c>
      <c r="QGY132" s="531" t="e">
        <f t="shared" si="187"/>
        <v>#DIV/0!</v>
      </c>
      <c r="QGZ132" s="531" t="e">
        <f t="shared" si="187"/>
        <v>#DIV/0!</v>
      </c>
      <c r="QHA132" s="531" t="e">
        <f t="shared" si="187"/>
        <v>#DIV/0!</v>
      </c>
      <c r="QHB132" s="531" t="e">
        <f t="shared" si="187"/>
        <v>#DIV/0!</v>
      </c>
      <c r="QHC132" s="531" t="e">
        <f t="shared" si="187"/>
        <v>#DIV/0!</v>
      </c>
      <c r="QHD132" s="531" t="e">
        <f t="shared" si="187"/>
        <v>#DIV/0!</v>
      </c>
      <c r="QHE132" s="531" t="e">
        <f t="shared" si="187"/>
        <v>#DIV/0!</v>
      </c>
      <c r="QHF132" s="531" t="e">
        <f t="shared" si="187"/>
        <v>#DIV/0!</v>
      </c>
      <c r="QHG132" s="531" t="e">
        <f t="shared" si="187"/>
        <v>#DIV/0!</v>
      </c>
      <c r="QHH132" s="531" t="e">
        <f t="shared" si="187"/>
        <v>#DIV/0!</v>
      </c>
      <c r="QHI132" s="531" t="e">
        <f t="shared" si="187"/>
        <v>#DIV/0!</v>
      </c>
      <c r="QHJ132" s="531" t="e">
        <f t="shared" si="187"/>
        <v>#DIV/0!</v>
      </c>
      <c r="QHK132" s="531" t="e">
        <f t="shared" si="187"/>
        <v>#DIV/0!</v>
      </c>
      <c r="QHL132" s="531" t="e">
        <f t="shared" si="187"/>
        <v>#DIV/0!</v>
      </c>
      <c r="QHM132" s="531" t="e">
        <f t="shared" si="187"/>
        <v>#DIV/0!</v>
      </c>
      <c r="QHN132" s="531" t="e">
        <f t="shared" si="187"/>
        <v>#DIV/0!</v>
      </c>
      <c r="QHO132" s="531" t="e">
        <f t="shared" si="187"/>
        <v>#DIV/0!</v>
      </c>
      <c r="QHP132" s="531" t="e">
        <f t="shared" si="187"/>
        <v>#DIV/0!</v>
      </c>
      <c r="QHQ132" s="531" t="e">
        <f t="shared" si="187"/>
        <v>#DIV/0!</v>
      </c>
      <c r="QHR132" s="531" t="e">
        <f t="shared" si="187"/>
        <v>#DIV/0!</v>
      </c>
      <c r="QHS132" s="531" t="e">
        <f t="shared" ref="QHS132:QKD132" si="188">(QHS128-QHS116)/(QHS52*10^5)</f>
        <v>#DIV/0!</v>
      </c>
      <c r="QHT132" s="531" t="e">
        <f t="shared" si="188"/>
        <v>#DIV/0!</v>
      </c>
      <c r="QHU132" s="531" t="e">
        <f t="shared" si="188"/>
        <v>#DIV/0!</v>
      </c>
      <c r="QHV132" s="531" t="e">
        <f t="shared" si="188"/>
        <v>#DIV/0!</v>
      </c>
      <c r="QHW132" s="531" t="e">
        <f t="shared" si="188"/>
        <v>#DIV/0!</v>
      </c>
      <c r="QHX132" s="531" t="e">
        <f t="shared" si="188"/>
        <v>#DIV/0!</v>
      </c>
      <c r="QHY132" s="531" t="e">
        <f t="shared" si="188"/>
        <v>#DIV/0!</v>
      </c>
      <c r="QHZ132" s="531" t="e">
        <f t="shared" si="188"/>
        <v>#DIV/0!</v>
      </c>
      <c r="QIA132" s="531" t="e">
        <f t="shared" si="188"/>
        <v>#DIV/0!</v>
      </c>
      <c r="QIB132" s="531" t="e">
        <f t="shared" si="188"/>
        <v>#DIV/0!</v>
      </c>
      <c r="QIC132" s="531" t="e">
        <f t="shared" si="188"/>
        <v>#DIV/0!</v>
      </c>
      <c r="QID132" s="531" t="e">
        <f t="shared" si="188"/>
        <v>#DIV/0!</v>
      </c>
      <c r="QIE132" s="531" t="e">
        <f t="shared" si="188"/>
        <v>#DIV/0!</v>
      </c>
      <c r="QIF132" s="531" t="e">
        <f t="shared" si="188"/>
        <v>#DIV/0!</v>
      </c>
      <c r="QIG132" s="531" t="e">
        <f t="shared" si="188"/>
        <v>#DIV/0!</v>
      </c>
      <c r="QIH132" s="531" t="e">
        <f t="shared" si="188"/>
        <v>#DIV/0!</v>
      </c>
      <c r="QII132" s="531" t="e">
        <f t="shared" si="188"/>
        <v>#DIV/0!</v>
      </c>
      <c r="QIJ132" s="531" t="e">
        <f t="shared" si="188"/>
        <v>#DIV/0!</v>
      </c>
      <c r="QIK132" s="531" t="e">
        <f t="shared" si="188"/>
        <v>#DIV/0!</v>
      </c>
      <c r="QIL132" s="531" t="e">
        <f t="shared" si="188"/>
        <v>#DIV/0!</v>
      </c>
      <c r="QIM132" s="531" t="e">
        <f t="shared" si="188"/>
        <v>#DIV/0!</v>
      </c>
      <c r="QIN132" s="531" t="e">
        <f t="shared" si="188"/>
        <v>#DIV/0!</v>
      </c>
      <c r="QIO132" s="531" t="e">
        <f t="shared" si="188"/>
        <v>#DIV/0!</v>
      </c>
      <c r="QIP132" s="531" t="e">
        <f t="shared" si="188"/>
        <v>#DIV/0!</v>
      </c>
      <c r="QIQ132" s="531" t="e">
        <f t="shared" si="188"/>
        <v>#DIV/0!</v>
      </c>
      <c r="QIR132" s="531" t="e">
        <f t="shared" si="188"/>
        <v>#DIV/0!</v>
      </c>
      <c r="QIS132" s="531" t="e">
        <f t="shared" si="188"/>
        <v>#DIV/0!</v>
      </c>
      <c r="QIT132" s="531" t="e">
        <f t="shared" si="188"/>
        <v>#DIV/0!</v>
      </c>
      <c r="QIU132" s="531" t="e">
        <f t="shared" si="188"/>
        <v>#DIV/0!</v>
      </c>
      <c r="QIV132" s="531" t="e">
        <f t="shared" si="188"/>
        <v>#DIV/0!</v>
      </c>
      <c r="QIW132" s="531" t="e">
        <f t="shared" si="188"/>
        <v>#DIV/0!</v>
      </c>
      <c r="QIX132" s="531" t="e">
        <f t="shared" si="188"/>
        <v>#DIV/0!</v>
      </c>
      <c r="QIY132" s="531" t="e">
        <f t="shared" si="188"/>
        <v>#DIV/0!</v>
      </c>
      <c r="QIZ132" s="531" t="e">
        <f t="shared" si="188"/>
        <v>#DIV/0!</v>
      </c>
      <c r="QJA132" s="531" t="e">
        <f t="shared" si="188"/>
        <v>#DIV/0!</v>
      </c>
      <c r="QJB132" s="531" t="e">
        <f t="shared" si="188"/>
        <v>#DIV/0!</v>
      </c>
      <c r="QJC132" s="531" t="e">
        <f t="shared" si="188"/>
        <v>#DIV/0!</v>
      </c>
      <c r="QJD132" s="531" t="e">
        <f t="shared" si="188"/>
        <v>#DIV/0!</v>
      </c>
      <c r="QJE132" s="531" t="e">
        <f t="shared" si="188"/>
        <v>#DIV/0!</v>
      </c>
      <c r="QJF132" s="531" t="e">
        <f t="shared" si="188"/>
        <v>#DIV/0!</v>
      </c>
      <c r="QJG132" s="531" t="e">
        <f t="shared" si="188"/>
        <v>#DIV/0!</v>
      </c>
      <c r="QJH132" s="531" t="e">
        <f t="shared" si="188"/>
        <v>#DIV/0!</v>
      </c>
      <c r="QJI132" s="531" t="e">
        <f t="shared" si="188"/>
        <v>#DIV/0!</v>
      </c>
      <c r="QJJ132" s="531" t="e">
        <f t="shared" si="188"/>
        <v>#DIV/0!</v>
      </c>
      <c r="QJK132" s="531" t="e">
        <f t="shared" si="188"/>
        <v>#DIV/0!</v>
      </c>
      <c r="QJL132" s="531" t="e">
        <f t="shared" si="188"/>
        <v>#DIV/0!</v>
      </c>
      <c r="QJM132" s="531" t="e">
        <f t="shared" si="188"/>
        <v>#DIV/0!</v>
      </c>
      <c r="QJN132" s="531" t="e">
        <f t="shared" si="188"/>
        <v>#DIV/0!</v>
      </c>
      <c r="QJO132" s="531" t="e">
        <f t="shared" si="188"/>
        <v>#DIV/0!</v>
      </c>
      <c r="QJP132" s="531" t="e">
        <f t="shared" si="188"/>
        <v>#DIV/0!</v>
      </c>
      <c r="QJQ132" s="531" t="e">
        <f t="shared" si="188"/>
        <v>#DIV/0!</v>
      </c>
      <c r="QJR132" s="531" t="e">
        <f t="shared" si="188"/>
        <v>#DIV/0!</v>
      </c>
      <c r="QJS132" s="531" t="e">
        <f t="shared" si="188"/>
        <v>#DIV/0!</v>
      </c>
      <c r="QJT132" s="531" t="e">
        <f t="shared" si="188"/>
        <v>#DIV/0!</v>
      </c>
      <c r="QJU132" s="531" t="e">
        <f t="shared" si="188"/>
        <v>#DIV/0!</v>
      </c>
      <c r="QJV132" s="531" t="e">
        <f t="shared" si="188"/>
        <v>#DIV/0!</v>
      </c>
      <c r="QJW132" s="531" t="e">
        <f t="shared" si="188"/>
        <v>#DIV/0!</v>
      </c>
      <c r="QJX132" s="531" t="e">
        <f t="shared" si="188"/>
        <v>#DIV/0!</v>
      </c>
      <c r="QJY132" s="531" t="e">
        <f t="shared" si="188"/>
        <v>#DIV/0!</v>
      </c>
      <c r="QJZ132" s="531" t="e">
        <f t="shared" si="188"/>
        <v>#DIV/0!</v>
      </c>
      <c r="QKA132" s="531" t="e">
        <f t="shared" si="188"/>
        <v>#DIV/0!</v>
      </c>
      <c r="QKB132" s="531" t="e">
        <f t="shared" si="188"/>
        <v>#DIV/0!</v>
      </c>
      <c r="QKC132" s="531" t="e">
        <f t="shared" si="188"/>
        <v>#DIV/0!</v>
      </c>
      <c r="QKD132" s="531" t="e">
        <f t="shared" si="188"/>
        <v>#DIV/0!</v>
      </c>
      <c r="QKE132" s="531" t="e">
        <f t="shared" ref="QKE132:QMP132" si="189">(QKE128-QKE116)/(QKE52*10^5)</f>
        <v>#DIV/0!</v>
      </c>
      <c r="QKF132" s="531" t="e">
        <f t="shared" si="189"/>
        <v>#DIV/0!</v>
      </c>
      <c r="QKG132" s="531" t="e">
        <f t="shared" si="189"/>
        <v>#DIV/0!</v>
      </c>
      <c r="QKH132" s="531" t="e">
        <f t="shared" si="189"/>
        <v>#DIV/0!</v>
      </c>
      <c r="QKI132" s="531" t="e">
        <f t="shared" si="189"/>
        <v>#DIV/0!</v>
      </c>
      <c r="QKJ132" s="531" t="e">
        <f t="shared" si="189"/>
        <v>#DIV/0!</v>
      </c>
      <c r="QKK132" s="531" t="e">
        <f t="shared" si="189"/>
        <v>#DIV/0!</v>
      </c>
      <c r="QKL132" s="531" t="e">
        <f t="shared" si="189"/>
        <v>#DIV/0!</v>
      </c>
      <c r="QKM132" s="531" t="e">
        <f t="shared" si="189"/>
        <v>#DIV/0!</v>
      </c>
      <c r="QKN132" s="531" t="e">
        <f t="shared" si="189"/>
        <v>#DIV/0!</v>
      </c>
      <c r="QKO132" s="531" t="e">
        <f t="shared" si="189"/>
        <v>#DIV/0!</v>
      </c>
      <c r="QKP132" s="531" t="e">
        <f t="shared" si="189"/>
        <v>#DIV/0!</v>
      </c>
      <c r="QKQ132" s="531" t="e">
        <f t="shared" si="189"/>
        <v>#DIV/0!</v>
      </c>
      <c r="QKR132" s="531" t="e">
        <f t="shared" si="189"/>
        <v>#DIV/0!</v>
      </c>
      <c r="QKS132" s="531" t="e">
        <f t="shared" si="189"/>
        <v>#DIV/0!</v>
      </c>
      <c r="QKT132" s="531" t="e">
        <f t="shared" si="189"/>
        <v>#DIV/0!</v>
      </c>
      <c r="QKU132" s="531" t="e">
        <f t="shared" si="189"/>
        <v>#DIV/0!</v>
      </c>
      <c r="QKV132" s="531" t="e">
        <f t="shared" si="189"/>
        <v>#DIV/0!</v>
      </c>
      <c r="QKW132" s="531" t="e">
        <f t="shared" si="189"/>
        <v>#DIV/0!</v>
      </c>
      <c r="QKX132" s="531" t="e">
        <f t="shared" si="189"/>
        <v>#DIV/0!</v>
      </c>
      <c r="QKY132" s="531" t="e">
        <f t="shared" si="189"/>
        <v>#DIV/0!</v>
      </c>
      <c r="QKZ132" s="531" t="e">
        <f t="shared" si="189"/>
        <v>#DIV/0!</v>
      </c>
      <c r="QLA132" s="531" t="e">
        <f t="shared" si="189"/>
        <v>#DIV/0!</v>
      </c>
      <c r="QLB132" s="531" t="e">
        <f t="shared" si="189"/>
        <v>#DIV/0!</v>
      </c>
      <c r="QLC132" s="531" t="e">
        <f t="shared" si="189"/>
        <v>#DIV/0!</v>
      </c>
      <c r="QLD132" s="531" t="e">
        <f t="shared" si="189"/>
        <v>#DIV/0!</v>
      </c>
      <c r="QLE132" s="531" t="e">
        <f t="shared" si="189"/>
        <v>#DIV/0!</v>
      </c>
      <c r="QLF132" s="531" t="e">
        <f t="shared" si="189"/>
        <v>#DIV/0!</v>
      </c>
      <c r="QLG132" s="531" t="e">
        <f t="shared" si="189"/>
        <v>#DIV/0!</v>
      </c>
      <c r="QLH132" s="531" t="e">
        <f t="shared" si="189"/>
        <v>#DIV/0!</v>
      </c>
      <c r="QLI132" s="531" t="e">
        <f t="shared" si="189"/>
        <v>#DIV/0!</v>
      </c>
      <c r="QLJ132" s="531" t="e">
        <f t="shared" si="189"/>
        <v>#DIV/0!</v>
      </c>
      <c r="QLK132" s="531" t="e">
        <f t="shared" si="189"/>
        <v>#DIV/0!</v>
      </c>
      <c r="QLL132" s="531" t="e">
        <f t="shared" si="189"/>
        <v>#DIV/0!</v>
      </c>
      <c r="QLM132" s="531" t="e">
        <f t="shared" si="189"/>
        <v>#DIV/0!</v>
      </c>
      <c r="QLN132" s="531" t="e">
        <f t="shared" si="189"/>
        <v>#DIV/0!</v>
      </c>
      <c r="QLO132" s="531" t="e">
        <f t="shared" si="189"/>
        <v>#DIV/0!</v>
      </c>
      <c r="QLP132" s="531" t="e">
        <f t="shared" si="189"/>
        <v>#DIV/0!</v>
      </c>
      <c r="QLQ132" s="531" t="e">
        <f t="shared" si="189"/>
        <v>#DIV/0!</v>
      </c>
      <c r="QLR132" s="531" t="e">
        <f t="shared" si="189"/>
        <v>#DIV/0!</v>
      </c>
      <c r="QLS132" s="531" t="e">
        <f t="shared" si="189"/>
        <v>#DIV/0!</v>
      </c>
      <c r="QLT132" s="531" t="e">
        <f t="shared" si="189"/>
        <v>#DIV/0!</v>
      </c>
      <c r="QLU132" s="531" t="e">
        <f t="shared" si="189"/>
        <v>#DIV/0!</v>
      </c>
      <c r="QLV132" s="531" t="e">
        <f t="shared" si="189"/>
        <v>#DIV/0!</v>
      </c>
      <c r="QLW132" s="531" t="e">
        <f t="shared" si="189"/>
        <v>#DIV/0!</v>
      </c>
      <c r="QLX132" s="531" t="e">
        <f t="shared" si="189"/>
        <v>#DIV/0!</v>
      </c>
      <c r="QLY132" s="531" t="e">
        <f t="shared" si="189"/>
        <v>#DIV/0!</v>
      </c>
      <c r="QLZ132" s="531" t="e">
        <f t="shared" si="189"/>
        <v>#DIV/0!</v>
      </c>
      <c r="QMA132" s="531" t="e">
        <f t="shared" si="189"/>
        <v>#DIV/0!</v>
      </c>
      <c r="QMB132" s="531" t="e">
        <f t="shared" si="189"/>
        <v>#DIV/0!</v>
      </c>
      <c r="QMC132" s="531" t="e">
        <f t="shared" si="189"/>
        <v>#DIV/0!</v>
      </c>
      <c r="QMD132" s="531" t="e">
        <f t="shared" si="189"/>
        <v>#DIV/0!</v>
      </c>
      <c r="QME132" s="531" t="e">
        <f t="shared" si="189"/>
        <v>#DIV/0!</v>
      </c>
      <c r="QMF132" s="531" t="e">
        <f t="shared" si="189"/>
        <v>#DIV/0!</v>
      </c>
      <c r="QMG132" s="531" t="e">
        <f t="shared" si="189"/>
        <v>#DIV/0!</v>
      </c>
      <c r="QMH132" s="531" t="e">
        <f t="shared" si="189"/>
        <v>#DIV/0!</v>
      </c>
      <c r="QMI132" s="531" t="e">
        <f t="shared" si="189"/>
        <v>#DIV/0!</v>
      </c>
      <c r="QMJ132" s="531" t="e">
        <f t="shared" si="189"/>
        <v>#DIV/0!</v>
      </c>
      <c r="QMK132" s="531" t="e">
        <f t="shared" si="189"/>
        <v>#DIV/0!</v>
      </c>
      <c r="QML132" s="531" t="e">
        <f t="shared" si="189"/>
        <v>#DIV/0!</v>
      </c>
      <c r="QMM132" s="531" t="e">
        <f t="shared" si="189"/>
        <v>#DIV/0!</v>
      </c>
      <c r="QMN132" s="531" t="e">
        <f t="shared" si="189"/>
        <v>#DIV/0!</v>
      </c>
      <c r="QMO132" s="531" t="e">
        <f t="shared" si="189"/>
        <v>#DIV/0!</v>
      </c>
      <c r="QMP132" s="531" t="e">
        <f t="shared" si="189"/>
        <v>#DIV/0!</v>
      </c>
      <c r="QMQ132" s="531" t="e">
        <f t="shared" ref="QMQ132:QPB132" si="190">(QMQ128-QMQ116)/(QMQ52*10^5)</f>
        <v>#DIV/0!</v>
      </c>
      <c r="QMR132" s="531" t="e">
        <f t="shared" si="190"/>
        <v>#DIV/0!</v>
      </c>
      <c r="QMS132" s="531" t="e">
        <f t="shared" si="190"/>
        <v>#DIV/0!</v>
      </c>
      <c r="QMT132" s="531" t="e">
        <f t="shared" si="190"/>
        <v>#DIV/0!</v>
      </c>
      <c r="QMU132" s="531" t="e">
        <f t="shared" si="190"/>
        <v>#DIV/0!</v>
      </c>
      <c r="QMV132" s="531" t="e">
        <f t="shared" si="190"/>
        <v>#DIV/0!</v>
      </c>
      <c r="QMW132" s="531" t="e">
        <f t="shared" si="190"/>
        <v>#DIV/0!</v>
      </c>
      <c r="QMX132" s="531" t="e">
        <f t="shared" si="190"/>
        <v>#DIV/0!</v>
      </c>
      <c r="QMY132" s="531" t="e">
        <f t="shared" si="190"/>
        <v>#DIV/0!</v>
      </c>
      <c r="QMZ132" s="531" t="e">
        <f t="shared" si="190"/>
        <v>#DIV/0!</v>
      </c>
      <c r="QNA132" s="531" t="e">
        <f t="shared" si="190"/>
        <v>#DIV/0!</v>
      </c>
      <c r="QNB132" s="531" t="e">
        <f t="shared" si="190"/>
        <v>#DIV/0!</v>
      </c>
      <c r="QNC132" s="531" t="e">
        <f t="shared" si="190"/>
        <v>#DIV/0!</v>
      </c>
      <c r="QND132" s="531" t="e">
        <f t="shared" si="190"/>
        <v>#DIV/0!</v>
      </c>
      <c r="QNE132" s="531" t="e">
        <f t="shared" si="190"/>
        <v>#DIV/0!</v>
      </c>
      <c r="QNF132" s="531" t="e">
        <f t="shared" si="190"/>
        <v>#DIV/0!</v>
      </c>
      <c r="QNG132" s="531" t="e">
        <f t="shared" si="190"/>
        <v>#DIV/0!</v>
      </c>
      <c r="QNH132" s="531" t="e">
        <f t="shared" si="190"/>
        <v>#DIV/0!</v>
      </c>
      <c r="QNI132" s="531" t="e">
        <f t="shared" si="190"/>
        <v>#DIV/0!</v>
      </c>
      <c r="QNJ132" s="531" t="e">
        <f t="shared" si="190"/>
        <v>#DIV/0!</v>
      </c>
      <c r="QNK132" s="531" t="e">
        <f t="shared" si="190"/>
        <v>#DIV/0!</v>
      </c>
      <c r="QNL132" s="531" t="e">
        <f t="shared" si="190"/>
        <v>#DIV/0!</v>
      </c>
      <c r="QNM132" s="531" t="e">
        <f t="shared" si="190"/>
        <v>#DIV/0!</v>
      </c>
      <c r="QNN132" s="531" t="e">
        <f t="shared" si="190"/>
        <v>#DIV/0!</v>
      </c>
      <c r="QNO132" s="531" t="e">
        <f t="shared" si="190"/>
        <v>#DIV/0!</v>
      </c>
      <c r="QNP132" s="531" t="e">
        <f t="shared" si="190"/>
        <v>#DIV/0!</v>
      </c>
      <c r="QNQ132" s="531" t="e">
        <f t="shared" si="190"/>
        <v>#DIV/0!</v>
      </c>
      <c r="QNR132" s="531" t="e">
        <f t="shared" si="190"/>
        <v>#DIV/0!</v>
      </c>
      <c r="QNS132" s="531" t="e">
        <f t="shared" si="190"/>
        <v>#DIV/0!</v>
      </c>
      <c r="QNT132" s="531" t="e">
        <f t="shared" si="190"/>
        <v>#DIV/0!</v>
      </c>
      <c r="QNU132" s="531" t="e">
        <f t="shared" si="190"/>
        <v>#DIV/0!</v>
      </c>
      <c r="QNV132" s="531" t="e">
        <f t="shared" si="190"/>
        <v>#DIV/0!</v>
      </c>
      <c r="QNW132" s="531" t="e">
        <f t="shared" si="190"/>
        <v>#DIV/0!</v>
      </c>
      <c r="QNX132" s="531" t="e">
        <f t="shared" si="190"/>
        <v>#DIV/0!</v>
      </c>
      <c r="QNY132" s="531" t="e">
        <f t="shared" si="190"/>
        <v>#DIV/0!</v>
      </c>
      <c r="QNZ132" s="531" t="e">
        <f t="shared" si="190"/>
        <v>#DIV/0!</v>
      </c>
      <c r="QOA132" s="531" t="e">
        <f t="shared" si="190"/>
        <v>#DIV/0!</v>
      </c>
      <c r="QOB132" s="531" t="e">
        <f t="shared" si="190"/>
        <v>#DIV/0!</v>
      </c>
      <c r="QOC132" s="531" t="e">
        <f t="shared" si="190"/>
        <v>#DIV/0!</v>
      </c>
      <c r="QOD132" s="531" t="e">
        <f t="shared" si="190"/>
        <v>#DIV/0!</v>
      </c>
      <c r="QOE132" s="531" t="e">
        <f t="shared" si="190"/>
        <v>#DIV/0!</v>
      </c>
      <c r="QOF132" s="531" t="e">
        <f t="shared" si="190"/>
        <v>#DIV/0!</v>
      </c>
      <c r="QOG132" s="531" t="e">
        <f t="shared" si="190"/>
        <v>#DIV/0!</v>
      </c>
      <c r="QOH132" s="531" t="e">
        <f t="shared" si="190"/>
        <v>#DIV/0!</v>
      </c>
      <c r="QOI132" s="531" t="e">
        <f t="shared" si="190"/>
        <v>#DIV/0!</v>
      </c>
      <c r="QOJ132" s="531" t="e">
        <f t="shared" si="190"/>
        <v>#DIV/0!</v>
      </c>
      <c r="QOK132" s="531" t="e">
        <f t="shared" si="190"/>
        <v>#DIV/0!</v>
      </c>
      <c r="QOL132" s="531" t="e">
        <f t="shared" si="190"/>
        <v>#DIV/0!</v>
      </c>
      <c r="QOM132" s="531" t="e">
        <f t="shared" si="190"/>
        <v>#DIV/0!</v>
      </c>
      <c r="QON132" s="531" t="e">
        <f t="shared" si="190"/>
        <v>#DIV/0!</v>
      </c>
      <c r="QOO132" s="531" t="e">
        <f t="shared" si="190"/>
        <v>#DIV/0!</v>
      </c>
      <c r="QOP132" s="531" t="e">
        <f t="shared" si="190"/>
        <v>#DIV/0!</v>
      </c>
      <c r="QOQ132" s="531" t="e">
        <f t="shared" si="190"/>
        <v>#DIV/0!</v>
      </c>
      <c r="QOR132" s="531" t="e">
        <f t="shared" si="190"/>
        <v>#DIV/0!</v>
      </c>
      <c r="QOS132" s="531" t="e">
        <f t="shared" si="190"/>
        <v>#DIV/0!</v>
      </c>
      <c r="QOT132" s="531" t="e">
        <f t="shared" si="190"/>
        <v>#DIV/0!</v>
      </c>
      <c r="QOU132" s="531" t="e">
        <f t="shared" si="190"/>
        <v>#DIV/0!</v>
      </c>
      <c r="QOV132" s="531" t="e">
        <f t="shared" si="190"/>
        <v>#DIV/0!</v>
      </c>
      <c r="QOW132" s="531" t="e">
        <f t="shared" si="190"/>
        <v>#DIV/0!</v>
      </c>
      <c r="QOX132" s="531" t="e">
        <f t="shared" si="190"/>
        <v>#DIV/0!</v>
      </c>
      <c r="QOY132" s="531" t="e">
        <f t="shared" si="190"/>
        <v>#DIV/0!</v>
      </c>
      <c r="QOZ132" s="531" t="e">
        <f t="shared" si="190"/>
        <v>#DIV/0!</v>
      </c>
      <c r="QPA132" s="531" t="e">
        <f t="shared" si="190"/>
        <v>#DIV/0!</v>
      </c>
      <c r="QPB132" s="531" t="e">
        <f t="shared" si="190"/>
        <v>#DIV/0!</v>
      </c>
      <c r="QPC132" s="531" t="e">
        <f t="shared" ref="QPC132:QRN132" si="191">(QPC128-QPC116)/(QPC52*10^5)</f>
        <v>#DIV/0!</v>
      </c>
      <c r="QPD132" s="531" t="e">
        <f t="shared" si="191"/>
        <v>#DIV/0!</v>
      </c>
      <c r="QPE132" s="531" t="e">
        <f t="shared" si="191"/>
        <v>#DIV/0!</v>
      </c>
      <c r="QPF132" s="531" t="e">
        <f t="shared" si="191"/>
        <v>#DIV/0!</v>
      </c>
      <c r="QPG132" s="531" t="e">
        <f t="shared" si="191"/>
        <v>#DIV/0!</v>
      </c>
      <c r="QPH132" s="531" t="e">
        <f t="shared" si="191"/>
        <v>#DIV/0!</v>
      </c>
      <c r="QPI132" s="531" t="e">
        <f t="shared" si="191"/>
        <v>#DIV/0!</v>
      </c>
      <c r="QPJ132" s="531" t="e">
        <f t="shared" si="191"/>
        <v>#DIV/0!</v>
      </c>
      <c r="QPK132" s="531" t="e">
        <f t="shared" si="191"/>
        <v>#DIV/0!</v>
      </c>
      <c r="QPL132" s="531" t="e">
        <f t="shared" si="191"/>
        <v>#DIV/0!</v>
      </c>
      <c r="QPM132" s="531" t="e">
        <f t="shared" si="191"/>
        <v>#DIV/0!</v>
      </c>
      <c r="QPN132" s="531" t="e">
        <f t="shared" si="191"/>
        <v>#DIV/0!</v>
      </c>
      <c r="QPO132" s="531" t="e">
        <f t="shared" si="191"/>
        <v>#DIV/0!</v>
      </c>
      <c r="QPP132" s="531" t="e">
        <f t="shared" si="191"/>
        <v>#DIV/0!</v>
      </c>
      <c r="QPQ132" s="531" t="e">
        <f t="shared" si="191"/>
        <v>#DIV/0!</v>
      </c>
      <c r="QPR132" s="531" t="e">
        <f t="shared" si="191"/>
        <v>#DIV/0!</v>
      </c>
      <c r="QPS132" s="531" t="e">
        <f t="shared" si="191"/>
        <v>#DIV/0!</v>
      </c>
      <c r="QPT132" s="531" t="e">
        <f t="shared" si="191"/>
        <v>#DIV/0!</v>
      </c>
      <c r="QPU132" s="531" t="e">
        <f t="shared" si="191"/>
        <v>#DIV/0!</v>
      </c>
      <c r="QPV132" s="531" t="e">
        <f t="shared" si="191"/>
        <v>#DIV/0!</v>
      </c>
      <c r="QPW132" s="531" t="e">
        <f t="shared" si="191"/>
        <v>#DIV/0!</v>
      </c>
      <c r="QPX132" s="531" t="e">
        <f t="shared" si="191"/>
        <v>#DIV/0!</v>
      </c>
      <c r="QPY132" s="531" t="e">
        <f t="shared" si="191"/>
        <v>#DIV/0!</v>
      </c>
      <c r="QPZ132" s="531" t="e">
        <f t="shared" si="191"/>
        <v>#DIV/0!</v>
      </c>
      <c r="QQA132" s="531" t="e">
        <f t="shared" si="191"/>
        <v>#DIV/0!</v>
      </c>
      <c r="QQB132" s="531" t="e">
        <f t="shared" si="191"/>
        <v>#DIV/0!</v>
      </c>
      <c r="QQC132" s="531" t="e">
        <f t="shared" si="191"/>
        <v>#DIV/0!</v>
      </c>
      <c r="QQD132" s="531" t="e">
        <f t="shared" si="191"/>
        <v>#DIV/0!</v>
      </c>
      <c r="QQE132" s="531" t="e">
        <f t="shared" si="191"/>
        <v>#DIV/0!</v>
      </c>
      <c r="QQF132" s="531" t="e">
        <f t="shared" si="191"/>
        <v>#DIV/0!</v>
      </c>
      <c r="QQG132" s="531" t="e">
        <f t="shared" si="191"/>
        <v>#DIV/0!</v>
      </c>
      <c r="QQH132" s="531" t="e">
        <f t="shared" si="191"/>
        <v>#DIV/0!</v>
      </c>
      <c r="QQI132" s="531" t="e">
        <f t="shared" si="191"/>
        <v>#DIV/0!</v>
      </c>
      <c r="QQJ132" s="531" t="e">
        <f t="shared" si="191"/>
        <v>#DIV/0!</v>
      </c>
      <c r="QQK132" s="531" t="e">
        <f t="shared" si="191"/>
        <v>#DIV/0!</v>
      </c>
      <c r="QQL132" s="531" t="e">
        <f t="shared" si="191"/>
        <v>#DIV/0!</v>
      </c>
      <c r="QQM132" s="531" t="e">
        <f t="shared" si="191"/>
        <v>#DIV/0!</v>
      </c>
      <c r="QQN132" s="531" t="e">
        <f t="shared" si="191"/>
        <v>#DIV/0!</v>
      </c>
      <c r="QQO132" s="531" t="e">
        <f t="shared" si="191"/>
        <v>#DIV/0!</v>
      </c>
      <c r="QQP132" s="531" t="e">
        <f t="shared" si="191"/>
        <v>#DIV/0!</v>
      </c>
      <c r="QQQ132" s="531" t="e">
        <f t="shared" si="191"/>
        <v>#DIV/0!</v>
      </c>
      <c r="QQR132" s="531" t="e">
        <f t="shared" si="191"/>
        <v>#DIV/0!</v>
      </c>
      <c r="QQS132" s="531" t="e">
        <f t="shared" si="191"/>
        <v>#DIV/0!</v>
      </c>
      <c r="QQT132" s="531" t="e">
        <f t="shared" si="191"/>
        <v>#DIV/0!</v>
      </c>
      <c r="QQU132" s="531" t="e">
        <f t="shared" si="191"/>
        <v>#DIV/0!</v>
      </c>
      <c r="QQV132" s="531" t="e">
        <f t="shared" si="191"/>
        <v>#DIV/0!</v>
      </c>
      <c r="QQW132" s="531" t="e">
        <f t="shared" si="191"/>
        <v>#DIV/0!</v>
      </c>
      <c r="QQX132" s="531" t="e">
        <f t="shared" si="191"/>
        <v>#DIV/0!</v>
      </c>
      <c r="QQY132" s="531" t="e">
        <f t="shared" si="191"/>
        <v>#DIV/0!</v>
      </c>
      <c r="QQZ132" s="531" t="e">
        <f t="shared" si="191"/>
        <v>#DIV/0!</v>
      </c>
      <c r="QRA132" s="531" t="e">
        <f t="shared" si="191"/>
        <v>#DIV/0!</v>
      </c>
      <c r="QRB132" s="531" t="e">
        <f t="shared" si="191"/>
        <v>#DIV/0!</v>
      </c>
      <c r="QRC132" s="531" t="e">
        <f t="shared" si="191"/>
        <v>#DIV/0!</v>
      </c>
      <c r="QRD132" s="531" t="e">
        <f t="shared" si="191"/>
        <v>#DIV/0!</v>
      </c>
      <c r="QRE132" s="531" t="e">
        <f t="shared" si="191"/>
        <v>#DIV/0!</v>
      </c>
      <c r="QRF132" s="531" t="e">
        <f t="shared" si="191"/>
        <v>#DIV/0!</v>
      </c>
      <c r="QRG132" s="531" t="e">
        <f t="shared" si="191"/>
        <v>#DIV/0!</v>
      </c>
      <c r="QRH132" s="531" t="e">
        <f t="shared" si="191"/>
        <v>#DIV/0!</v>
      </c>
      <c r="QRI132" s="531" t="e">
        <f t="shared" si="191"/>
        <v>#DIV/0!</v>
      </c>
      <c r="QRJ132" s="531" t="e">
        <f t="shared" si="191"/>
        <v>#DIV/0!</v>
      </c>
      <c r="QRK132" s="531" t="e">
        <f t="shared" si="191"/>
        <v>#DIV/0!</v>
      </c>
      <c r="QRL132" s="531" t="e">
        <f t="shared" si="191"/>
        <v>#DIV/0!</v>
      </c>
      <c r="QRM132" s="531" t="e">
        <f t="shared" si="191"/>
        <v>#DIV/0!</v>
      </c>
      <c r="QRN132" s="531" t="e">
        <f t="shared" si="191"/>
        <v>#DIV/0!</v>
      </c>
      <c r="QRO132" s="531" t="e">
        <f t="shared" ref="QRO132:QTZ132" si="192">(QRO128-QRO116)/(QRO52*10^5)</f>
        <v>#DIV/0!</v>
      </c>
      <c r="QRP132" s="531" t="e">
        <f t="shared" si="192"/>
        <v>#DIV/0!</v>
      </c>
      <c r="QRQ132" s="531" t="e">
        <f t="shared" si="192"/>
        <v>#DIV/0!</v>
      </c>
      <c r="QRR132" s="531" t="e">
        <f t="shared" si="192"/>
        <v>#DIV/0!</v>
      </c>
      <c r="QRS132" s="531" t="e">
        <f t="shared" si="192"/>
        <v>#DIV/0!</v>
      </c>
      <c r="QRT132" s="531" t="e">
        <f t="shared" si="192"/>
        <v>#DIV/0!</v>
      </c>
      <c r="QRU132" s="531" t="e">
        <f t="shared" si="192"/>
        <v>#DIV/0!</v>
      </c>
      <c r="QRV132" s="531" t="e">
        <f t="shared" si="192"/>
        <v>#DIV/0!</v>
      </c>
      <c r="QRW132" s="531" t="e">
        <f t="shared" si="192"/>
        <v>#DIV/0!</v>
      </c>
      <c r="QRX132" s="531" t="e">
        <f t="shared" si="192"/>
        <v>#DIV/0!</v>
      </c>
      <c r="QRY132" s="531" t="e">
        <f t="shared" si="192"/>
        <v>#DIV/0!</v>
      </c>
      <c r="QRZ132" s="531" t="e">
        <f t="shared" si="192"/>
        <v>#DIV/0!</v>
      </c>
      <c r="QSA132" s="531" t="e">
        <f t="shared" si="192"/>
        <v>#DIV/0!</v>
      </c>
      <c r="QSB132" s="531" t="e">
        <f t="shared" si="192"/>
        <v>#DIV/0!</v>
      </c>
      <c r="QSC132" s="531" t="e">
        <f t="shared" si="192"/>
        <v>#DIV/0!</v>
      </c>
      <c r="QSD132" s="531" t="e">
        <f t="shared" si="192"/>
        <v>#DIV/0!</v>
      </c>
      <c r="QSE132" s="531" t="e">
        <f t="shared" si="192"/>
        <v>#DIV/0!</v>
      </c>
      <c r="QSF132" s="531" t="e">
        <f t="shared" si="192"/>
        <v>#DIV/0!</v>
      </c>
      <c r="QSG132" s="531" t="e">
        <f t="shared" si="192"/>
        <v>#DIV/0!</v>
      </c>
      <c r="QSH132" s="531" t="e">
        <f t="shared" si="192"/>
        <v>#DIV/0!</v>
      </c>
      <c r="QSI132" s="531" t="e">
        <f t="shared" si="192"/>
        <v>#DIV/0!</v>
      </c>
      <c r="QSJ132" s="531" t="e">
        <f t="shared" si="192"/>
        <v>#DIV/0!</v>
      </c>
      <c r="QSK132" s="531" t="e">
        <f t="shared" si="192"/>
        <v>#DIV/0!</v>
      </c>
      <c r="QSL132" s="531" t="e">
        <f t="shared" si="192"/>
        <v>#DIV/0!</v>
      </c>
      <c r="QSM132" s="531" t="e">
        <f t="shared" si="192"/>
        <v>#DIV/0!</v>
      </c>
      <c r="QSN132" s="531" t="e">
        <f t="shared" si="192"/>
        <v>#DIV/0!</v>
      </c>
      <c r="QSO132" s="531" t="e">
        <f t="shared" si="192"/>
        <v>#DIV/0!</v>
      </c>
      <c r="QSP132" s="531" t="e">
        <f t="shared" si="192"/>
        <v>#DIV/0!</v>
      </c>
      <c r="QSQ132" s="531" t="e">
        <f t="shared" si="192"/>
        <v>#DIV/0!</v>
      </c>
      <c r="QSR132" s="531" t="e">
        <f t="shared" si="192"/>
        <v>#DIV/0!</v>
      </c>
      <c r="QSS132" s="531" t="e">
        <f t="shared" si="192"/>
        <v>#DIV/0!</v>
      </c>
      <c r="QST132" s="531" t="e">
        <f t="shared" si="192"/>
        <v>#DIV/0!</v>
      </c>
      <c r="QSU132" s="531" t="e">
        <f t="shared" si="192"/>
        <v>#DIV/0!</v>
      </c>
      <c r="QSV132" s="531" t="e">
        <f t="shared" si="192"/>
        <v>#DIV/0!</v>
      </c>
      <c r="QSW132" s="531" t="e">
        <f t="shared" si="192"/>
        <v>#DIV/0!</v>
      </c>
      <c r="QSX132" s="531" t="e">
        <f t="shared" si="192"/>
        <v>#DIV/0!</v>
      </c>
      <c r="QSY132" s="531" t="e">
        <f t="shared" si="192"/>
        <v>#DIV/0!</v>
      </c>
      <c r="QSZ132" s="531" t="e">
        <f t="shared" si="192"/>
        <v>#DIV/0!</v>
      </c>
      <c r="QTA132" s="531" t="e">
        <f t="shared" si="192"/>
        <v>#DIV/0!</v>
      </c>
      <c r="QTB132" s="531" t="e">
        <f t="shared" si="192"/>
        <v>#DIV/0!</v>
      </c>
      <c r="QTC132" s="531" t="e">
        <f t="shared" si="192"/>
        <v>#DIV/0!</v>
      </c>
      <c r="QTD132" s="531" t="e">
        <f t="shared" si="192"/>
        <v>#DIV/0!</v>
      </c>
      <c r="QTE132" s="531" t="e">
        <f t="shared" si="192"/>
        <v>#DIV/0!</v>
      </c>
      <c r="QTF132" s="531" t="e">
        <f t="shared" si="192"/>
        <v>#DIV/0!</v>
      </c>
      <c r="QTG132" s="531" t="e">
        <f t="shared" si="192"/>
        <v>#DIV/0!</v>
      </c>
      <c r="QTH132" s="531" t="e">
        <f t="shared" si="192"/>
        <v>#DIV/0!</v>
      </c>
      <c r="QTI132" s="531" t="e">
        <f t="shared" si="192"/>
        <v>#DIV/0!</v>
      </c>
      <c r="QTJ132" s="531" t="e">
        <f t="shared" si="192"/>
        <v>#DIV/0!</v>
      </c>
      <c r="QTK132" s="531" t="e">
        <f t="shared" si="192"/>
        <v>#DIV/0!</v>
      </c>
      <c r="QTL132" s="531" t="e">
        <f t="shared" si="192"/>
        <v>#DIV/0!</v>
      </c>
      <c r="QTM132" s="531" t="e">
        <f t="shared" si="192"/>
        <v>#DIV/0!</v>
      </c>
      <c r="QTN132" s="531" t="e">
        <f t="shared" si="192"/>
        <v>#DIV/0!</v>
      </c>
      <c r="QTO132" s="531" t="e">
        <f t="shared" si="192"/>
        <v>#DIV/0!</v>
      </c>
      <c r="QTP132" s="531" t="e">
        <f t="shared" si="192"/>
        <v>#DIV/0!</v>
      </c>
      <c r="QTQ132" s="531" t="e">
        <f t="shared" si="192"/>
        <v>#DIV/0!</v>
      </c>
      <c r="QTR132" s="531" t="e">
        <f t="shared" si="192"/>
        <v>#DIV/0!</v>
      </c>
      <c r="QTS132" s="531" t="e">
        <f t="shared" si="192"/>
        <v>#DIV/0!</v>
      </c>
      <c r="QTT132" s="531" t="e">
        <f t="shared" si="192"/>
        <v>#DIV/0!</v>
      </c>
      <c r="QTU132" s="531" t="e">
        <f t="shared" si="192"/>
        <v>#DIV/0!</v>
      </c>
      <c r="QTV132" s="531" t="e">
        <f t="shared" si="192"/>
        <v>#DIV/0!</v>
      </c>
      <c r="QTW132" s="531" t="e">
        <f t="shared" si="192"/>
        <v>#DIV/0!</v>
      </c>
      <c r="QTX132" s="531" t="e">
        <f t="shared" si="192"/>
        <v>#DIV/0!</v>
      </c>
      <c r="QTY132" s="531" t="e">
        <f t="shared" si="192"/>
        <v>#DIV/0!</v>
      </c>
      <c r="QTZ132" s="531" t="e">
        <f t="shared" si="192"/>
        <v>#DIV/0!</v>
      </c>
      <c r="QUA132" s="531" t="e">
        <f t="shared" ref="QUA132:QWL132" si="193">(QUA128-QUA116)/(QUA52*10^5)</f>
        <v>#DIV/0!</v>
      </c>
      <c r="QUB132" s="531" t="e">
        <f t="shared" si="193"/>
        <v>#DIV/0!</v>
      </c>
      <c r="QUC132" s="531" t="e">
        <f t="shared" si="193"/>
        <v>#DIV/0!</v>
      </c>
      <c r="QUD132" s="531" t="e">
        <f t="shared" si="193"/>
        <v>#DIV/0!</v>
      </c>
      <c r="QUE132" s="531" t="e">
        <f t="shared" si="193"/>
        <v>#DIV/0!</v>
      </c>
      <c r="QUF132" s="531" t="e">
        <f t="shared" si="193"/>
        <v>#DIV/0!</v>
      </c>
      <c r="QUG132" s="531" t="e">
        <f t="shared" si="193"/>
        <v>#DIV/0!</v>
      </c>
      <c r="QUH132" s="531" t="e">
        <f t="shared" si="193"/>
        <v>#DIV/0!</v>
      </c>
      <c r="QUI132" s="531" t="e">
        <f t="shared" si="193"/>
        <v>#DIV/0!</v>
      </c>
      <c r="QUJ132" s="531" t="e">
        <f t="shared" si="193"/>
        <v>#DIV/0!</v>
      </c>
      <c r="QUK132" s="531" t="e">
        <f t="shared" si="193"/>
        <v>#DIV/0!</v>
      </c>
      <c r="QUL132" s="531" t="e">
        <f t="shared" si="193"/>
        <v>#DIV/0!</v>
      </c>
      <c r="QUM132" s="531" t="e">
        <f t="shared" si="193"/>
        <v>#DIV/0!</v>
      </c>
      <c r="QUN132" s="531" t="e">
        <f t="shared" si="193"/>
        <v>#DIV/0!</v>
      </c>
      <c r="QUO132" s="531" t="e">
        <f t="shared" si="193"/>
        <v>#DIV/0!</v>
      </c>
      <c r="QUP132" s="531" t="e">
        <f t="shared" si="193"/>
        <v>#DIV/0!</v>
      </c>
      <c r="QUQ132" s="531" t="e">
        <f t="shared" si="193"/>
        <v>#DIV/0!</v>
      </c>
      <c r="QUR132" s="531" t="e">
        <f t="shared" si="193"/>
        <v>#DIV/0!</v>
      </c>
      <c r="QUS132" s="531" t="e">
        <f t="shared" si="193"/>
        <v>#DIV/0!</v>
      </c>
      <c r="QUT132" s="531" t="e">
        <f t="shared" si="193"/>
        <v>#DIV/0!</v>
      </c>
      <c r="QUU132" s="531" t="e">
        <f t="shared" si="193"/>
        <v>#DIV/0!</v>
      </c>
      <c r="QUV132" s="531" t="e">
        <f t="shared" si="193"/>
        <v>#DIV/0!</v>
      </c>
      <c r="QUW132" s="531" t="e">
        <f t="shared" si="193"/>
        <v>#DIV/0!</v>
      </c>
      <c r="QUX132" s="531" t="e">
        <f t="shared" si="193"/>
        <v>#DIV/0!</v>
      </c>
      <c r="QUY132" s="531" t="e">
        <f t="shared" si="193"/>
        <v>#DIV/0!</v>
      </c>
      <c r="QUZ132" s="531" t="e">
        <f t="shared" si="193"/>
        <v>#DIV/0!</v>
      </c>
      <c r="QVA132" s="531" t="e">
        <f t="shared" si="193"/>
        <v>#DIV/0!</v>
      </c>
      <c r="QVB132" s="531" t="e">
        <f t="shared" si="193"/>
        <v>#DIV/0!</v>
      </c>
      <c r="QVC132" s="531" t="e">
        <f t="shared" si="193"/>
        <v>#DIV/0!</v>
      </c>
      <c r="QVD132" s="531" t="e">
        <f t="shared" si="193"/>
        <v>#DIV/0!</v>
      </c>
      <c r="QVE132" s="531" t="e">
        <f t="shared" si="193"/>
        <v>#DIV/0!</v>
      </c>
      <c r="QVF132" s="531" t="e">
        <f t="shared" si="193"/>
        <v>#DIV/0!</v>
      </c>
      <c r="QVG132" s="531" t="e">
        <f t="shared" si="193"/>
        <v>#DIV/0!</v>
      </c>
      <c r="QVH132" s="531" t="e">
        <f t="shared" si="193"/>
        <v>#DIV/0!</v>
      </c>
      <c r="QVI132" s="531" t="e">
        <f t="shared" si="193"/>
        <v>#DIV/0!</v>
      </c>
      <c r="QVJ132" s="531" t="e">
        <f t="shared" si="193"/>
        <v>#DIV/0!</v>
      </c>
      <c r="QVK132" s="531" t="e">
        <f t="shared" si="193"/>
        <v>#DIV/0!</v>
      </c>
      <c r="QVL132" s="531" t="e">
        <f t="shared" si="193"/>
        <v>#DIV/0!</v>
      </c>
      <c r="QVM132" s="531" t="e">
        <f t="shared" si="193"/>
        <v>#DIV/0!</v>
      </c>
      <c r="QVN132" s="531" t="e">
        <f t="shared" si="193"/>
        <v>#DIV/0!</v>
      </c>
      <c r="QVO132" s="531" t="e">
        <f t="shared" si="193"/>
        <v>#DIV/0!</v>
      </c>
      <c r="QVP132" s="531" t="e">
        <f t="shared" si="193"/>
        <v>#DIV/0!</v>
      </c>
      <c r="QVQ132" s="531" t="e">
        <f t="shared" si="193"/>
        <v>#DIV/0!</v>
      </c>
      <c r="QVR132" s="531" t="e">
        <f t="shared" si="193"/>
        <v>#DIV/0!</v>
      </c>
      <c r="QVS132" s="531" t="e">
        <f t="shared" si="193"/>
        <v>#DIV/0!</v>
      </c>
      <c r="QVT132" s="531" t="e">
        <f t="shared" si="193"/>
        <v>#DIV/0!</v>
      </c>
      <c r="QVU132" s="531" t="e">
        <f t="shared" si="193"/>
        <v>#DIV/0!</v>
      </c>
      <c r="QVV132" s="531" t="e">
        <f t="shared" si="193"/>
        <v>#DIV/0!</v>
      </c>
      <c r="QVW132" s="531" t="e">
        <f t="shared" si="193"/>
        <v>#DIV/0!</v>
      </c>
      <c r="QVX132" s="531" t="e">
        <f t="shared" si="193"/>
        <v>#DIV/0!</v>
      </c>
      <c r="QVY132" s="531" t="e">
        <f t="shared" si="193"/>
        <v>#DIV/0!</v>
      </c>
      <c r="QVZ132" s="531" t="e">
        <f t="shared" si="193"/>
        <v>#DIV/0!</v>
      </c>
      <c r="QWA132" s="531" t="e">
        <f t="shared" si="193"/>
        <v>#DIV/0!</v>
      </c>
      <c r="QWB132" s="531" t="e">
        <f t="shared" si="193"/>
        <v>#DIV/0!</v>
      </c>
      <c r="QWC132" s="531" t="e">
        <f t="shared" si="193"/>
        <v>#DIV/0!</v>
      </c>
      <c r="QWD132" s="531" t="e">
        <f t="shared" si="193"/>
        <v>#DIV/0!</v>
      </c>
      <c r="QWE132" s="531" t="e">
        <f t="shared" si="193"/>
        <v>#DIV/0!</v>
      </c>
      <c r="QWF132" s="531" t="e">
        <f t="shared" si="193"/>
        <v>#DIV/0!</v>
      </c>
      <c r="QWG132" s="531" t="e">
        <f t="shared" si="193"/>
        <v>#DIV/0!</v>
      </c>
      <c r="QWH132" s="531" t="e">
        <f t="shared" si="193"/>
        <v>#DIV/0!</v>
      </c>
      <c r="QWI132" s="531" t="e">
        <f t="shared" si="193"/>
        <v>#DIV/0!</v>
      </c>
      <c r="QWJ132" s="531" t="e">
        <f t="shared" si="193"/>
        <v>#DIV/0!</v>
      </c>
      <c r="QWK132" s="531" t="e">
        <f t="shared" si="193"/>
        <v>#DIV/0!</v>
      </c>
      <c r="QWL132" s="531" t="e">
        <f t="shared" si="193"/>
        <v>#DIV/0!</v>
      </c>
      <c r="QWM132" s="531" t="e">
        <f t="shared" ref="QWM132:QYX132" si="194">(QWM128-QWM116)/(QWM52*10^5)</f>
        <v>#DIV/0!</v>
      </c>
      <c r="QWN132" s="531" t="e">
        <f t="shared" si="194"/>
        <v>#DIV/0!</v>
      </c>
      <c r="QWO132" s="531" t="e">
        <f t="shared" si="194"/>
        <v>#DIV/0!</v>
      </c>
      <c r="QWP132" s="531" t="e">
        <f t="shared" si="194"/>
        <v>#DIV/0!</v>
      </c>
      <c r="QWQ132" s="531" t="e">
        <f t="shared" si="194"/>
        <v>#DIV/0!</v>
      </c>
      <c r="QWR132" s="531" t="e">
        <f t="shared" si="194"/>
        <v>#DIV/0!</v>
      </c>
      <c r="QWS132" s="531" t="e">
        <f t="shared" si="194"/>
        <v>#DIV/0!</v>
      </c>
      <c r="QWT132" s="531" t="e">
        <f t="shared" si="194"/>
        <v>#DIV/0!</v>
      </c>
      <c r="QWU132" s="531" t="e">
        <f t="shared" si="194"/>
        <v>#DIV/0!</v>
      </c>
      <c r="QWV132" s="531" t="e">
        <f t="shared" si="194"/>
        <v>#DIV/0!</v>
      </c>
      <c r="QWW132" s="531" t="e">
        <f t="shared" si="194"/>
        <v>#DIV/0!</v>
      </c>
      <c r="QWX132" s="531" t="e">
        <f t="shared" si="194"/>
        <v>#DIV/0!</v>
      </c>
      <c r="QWY132" s="531" t="e">
        <f t="shared" si="194"/>
        <v>#DIV/0!</v>
      </c>
      <c r="QWZ132" s="531" t="e">
        <f t="shared" si="194"/>
        <v>#DIV/0!</v>
      </c>
      <c r="QXA132" s="531" t="e">
        <f t="shared" si="194"/>
        <v>#DIV/0!</v>
      </c>
      <c r="QXB132" s="531" t="e">
        <f t="shared" si="194"/>
        <v>#DIV/0!</v>
      </c>
      <c r="QXC132" s="531" t="e">
        <f t="shared" si="194"/>
        <v>#DIV/0!</v>
      </c>
      <c r="QXD132" s="531" t="e">
        <f t="shared" si="194"/>
        <v>#DIV/0!</v>
      </c>
      <c r="QXE132" s="531" t="e">
        <f t="shared" si="194"/>
        <v>#DIV/0!</v>
      </c>
      <c r="QXF132" s="531" t="e">
        <f t="shared" si="194"/>
        <v>#DIV/0!</v>
      </c>
      <c r="QXG132" s="531" t="e">
        <f t="shared" si="194"/>
        <v>#DIV/0!</v>
      </c>
      <c r="QXH132" s="531" t="e">
        <f t="shared" si="194"/>
        <v>#DIV/0!</v>
      </c>
      <c r="QXI132" s="531" t="e">
        <f t="shared" si="194"/>
        <v>#DIV/0!</v>
      </c>
      <c r="QXJ132" s="531" t="e">
        <f t="shared" si="194"/>
        <v>#DIV/0!</v>
      </c>
      <c r="QXK132" s="531" t="e">
        <f t="shared" si="194"/>
        <v>#DIV/0!</v>
      </c>
      <c r="QXL132" s="531" t="e">
        <f t="shared" si="194"/>
        <v>#DIV/0!</v>
      </c>
      <c r="QXM132" s="531" t="e">
        <f t="shared" si="194"/>
        <v>#DIV/0!</v>
      </c>
      <c r="QXN132" s="531" t="e">
        <f t="shared" si="194"/>
        <v>#DIV/0!</v>
      </c>
      <c r="QXO132" s="531" t="e">
        <f t="shared" si="194"/>
        <v>#DIV/0!</v>
      </c>
      <c r="QXP132" s="531" t="e">
        <f t="shared" si="194"/>
        <v>#DIV/0!</v>
      </c>
      <c r="QXQ132" s="531" t="e">
        <f t="shared" si="194"/>
        <v>#DIV/0!</v>
      </c>
      <c r="QXR132" s="531" t="e">
        <f t="shared" si="194"/>
        <v>#DIV/0!</v>
      </c>
      <c r="QXS132" s="531" t="e">
        <f t="shared" si="194"/>
        <v>#DIV/0!</v>
      </c>
      <c r="QXT132" s="531" t="e">
        <f t="shared" si="194"/>
        <v>#DIV/0!</v>
      </c>
      <c r="QXU132" s="531" t="e">
        <f t="shared" si="194"/>
        <v>#DIV/0!</v>
      </c>
      <c r="QXV132" s="531" t="e">
        <f t="shared" si="194"/>
        <v>#DIV/0!</v>
      </c>
      <c r="QXW132" s="531" t="e">
        <f t="shared" si="194"/>
        <v>#DIV/0!</v>
      </c>
      <c r="QXX132" s="531" t="e">
        <f t="shared" si="194"/>
        <v>#DIV/0!</v>
      </c>
      <c r="QXY132" s="531" t="e">
        <f t="shared" si="194"/>
        <v>#DIV/0!</v>
      </c>
      <c r="QXZ132" s="531" t="e">
        <f t="shared" si="194"/>
        <v>#DIV/0!</v>
      </c>
      <c r="QYA132" s="531" t="e">
        <f t="shared" si="194"/>
        <v>#DIV/0!</v>
      </c>
      <c r="QYB132" s="531" t="e">
        <f t="shared" si="194"/>
        <v>#DIV/0!</v>
      </c>
      <c r="QYC132" s="531" t="e">
        <f t="shared" si="194"/>
        <v>#DIV/0!</v>
      </c>
      <c r="QYD132" s="531" t="e">
        <f t="shared" si="194"/>
        <v>#DIV/0!</v>
      </c>
      <c r="QYE132" s="531" t="e">
        <f t="shared" si="194"/>
        <v>#DIV/0!</v>
      </c>
      <c r="QYF132" s="531" t="e">
        <f t="shared" si="194"/>
        <v>#DIV/0!</v>
      </c>
      <c r="QYG132" s="531" t="e">
        <f t="shared" si="194"/>
        <v>#DIV/0!</v>
      </c>
      <c r="QYH132" s="531" t="e">
        <f t="shared" si="194"/>
        <v>#DIV/0!</v>
      </c>
      <c r="QYI132" s="531" t="e">
        <f t="shared" si="194"/>
        <v>#DIV/0!</v>
      </c>
      <c r="QYJ132" s="531" t="e">
        <f t="shared" si="194"/>
        <v>#DIV/0!</v>
      </c>
      <c r="QYK132" s="531" t="e">
        <f t="shared" si="194"/>
        <v>#DIV/0!</v>
      </c>
      <c r="QYL132" s="531" t="e">
        <f t="shared" si="194"/>
        <v>#DIV/0!</v>
      </c>
      <c r="QYM132" s="531" t="e">
        <f t="shared" si="194"/>
        <v>#DIV/0!</v>
      </c>
      <c r="QYN132" s="531" t="e">
        <f t="shared" si="194"/>
        <v>#DIV/0!</v>
      </c>
      <c r="QYO132" s="531" t="e">
        <f t="shared" si="194"/>
        <v>#DIV/0!</v>
      </c>
      <c r="QYP132" s="531" t="e">
        <f t="shared" si="194"/>
        <v>#DIV/0!</v>
      </c>
      <c r="QYQ132" s="531" t="e">
        <f t="shared" si="194"/>
        <v>#DIV/0!</v>
      </c>
      <c r="QYR132" s="531" t="e">
        <f t="shared" si="194"/>
        <v>#DIV/0!</v>
      </c>
      <c r="QYS132" s="531" t="e">
        <f t="shared" si="194"/>
        <v>#DIV/0!</v>
      </c>
      <c r="QYT132" s="531" t="e">
        <f t="shared" si="194"/>
        <v>#DIV/0!</v>
      </c>
      <c r="QYU132" s="531" t="e">
        <f t="shared" si="194"/>
        <v>#DIV/0!</v>
      </c>
      <c r="QYV132" s="531" t="e">
        <f t="shared" si="194"/>
        <v>#DIV/0!</v>
      </c>
      <c r="QYW132" s="531" t="e">
        <f t="shared" si="194"/>
        <v>#DIV/0!</v>
      </c>
      <c r="QYX132" s="531" t="e">
        <f t="shared" si="194"/>
        <v>#DIV/0!</v>
      </c>
      <c r="QYY132" s="531" t="e">
        <f t="shared" ref="QYY132:RBJ132" si="195">(QYY128-QYY116)/(QYY52*10^5)</f>
        <v>#DIV/0!</v>
      </c>
      <c r="QYZ132" s="531" t="e">
        <f t="shared" si="195"/>
        <v>#DIV/0!</v>
      </c>
      <c r="QZA132" s="531" t="e">
        <f t="shared" si="195"/>
        <v>#DIV/0!</v>
      </c>
      <c r="QZB132" s="531" t="e">
        <f t="shared" si="195"/>
        <v>#DIV/0!</v>
      </c>
      <c r="QZC132" s="531" t="e">
        <f t="shared" si="195"/>
        <v>#DIV/0!</v>
      </c>
      <c r="QZD132" s="531" t="e">
        <f t="shared" si="195"/>
        <v>#DIV/0!</v>
      </c>
      <c r="QZE132" s="531" t="e">
        <f t="shared" si="195"/>
        <v>#DIV/0!</v>
      </c>
      <c r="QZF132" s="531" t="e">
        <f t="shared" si="195"/>
        <v>#DIV/0!</v>
      </c>
      <c r="QZG132" s="531" t="e">
        <f t="shared" si="195"/>
        <v>#DIV/0!</v>
      </c>
      <c r="QZH132" s="531" t="e">
        <f t="shared" si="195"/>
        <v>#DIV/0!</v>
      </c>
      <c r="QZI132" s="531" t="e">
        <f t="shared" si="195"/>
        <v>#DIV/0!</v>
      </c>
      <c r="QZJ132" s="531" t="e">
        <f t="shared" si="195"/>
        <v>#DIV/0!</v>
      </c>
      <c r="QZK132" s="531" t="e">
        <f t="shared" si="195"/>
        <v>#DIV/0!</v>
      </c>
      <c r="QZL132" s="531" t="e">
        <f t="shared" si="195"/>
        <v>#DIV/0!</v>
      </c>
      <c r="QZM132" s="531" t="e">
        <f t="shared" si="195"/>
        <v>#DIV/0!</v>
      </c>
      <c r="QZN132" s="531" t="e">
        <f t="shared" si="195"/>
        <v>#DIV/0!</v>
      </c>
      <c r="QZO132" s="531" t="e">
        <f t="shared" si="195"/>
        <v>#DIV/0!</v>
      </c>
      <c r="QZP132" s="531" t="e">
        <f t="shared" si="195"/>
        <v>#DIV/0!</v>
      </c>
      <c r="QZQ132" s="531" t="e">
        <f t="shared" si="195"/>
        <v>#DIV/0!</v>
      </c>
      <c r="QZR132" s="531" t="e">
        <f t="shared" si="195"/>
        <v>#DIV/0!</v>
      </c>
      <c r="QZS132" s="531" t="e">
        <f t="shared" si="195"/>
        <v>#DIV/0!</v>
      </c>
      <c r="QZT132" s="531" t="e">
        <f t="shared" si="195"/>
        <v>#DIV/0!</v>
      </c>
      <c r="QZU132" s="531" t="e">
        <f t="shared" si="195"/>
        <v>#DIV/0!</v>
      </c>
      <c r="QZV132" s="531" t="e">
        <f t="shared" si="195"/>
        <v>#DIV/0!</v>
      </c>
      <c r="QZW132" s="531" t="e">
        <f t="shared" si="195"/>
        <v>#DIV/0!</v>
      </c>
      <c r="QZX132" s="531" t="e">
        <f t="shared" si="195"/>
        <v>#DIV/0!</v>
      </c>
      <c r="QZY132" s="531" t="e">
        <f t="shared" si="195"/>
        <v>#DIV/0!</v>
      </c>
      <c r="QZZ132" s="531" t="e">
        <f t="shared" si="195"/>
        <v>#DIV/0!</v>
      </c>
      <c r="RAA132" s="531" t="e">
        <f t="shared" si="195"/>
        <v>#DIV/0!</v>
      </c>
      <c r="RAB132" s="531" t="e">
        <f t="shared" si="195"/>
        <v>#DIV/0!</v>
      </c>
      <c r="RAC132" s="531" t="e">
        <f t="shared" si="195"/>
        <v>#DIV/0!</v>
      </c>
      <c r="RAD132" s="531" t="e">
        <f t="shared" si="195"/>
        <v>#DIV/0!</v>
      </c>
      <c r="RAE132" s="531" t="e">
        <f t="shared" si="195"/>
        <v>#DIV/0!</v>
      </c>
      <c r="RAF132" s="531" t="e">
        <f t="shared" si="195"/>
        <v>#DIV/0!</v>
      </c>
      <c r="RAG132" s="531" t="e">
        <f t="shared" si="195"/>
        <v>#DIV/0!</v>
      </c>
      <c r="RAH132" s="531" t="e">
        <f t="shared" si="195"/>
        <v>#DIV/0!</v>
      </c>
      <c r="RAI132" s="531" t="e">
        <f t="shared" si="195"/>
        <v>#DIV/0!</v>
      </c>
      <c r="RAJ132" s="531" t="e">
        <f t="shared" si="195"/>
        <v>#DIV/0!</v>
      </c>
      <c r="RAK132" s="531" t="e">
        <f t="shared" si="195"/>
        <v>#DIV/0!</v>
      </c>
      <c r="RAL132" s="531" t="e">
        <f t="shared" si="195"/>
        <v>#DIV/0!</v>
      </c>
      <c r="RAM132" s="531" t="e">
        <f t="shared" si="195"/>
        <v>#DIV/0!</v>
      </c>
      <c r="RAN132" s="531" t="e">
        <f t="shared" si="195"/>
        <v>#DIV/0!</v>
      </c>
      <c r="RAO132" s="531" t="e">
        <f t="shared" si="195"/>
        <v>#DIV/0!</v>
      </c>
      <c r="RAP132" s="531" t="e">
        <f t="shared" si="195"/>
        <v>#DIV/0!</v>
      </c>
      <c r="RAQ132" s="531" t="e">
        <f t="shared" si="195"/>
        <v>#DIV/0!</v>
      </c>
      <c r="RAR132" s="531" t="e">
        <f t="shared" si="195"/>
        <v>#DIV/0!</v>
      </c>
      <c r="RAS132" s="531" t="e">
        <f t="shared" si="195"/>
        <v>#DIV/0!</v>
      </c>
      <c r="RAT132" s="531" t="e">
        <f t="shared" si="195"/>
        <v>#DIV/0!</v>
      </c>
      <c r="RAU132" s="531" t="e">
        <f t="shared" si="195"/>
        <v>#DIV/0!</v>
      </c>
      <c r="RAV132" s="531" t="e">
        <f t="shared" si="195"/>
        <v>#DIV/0!</v>
      </c>
      <c r="RAW132" s="531" t="e">
        <f t="shared" si="195"/>
        <v>#DIV/0!</v>
      </c>
      <c r="RAX132" s="531" t="e">
        <f t="shared" si="195"/>
        <v>#DIV/0!</v>
      </c>
      <c r="RAY132" s="531" t="e">
        <f t="shared" si="195"/>
        <v>#DIV/0!</v>
      </c>
      <c r="RAZ132" s="531" t="e">
        <f t="shared" si="195"/>
        <v>#DIV/0!</v>
      </c>
      <c r="RBA132" s="531" t="e">
        <f t="shared" si="195"/>
        <v>#DIV/0!</v>
      </c>
      <c r="RBB132" s="531" t="e">
        <f t="shared" si="195"/>
        <v>#DIV/0!</v>
      </c>
      <c r="RBC132" s="531" t="e">
        <f t="shared" si="195"/>
        <v>#DIV/0!</v>
      </c>
      <c r="RBD132" s="531" t="e">
        <f t="shared" si="195"/>
        <v>#DIV/0!</v>
      </c>
      <c r="RBE132" s="531" t="e">
        <f t="shared" si="195"/>
        <v>#DIV/0!</v>
      </c>
      <c r="RBF132" s="531" t="e">
        <f t="shared" si="195"/>
        <v>#DIV/0!</v>
      </c>
      <c r="RBG132" s="531" t="e">
        <f t="shared" si="195"/>
        <v>#DIV/0!</v>
      </c>
      <c r="RBH132" s="531" t="e">
        <f t="shared" si="195"/>
        <v>#DIV/0!</v>
      </c>
      <c r="RBI132" s="531" t="e">
        <f t="shared" si="195"/>
        <v>#DIV/0!</v>
      </c>
      <c r="RBJ132" s="531" t="e">
        <f t="shared" si="195"/>
        <v>#DIV/0!</v>
      </c>
      <c r="RBK132" s="531" t="e">
        <f t="shared" ref="RBK132:RDV132" si="196">(RBK128-RBK116)/(RBK52*10^5)</f>
        <v>#DIV/0!</v>
      </c>
      <c r="RBL132" s="531" t="e">
        <f t="shared" si="196"/>
        <v>#DIV/0!</v>
      </c>
      <c r="RBM132" s="531" t="e">
        <f t="shared" si="196"/>
        <v>#DIV/0!</v>
      </c>
      <c r="RBN132" s="531" t="e">
        <f t="shared" si="196"/>
        <v>#DIV/0!</v>
      </c>
      <c r="RBO132" s="531" t="e">
        <f t="shared" si="196"/>
        <v>#DIV/0!</v>
      </c>
      <c r="RBP132" s="531" t="e">
        <f t="shared" si="196"/>
        <v>#DIV/0!</v>
      </c>
      <c r="RBQ132" s="531" t="e">
        <f t="shared" si="196"/>
        <v>#DIV/0!</v>
      </c>
      <c r="RBR132" s="531" t="e">
        <f t="shared" si="196"/>
        <v>#DIV/0!</v>
      </c>
      <c r="RBS132" s="531" t="e">
        <f t="shared" si="196"/>
        <v>#DIV/0!</v>
      </c>
      <c r="RBT132" s="531" t="e">
        <f t="shared" si="196"/>
        <v>#DIV/0!</v>
      </c>
      <c r="RBU132" s="531" t="e">
        <f t="shared" si="196"/>
        <v>#DIV/0!</v>
      </c>
      <c r="RBV132" s="531" t="e">
        <f t="shared" si="196"/>
        <v>#DIV/0!</v>
      </c>
      <c r="RBW132" s="531" t="e">
        <f t="shared" si="196"/>
        <v>#DIV/0!</v>
      </c>
      <c r="RBX132" s="531" t="e">
        <f t="shared" si="196"/>
        <v>#DIV/0!</v>
      </c>
      <c r="RBY132" s="531" t="e">
        <f t="shared" si="196"/>
        <v>#DIV/0!</v>
      </c>
      <c r="RBZ132" s="531" t="e">
        <f t="shared" si="196"/>
        <v>#DIV/0!</v>
      </c>
      <c r="RCA132" s="531" t="e">
        <f t="shared" si="196"/>
        <v>#DIV/0!</v>
      </c>
      <c r="RCB132" s="531" t="e">
        <f t="shared" si="196"/>
        <v>#DIV/0!</v>
      </c>
      <c r="RCC132" s="531" t="e">
        <f t="shared" si="196"/>
        <v>#DIV/0!</v>
      </c>
      <c r="RCD132" s="531" t="e">
        <f t="shared" si="196"/>
        <v>#DIV/0!</v>
      </c>
      <c r="RCE132" s="531" t="e">
        <f t="shared" si="196"/>
        <v>#DIV/0!</v>
      </c>
      <c r="RCF132" s="531" t="e">
        <f t="shared" si="196"/>
        <v>#DIV/0!</v>
      </c>
      <c r="RCG132" s="531" t="e">
        <f t="shared" si="196"/>
        <v>#DIV/0!</v>
      </c>
      <c r="RCH132" s="531" t="e">
        <f t="shared" si="196"/>
        <v>#DIV/0!</v>
      </c>
      <c r="RCI132" s="531" t="e">
        <f t="shared" si="196"/>
        <v>#DIV/0!</v>
      </c>
      <c r="RCJ132" s="531" t="e">
        <f t="shared" si="196"/>
        <v>#DIV/0!</v>
      </c>
      <c r="RCK132" s="531" t="e">
        <f t="shared" si="196"/>
        <v>#DIV/0!</v>
      </c>
      <c r="RCL132" s="531" t="e">
        <f t="shared" si="196"/>
        <v>#DIV/0!</v>
      </c>
      <c r="RCM132" s="531" t="e">
        <f t="shared" si="196"/>
        <v>#DIV/0!</v>
      </c>
      <c r="RCN132" s="531" t="e">
        <f t="shared" si="196"/>
        <v>#DIV/0!</v>
      </c>
      <c r="RCO132" s="531" t="e">
        <f t="shared" si="196"/>
        <v>#DIV/0!</v>
      </c>
      <c r="RCP132" s="531" t="e">
        <f t="shared" si="196"/>
        <v>#DIV/0!</v>
      </c>
      <c r="RCQ132" s="531" t="e">
        <f t="shared" si="196"/>
        <v>#DIV/0!</v>
      </c>
      <c r="RCR132" s="531" t="e">
        <f t="shared" si="196"/>
        <v>#DIV/0!</v>
      </c>
      <c r="RCS132" s="531" t="e">
        <f t="shared" si="196"/>
        <v>#DIV/0!</v>
      </c>
      <c r="RCT132" s="531" t="e">
        <f t="shared" si="196"/>
        <v>#DIV/0!</v>
      </c>
      <c r="RCU132" s="531" t="e">
        <f t="shared" si="196"/>
        <v>#DIV/0!</v>
      </c>
      <c r="RCV132" s="531" t="e">
        <f t="shared" si="196"/>
        <v>#DIV/0!</v>
      </c>
      <c r="RCW132" s="531" t="e">
        <f t="shared" si="196"/>
        <v>#DIV/0!</v>
      </c>
      <c r="RCX132" s="531" t="e">
        <f t="shared" si="196"/>
        <v>#DIV/0!</v>
      </c>
      <c r="RCY132" s="531" t="e">
        <f t="shared" si="196"/>
        <v>#DIV/0!</v>
      </c>
      <c r="RCZ132" s="531" t="e">
        <f t="shared" si="196"/>
        <v>#DIV/0!</v>
      </c>
      <c r="RDA132" s="531" t="e">
        <f t="shared" si="196"/>
        <v>#DIV/0!</v>
      </c>
      <c r="RDB132" s="531" t="e">
        <f t="shared" si="196"/>
        <v>#DIV/0!</v>
      </c>
      <c r="RDC132" s="531" t="e">
        <f t="shared" si="196"/>
        <v>#DIV/0!</v>
      </c>
      <c r="RDD132" s="531" t="e">
        <f t="shared" si="196"/>
        <v>#DIV/0!</v>
      </c>
      <c r="RDE132" s="531" t="e">
        <f t="shared" si="196"/>
        <v>#DIV/0!</v>
      </c>
      <c r="RDF132" s="531" t="e">
        <f t="shared" si="196"/>
        <v>#DIV/0!</v>
      </c>
      <c r="RDG132" s="531" t="e">
        <f t="shared" si="196"/>
        <v>#DIV/0!</v>
      </c>
      <c r="RDH132" s="531" t="e">
        <f t="shared" si="196"/>
        <v>#DIV/0!</v>
      </c>
      <c r="RDI132" s="531" t="e">
        <f t="shared" si="196"/>
        <v>#DIV/0!</v>
      </c>
      <c r="RDJ132" s="531" t="e">
        <f t="shared" si="196"/>
        <v>#DIV/0!</v>
      </c>
      <c r="RDK132" s="531" t="e">
        <f t="shared" si="196"/>
        <v>#DIV/0!</v>
      </c>
      <c r="RDL132" s="531" t="e">
        <f t="shared" si="196"/>
        <v>#DIV/0!</v>
      </c>
      <c r="RDM132" s="531" t="e">
        <f t="shared" si="196"/>
        <v>#DIV/0!</v>
      </c>
      <c r="RDN132" s="531" t="e">
        <f t="shared" si="196"/>
        <v>#DIV/0!</v>
      </c>
      <c r="RDO132" s="531" t="e">
        <f t="shared" si="196"/>
        <v>#DIV/0!</v>
      </c>
      <c r="RDP132" s="531" t="e">
        <f t="shared" si="196"/>
        <v>#DIV/0!</v>
      </c>
      <c r="RDQ132" s="531" t="e">
        <f t="shared" si="196"/>
        <v>#DIV/0!</v>
      </c>
      <c r="RDR132" s="531" t="e">
        <f t="shared" si="196"/>
        <v>#DIV/0!</v>
      </c>
      <c r="RDS132" s="531" t="e">
        <f t="shared" si="196"/>
        <v>#DIV/0!</v>
      </c>
      <c r="RDT132" s="531" t="e">
        <f t="shared" si="196"/>
        <v>#DIV/0!</v>
      </c>
      <c r="RDU132" s="531" t="e">
        <f t="shared" si="196"/>
        <v>#DIV/0!</v>
      </c>
      <c r="RDV132" s="531" t="e">
        <f t="shared" si="196"/>
        <v>#DIV/0!</v>
      </c>
      <c r="RDW132" s="531" t="e">
        <f t="shared" ref="RDW132:RGH132" si="197">(RDW128-RDW116)/(RDW52*10^5)</f>
        <v>#DIV/0!</v>
      </c>
      <c r="RDX132" s="531" t="e">
        <f t="shared" si="197"/>
        <v>#DIV/0!</v>
      </c>
      <c r="RDY132" s="531" t="e">
        <f t="shared" si="197"/>
        <v>#DIV/0!</v>
      </c>
      <c r="RDZ132" s="531" t="e">
        <f t="shared" si="197"/>
        <v>#DIV/0!</v>
      </c>
      <c r="REA132" s="531" t="e">
        <f t="shared" si="197"/>
        <v>#DIV/0!</v>
      </c>
      <c r="REB132" s="531" t="e">
        <f t="shared" si="197"/>
        <v>#DIV/0!</v>
      </c>
      <c r="REC132" s="531" t="e">
        <f t="shared" si="197"/>
        <v>#DIV/0!</v>
      </c>
      <c r="RED132" s="531" t="e">
        <f t="shared" si="197"/>
        <v>#DIV/0!</v>
      </c>
      <c r="REE132" s="531" t="e">
        <f t="shared" si="197"/>
        <v>#DIV/0!</v>
      </c>
      <c r="REF132" s="531" t="e">
        <f t="shared" si="197"/>
        <v>#DIV/0!</v>
      </c>
      <c r="REG132" s="531" t="e">
        <f t="shared" si="197"/>
        <v>#DIV/0!</v>
      </c>
      <c r="REH132" s="531" t="e">
        <f t="shared" si="197"/>
        <v>#DIV/0!</v>
      </c>
      <c r="REI132" s="531" t="e">
        <f t="shared" si="197"/>
        <v>#DIV/0!</v>
      </c>
      <c r="REJ132" s="531" t="e">
        <f t="shared" si="197"/>
        <v>#DIV/0!</v>
      </c>
      <c r="REK132" s="531" t="e">
        <f t="shared" si="197"/>
        <v>#DIV/0!</v>
      </c>
      <c r="REL132" s="531" t="e">
        <f t="shared" si="197"/>
        <v>#DIV/0!</v>
      </c>
      <c r="REM132" s="531" t="e">
        <f t="shared" si="197"/>
        <v>#DIV/0!</v>
      </c>
      <c r="REN132" s="531" t="e">
        <f t="shared" si="197"/>
        <v>#DIV/0!</v>
      </c>
      <c r="REO132" s="531" t="e">
        <f t="shared" si="197"/>
        <v>#DIV/0!</v>
      </c>
      <c r="REP132" s="531" t="e">
        <f t="shared" si="197"/>
        <v>#DIV/0!</v>
      </c>
      <c r="REQ132" s="531" t="e">
        <f t="shared" si="197"/>
        <v>#DIV/0!</v>
      </c>
      <c r="RER132" s="531" t="e">
        <f t="shared" si="197"/>
        <v>#DIV/0!</v>
      </c>
      <c r="RES132" s="531" t="e">
        <f t="shared" si="197"/>
        <v>#DIV/0!</v>
      </c>
      <c r="RET132" s="531" t="e">
        <f t="shared" si="197"/>
        <v>#DIV/0!</v>
      </c>
      <c r="REU132" s="531" t="e">
        <f t="shared" si="197"/>
        <v>#DIV/0!</v>
      </c>
      <c r="REV132" s="531" t="e">
        <f t="shared" si="197"/>
        <v>#DIV/0!</v>
      </c>
      <c r="REW132" s="531" t="e">
        <f t="shared" si="197"/>
        <v>#DIV/0!</v>
      </c>
      <c r="REX132" s="531" t="e">
        <f t="shared" si="197"/>
        <v>#DIV/0!</v>
      </c>
      <c r="REY132" s="531" t="e">
        <f t="shared" si="197"/>
        <v>#DIV/0!</v>
      </c>
      <c r="REZ132" s="531" t="e">
        <f t="shared" si="197"/>
        <v>#DIV/0!</v>
      </c>
      <c r="RFA132" s="531" t="e">
        <f t="shared" si="197"/>
        <v>#DIV/0!</v>
      </c>
      <c r="RFB132" s="531" t="e">
        <f t="shared" si="197"/>
        <v>#DIV/0!</v>
      </c>
      <c r="RFC132" s="531" t="e">
        <f t="shared" si="197"/>
        <v>#DIV/0!</v>
      </c>
      <c r="RFD132" s="531" t="e">
        <f t="shared" si="197"/>
        <v>#DIV/0!</v>
      </c>
      <c r="RFE132" s="531" t="e">
        <f t="shared" si="197"/>
        <v>#DIV/0!</v>
      </c>
      <c r="RFF132" s="531" t="e">
        <f t="shared" si="197"/>
        <v>#DIV/0!</v>
      </c>
      <c r="RFG132" s="531" t="e">
        <f t="shared" si="197"/>
        <v>#DIV/0!</v>
      </c>
      <c r="RFH132" s="531" t="e">
        <f t="shared" si="197"/>
        <v>#DIV/0!</v>
      </c>
      <c r="RFI132" s="531" t="e">
        <f t="shared" si="197"/>
        <v>#DIV/0!</v>
      </c>
      <c r="RFJ132" s="531" t="e">
        <f t="shared" si="197"/>
        <v>#DIV/0!</v>
      </c>
      <c r="RFK132" s="531" t="e">
        <f t="shared" si="197"/>
        <v>#DIV/0!</v>
      </c>
      <c r="RFL132" s="531" t="e">
        <f t="shared" si="197"/>
        <v>#DIV/0!</v>
      </c>
      <c r="RFM132" s="531" t="e">
        <f t="shared" si="197"/>
        <v>#DIV/0!</v>
      </c>
      <c r="RFN132" s="531" t="e">
        <f t="shared" si="197"/>
        <v>#DIV/0!</v>
      </c>
      <c r="RFO132" s="531" t="e">
        <f t="shared" si="197"/>
        <v>#DIV/0!</v>
      </c>
      <c r="RFP132" s="531" t="e">
        <f t="shared" si="197"/>
        <v>#DIV/0!</v>
      </c>
      <c r="RFQ132" s="531" t="e">
        <f t="shared" si="197"/>
        <v>#DIV/0!</v>
      </c>
      <c r="RFR132" s="531" t="e">
        <f t="shared" si="197"/>
        <v>#DIV/0!</v>
      </c>
      <c r="RFS132" s="531" t="e">
        <f t="shared" si="197"/>
        <v>#DIV/0!</v>
      </c>
      <c r="RFT132" s="531" t="e">
        <f t="shared" si="197"/>
        <v>#DIV/0!</v>
      </c>
      <c r="RFU132" s="531" t="e">
        <f t="shared" si="197"/>
        <v>#DIV/0!</v>
      </c>
      <c r="RFV132" s="531" t="e">
        <f t="shared" si="197"/>
        <v>#DIV/0!</v>
      </c>
      <c r="RFW132" s="531" t="e">
        <f t="shared" si="197"/>
        <v>#DIV/0!</v>
      </c>
      <c r="RFX132" s="531" t="e">
        <f t="shared" si="197"/>
        <v>#DIV/0!</v>
      </c>
      <c r="RFY132" s="531" t="e">
        <f t="shared" si="197"/>
        <v>#DIV/0!</v>
      </c>
      <c r="RFZ132" s="531" t="e">
        <f t="shared" si="197"/>
        <v>#DIV/0!</v>
      </c>
      <c r="RGA132" s="531" t="e">
        <f t="shared" si="197"/>
        <v>#DIV/0!</v>
      </c>
      <c r="RGB132" s="531" t="e">
        <f t="shared" si="197"/>
        <v>#DIV/0!</v>
      </c>
      <c r="RGC132" s="531" t="e">
        <f t="shared" si="197"/>
        <v>#DIV/0!</v>
      </c>
      <c r="RGD132" s="531" t="e">
        <f t="shared" si="197"/>
        <v>#DIV/0!</v>
      </c>
      <c r="RGE132" s="531" t="e">
        <f t="shared" si="197"/>
        <v>#DIV/0!</v>
      </c>
      <c r="RGF132" s="531" t="e">
        <f t="shared" si="197"/>
        <v>#DIV/0!</v>
      </c>
      <c r="RGG132" s="531" t="e">
        <f t="shared" si="197"/>
        <v>#DIV/0!</v>
      </c>
      <c r="RGH132" s="531" t="e">
        <f t="shared" si="197"/>
        <v>#DIV/0!</v>
      </c>
      <c r="RGI132" s="531" t="e">
        <f t="shared" ref="RGI132:RIT132" si="198">(RGI128-RGI116)/(RGI52*10^5)</f>
        <v>#DIV/0!</v>
      </c>
      <c r="RGJ132" s="531" t="e">
        <f t="shared" si="198"/>
        <v>#DIV/0!</v>
      </c>
      <c r="RGK132" s="531" t="e">
        <f t="shared" si="198"/>
        <v>#DIV/0!</v>
      </c>
      <c r="RGL132" s="531" t="e">
        <f t="shared" si="198"/>
        <v>#DIV/0!</v>
      </c>
      <c r="RGM132" s="531" t="e">
        <f t="shared" si="198"/>
        <v>#DIV/0!</v>
      </c>
      <c r="RGN132" s="531" t="e">
        <f t="shared" si="198"/>
        <v>#DIV/0!</v>
      </c>
      <c r="RGO132" s="531" t="e">
        <f t="shared" si="198"/>
        <v>#DIV/0!</v>
      </c>
      <c r="RGP132" s="531" t="e">
        <f t="shared" si="198"/>
        <v>#DIV/0!</v>
      </c>
      <c r="RGQ132" s="531" t="e">
        <f t="shared" si="198"/>
        <v>#DIV/0!</v>
      </c>
      <c r="RGR132" s="531" t="e">
        <f t="shared" si="198"/>
        <v>#DIV/0!</v>
      </c>
      <c r="RGS132" s="531" t="e">
        <f t="shared" si="198"/>
        <v>#DIV/0!</v>
      </c>
      <c r="RGT132" s="531" t="e">
        <f t="shared" si="198"/>
        <v>#DIV/0!</v>
      </c>
      <c r="RGU132" s="531" t="e">
        <f t="shared" si="198"/>
        <v>#DIV/0!</v>
      </c>
      <c r="RGV132" s="531" t="e">
        <f t="shared" si="198"/>
        <v>#DIV/0!</v>
      </c>
      <c r="RGW132" s="531" t="e">
        <f t="shared" si="198"/>
        <v>#DIV/0!</v>
      </c>
      <c r="RGX132" s="531" t="e">
        <f t="shared" si="198"/>
        <v>#DIV/0!</v>
      </c>
      <c r="RGY132" s="531" t="e">
        <f t="shared" si="198"/>
        <v>#DIV/0!</v>
      </c>
      <c r="RGZ132" s="531" t="e">
        <f t="shared" si="198"/>
        <v>#DIV/0!</v>
      </c>
      <c r="RHA132" s="531" t="e">
        <f t="shared" si="198"/>
        <v>#DIV/0!</v>
      </c>
      <c r="RHB132" s="531" t="e">
        <f t="shared" si="198"/>
        <v>#DIV/0!</v>
      </c>
      <c r="RHC132" s="531" t="e">
        <f t="shared" si="198"/>
        <v>#DIV/0!</v>
      </c>
      <c r="RHD132" s="531" t="e">
        <f t="shared" si="198"/>
        <v>#DIV/0!</v>
      </c>
      <c r="RHE132" s="531" t="e">
        <f t="shared" si="198"/>
        <v>#DIV/0!</v>
      </c>
      <c r="RHF132" s="531" t="e">
        <f t="shared" si="198"/>
        <v>#DIV/0!</v>
      </c>
      <c r="RHG132" s="531" t="e">
        <f t="shared" si="198"/>
        <v>#DIV/0!</v>
      </c>
      <c r="RHH132" s="531" t="e">
        <f t="shared" si="198"/>
        <v>#DIV/0!</v>
      </c>
      <c r="RHI132" s="531" t="e">
        <f t="shared" si="198"/>
        <v>#DIV/0!</v>
      </c>
      <c r="RHJ132" s="531" t="e">
        <f t="shared" si="198"/>
        <v>#DIV/0!</v>
      </c>
      <c r="RHK132" s="531" t="e">
        <f t="shared" si="198"/>
        <v>#DIV/0!</v>
      </c>
      <c r="RHL132" s="531" t="e">
        <f t="shared" si="198"/>
        <v>#DIV/0!</v>
      </c>
      <c r="RHM132" s="531" t="e">
        <f t="shared" si="198"/>
        <v>#DIV/0!</v>
      </c>
      <c r="RHN132" s="531" t="e">
        <f t="shared" si="198"/>
        <v>#DIV/0!</v>
      </c>
      <c r="RHO132" s="531" t="e">
        <f t="shared" si="198"/>
        <v>#DIV/0!</v>
      </c>
      <c r="RHP132" s="531" t="e">
        <f t="shared" si="198"/>
        <v>#DIV/0!</v>
      </c>
      <c r="RHQ132" s="531" t="e">
        <f t="shared" si="198"/>
        <v>#DIV/0!</v>
      </c>
      <c r="RHR132" s="531" t="e">
        <f t="shared" si="198"/>
        <v>#DIV/0!</v>
      </c>
      <c r="RHS132" s="531" t="e">
        <f t="shared" si="198"/>
        <v>#DIV/0!</v>
      </c>
      <c r="RHT132" s="531" t="e">
        <f t="shared" si="198"/>
        <v>#DIV/0!</v>
      </c>
      <c r="RHU132" s="531" t="e">
        <f t="shared" si="198"/>
        <v>#DIV/0!</v>
      </c>
      <c r="RHV132" s="531" t="e">
        <f t="shared" si="198"/>
        <v>#DIV/0!</v>
      </c>
      <c r="RHW132" s="531" t="e">
        <f t="shared" si="198"/>
        <v>#DIV/0!</v>
      </c>
      <c r="RHX132" s="531" t="e">
        <f t="shared" si="198"/>
        <v>#DIV/0!</v>
      </c>
      <c r="RHY132" s="531" t="e">
        <f t="shared" si="198"/>
        <v>#DIV/0!</v>
      </c>
      <c r="RHZ132" s="531" t="e">
        <f t="shared" si="198"/>
        <v>#DIV/0!</v>
      </c>
      <c r="RIA132" s="531" t="e">
        <f t="shared" si="198"/>
        <v>#DIV/0!</v>
      </c>
      <c r="RIB132" s="531" t="e">
        <f t="shared" si="198"/>
        <v>#DIV/0!</v>
      </c>
      <c r="RIC132" s="531" t="e">
        <f t="shared" si="198"/>
        <v>#DIV/0!</v>
      </c>
      <c r="RID132" s="531" t="e">
        <f t="shared" si="198"/>
        <v>#DIV/0!</v>
      </c>
      <c r="RIE132" s="531" t="e">
        <f t="shared" si="198"/>
        <v>#DIV/0!</v>
      </c>
      <c r="RIF132" s="531" t="e">
        <f t="shared" si="198"/>
        <v>#DIV/0!</v>
      </c>
      <c r="RIG132" s="531" t="e">
        <f t="shared" si="198"/>
        <v>#DIV/0!</v>
      </c>
      <c r="RIH132" s="531" t="e">
        <f t="shared" si="198"/>
        <v>#DIV/0!</v>
      </c>
      <c r="RII132" s="531" t="e">
        <f t="shared" si="198"/>
        <v>#DIV/0!</v>
      </c>
      <c r="RIJ132" s="531" t="e">
        <f t="shared" si="198"/>
        <v>#DIV/0!</v>
      </c>
      <c r="RIK132" s="531" t="e">
        <f t="shared" si="198"/>
        <v>#DIV/0!</v>
      </c>
      <c r="RIL132" s="531" t="e">
        <f t="shared" si="198"/>
        <v>#DIV/0!</v>
      </c>
      <c r="RIM132" s="531" t="e">
        <f t="shared" si="198"/>
        <v>#DIV/0!</v>
      </c>
      <c r="RIN132" s="531" t="e">
        <f t="shared" si="198"/>
        <v>#DIV/0!</v>
      </c>
      <c r="RIO132" s="531" t="e">
        <f t="shared" si="198"/>
        <v>#DIV/0!</v>
      </c>
      <c r="RIP132" s="531" t="e">
        <f t="shared" si="198"/>
        <v>#DIV/0!</v>
      </c>
      <c r="RIQ132" s="531" t="e">
        <f t="shared" si="198"/>
        <v>#DIV/0!</v>
      </c>
      <c r="RIR132" s="531" t="e">
        <f t="shared" si="198"/>
        <v>#DIV/0!</v>
      </c>
      <c r="RIS132" s="531" t="e">
        <f t="shared" si="198"/>
        <v>#DIV/0!</v>
      </c>
      <c r="RIT132" s="531" t="e">
        <f t="shared" si="198"/>
        <v>#DIV/0!</v>
      </c>
      <c r="RIU132" s="531" t="e">
        <f t="shared" ref="RIU132:RLF132" si="199">(RIU128-RIU116)/(RIU52*10^5)</f>
        <v>#DIV/0!</v>
      </c>
      <c r="RIV132" s="531" t="e">
        <f t="shared" si="199"/>
        <v>#DIV/0!</v>
      </c>
      <c r="RIW132" s="531" t="e">
        <f t="shared" si="199"/>
        <v>#DIV/0!</v>
      </c>
      <c r="RIX132" s="531" t="e">
        <f t="shared" si="199"/>
        <v>#DIV/0!</v>
      </c>
      <c r="RIY132" s="531" t="e">
        <f t="shared" si="199"/>
        <v>#DIV/0!</v>
      </c>
      <c r="RIZ132" s="531" t="e">
        <f t="shared" si="199"/>
        <v>#DIV/0!</v>
      </c>
      <c r="RJA132" s="531" t="e">
        <f t="shared" si="199"/>
        <v>#DIV/0!</v>
      </c>
      <c r="RJB132" s="531" t="e">
        <f t="shared" si="199"/>
        <v>#DIV/0!</v>
      </c>
      <c r="RJC132" s="531" t="e">
        <f t="shared" si="199"/>
        <v>#DIV/0!</v>
      </c>
      <c r="RJD132" s="531" t="e">
        <f t="shared" si="199"/>
        <v>#DIV/0!</v>
      </c>
      <c r="RJE132" s="531" t="e">
        <f t="shared" si="199"/>
        <v>#DIV/0!</v>
      </c>
      <c r="RJF132" s="531" t="e">
        <f t="shared" si="199"/>
        <v>#DIV/0!</v>
      </c>
      <c r="RJG132" s="531" t="e">
        <f t="shared" si="199"/>
        <v>#DIV/0!</v>
      </c>
      <c r="RJH132" s="531" t="e">
        <f t="shared" si="199"/>
        <v>#DIV/0!</v>
      </c>
      <c r="RJI132" s="531" t="e">
        <f t="shared" si="199"/>
        <v>#DIV/0!</v>
      </c>
      <c r="RJJ132" s="531" t="e">
        <f t="shared" si="199"/>
        <v>#DIV/0!</v>
      </c>
      <c r="RJK132" s="531" t="e">
        <f t="shared" si="199"/>
        <v>#DIV/0!</v>
      </c>
      <c r="RJL132" s="531" t="e">
        <f t="shared" si="199"/>
        <v>#DIV/0!</v>
      </c>
      <c r="RJM132" s="531" t="e">
        <f t="shared" si="199"/>
        <v>#DIV/0!</v>
      </c>
      <c r="RJN132" s="531" t="e">
        <f t="shared" si="199"/>
        <v>#DIV/0!</v>
      </c>
      <c r="RJO132" s="531" t="e">
        <f t="shared" si="199"/>
        <v>#DIV/0!</v>
      </c>
      <c r="RJP132" s="531" t="e">
        <f t="shared" si="199"/>
        <v>#DIV/0!</v>
      </c>
      <c r="RJQ132" s="531" t="e">
        <f t="shared" si="199"/>
        <v>#DIV/0!</v>
      </c>
      <c r="RJR132" s="531" t="e">
        <f t="shared" si="199"/>
        <v>#DIV/0!</v>
      </c>
      <c r="RJS132" s="531" t="e">
        <f t="shared" si="199"/>
        <v>#DIV/0!</v>
      </c>
      <c r="RJT132" s="531" t="e">
        <f t="shared" si="199"/>
        <v>#DIV/0!</v>
      </c>
      <c r="RJU132" s="531" t="e">
        <f t="shared" si="199"/>
        <v>#DIV/0!</v>
      </c>
      <c r="RJV132" s="531" t="e">
        <f t="shared" si="199"/>
        <v>#DIV/0!</v>
      </c>
      <c r="RJW132" s="531" t="e">
        <f t="shared" si="199"/>
        <v>#DIV/0!</v>
      </c>
      <c r="RJX132" s="531" t="e">
        <f t="shared" si="199"/>
        <v>#DIV/0!</v>
      </c>
      <c r="RJY132" s="531" t="e">
        <f t="shared" si="199"/>
        <v>#DIV/0!</v>
      </c>
      <c r="RJZ132" s="531" t="e">
        <f t="shared" si="199"/>
        <v>#DIV/0!</v>
      </c>
      <c r="RKA132" s="531" t="e">
        <f t="shared" si="199"/>
        <v>#DIV/0!</v>
      </c>
      <c r="RKB132" s="531" t="e">
        <f t="shared" si="199"/>
        <v>#DIV/0!</v>
      </c>
      <c r="RKC132" s="531" t="e">
        <f t="shared" si="199"/>
        <v>#DIV/0!</v>
      </c>
      <c r="RKD132" s="531" t="e">
        <f t="shared" si="199"/>
        <v>#DIV/0!</v>
      </c>
      <c r="RKE132" s="531" t="e">
        <f t="shared" si="199"/>
        <v>#DIV/0!</v>
      </c>
      <c r="RKF132" s="531" t="e">
        <f t="shared" si="199"/>
        <v>#DIV/0!</v>
      </c>
      <c r="RKG132" s="531" t="e">
        <f t="shared" si="199"/>
        <v>#DIV/0!</v>
      </c>
      <c r="RKH132" s="531" t="e">
        <f t="shared" si="199"/>
        <v>#DIV/0!</v>
      </c>
      <c r="RKI132" s="531" t="e">
        <f t="shared" si="199"/>
        <v>#DIV/0!</v>
      </c>
      <c r="RKJ132" s="531" t="e">
        <f t="shared" si="199"/>
        <v>#DIV/0!</v>
      </c>
      <c r="RKK132" s="531" t="e">
        <f t="shared" si="199"/>
        <v>#DIV/0!</v>
      </c>
      <c r="RKL132" s="531" t="e">
        <f t="shared" si="199"/>
        <v>#DIV/0!</v>
      </c>
      <c r="RKM132" s="531" t="e">
        <f t="shared" si="199"/>
        <v>#DIV/0!</v>
      </c>
      <c r="RKN132" s="531" t="e">
        <f t="shared" si="199"/>
        <v>#DIV/0!</v>
      </c>
      <c r="RKO132" s="531" t="e">
        <f t="shared" si="199"/>
        <v>#DIV/0!</v>
      </c>
      <c r="RKP132" s="531" t="e">
        <f t="shared" si="199"/>
        <v>#DIV/0!</v>
      </c>
      <c r="RKQ132" s="531" t="e">
        <f t="shared" si="199"/>
        <v>#DIV/0!</v>
      </c>
      <c r="RKR132" s="531" t="e">
        <f t="shared" si="199"/>
        <v>#DIV/0!</v>
      </c>
      <c r="RKS132" s="531" t="e">
        <f t="shared" si="199"/>
        <v>#DIV/0!</v>
      </c>
      <c r="RKT132" s="531" t="e">
        <f t="shared" si="199"/>
        <v>#DIV/0!</v>
      </c>
      <c r="RKU132" s="531" t="e">
        <f t="shared" si="199"/>
        <v>#DIV/0!</v>
      </c>
      <c r="RKV132" s="531" t="e">
        <f t="shared" si="199"/>
        <v>#DIV/0!</v>
      </c>
      <c r="RKW132" s="531" t="e">
        <f t="shared" si="199"/>
        <v>#DIV/0!</v>
      </c>
      <c r="RKX132" s="531" t="e">
        <f t="shared" si="199"/>
        <v>#DIV/0!</v>
      </c>
      <c r="RKY132" s="531" t="e">
        <f t="shared" si="199"/>
        <v>#DIV/0!</v>
      </c>
      <c r="RKZ132" s="531" t="e">
        <f t="shared" si="199"/>
        <v>#DIV/0!</v>
      </c>
      <c r="RLA132" s="531" t="e">
        <f t="shared" si="199"/>
        <v>#DIV/0!</v>
      </c>
      <c r="RLB132" s="531" t="e">
        <f t="shared" si="199"/>
        <v>#DIV/0!</v>
      </c>
      <c r="RLC132" s="531" t="e">
        <f t="shared" si="199"/>
        <v>#DIV/0!</v>
      </c>
      <c r="RLD132" s="531" t="e">
        <f t="shared" si="199"/>
        <v>#DIV/0!</v>
      </c>
      <c r="RLE132" s="531" t="e">
        <f t="shared" si="199"/>
        <v>#DIV/0!</v>
      </c>
      <c r="RLF132" s="531" t="e">
        <f t="shared" si="199"/>
        <v>#DIV/0!</v>
      </c>
      <c r="RLG132" s="531" t="e">
        <f t="shared" ref="RLG132:RNR132" si="200">(RLG128-RLG116)/(RLG52*10^5)</f>
        <v>#DIV/0!</v>
      </c>
      <c r="RLH132" s="531" t="e">
        <f t="shared" si="200"/>
        <v>#DIV/0!</v>
      </c>
      <c r="RLI132" s="531" t="e">
        <f t="shared" si="200"/>
        <v>#DIV/0!</v>
      </c>
      <c r="RLJ132" s="531" t="e">
        <f t="shared" si="200"/>
        <v>#DIV/0!</v>
      </c>
      <c r="RLK132" s="531" t="e">
        <f t="shared" si="200"/>
        <v>#DIV/0!</v>
      </c>
      <c r="RLL132" s="531" t="e">
        <f t="shared" si="200"/>
        <v>#DIV/0!</v>
      </c>
      <c r="RLM132" s="531" t="e">
        <f t="shared" si="200"/>
        <v>#DIV/0!</v>
      </c>
      <c r="RLN132" s="531" t="e">
        <f t="shared" si="200"/>
        <v>#DIV/0!</v>
      </c>
      <c r="RLO132" s="531" t="e">
        <f t="shared" si="200"/>
        <v>#DIV/0!</v>
      </c>
      <c r="RLP132" s="531" t="e">
        <f t="shared" si="200"/>
        <v>#DIV/0!</v>
      </c>
      <c r="RLQ132" s="531" t="e">
        <f t="shared" si="200"/>
        <v>#DIV/0!</v>
      </c>
      <c r="RLR132" s="531" t="e">
        <f t="shared" si="200"/>
        <v>#DIV/0!</v>
      </c>
      <c r="RLS132" s="531" t="e">
        <f t="shared" si="200"/>
        <v>#DIV/0!</v>
      </c>
      <c r="RLT132" s="531" t="e">
        <f t="shared" si="200"/>
        <v>#DIV/0!</v>
      </c>
      <c r="RLU132" s="531" t="e">
        <f t="shared" si="200"/>
        <v>#DIV/0!</v>
      </c>
      <c r="RLV132" s="531" t="e">
        <f t="shared" si="200"/>
        <v>#DIV/0!</v>
      </c>
      <c r="RLW132" s="531" t="e">
        <f t="shared" si="200"/>
        <v>#DIV/0!</v>
      </c>
      <c r="RLX132" s="531" t="e">
        <f t="shared" si="200"/>
        <v>#DIV/0!</v>
      </c>
      <c r="RLY132" s="531" t="e">
        <f t="shared" si="200"/>
        <v>#DIV/0!</v>
      </c>
      <c r="RLZ132" s="531" t="e">
        <f t="shared" si="200"/>
        <v>#DIV/0!</v>
      </c>
      <c r="RMA132" s="531" t="e">
        <f t="shared" si="200"/>
        <v>#DIV/0!</v>
      </c>
      <c r="RMB132" s="531" t="e">
        <f t="shared" si="200"/>
        <v>#DIV/0!</v>
      </c>
      <c r="RMC132" s="531" t="e">
        <f t="shared" si="200"/>
        <v>#DIV/0!</v>
      </c>
      <c r="RMD132" s="531" t="e">
        <f t="shared" si="200"/>
        <v>#DIV/0!</v>
      </c>
      <c r="RME132" s="531" t="e">
        <f t="shared" si="200"/>
        <v>#DIV/0!</v>
      </c>
      <c r="RMF132" s="531" t="e">
        <f t="shared" si="200"/>
        <v>#DIV/0!</v>
      </c>
      <c r="RMG132" s="531" t="e">
        <f t="shared" si="200"/>
        <v>#DIV/0!</v>
      </c>
      <c r="RMH132" s="531" t="e">
        <f t="shared" si="200"/>
        <v>#DIV/0!</v>
      </c>
      <c r="RMI132" s="531" t="e">
        <f t="shared" si="200"/>
        <v>#DIV/0!</v>
      </c>
      <c r="RMJ132" s="531" t="e">
        <f t="shared" si="200"/>
        <v>#DIV/0!</v>
      </c>
      <c r="RMK132" s="531" t="e">
        <f t="shared" si="200"/>
        <v>#DIV/0!</v>
      </c>
      <c r="RML132" s="531" t="e">
        <f t="shared" si="200"/>
        <v>#DIV/0!</v>
      </c>
      <c r="RMM132" s="531" t="e">
        <f t="shared" si="200"/>
        <v>#DIV/0!</v>
      </c>
      <c r="RMN132" s="531" t="e">
        <f t="shared" si="200"/>
        <v>#DIV/0!</v>
      </c>
      <c r="RMO132" s="531" t="e">
        <f t="shared" si="200"/>
        <v>#DIV/0!</v>
      </c>
      <c r="RMP132" s="531" t="e">
        <f t="shared" si="200"/>
        <v>#DIV/0!</v>
      </c>
      <c r="RMQ132" s="531" t="e">
        <f t="shared" si="200"/>
        <v>#DIV/0!</v>
      </c>
      <c r="RMR132" s="531" t="e">
        <f t="shared" si="200"/>
        <v>#DIV/0!</v>
      </c>
      <c r="RMS132" s="531" t="e">
        <f t="shared" si="200"/>
        <v>#DIV/0!</v>
      </c>
      <c r="RMT132" s="531" t="e">
        <f t="shared" si="200"/>
        <v>#DIV/0!</v>
      </c>
      <c r="RMU132" s="531" t="e">
        <f t="shared" si="200"/>
        <v>#DIV/0!</v>
      </c>
      <c r="RMV132" s="531" t="e">
        <f t="shared" si="200"/>
        <v>#DIV/0!</v>
      </c>
      <c r="RMW132" s="531" t="e">
        <f t="shared" si="200"/>
        <v>#DIV/0!</v>
      </c>
      <c r="RMX132" s="531" t="e">
        <f t="shared" si="200"/>
        <v>#DIV/0!</v>
      </c>
      <c r="RMY132" s="531" t="e">
        <f t="shared" si="200"/>
        <v>#DIV/0!</v>
      </c>
      <c r="RMZ132" s="531" t="e">
        <f t="shared" si="200"/>
        <v>#DIV/0!</v>
      </c>
      <c r="RNA132" s="531" t="e">
        <f t="shared" si="200"/>
        <v>#DIV/0!</v>
      </c>
      <c r="RNB132" s="531" t="e">
        <f t="shared" si="200"/>
        <v>#DIV/0!</v>
      </c>
      <c r="RNC132" s="531" t="e">
        <f t="shared" si="200"/>
        <v>#DIV/0!</v>
      </c>
      <c r="RND132" s="531" t="e">
        <f t="shared" si="200"/>
        <v>#DIV/0!</v>
      </c>
      <c r="RNE132" s="531" t="e">
        <f t="shared" si="200"/>
        <v>#DIV/0!</v>
      </c>
      <c r="RNF132" s="531" t="e">
        <f t="shared" si="200"/>
        <v>#DIV/0!</v>
      </c>
      <c r="RNG132" s="531" t="e">
        <f t="shared" si="200"/>
        <v>#DIV/0!</v>
      </c>
      <c r="RNH132" s="531" t="e">
        <f t="shared" si="200"/>
        <v>#DIV/0!</v>
      </c>
      <c r="RNI132" s="531" t="e">
        <f t="shared" si="200"/>
        <v>#DIV/0!</v>
      </c>
      <c r="RNJ132" s="531" t="e">
        <f t="shared" si="200"/>
        <v>#DIV/0!</v>
      </c>
      <c r="RNK132" s="531" t="e">
        <f t="shared" si="200"/>
        <v>#DIV/0!</v>
      </c>
      <c r="RNL132" s="531" t="e">
        <f t="shared" si="200"/>
        <v>#DIV/0!</v>
      </c>
      <c r="RNM132" s="531" t="e">
        <f t="shared" si="200"/>
        <v>#DIV/0!</v>
      </c>
      <c r="RNN132" s="531" t="e">
        <f t="shared" si="200"/>
        <v>#DIV/0!</v>
      </c>
      <c r="RNO132" s="531" t="e">
        <f t="shared" si="200"/>
        <v>#DIV/0!</v>
      </c>
      <c r="RNP132" s="531" t="e">
        <f t="shared" si="200"/>
        <v>#DIV/0!</v>
      </c>
      <c r="RNQ132" s="531" t="e">
        <f t="shared" si="200"/>
        <v>#DIV/0!</v>
      </c>
      <c r="RNR132" s="531" t="e">
        <f t="shared" si="200"/>
        <v>#DIV/0!</v>
      </c>
      <c r="RNS132" s="531" t="e">
        <f t="shared" ref="RNS132:RQD132" si="201">(RNS128-RNS116)/(RNS52*10^5)</f>
        <v>#DIV/0!</v>
      </c>
      <c r="RNT132" s="531" t="e">
        <f t="shared" si="201"/>
        <v>#DIV/0!</v>
      </c>
      <c r="RNU132" s="531" t="e">
        <f t="shared" si="201"/>
        <v>#DIV/0!</v>
      </c>
      <c r="RNV132" s="531" t="e">
        <f t="shared" si="201"/>
        <v>#DIV/0!</v>
      </c>
      <c r="RNW132" s="531" t="e">
        <f t="shared" si="201"/>
        <v>#DIV/0!</v>
      </c>
      <c r="RNX132" s="531" t="e">
        <f t="shared" si="201"/>
        <v>#DIV/0!</v>
      </c>
      <c r="RNY132" s="531" t="e">
        <f t="shared" si="201"/>
        <v>#DIV/0!</v>
      </c>
      <c r="RNZ132" s="531" t="e">
        <f t="shared" si="201"/>
        <v>#DIV/0!</v>
      </c>
      <c r="ROA132" s="531" t="e">
        <f t="shared" si="201"/>
        <v>#DIV/0!</v>
      </c>
      <c r="ROB132" s="531" t="e">
        <f t="shared" si="201"/>
        <v>#DIV/0!</v>
      </c>
      <c r="ROC132" s="531" t="e">
        <f t="shared" si="201"/>
        <v>#DIV/0!</v>
      </c>
      <c r="ROD132" s="531" t="e">
        <f t="shared" si="201"/>
        <v>#DIV/0!</v>
      </c>
      <c r="ROE132" s="531" t="e">
        <f t="shared" si="201"/>
        <v>#DIV/0!</v>
      </c>
      <c r="ROF132" s="531" t="e">
        <f t="shared" si="201"/>
        <v>#DIV/0!</v>
      </c>
      <c r="ROG132" s="531" t="e">
        <f t="shared" si="201"/>
        <v>#DIV/0!</v>
      </c>
      <c r="ROH132" s="531" t="e">
        <f t="shared" si="201"/>
        <v>#DIV/0!</v>
      </c>
      <c r="ROI132" s="531" t="e">
        <f t="shared" si="201"/>
        <v>#DIV/0!</v>
      </c>
      <c r="ROJ132" s="531" t="e">
        <f t="shared" si="201"/>
        <v>#DIV/0!</v>
      </c>
      <c r="ROK132" s="531" t="e">
        <f t="shared" si="201"/>
        <v>#DIV/0!</v>
      </c>
      <c r="ROL132" s="531" t="e">
        <f t="shared" si="201"/>
        <v>#DIV/0!</v>
      </c>
      <c r="ROM132" s="531" t="e">
        <f t="shared" si="201"/>
        <v>#DIV/0!</v>
      </c>
      <c r="RON132" s="531" t="e">
        <f t="shared" si="201"/>
        <v>#DIV/0!</v>
      </c>
      <c r="ROO132" s="531" t="e">
        <f t="shared" si="201"/>
        <v>#DIV/0!</v>
      </c>
      <c r="ROP132" s="531" t="e">
        <f t="shared" si="201"/>
        <v>#DIV/0!</v>
      </c>
      <c r="ROQ132" s="531" t="e">
        <f t="shared" si="201"/>
        <v>#DIV/0!</v>
      </c>
      <c r="ROR132" s="531" t="e">
        <f t="shared" si="201"/>
        <v>#DIV/0!</v>
      </c>
      <c r="ROS132" s="531" t="e">
        <f t="shared" si="201"/>
        <v>#DIV/0!</v>
      </c>
      <c r="ROT132" s="531" t="e">
        <f t="shared" si="201"/>
        <v>#DIV/0!</v>
      </c>
      <c r="ROU132" s="531" t="e">
        <f t="shared" si="201"/>
        <v>#DIV/0!</v>
      </c>
      <c r="ROV132" s="531" t="e">
        <f t="shared" si="201"/>
        <v>#DIV/0!</v>
      </c>
      <c r="ROW132" s="531" t="e">
        <f t="shared" si="201"/>
        <v>#DIV/0!</v>
      </c>
      <c r="ROX132" s="531" t="e">
        <f t="shared" si="201"/>
        <v>#DIV/0!</v>
      </c>
      <c r="ROY132" s="531" t="e">
        <f t="shared" si="201"/>
        <v>#DIV/0!</v>
      </c>
      <c r="ROZ132" s="531" t="e">
        <f t="shared" si="201"/>
        <v>#DIV/0!</v>
      </c>
      <c r="RPA132" s="531" t="e">
        <f t="shared" si="201"/>
        <v>#DIV/0!</v>
      </c>
      <c r="RPB132" s="531" t="e">
        <f t="shared" si="201"/>
        <v>#DIV/0!</v>
      </c>
      <c r="RPC132" s="531" t="e">
        <f t="shared" si="201"/>
        <v>#DIV/0!</v>
      </c>
      <c r="RPD132" s="531" t="e">
        <f t="shared" si="201"/>
        <v>#DIV/0!</v>
      </c>
      <c r="RPE132" s="531" t="e">
        <f t="shared" si="201"/>
        <v>#DIV/0!</v>
      </c>
      <c r="RPF132" s="531" t="e">
        <f t="shared" si="201"/>
        <v>#DIV/0!</v>
      </c>
      <c r="RPG132" s="531" t="e">
        <f t="shared" si="201"/>
        <v>#DIV/0!</v>
      </c>
      <c r="RPH132" s="531" t="e">
        <f t="shared" si="201"/>
        <v>#DIV/0!</v>
      </c>
      <c r="RPI132" s="531" t="e">
        <f t="shared" si="201"/>
        <v>#DIV/0!</v>
      </c>
      <c r="RPJ132" s="531" t="e">
        <f t="shared" si="201"/>
        <v>#DIV/0!</v>
      </c>
      <c r="RPK132" s="531" t="e">
        <f t="shared" si="201"/>
        <v>#DIV/0!</v>
      </c>
      <c r="RPL132" s="531" t="e">
        <f t="shared" si="201"/>
        <v>#DIV/0!</v>
      </c>
      <c r="RPM132" s="531" t="e">
        <f t="shared" si="201"/>
        <v>#DIV/0!</v>
      </c>
      <c r="RPN132" s="531" t="e">
        <f t="shared" si="201"/>
        <v>#DIV/0!</v>
      </c>
      <c r="RPO132" s="531" t="e">
        <f t="shared" si="201"/>
        <v>#DIV/0!</v>
      </c>
      <c r="RPP132" s="531" t="e">
        <f t="shared" si="201"/>
        <v>#DIV/0!</v>
      </c>
      <c r="RPQ132" s="531" t="e">
        <f t="shared" si="201"/>
        <v>#DIV/0!</v>
      </c>
      <c r="RPR132" s="531" t="e">
        <f t="shared" si="201"/>
        <v>#DIV/0!</v>
      </c>
      <c r="RPS132" s="531" t="e">
        <f t="shared" si="201"/>
        <v>#DIV/0!</v>
      </c>
      <c r="RPT132" s="531" t="e">
        <f t="shared" si="201"/>
        <v>#DIV/0!</v>
      </c>
      <c r="RPU132" s="531" t="e">
        <f t="shared" si="201"/>
        <v>#DIV/0!</v>
      </c>
      <c r="RPV132" s="531" t="e">
        <f t="shared" si="201"/>
        <v>#DIV/0!</v>
      </c>
      <c r="RPW132" s="531" t="e">
        <f t="shared" si="201"/>
        <v>#DIV/0!</v>
      </c>
      <c r="RPX132" s="531" t="e">
        <f t="shared" si="201"/>
        <v>#DIV/0!</v>
      </c>
      <c r="RPY132" s="531" t="e">
        <f t="shared" si="201"/>
        <v>#DIV/0!</v>
      </c>
      <c r="RPZ132" s="531" t="e">
        <f t="shared" si="201"/>
        <v>#DIV/0!</v>
      </c>
      <c r="RQA132" s="531" t="e">
        <f t="shared" si="201"/>
        <v>#DIV/0!</v>
      </c>
      <c r="RQB132" s="531" t="e">
        <f t="shared" si="201"/>
        <v>#DIV/0!</v>
      </c>
      <c r="RQC132" s="531" t="e">
        <f t="shared" si="201"/>
        <v>#DIV/0!</v>
      </c>
      <c r="RQD132" s="531" t="e">
        <f t="shared" si="201"/>
        <v>#DIV/0!</v>
      </c>
      <c r="RQE132" s="531" t="e">
        <f t="shared" ref="RQE132:RSP132" si="202">(RQE128-RQE116)/(RQE52*10^5)</f>
        <v>#DIV/0!</v>
      </c>
      <c r="RQF132" s="531" t="e">
        <f t="shared" si="202"/>
        <v>#DIV/0!</v>
      </c>
      <c r="RQG132" s="531" t="e">
        <f t="shared" si="202"/>
        <v>#DIV/0!</v>
      </c>
      <c r="RQH132" s="531" t="e">
        <f t="shared" si="202"/>
        <v>#DIV/0!</v>
      </c>
      <c r="RQI132" s="531" t="e">
        <f t="shared" si="202"/>
        <v>#DIV/0!</v>
      </c>
      <c r="RQJ132" s="531" t="e">
        <f t="shared" si="202"/>
        <v>#DIV/0!</v>
      </c>
      <c r="RQK132" s="531" t="e">
        <f t="shared" si="202"/>
        <v>#DIV/0!</v>
      </c>
      <c r="RQL132" s="531" t="e">
        <f t="shared" si="202"/>
        <v>#DIV/0!</v>
      </c>
      <c r="RQM132" s="531" t="e">
        <f t="shared" si="202"/>
        <v>#DIV/0!</v>
      </c>
      <c r="RQN132" s="531" t="e">
        <f t="shared" si="202"/>
        <v>#DIV/0!</v>
      </c>
      <c r="RQO132" s="531" t="e">
        <f t="shared" si="202"/>
        <v>#DIV/0!</v>
      </c>
      <c r="RQP132" s="531" t="e">
        <f t="shared" si="202"/>
        <v>#DIV/0!</v>
      </c>
      <c r="RQQ132" s="531" t="e">
        <f t="shared" si="202"/>
        <v>#DIV/0!</v>
      </c>
      <c r="RQR132" s="531" t="e">
        <f t="shared" si="202"/>
        <v>#DIV/0!</v>
      </c>
      <c r="RQS132" s="531" t="e">
        <f t="shared" si="202"/>
        <v>#DIV/0!</v>
      </c>
      <c r="RQT132" s="531" t="e">
        <f t="shared" si="202"/>
        <v>#DIV/0!</v>
      </c>
      <c r="RQU132" s="531" t="e">
        <f t="shared" si="202"/>
        <v>#DIV/0!</v>
      </c>
      <c r="RQV132" s="531" t="e">
        <f t="shared" si="202"/>
        <v>#DIV/0!</v>
      </c>
      <c r="RQW132" s="531" t="e">
        <f t="shared" si="202"/>
        <v>#DIV/0!</v>
      </c>
      <c r="RQX132" s="531" t="e">
        <f t="shared" si="202"/>
        <v>#DIV/0!</v>
      </c>
      <c r="RQY132" s="531" t="e">
        <f t="shared" si="202"/>
        <v>#DIV/0!</v>
      </c>
      <c r="RQZ132" s="531" t="e">
        <f t="shared" si="202"/>
        <v>#DIV/0!</v>
      </c>
      <c r="RRA132" s="531" t="e">
        <f t="shared" si="202"/>
        <v>#DIV/0!</v>
      </c>
      <c r="RRB132" s="531" t="e">
        <f t="shared" si="202"/>
        <v>#DIV/0!</v>
      </c>
      <c r="RRC132" s="531" t="e">
        <f t="shared" si="202"/>
        <v>#DIV/0!</v>
      </c>
      <c r="RRD132" s="531" t="e">
        <f t="shared" si="202"/>
        <v>#DIV/0!</v>
      </c>
      <c r="RRE132" s="531" t="e">
        <f t="shared" si="202"/>
        <v>#DIV/0!</v>
      </c>
      <c r="RRF132" s="531" t="e">
        <f t="shared" si="202"/>
        <v>#DIV/0!</v>
      </c>
      <c r="RRG132" s="531" t="e">
        <f t="shared" si="202"/>
        <v>#DIV/0!</v>
      </c>
      <c r="RRH132" s="531" t="e">
        <f t="shared" si="202"/>
        <v>#DIV/0!</v>
      </c>
      <c r="RRI132" s="531" t="e">
        <f t="shared" si="202"/>
        <v>#DIV/0!</v>
      </c>
      <c r="RRJ132" s="531" t="e">
        <f t="shared" si="202"/>
        <v>#DIV/0!</v>
      </c>
      <c r="RRK132" s="531" t="e">
        <f t="shared" si="202"/>
        <v>#DIV/0!</v>
      </c>
      <c r="RRL132" s="531" t="e">
        <f t="shared" si="202"/>
        <v>#DIV/0!</v>
      </c>
      <c r="RRM132" s="531" t="e">
        <f t="shared" si="202"/>
        <v>#DIV/0!</v>
      </c>
      <c r="RRN132" s="531" t="e">
        <f t="shared" si="202"/>
        <v>#DIV/0!</v>
      </c>
      <c r="RRO132" s="531" t="e">
        <f t="shared" si="202"/>
        <v>#DIV/0!</v>
      </c>
      <c r="RRP132" s="531" t="e">
        <f t="shared" si="202"/>
        <v>#DIV/0!</v>
      </c>
      <c r="RRQ132" s="531" t="e">
        <f t="shared" si="202"/>
        <v>#DIV/0!</v>
      </c>
      <c r="RRR132" s="531" t="e">
        <f t="shared" si="202"/>
        <v>#DIV/0!</v>
      </c>
      <c r="RRS132" s="531" t="e">
        <f t="shared" si="202"/>
        <v>#DIV/0!</v>
      </c>
      <c r="RRT132" s="531" t="e">
        <f t="shared" si="202"/>
        <v>#DIV/0!</v>
      </c>
      <c r="RRU132" s="531" t="e">
        <f t="shared" si="202"/>
        <v>#DIV/0!</v>
      </c>
      <c r="RRV132" s="531" t="e">
        <f t="shared" si="202"/>
        <v>#DIV/0!</v>
      </c>
      <c r="RRW132" s="531" t="e">
        <f t="shared" si="202"/>
        <v>#DIV/0!</v>
      </c>
      <c r="RRX132" s="531" t="e">
        <f t="shared" si="202"/>
        <v>#DIV/0!</v>
      </c>
      <c r="RRY132" s="531" t="e">
        <f t="shared" si="202"/>
        <v>#DIV/0!</v>
      </c>
      <c r="RRZ132" s="531" t="e">
        <f t="shared" si="202"/>
        <v>#DIV/0!</v>
      </c>
      <c r="RSA132" s="531" t="e">
        <f t="shared" si="202"/>
        <v>#DIV/0!</v>
      </c>
      <c r="RSB132" s="531" t="e">
        <f t="shared" si="202"/>
        <v>#DIV/0!</v>
      </c>
      <c r="RSC132" s="531" t="e">
        <f t="shared" si="202"/>
        <v>#DIV/0!</v>
      </c>
      <c r="RSD132" s="531" t="e">
        <f t="shared" si="202"/>
        <v>#DIV/0!</v>
      </c>
      <c r="RSE132" s="531" t="e">
        <f t="shared" si="202"/>
        <v>#DIV/0!</v>
      </c>
      <c r="RSF132" s="531" t="e">
        <f t="shared" si="202"/>
        <v>#DIV/0!</v>
      </c>
      <c r="RSG132" s="531" t="e">
        <f t="shared" si="202"/>
        <v>#DIV/0!</v>
      </c>
      <c r="RSH132" s="531" t="e">
        <f t="shared" si="202"/>
        <v>#DIV/0!</v>
      </c>
      <c r="RSI132" s="531" t="e">
        <f t="shared" si="202"/>
        <v>#DIV/0!</v>
      </c>
      <c r="RSJ132" s="531" t="e">
        <f t="shared" si="202"/>
        <v>#DIV/0!</v>
      </c>
      <c r="RSK132" s="531" t="e">
        <f t="shared" si="202"/>
        <v>#DIV/0!</v>
      </c>
      <c r="RSL132" s="531" t="e">
        <f t="shared" si="202"/>
        <v>#DIV/0!</v>
      </c>
      <c r="RSM132" s="531" t="e">
        <f t="shared" si="202"/>
        <v>#DIV/0!</v>
      </c>
      <c r="RSN132" s="531" t="e">
        <f t="shared" si="202"/>
        <v>#DIV/0!</v>
      </c>
      <c r="RSO132" s="531" t="e">
        <f t="shared" si="202"/>
        <v>#DIV/0!</v>
      </c>
      <c r="RSP132" s="531" t="e">
        <f t="shared" si="202"/>
        <v>#DIV/0!</v>
      </c>
      <c r="RSQ132" s="531" t="e">
        <f t="shared" ref="RSQ132:RVB132" si="203">(RSQ128-RSQ116)/(RSQ52*10^5)</f>
        <v>#DIV/0!</v>
      </c>
      <c r="RSR132" s="531" t="e">
        <f t="shared" si="203"/>
        <v>#DIV/0!</v>
      </c>
      <c r="RSS132" s="531" t="e">
        <f t="shared" si="203"/>
        <v>#DIV/0!</v>
      </c>
      <c r="RST132" s="531" t="e">
        <f t="shared" si="203"/>
        <v>#DIV/0!</v>
      </c>
      <c r="RSU132" s="531" t="e">
        <f t="shared" si="203"/>
        <v>#DIV/0!</v>
      </c>
      <c r="RSV132" s="531" t="e">
        <f t="shared" si="203"/>
        <v>#DIV/0!</v>
      </c>
      <c r="RSW132" s="531" t="e">
        <f t="shared" si="203"/>
        <v>#DIV/0!</v>
      </c>
      <c r="RSX132" s="531" t="e">
        <f t="shared" si="203"/>
        <v>#DIV/0!</v>
      </c>
      <c r="RSY132" s="531" t="e">
        <f t="shared" si="203"/>
        <v>#DIV/0!</v>
      </c>
      <c r="RSZ132" s="531" t="e">
        <f t="shared" si="203"/>
        <v>#DIV/0!</v>
      </c>
      <c r="RTA132" s="531" t="e">
        <f t="shared" si="203"/>
        <v>#DIV/0!</v>
      </c>
      <c r="RTB132" s="531" t="e">
        <f t="shared" si="203"/>
        <v>#DIV/0!</v>
      </c>
      <c r="RTC132" s="531" t="e">
        <f t="shared" si="203"/>
        <v>#DIV/0!</v>
      </c>
      <c r="RTD132" s="531" t="e">
        <f t="shared" si="203"/>
        <v>#DIV/0!</v>
      </c>
      <c r="RTE132" s="531" t="e">
        <f t="shared" si="203"/>
        <v>#DIV/0!</v>
      </c>
      <c r="RTF132" s="531" t="e">
        <f t="shared" si="203"/>
        <v>#DIV/0!</v>
      </c>
      <c r="RTG132" s="531" t="e">
        <f t="shared" si="203"/>
        <v>#DIV/0!</v>
      </c>
      <c r="RTH132" s="531" t="e">
        <f t="shared" si="203"/>
        <v>#DIV/0!</v>
      </c>
      <c r="RTI132" s="531" t="e">
        <f t="shared" si="203"/>
        <v>#DIV/0!</v>
      </c>
      <c r="RTJ132" s="531" t="e">
        <f t="shared" si="203"/>
        <v>#DIV/0!</v>
      </c>
      <c r="RTK132" s="531" t="e">
        <f t="shared" si="203"/>
        <v>#DIV/0!</v>
      </c>
      <c r="RTL132" s="531" t="e">
        <f t="shared" si="203"/>
        <v>#DIV/0!</v>
      </c>
      <c r="RTM132" s="531" t="e">
        <f t="shared" si="203"/>
        <v>#DIV/0!</v>
      </c>
      <c r="RTN132" s="531" t="e">
        <f t="shared" si="203"/>
        <v>#DIV/0!</v>
      </c>
      <c r="RTO132" s="531" t="e">
        <f t="shared" si="203"/>
        <v>#DIV/0!</v>
      </c>
      <c r="RTP132" s="531" t="e">
        <f t="shared" si="203"/>
        <v>#DIV/0!</v>
      </c>
      <c r="RTQ132" s="531" t="e">
        <f t="shared" si="203"/>
        <v>#DIV/0!</v>
      </c>
      <c r="RTR132" s="531" t="e">
        <f t="shared" si="203"/>
        <v>#DIV/0!</v>
      </c>
      <c r="RTS132" s="531" t="e">
        <f t="shared" si="203"/>
        <v>#DIV/0!</v>
      </c>
      <c r="RTT132" s="531" t="e">
        <f t="shared" si="203"/>
        <v>#DIV/0!</v>
      </c>
      <c r="RTU132" s="531" t="e">
        <f t="shared" si="203"/>
        <v>#DIV/0!</v>
      </c>
      <c r="RTV132" s="531" t="e">
        <f t="shared" si="203"/>
        <v>#DIV/0!</v>
      </c>
      <c r="RTW132" s="531" t="e">
        <f t="shared" si="203"/>
        <v>#DIV/0!</v>
      </c>
      <c r="RTX132" s="531" t="e">
        <f t="shared" si="203"/>
        <v>#DIV/0!</v>
      </c>
      <c r="RTY132" s="531" t="e">
        <f t="shared" si="203"/>
        <v>#DIV/0!</v>
      </c>
      <c r="RTZ132" s="531" t="e">
        <f t="shared" si="203"/>
        <v>#DIV/0!</v>
      </c>
      <c r="RUA132" s="531" t="e">
        <f t="shared" si="203"/>
        <v>#DIV/0!</v>
      </c>
      <c r="RUB132" s="531" t="e">
        <f t="shared" si="203"/>
        <v>#DIV/0!</v>
      </c>
      <c r="RUC132" s="531" t="e">
        <f t="shared" si="203"/>
        <v>#DIV/0!</v>
      </c>
      <c r="RUD132" s="531" t="e">
        <f t="shared" si="203"/>
        <v>#DIV/0!</v>
      </c>
      <c r="RUE132" s="531" t="e">
        <f t="shared" si="203"/>
        <v>#DIV/0!</v>
      </c>
      <c r="RUF132" s="531" t="e">
        <f t="shared" si="203"/>
        <v>#DIV/0!</v>
      </c>
      <c r="RUG132" s="531" t="e">
        <f t="shared" si="203"/>
        <v>#DIV/0!</v>
      </c>
      <c r="RUH132" s="531" t="e">
        <f t="shared" si="203"/>
        <v>#DIV/0!</v>
      </c>
      <c r="RUI132" s="531" t="e">
        <f t="shared" si="203"/>
        <v>#DIV/0!</v>
      </c>
      <c r="RUJ132" s="531" t="e">
        <f t="shared" si="203"/>
        <v>#DIV/0!</v>
      </c>
      <c r="RUK132" s="531" t="e">
        <f t="shared" si="203"/>
        <v>#DIV/0!</v>
      </c>
      <c r="RUL132" s="531" t="e">
        <f t="shared" si="203"/>
        <v>#DIV/0!</v>
      </c>
      <c r="RUM132" s="531" t="e">
        <f t="shared" si="203"/>
        <v>#DIV/0!</v>
      </c>
      <c r="RUN132" s="531" t="e">
        <f t="shared" si="203"/>
        <v>#DIV/0!</v>
      </c>
      <c r="RUO132" s="531" t="e">
        <f t="shared" si="203"/>
        <v>#DIV/0!</v>
      </c>
      <c r="RUP132" s="531" t="e">
        <f t="shared" si="203"/>
        <v>#DIV/0!</v>
      </c>
      <c r="RUQ132" s="531" t="e">
        <f t="shared" si="203"/>
        <v>#DIV/0!</v>
      </c>
      <c r="RUR132" s="531" t="e">
        <f t="shared" si="203"/>
        <v>#DIV/0!</v>
      </c>
      <c r="RUS132" s="531" t="e">
        <f t="shared" si="203"/>
        <v>#DIV/0!</v>
      </c>
      <c r="RUT132" s="531" t="e">
        <f t="shared" si="203"/>
        <v>#DIV/0!</v>
      </c>
      <c r="RUU132" s="531" t="e">
        <f t="shared" si="203"/>
        <v>#DIV/0!</v>
      </c>
      <c r="RUV132" s="531" t="e">
        <f t="shared" si="203"/>
        <v>#DIV/0!</v>
      </c>
      <c r="RUW132" s="531" t="e">
        <f t="shared" si="203"/>
        <v>#DIV/0!</v>
      </c>
      <c r="RUX132" s="531" t="e">
        <f t="shared" si="203"/>
        <v>#DIV/0!</v>
      </c>
      <c r="RUY132" s="531" t="e">
        <f t="shared" si="203"/>
        <v>#DIV/0!</v>
      </c>
      <c r="RUZ132" s="531" t="e">
        <f t="shared" si="203"/>
        <v>#DIV/0!</v>
      </c>
      <c r="RVA132" s="531" t="e">
        <f t="shared" si="203"/>
        <v>#DIV/0!</v>
      </c>
      <c r="RVB132" s="531" t="e">
        <f t="shared" si="203"/>
        <v>#DIV/0!</v>
      </c>
      <c r="RVC132" s="531" t="e">
        <f t="shared" ref="RVC132:RXN132" si="204">(RVC128-RVC116)/(RVC52*10^5)</f>
        <v>#DIV/0!</v>
      </c>
      <c r="RVD132" s="531" t="e">
        <f t="shared" si="204"/>
        <v>#DIV/0!</v>
      </c>
      <c r="RVE132" s="531" t="e">
        <f t="shared" si="204"/>
        <v>#DIV/0!</v>
      </c>
      <c r="RVF132" s="531" t="e">
        <f t="shared" si="204"/>
        <v>#DIV/0!</v>
      </c>
      <c r="RVG132" s="531" t="e">
        <f t="shared" si="204"/>
        <v>#DIV/0!</v>
      </c>
      <c r="RVH132" s="531" t="e">
        <f t="shared" si="204"/>
        <v>#DIV/0!</v>
      </c>
      <c r="RVI132" s="531" t="e">
        <f t="shared" si="204"/>
        <v>#DIV/0!</v>
      </c>
      <c r="RVJ132" s="531" t="e">
        <f t="shared" si="204"/>
        <v>#DIV/0!</v>
      </c>
      <c r="RVK132" s="531" t="e">
        <f t="shared" si="204"/>
        <v>#DIV/0!</v>
      </c>
      <c r="RVL132" s="531" t="e">
        <f t="shared" si="204"/>
        <v>#DIV/0!</v>
      </c>
      <c r="RVM132" s="531" t="e">
        <f t="shared" si="204"/>
        <v>#DIV/0!</v>
      </c>
      <c r="RVN132" s="531" t="e">
        <f t="shared" si="204"/>
        <v>#DIV/0!</v>
      </c>
      <c r="RVO132" s="531" t="e">
        <f t="shared" si="204"/>
        <v>#DIV/0!</v>
      </c>
      <c r="RVP132" s="531" t="e">
        <f t="shared" si="204"/>
        <v>#DIV/0!</v>
      </c>
      <c r="RVQ132" s="531" t="e">
        <f t="shared" si="204"/>
        <v>#DIV/0!</v>
      </c>
      <c r="RVR132" s="531" t="e">
        <f t="shared" si="204"/>
        <v>#DIV/0!</v>
      </c>
      <c r="RVS132" s="531" t="e">
        <f t="shared" si="204"/>
        <v>#DIV/0!</v>
      </c>
      <c r="RVT132" s="531" t="e">
        <f t="shared" si="204"/>
        <v>#DIV/0!</v>
      </c>
      <c r="RVU132" s="531" t="e">
        <f t="shared" si="204"/>
        <v>#DIV/0!</v>
      </c>
      <c r="RVV132" s="531" t="e">
        <f t="shared" si="204"/>
        <v>#DIV/0!</v>
      </c>
      <c r="RVW132" s="531" t="e">
        <f t="shared" si="204"/>
        <v>#DIV/0!</v>
      </c>
      <c r="RVX132" s="531" t="e">
        <f t="shared" si="204"/>
        <v>#DIV/0!</v>
      </c>
      <c r="RVY132" s="531" t="e">
        <f t="shared" si="204"/>
        <v>#DIV/0!</v>
      </c>
      <c r="RVZ132" s="531" t="e">
        <f t="shared" si="204"/>
        <v>#DIV/0!</v>
      </c>
      <c r="RWA132" s="531" t="e">
        <f t="shared" si="204"/>
        <v>#DIV/0!</v>
      </c>
      <c r="RWB132" s="531" t="e">
        <f t="shared" si="204"/>
        <v>#DIV/0!</v>
      </c>
      <c r="RWC132" s="531" t="e">
        <f t="shared" si="204"/>
        <v>#DIV/0!</v>
      </c>
      <c r="RWD132" s="531" t="e">
        <f t="shared" si="204"/>
        <v>#DIV/0!</v>
      </c>
      <c r="RWE132" s="531" t="e">
        <f t="shared" si="204"/>
        <v>#DIV/0!</v>
      </c>
      <c r="RWF132" s="531" t="e">
        <f t="shared" si="204"/>
        <v>#DIV/0!</v>
      </c>
      <c r="RWG132" s="531" t="e">
        <f t="shared" si="204"/>
        <v>#DIV/0!</v>
      </c>
      <c r="RWH132" s="531" t="e">
        <f t="shared" si="204"/>
        <v>#DIV/0!</v>
      </c>
      <c r="RWI132" s="531" t="e">
        <f t="shared" si="204"/>
        <v>#DIV/0!</v>
      </c>
      <c r="RWJ132" s="531" t="e">
        <f t="shared" si="204"/>
        <v>#DIV/0!</v>
      </c>
      <c r="RWK132" s="531" t="e">
        <f t="shared" si="204"/>
        <v>#DIV/0!</v>
      </c>
      <c r="RWL132" s="531" t="e">
        <f t="shared" si="204"/>
        <v>#DIV/0!</v>
      </c>
      <c r="RWM132" s="531" t="e">
        <f t="shared" si="204"/>
        <v>#DIV/0!</v>
      </c>
      <c r="RWN132" s="531" t="e">
        <f t="shared" si="204"/>
        <v>#DIV/0!</v>
      </c>
      <c r="RWO132" s="531" t="e">
        <f t="shared" si="204"/>
        <v>#DIV/0!</v>
      </c>
      <c r="RWP132" s="531" t="e">
        <f t="shared" si="204"/>
        <v>#DIV/0!</v>
      </c>
      <c r="RWQ132" s="531" t="e">
        <f t="shared" si="204"/>
        <v>#DIV/0!</v>
      </c>
      <c r="RWR132" s="531" t="e">
        <f t="shared" si="204"/>
        <v>#DIV/0!</v>
      </c>
      <c r="RWS132" s="531" t="e">
        <f t="shared" si="204"/>
        <v>#DIV/0!</v>
      </c>
      <c r="RWT132" s="531" t="e">
        <f t="shared" si="204"/>
        <v>#DIV/0!</v>
      </c>
      <c r="RWU132" s="531" t="e">
        <f t="shared" si="204"/>
        <v>#DIV/0!</v>
      </c>
      <c r="RWV132" s="531" t="e">
        <f t="shared" si="204"/>
        <v>#DIV/0!</v>
      </c>
      <c r="RWW132" s="531" t="e">
        <f t="shared" si="204"/>
        <v>#DIV/0!</v>
      </c>
      <c r="RWX132" s="531" t="e">
        <f t="shared" si="204"/>
        <v>#DIV/0!</v>
      </c>
      <c r="RWY132" s="531" t="e">
        <f t="shared" si="204"/>
        <v>#DIV/0!</v>
      </c>
      <c r="RWZ132" s="531" t="e">
        <f t="shared" si="204"/>
        <v>#DIV/0!</v>
      </c>
      <c r="RXA132" s="531" t="e">
        <f t="shared" si="204"/>
        <v>#DIV/0!</v>
      </c>
      <c r="RXB132" s="531" t="e">
        <f t="shared" si="204"/>
        <v>#DIV/0!</v>
      </c>
      <c r="RXC132" s="531" t="e">
        <f t="shared" si="204"/>
        <v>#DIV/0!</v>
      </c>
      <c r="RXD132" s="531" t="e">
        <f t="shared" si="204"/>
        <v>#DIV/0!</v>
      </c>
      <c r="RXE132" s="531" t="e">
        <f t="shared" si="204"/>
        <v>#DIV/0!</v>
      </c>
      <c r="RXF132" s="531" t="e">
        <f t="shared" si="204"/>
        <v>#DIV/0!</v>
      </c>
      <c r="RXG132" s="531" t="e">
        <f t="shared" si="204"/>
        <v>#DIV/0!</v>
      </c>
      <c r="RXH132" s="531" t="e">
        <f t="shared" si="204"/>
        <v>#DIV/0!</v>
      </c>
      <c r="RXI132" s="531" t="e">
        <f t="shared" si="204"/>
        <v>#DIV/0!</v>
      </c>
      <c r="RXJ132" s="531" t="e">
        <f t="shared" si="204"/>
        <v>#DIV/0!</v>
      </c>
      <c r="RXK132" s="531" t="e">
        <f t="shared" si="204"/>
        <v>#DIV/0!</v>
      </c>
      <c r="RXL132" s="531" t="e">
        <f t="shared" si="204"/>
        <v>#DIV/0!</v>
      </c>
      <c r="RXM132" s="531" t="e">
        <f t="shared" si="204"/>
        <v>#DIV/0!</v>
      </c>
      <c r="RXN132" s="531" t="e">
        <f t="shared" si="204"/>
        <v>#DIV/0!</v>
      </c>
      <c r="RXO132" s="531" t="e">
        <f t="shared" ref="RXO132:RZZ132" si="205">(RXO128-RXO116)/(RXO52*10^5)</f>
        <v>#DIV/0!</v>
      </c>
      <c r="RXP132" s="531" t="e">
        <f t="shared" si="205"/>
        <v>#DIV/0!</v>
      </c>
      <c r="RXQ132" s="531" t="e">
        <f t="shared" si="205"/>
        <v>#DIV/0!</v>
      </c>
      <c r="RXR132" s="531" t="e">
        <f t="shared" si="205"/>
        <v>#DIV/0!</v>
      </c>
      <c r="RXS132" s="531" t="e">
        <f t="shared" si="205"/>
        <v>#DIV/0!</v>
      </c>
      <c r="RXT132" s="531" t="e">
        <f t="shared" si="205"/>
        <v>#DIV/0!</v>
      </c>
      <c r="RXU132" s="531" t="e">
        <f t="shared" si="205"/>
        <v>#DIV/0!</v>
      </c>
      <c r="RXV132" s="531" t="e">
        <f t="shared" si="205"/>
        <v>#DIV/0!</v>
      </c>
      <c r="RXW132" s="531" t="e">
        <f t="shared" si="205"/>
        <v>#DIV/0!</v>
      </c>
      <c r="RXX132" s="531" t="e">
        <f t="shared" si="205"/>
        <v>#DIV/0!</v>
      </c>
      <c r="RXY132" s="531" t="e">
        <f t="shared" si="205"/>
        <v>#DIV/0!</v>
      </c>
      <c r="RXZ132" s="531" t="e">
        <f t="shared" si="205"/>
        <v>#DIV/0!</v>
      </c>
      <c r="RYA132" s="531" t="e">
        <f t="shared" si="205"/>
        <v>#DIV/0!</v>
      </c>
      <c r="RYB132" s="531" t="e">
        <f t="shared" si="205"/>
        <v>#DIV/0!</v>
      </c>
      <c r="RYC132" s="531" t="e">
        <f t="shared" si="205"/>
        <v>#DIV/0!</v>
      </c>
      <c r="RYD132" s="531" t="e">
        <f t="shared" si="205"/>
        <v>#DIV/0!</v>
      </c>
      <c r="RYE132" s="531" t="e">
        <f t="shared" si="205"/>
        <v>#DIV/0!</v>
      </c>
      <c r="RYF132" s="531" t="e">
        <f t="shared" si="205"/>
        <v>#DIV/0!</v>
      </c>
      <c r="RYG132" s="531" t="e">
        <f t="shared" si="205"/>
        <v>#DIV/0!</v>
      </c>
      <c r="RYH132" s="531" t="e">
        <f t="shared" si="205"/>
        <v>#DIV/0!</v>
      </c>
      <c r="RYI132" s="531" t="e">
        <f t="shared" si="205"/>
        <v>#DIV/0!</v>
      </c>
      <c r="RYJ132" s="531" t="e">
        <f t="shared" si="205"/>
        <v>#DIV/0!</v>
      </c>
      <c r="RYK132" s="531" t="e">
        <f t="shared" si="205"/>
        <v>#DIV/0!</v>
      </c>
      <c r="RYL132" s="531" t="e">
        <f t="shared" si="205"/>
        <v>#DIV/0!</v>
      </c>
      <c r="RYM132" s="531" t="e">
        <f t="shared" si="205"/>
        <v>#DIV/0!</v>
      </c>
      <c r="RYN132" s="531" t="e">
        <f t="shared" si="205"/>
        <v>#DIV/0!</v>
      </c>
      <c r="RYO132" s="531" t="e">
        <f t="shared" si="205"/>
        <v>#DIV/0!</v>
      </c>
      <c r="RYP132" s="531" t="e">
        <f t="shared" si="205"/>
        <v>#DIV/0!</v>
      </c>
      <c r="RYQ132" s="531" t="e">
        <f t="shared" si="205"/>
        <v>#DIV/0!</v>
      </c>
      <c r="RYR132" s="531" t="e">
        <f t="shared" si="205"/>
        <v>#DIV/0!</v>
      </c>
      <c r="RYS132" s="531" t="e">
        <f t="shared" si="205"/>
        <v>#DIV/0!</v>
      </c>
      <c r="RYT132" s="531" t="e">
        <f t="shared" si="205"/>
        <v>#DIV/0!</v>
      </c>
      <c r="RYU132" s="531" t="e">
        <f t="shared" si="205"/>
        <v>#DIV/0!</v>
      </c>
      <c r="RYV132" s="531" t="e">
        <f t="shared" si="205"/>
        <v>#DIV/0!</v>
      </c>
      <c r="RYW132" s="531" t="e">
        <f t="shared" si="205"/>
        <v>#DIV/0!</v>
      </c>
      <c r="RYX132" s="531" t="e">
        <f t="shared" si="205"/>
        <v>#DIV/0!</v>
      </c>
      <c r="RYY132" s="531" t="e">
        <f t="shared" si="205"/>
        <v>#DIV/0!</v>
      </c>
      <c r="RYZ132" s="531" t="e">
        <f t="shared" si="205"/>
        <v>#DIV/0!</v>
      </c>
      <c r="RZA132" s="531" t="e">
        <f t="shared" si="205"/>
        <v>#DIV/0!</v>
      </c>
      <c r="RZB132" s="531" t="e">
        <f t="shared" si="205"/>
        <v>#DIV/0!</v>
      </c>
      <c r="RZC132" s="531" t="e">
        <f t="shared" si="205"/>
        <v>#DIV/0!</v>
      </c>
      <c r="RZD132" s="531" t="e">
        <f t="shared" si="205"/>
        <v>#DIV/0!</v>
      </c>
      <c r="RZE132" s="531" t="e">
        <f t="shared" si="205"/>
        <v>#DIV/0!</v>
      </c>
      <c r="RZF132" s="531" t="e">
        <f t="shared" si="205"/>
        <v>#DIV/0!</v>
      </c>
      <c r="RZG132" s="531" t="e">
        <f t="shared" si="205"/>
        <v>#DIV/0!</v>
      </c>
      <c r="RZH132" s="531" t="e">
        <f t="shared" si="205"/>
        <v>#DIV/0!</v>
      </c>
      <c r="RZI132" s="531" t="e">
        <f t="shared" si="205"/>
        <v>#DIV/0!</v>
      </c>
      <c r="RZJ132" s="531" t="e">
        <f t="shared" si="205"/>
        <v>#DIV/0!</v>
      </c>
      <c r="RZK132" s="531" t="e">
        <f t="shared" si="205"/>
        <v>#DIV/0!</v>
      </c>
      <c r="RZL132" s="531" t="e">
        <f t="shared" si="205"/>
        <v>#DIV/0!</v>
      </c>
      <c r="RZM132" s="531" t="e">
        <f t="shared" si="205"/>
        <v>#DIV/0!</v>
      </c>
      <c r="RZN132" s="531" t="e">
        <f t="shared" si="205"/>
        <v>#DIV/0!</v>
      </c>
      <c r="RZO132" s="531" t="e">
        <f t="shared" si="205"/>
        <v>#DIV/0!</v>
      </c>
      <c r="RZP132" s="531" t="e">
        <f t="shared" si="205"/>
        <v>#DIV/0!</v>
      </c>
      <c r="RZQ132" s="531" t="e">
        <f t="shared" si="205"/>
        <v>#DIV/0!</v>
      </c>
      <c r="RZR132" s="531" t="e">
        <f t="shared" si="205"/>
        <v>#DIV/0!</v>
      </c>
      <c r="RZS132" s="531" t="e">
        <f t="shared" si="205"/>
        <v>#DIV/0!</v>
      </c>
      <c r="RZT132" s="531" t="e">
        <f t="shared" si="205"/>
        <v>#DIV/0!</v>
      </c>
      <c r="RZU132" s="531" t="e">
        <f t="shared" si="205"/>
        <v>#DIV/0!</v>
      </c>
      <c r="RZV132" s="531" t="e">
        <f t="shared" si="205"/>
        <v>#DIV/0!</v>
      </c>
      <c r="RZW132" s="531" t="e">
        <f t="shared" si="205"/>
        <v>#DIV/0!</v>
      </c>
      <c r="RZX132" s="531" t="e">
        <f t="shared" si="205"/>
        <v>#DIV/0!</v>
      </c>
      <c r="RZY132" s="531" t="e">
        <f t="shared" si="205"/>
        <v>#DIV/0!</v>
      </c>
      <c r="RZZ132" s="531" t="e">
        <f t="shared" si="205"/>
        <v>#DIV/0!</v>
      </c>
      <c r="SAA132" s="531" t="e">
        <f t="shared" ref="SAA132:SCL132" si="206">(SAA128-SAA116)/(SAA52*10^5)</f>
        <v>#DIV/0!</v>
      </c>
      <c r="SAB132" s="531" t="e">
        <f t="shared" si="206"/>
        <v>#DIV/0!</v>
      </c>
      <c r="SAC132" s="531" t="e">
        <f t="shared" si="206"/>
        <v>#DIV/0!</v>
      </c>
      <c r="SAD132" s="531" t="e">
        <f t="shared" si="206"/>
        <v>#DIV/0!</v>
      </c>
      <c r="SAE132" s="531" t="e">
        <f t="shared" si="206"/>
        <v>#DIV/0!</v>
      </c>
      <c r="SAF132" s="531" t="e">
        <f t="shared" si="206"/>
        <v>#DIV/0!</v>
      </c>
      <c r="SAG132" s="531" t="e">
        <f t="shared" si="206"/>
        <v>#DIV/0!</v>
      </c>
      <c r="SAH132" s="531" t="e">
        <f t="shared" si="206"/>
        <v>#DIV/0!</v>
      </c>
      <c r="SAI132" s="531" t="e">
        <f t="shared" si="206"/>
        <v>#DIV/0!</v>
      </c>
      <c r="SAJ132" s="531" t="e">
        <f t="shared" si="206"/>
        <v>#DIV/0!</v>
      </c>
      <c r="SAK132" s="531" t="e">
        <f t="shared" si="206"/>
        <v>#DIV/0!</v>
      </c>
      <c r="SAL132" s="531" t="e">
        <f t="shared" si="206"/>
        <v>#DIV/0!</v>
      </c>
      <c r="SAM132" s="531" t="e">
        <f t="shared" si="206"/>
        <v>#DIV/0!</v>
      </c>
      <c r="SAN132" s="531" t="e">
        <f t="shared" si="206"/>
        <v>#DIV/0!</v>
      </c>
      <c r="SAO132" s="531" t="e">
        <f t="shared" si="206"/>
        <v>#DIV/0!</v>
      </c>
      <c r="SAP132" s="531" t="e">
        <f t="shared" si="206"/>
        <v>#DIV/0!</v>
      </c>
      <c r="SAQ132" s="531" t="e">
        <f t="shared" si="206"/>
        <v>#DIV/0!</v>
      </c>
      <c r="SAR132" s="531" t="e">
        <f t="shared" si="206"/>
        <v>#DIV/0!</v>
      </c>
      <c r="SAS132" s="531" t="e">
        <f t="shared" si="206"/>
        <v>#DIV/0!</v>
      </c>
      <c r="SAT132" s="531" t="e">
        <f t="shared" si="206"/>
        <v>#DIV/0!</v>
      </c>
      <c r="SAU132" s="531" t="e">
        <f t="shared" si="206"/>
        <v>#DIV/0!</v>
      </c>
      <c r="SAV132" s="531" t="e">
        <f t="shared" si="206"/>
        <v>#DIV/0!</v>
      </c>
      <c r="SAW132" s="531" t="e">
        <f t="shared" si="206"/>
        <v>#DIV/0!</v>
      </c>
      <c r="SAX132" s="531" t="e">
        <f t="shared" si="206"/>
        <v>#DIV/0!</v>
      </c>
      <c r="SAY132" s="531" t="e">
        <f t="shared" si="206"/>
        <v>#DIV/0!</v>
      </c>
      <c r="SAZ132" s="531" t="e">
        <f t="shared" si="206"/>
        <v>#DIV/0!</v>
      </c>
      <c r="SBA132" s="531" t="e">
        <f t="shared" si="206"/>
        <v>#DIV/0!</v>
      </c>
      <c r="SBB132" s="531" t="e">
        <f t="shared" si="206"/>
        <v>#DIV/0!</v>
      </c>
      <c r="SBC132" s="531" t="e">
        <f t="shared" si="206"/>
        <v>#DIV/0!</v>
      </c>
      <c r="SBD132" s="531" t="e">
        <f t="shared" si="206"/>
        <v>#DIV/0!</v>
      </c>
      <c r="SBE132" s="531" t="e">
        <f t="shared" si="206"/>
        <v>#DIV/0!</v>
      </c>
      <c r="SBF132" s="531" t="e">
        <f t="shared" si="206"/>
        <v>#DIV/0!</v>
      </c>
      <c r="SBG132" s="531" t="e">
        <f t="shared" si="206"/>
        <v>#DIV/0!</v>
      </c>
      <c r="SBH132" s="531" t="e">
        <f t="shared" si="206"/>
        <v>#DIV/0!</v>
      </c>
      <c r="SBI132" s="531" t="e">
        <f t="shared" si="206"/>
        <v>#DIV/0!</v>
      </c>
      <c r="SBJ132" s="531" t="e">
        <f t="shared" si="206"/>
        <v>#DIV/0!</v>
      </c>
      <c r="SBK132" s="531" t="e">
        <f t="shared" si="206"/>
        <v>#DIV/0!</v>
      </c>
      <c r="SBL132" s="531" t="e">
        <f t="shared" si="206"/>
        <v>#DIV/0!</v>
      </c>
      <c r="SBM132" s="531" t="e">
        <f t="shared" si="206"/>
        <v>#DIV/0!</v>
      </c>
      <c r="SBN132" s="531" t="e">
        <f t="shared" si="206"/>
        <v>#DIV/0!</v>
      </c>
      <c r="SBO132" s="531" t="e">
        <f t="shared" si="206"/>
        <v>#DIV/0!</v>
      </c>
      <c r="SBP132" s="531" t="e">
        <f t="shared" si="206"/>
        <v>#DIV/0!</v>
      </c>
      <c r="SBQ132" s="531" t="e">
        <f t="shared" si="206"/>
        <v>#DIV/0!</v>
      </c>
      <c r="SBR132" s="531" t="e">
        <f t="shared" si="206"/>
        <v>#DIV/0!</v>
      </c>
      <c r="SBS132" s="531" t="e">
        <f t="shared" si="206"/>
        <v>#DIV/0!</v>
      </c>
      <c r="SBT132" s="531" t="e">
        <f t="shared" si="206"/>
        <v>#DIV/0!</v>
      </c>
      <c r="SBU132" s="531" t="e">
        <f t="shared" si="206"/>
        <v>#DIV/0!</v>
      </c>
      <c r="SBV132" s="531" t="e">
        <f t="shared" si="206"/>
        <v>#DIV/0!</v>
      </c>
      <c r="SBW132" s="531" t="e">
        <f t="shared" si="206"/>
        <v>#DIV/0!</v>
      </c>
      <c r="SBX132" s="531" t="e">
        <f t="shared" si="206"/>
        <v>#DIV/0!</v>
      </c>
      <c r="SBY132" s="531" t="e">
        <f t="shared" si="206"/>
        <v>#DIV/0!</v>
      </c>
      <c r="SBZ132" s="531" t="e">
        <f t="shared" si="206"/>
        <v>#DIV/0!</v>
      </c>
      <c r="SCA132" s="531" t="e">
        <f t="shared" si="206"/>
        <v>#DIV/0!</v>
      </c>
      <c r="SCB132" s="531" t="e">
        <f t="shared" si="206"/>
        <v>#DIV/0!</v>
      </c>
      <c r="SCC132" s="531" t="e">
        <f t="shared" si="206"/>
        <v>#DIV/0!</v>
      </c>
      <c r="SCD132" s="531" t="e">
        <f t="shared" si="206"/>
        <v>#DIV/0!</v>
      </c>
      <c r="SCE132" s="531" t="e">
        <f t="shared" si="206"/>
        <v>#DIV/0!</v>
      </c>
      <c r="SCF132" s="531" t="e">
        <f t="shared" si="206"/>
        <v>#DIV/0!</v>
      </c>
      <c r="SCG132" s="531" t="e">
        <f t="shared" si="206"/>
        <v>#DIV/0!</v>
      </c>
      <c r="SCH132" s="531" t="e">
        <f t="shared" si="206"/>
        <v>#DIV/0!</v>
      </c>
      <c r="SCI132" s="531" t="e">
        <f t="shared" si="206"/>
        <v>#DIV/0!</v>
      </c>
      <c r="SCJ132" s="531" t="e">
        <f t="shared" si="206"/>
        <v>#DIV/0!</v>
      </c>
      <c r="SCK132" s="531" t="e">
        <f t="shared" si="206"/>
        <v>#DIV/0!</v>
      </c>
      <c r="SCL132" s="531" t="e">
        <f t="shared" si="206"/>
        <v>#DIV/0!</v>
      </c>
      <c r="SCM132" s="531" t="e">
        <f t="shared" ref="SCM132:SEX132" si="207">(SCM128-SCM116)/(SCM52*10^5)</f>
        <v>#DIV/0!</v>
      </c>
      <c r="SCN132" s="531" t="e">
        <f t="shared" si="207"/>
        <v>#DIV/0!</v>
      </c>
      <c r="SCO132" s="531" t="e">
        <f t="shared" si="207"/>
        <v>#DIV/0!</v>
      </c>
      <c r="SCP132" s="531" t="e">
        <f t="shared" si="207"/>
        <v>#DIV/0!</v>
      </c>
      <c r="SCQ132" s="531" t="e">
        <f t="shared" si="207"/>
        <v>#DIV/0!</v>
      </c>
      <c r="SCR132" s="531" t="e">
        <f t="shared" si="207"/>
        <v>#DIV/0!</v>
      </c>
      <c r="SCS132" s="531" t="e">
        <f t="shared" si="207"/>
        <v>#DIV/0!</v>
      </c>
      <c r="SCT132" s="531" t="e">
        <f t="shared" si="207"/>
        <v>#DIV/0!</v>
      </c>
      <c r="SCU132" s="531" t="e">
        <f t="shared" si="207"/>
        <v>#DIV/0!</v>
      </c>
      <c r="SCV132" s="531" t="e">
        <f t="shared" si="207"/>
        <v>#DIV/0!</v>
      </c>
      <c r="SCW132" s="531" t="e">
        <f t="shared" si="207"/>
        <v>#DIV/0!</v>
      </c>
      <c r="SCX132" s="531" t="e">
        <f t="shared" si="207"/>
        <v>#DIV/0!</v>
      </c>
      <c r="SCY132" s="531" t="e">
        <f t="shared" si="207"/>
        <v>#DIV/0!</v>
      </c>
      <c r="SCZ132" s="531" t="e">
        <f t="shared" si="207"/>
        <v>#DIV/0!</v>
      </c>
      <c r="SDA132" s="531" t="e">
        <f t="shared" si="207"/>
        <v>#DIV/0!</v>
      </c>
      <c r="SDB132" s="531" t="e">
        <f t="shared" si="207"/>
        <v>#DIV/0!</v>
      </c>
      <c r="SDC132" s="531" t="e">
        <f t="shared" si="207"/>
        <v>#DIV/0!</v>
      </c>
      <c r="SDD132" s="531" t="e">
        <f t="shared" si="207"/>
        <v>#DIV/0!</v>
      </c>
      <c r="SDE132" s="531" t="e">
        <f t="shared" si="207"/>
        <v>#DIV/0!</v>
      </c>
      <c r="SDF132" s="531" t="e">
        <f t="shared" si="207"/>
        <v>#DIV/0!</v>
      </c>
      <c r="SDG132" s="531" t="e">
        <f t="shared" si="207"/>
        <v>#DIV/0!</v>
      </c>
      <c r="SDH132" s="531" t="e">
        <f t="shared" si="207"/>
        <v>#DIV/0!</v>
      </c>
      <c r="SDI132" s="531" t="e">
        <f t="shared" si="207"/>
        <v>#DIV/0!</v>
      </c>
      <c r="SDJ132" s="531" t="e">
        <f t="shared" si="207"/>
        <v>#DIV/0!</v>
      </c>
      <c r="SDK132" s="531" t="e">
        <f t="shared" si="207"/>
        <v>#DIV/0!</v>
      </c>
      <c r="SDL132" s="531" t="e">
        <f t="shared" si="207"/>
        <v>#DIV/0!</v>
      </c>
      <c r="SDM132" s="531" t="e">
        <f t="shared" si="207"/>
        <v>#DIV/0!</v>
      </c>
      <c r="SDN132" s="531" t="e">
        <f t="shared" si="207"/>
        <v>#DIV/0!</v>
      </c>
      <c r="SDO132" s="531" t="e">
        <f t="shared" si="207"/>
        <v>#DIV/0!</v>
      </c>
      <c r="SDP132" s="531" t="e">
        <f t="shared" si="207"/>
        <v>#DIV/0!</v>
      </c>
      <c r="SDQ132" s="531" t="e">
        <f t="shared" si="207"/>
        <v>#DIV/0!</v>
      </c>
      <c r="SDR132" s="531" t="e">
        <f t="shared" si="207"/>
        <v>#DIV/0!</v>
      </c>
      <c r="SDS132" s="531" t="e">
        <f t="shared" si="207"/>
        <v>#DIV/0!</v>
      </c>
      <c r="SDT132" s="531" t="e">
        <f t="shared" si="207"/>
        <v>#DIV/0!</v>
      </c>
      <c r="SDU132" s="531" t="e">
        <f t="shared" si="207"/>
        <v>#DIV/0!</v>
      </c>
      <c r="SDV132" s="531" t="e">
        <f t="shared" si="207"/>
        <v>#DIV/0!</v>
      </c>
      <c r="SDW132" s="531" t="e">
        <f t="shared" si="207"/>
        <v>#DIV/0!</v>
      </c>
      <c r="SDX132" s="531" t="e">
        <f t="shared" si="207"/>
        <v>#DIV/0!</v>
      </c>
      <c r="SDY132" s="531" t="e">
        <f t="shared" si="207"/>
        <v>#DIV/0!</v>
      </c>
      <c r="SDZ132" s="531" t="e">
        <f t="shared" si="207"/>
        <v>#DIV/0!</v>
      </c>
      <c r="SEA132" s="531" t="e">
        <f t="shared" si="207"/>
        <v>#DIV/0!</v>
      </c>
      <c r="SEB132" s="531" t="e">
        <f t="shared" si="207"/>
        <v>#DIV/0!</v>
      </c>
      <c r="SEC132" s="531" t="e">
        <f t="shared" si="207"/>
        <v>#DIV/0!</v>
      </c>
      <c r="SED132" s="531" t="e">
        <f t="shared" si="207"/>
        <v>#DIV/0!</v>
      </c>
      <c r="SEE132" s="531" t="e">
        <f t="shared" si="207"/>
        <v>#DIV/0!</v>
      </c>
      <c r="SEF132" s="531" t="e">
        <f t="shared" si="207"/>
        <v>#DIV/0!</v>
      </c>
      <c r="SEG132" s="531" t="e">
        <f t="shared" si="207"/>
        <v>#DIV/0!</v>
      </c>
      <c r="SEH132" s="531" t="e">
        <f t="shared" si="207"/>
        <v>#DIV/0!</v>
      </c>
      <c r="SEI132" s="531" t="e">
        <f t="shared" si="207"/>
        <v>#DIV/0!</v>
      </c>
      <c r="SEJ132" s="531" t="e">
        <f t="shared" si="207"/>
        <v>#DIV/0!</v>
      </c>
      <c r="SEK132" s="531" t="e">
        <f t="shared" si="207"/>
        <v>#DIV/0!</v>
      </c>
      <c r="SEL132" s="531" t="e">
        <f t="shared" si="207"/>
        <v>#DIV/0!</v>
      </c>
      <c r="SEM132" s="531" t="e">
        <f t="shared" si="207"/>
        <v>#DIV/0!</v>
      </c>
      <c r="SEN132" s="531" t="e">
        <f t="shared" si="207"/>
        <v>#DIV/0!</v>
      </c>
      <c r="SEO132" s="531" t="e">
        <f t="shared" si="207"/>
        <v>#DIV/0!</v>
      </c>
      <c r="SEP132" s="531" t="e">
        <f t="shared" si="207"/>
        <v>#DIV/0!</v>
      </c>
      <c r="SEQ132" s="531" t="e">
        <f t="shared" si="207"/>
        <v>#DIV/0!</v>
      </c>
      <c r="SER132" s="531" t="e">
        <f t="shared" si="207"/>
        <v>#DIV/0!</v>
      </c>
      <c r="SES132" s="531" t="e">
        <f t="shared" si="207"/>
        <v>#DIV/0!</v>
      </c>
      <c r="SET132" s="531" t="e">
        <f t="shared" si="207"/>
        <v>#DIV/0!</v>
      </c>
      <c r="SEU132" s="531" t="e">
        <f t="shared" si="207"/>
        <v>#DIV/0!</v>
      </c>
      <c r="SEV132" s="531" t="e">
        <f t="shared" si="207"/>
        <v>#DIV/0!</v>
      </c>
      <c r="SEW132" s="531" t="e">
        <f t="shared" si="207"/>
        <v>#DIV/0!</v>
      </c>
      <c r="SEX132" s="531" t="e">
        <f t="shared" si="207"/>
        <v>#DIV/0!</v>
      </c>
      <c r="SEY132" s="531" t="e">
        <f t="shared" ref="SEY132:SHJ132" si="208">(SEY128-SEY116)/(SEY52*10^5)</f>
        <v>#DIV/0!</v>
      </c>
      <c r="SEZ132" s="531" t="e">
        <f t="shared" si="208"/>
        <v>#DIV/0!</v>
      </c>
      <c r="SFA132" s="531" t="e">
        <f t="shared" si="208"/>
        <v>#DIV/0!</v>
      </c>
      <c r="SFB132" s="531" t="e">
        <f t="shared" si="208"/>
        <v>#DIV/0!</v>
      </c>
      <c r="SFC132" s="531" t="e">
        <f t="shared" si="208"/>
        <v>#DIV/0!</v>
      </c>
      <c r="SFD132" s="531" t="e">
        <f t="shared" si="208"/>
        <v>#DIV/0!</v>
      </c>
      <c r="SFE132" s="531" t="e">
        <f t="shared" si="208"/>
        <v>#DIV/0!</v>
      </c>
      <c r="SFF132" s="531" t="e">
        <f t="shared" si="208"/>
        <v>#DIV/0!</v>
      </c>
      <c r="SFG132" s="531" t="e">
        <f t="shared" si="208"/>
        <v>#DIV/0!</v>
      </c>
      <c r="SFH132" s="531" t="e">
        <f t="shared" si="208"/>
        <v>#DIV/0!</v>
      </c>
      <c r="SFI132" s="531" t="e">
        <f t="shared" si="208"/>
        <v>#DIV/0!</v>
      </c>
      <c r="SFJ132" s="531" t="e">
        <f t="shared" si="208"/>
        <v>#DIV/0!</v>
      </c>
      <c r="SFK132" s="531" t="e">
        <f t="shared" si="208"/>
        <v>#DIV/0!</v>
      </c>
      <c r="SFL132" s="531" t="e">
        <f t="shared" si="208"/>
        <v>#DIV/0!</v>
      </c>
      <c r="SFM132" s="531" t="e">
        <f t="shared" si="208"/>
        <v>#DIV/0!</v>
      </c>
      <c r="SFN132" s="531" t="e">
        <f t="shared" si="208"/>
        <v>#DIV/0!</v>
      </c>
      <c r="SFO132" s="531" t="e">
        <f t="shared" si="208"/>
        <v>#DIV/0!</v>
      </c>
      <c r="SFP132" s="531" t="e">
        <f t="shared" si="208"/>
        <v>#DIV/0!</v>
      </c>
      <c r="SFQ132" s="531" t="e">
        <f t="shared" si="208"/>
        <v>#DIV/0!</v>
      </c>
      <c r="SFR132" s="531" t="e">
        <f t="shared" si="208"/>
        <v>#DIV/0!</v>
      </c>
      <c r="SFS132" s="531" t="e">
        <f t="shared" si="208"/>
        <v>#DIV/0!</v>
      </c>
      <c r="SFT132" s="531" t="e">
        <f t="shared" si="208"/>
        <v>#DIV/0!</v>
      </c>
      <c r="SFU132" s="531" t="e">
        <f t="shared" si="208"/>
        <v>#DIV/0!</v>
      </c>
      <c r="SFV132" s="531" t="e">
        <f t="shared" si="208"/>
        <v>#DIV/0!</v>
      </c>
      <c r="SFW132" s="531" t="e">
        <f t="shared" si="208"/>
        <v>#DIV/0!</v>
      </c>
      <c r="SFX132" s="531" t="e">
        <f t="shared" si="208"/>
        <v>#DIV/0!</v>
      </c>
      <c r="SFY132" s="531" t="e">
        <f t="shared" si="208"/>
        <v>#DIV/0!</v>
      </c>
      <c r="SFZ132" s="531" t="e">
        <f t="shared" si="208"/>
        <v>#DIV/0!</v>
      </c>
      <c r="SGA132" s="531" t="e">
        <f t="shared" si="208"/>
        <v>#DIV/0!</v>
      </c>
      <c r="SGB132" s="531" t="e">
        <f t="shared" si="208"/>
        <v>#DIV/0!</v>
      </c>
      <c r="SGC132" s="531" t="e">
        <f t="shared" si="208"/>
        <v>#DIV/0!</v>
      </c>
      <c r="SGD132" s="531" t="e">
        <f t="shared" si="208"/>
        <v>#DIV/0!</v>
      </c>
      <c r="SGE132" s="531" t="e">
        <f t="shared" si="208"/>
        <v>#DIV/0!</v>
      </c>
      <c r="SGF132" s="531" t="e">
        <f t="shared" si="208"/>
        <v>#DIV/0!</v>
      </c>
      <c r="SGG132" s="531" t="e">
        <f t="shared" si="208"/>
        <v>#DIV/0!</v>
      </c>
      <c r="SGH132" s="531" t="e">
        <f t="shared" si="208"/>
        <v>#DIV/0!</v>
      </c>
      <c r="SGI132" s="531" t="e">
        <f t="shared" si="208"/>
        <v>#DIV/0!</v>
      </c>
      <c r="SGJ132" s="531" t="e">
        <f t="shared" si="208"/>
        <v>#DIV/0!</v>
      </c>
      <c r="SGK132" s="531" t="e">
        <f t="shared" si="208"/>
        <v>#DIV/0!</v>
      </c>
      <c r="SGL132" s="531" t="e">
        <f t="shared" si="208"/>
        <v>#DIV/0!</v>
      </c>
      <c r="SGM132" s="531" t="e">
        <f t="shared" si="208"/>
        <v>#DIV/0!</v>
      </c>
      <c r="SGN132" s="531" t="e">
        <f t="shared" si="208"/>
        <v>#DIV/0!</v>
      </c>
      <c r="SGO132" s="531" t="e">
        <f t="shared" si="208"/>
        <v>#DIV/0!</v>
      </c>
      <c r="SGP132" s="531" t="e">
        <f t="shared" si="208"/>
        <v>#DIV/0!</v>
      </c>
      <c r="SGQ132" s="531" t="e">
        <f t="shared" si="208"/>
        <v>#DIV/0!</v>
      </c>
      <c r="SGR132" s="531" t="e">
        <f t="shared" si="208"/>
        <v>#DIV/0!</v>
      </c>
      <c r="SGS132" s="531" t="e">
        <f t="shared" si="208"/>
        <v>#DIV/0!</v>
      </c>
      <c r="SGT132" s="531" t="e">
        <f t="shared" si="208"/>
        <v>#DIV/0!</v>
      </c>
      <c r="SGU132" s="531" t="e">
        <f t="shared" si="208"/>
        <v>#DIV/0!</v>
      </c>
      <c r="SGV132" s="531" t="e">
        <f t="shared" si="208"/>
        <v>#DIV/0!</v>
      </c>
      <c r="SGW132" s="531" t="e">
        <f t="shared" si="208"/>
        <v>#DIV/0!</v>
      </c>
      <c r="SGX132" s="531" t="e">
        <f t="shared" si="208"/>
        <v>#DIV/0!</v>
      </c>
      <c r="SGY132" s="531" t="e">
        <f t="shared" si="208"/>
        <v>#DIV/0!</v>
      </c>
      <c r="SGZ132" s="531" t="e">
        <f t="shared" si="208"/>
        <v>#DIV/0!</v>
      </c>
      <c r="SHA132" s="531" t="e">
        <f t="shared" si="208"/>
        <v>#DIV/0!</v>
      </c>
      <c r="SHB132" s="531" t="e">
        <f t="shared" si="208"/>
        <v>#DIV/0!</v>
      </c>
      <c r="SHC132" s="531" t="e">
        <f t="shared" si="208"/>
        <v>#DIV/0!</v>
      </c>
      <c r="SHD132" s="531" t="e">
        <f t="shared" si="208"/>
        <v>#DIV/0!</v>
      </c>
      <c r="SHE132" s="531" t="e">
        <f t="shared" si="208"/>
        <v>#DIV/0!</v>
      </c>
      <c r="SHF132" s="531" t="e">
        <f t="shared" si="208"/>
        <v>#DIV/0!</v>
      </c>
      <c r="SHG132" s="531" t="e">
        <f t="shared" si="208"/>
        <v>#DIV/0!</v>
      </c>
      <c r="SHH132" s="531" t="e">
        <f t="shared" si="208"/>
        <v>#DIV/0!</v>
      </c>
      <c r="SHI132" s="531" t="e">
        <f t="shared" si="208"/>
        <v>#DIV/0!</v>
      </c>
      <c r="SHJ132" s="531" t="e">
        <f t="shared" si="208"/>
        <v>#DIV/0!</v>
      </c>
      <c r="SHK132" s="531" t="e">
        <f t="shared" ref="SHK132:SJV132" si="209">(SHK128-SHK116)/(SHK52*10^5)</f>
        <v>#DIV/0!</v>
      </c>
      <c r="SHL132" s="531" t="e">
        <f t="shared" si="209"/>
        <v>#DIV/0!</v>
      </c>
      <c r="SHM132" s="531" t="e">
        <f t="shared" si="209"/>
        <v>#DIV/0!</v>
      </c>
      <c r="SHN132" s="531" t="e">
        <f t="shared" si="209"/>
        <v>#DIV/0!</v>
      </c>
      <c r="SHO132" s="531" t="e">
        <f t="shared" si="209"/>
        <v>#DIV/0!</v>
      </c>
      <c r="SHP132" s="531" t="e">
        <f t="shared" si="209"/>
        <v>#DIV/0!</v>
      </c>
      <c r="SHQ132" s="531" t="e">
        <f t="shared" si="209"/>
        <v>#DIV/0!</v>
      </c>
      <c r="SHR132" s="531" t="e">
        <f t="shared" si="209"/>
        <v>#DIV/0!</v>
      </c>
      <c r="SHS132" s="531" t="e">
        <f t="shared" si="209"/>
        <v>#DIV/0!</v>
      </c>
      <c r="SHT132" s="531" t="e">
        <f t="shared" si="209"/>
        <v>#DIV/0!</v>
      </c>
      <c r="SHU132" s="531" t="e">
        <f t="shared" si="209"/>
        <v>#DIV/0!</v>
      </c>
      <c r="SHV132" s="531" t="e">
        <f t="shared" si="209"/>
        <v>#DIV/0!</v>
      </c>
      <c r="SHW132" s="531" t="e">
        <f t="shared" si="209"/>
        <v>#DIV/0!</v>
      </c>
      <c r="SHX132" s="531" t="e">
        <f t="shared" si="209"/>
        <v>#DIV/0!</v>
      </c>
      <c r="SHY132" s="531" t="e">
        <f t="shared" si="209"/>
        <v>#DIV/0!</v>
      </c>
      <c r="SHZ132" s="531" t="e">
        <f t="shared" si="209"/>
        <v>#DIV/0!</v>
      </c>
      <c r="SIA132" s="531" t="e">
        <f t="shared" si="209"/>
        <v>#DIV/0!</v>
      </c>
      <c r="SIB132" s="531" t="e">
        <f t="shared" si="209"/>
        <v>#DIV/0!</v>
      </c>
      <c r="SIC132" s="531" t="e">
        <f t="shared" si="209"/>
        <v>#DIV/0!</v>
      </c>
      <c r="SID132" s="531" t="e">
        <f t="shared" si="209"/>
        <v>#DIV/0!</v>
      </c>
      <c r="SIE132" s="531" t="e">
        <f t="shared" si="209"/>
        <v>#DIV/0!</v>
      </c>
      <c r="SIF132" s="531" t="e">
        <f t="shared" si="209"/>
        <v>#DIV/0!</v>
      </c>
      <c r="SIG132" s="531" t="e">
        <f t="shared" si="209"/>
        <v>#DIV/0!</v>
      </c>
      <c r="SIH132" s="531" t="e">
        <f t="shared" si="209"/>
        <v>#DIV/0!</v>
      </c>
      <c r="SII132" s="531" t="e">
        <f t="shared" si="209"/>
        <v>#DIV/0!</v>
      </c>
      <c r="SIJ132" s="531" t="e">
        <f t="shared" si="209"/>
        <v>#DIV/0!</v>
      </c>
      <c r="SIK132" s="531" t="e">
        <f t="shared" si="209"/>
        <v>#DIV/0!</v>
      </c>
      <c r="SIL132" s="531" t="e">
        <f t="shared" si="209"/>
        <v>#DIV/0!</v>
      </c>
      <c r="SIM132" s="531" t="e">
        <f t="shared" si="209"/>
        <v>#DIV/0!</v>
      </c>
      <c r="SIN132" s="531" t="e">
        <f t="shared" si="209"/>
        <v>#DIV/0!</v>
      </c>
      <c r="SIO132" s="531" t="e">
        <f t="shared" si="209"/>
        <v>#DIV/0!</v>
      </c>
      <c r="SIP132" s="531" t="e">
        <f t="shared" si="209"/>
        <v>#DIV/0!</v>
      </c>
      <c r="SIQ132" s="531" t="e">
        <f t="shared" si="209"/>
        <v>#DIV/0!</v>
      </c>
      <c r="SIR132" s="531" t="e">
        <f t="shared" si="209"/>
        <v>#DIV/0!</v>
      </c>
      <c r="SIS132" s="531" t="e">
        <f t="shared" si="209"/>
        <v>#DIV/0!</v>
      </c>
      <c r="SIT132" s="531" t="e">
        <f t="shared" si="209"/>
        <v>#DIV/0!</v>
      </c>
      <c r="SIU132" s="531" t="e">
        <f t="shared" si="209"/>
        <v>#DIV/0!</v>
      </c>
      <c r="SIV132" s="531" t="e">
        <f t="shared" si="209"/>
        <v>#DIV/0!</v>
      </c>
      <c r="SIW132" s="531" t="e">
        <f t="shared" si="209"/>
        <v>#DIV/0!</v>
      </c>
      <c r="SIX132" s="531" t="e">
        <f t="shared" si="209"/>
        <v>#DIV/0!</v>
      </c>
      <c r="SIY132" s="531" t="e">
        <f t="shared" si="209"/>
        <v>#DIV/0!</v>
      </c>
      <c r="SIZ132" s="531" t="e">
        <f t="shared" si="209"/>
        <v>#DIV/0!</v>
      </c>
      <c r="SJA132" s="531" t="e">
        <f t="shared" si="209"/>
        <v>#DIV/0!</v>
      </c>
      <c r="SJB132" s="531" t="e">
        <f t="shared" si="209"/>
        <v>#DIV/0!</v>
      </c>
      <c r="SJC132" s="531" t="e">
        <f t="shared" si="209"/>
        <v>#DIV/0!</v>
      </c>
      <c r="SJD132" s="531" t="e">
        <f t="shared" si="209"/>
        <v>#DIV/0!</v>
      </c>
      <c r="SJE132" s="531" t="e">
        <f t="shared" si="209"/>
        <v>#DIV/0!</v>
      </c>
      <c r="SJF132" s="531" t="e">
        <f t="shared" si="209"/>
        <v>#DIV/0!</v>
      </c>
      <c r="SJG132" s="531" t="e">
        <f t="shared" si="209"/>
        <v>#DIV/0!</v>
      </c>
      <c r="SJH132" s="531" t="e">
        <f t="shared" si="209"/>
        <v>#DIV/0!</v>
      </c>
      <c r="SJI132" s="531" t="e">
        <f t="shared" si="209"/>
        <v>#DIV/0!</v>
      </c>
      <c r="SJJ132" s="531" t="e">
        <f t="shared" si="209"/>
        <v>#DIV/0!</v>
      </c>
      <c r="SJK132" s="531" t="e">
        <f t="shared" si="209"/>
        <v>#DIV/0!</v>
      </c>
      <c r="SJL132" s="531" t="e">
        <f t="shared" si="209"/>
        <v>#DIV/0!</v>
      </c>
      <c r="SJM132" s="531" t="e">
        <f t="shared" si="209"/>
        <v>#DIV/0!</v>
      </c>
      <c r="SJN132" s="531" t="e">
        <f t="shared" si="209"/>
        <v>#DIV/0!</v>
      </c>
      <c r="SJO132" s="531" t="e">
        <f t="shared" si="209"/>
        <v>#DIV/0!</v>
      </c>
      <c r="SJP132" s="531" t="e">
        <f t="shared" si="209"/>
        <v>#DIV/0!</v>
      </c>
      <c r="SJQ132" s="531" t="e">
        <f t="shared" si="209"/>
        <v>#DIV/0!</v>
      </c>
      <c r="SJR132" s="531" t="e">
        <f t="shared" si="209"/>
        <v>#DIV/0!</v>
      </c>
      <c r="SJS132" s="531" t="e">
        <f t="shared" si="209"/>
        <v>#DIV/0!</v>
      </c>
      <c r="SJT132" s="531" t="e">
        <f t="shared" si="209"/>
        <v>#DIV/0!</v>
      </c>
      <c r="SJU132" s="531" t="e">
        <f t="shared" si="209"/>
        <v>#DIV/0!</v>
      </c>
      <c r="SJV132" s="531" t="e">
        <f t="shared" si="209"/>
        <v>#DIV/0!</v>
      </c>
      <c r="SJW132" s="531" t="e">
        <f t="shared" ref="SJW132:SMH132" si="210">(SJW128-SJW116)/(SJW52*10^5)</f>
        <v>#DIV/0!</v>
      </c>
      <c r="SJX132" s="531" t="e">
        <f t="shared" si="210"/>
        <v>#DIV/0!</v>
      </c>
      <c r="SJY132" s="531" t="e">
        <f t="shared" si="210"/>
        <v>#DIV/0!</v>
      </c>
      <c r="SJZ132" s="531" t="e">
        <f t="shared" si="210"/>
        <v>#DIV/0!</v>
      </c>
      <c r="SKA132" s="531" t="e">
        <f t="shared" si="210"/>
        <v>#DIV/0!</v>
      </c>
      <c r="SKB132" s="531" t="e">
        <f t="shared" si="210"/>
        <v>#DIV/0!</v>
      </c>
      <c r="SKC132" s="531" t="e">
        <f t="shared" si="210"/>
        <v>#DIV/0!</v>
      </c>
      <c r="SKD132" s="531" t="e">
        <f t="shared" si="210"/>
        <v>#DIV/0!</v>
      </c>
      <c r="SKE132" s="531" t="e">
        <f t="shared" si="210"/>
        <v>#DIV/0!</v>
      </c>
      <c r="SKF132" s="531" t="e">
        <f t="shared" si="210"/>
        <v>#DIV/0!</v>
      </c>
      <c r="SKG132" s="531" t="e">
        <f t="shared" si="210"/>
        <v>#DIV/0!</v>
      </c>
      <c r="SKH132" s="531" t="e">
        <f t="shared" si="210"/>
        <v>#DIV/0!</v>
      </c>
      <c r="SKI132" s="531" t="e">
        <f t="shared" si="210"/>
        <v>#DIV/0!</v>
      </c>
      <c r="SKJ132" s="531" t="e">
        <f t="shared" si="210"/>
        <v>#DIV/0!</v>
      </c>
      <c r="SKK132" s="531" t="e">
        <f t="shared" si="210"/>
        <v>#DIV/0!</v>
      </c>
      <c r="SKL132" s="531" t="e">
        <f t="shared" si="210"/>
        <v>#DIV/0!</v>
      </c>
      <c r="SKM132" s="531" t="e">
        <f t="shared" si="210"/>
        <v>#DIV/0!</v>
      </c>
      <c r="SKN132" s="531" t="e">
        <f t="shared" si="210"/>
        <v>#DIV/0!</v>
      </c>
      <c r="SKO132" s="531" t="e">
        <f t="shared" si="210"/>
        <v>#DIV/0!</v>
      </c>
      <c r="SKP132" s="531" t="e">
        <f t="shared" si="210"/>
        <v>#DIV/0!</v>
      </c>
      <c r="SKQ132" s="531" t="e">
        <f t="shared" si="210"/>
        <v>#DIV/0!</v>
      </c>
      <c r="SKR132" s="531" t="e">
        <f t="shared" si="210"/>
        <v>#DIV/0!</v>
      </c>
      <c r="SKS132" s="531" t="e">
        <f t="shared" si="210"/>
        <v>#DIV/0!</v>
      </c>
      <c r="SKT132" s="531" t="e">
        <f t="shared" si="210"/>
        <v>#DIV/0!</v>
      </c>
      <c r="SKU132" s="531" t="e">
        <f t="shared" si="210"/>
        <v>#DIV/0!</v>
      </c>
      <c r="SKV132" s="531" t="e">
        <f t="shared" si="210"/>
        <v>#DIV/0!</v>
      </c>
      <c r="SKW132" s="531" t="e">
        <f t="shared" si="210"/>
        <v>#DIV/0!</v>
      </c>
      <c r="SKX132" s="531" t="e">
        <f t="shared" si="210"/>
        <v>#DIV/0!</v>
      </c>
      <c r="SKY132" s="531" t="e">
        <f t="shared" si="210"/>
        <v>#DIV/0!</v>
      </c>
      <c r="SKZ132" s="531" t="e">
        <f t="shared" si="210"/>
        <v>#DIV/0!</v>
      </c>
      <c r="SLA132" s="531" t="e">
        <f t="shared" si="210"/>
        <v>#DIV/0!</v>
      </c>
      <c r="SLB132" s="531" t="e">
        <f t="shared" si="210"/>
        <v>#DIV/0!</v>
      </c>
      <c r="SLC132" s="531" t="e">
        <f t="shared" si="210"/>
        <v>#DIV/0!</v>
      </c>
      <c r="SLD132" s="531" t="e">
        <f t="shared" si="210"/>
        <v>#DIV/0!</v>
      </c>
      <c r="SLE132" s="531" t="e">
        <f t="shared" si="210"/>
        <v>#DIV/0!</v>
      </c>
      <c r="SLF132" s="531" t="e">
        <f t="shared" si="210"/>
        <v>#DIV/0!</v>
      </c>
      <c r="SLG132" s="531" t="e">
        <f t="shared" si="210"/>
        <v>#DIV/0!</v>
      </c>
      <c r="SLH132" s="531" t="e">
        <f t="shared" si="210"/>
        <v>#DIV/0!</v>
      </c>
      <c r="SLI132" s="531" t="e">
        <f t="shared" si="210"/>
        <v>#DIV/0!</v>
      </c>
      <c r="SLJ132" s="531" t="e">
        <f t="shared" si="210"/>
        <v>#DIV/0!</v>
      </c>
      <c r="SLK132" s="531" t="e">
        <f t="shared" si="210"/>
        <v>#DIV/0!</v>
      </c>
      <c r="SLL132" s="531" t="e">
        <f t="shared" si="210"/>
        <v>#DIV/0!</v>
      </c>
      <c r="SLM132" s="531" t="e">
        <f t="shared" si="210"/>
        <v>#DIV/0!</v>
      </c>
      <c r="SLN132" s="531" t="e">
        <f t="shared" si="210"/>
        <v>#DIV/0!</v>
      </c>
      <c r="SLO132" s="531" t="e">
        <f t="shared" si="210"/>
        <v>#DIV/0!</v>
      </c>
      <c r="SLP132" s="531" t="e">
        <f t="shared" si="210"/>
        <v>#DIV/0!</v>
      </c>
      <c r="SLQ132" s="531" t="e">
        <f t="shared" si="210"/>
        <v>#DIV/0!</v>
      </c>
      <c r="SLR132" s="531" t="e">
        <f t="shared" si="210"/>
        <v>#DIV/0!</v>
      </c>
      <c r="SLS132" s="531" t="e">
        <f t="shared" si="210"/>
        <v>#DIV/0!</v>
      </c>
      <c r="SLT132" s="531" t="e">
        <f t="shared" si="210"/>
        <v>#DIV/0!</v>
      </c>
      <c r="SLU132" s="531" t="e">
        <f t="shared" si="210"/>
        <v>#DIV/0!</v>
      </c>
      <c r="SLV132" s="531" t="e">
        <f t="shared" si="210"/>
        <v>#DIV/0!</v>
      </c>
      <c r="SLW132" s="531" t="e">
        <f t="shared" si="210"/>
        <v>#DIV/0!</v>
      </c>
      <c r="SLX132" s="531" t="e">
        <f t="shared" si="210"/>
        <v>#DIV/0!</v>
      </c>
      <c r="SLY132" s="531" t="e">
        <f t="shared" si="210"/>
        <v>#DIV/0!</v>
      </c>
      <c r="SLZ132" s="531" t="e">
        <f t="shared" si="210"/>
        <v>#DIV/0!</v>
      </c>
      <c r="SMA132" s="531" t="e">
        <f t="shared" si="210"/>
        <v>#DIV/0!</v>
      </c>
      <c r="SMB132" s="531" t="e">
        <f t="shared" si="210"/>
        <v>#DIV/0!</v>
      </c>
      <c r="SMC132" s="531" t="e">
        <f t="shared" si="210"/>
        <v>#DIV/0!</v>
      </c>
      <c r="SMD132" s="531" t="e">
        <f t="shared" si="210"/>
        <v>#DIV/0!</v>
      </c>
      <c r="SME132" s="531" t="e">
        <f t="shared" si="210"/>
        <v>#DIV/0!</v>
      </c>
      <c r="SMF132" s="531" t="e">
        <f t="shared" si="210"/>
        <v>#DIV/0!</v>
      </c>
      <c r="SMG132" s="531" t="e">
        <f t="shared" si="210"/>
        <v>#DIV/0!</v>
      </c>
      <c r="SMH132" s="531" t="e">
        <f t="shared" si="210"/>
        <v>#DIV/0!</v>
      </c>
      <c r="SMI132" s="531" t="e">
        <f t="shared" ref="SMI132:SOT132" si="211">(SMI128-SMI116)/(SMI52*10^5)</f>
        <v>#DIV/0!</v>
      </c>
      <c r="SMJ132" s="531" t="e">
        <f t="shared" si="211"/>
        <v>#DIV/0!</v>
      </c>
      <c r="SMK132" s="531" t="e">
        <f t="shared" si="211"/>
        <v>#DIV/0!</v>
      </c>
      <c r="SML132" s="531" t="e">
        <f t="shared" si="211"/>
        <v>#DIV/0!</v>
      </c>
      <c r="SMM132" s="531" t="e">
        <f t="shared" si="211"/>
        <v>#DIV/0!</v>
      </c>
      <c r="SMN132" s="531" t="e">
        <f t="shared" si="211"/>
        <v>#DIV/0!</v>
      </c>
      <c r="SMO132" s="531" t="e">
        <f t="shared" si="211"/>
        <v>#DIV/0!</v>
      </c>
      <c r="SMP132" s="531" t="e">
        <f t="shared" si="211"/>
        <v>#DIV/0!</v>
      </c>
      <c r="SMQ132" s="531" t="e">
        <f t="shared" si="211"/>
        <v>#DIV/0!</v>
      </c>
      <c r="SMR132" s="531" t="e">
        <f t="shared" si="211"/>
        <v>#DIV/0!</v>
      </c>
      <c r="SMS132" s="531" t="e">
        <f t="shared" si="211"/>
        <v>#DIV/0!</v>
      </c>
      <c r="SMT132" s="531" t="e">
        <f t="shared" si="211"/>
        <v>#DIV/0!</v>
      </c>
      <c r="SMU132" s="531" t="e">
        <f t="shared" si="211"/>
        <v>#DIV/0!</v>
      </c>
      <c r="SMV132" s="531" t="e">
        <f t="shared" si="211"/>
        <v>#DIV/0!</v>
      </c>
      <c r="SMW132" s="531" t="e">
        <f t="shared" si="211"/>
        <v>#DIV/0!</v>
      </c>
      <c r="SMX132" s="531" t="e">
        <f t="shared" si="211"/>
        <v>#DIV/0!</v>
      </c>
      <c r="SMY132" s="531" t="e">
        <f t="shared" si="211"/>
        <v>#DIV/0!</v>
      </c>
      <c r="SMZ132" s="531" t="e">
        <f t="shared" si="211"/>
        <v>#DIV/0!</v>
      </c>
      <c r="SNA132" s="531" t="e">
        <f t="shared" si="211"/>
        <v>#DIV/0!</v>
      </c>
      <c r="SNB132" s="531" t="e">
        <f t="shared" si="211"/>
        <v>#DIV/0!</v>
      </c>
      <c r="SNC132" s="531" t="e">
        <f t="shared" si="211"/>
        <v>#DIV/0!</v>
      </c>
      <c r="SND132" s="531" t="e">
        <f t="shared" si="211"/>
        <v>#DIV/0!</v>
      </c>
      <c r="SNE132" s="531" t="e">
        <f t="shared" si="211"/>
        <v>#DIV/0!</v>
      </c>
      <c r="SNF132" s="531" t="e">
        <f t="shared" si="211"/>
        <v>#DIV/0!</v>
      </c>
      <c r="SNG132" s="531" t="e">
        <f t="shared" si="211"/>
        <v>#DIV/0!</v>
      </c>
      <c r="SNH132" s="531" t="e">
        <f t="shared" si="211"/>
        <v>#DIV/0!</v>
      </c>
      <c r="SNI132" s="531" t="e">
        <f t="shared" si="211"/>
        <v>#DIV/0!</v>
      </c>
      <c r="SNJ132" s="531" t="e">
        <f t="shared" si="211"/>
        <v>#DIV/0!</v>
      </c>
      <c r="SNK132" s="531" t="e">
        <f t="shared" si="211"/>
        <v>#DIV/0!</v>
      </c>
      <c r="SNL132" s="531" t="e">
        <f t="shared" si="211"/>
        <v>#DIV/0!</v>
      </c>
      <c r="SNM132" s="531" t="e">
        <f t="shared" si="211"/>
        <v>#DIV/0!</v>
      </c>
      <c r="SNN132" s="531" t="e">
        <f t="shared" si="211"/>
        <v>#DIV/0!</v>
      </c>
      <c r="SNO132" s="531" t="e">
        <f t="shared" si="211"/>
        <v>#DIV/0!</v>
      </c>
      <c r="SNP132" s="531" t="e">
        <f t="shared" si="211"/>
        <v>#DIV/0!</v>
      </c>
      <c r="SNQ132" s="531" t="e">
        <f t="shared" si="211"/>
        <v>#DIV/0!</v>
      </c>
      <c r="SNR132" s="531" t="e">
        <f t="shared" si="211"/>
        <v>#DIV/0!</v>
      </c>
      <c r="SNS132" s="531" t="e">
        <f t="shared" si="211"/>
        <v>#DIV/0!</v>
      </c>
      <c r="SNT132" s="531" t="e">
        <f t="shared" si="211"/>
        <v>#DIV/0!</v>
      </c>
      <c r="SNU132" s="531" t="e">
        <f t="shared" si="211"/>
        <v>#DIV/0!</v>
      </c>
      <c r="SNV132" s="531" t="e">
        <f t="shared" si="211"/>
        <v>#DIV/0!</v>
      </c>
      <c r="SNW132" s="531" t="e">
        <f t="shared" si="211"/>
        <v>#DIV/0!</v>
      </c>
      <c r="SNX132" s="531" t="e">
        <f t="shared" si="211"/>
        <v>#DIV/0!</v>
      </c>
      <c r="SNY132" s="531" t="e">
        <f t="shared" si="211"/>
        <v>#DIV/0!</v>
      </c>
      <c r="SNZ132" s="531" t="e">
        <f t="shared" si="211"/>
        <v>#DIV/0!</v>
      </c>
      <c r="SOA132" s="531" t="e">
        <f t="shared" si="211"/>
        <v>#DIV/0!</v>
      </c>
      <c r="SOB132" s="531" t="e">
        <f t="shared" si="211"/>
        <v>#DIV/0!</v>
      </c>
      <c r="SOC132" s="531" t="e">
        <f t="shared" si="211"/>
        <v>#DIV/0!</v>
      </c>
      <c r="SOD132" s="531" t="e">
        <f t="shared" si="211"/>
        <v>#DIV/0!</v>
      </c>
      <c r="SOE132" s="531" t="e">
        <f t="shared" si="211"/>
        <v>#DIV/0!</v>
      </c>
      <c r="SOF132" s="531" t="e">
        <f t="shared" si="211"/>
        <v>#DIV/0!</v>
      </c>
      <c r="SOG132" s="531" t="e">
        <f t="shared" si="211"/>
        <v>#DIV/0!</v>
      </c>
      <c r="SOH132" s="531" t="e">
        <f t="shared" si="211"/>
        <v>#DIV/0!</v>
      </c>
      <c r="SOI132" s="531" t="e">
        <f t="shared" si="211"/>
        <v>#DIV/0!</v>
      </c>
      <c r="SOJ132" s="531" t="e">
        <f t="shared" si="211"/>
        <v>#DIV/0!</v>
      </c>
      <c r="SOK132" s="531" t="e">
        <f t="shared" si="211"/>
        <v>#DIV/0!</v>
      </c>
      <c r="SOL132" s="531" t="e">
        <f t="shared" si="211"/>
        <v>#DIV/0!</v>
      </c>
      <c r="SOM132" s="531" t="e">
        <f t="shared" si="211"/>
        <v>#DIV/0!</v>
      </c>
      <c r="SON132" s="531" t="e">
        <f t="shared" si="211"/>
        <v>#DIV/0!</v>
      </c>
      <c r="SOO132" s="531" t="e">
        <f t="shared" si="211"/>
        <v>#DIV/0!</v>
      </c>
      <c r="SOP132" s="531" t="e">
        <f t="shared" si="211"/>
        <v>#DIV/0!</v>
      </c>
      <c r="SOQ132" s="531" t="e">
        <f t="shared" si="211"/>
        <v>#DIV/0!</v>
      </c>
      <c r="SOR132" s="531" t="e">
        <f t="shared" si="211"/>
        <v>#DIV/0!</v>
      </c>
      <c r="SOS132" s="531" t="e">
        <f t="shared" si="211"/>
        <v>#DIV/0!</v>
      </c>
      <c r="SOT132" s="531" t="e">
        <f t="shared" si="211"/>
        <v>#DIV/0!</v>
      </c>
      <c r="SOU132" s="531" t="e">
        <f t="shared" ref="SOU132:SRF132" si="212">(SOU128-SOU116)/(SOU52*10^5)</f>
        <v>#DIV/0!</v>
      </c>
      <c r="SOV132" s="531" t="e">
        <f t="shared" si="212"/>
        <v>#DIV/0!</v>
      </c>
      <c r="SOW132" s="531" t="e">
        <f t="shared" si="212"/>
        <v>#DIV/0!</v>
      </c>
      <c r="SOX132" s="531" t="e">
        <f t="shared" si="212"/>
        <v>#DIV/0!</v>
      </c>
      <c r="SOY132" s="531" t="e">
        <f t="shared" si="212"/>
        <v>#DIV/0!</v>
      </c>
      <c r="SOZ132" s="531" t="e">
        <f t="shared" si="212"/>
        <v>#DIV/0!</v>
      </c>
      <c r="SPA132" s="531" t="e">
        <f t="shared" si="212"/>
        <v>#DIV/0!</v>
      </c>
      <c r="SPB132" s="531" t="e">
        <f t="shared" si="212"/>
        <v>#DIV/0!</v>
      </c>
      <c r="SPC132" s="531" t="e">
        <f t="shared" si="212"/>
        <v>#DIV/0!</v>
      </c>
      <c r="SPD132" s="531" t="e">
        <f t="shared" si="212"/>
        <v>#DIV/0!</v>
      </c>
      <c r="SPE132" s="531" t="e">
        <f t="shared" si="212"/>
        <v>#DIV/0!</v>
      </c>
      <c r="SPF132" s="531" t="e">
        <f t="shared" si="212"/>
        <v>#DIV/0!</v>
      </c>
      <c r="SPG132" s="531" t="e">
        <f t="shared" si="212"/>
        <v>#DIV/0!</v>
      </c>
      <c r="SPH132" s="531" t="e">
        <f t="shared" si="212"/>
        <v>#DIV/0!</v>
      </c>
      <c r="SPI132" s="531" t="e">
        <f t="shared" si="212"/>
        <v>#DIV/0!</v>
      </c>
      <c r="SPJ132" s="531" t="e">
        <f t="shared" si="212"/>
        <v>#DIV/0!</v>
      </c>
      <c r="SPK132" s="531" t="e">
        <f t="shared" si="212"/>
        <v>#DIV/0!</v>
      </c>
      <c r="SPL132" s="531" t="e">
        <f t="shared" si="212"/>
        <v>#DIV/0!</v>
      </c>
      <c r="SPM132" s="531" t="e">
        <f t="shared" si="212"/>
        <v>#DIV/0!</v>
      </c>
      <c r="SPN132" s="531" t="e">
        <f t="shared" si="212"/>
        <v>#DIV/0!</v>
      </c>
      <c r="SPO132" s="531" t="e">
        <f t="shared" si="212"/>
        <v>#DIV/0!</v>
      </c>
      <c r="SPP132" s="531" t="e">
        <f t="shared" si="212"/>
        <v>#DIV/0!</v>
      </c>
      <c r="SPQ132" s="531" t="e">
        <f t="shared" si="212"/>
        <v>#DIV/0!</v>
      </c>
      <c r="SPR132" s="531" t="e">
        <f t="shared" si="212"/>
        <v>#DIV/0!</v>
      </c>
      <c r="SPS132" s="531" t="e">
        <f t="shared" si="212"/>
        <v>#DIV/0!</v>
      </c>
      <c r="SPT132" s="531" t="e">
        <f t="shared" si="212"/>
        <v>#DIV/0!</v>
      </c>
      <c r="SPU132" s="531" t="e">
        <f t="shared" si="212"/>
        <v>#DIV/0!</v>
      </c>
      <c r="SPV132" s="531" t="e">
        <f t="shared" si="212"/>
        <v>#DIV/0!</v>
      </c>
      <c r="SPW132" s="531" t="e">
        <f t="shared" si="212"/>
        <v>#DIV/0!</v>
      </c>
      <c r="SPX132" s="531" t="e">
        <f t="shared" si="212"/>
        <v>#DIV/0!</v>
      </c>
      <c r="SPY132" s="531" t="e">
        <f t="shared" si="212"/>
        <v>#DIV/0!</v>
      </c>
      <c r="SPZ132" s="531" t="e">
        <f t="shared" si="212"/>
        <v>#DIV/0!</v>
      </c>
      <c r="SQA132" s="531" t="e">
        <f t="shared" si="212"/>
        <v>#DIV/0!</v>
      </c>
      <c r="SQB132" s="531" t="e">
        <f t="shared" si="212"/>
        <v>#DIV/0!</v>
      </c>
      <c r="SQC132" s="531" t="e">
        <f t="shared" si="212"/>
        <v>#DIV/0!</v>
      </c>
      <c r="SQD132" s="531" t="e">
        <f t="shared" si="212"/>
        <v>#DIV/0!</v>
      </c>
      <c r="SQE132" s="531" t="e">
        <f t="shared" si="212"/>
        <v>#DIV/0!</v>
      </c>
      <c r="SQF132" s="531" t="e">
        <f t="shared" si="212"/>
        <v>#DIV/0!</v>
      </c>
      <c r="SQG132" s="531" t="e">
        <f t="shared" si="212"/>
        <v>#DIV/0!</v>
      </c>
      <c r="SQH132" s="531" t="e">
        <f t="shared" si="212"/>
        <v>#DIV/0!</v>
      </c>
      <c r="SQI132" s="531" t="e">
        <f t="shared" si="212"/>
        <v>#DIV/0!</v>
      </c>
      <c r="SQJ132" s="531" t="e">
        <f t="shared" si="212"/>
        <v>#DIV/0!</v>
      </c>
      <c r="SQK132" s="531" t="e">
        <f t="shared" si="212"/>
        <v>#DIV/0!</v>
      </c>
      <c r="SQL132" s="531" t="e">
        <f t="shared" si="212"/>
        <v>#DIV/0!</v>
      </c>
      <c r="SQM132" s="531" t="e">
        <f t="shared" si="212"/>
        <v>#DIV/0!</v>
      </c>
      <c r="SQN132" s="531" t="e">
        <f t="shared" si="212"/>
        <v>#DIV/0!</v>
      </c>
      <c r="SQO132" s="531" t="e">
        <f t="shared" si="212"/>
        <v>#DIV/0!</v>
      </c>
      <c r="SQP132" s="531" t="e">
        <f t="shared" si="212"/>
        <v>#DIV/0!</v>
      </c>
      <c r="SQQ132" s="531" t="e">
        <f t="shared" si="212"/>
        <v>#DIV/0!</v>
      </c>
      <c r="SQR132" s="531" t="e">
        <f t="shared" si="212"/>
        <v>#DIV/0!</v>
      </c>
      <c r="SQS132" s="531" t="e">
        <f t="shared" si="212"/>
        <v>#DIV/0!</v>
      </c>
      <c r="SQT132" s="531" t="e">
        <f t="shared" si="212"/>
        <v>#DIV/0!</v>
      </c>
      <c r="SQU132" s="531" t="e">
        <f t="shared" si="212"/>
        <v>#DIV/0!</v>
      </c>
      <c r="SQV132" s="531" t="e">
        <f t="shared" si="212"/>
        <v>#DIV/0!</v>
      </c>
      <c r="SQW132" s="531" t="e">
        <f t="shared" si="212"/>
        <v>#DIV/0!</v>
      </c>
      <c r="SQX132" s="531" t="e">
        <f t="shared" si="212"/>
        <v>#DIV/0!</v>
      </c>
      <c r="SQY132" s="531" t="e">
        <f t="shared" si="212"/>
        <v>#DIV/0!</v>
      </c>
      <c r="SQZ132" s="531" t="e">
        <f t="shared" si="212"/>
        <v>#DIV/0!</v>
      </c>
      <c r="SRA132" s="531" t="e">
        <f t="shared" si="212"/>
        <v>#DIV/0!</v>
      </c>
      <c r="SRB132" s="531" t="e">
        <f t="shared" si="212"/>
        <v>#DIV/0!</v>
      </c>
      <c r="SRC132" s="531" t="e">
        <f t="shared" si="212"/>
        <v>#DIV/0!</v>
      </c>
      <c r="SRD132" s="531" t="e">
        <f t="shared" si="212"/>
        <v>#DIV/0!</v>
      </c>
      <c r="SRE132" s="531" t="e">
        <f t="shared" si="212"/>
        <v>#DIV/0!</v>
      </c>
      <c r="SRF132" s="531" t="e">
        <f t="shared" si="212"/>
        <v>#DIV/0!</v>
      </c>
      <c r="SRG132" s="531" t="e">
        <f t="shared" ref="SRG132:STR132" si="213">(SRG128-SRG116)/(SRG52*10^5)</f>
        <v>#DIV/0!</v>
      </c>
      <c r="SRH132" s="531" t="e">
        <f t="shared" si="213"/>
        <v>#DIV/0!</v>
      </c>
      <c r="SRI132" s="531" t="e">
        <f t="shared" si="213"/>
        <v>#DIV/0!</v>
      </c>
      <c r="SRJ132" s="531" t="e">
        <f t="shared" si="213"/>
        <v>#DIV/0!</v>
      </c>
      <c r="SRK132" s="531" t="e">
        <f t="shared" si="213"/>
        <v>#DIV/0!</v>
      </c>
      <c r="SRL132" s="531" t="e">
        <f t="shared" si="213"/>
        <v>#DIV/0!</v>
      </c>
      <c r="SRM132" s="531" t="e">
        <f t="shared" si="213"/>
        <v>#DIV/0!</v>
      </c>
      <c r="SRN132" s="531" t="e">
        <f t="shared" si="213"/>
        <v>#DIV/0!</v>
      </c>
      <c r="SRO132" s="531" t="e">
        <f t="shared" si="213"/>
        <v>#DIV/0!</v>
      </c>
      <c r="SRP132" s="531" t="e">
        <f t="shared" si="213"/>
        <v>#DIV/0!</v>
      </c>
      <c r="SRQ132" s="531" t="e">
        <f t="shared" si="213"/>
        <v>#DIV/0!</v>
      </c>
      <c r="SRR132" s="531" t="e">
        <f t="shared" si="213"/>
        <v>#DIV/0!</v>
      </c>
      <c r="SRS132" s="531" t="e">
        <f t="shared" si="213"/>
        <v>#DIV/0!</v>
      </c>
      <c r="SRT132" s="531" t="e">
        <f t="shared" si="213"/>
        <v>#DIV/0!</v>
      </c>
      <c r="SRU132" s="531" t="e">
        <f t="shared" si="213"/>
        <v>#DIV/0!</v>
      </c>
      <c r="SRV132" s="531" t="e">
        <f t="shared" si="213"/>
        <v>#DIV/0!</v>
      </c>
      <c r="SRW132" s="531" t="e">
        <f t="shared" si="213"/>
        <v>#DIV/0!</v>
      </c>
      <c r="SRX132" s="531" t="e">
        <f t="shared" si="213"/>
        <v>#DIV/0!</v>
      </c>
      <c r="SRY132" s="531" t="e">
        <f t="shared" si="213"/>
        <v>#DIV/0!</v>
      </c>
      <c r="SRZ132" s="531" t="e">
        <f t="shared" si="213"/>
        <v>#DIV/0!</v>
      </c>
      <c r="SSA132" s="531" t="e">
        <f t="shared" si="213"/>
        <v>#DIV/0!</v>
      </c>
      <c r="SSB132" s="531" t="e">
        <f t="shared" si="213"/>
        <v>#DIV/0!</v>
      </c>
      <c r="SSC132" s="531" t="e">
        <f t="shared" si="213"/>
        <v>#DIV/0!</v>
      </c>
      <c r="SSD132" s="531" t="e">
        <f t="shared" si="213"/>
        <v>#DIV/0!</v>
      </c>
      <c r="SSE132" s="531" t="e">
        <f t="shared" si="213"/>
        <v>#DIV/0!</v>
      </c>
      <c r="SSF132" s="531" t="e">
        <f t="shared" si="213"/>
        <v>#DIV/0!</v>
      </c>
      <c r="SSG132" s="531" t="e">
        <f t="shared" si="213"/>
        <v>#DIV/0!</v>
      </c>
      <c r="SSH132" s="531" t="e">
        <f t="shared" si="213"/>
        <v>#DIV/0!</v>
      </c>
      <c r="SSI132" s="531" t="e">
        <f t="shared" si="213"/>
        <v>#DIV/0!</v>
      </c>
      <c r="SSJ132" s="531" t="e">
        <f t="shared" si="213"/>
        <v>#DIV/0!</v>
      </c>
      <c r="SSK132" s="531" t="e">
        <f t="shared" si="213"/>
        <v>#DIV/0!</v>
      </c>
      <c r="SSL132" s="531" t="e">
        <f t="shared" si="213"/>
        <v>#DIV/0!</v>
      </c>
      <c r="SSM132" s="531" t="e">
        <f t="shared" si="213"/>
        <v>#DIV/0!</v>
      </c>
      <c r="SSN132" s="531" t="e">
        <f t="shared" si="213"/>
        <v>#DIV/0!</v>
      </c>
      <c r="SSO132" s="531" t="e">
        <f t="shared" si="213"/>
        <v>#DIV/0!</v>
      </c>
      <c r="SSP132" s="531" t="e">
        <f t="shared" si="213"/>
        <v>#DIV/0!</v>
      </c>
      <c r="SSQ132" s="531" t="e">
        <f t="shared" si="213"/>
        <v>#DIV/0!</v>
      </c>
      <c r="SSR132" s="531" t="e">
        <f t="shared" si="213"/>
        <v>#DIV/0!</v>
      </c>
      <c r="SSS132" s="531" t="e">
        <f t="shared" si="213"/>
        <v>#DIV/0!</v>
      </c>
      <c r="SST132" s="531" t="e">
        <f t="shared" si="213"/>
        <v>#DIV/0!</v>
      </c>
      <c r="SSU132" s="531" t="e">
        <f t="shared" si="213"/>
        <v>#DIV/0!</v>
      </c>
      <c r="SSV132" s="531" t="e">
        <f t="shared" si="213"/>
        <v>#DIV/0!</v>
      </c>
      <c r="SSW132" s="531" t="e">
        <f t="shared" si="213"/>
        <v>#DIV/0!</v>
      </c>
      <c r="SSX132" s="531" t="e">
        <f t="shared" si="213"/>
        <v>#DIV/0!</v>
      </c>
      <c r="SSY132" s="531" t="e">
        <f t="shared" si="213"/>
        <v>#DIV/0!</v>
      </c>
      <c r="SSZ132" s="531" t="e">
        <f t="shared" si="213"/>
        <v>#DIV/0!</v>
      </c>
      <c r="STA132" s="531" t="e">
        <f t="shared" si="213"/>
        <v>#DIV/0!</v>
      </c>
      <c r="STB132" s="531" t="e">
        <f t="shared" si="213"/>
        <v>#DIV/0!</v>
      </c>
      <c r="STC132" s="531" t="e">
        <f t="shared" si="213"/>
        <v>#DIV/0!</v>
      </c>
      <c r="STD132" s="531" t="e">
        <f t="shared" si="213"/>
        <v>#DIV/0!</v>
      </c>
      <c r="STE132" s="531" t="e">
        <f t="shared" si="213"/>
        <v>#DIV/0!</v>
      </c>
      <c r="STF132" s="531" t="e">
        <f t="shared" si="213"/>
        <v>#DIV/0!</v>
      </c>
      <c r="STG132" s="531" t="e">
        <f t="shared" si="213"/>
        <v>#DIV/0!</v>
      </c>
      <c r="STH132" s="531" t="e">
        <f t="shared" si="213"/>
        <v>#DIV/0!</v>
      </c>
      <c r="STI132" s="531" t="e">
        <f t="shared" si="213"/>
        <v>#DIV/0!</v>
      </c>
      <c r="STJ132" s="531" t="e">
        <f t="shared" si="213"/>
        <v>#DIV/0!</v>
      </c>
      <c r="STK132" s="531" t="e">
        <f t="shared" si="213"/>
        <v>#DIV/0!</v>
      </c>
      <c r="STL132" s="531" t="e">
        <f t="shared" si="213"/>
        <v>#DIV/0!</v>
      </c>
      <c r="STM132" s="531" t="e">
        <f t="shared" si="213"/>
        <v>#DIV/0!</v>
      </c>
      <c r="STN132" s="531" t="e">
        <f t="shared" si="213"/>
        <v>#DIV/0!</v>
      </c>
      <c r="STO132" s="531" t="e">
        <f t="shared" si="213"/>
        <v>#DIV/0!</v>
      </c>
      <c r="STP132" s="531" t="e">
        <f t="shared" si="213"/>
        <v>#DIV/0!</v>
      </c>
      <c r="STQ132" s="531" t="e">
        <f t="shared" si="213"/>
        <v>#DIV/0!</v>
      </c>
      <c r="STR132" s="531" t="e">
        <f t="shared" si="213"/>
        <v>#DIV/0!</v>
      </c>
      <c r="STS132" s="531" t="e">
        <f t="shared" ref="STS132:SWD132" si="214">(STS128-STS116)/(STS52*10^5)</f>
        <v>#DIV/0!</v>
      </c>
      <c r="STT132" s="531" t="e">
        <f t="shared" si="214"/>
        <v>#DIV/0!</v>
      </c>
      <c r="STU132" s="531" t="e">
        <f t="shared" si="214"/>
        <v>#DIV/0!</v>
      </c>
      <c r="STV132" s="531" t="e">
        <f t="shared" si="214"/>
        <v>#DIV/0!</v>
      </c>
      <c r="STW132" s="531" t="e">
        <f t="shared" si="214"/>
        <v>#DIV/0!</v>
      </c>
      <c r="STX132" s="531" t="e">
        <f t="shared" si="214"/>
        <v>#DIV/0!</v>
      </c>
      <c r="STY132" s="531" t="e">
        <f t="shared" si="214"/>
        <v>#DIV/0!</v>
      </c>
      <c r="STZ132" s="531" t="e">
        <f t="shared" si="214"/>
        <v>#DIV/0!</v>
      </c>
      <c r="SUA132" s="531" t="e">
        <f t="shared" si="214"/>
        <v>#DIV/0!</v>
      </c>
      <c r="SUB132" s="531" t="e">
        <f t="shared" si="214"/>
        <v>#DIV/0!</v>
      </c>
      <c r="SUC132" s="531" t="e">
        <f t="shared" si="214"/>
        <v>#DIV/0!</v>
      </c>
      <c r="SUD132" s="531" t="e">
        <f t="shared" si="214"/>
        <v>#DIV/0!</v>
      </c>
      <c r="SUE132" s="531" t="e">
        <f t="shared" si="214"/>
        <v>#DIV/0!</v>
      </c>
      <c r="SUF132" s="531" t="e">
        <f t="shared" si="214"/>
        <v>#DIV/0!</v>
      </c>
      <c r="SUG132" s="531" t="e">
        <f t="shared" si="214"/>
        <v>#DIV/0!</v>
      </c>
      <c r="SUH132" s="531" t="e">
        <f t="shared" si="214"/>
        <v>#DIV/0!</v>
      </c>
      <c r="SUI132" s="531" t="e">
        <f t="shared" si="214"/>
        <v>#DIV/0!</v>
      </c>
      <c r="SUJ132" s="531" t="e">
        <f t="shared" si="214"/>
        <v>#DIV/0!</v>
      </c>
      <c r="SUK132" s="531" t="e">
        <f t="shared" si="214"/>
        <v>#DIV/0!</v>
      </c>
      <c r="SUL132" s="531" t="e">
        <f t="shared" si="214"/>
        <v>#DIV/0!</v>
      </c>
      <c r="SUM132" s="531" t="e">
        <f t="shared" si="214"/>
        <v>#DIV/0!</v>
      </c>
      <c r="SUN132" s="531" t="e">
        <f t="shared" si="214"/>
        <v>#DIV/0!</v>
      </c>
      <c r="SUO132" s="531" t="e">
        <f t="shared" si="214"/>
        <v>#DIV/0!</v>
      </c>
      <c r="SUP132" s="531" t="e">
        <f t="shared" si="214"/>
        <v>#DIV/0!</v>
      </c>
      <c r="SUQ132" s="531" t="e">
        <f t="shared" si="214"/>
        <v>#DIV/0!</v>
      </c>
      <c r="SUR132" s="531" t="e">
        <f t="shared" si="214"/>
        <v>#DIV/0!</v>
      </c>
      <c r="SUS132" s="531" t="e">
        <f t="shared" si="214"/>
        <v>#DIV/0!</v>
      </c>
      <c r="SUT132" s="531" t="e">
        <f t="shared" si="214"/>
        <v>#DIV/0!</v>
      </c>
      <c r="SUU132" s="531" t="e">
        <f t="shared" si="214"/>
        <v>#DIV/0!</v>
      </c>
      <c r="SUV132" s="531" t="e">
        <f t="shared" si="214"/>
        <v>#DIV/0!</v>
      </c>
      <c r="SUW132" s="531" t="e">
        <f t="shared" si="214"/>
        <v>#DIV/0!</v>
      </c>
      <c r="SUX132" s="531" t="e">
        <f t="shared" si="214"/>
        <v>#DIV/0!</v>
      </c>
      <c r="SUY132" s="531" t="e">
        <f t="shared" si="214"/>
        <v>#DIV/0!</v>
      </c>
      <c r="SUZ132" s="531" t="e">
        <f t="shared" si="214"/>
        <v>#DIV/0!</v>
      </c>
      <c r="SVA132" s="531" t="e">
        <f t="shared" si="214"/>
        <v>#DIV/0!</v>
      </c>
      <c r="SVB132" s="531" t="e">
        <f t="shared" si="214"/>
        <v>#DIV/0!</v>
      </c>
      <c r="SVC132" s="531" t="e">
        <f t="shared" si="214"/>
        <v>#DIV/0!</v>
      </c>
      <c r="SVD132" s="531" t="e">
        <f t="shared" si="214"/>
        <v>#DIV/0!</v>
      </c>
      <c r="SVE132" s="531" t="e">
        <f t="shared" si="214"/>
        <v>#DIV/0!</v>
      </c>
      <c r="SVF132" s="531" t="e">
        <f t="shared" si="214"/>
        <v>#DIV/0!</v>
      </c>
      <c r="SVG132" s="531" t="e">
        <f t="shared" si="214"/>
        <v>#DIV/0!</v>
      </c>
      <c r="SVH132" s="531" t="e">
        <f t="shared" si="214"/>
        <v>#DIV/0!</v>
      </c>
      <c r="SVI132" s="531" t="e">
        <f t="shared" si="214"/>
        <v>#DIV/0!</v>
      </c>
      <c r="SVJ132" s="531" t="e">
        <f t="shared" si="214"/>
        <v>#DIV/0!</v>
      </c>
      <c r="SVK132" s="531" t="e">
        <f t="shared" si="214"/>
        <v>#DIV/0!</v>
      </c>
      <c r="SVL132" s="531" t="e">
        <f t="shared" si="214"/>
        <v>#DIV/0!</v>
      </c>
      <c r="SVM132" s="531" t="e">
        <f t="shared" si="214"/>
        <v>#DIV/0!</v>
      </c>
      <c r="SVN132" s="531" t="e">
        <f t="shared" si="214"/>
        <v>#DIV/0!</v>
      </c>
      <c r="SVO132" s="531" t="e">
        <f t="shared" si="214"/>
        <v>#DIV/0!</v>
      </c>
      <c r="SVP132" s="531" t="e">
        <f t="shared" si="214"/>
        <v>#DIV/0!</v>
      </c>
      <c r="SVQ132" s="531" t="e">
        <f t="shared" si="214"/>
        <v>#DIV/0!</v>
      </c>
      <c r="SVR132" s="531" t="e">
        <f t="shared" si="214"/>
        <v>#DIV/0!</v>
      </c>
      <c r="SVS132" s="531" t="e">
        <f t="shared" si="214"/>
        <v>#DIV/0!</v>
      </c>
      <c r="SVT132" s="531" t="e">
        <f t="shared" si="214"/>
        <v>#DIV/0!</v>
      </c>
      <c r="SVU132" s="531" t="e">
        <f t="shared" si="214"/>
        <v>#DIV/0!</v>
      </c>
      <c r="SVV132" s="531" t="e">
        <f t="shared" si="214"/>
        <v>#DIV/0!</v>
      </c>
      <c r="SVW132" s="531" t="e">
        <f t="shared" si="214"/>
        <v>#DIV/0!</v>
      </c>
      <c r="SVX132" s="531" t="e">
        <f t="shared" si="214"/>
        <v>#DIV/0!</v>
      </c>
      <c r="SVY132" s="531" t="e">
        <f t="shared" si="214"/>
        <v>#DIV/0!</v>
      </c>
      <c r="SVZ132" s="531" t="e">
        <f t="shared" si="214"/>
        <v>#DIV/0!</v>
      </c>
      <c r="SWA132" s="531" t="e">
        <f t="shared" si="214"/>
        <v>#DIV/0!</v>
      </c>
      <c r="SWB132" s="531" t="e">
        <f t="shared" si="214"/>
        <v>#DIV/0!</v>
      </c>
      <c r="SWC132" s="531" t="e">
        <f t="shared" si="214"/>
        <v>#DIV/0!</v>
      </c>
      <c r="SWD132" s="531" t="e">
        <f t="shared" si="214"/>
        <v>#DIV/0!</v>
      </c>
      <c r="SWE132" s="531" t="e">
        <f t="shared" ref="SWE132:SYP132" si="215">(SWE128-SWE116)/(SWE52*10^5)</f>
        <v>#DIV/0!</v>
      </c>
      <c r="SWF132" s="531" t="e">
        <f t="shared" si="215"/>
        <v>#DIV/0!</v>
      </c>
      <c r="SWG132" s="531" t="e">
        <f t="shared" si="215"/>
        <v>#DIV/0!</v>
      </c>
      <c r="SWH132" s="531" t="e">
        <f t="shared" si="215"/>
        <v>#DIV/0!</v>
      </c>
      <c r="SWI132" s="531" t="e">
        <f t="shared" si="215"/>
        <v>#DIV/0!</v>
      </c>
      <c r="SWJ132" s="531" t="e">
        <f t="shared" si="215"/>
        <v>#DIV/0!</v>
      </c>
      <c r="SWK132" s="531" t="e">
        <f t="shared" si="215"/>
        <v>#DIV/0!</v>
      </c>
      <c r="SWL132" s="531" t="e">
        <f t="shared" si="215"/>
        <v>#DIV/0!</v>
      </c>
      <c r="SWM132" s="531" t="e">
        <f t="shared" si="215"/>
        <v>#DIV/0!</v>
      </c>
      <c r="SWN132" s="531" t="e">
        <f t="shared" si="215"/>
        <v>#DIV/0!</v>
      </c>
      <c r="SWO132" s="531" t="e">
        <f t="shared" si="215"/>
        <v>#DIV/0!</v>
      </c>
      <c r="SWP132" s="531" t="e">
        <f t="shared" si="215"/>
        <v>#DIV/0!</v>
      </c>
      <c r="SWQ132" s="531" t="e">
        <f t="shared" si="215"/>
        <v>#DIV/0!</v>
      </c>
      <c r="SWR132" s="531" t="e">
        <f t="shared" si="215"/>
        <v>#DIV/0!</v>
      </c>
      <c r="SWS132" s="531" t="e">
        <f t="shared" si="215"/>
        <v>#DIV/0!</v>
      </c>
      <c r="SWT132" s="531" t="e">
        <f t="shared" si="215"/>
        <v>#DIV/0!</v>
      </c>
      <c r="SWU132" s="531" t="e">
        <f t="shared" si="215"/>
        <v>#DIV/0!</v>
      </c>
      <c r="SWV132" s="531" t="e">
        <f t="shared" si="215"/>
        <v>#DIV/0!</v>
      </c>
      <c r="SWW132" s="531" t="e">
        <f t="shared" si="215"/>
        <v>#DIV/0!</v>
      </c>
      <c r="SWX132" s="531" t="e">
        <f t="shared" si="215"/>
        <v>#DIV/0!</v>
      </c>
      <c r="SWY132" s="531" t="e">
        <f t="shared" si="215"/>
        <v>#DIV/0!</v>
      </c>
      <c r="SWZ132" s="531" t="e">
        <f t="shared" si="215"/>
        <v>#DIV/0!</v>
      </c>
      <c r="SXA132" s="531" t="e">
        <f t="shared" si="215"/>
        <v>#DIV/0!</v>
      </c>
      <c r="SXB132" s="531" t="e">
        <f t="shared" si="215"/>
        <v>#DIV/0!</v>
      </c>
      <c r="SXC132" s="531" t="e">
        <f t="shared" si="215"/>
        <v>#DIV/0!</v>
      </c>
      <c r="SXD132" s="531" t="e">
        <f t="shared" si="215"/>
        <v>#DIV/0!</v>
      </c>
      <c r="SXE132" s="531" t="e">
        <f t="shared" si="215"/>
        <v>#DIV/0!</v>
      </c>
      <c r="SXF132" s="531" t="e">
        <f t="shared" si="215"/>
        <v>#DIV/0!</v>
      </c>
      <c r="SXG132" s="531" t="e">
        <f t="shared" si="215"/>
        <v>#DIV/0!</v>
      </c>
      <c r="SXH132" s="531" t="e">
        <f t="shared" si="215"/>
        <v>#DIV/0!</v>
      </c>
      <c r="SXI132" s="531" t="e">
        <f t="shared" si="215"/>
        <v>#DIV/0!</v>
      </c>
      <c r="SXJ132" s="531" t="e">
        <f t="shared" si="215"/>
        <v>#DIV/0!</v>
      </c>
      <c r="SXK132" s="531" t="e">
        <f t="shared" si="215"/>
        <v>#DIV/0!</v>
      </c>
      <c r="SXL132" s="531" t="e">
        <f t="shared" si="215"/>
        <v>#DIV/0!</v>
      </c>
      <c r="SXM132" s="531" t="e">
        <f t="shared" si="215"/>
        <v>#DIV/0!</v>
      </c>
      <c r="SXN132" s="531" t="e">
        <f t="shared" si="215"/>
        <v>#DIV/0!</v>
      </c>
      <c r="SXO132" s="531" t="e">
        <f t="shared" si="215"/>
        <v>#DIV/0!</v>
      </c>
      <c r="SXP132" s="531" t="e">
        <f t="shared" si="215"/>
        <v>#DIV/0!</v>
      </c>
      <c r="SXQ132" s="531" t="e">
        <f t="shared" si="215"/>
        <v>#DIV/0!</v>
      </c>
      <c r="SXR132" s="531" t="e">
        <f t="shared" si="215"/>
        <v>#DIV/0!</v>
      </c>
      <c r="SXS132" s="531" t="e">
        <f t="shared" si="215"/>
        <v>#DIV/0!</v>
      </c>
      <c r="SXT132" s="531" t="e">
        <f t="shared" si="215"/>
        <v>#DIV/0!</v>
      </c>
      <c r="SXU132" s="531" t="e">
        <f t="shared" si="215"/>
        <v>#DIV/0!</v>
      </c>
      <c r="SXV132" s="531" t="e">
        <f t="shared" si="215"/>
        <v>#DIV/0!</v>
      </c>
      <c r="SXW132" s="531" t="e">
        <f t="shared" si="215"/>
        <v>#DIV/0!</v>
      </c>
      <c r="SXX132" s="531" t="e">
        <f t="shared" si="215"/>
        <v>#DIV/0!</v>
      </c>
      <c r="SXY132" s="531" t="e">
        <f t="shared" si="215"/>
        <v>#DIV/0!</v>
      </c>
      <c r="SXZ132" s="531" t="e">
        <f t="shared" si="215"/>
        <v>#DIV/0!</v>
      </c>
      <c r="SYA132" s="531" t="e">
        <f t="shared" si="215"/>
        <v>#DIV/0!</v>
      </c>
      <c r="SYB132" s="531" t="e">
        <f t="shared" si="215"/>
        <v>#DIV/0!</v>
      </c>
      <c r="SYC132" s="531" t="e">
        <f t="shared" si="215"/>
        <v>#DIV/0!</v>
      </c>
      <c r="SYD132" s="531" t="e">
        <f t="shared" si="215"/>
        <v>#DIV/0!</v>
      </c>
      <c r="SYE132" s="531" t="e">
        <f t="shared" si="215"/>
        <v>#DIV/0!</v>
      </c>
      <c r="SYF132" s="531" t="e">
        <f t="shared" si="215"/>
        <v>#DIV/0!</v>
      </c>
      <c r="SYG132" s="531" t="e">
        <f t="shared" si="215"/>
        <v>#DIV/0!</v>
      </c>
      <c r="SYH132" s="531" t="e">
        <f t="shared" si="215"/>
        <v>#DIV/0!</v>
      </c>
      <c r="SYI132" s="531" t="e">
        <f t="shared" si="215"/>
        <v>#DIV/0!</v>
      </c>
      <c r="SYJ132" s="531" t="e">
        <f t="shared" si="215"/>
        <v>#DIV/0!</v>
      </c>
      <c r="SYK132" s="531" t="e">
        <f t="shared" si="215"/>
        <v>#DIV/0!</v>
      </c>
      <c r="SYL132" s="531" t="e">
        <f t="shared" si="215"/>
        <v>#DIV/0!</v>
      </c>
      <c r="SYM132" s="531" t="e">
        <f t="shared" si="215"/>
        <v>#DIV/0!</v>
      </c>
      <c r="SYN132" s="531" t="e">
        <f t="shared" si="215"/>
        <v>#DIV/0!</v>
      </c>
      <c r="SYO132" s="531" t="e">
        <f t="shared" si="215"/>
        <v>#DIV/0!</v>
      </c>
      <c r="SYP132" s="531" t="e">
        <f t="shared" si="215"/>
        <v>#DIV/0!</v>
      </c>
      <c r="SYQ132" s="531" t="e">
        <f t="shared" ref="SYQ132:TBB132" si="216">(SYQ128-SYQ116)/(SYQ52*10^5)</f>
        <v>#DIV/0!</v>
      </c>
      <c r="SYR132" s="531" t="e">
        <f t="shared" si="216"/>
        <v>#DIV/0!</v>
      </c>
      <c r="SYS132" s="531" t="e">
        <f t="shared" si="216"/>
        <v>#DIV/0!</v>
      </c>
      <c r="SYT132" s="531" t="e">
        <f t="shared" si="216"/>
        <v>#DIV/0!</v>
      </c>
      <c r="SYU132" s="531" t="e">
        <f t="shared" si="216"/>
        <v>#DIV/0!</v>
      </c>
      <c r="SYV132" s="531" t="e">
        <f t="shared" si="216"/>
        <v>#DIV/0!</v>
      </c>
      <c r="SYW132" s="531" t="e">
        <f t="shared" si="216"/>
        <v>#DIV/0!</v>
      </c>
      <c r="SYX132" s="531" t="e">
        <f t="shared" si="216"/>
        <v>#DIV/0!</v>
      </c>
      <c r="SYY132" s="531" t="e">
        <f t="shared" si="216"/>
        <v>#DIV/0!</v>
      </c>
      <c r="SYZ132" s="531" t="e">
        <f t="shared" si="216"/>
        <v>#DIV/0!</v>
      </c>
      <c r="SZA132" s="531" t="e">
        <f t="shared" si="216"/>
        <v>#DIV/0!</v>
      </c>
      <c r="SZB132" s="531" t="e">
        <f t="shared" si="216"/>
        <v>#DIV/0!</v>
      </c>
      <c r="SZC132" s="531" t="e">
        <f t="shared" si="216"/>
        <v>#DIV/0!</v>
      </c>
      <c r="SZD132" s="531" t="e">
        <f t="shared" si="216"/>
        <v>#DIV/0!</v>
      </c>
      <c r="SZE132" s="531" t="e">
        <f t="shared" si="216"/>
        <v>#DIV/0!</v>
      </c>
      <c r="SZF132" s="531" t="e">
        <f t="shared" si="216"/>
        <v>#DIV/0!</v>
      </c>
      <c r="SZG132" s="531" t="e">
        <f t="shared" si="216"/>
        <v>#DIV/0!</v>
      </c>
      <c r="SZH132" s="531" t="e">
        <f t="shared" si="216"/>
        <v>#DIV/0!</v>
      </c>
      <c r="SZI132" s="531" t="e">
        <f t="shared" si="216"/>
        <v>#DIV/0!</v>
      </c>
      <c r="SZJ132" s="531" t="e">
        <f t="shared" si="216"/>
        <v>#DIV/0!</v>
      </c>
      <c r="SZK132" s="531" t="e">
        <f t="shared" si="216"/>
        <v>#DIV/0!</v>
      </c>
      <c r="SZL132" s="531" t="e">
        <f t="shared" si="216"/>
        <v>#DIV/0!</v>
      </c>
      <c r="SZM132" s="531" t="e">
        <f t="shared" si="216"/>
        <v>#DIV/0!</v>
      </c>
      <c r="SZN132" s="531" t="e">
        <f t="shared" si="216"/>
        <v>#DIV/0!</v>
      </c>
      <c r="SZO132" s="531" t="e">
        <f t="shared" si="216"/>
        <v>#DIV/0!</v>
      </c>
      <c r="SZP132" s="531" t="e">
        <f t="shared" si="216"/>
        <v>#DIV/0!</v>
      </c>
      <c r="SZQ132" s="531" t="e">
        <f t="shared" si="216"/>
        <v>#DIV/0!</v>
      </c>
      <c r="SZR132" s="531" t="e">
        <f t="shared" si="216"/>
        <v>#DIV/0!</v>
      </c>
      <c r="SZS132" s="531" t="e">
        <f t="shared" si="216"/>
        <v>#DIV/0!</v>
      </c>
      <c r="SZT132" s="531" t="e">
        <f t="shared" si="216"/>
        <v>#DIV/0!</v>
      </c>
      <c r="SZU132" s="531" t="e">
        <f t="shared" si="216"/>
        <v>#DIV/0!</v>
      </c>
      <c r="SZV132" s="531" t="e">
        <f t="shared" si="216"/>
        <v>#DIV/0!</v>
      </c>
      <c r="SZW132" s="531" t="e">
        <f t="shared" si="216"/>
        <v>#DIV/0!</v>
      </c>
      <c r="SZX132" s="531" t="e">
        <f t="shared" si="216"/>
        <v>#DIV/0!</v>
      </c>
      <c r="SZY132" s="531" t="e">
        <f t="shared" si="216"/>
        <v>#DIV/0!</v>
      </c>
      <c r="SZZ132" s="531" t="e">
        <f t="shared" si="216"/>
        <v>#DIV/0!</v>
      </c>
      <c r="TAA132" s="531" t="e">
        <f t="shared" si="216"/>
        <v>#DIV/0!</v>
      </c>
      <c r="TAB132" s="531" t="e">
        <f t="shared" si="216"/>
        <v>#DIV/0!</v>
      </c>
      <c r="TAC132" s="531" t="e">
        <f t="shared" si="216"/>
        <v>#DIV/0!</v>
      </c>
      <c r="TAD132" s="531" t="e">
        <f t="shared" si="216"/>
        <v>#DIV/0!</v>
      </c>
      <c r="TAE132" s="531" t="e">
        <f t="shared" si="216"/>
        <v>#DIV/0!</v>
      </c>
      <c r="TAF132" s="531" t="e">
        <f t="shared" si="216"/>
        <v>#DIV/0!</v>
      </c>
      <c r="TAG132" s="531" t="e">
        <f t="shared" si="216"/>
        <v>#DIV/0!</v>
      </c>
      <c r="TAH132" s="531" t="e">
        <f t="shared" si="216"/>
        <v>#DIV/0!</v>
      </c>
      <c r="TAI132" s="531" t="e">
        <f t="shared" si="216"/>
        <v>#DIV/0!</v>
      </c>
      <c r="TAJ132" s="531" t="e">
        <f t="shared" si="216"/>
        <v>#DIV/0!</v>
      </c>
      <c r="TAK132" s="531" t="e">
        <f t="shared" si="216"/>
        <v>#DIV/0!</v>
      </c>
      <c r="TAL132" s="531" t="e">
        <f t="shared" si="216"/>
        <v>#DIV/0!</v>
      </c>
      <c r="TAM132" s="531" t="e">
        <f t="shared" si="216"/>
        <v>#DIV/0!</v>
      </c>
      <c r="TAN132" s="531" t="e">
        <f t="shared" si="216"/>
        <v>#DIV/0!</v>
      </c>
      <c r="TAO132" s="531" t="e">
        <f t="shared" si="216"/>
        <v>#DIV/0!</v>
      </c>
      <c r="TAP132" s="531" t="e">
        <f t="shared" si="216"/>
        <v>#DIV/0!</v>
      </c>
      <c r="TAQ132" s="531" t="e">
        <f t="shared" si="216"/>
        <v>#DIV/0!</v>
      </c>
      <c r="TAR132" s="531" t="e">
        <f t="shared" si="216"/>
        <v>#DIV/0!</v>
      </c>
      <c r="TAS132" s="531" t="e">
        <f t="shared" si="216"/>
        <v>#DIV/0!</v>
      </c>
      <c r="TAT132" s="531" t="e">
        <f t="shared" si="216"/>
        <v>#DIV/0!</v>
      </c>
      <c r="TAU132" s="531" t="e">
        <f t="shared" si="216"/>
        <v>#DIV/0!</v>
      </c>
      <c r="TAV132" s="531" t="e">
        <f t="shared" si="216"/>
        <v>#DIV/0!</v>
      </c>
      <c r="TAW132" s="531" t="e">
        <f t="shared" si="216"/>
        <v>#DIV/0!</v>
      </c>
      <c r="TAX132" s="531" t="e">
        <f t="shared" si="216"/>
        <v>#DIV/0!</v>
      </c>
      <c r="TAY132" s="531" t="e">
        <f t="shared" si="216"/>
        <v>#DIV/0!</v>
      </c>
      <c r="TAZ132" s="531" t="e">
        <f t="shared" si="216"/>
        <v>#DIV/0!</v>
      </c>
      <c r="TBA132" s="531" t="e">
        <f t="shared" si="216"/>
        <v>#DIV/0!</v>
      </c>
      <c r="TBB132" s="531" t="e">
        <f t="shared" si="216"/>
        <v>#DIV/0!</v>
      </c>
      <c r="TBC132" s="531" t="e">
        <f t="shared" ref="TBC132:TDN132" si="217">(TBC128-TBC116)/(TBC52*10^5)</f>
        <v>#DIV/0!</v>
      </c>
      <c r="TBD132" s="531" t="e">
        <f t="shared" si="217"/>
        <v>#DIV/0!</v>
      </c>
      <c r="TBE132" s="531" t="e">
        <f t="shared" si="217"/>
        <v>#DIV/0!</v>
      </c>
      <c r="TBF132" s="531" t="e">
        <f t="shared" si="217"/>
        <v>#DIV/0!</v>
      </c>
      <c r="TBG132" s="531" t="e">
        <f t="shared" si="217"/>
        <v>#DIV/0!</v>
      </c>
      <c r="TBH132" s="531" t="e">
        <f t="shared" si="217"/>
        <v>#DIV/0!</v>
      </c>
      <c r="TBI132" s="531" t="e">
        <f t="shared" si="217"/>
        <v>#DIV/0!</v>
      </c>
      <c r="TBJ132" s="531" t="e">
        <f t="shared" si="217"/>
        <v>#DIV/0!</v>
      </c>
      <c r="TBK132" s="531" t="e">
        <f t="shared" si="217"/>
        <v>#DIV/0!</v>
      </c>
      <c r="TBL132" s="531" t="e">
        <f t="shared" si="217"/>
        <v>#DIV/0!</v>
      </c>
      <c r="TBM132" s="531" t="e">
        <f t="shared" si="217"/>
        <v>#DIV/0!</v>
      </c>
      <c r="TBN132" s="531" t="e">
        <f t="shared" si="217"/>
        <v>#DIV/0!</v>
      </c>
      <c r="TBO132" s="531" t="e">
        <f t="shared" si="217"/>
        <v>#DIV/0!</v>
      </c>
      <c r="TBP132" s="531" t="e">
        <f t="shared" si="217"/>
        <v>#DIV/0!</v>
      </c>
      <c r="TBQ132" s="531" t="e">
        <f t="shared" si="217"/>
        <v>#DIV/0!</v>
      </c>
      <c r="TBR132" s="531" t="e">
        <f t="shared" si="217"/>
        <v>#DIV/0!</v>
      </c>
      <c r="TBS132" s="531" t="e">
        <f t="shared" si="217"/>
        <v>#DIV/0!</v>
      </c>
      <c r="TBT132" s="531" t="e">
        <f t="shared" si="217"/>
        <v>#DIV/0!</v>
      </c>
      <c r="TBU132" s="531" t="e">
        <f t="shared" si="217"/>
        <v>#DIV/0!</v>
      </c>
      <c r="TBV132" s="531" t="e">
        <f t="shared" si="217"/>
        <v>#DIV/0!</v>
      </c>
      <c r="TBW132" s="531" t="e">
        <f t="shared" si="217"/>
        <v>#DIV/0!</v>
      </c>
      <c r="TBX132" s="531" t="e">
        <f t="shared" si="217"/>
        <v>#DIV/0!</v>
      </c>
      <c r="TBY132" s="531" t="e">
        <f t="shared" si="217"/>
        <v>#DIV/0!</v>
      </c>
      <c r="TBZ132" s="531" t="e">
        <f t="shared" si="217"/>
        <v>#DIV/0!</v>
      </c>
      <c r="TCA132" s="531" t="e">
        <f t="shared" si="217"/>
        <v>#DIV/0!</v>
      </c>
      <c r="TCB132" s="531" t="e">
        <f t="shared" si="217"/>
        <v>#DIV/0!</v>
      </c>
      <c r="TCC132" s="531" t="e">
        <f t="shared" si="217"/>
        <v>#DIV/0!</v>
      </c>
      <c r="TCD132" s="531" t="e">
        <f t="shared" si="217"/>
        <v>#DIV/0!</v>
      </c>
      <c r="TCE132" s="531" t="e">
        <f t="shared" si="217"/>
        <v>#DIV/0!</v>
      </c>
      <c r="TCF132" s="531" t="e">
        <f t="shared" si="217"/>
        <v>#DIV/0!</v>
      </c>
      <c r="TCG132" s="531" t="e">
        <f t="shared" si="217"/>
        <v>#DIV/0!</v>
      </c>
      <c r="TCH132" s="531" t="e">
        <f t="shared" si="217"/>
        <v>#DIV/0!</v>
      </c>
      <c r="TCI132" s="531" t="e">
        <f t="shared" si="217"/>
        <v>#DIV/0!</v>
      </c>
      <c r="TCJ132" s="531" t="e">
        <f t="shared" si="217"/>
        <v>#DIV/0!</v>
      </c>
      <c r="TCK132" s="531" t="e">
        <f t="shared" si="217"/>
        <v>#DIV/0!</v>
      </c>
      <c r="TCL132" s="531" t="e">
        <f t="shared" si="217"/>
        <v>#DIV/0!</v>
      </c>
      <c r="TCM132" s="531" t="e">
        <f t="shared" si="217"/>
        <v>#DIV/0!</v>
      </c>
      <c r="TCN132" s="531" t="e">
        <f t="shared" si="217"/>
        <v>#DIV/0!</v>
      </c>
      <c r="TCO132" s="531" t="e">
        <f t="shared" si="217"/>
        <v>#DIV/0!</v>
      </c>
      <c r="TCP132" s="531" t="e">
        <f t="shared" si="217"/>
        <v>#DIV/0!</v>
      </c>
      <c r="TCQ132" s="531" t="e">
        <f t="shared" si="217"/>
        <v>#DIV/0!</v>
      </c>
      <c r="TCR132" s="531" t="e">
        <f t="shared" si="217"/>
        <v>#DIV/0!</v>
      </c>
      <c r="TCS132" s="531" t="e">
        <f t="shared" si="217"/>
        <v>#DIV/0!</v>
      </c>
      <c r="TCT132" s="531" t="e">
        <f t="shared" si="217"/>
        <v>#DIV/0!</v>
      </c>
      <c r="TCU132" s="531" t="e">
        <f t="shared" si="217"/>
        <v>#DIV/0!</v>
      </c>
      <c r="TCV132" s="531" t="e">
        <f t="shared" si="217"/>
        <v>#DIV/0!</v>
      </c>
      <c r="TCW132" s="531" t="e">
        <f t="shared" si="217"/>
        <v>#DIV/0!</v>
      </c>
      <c r="TCX132" s="531" t="e">
        <f t="shared" si="217"/>
        <v>#DIV/0!</v>
      </c>
      <c r="TCY132" s="531" t="e">
        <f t="shared" si="217"/>
        <v>#DIV/0!</v>
      </c>
      <c r="TCZ132" s="531" t="e">
        <f t="shared" si="217"/>
        <v>#DIV/0!</v>
      </c>
      <c r="TDA132" s="531" t="e">
        <f t="shared" si="217"/>
        <v>#DIV/0!</v>
      </c>
      <c r="TDB132" s="531" t="e">
        <f t="shared" si="217"/>
        <v>#DIV/0!</v>
      </c>
      <c r="TDC132" s="531" t="e">
        <f t="shared" si="217"/>
        <v>#DIV/0!</v>
      </c>
      <c r="TDD132" s="531" t="e">
        <f t="shared" si="217"/>
        <v>#DIV/0!</v>
      </c>
      <c r="TDE132" s="531" t="e">
        <f t="shared" si="217"/>
        <v>#DIV/0!</v>
      </c>
      <c r="TDF132" s="531" t="e">
        <f t="shared" si="217"/>
        <v>#DIV/0!</v>
      </c>
      <c r="TDG132" s="531" t="e">
        <f t="shared" si="217"/>
        <v>#DIV/0!</v>
      </c>
      <c r="TDH132" s="531" t="e">
        <f t="shared" si="217"/>
        <v>#DIV/0!</v>
      </c>
      <c r="TDI132" s="531" t="e">
        <f t="shared" si="217"/>
        <v>#DIV/0!</v>
      </c>
      <c r="TDJ132" s="531" t="e">
        <f t="shared" si="217"/>
        <v>#DIV/0!</v>
      </c>
      <c r="TDK132" s="531" t="e">
        <f t="shared" si="217"/>
        <v>#DIV/0!</v>
      </c>
      <c r="TDL132" s="531" t="e">
        <f t="shared" si="217"/>
        <v>#DIV/0!</v>
      </c>
      <c r="TDM132" s="531" t="e">
        <f t="shared" si="217"/>
        <v>#DIV/0!</v>
      </c>
      <c r="TDN132" s="531" t="e">
        <f t="shared" si="217"/>
        <v>#DIV/0!</v>
      </c>
      <c r="TDO132" s="531" t="e">
        <f t="shared" ref="TDO132:TFZ132" si="218">(TDO128-TDO116)/(TDO52*10^5)</f>
        <v>#DIV/0!</v>
      </c>
      <c r="TDP132" s="531" t="e">
        <f t="shared" si="218"/>
        <v>#DIV/0!</v>
      </c>
      <c r="TDQ132" s="531" t="e">
        <f t="shared" si="218"/>
        <v>#DIV/0!</v>
      </c>
      <c r="TDR132" s="531" t="e">
        <f t="shared" si="218"/>
        <v>#DIV/0!</v>
      </c>
      <c r="TDS132" s="531" t="e">
        <f t="shared" si="218"/>
        <v>#DIV/0!</v>
      </c>
      <c r="TDT132" s="531" t="e">
        <f t="shared" si="218"/>
        <v>#DIV/0!</v>
      </c>
      <c r="TDU132" s="531" t="e">
        <f t="shared" si="218"/>
        <v>#DIV/0!</v>
      </c>
      <c r="TDV132" s="531" t="e">
        <f t="shared" si="218"/>
        <v>#DIV/0!</v>
      </c>
      <c r="TDW132" s="531" t="e">
        <f t="shared" si="218"/>
        <v>#DIV/0!</v>
      </c>
      <c r="TDX132" s="531" t="e">
        <f t="shared" si="218"/>
        <v>#DIV/0!</v>
      </c>
      <c r="TDY132" s="531" t="e">
        <f t="shared" si="218"/>
        <v>#DIV/0!</v>
      </c>
      <c r="TDZ132" s="531" t="e">
        <f t="shared" si="218"/>
        <v>#DIV/0!</v>
      </c>
      <c r="TEA132" s="531" t="e">
        <f t="shared" si="218"/>
        <v>#DIV/0!</v>
      </c>
      <c r="TEB132" s="531" t="e">
        <f t="shared" si="218"/>
        <v>#DIV/0!</v>
      </c>
      <c r="TEC132" s="531" t="e">
        <f t="shared" si="218"/>
        <v>#DIV/0!</v>
      </c>
      <c r="TED132" s="531" t="e">
        <f t="shared" si="218"/>
        <v>#DIV/0!</v>
      </c>
      <c r="TEE132" s="531" t="e">
        <f t="shared" si="218"/>
        <v>#DIV/0!</v>
      </c>
      <c r="TEF132" s="531" t="e">
        <f t="shared" si="218"/>
        <v>#DIV/0!</v>
      </c>
      <c r="TEG132" s="531" t="e">
        <f t="shared" si="218"/>
        <v>#DIV/0!</v>
      </c>
      <c r="TEH132" s="531" t="e">
        <f t="shared" si="218"/>
        <v>#DIV/0!</v>
      </c>
      <c r="TEI132" s="531" t="e">
        <f t="shared" si="218"/>
        <v>#DIV/0!</v>
      </c>
      <c r="TEJ132" s="531" t="e">
        <f t="shared" si="218"/>
        <v>#DIV/0!</v>
      </c>
      <c r="TEK132" s="531" t="e">
        <f t="shared" si="218"/>
        <v>#DIV/0!</v>
      </c>
      <c r="TEL132" s="531" t="e">
        <f t="shared" si="218"/>
        <v>#DIV/0!</v>
      </c>
      <c r="TEM132" s="531" t="e">
        <f t="shared" si="218"/>
        <v>#DIV/0!</v>
      </c>
      <c r="TEN132" s="531" t="e">
        <f t="shared" si="218"/>
        <v>#DIV/0!</v>
      </c>
      <c r="TEO132" s="531" t="e">
        <f t="shared" si="218"/>
        <v>#DIV/0!</v>
      </c>
      <c r="TEP132" s="531" t="e">
        <f t="shared" si="218"/>
        <v>#DIV/0!</v>
      </c>
      <c r="TEQ132" s="531" t="e">
        <f t="shared" si="218"/>
        <v>#DIV/0!</v>
      </c>
      <c r="TER132" s="531" t="e">
        <f t="shared" si="218"/>
        <v>#DIV/0!</v>
      </c>
      <c r="TES132" s="531" t="e">
        <f t="shared" si="218"/>
        <v>#DIV/0!</v>
      </c>
      <c r="TET132" s="531" t="e">
        <f t="shared" si="218"/>
        <v>#DIV/0!</v>
      </c>
      <c r="TEU132" s="531" t="e">
        <f t="shared" si="218"/>
        <v>#DIV/0!</v>
      </c>
      <c r="TEV132" s="531" t="e">
        <f t="shared" si="218"/>
        <v>#DIV/0!</v>
      </c>
      <c r="TEW132" s="531" t="e">
        <f t="shared" si="218"/>
        <v>#DIV/0!</v>
      </c>
      <c r="TEX132" s="531" t="e">
        <f t="shared" si="218"/>
        <v>#DIV/0!</v>
      </c>
      <c r="TEY132" s="531" t="e">
        <f t="shared" si="218"/>
        <v>#DIV/0!</v>
      </c>
      <c r="TEZ132" s="531" t="e">
        <f t="shared" si="218"/>
        <v>#DIV/0!</v>
      </c>
      <c r="TFA132" s="531" t="e">
        <f t="shared" si="218"/>
        <v>#DIV/0!</v>
      </c>
      <c r="TFB132" s="531" t="e">
        <f t="shared" si="218"/>
        <v>#DIV/0!</v>
      </c>
      <c r="TFC132" s="531" t="e">
        <f t="shared" si="218"/>
        <v>#DIV/0!</v>
      </c>
      <c r="TFD132" s="531" t="e">
        <f t="shared" si="218"/>
        <v>#DIV/0!</v>
      </c>
      <c r="TFE132" s="531" t="e">
        <f t="shared" si="218"/>
        <v>#DIV/0!</v>
      </c>
      <c r="TFF132" s="531" t="e">
        <f t="shared" si="218"/>
        <v>#DIV/0!</v>
      </c>
      <c r="TFG132" s="531" t="e">
        <f t="shared" si="218"/>
        <v>#DIV/0!</v>
      </c>
      <c r="TFH132" s="531" t="e">
        <f t="shared" si="218"/>
        <v>#DIV/0!</v>
      </c>
      <c r="TFI132" s="531" t="e">
        <f t="shared" si="218"/>
        <v>#DIV/0!</v>
      </c>
      <c r="TFJ132" s="531" t="e">
        <f t="shared" si="218"/>
        <v>#DIV/0!</v>
      </c>
      <c r="TFK132" s="531" t="e">
        <f t="shared" si="218"/>
        <v>#DIV/0!</v>
      </c>
      <c r="TFL132" s="531" t="e">
        <f t="shared" si="218"/>
        <v>#DIV/0!</v>
      </c>
      <c r="TFM132" s="531" t="e">
        <f t="shared" si="218"/>
        <v>#DIV/0!</v>
      </c>
      <c r="TFN132" s="531" t="e">
        <f t="shared" si="218"/>
        <v>#DIV/0!</v>
      </c>
      <c r="TFO132" s="531" t="e">
        <f t="shared" si="218"/>
        <v>#DIV/0!</v>
      </c>
      <c r="TFP132" s="531" t="e">
        <f t="shared" si="218"/>
        <v>#DIV/0!</v>
      </c>
      <c r="TFQ132" s="531" t="e">
        <f t="shared" si="218"/>
        <v>#DIV/0!</v>
      </c>
      <c r="TFR132" s="531" t="e">
        <f t="shared" si="218"/>
        <v>#DIV/0!</v>
      </c>
      <c r="TFS132" s="531" t="e">
        <f t="shared" si="218"/>
        <v>#DIV/0!</v>
      </c>
      <c r="TFT132" s="531" t="e">
        <f t="shared" si="218"/>
        <v>#DIV/0!</v>
      </c>
      <c r="TFU132" s="531" t="e">
        <f t="shared" si="218"/>
        <v>#DIV/0!</v>
      </c>
      <c r="TFV132" s="531" t="e">
        <f t="shared" si="218"/>
        <v>#DIV/0!</v>
      </c>
      <c r="TFW132" s="531" t="e">
        <f t="shared" si="218"/>
        <v>#DIV/0!</v>
      </c>
      <c r="TFX132" s="531" t="e">
        <f t="shared" si="218"/>
        <v>#DIV/0!</v>
      </c>
      <c r="TFY132" s="531" t="e">
        <f t="shared" si="218"/>
        <v>#DIV/0!</v>
      </c>
      <c r="TFZ132" s="531" t="e">
        <f t="shared" si="218"/>
        <v>#DIV/0!</v>
      </c>
      <c r="TGA132" s="531" t="e">
        <f t="shared" ref="TGA132:TIL132" si="219">(TGA128-TGA116)/(TGA52*10^5)</f>
        <v>#DIV/0!</v>
      </c>
      <c r="TGB132" s="531" t="e">
        <f t="shared" si="219"/>
        <v>#DIV/0!</v>
      </c>
      <c r="TGC132" s="531" t="e">
        <f t="shared" si="219"/>
        <v>#DIV/0!</v>
      </c>
      <c r="TGD132" s="531" t="e">
        <f t="shared" si="219"/>
        <v>#DIV/0!</v>
      </c>
      <c r="TGE132" s="531" t="e">
        <f t="shared" si="219"/>
        <v>#DIV/0!</v>
      </c>
      <c r="TGF132" s="531" t="e">
        <f t="shared" si="219"/>
        <v>#DIV/0!</v>
      </c>
      <c r="TGG132" s="531" t="e">
        <f t="shared" si="219"/>
        <v>#DIV/0!</v>
      </c>
      <c r="TGH132" s="531" t="e">
        <f t="shared" si="219"/>
        <v>#DIV/0!</v>
      </c>
      <c r="TGI132" s="531" t="e">
        <f t="shared" si="219"/>
        <v>#DIV/0!</v>
      </c>
      <c r="TGJ132" s="531" t="e">
        <f t="shared" si="219"/>
        <v>#DIV/0!</v>
      </c>
      <c r="TGK132" s="531" t="e">
        <f t="shared" si="219"/>
        <v>#DIV/0!</v>
      </c>
      <c r="TGL132" s="531" t="e">
        <f t="shared" si="219"/>
        <v>#DIV/0!</v>
      </c>
      <c r="TGM132" s="531" t="e">
        <f t="shared" si="219"/>
        <v>#DIV/0!</v>
      </c>
      <c r="TGN132" s="531" t="e">
        <f t="shared" si="219"/>
        <v>#DIV/0!</v>
      </c>
      <c r="TGO132" s="531" t="e">
        <f t="shared" si="219"/>
        <v>#DIV/0!</v>
      </c>
      <c r="TGP132" s="531" t="e">
        <f t="shared" si="219"/>
        <v>#DIV/0!</v>
      </c>
      <c r="TGQ132" s="531" t="e">
        <f t="shared" si="219"/>
        <v>#DIV/0!</v>
      </c>
      <c r="TGR132" s="531" t="e">
        <f t="shared" si="219"/>
        <v>#DIV/0!</v>
      </c>
      <c r="TGS132" s="531" t="e">
        <f t="shared" si="219"/>
        <v>#DIV/0!</v>
      </c>
      <c r="TGT132" s="531" t="e">
        <f t="shared" si="219"/>
        <v>#DIV/0!</v>
      </c>
      <c r="TGU132" s="531" t="e">
        <f t="shared" si="219"/>
        <v>#DIV/0!</v>
      </c>
      <c r="TGV132" s="531" t="e">
        <f t="shared" si="219"/>
        <v>#DIV/0!</v>
      </c>
      <c r="TGW132" s="531" t="e">
        <f t="shared" si="219"/>
        <v>#DIV/0!</v>
      </c>
      <c r="TGX132" s="531" t="e">
        <f t="shared" si="219"/>
        <v>#DIV/0!</v>
      </c>
      <c r="TGY132" s="531" t="e">
        <f t="shared" si="219"/>
        <v>#DIV/0!</v>
      </c>
      <c r="TGZ132" s="531" t="e">
        <f t="shared" si="219"/>
        <v>#DIV/0!</v>
      </c>
      <c r="THA132" s="531" t="e">
        <f t="shared" si="219"/>
        <v>#DIV/0!</v>
      </c>
      <c r="THB132" s="531" t="e">
        <f t="shared" si="219"/>
        <v>#DIV/0!</v>
      </c>
      <c r="THC132" s="531" t="e">
        <f t="shared" si="219"/>
        <v>#DIV/0!</v>
      </c>
      <c r="THD132" s="531" t="e">
        <f t="shared" si="219"/>
        <v>#DIV/0!</v>
      </c>
      <c r="THE132" s="531" t="e">
        <f t="shared" si="219"/>
        <v>#DIV/0!</v>
      </c>
      <c r="THF132" s="531" t="e">
        <f t="shared" si="219"/>
        <v>#DIV/0!</v>
      </c>
      <c r="THG132" s="531" t="e">
        <f t="shared" si="219"/>
        <v>#DIV/0!</v>
      </c>
      <c r="THH132" s="531" t="e">
        <f t="shared" si="219"/>
        <v>#DIV/0!</v>
      </c>
      <c r="THI132" s="531" t="e">
        <f t="shared" si="219"/>
        <v>#DIV/0!</v>
      </c>
      <c r="THJ132" s="531" t="e">
        <f t="shared" si="219"/>
        <v>#DIV/0!</v>
      </c>
      <c r="THK132" s="531" t="e">
        <f t="shared" si="219"/>
        <v>#DIV/0!</v>
      </c>
      <c r="THL132" s="531" t="e">
        <f t="shared" si="219"/>
        <v>#DIV/0!</v>
      </c>
      <c r="THM132" s="531" t="e">
        <f t="shared" si="219"/>
        <v>#DIV/0!</v>
      </c>
      <c r="THN132" s="531" t="e">
        <f t="shared" si="219"/>
        <v>#DIV/0!</v>
      </c>
      <c r="THO132" s="531" t="e">
        <f t="shared" si="219"/>
        <v>#DIV/0!</v>
      </c>
      <c r="THP132" s="531" t="e">
        <f t="shared" si="219"/>
        <v>#DIV/0!</v>
      </c>
      <c r="THQ132" s="531" t="e">
        <f t="shared" si="219"/>
        <v>#DIV/0!</v>
      </c>
      <c r="THR132" s="531" t="e">
        <f t="shared" si="219"/>
        <v>#DIV/0!</v>
      </c>
      <c r="THS132" s="531" t="e">
        <f t="shared" si="219"/>
        <v>#DIV/0!</v>
      </c>
      <c r="THT132" s="531" t="e">
        <f t="shared" si="219"/>
        <v>#DIV/0!</v>
      </c>
      <c r="THU132" s="531" t="e">
        <f t="shared" si="219"/>
        <v>#DIV/0!</v>
      </c>
      <c r="THV132" s="531" t="e">
        <f t="shared" si="219"/>
        <v>#DIV/0!</v>
      </c>
      <c r="THW132" s="531" t="e">
        <f t="shared" si="219"/>
        <v>#DIV/0!</v>
      </c>
      <c r="THX132" s="531" t="e">
        <f t="shared" si="219"/>
        <v>#DIV/0!</v>
      </c>
      <c r="THY132" s="531" t="e">
        <f t="shared" si="219"/>
        <v>#DIV/0!</v>
      </c>
      <c r="THZ132" s="531" t="e">
        <f t="shared" si="219"/>
        <v>#DIV/0!</v>
      </c>
      <c r="TIA132" s="531" t="e">
        <f t="shared" si="219"/>
        <v>#DIV/0!</v>
      </c>
      <c r="TIB132" s="531" t="e">
        <f t="shared" si="219"/>
        <v>#DIV/0!</v>
      </c>
      <c r="TIC132" s="531" t="e">
        <f t="shared" si="219"/>
        <v>#DIV/0!</v>
      </c>
      <c r="TID132" s="531" t="e">
        <f t="shared" si="219"/>
        <v>#DIV/0!</v>
      </c>
      <c r="TIE132" s="531" t="e">
        <f t="shared" si="219"/>
        <v>#DIV/0!</v>
      </c>
      <c r="TIF132" s="531" t="e">
        <f t="shared" si="219"/>
        <v>#DIV/0!</v>
      </c>
      <c r="TIG132" s="531" t="e">
        <f t="shared" si="219"/>
        <v>#DIV/0!</v>
      </c>
      <c r="TIH132" s="531" t="e">
        <f t="shared" si="219"/>
        <v>#DIV/0!</v>
      </c>
      <c r="TII132" s="531" t="e">
        <f t="shared" si="219"/>
        <v>#DIV/0!</v>
      </c>
      <c r="TIJ132" s="531" t="e">
        <f t="shared" si="219"/>
        <v>#DIV/0!</v>
      </c>
      <c r="TIK132" s="531" t="e">
        <f t="shared" si="219"/>
        <v>#DIV/0!</v>
      </c>
      <c r="TIL132" s="531" t="e">
        <f t="shared" si="219"/>
        <v>#DIV/0!</v>
      </c>
      <c r="TIM132" s="531" t="e">
        <f t="shared" ref="TIM132:TKX132" si="220">(TIM128-TIM116)/(TIM52*10^5)</f>
        <v>#DIV/0!</v>
      </c>
      <c r="TIN132" s="531" t="e">
        <f t="shared" si="220"/>
        <v>#DIV/0!</v>
      </c>
      <c r="TIO132" s="531" t="e">
        <f t="shared" si="220"/>
        <v>#DIV/0!</v>
      </c>
      <c r="TIP132" s="531" t="e">
        <f t="shared" si="220"/>
        <v>#DIV/0!</v>
      </c>
      <c r="TIQ132" s="531" t="e">
        <f t="shared" si="220"/>
        <v>#DIV/0!</v>
      </c>
      <c r="TIR132" s="531" t="e">
        <f t="shared" si="220"/>
        <v>#DIV/0!</v>
      </c>
      <c r="TIS132" s="531" t="e">
        <f t="shared" si="220"/>
        <v>#DIV/0!</v>
      </c>
      <c r="TIT132" s="531" t="e">
        <f t="shared" si="220"/>
        <v>#DIV/0!</v>
      </c>
      <c r="TIU132" s="531" t="e">
        <f t="shared" si="220"/>
        <v>#DIV/0!</v>
      </c>
      <c r="TIV132" s="531" t="e">
        <f t="shared" si="220"/>
        <v>#DIV/0!</v>
      </c>
      <c r="TIW132" s="531" t="e">
        <f t="shared" si="220"/>
        <v>#DIV/0!</v>
      </c>
      <c r="TIX132" s="531" t="e">
        <f t="shared" si="220"/>
        <v>#DIV/0!</v>
      </c>
      <c r="TIY132" s="531" t="e">
        <f t="shared" si="220"/>
        <v>#DIV/0!</v>
      </c>
      <c r="TIZ132" s="531" t="e">
        <f t="shared" si="220"/>
        <v>#DIV/0!</v>
      </c>
      <c r="TJA132" s="531" t="e">
        <f t="shared" si="220"/>
        <v>#DIV/0!</v>
      </c>
      <c r="TJB132" s="531" t="e">
        <f t="shared" si="220"/>
        <v>#DIV/0!</v>
      </c>
      <c r="TJC132" s="531" t="e">
        <f t="shared" si="220"/>
        <v>#DIV/0!</v>
      </c>
      <c r="TJD132" s="531" t="e">
        <f t="shared" si="220"/>
        <v>#DIV/0!</v>
      </c>
      <c r="TJE132" s="531" t="e">
        <f t="shared" si="220"/>
        <v>#DIV/0!</v>
      </c>
      <c r="TJF132" s="531" t="e">
        <f t="shared" si="220"/>
        <v>#DIV/0!</v>
      </c>
      <c r="TJG132" s="531" t="e">
        <f t="shared" si="220"/>
        <v>#DIV/0!</v>
      </c>
      <c r="TJH132" s="531" t="e">
        <f t="shared" si="220"/>
        <v>#DIV/0!</v>
      </c>
      <c r="TJI132" s="531" t="e">
        <f t="shared" si="220"/>
        <v>#DIV/0!</v>
      </c>
      <c r="TJJ132" s="531" t="e">
        <f t="shared" si="220"/>
        <v>#DIV/0!</v>
      </c>
      <c r="TJK132" s="531" t="e">
        <f t="shared" si="220"/>
        <v>#DIV/0!</v>
      </c>
      <c r="TJL132" s="531" t="e">
        <f t="shared" si="220"/>
        <v>#DIV/0!</v>
      </c>
      <c r="TJM132" s="531" t="e">
        <f t="shared" si="220"/>
        <v>#DIV/0!</v>
      </c>
      <c r="TJN132" s="531" t="e">
        <f t="shared" si="220"/>
        <v>#DIV/0!</v>
      </c>
      <c r="TJO132" s="531" t="e">
        <f t="shared" si="220"/>
        <v>#DIV/0!</v>
      </c>
      <c r="TJP132" s="531" t="e">
        <f t="shared" si="220"/>
        <v>#DIV/0!</v>
      </c>
      <c r="TJQ132" s="531" t="e">
        <f t="shared" si="220"/>
        <v>#DIV/0!</v>
      </c>
      <c r="TJR132" s="531" t="e">
        <f t="shared" si="220"/>
        <v>#DIV/0!</v>
      </c>
      <c r="TJS132" s="531" t="e">
        <f t="shared" si="220"/>
        <v>#DIV/0!</v>
      </c>
      <c r="TJT132" s="531" t="e">
        <f t="shared" si="220"/>
        <v>#DIV/0!</v>
      </c>
      <c r="TJU132" s="531" t="e">
        <f t="shared" si="220"/>
        <v>#DIV/0!</v>
      </c>
      <c r="TJV132" s="531" t="e">
        <f t="shared" si="220"/>
        <v>#DIV/0!</v>
      </c>
      <c r="TJW132" s="531" t="e">
        <f t="shared" si="220"/>
        <v>#DIV/0!</v>
      </c>
      <c r="TJX132" s="531" t="e">
        <f t="shared" si="220"/>
        <v>#DIV/0!</v>
      </c>
      <c r="TJY132" s="531" t="e">
        <f t="shared" si="220"/>
        <v>#DIV/0!</v>
      </c>
      <c r="TJZ132" s="531" t="e">
        <f t="shared" si="220"/>
        <v>#DIV/0!</v>
      </c>
      <c r="TKA132" s="531" t="e">
        <f t="shared" si="220"/>
        <v>#DIV/0!</v>
      </c>
      <c r="TKB132" s="531" t="e">
        <f t="shared" si="220"/>
        <v>#DIV/0!</v>
      </c>
      <c r="TKC132" s="531" t="e">
        <f t="shared" si="220"/>
        <v>#DIV/0!</v>
      </c>
      <c r="TKD132" s="531" t="e">
        <f t="shared" si="220"/>
        <v>#DIV/0!</v>
      </c>
      <c r="TKE132" s="531" t="e">
        <f t="shared" si="220"/>
        <v>#DIV/0!</v>
      </c>
      <c r="TKF132" s="531" t="e">
        <f t="shared" si="220"/>
        <v>#DIV/0!</v>
      </c>
      <c r="TKG132" s="531" t="e">
        <f t="shared" si="220"/>
        <v>#DIV/0!</v>
      </c>
      <c r="TKH132" s="531" t="e">
        <f t="shared" si="220"/>
        <v>#DIV/0!</v>
      </c>
      <c r="TKI132" s="531" t="e">
        <f t="shared" si="220"/>
        <v>#DIV/0!</v>
      </c>
      <c r="TKJ132" s="531" t="e">
        <f t="shared" si="220"/>
        <v>#DIV/0!</v>
      </c>
      <c r="TKK132" s="531" t="e">
        <f t="shared" si="220"/>
        <v>#DIV/0!</v>
      </c>
      <c r="TKL132" s="531" t="e">
        <f t="shared" si="220"/>
        <v>#DIV/0!</v>
      </c>
      <c r="TKM132" s="531" t="e">
        <f t="shared" si="220"/>
        <v>#DIV/0!</v>
      </c>
      <c r="TKN132" s="531" t="e">
        <f t="shared" si="220"/>
        <v>#DIV/0!</v>
      </c>
      <c r="TKO132" s="531" t="e">
        <f t="shared" si="220"/>
        <v>#DIV/0!</v>
      </c>
      <c r="TKP132" s="531" t="e">
        <f t="shared" si="220"/>
        <v>#DIV/0!</v>
      </c>
      <c r="TKQ132" s="531" t="e">
        <f t="shared" si="220"/>
        <v>#DIV/0!</v>
      </c>
      <c r="TKR132" s="531" t="e">
        <f t="shared" si="220"/>
        <v>#DIV/0!</v>
      </c>
      <c r="TKS132" s="531" t="e">
        <f t="shared" si="220"/>
        <v>#DIV/0!</v>
      </c>
      <c r="TKT132" s="531" t="e">
        <f t="shared" si="220"/>
        <v>#DIV/0!</v>
      </c>
      <c r="TKU132" s="531" t="e">
        <f t="shared" si="220"/>
        <v>#DIV/0!</v>
      </c>
      <c r="TKV132" s="531" t="e">
        <f t="shared" si="220"/>
        <v>#DIV/0!</v>
      </c>
      <c r="TKW132" s="531" t="e">
        <f t="shared" si="220"/>
        <v>#DIV/0!</v>
      </c>
      <c r="TKX132" s="531" t="e">
        <f t="shared" si="220"/>
        <v>#DIV/0!</v>
      </c>
      <c r="TKY132" s="531" t="e">
        <f t="shared" ref="TKY132:TNJ132" si="221">(TKY128-TKY116)/(TKY52*10^5)</f>
        <v>#DIV/0!</v>
      </c>
      <c r="TKZ132" s="531" t="e">
        <f t="shared" si="221"/>
        <v>#DIV/0!</v>
      </c>
      <c r="TLA132" s="531" t="e">
        <f t="shared" si="221"/>
        <v>#DIV/0!</v>
      </c>
      <c r="TLB132" s="531" t="e">
        <f t="shared" si="221"/>
        <v>#DIV/0!</v>
      </c>
      <c r="TLC132" s="531" t="e">
        <f t="shared" si="221"/>
        <v>#DIV/0!</v>
      </c>
      <c r="TLD132" s="531" t="e">
        <f t="shared" si="221"/>
        <v>#DIV/0!</v>
      </c>
      <c r="TLE132" s="531" t="e">
        <f t="shared" si="221"/>
        <v>#DIV/0!</v>
      </c>
      <c r="TLF132" s="531" t="e">
        <f t="shared" si="221"/>
        <v>#DIV/0!</v>
      </c>
      <c r="TLG132" s="531" t="e">
        <f t="shared" si="221"/>
        <v>#DIV/0!</v>
      </c>
      <c r="TLH132" s="531" t="e">
        <f t="shared" si="221"/>
        <v>#DIV/0!</v>
      </c>
      <c r="TLI132" s="531" t="e">
        <f t="shared" si="221"/>
        <v>#DIV/0!</v>
      </c>
      <c r="TLJ132" s="531" t="e">
        <f t="shared" si="221"/>
        <v>#DIV/0!</v>
      </c>
      <c r="TLK132" s="531" t="e">
        <f t="shared" si="221"/>
        <v>#DIV/0!</v>
      </c>
      <c r="TLL132" s="531" t="e">
        <f t="shared" si="221"/>
        <v>#DIV/0!</v>
      </c>
      <c r="TLM132" s="531" t="e">
        <f t="shared" si="221"/>
        <v>#DIV/0!</v>
      </c>
      <c r="TLN132" s="531" t="e">
        <f t="shared" si="221"/>
        <v>#DIV/0!</v>
      </c>
      <c r="TLO132" s="531" t="e">
        <f t="shared" si="221"/>
        <v>#DIV/0!</v>
      </c>
      <c r="TLP132" s="531" t="e">
        <f t="shared" si="221"/>
        <v>#DIV/0!</v>
      </c>
      <c r="TLQ132" s="531" t="e">
        <f t="shared" si="221"/>
        <v>#DIV/0!</v>
      </c>
      <c r="TLR132" s="531" t="e">
        <f t="shared" si="221"/>
        <v>#DIV/0!</v>
      </c>
      <c r="TLS132" s="531" t="e">
        <f t="shared" si="221"/>
        <v>#DIV/0!</v>
      </c>
      <c r="TLT132" s="531" t="e">
        <f t="shared" si="221"/>
        <v>#DIV/0!</v>
      </c>
      <c r="TLU132" s="531" t="e">
        <f t="shared" si="221"/>
        <v>#DIV/0!</v>
      </c>
      <c r="TLV132" s="531" t="e">
        <f t="shared" si="221"/>
        <v>#DIV/0!</v>
      </c>
      <c r="TLW132" s="531" t="e">
        <f t="shared" si="221"/>
        <v>#DIV/0!</v>
      </c>
      <c r="TLX132" s="531" t="e">
        <f t="shared" si="221"/>
        <v>#DIV/0!</v>
      </c>
      <c r="TLY132" s="531" t="e">
        <f t="shared" si="221"/>
        <v>#DIV/0!</v>
      </c>
      <c r="TLZ132" s="531" t="e">
        <f t="shared" si="221"/>
        <v>#DIV/0!</v>
      </c>
      <c r="TMA132" s="531" t="e">
        <f t="shared" si="221"/>
        <v>#DIV/0!</v>
      </c>
      <c r="TMB132" s="531" t="e">
        <f t="shared" si="221"/>
        <v>#DIV/0!</v>
      </c>
      <c r="TMC132" s="531" t="e">
        <f t="shared" si="221"/>
        <v>#DIV/0!</v>
      </c>
      <c r="TMD132" s="531" t="e">
        <f t="shared" si="221"/>
        <v>#DIV/0!</v>
      </c>
      <c r="TME132" s="531" t="e">
        <f t="shared" si="221"/>
        <v>#DIV/0!</v>
      </c>
      <c r="TMF132" s="531" t="e">
        <f t="shared" si="221"/>
        <v>#DIV/0!</v>
      </c>
      <c r="TMG132" s="531" t="e">
        <f t="shared" si="221"/>
        <v>#DIV/0!</v>
      </c>
      <c r="TMH132" s="531" t="e">
        <f t="shared" si="221"/>
        <v>#DIV/0!</v>
      </c>
      <c r="TMI132" s="531" t="e">
        <f t="shared" si="221"/>
        <v>#DIV/0!</v>
      </c>
      <c r="TMJ132" s="531" t="e">
        <f t="shared" si="221"/>
        <v>#DIV/0!</v>
      </c>
      <c r="TMK132" s="531" t="e">
        <f t="shared" si="221"/>
        <v>#DIV/0!</v>
      </c>
      <c r="TML132" s="531" t="e">
        <f t="shared" si="221"/>
        <v>#DIV/0!</v>
      </c>
      <c r="TMM132" s="531" t="e">
        <f t="shared" si="221"/>
        <v>#DIV/0!</v>
      </c>
      <c r="TMN132" s="531" t="e">
        <f t="shared" si="221"/>
        <v>#DIV/0!</v>
      </c>
      <c r="TMO132" s="531" t="e">
        <f t="shared" si="221"/>
        <v>#DIV/0!</v>
      </c>
      <c r="TMP132" s="531" t="e">
        <f t="shared" si="221"/>
        <v>#DIV/0!</v>
      </c>
      <c r="TMQ132" s="531" t="e">
        <f t="shared" si="221"/>
        <v>#DIV/0!</v>
      </c>
      <c r="TMR132" s="531" t="e">
        <f t="shared" si="221"/>
        <v>#DIV/0!</v>
      </c>
      <c r="TMS132" s="531" t="e">
        <f t="shared" si="221"/>
        <v>#DIV/0!</v>
      </c>
      <c r="TMT132" s="531" t="e">
        <f t="shared" si="221"/>
        <v>#DIV/0!</v>
      </c>
      <c r="TMU132" s="531" t="e">
        <f t="shared" si="221"/>
        <v>#DIV/0!</v>
      </c>
      <c r="TMV132" s="531" t="e">
        <f t="shared" si="221"/>
        <v>#DIV/0!</v>
      </c>
      <c r="TMW132" s="531" t="e">
        <f t="shared" si="221"/>
        <v>#DIV/0!</v>
      </c>
      <c r="TMX132" s="531" t="e">
        <f t="shared" si="221"/>
        <v>#DIV/0!</v>
      </c>
      <c r="TMY132" s="531" t="e">
        <f t="shared" si="221"/>
        <v>#DIV/0!</v>
      </c>
      <c r="TMZ132" s="531" t="e">
        <f t="shared" si="221"/>
        <v>#DIV/0!</v>
      </c>
      <c r="TNA132" s="531" t="e">
        <f t="shared" si="221"/>
        <v>#DIV/0!</v>
      </c>
      <c r="TNB132" s="531" t="e">
        <f t="shared" si="221"/>
        <v>#DIV/0!</v>
      </c>
      <c r="TNC132" s="531" t="e">
        <f t="shared" si="221"/>
        <v>#DIV/0!</v>
      </c>
      <c r="TND132" s="531" t="e">
        <f t="shared" si="221"/>
        <v>#DIV/0!</v>
      </c>
      <c r="TNE132" s="531" t="e">
        <f t="shared" si="221"/>
        <v>#DIV/0!</v>
      </c>
      <c r="TNF132" s="531" t="e">
        <f t="shared" si="221"/>
        <v>#DIV/0!</v>
      </c>
      <c r="TNG132" s="531" t="e">
        <f t="shared" si="221"/>
        <v>#DIV/0!</v>
      </c>
      <c r="TNH132" s="531" t="e">
        <f t="shared" si="221"/>
        <v>#DIV/0!</v>
      </c>
      <c r="TNI132" s="531" t="e">
        <f t="shared" si="221"/>
        <v>#DIV/0!</v>
      </c>
      <c r="TNJ132" s="531" t="e">
        <f t="shared" si="221"/>
        <v>#DIV/0!</v>
      </c>
      <c r="TNK132" s="531" t="e">
        <f t="shared" ref="TNK132:TPV132" si="222">(TNK128-TNK116)/(TNK52*10^5)</f>
        <v>#DIV/0!</v>
      </c>
      <c r="TNL132" s="531" t="e">
        <f t="shared" si="222"/>
        <v>#DIV/0!</v>
      </c>
      <c r="TNM132" s="531" t="e">
        <f t="shared" si="222"/>
        <v>#DIV/0!</v>
      </c>
      <c r="TNN132" s="531" t="e">
        <f t="shared" si="222"/>
        <v>#DIV/0!</v>
      </c>
      <c r="TNO132" s="531" t="e">
        <f t="shared" si="222"/>
        <v>#DIV/0!</v>
      </c>
      <c r="TNP132" s="531" t="e">
        <f t="shared" si="222"/>
        <v>#DIV/0!</v>
      </c>
      <c r="TNQ132" s="531" t="e">
        <f t="shared" si="222"/>
        <v>#DIV/0!</v>
      </c>
      <c r="TNR132" s="531" t="e">
        <f t="shared" si="222"/>
        <v>#DIV/0!</v>
      </c>
      <c r="TNS132" s="531" t="e">
        <f t="shared" si="222"/>
        <v>#DIV/0!</v>
      </c>
      <c r="TNT132" s="531" t="e">
        <f t="shared" si="222"/>
        <v>#DIV/0!</v>
      </c>
      <c r="TNU132" s="531" t="e">
        <f t="shared" si="222"/>
        <v>#DIV/0!</v>
      </c>
      <c r="TNV132" s="531" t="e">
        <f t="shared" si="222"/>
        <v>#DIV/0!</v>
      </c>
      <c r="TNW132" s="531" t="e">
        <f t="shared" si="222"/>
        <v>#DIV/0!</v>
      </c>
      <c r="TNX132" s="531" t="e">
        <f t="shared" si="222"/>
        <v>#DIV/0!</v>
      </c>
      <c r="TNY132" s="531" t="e">
        <f t="shared" si="222"/>
        <v>#DIV/0!</v>
      </c>
      <c r="TNZ132" s="531" t="e">
        <f t="shared" si="222"/>
        <v>#DIV/0!</v>
      </c>
      <c r="TOA132" s="531" t="e">
        <f t="shared" si="222"/>
        <v>#DIV/0!</v>
      </c>
      <c r="TOB132" s="531" t="e">
        <f t="shared" si="222"/>
        <v>#DIV/0!</v>
      </c>
      <c r="TOC132" s="531" t="e">
        <f t="shared" si="222"/>
        <v>#DIV/0!</v>
      </c>
      <c r="TOD132" s="531" t="e">
        <f t="shared" si="222"/>
        <v>#DIV/0!</v>
      </c>
      <c r="TOE132" s="531" t="e">
        <f t="shared" si="222"/>
        <v>#DIV/0!</v>
      </c>
      <c r="TOF132" s="531" t="e">
        <f t="shared" si="222"/>
        <v>#DIV/0!</v>
      </c>
      <c r="TOG132" s="531" t="e">
        <f t="shared" si="222"/>
        <v>#DIV/0!</v>
      </c>
      <c r="TOH132" s="531" t="e">
        <f t="shared" si="222"/>
        <v>#DIV/0!</v>
      </c>
      <c r="TOI132" s="531" t="e">
        <f t="shared" si="222"/>
        <v>#DIV/0!</v>
      </c>
      <c r="TOJ132" s="531" t="e">
        <f t="shared" si="222"/>
        <v>#DIV/0!</v>
      </c>
      <c r="TOK132" s="531" t="e">
        <f t="shared" si="222"/>
        <v>#DIV/0!</v>
      </c>
      <c r="TOL132" s="531" t="e">
        <f t="shared" si="222"/>
        <v>#DIV/0!</v>
      </c>
      <c r="TOM132" s="531" t="e">
        <f t="shared" si="222"/>
        <v>#DIV/0!</v>
      </c>
      <c r="TON132" s="531" t="e">
        <f t="shared" si="222"/>
        <v>#DIV/0!</v>
      </c>
      <c r="TOO132" s="531" t="e">
        <f t="shared" si="222"/>
        <v>#DIV/0!</v>
      </c>
      <c r="TOP132" s="531" t="e">
        <f t="shared" si="222"/>
        <v>#DIV/0!</v>
      </c>
      <c r="TOQ132" s="531" t="e">
        <f t="shared" si="222"/>
        <v>#DIV/0!</v>
      </c>
      <c r="TOR132" s="531" t="e">
        <f t="shared" si="222"/>
        <v>#DIV/0!</v>
      </c>
      <c r="TOS132" s="531" t="e">
        <f t="shared" si="222"/>
        <v>#DIV/0!</v>
      </c>
      <c r="TOT132" s="531" t="e">
        <f t="shared" si="222"/>
        <v>#DIV/0!</v>
      </c>
      <c r="TOU132" s="531" t="e">
        <f t="shared" si="222"/>
        <v>#DIV/0!</v>
      </c>
      <c r="TOV132" s="531" t="e">
        <f t="shared" si="222"/>
        <v>#DIV/0!</v>
      </c>
      <c r="TOW132" s="531" t="e">
        <f t="shared" si="222"/>
        <v>#DIV/0!</v>
      </c>
      <c r="TOX132" s="531" t="e">
        <f t="shared" si="222"/>
        <v>#DIV/0!</v>
      </c>
      <c r="TOY132" s="531" t="e">
        <f t="shared" si="222"/>
        <v>#DIV/0!</v>
      </c>
      <c r="TOZ132" s="531" t="e">
        <f t="shared" si="222"/>
        <v>#DIV/0!</v>
      </c>
      <c r="TPA132" s="531" t="e">
        <f t="shared" si="222"/>
        <v>#DIV/0!</v>
      </c>
      <c r="TPB132" s="531" t="e">
        <f t="shared" si="222"/>
        <v>#DIV/0!</v>
      </c>
      <c r="TPC132" s="531" t="e">
        <f t="shared" si="222"/>
        <v>#DIV/0!</v>
      </c>
      <c r="TPD132" s="531" t="e">
        <f t="shared" si="222"/>
        <v>#DIV/0!</v>
      </c>
      <c r="TPE132" s="531" t="e">
        <f t="shared" si="222"/>
        <v>#DIV/0!</v>
      </c>
      <c r="TPF132" s="531" t="e">
        <f t="shared" si="222"/>
        <v>#DIV/0!</v>
      </c>
      <c r="TPG132" s="531" t="e">
        <f t="shared" si="222"/>
        <v>#DIV/0!</v>
      </c>
      <c r="TPH132" s="531" t="e">
        <f t="shared" si="222"/>
        <v>#DIV/0!</v>
      </c>
      <c r="TPI132" s="531" t="e">
        <f t="shared" si="222"/>
        <v>#DIV/0!</v>
      </c>
      <c r="TPJ132" s="531" t="e">
        <f t="shared" si="222"/>
        <v>#DIV/0!</v>
      </c>
      <c r="TPK132" s="531" t="e">
        <f t="shared" si="222"/>
        <v>#DIV/0!</v>
      </c>
      <c r="TPL132" s="531" t="e">
        <f t="shared" si="222"/>
        <v>#DIV/0!</v>
      </c>
      <c r="TPM132" s="531" t="e">
        <f t="shared" si="222"/>
        <v>#DIV/0!</v>
      </c>
      <c r="TPN132" s="531" t="e">
        <f t="shared" si="222"/>
        <v>#DIV/0!</v>
      </c>
      <c r="TPO132" s="531" t="e">
        <f t="shared" si="222"/>
        <v>#DIV/0!</v>
      </c>
      <c r="TPP132" s="531" t="e">
        <f t="shared" si="222"/>
        <v>#DIV/0!</v>
      </c>
      <c r="TPQ132" s="531" t="e">
        <f t="shared" si="222"/>
        <v>#DIV/0!</v>
      </c>
      <c r="TPR132" s="531" t="e">
        <f t="shared" si="222"/>
        <v>#DIV/0!</v>
      </c>
      <c r="TPS132" s="531" t="e">
        <f t="shared" si="222"/>
        <v>#DIV/0!</v>
      </c>
      <c r="TPT132" s="531" t="e">
        <f t="shared" si="222"/>
        <v>#DIV/0!</v>
      </c>
      <c r="TPU132" s="531" t="e">
        <f t="shared" si="222"/>
        <v>#DIV/0!</v>
      </c>
      <c r="TPV132" s="531" t="e">
        <f t="shared" si="222"/>
        <v>#DIV/0!</v>
      </c>
      <c r="TPW132" s="531" t="e">
        <f t="shared" ref="TPW132:TSH132" si="223">(TPW128-TPW116)/(TPW52*10^5)</f>
        <v>#DIV/0!</v>
      </c>
      <c r="TPX132" s="531" t="e">
        <f t="shared" si="223"/>
        <v>#DIV/0!</v>
      </c>
      <c r="TPY132" s="531" t="e">
        <f t="shared" si="223"/>
        <v>#DIV/0!</v>
      </c>
      <c r="TPZ132" s="531" t="e">
        <f t="shared" si="223"/>
        <v>#DIV/0!</v>
      </c>
      <c r="TQA132" s="531" t="e">
        <f t="shared" si="223"/>
        <v>#DIV/0!</v>
      </c>
      <c r="TQB132" s="531" t="e">
        <f t="shared" si="223"/>
        <v>#DIV/0!</v>
      </c>
      <c r="TQC132" s="531" t="e">
        <f t="shared" si="223"/>
        <v>#DIV/0!</v>
      </c>
      <c r="TQD132" s="531" t="e">
        <f t="shared" si="223"/>
        <v>#DIV/0!</v>
      </c>
      <c r="TQE132" s="531" t="e">
        <f t="shared" si="223"/>
        <v>#DIV/0!</v>
      </c>
      <c r="TQF132" s="531" t="e">
        <f t="shared" si="223"/>
        <v>#DIV/0!</v>
      </c>
      <c r="TQG132" s="531" t="e">
        <f t="shared" si="223"/>
        <v>#DIV/0!</v>
      </c>
      <c r="TQH132" s="531" t="e">
        <f t="shared" si="223"/>
        <v>#DIV/0!</v>
      </c>
      <c r="TQI132" s="531" t="e">
        <f t="shared" si="223"/>
        <v>#DIV/0!</v>
      </c>
      <c r="TQJ132" s="531" t="e">
        <f t="shared" si="223"/>
        <v>#DIV/0!</v>
      </c>
      <c r="TQK132" s="531" t="e">
        <f t="shared" si="223"/>
        <v>#DIV/0!</v>
      </c>
      <c r="TQL132" s="531" t="e">
        <f t="shared" si="223"/>
        <v>#DIV/0!</v>
      </c>
      <c r="TQM132" s="531" t="e">
        <f t="shared" si="223"/>
        <v>#DIV/0!</v>
      </c>
      <c r="TQN132" s="531" t="e">
        <f t="shared" si="223"/>
        <v>#DIV/0!</v>
      </c>
      <c r="TQO132" s="531" t="e">
        <f t="shared" si="223"/>
        <v>#DIV/0!</v>
      </c>
      <c r="TQP132" s="531" t="e">
        <f t="shared" si="223"/>
        <v>#DIV/0!</v>
      </c>
      <c r="TQQ132" s="531" t="e">
        <f t="shared" si="223"/>
        <v>#DIV/0!</v>
      </c>
      <c r="TQR132" s="531" t="e">
        <f t="shared" si="223"/>
        <v>#DIV/0!</v>
      </c>
      <c r="TQS132" s="531" t="e">
        <f t="shared" si="223"/>
        <v>#DIV/0!</v>
      </c>
      <c r="TQT132" s="531" t="e">
        <f t="shared" si="223"/>
        <v>#DIV/0!</v>
      </c>
      <c r="TQU132" s="531" t="e">
        <f t="shared" si="223"/>
        <v>#DIV/0!</v>
      </c>
      <c r="TQV132" s="531" t="e">
        <f t="shared" si="223"/>
        <v>#DIV/0!</v>
      </c>
      <c r="TQW132" s="531" t="e">
        <f t="shared" si="223"/>
        <v>#DIV/0!</v>
      </c>
      <c r="TQX132" s="531" t="e">
        <f t="shared" si="223"/>
        <v>#DIV/0!</v>
      </c>
      <c r="TQY132" s="531" t="e">
        <f t="shared" si="223"/>
        <v>#DIV/0!</v>
      </c>
      <c r="TQZ132" s="531" t="e">
        <f t="shared" si="223"/>
        <v>#DIV/0!</v>
      </c>
      <c r="TRA132" s="531" t="e">
        <f t="shared" si="223"/>
        <v>#DIV/0!</v>
      </c>
      <c r="TRB132" s="531" t="e">
        <f t="shared" si="223"/>
        <v>#DIV/0!</v>
      </c>
      <c r="TRC132" s="531" t="e">
        <f t="shared" si="223"/>
        <v>#DIV/0!</v>
      </c>
      <c r="TRD132" s="531" t="e">
        <f t="shared" si="223"/>
        <v>#DIV/0!</v>
      </c>
      <c r="TRE132" s="531" t="e">
        <f t="shared" si="223"/>
        <v>#DIV/0!</v>
      </c>
      <c r="TRF132" s="531" t="e">
        <f t="shared" si="223"/>
        <v>#DIV/0!</v>
      </c>
      <c r="TRG132" s="531" t="e">
        <f t="shared" si="223"/>
        <v>#DIV/0!</v>
      </c>
      <c r="TRH132" s="531" t="e">
        <f t="shared" si="223"/>
        <v>#DIV/0!</v>
      </c>
      <c r="TRI132" s="531" t="e">
        <f t="shared" si="223"/>
        <v>#DIV/0!</v>
      </c>
      <c r="TRJ132" s="531" t="e">
        <f t="shared" si="223"/>
        <v>#DIV/0!</v>
      </c>
      <c r="TRK132" s="531" t="e">
        <f t="shared" si="223"/>
        <v>#DIV/0!</v>
      </c>
      <c r="TRL132" s="531" t="e">
        <f t="shared" si="223"/>
        <v>#DIV/0!</v>
      </c>
      <c r="TRM132" s="531" t="e">
        <f t="shared" si="223"/>
        <v>#DIV/0!</v>
      </c>
      <c r="TRN132" s="531" t="e">
        <f t="shared" si="223"/>
        <v>#DIV/0!</v>
      </c>
      <c r="TRO132" s="531" t="e">
        <f t="shared" si="223"/>
        <v>#DIV/0!</v>
      </c>
      <c r="TRP132" s="531" t="e">
        <f t="shared" si="223"/>
        <v>#DIV/0!</v>
      </c>
      <c r="TRQ132" s="531" t="e">
        <f t="shared" si="223"/>
        <v>#DIV/0!</v>
      </c>
      <c r="TRR132" s="531" t="e">
        <f t="shared" si="223"/>
        <v>#DIV/0!</v>
      </c>
      <c r="TRS132" s="531" t="e">
        <f t="shared" si="223"/>
        <v>#DIV/0!</v>
      </c>
      <c r="TRT132" s="531" t="e">
        <f t="shared" si="223"/>
        <v>#DIV/0!</v>
      </c>
      <c r="TRU132" s="531" t="e">
        <f t="shared" si="223"/>
        <v>#DIV/0!</v>
      </c>
      <c r="TRV132" s="531" t="e">
        <f t="shared" si="223"/>
        <v>#DIV/0!</v>
      </c>
      <c r="TRW132" s="531" t="e">
        <f t="shared" si="223"/>
        <v>#DIV/0!</v>
      </c>
      <c r="TRX132" s="531" t="e">
        <f t="shared" si="223"/>
        <v>#DIV/0!</v>
      </c>
      <c r="TRY132" s="531" t="e">
        <f t="shared" si="223"/>
        <v>#DIV/0!</v>
      </c>
      <c r="TRZ132" s="531" t="e">
        <f t="shared" si="223"/>
        <v>#DIV/0!</v>
      </c>
      <c r="TSA132" s="531" t="e">
        <f t="shared" si="223"/>
        <v>#DIV/0!</v>
      </c>
      <c r="TSB132" s="531" t="e">
        <f t="shared" si="223"/>
        <v>#DIV/0!</v>
      </c>
      <c r="TSC132" s="531" t="e">
        <f t="shared" si="223"/>
        <v>#DIV/0!</v>
      </c>
      <c r="TSD132" s="531" t="e">
        <f t="shared" si="223"/>
        <v>#DIV/0!</v>
      </c>
      <c r="TSE132" s="531" t="e">
        <f t="shared" si="223"/>
        <v>#DIV/0!</v>
      </c>
      <c r="TSF132" s="531" t="e">
        <f t="shared" si="223"/>
        <v>#DIV/0!</v>
      </c>
      <c r="TSG132" s="531" t="e">
        <f t="shared" si="223"/>
        <v>#DIV/0!</v>
      </c>
      <c r="TSH132" s="531" t="e">
        <f t="shared" si="223"/>
        <v>#DIV/0!</v>
      </c>
      <c r="TSI132" s="531" t="e">
        <f t="shared" ref="TSI132:TUT132" si="224">(TSI128-TSI116)/(TSI52*10^5)</f>
        <v>#DIV/0!</v>
      </c>
      <c r="TSJ132" s="531" t="e">
        <f t="shared" si="224"/>
        <v>#DIV/0!</v>
      </c>
      <c r="TSK132" s="531" t="e">
        <f t="shared" si="224"/>
        <v>#DIV/0!</v>
      </c>
      <c r="TSL132" s="531" t="e">
        <f t="shared" si="224"/>
        <v>#DIV/0!</v>
      </c>
      <c r="TSM132" s="531" t="e">
        <f t="shared" si="224"/>
        <v>#DIV/0!</v>
      </c>
      <c r="TSN132" s="531" t="e">
        <f t="shared" si="224"/>
        <v>#DIV/0!</v>
      </c>
      <c r="TSO132" s="531" t="e">
        <f t="shared" si="224"/>
        <v>#DIV/0!</v>
      </c>
      <c r="TSP132" s="531" t="e">
        <f t="shared" si="224"/>
        <v>#DIV/0!</v>
      </c>
      <c r="TSQ132" s="531" t="e">
        <f t="shared" si="224"/>
        <v>#DIV/0!</v>
      </c>
      <c r="TSR132" s="531" t="e">
        <f t="shared" si="224"/>
        <v>#DIV/0!</v>
      </c>
      <c r="TSS132" s="531" t="e">
        <f t="shared" si="224"/>
        <v>#DIV/0!</v>
      </c>
      <c r="TST132" s="531" t="e">
        <f t="shared" si="224"/>
        <v>#DIV/0!</v>
      </c>
      <c r="TSU132" s="531" t="e">
        <f t="shared" si="224"/>
        <v>#DIV/0!</v>
      </c>
      <c r="TSV132" s="531" t="e">
        <f t="shared" si="224"/>
        <v>#DIV/0!</v>
      </c>
      <c r="TSW132" s="531" t="e">
        <f t="shared" si="224"/>
        <v>#DIV/0!</v>
      </c>
      <c r="TSX132" s="531" t="e">
        <f t="shared" si="224"/>
        <v>#DIV/0!</v>
      </c>
      <c r="TSY132" s="531" t="e">
        <f t="shared" si="224"/>
        <v>#DIV/0!</v>
      </c>
      <c r="TSZ132" s="531" t="e">
        <f t="shared" si="224"/>
        <v>#DIV/0!</v>
      </c>
      <c r="TTA132" s="531" t="e">
        <f t="shared" si="224"/>
        <v>#DIV/0!</v>
      </c>
      <c r="TTB132" s="531" t="e">
        <f t="shared" si="224"/>
        <v>#DIV/0!</v>
      </c>
      <c r="TTC132" s="531" t="e">
        <f t="shared" si="224"/>
        <v>#DIV/0!</v>
      </c>
      <c r="TTD132" s="531" t="e">
        <f t="shared" si="224"/>
        <v>#DIV/0!</v>
      </c>
      <c r="TTE132" s="531" t="e">
        <f t="shared" si="224"/>
        <v>#DIV/0!</v>
      </c>
      <c r="TTF132" s="531" t="e">
        <f t="shared" si="224"/>
        <v>#DIV/0!</v>
      </c>
      <c r="TTG132" s="531" t="e">
        <f t="shared" si="224"/>
        <v>#DIV/0!</v>
      </c>
      <c r="TTH132" s="531" t="e">
        <f t="shared" si="224"/>
        <v>#DIV/0!</v>
      </c>
      <c r="TTI132" s="531" t="e">
        <f t="shared" si="224"/>
        <v>#DIV/0!</v>
      </c>
      <c r="TTJ132" s="531" t="e">
        <f t="shared" si="224"/>
        <v>#DIV/0!</v>
      </c>
      <c r="TTK132" s="531" t="e">
        <f t="shared" si="224"/>
        <v>#DIV/0!</v>
      </c>
      <c r="TTL132" s="531" t="e">
        <f t="shared" si="224"/>
        <v>#DIV/0!</v>
      </c>
      <c r="TTM132" s="531" t="e">
        <f t="shared" si="224"/>
        <v>#DIV/0!</v>
      </c>
      <c r="TTN132" s="531" t="e">
        <f t="shared" si="224"/>
        <v>#DIV/0!</v>
      </c>
      <c r="TTO132" s="531" t="e">
        <f t="shared" si="224"/>
        <v>#DIV/0!</v>
      </c>
      <c r="TTP132" s="531" t="e">
        <f t="shared" si="224"/>
        <v>#DIV/0!</v>
      </c>
      <c r="TTQ132" s="531" t="e">
        <f t="shared" si="224"/>
        <v>#DIV/0!</v>
      </c>
      <c r="TTR132" s="531" t="e">
        <f t="shared" si="224"/>
        <v>#DIV/0!</v>
      </c>
      <c r="TTS132" s="531" t="e">
        <f t="shared" si="224"/>
        <v>#DIV/0!</v>
      </c>
      <c r="TTT132" s="531" t="e">
        <f t="shared" si="224"/>
        <v>#DIV/0!</v>
      </c>
      <c r="TTU132" s="531" t="e">
        <f t="shared" si="224"/>
        <v>#DIV/0!</v>
      </c>
      <c r="TTV132" s="531" t="e">
        <f t="shared" si="224"/>
        <v>#DIV/0!</v>
      </c>
      <c r="TTW132" s="531" t="e">
        <f t="shared" si="224"/>
        <v>#DIV/0!</v>
      </c>
      <c r="TTX132" s="531" t="e">
        <f t="shared" si="224"/>
        <v>#DIV/0!</v>
      </c>
      <c r="TTY132" s="531" t="e">
        <f t="shared" si="224"/>
        <v>#DIV/0!</v>
      </c>
      <c r="TTZ132" s="531" t="e">
        <f t="shared" si="224"/>
        <v>#DIV/0!</v>
      </c>
      <c r="TUA132" s="531" t="e">
        <f t="shared" si="224"/>
        <v>#DIV/0!</v>
      </c>
      <c r="TUB132" s="531" t="e">
        <f t="shared" si="224"/>
        <v>#DIV/0!</v>
      </c>
      <c r="TUC132" s="531" t="e">
        <f t="shared" si="224"/>
        <v>#DIV/0!</v>
      </c>
      <c r="TUD132" s="531" t="e">
        <f t="shared" si="224"/>
        <v>#DIV/0!</v>
      </c>
      <c r="TUE132" s="531" t="e">
        <f t="shared" si="224"/>
        <v>#DIV/0!</v>
      </c>
      <c r="TUF132" s="531" t="e">
        <f t="shared" si="224"/>
        <v>#DIV/0!</v>
      </c>
      <c r="TUG132" s="531" t="e">
        <f t="shared" si="224"/>
        <v>#DIV/0!</v>
      </c>
      <c r="TUH132" s="531" t="e">
        <f t="shared" si="224"/>
        <v>#DIV/0!</v>
      </c>
      <c r="TUI132" s="531" t="e">
        <f t="shared" si="224"/>
        <v>#DIV/0!</v>
      </c>
      <c r="TUJ132" s="531" t="e">
        <f t="shared" si="224"/>
        <v>#DIV/0!</v>
      </c>
      <c r="TUK132" s="531" t="e">
        <f t="shared" si="224"/>
        <v>#DIV/0!</v>
      </c>
      <c r="TUL132" s="531" t="e">
        <f t="shared" si="224"/>
        <v>#DIV/0!</v>
      </c>
      <c r="TUM132" s="531" t="e">
        <f t="shared" si="224"/>
        <v>#DIV/0!</v>
      </c>
      <c r="TUN132" s="531" t="e">
        <f t="shared" si="224"/>
        <v>#DIV/0!</v>
      </c>
      <c r="TUO132" s="531" t="e">
        <f t="shared" si="224"/>
        <v>#DIV/0!</v>
      </c>
      <c r="TUP132" s="531" t="e">
        <f t="shared" si="224"/>
        <v>#DIV/0!</v>
      </c>
      <c r="TUQ132" s="531" t="e">
        <f t="shared" si="224"/>
        <v>#DIV/0!</v>
      </c>
      <c r="TUR132" s="531" t="e">
        <f t="shared" si="224"/>
        <v>#DIV/0!</v>
      </c>
      <c r="TUS132" s="531" t="e">
        <f t="shared" si="224"/>
        <v>#DIV/0!</v>
      </c>
      <c r="TUT132" s="531" t="e">
        <f t="shared" si="224"/>
        <v>#DIV/0!</v>
      </c>
      <c r="TUU132" s="531" t="e">
        <f t="shared" ref="TUU132:TXF132" si="225">(TUU128-TUU116)/(TUU52*10^5)</f>
        <v>#DIV/0!</v>
      </c>
      <c r="TUV132" s="531" t="e">
        <f t="shared" si="225"/>
        <v>#DIV/0!</v>
      </c>
      <c r="TUW132" s="531" t="e">
        <f t="shared" si="225"/>
        <v>#DIV/0!</v>
      </c>
      <c r="TUX132" s="531" t="e">
        <f t="shared" si="225"/>
        <v>#DIV/0!</v>
      </c>
      <c r="TUY132" s="531" t="e">
        <f t="shared" si="225"/>
        <v>#DIV/0!</v>
      </c>
      <c r="TUZ132" s="531" t="e">
        <f t="shared" si="225"/>
        <v>#DIV/0!</v>
      </c>
      <c r="TVA132" s="531" t="e">
        <f t="shared" si="225"/>
        <v>#DIV/0!</v>
      </c>
      <c r="TVB132" s="531" t="e">
        <f t="shared" si="225"/>
        <v>#DIV/0!</v>
      </c>
      <c r="TVC132" s="531" t="e">
        <f t="shared" si="225"/>
        <v>#DIV/0!</v>
      </c>
      <c r="TVD132" s="531" t="e">
        <f t="shared" si="225"/>
        <v>#DIV/0!</v>
      </c>
      <c r="TVE132" s="531" t="e">
        <f t="shared" si="225"/>
        <v>#DIV/0!</v>
      </c>
      <c r="TVF132" s="531" t="e">
        <f t="shared" si="225"/>
        <v>#DIV/0!</v>
      </c>
      <c r="TVG132" s="531" t="e">
        <f t="shared" si="225"/>
        <v>#DIV/0!</v>
      </c>
      <c r="TVH132" s="531" t="e">
        <f t="shared" si="225"/>
        <v>#DIV/0!</v>
      </c>
      <c r="TVI132" s="531" t="e">
        <f t="shared" si="225"/>
        <v>#DIV/0!</v>
      </c>
      <c r="TVJ132" s="531" t="e">
        <f t="shared" si="225"/>
        <v>#DIV/0!</v>
      </c>
      <c r="TVK132" s="531" t="e">
        <f t="shared" si="225"/>
        <v>#DIV/0!</v>
      </c>
      <c r="TVL132" s="531" t="e">
        <f t="shared" si="225"/>
        <v>#DIV/0!</v>
      </c>
      <c r="TVM132" s="531" t="e">
        <f t="shared" si="225"/>
        <v>#DIV/0!</v>
      </c>
      <c r="TVN132" s="531" t="e">
        <f t="shared" si="225"/>
        <v>#DIV/0!</v>
      </c>
      <c r="TVO132" s="531" t="e">
        <f t="shared" si="225"/>
        <v>#DIV/0!</v>
      </c>
      <c r="TVP132" s="531" t="e">
        <f t="shared" si="225"/>
        <v>#DIV/0!</v>
      </c>
      <c r="TVQ132" s="531" t="e">
        <f t="shared" si="225"/>
        <v>#DIV/0!</v>
      </c>
      <c r="TVR132" s="531" t="e">
        <f t="shared" si="225"/>
        <v>#DIV/0!</v>
      </c>
      <c r="TVS132" s="531" t="e">
        <f t="shared" si="225"/>
        <v>#DIV/0!</v>
      </c>
      <c r="TVT132" s="531" t="e">
        <f t="shared" si="225"/>
        <v>#DIV/0!</v>
      </c>
      <c r="TVU132" s="531" t="e">
        <f t="shared" si="225"/>
        <v>#DIV/0!</v>
      </c>
      <c r="TVV132" s="531" t="e">
        <f t="shared" si="225"/>
        <v>#DIV/0!</v>
      </c>
      <c r="TVW132" s="531" t="e">
        <f t="shared" si="225"/>
        <v>#DIV/0!</v>
      </c>
      <c r="TVX132" s="531" t="e">
        <f t="shared" si="225"/>
        <v>#DIV/0!</v>
      </c>
      <c r="TVY132" s="531" t="e">
        <f t="shared" si="225"/>
        <v>#DIV/0!</v>
      </c>
      <c r="TVZ132" s="531" t="e">
        <f t="shared" si="225"/>
        <v>#DIV/0!</v>
      </c>
      <c r="TWA132" s="531" t="e">
        <f t="shared" si="225"/>
        <v>#DIV/0!</v>
      </c>
      <c r="TWB132" s="531" t="e">
        <f t="shared" si="225"/>
        <v>#DIV/0!</v>
      </c>
      <c r="TWC132" s="531" t="e">
        <f t="shared" si="225"/>
        <v>#DIV/0!</v>
      </c>
      <c r="TWD132" s="531" t="e">
        <f t="shared" si="225"/>
        <v>#DIV/0!</v>
      </c>
      <c r="TWE132" s="531" t="e">
        <f t="shared" si="225"/>
        <v>#DIV/0!</v>
      </c>
      <c r="TWF132" s="531" t="e">
        <f t="shared" si="225"/>
        <v>#DIV/0!</v>
      </c>
      <c r="TWG132" s="531" t="e">
        <f t="shared" si="225"/>
        <v>#DIV/0!</v>
      </c>
      <c r="TWH132" s="531" t="e">
        <f t="shared" si="225"/>
        <v>#DIV/0!</v>
      </c>
      <c r="TWI132" s="531" t="e">
        <f t="shared" si="225"/>
        <v>#DIV/0!</v>
      </c>
      <c r="TWJ132" s="531" t="e">
        <f t="shared" si="225"/>
        <v>#DIV/0!</v>
      </c>
      <c r="TWK132" s="531" t="e">
        <f t="shared" si="225"/>
        <v>#DIV/0!</v>
      </c>
      <c r="TWL132" s="531" t="e">
        <f t="shared" si="225"/>
        <v>#DIV/0!</v>
      </c>
      <c r="TWM132" s="531" t="e">
        <f t="shared" si="225"/>
        <v>#DIV/0!</v>
      </c>
      <c r="TWN132" s="531" t="e">
        <f t="shared" si="225"/>
        <v>#DIV/0!</v>
      </c>
      <c r="TWO132" s="531" t="e">
        <f t="shared" si="225"/>
        <v>#DIV/0!</v>
      </c>
      <c r="TWP132" s="531" t="e">
        <f t="shared" si="225"/>
        <v>#DIV/0!</v>
      </c>
      <c r="TWQ132" s="531" t="e">
        <f t="shared" si="225"/>
        <v>#DIV/0!</v>
      </c>
      <c r="TWR132" s="531" t="e">
        <f t="shared" si="225"/>
        <v>#DIV/0!</v>
      </c>
      <c r="TWS132" s="531" t="e">
        <f t="shared" si="225"/>
        <v>#DIV/0!</v>
      </c>
      <c r="TWT132" s="531" t="e">
        <f t="shared" si="225"/>
        <v>#DIV/0!</v>
      </c>
      <c r="TWU132" s="531" t="e">
        <f t="shared" si="225"/>
        <v>#DIV/0!</v>
      </c>
      <c r="TWV132" s="531" t="e">
        <f t="shared" si="225"/>
        <v>#DIV/0!</v>
      </c>
      <c r="TWW132" s="531" t="e">
        <f t="shared" si="225"/>
        <v>#DIV/0!</v>
      </c>
      <c r="TWX132" s="531" t="e">
        <f t="shared" si="225"/>
        <v>#DIV/0!</v>
      </c>
      <c r="TWY132" s="531" t="e">
        <f t="shared" si="225"/>
        <v>#DIV/0!</v>
      </c>
      <c r="TWZ132" s="531" t="e">
        <f t="shared" si="225"/>
        <v>#DIV/0!</v>
      </c>
      <c r="TXA132" s="531" t="e">
        <f t="shared" si="225"/>
        <v>#DIV/0!</v>
      </c>
      <c r="TXB132" s="531" t="e">
        <f t="shared" si="225"/>
        <v>#DIV/0!</v>
      </c>
      <c r="TXC132" s="531" t="e">
        <f t="shared" si="225"/>
        <v>#DIV/0!</v>
      </c>
      <c r="TXD132" s="531" t="e">
        <f t="shared" si="225"/>
        <v>#DIV/0!</v>
      </c>
      <c r="TXE132" s="531" t="e">
        <f t="shared" si="225"/>
        <v>#DIV/0!</v>
      </c>
      <c r="TXF132" s="531" t="e">
        <f t="shared" si="225"/>
        <v>#DIV/0!</v>
      </c>
      <c r="TXG132" s="531" t="e">
        <f t="shared" ref="TXG132:TZR132" si="226">(TXG128-TXG116)/(TXG52*10^5)</f>
        <v>#DIV/0!</v>
      </c>
      <c r="TXH132" s="531" t="e">
        <f t="shared" si="226"/>
        <v>#DIV/0!</v>
      </c>
      <c r="TXI132" s="531" t="e">
        <f t="shared" si="226"/>
        <v>#DIV/0!</v>
      </c>
      <c r="TXJ132" s="531" t="e">
        <f t="shared" si="226"/>
        <v>#DIV/0!</v>
      </c>
      <c r="TXK132" s="531" t="e">
        <f t="shared" si="226"/>
        <v>#DIV/0!</v>
      </c>
      <c r="TXL132" s="531" t="e">
        <f t="shared" si="226"/>
        <v>#DIV/0!</v>
      </c>
      <c r="TXM132" s="531" t="e">
        <f t="shared" si="226"/>
        <v>#DIV/0!</v>
      </c>
      <c r="TXN132" s="531" t="e">
        <f t="shared" si="226"/>
        <v>#DIV/0!</v>
      </c>
      <c r="TXO132" s="531" t="e">
        <f t="shared" si="226"/>
        <v>#DIV/0!</v>
      </c>
      <c r="TXP132" s="531" t="e">
        <f t="shared" si="226"/>
        <v>#DIV/0!</v>
      </c>
      <c r="TXQ132" s="531" t="e">
        <f t="shared" si="226"/>
        <v>#DIV/0!</v>
      </c>
      <c r="TXR132" s="531" t="e">
        <f t="shared" si="226"/>
        <v>#DIV/0!</v>
      </c>
      <c r="TXS132" s="531" t="e">
        <f t="shared" si="226"/>
        <v>#DIV/0!</v>
      </c>
      <c r="TXT132" s="531" t="e">
        <f t="shared" si="226"/>
        <v>#DIV/0!</v>
      </c>
      <c r="TXU132" s="531" t="e">
        <f t="shared" si="226"/>
        <v>#DIV/0!</v>
      </c>
      <c r="TXV132" s="531" t="e">
        <f t="shared" si="226"/>
        <v>#DIV/0!</v>
      </c>
      <c r="TXW132" s="531" t="e">
        <f t="shared" si="226"/>
        <v>#DIV/0!</v>
      </c>
      <c r="TXX132" s="531" t="e">
        <f t="shared" si="226"/>
        <v>#DIV/0!</v>
      </c>
      <c r="TXY132" s="531" t="e">
        <f t="shared" si="226"/>
        <v>#DIV/0!</v>
      </c>
      <c r="TXZ132" s="531" t="e">
        <f t="shared" si="226"/>
        <v>#DIV/0!</v>
      </c>
      <c r="TYA132" s="531" t="e">
        <f t="shared" si="226"/>
        <v>#DIV/0!</v>
      </c>
      <c r="TYB132" s="531" t="e">
        <f t="shared" si="226"/>
        <v>#DIV/0!</v>
      </c>
      <c r="TYC132" s="531" t="e">
        <f t="shared" si="226"/>
        <v>#DIV/0!</v>
      </c>
      <c r="TYD132" s="531" t="e">
        <f t="shared" si="226"/>
        <v>#DIV/0!</v>
      </c>
      <c r="TYE132" s="531" t="e">
        <f t="shared" si="226"/>
        <v>#DIV/0!</v>
      </c>
      <c r="TYF132" s="531" t="e">
        <f t="shared" si="226"/>
        <v>#DIV/0!</v>
      </c>
      <c r="TYG132" s="531" t="e">
        <f t="shared" si="226"/>
        <v>#DIV/0!</v>
      </c>
      <c r="TYH132" s="531" t="e">
        <f t="shared" si="226"/>
        <v>#DIV/0!</v>
      </c>
      <c r="TYI132" s="531" t="e">
        <f t="shared" si="226"/>
        <v>#DIV/0!</v>
      </c>
      <c r="TYJ132" s="531" t="e">
        <f t="shared" si="226"/>
        <v>#DIV/0!</v>
      </c>
      <c r="TYK132" s="531" t="e">
        <f t="shared" si="226"/>
        <v>#DIV/0!</v>
      </c>
      <c r="TYL132" s="531" t="e">
        <f t="shared" si="226"/>
        <v>#DIV/0!</v>
      </c>
      <c r="TYM132" s="531" t="e">
        <f t="shared" si="226"/>
        <v>#DIV/0!</v>
      </c>
      <c r="TYN132" s="531" t="e">
        <f t="shared" si="226"/>
        <v>#DIV/0!</v>
      </c>
      <c r="TYO132" s="531" t="e">
        <f t="shared" si="226"/>
        <v>#DIV/0!</v>
      </c>
      <c r="TYP132" s="531" t="e">
        <f t="shared" si="226"/>
        <v>#DIV/0!</v>
      </c>
      <c r="TYQ132" s="531" t="e">
        <f t="shared" si="226"/>
        <v>#DIV/0!</v>
      </c>
      <c r="TYR132" s="531" t="e">
        <f t="shared" si="226"/>
        <v>#DIV/0!</v>
      </c>
      <c r="TYS132" s="531" t="e">
        <f t="shared" si="226"/>
        <v>#DIV/0!</v>
      </c>
      <c r="TYT132" s="531" t="e">
        <f t="shared" si="226"/>
        <v>#DIV/0!</v>
      </c>
      <c r="TYU132" s="531" t="e">
        <f t="shared" si="226"/>
        <v>#DIV/0!</v>
      </c>
      <c r="TYV132" s="531" t="e">
        <f t="shared" si="226"/>
        <v>#DIV/0!</v>
      </c>
      <c r="TYW132" s="531" t="e">
        <f t="shared" si="226"/>
        <v>#DIV/0!</v>
      </c>
      <c r="TYX132" s="531" t="e">
        <f t="shared" si="226"/>
        <v>#DIV/0!</v>
      </c>
      <c r="TYY132" s="531" t="e">
        <f t="shared" si="226"/>
        <v>#DIV/0!</v>
      </c>
      <c r="TYZ132" s="531" t="e">
        <f t="shared" si="226"/>
        <v>#DIV/0!</v>
      </c>
      <c r="TZA132" s="531" t="e">
        <f t="shared" si="226"/>
        <v>#DIV/0!</v>
      </c>
      <c r="TZB132" s="531" t="e">
        <f t="shared" si="226"/>
        <v>#DIV/0!</v>
      </c>
      <c r="TZC132" s="531" t="e">
        <f t="shared" si="226"/>
        <v>#DIV/0!</v>
      </c>
      <c r="TZD132" s="531" t="e">
        <f t="shared" si="226"/>
        <v>#DIV/0!</v>
      </c>
      <c r="TZE132" s="531" t="e">
        <f t="shared" si="226"/>
        <v>#DIV/0!</v>
      </c>
      <c r="TZF132" s="531" t="e">
        <f t="shared" si="226"/>
        <v>#DIV/0!</v>
      </c>
      <c r="TZG132" s="531" t="e">
        <f t="shared" si="226"/>
        <v>#DIV/0!</v>
      </c>
      <c r="TZH132" s="531" t="e">
        <f t="shared" si="226"/>
        <v>#DIV/0!</v>
      </c>
      <c r="TZI132" s="531" t="e">
        <f t="shared" si="226"/>
        <v>#DIV/0!</v>
      </c>
      <c r="TZJ132" s="531" t="e">
        <f t="shared" si="226"/>
        <v>#DIV/0!</v>
      </c>
      <c r="TZK132" s="531" t="e">
        <f t="shared" si="226"/>
        <v>#DIV/0!</v>
      </c>
      <c r="TZL132" s="531" t="e">
        <f t="shared" si="226"/>
        <v>#DIV/0!</v>
      </c>
      <c r="TZM132" s="531" t="e">
        <f t="shared" si="226"/>
        <v>#DIV/0!</v>
      </c>
      <c r="TZN132" s="531" t="e">
        <f t="shared" si="226"/>
        <v>#DIV/0!</v>
      </c>
      <c r="TZO132" s="531" t="e">
        <f t="shared" si="226"/>
        <v>#DIV/0!</v>
      </c>
      <c r="TZP132" s="531" t="e">
        <f t="shared" si="226"/>
        <v>#DIV/0!</v>
      </c>
      <c r="TZQ132" s="531" t="e">
        <f t="shared" si="226"/>
        <v>#DIV/0!</v>
      </c>
      <c r="TZR132" s="531" t="e">
        <f t="shared" si="226"/>
        <v>#DIV/0!</v>
      </c>
      <c r="TZS132" s="531" t="e">
        <f t="shared" ref="TZS132:UCD132" si="227">(TZS128-TZS116)/(TZS52*10^5)</f>
        <v>#DIV/0!</v>
      </c>
      <c r="TZT132" s="531" t="e">
        <f t="shared" si="227"/>
        <v>#DIV/0!</v>
      </c>
      <c r="TZU132" s="531" t="e">
        <f t="shared" si="227"/>
        <v>#DIV/0!</v>
      </c>
      <c r="TZV132" s="531" t="e">
        <f t="shared" si="227"/>
        <v>#DIV/0!</v>
      </c>
      <c r="TZW132" s="531" t="e">
        <f t="shared" si="227"/>
        <v>#DIV/0!</v>
      </c>
      <c r="TZX132" s="531" t="e">
        <f t="shared" si="227"/>
        <v>#DIV/0!</v>
      </c>
      <c r="TZY132" s="531" t="e">
        <f t="shared" si="227"/>
        <v>#DIV/0!</v>
      </c>
      <c r="TZZ132" s="531" t="e">
        <f t="shared" si="227"/>
        <v>#DIV/0!</v>
      </c>
      <c r="UAA132" s="531" t="e">
        <f t="shared" si="227"/>
        <v>#DIV/0!</v>
      </c>
      <c r="UAB132" s="531" t="e">
        <f t="shared" si="227"/>
        <v>#DIV/0!</v>
      </c>
      <c r="UAC132" s="531" t="e">
        <f t="shared" si="227"/>
        <v>#DIV/0!</v>
      </c>
      <c r="UAD132" s="531" t="e">
        <f t="shared" si="227"/>
        <v>#DIV/0!</v>
      </c>
      <c r="UAE132" s="531" t="e">
        <f t="shared" si="227"/>
        <v>#DIV/0!</v>
      </c>
      <c r="UAF132" s="531" t="e">
        <f t="shared" si="227"/>
        <v>#DIV/0!</v>
      </c>
      <c r="UAG132" s="531" t="e">
        <f t="shared" si="227"/>
        <v>#DIV/0!</v>
      </c>
      <c r="UAH132" s="531" t="e">
        <f t="shared" si="227"/>
        <v>#DIV/0!</v>
      </c>
      <c r="UAI132" s="531" t="e">
        <f t="shared" si="227"/>
        <v>#DIV/0!</v>
      </c>
      <c r="UAJ132" s="531" t="e">
        <f t="shared" si="227"/>
        <v>#DIV/0!</v>
      </c>
      <c r="UAK132" s="531" t="e">
        <f t="shared" si="227"/>
        <v>#DIV/0!</v>
      </c>
      <c r="UAL132" s="531" t="e">
        <f t="shared" si="227"/>
        <v>#DIV/0!</v>
      </c>
      <c r="UAM132" s="531" t="e">
        <f t="shared" si="227"/>
        <v>#DIV/0!</v>
      </c>
      <c r="UAN132" s="531" t="e">
        <f t="shared" si="227"/>
        <v>#DIV/0!</v>
      </c>
      <c r="UAO132" s="531" t="e">
        <f t="shared" si="227"/>
        <v>#DIV/0!</v>
      </c>
      <c r="UAP132" s="531" t="e">
        <f t="shared" si="227"/>
        <v>#DIV/0!</v>
      </c>
      <c r="UAQ132" s="531" t="e">
        <f t="shared" si="227"/>
        <v>#DIV/0!</v>
      </c>
      <c r="UAR132" s="531" t="e">
        <f t="shared" si="227"/>
        <v>#DIV/0!</v>
      </c>
      <c r="UAS132" s="531" t="e">
        <f t="shared" si="227"/>
        <v>#DIV/0!</v>
      </c>
      <c r="UAT132" s="531" t="e">
        <f t="shared" si="227"/>
        <v>#DIV/0!</v>
      </c>
      <c r="UAU132" s="531" t="e">
        <f t="shared" si="227"/>
        <v>#DIV/0!</v>
      </c>
      <c r="UAV132" s="531" t="e">
        <f t="shared" si="227"/>
        <v>#DIV/0!</v>
      </c>
      <c r="UAW132" s="531" t="e">
        <f t="shared" si="227"/>
        <v>#DIV/0!</v>
      </c>
      <c r="UAX132" s="531" t="e">
        <f t="shared" si="227"/>
        <v>#DIV/0!</v>
      </c>
      <c r="UAY132" s="531" t="e">
        <f t="shared" si="227"/>
        <v>#DIV/0!</v>
      </c>
      <c r="UAZ132" s="531" t="e">
        <f t="shared" si="227"/>
        <v>#DIV/0!</v>
      </c>
      <c r="UBA132" s="531" t="e">
        <f t="shared" si="227"/>
        <v>#DIV/0!</v>
      </c>
      <c r="UBB132" s="531" t="e">
        <f t="shared" si="227"/>
        <v>#DIV/0!</v>
      </c>
      <c r="UBC132" s="531" t="e">
        <f t="shared" si="227"/>
        <v>#DIV/0!</v>
      </c>
      <c r="UBD132" s="531" t="e">
        <f t="shared" si="227"/>
        <v>#DIV/0!</v>
      </c>
      <c r="UBE132" s="531" t="e">
        <f t="shared" si="227"/>
        <v>#DIV/0!</v>
      </c>
      <c r="UBF132" s="531" t="e">
        <f t="shared" si="227"/>
        <v>#DIV/0!</v>
      </c>
      <c r="UBG132" s="531" t="e">
        <f t="shared" si="227"/>
        <v>#DIV/0!</v>
      </c>
      <c r="UBH132" s="531" t="e">
        <f t="shared" si="227"/>
        <v>#DIV/0!</v>
      </c>
      <c r="UBI132" s="531" t="e">
        <f t="shared" si="227"/>
        <v>#DIV/0!</v>
      </c>
      <c r="UBJ132" s="531" t="e">
        <f t="shared" si="227"/>
        <v>#DIV/0!</v>
      </c>
      <c r="UBK132" s="531" t="e">
        <f t="shared" si="227"/>
        <v>#DIV/0!</v>
      </c>
      <c r="UBL132" s="531" t="e">
        <f t="shared" si="227"/>
        <v>#DIV/0!</v>
      </c>
      <c r="UBM132" s="531" t="e">
        <f t="shared" si="227"/>
        <v>#DIV/0!</v>
      </c>
      <c r="UBN132" s="531" t="e">
        <f t="shared" si="227"/>
        <v>#DIV/0!</v>
      </c>
      <c r="UBO132" s="531" t="e">
        <f t="shared" si="227"/>
        <v>#DIV/0!</v>
      </c>
      <c r="UBP132" s="531" t="e">
        <f t="shared" si="227"/>
        <v>#DIV/0!</v>
      </c>
      <c r="UBQ132" s="531" t="e">
        <f t="shared" si="227"/>
        <v>#DIV/0!</v>
      </c>
      <c r="UBR132" s="531" t="e">
        <f t="shared" si="227"/>
        <v>#DIV/0!</v>
      </c>
      <c r="UBS132" s="531" t="e">
        <f t="shared" si="227"/>
        <v>#DIV/0!</v>
      </c>
      <c r="UBT132" s="531" t="e">
        <f t="shared" si="227"/>
        <v>#DIV/0!</v>
      </c>
      <c r="UBU132" s="531" t="e">
        <f t="shared" si="227"/>
        <v>#DIV/0!</v>
      </c>
      <c r="UBV132" s="531" t="e">
        <f t="shared" si="227"/>
        <v>#DIV/0!</v>
      </c>
      <c r="UBW132" s="531" t="e">
        <f t="shared" si="227"/>
        <v>#DIV/0!</v>
      </c>
      <c r="UBX132" s="531" t="e">
        <f t="shared" si="227"/>
        <v>#DIV/0!</v>
      </c>
      <c r="UBY132" s="531" t="e">
        <f t="shared" si="227"/>
        <v>#DIV/0!</v>
      </c>
      <c r="UBZ132" s="531" t="e">
        <f t="shared" si="227"/>
        <v>#DIV/0!</v>
      </c>
      <c r="UCA132" s="531" t="e">
        <f t="shared" si="227"/>
        <v>#DIV/0!</v>
      </c>
      <c r="UCB132" s="531" t="e">
        <f t="shared" si="227"/>
        <v>#DIV/0!</v>
      </c>
      <c r="UCC132" s="531" t="e">
        <f t="shared" si="227"/>
        <v>#DIV/0!</v>
      </c>
      <c r="UCD132" s="531" t="e">
        <f t="shared" si="227"/>
        <v>#DIV/0!</v>
      </c>
      <c r="UCE132" s="531" t="e">
        <f t="shared" ref="UCE132:UEP132" si="228">(UCE128-UCE116)/(UCE52*10^5)</f>
        <v>#DIV/0!</v>
      </c>
      <c r="UCF132" s="531" t="e">
        <f t="shared" si="228"/>
        <v>#DIV/0!</v>
      </c>
      <c r="UCG132" s="531" t="e">
        <f t="shared" si="228"/>
        <v>#DIV/0!</v>
      </c>
      <c r="UCH132" s="531" t="e">
        <f t="shared" si="228"/>
        <v>#DIV/0!</v>
      </c>
      <c r="UCI132" s="531" t="e">
        <f t="shared" si="228"/>
        <v>#DIV/0!</v>
      </c>
      <c r="UCJ132" s="531" t="e">
        <f t="shared" si="228"/>
        <v>#DIV/0!</v>
      </c>
      <c r="UCK132" s="531" t="e">
        <f t="shared" si="228"/>
        <v>#DIV/0!</v>
      </c>
      <c r="UCL132" s="531" t="e">
        <f t="shared" si="228"/>
        <v>#DIV/0!</v>
      </c>
      <c r="UCM132" s="531" t="e">
        <f t="shared" si="228"/>
        <v>#DIV/0!</v>
      </c>
      <c r="UCN132" s="531" t="e">
        <f t="shared" si="228"/>
        <v>#DIV/0!</v>
      </c>
      <c r="UCO132" s="531" t="e">
        <f t="shared" si="228"/>
        <v>#DIV/0!</v>
      </c>
      <c r="UCP132" s="531" t="e">
        <f t="shared" si="228"/>
        <v>#DIV/0!</v>
      </c>
      <c r="UCQ132" s="531" t="e">
        <f t="shared" si="228"/>
        <v>#DIV/0!</v>
      </c>
      <c r="UCR132" s="531" t="e">
        <f t="shared" si="228"/>
        <v>#DIV/0!</v>
      </c>
      <c r="UCS132" s="531" t="e">
        <f t="shared" si="228"/>
        <v>#DIV/0!</v>
      </c>
      <c r="UCT132" s="531" t="e">
        <f t="shared" si="228"/>
        <v>#DIV/0!</v>
      </c>
      <c r="UCU132" s="531" t="e">
        <f t="shared" si="228"/>
        <v>#DIV/0!</v>
      </c>
      <c r="UCV132" s="531" t="e">
        <f t="shared" si="228"/>
        <v>#DIV/0!</v>
      </c>
      <c r="UCW132" s="531" t="e">
        <f t="shared" si="228"/>
        <v>#DIV/0!</v>
      </c>
      <c r="UCX132" s="531" t="e">
        <f t="shared" si="228"/>
        <v>#DIV/0!</v>
      </c>
      <c r="UCY132" s="531" t="e">
        <f t="shared" si="228"/>
        <v>#DIV/0!</v>
      </c>
      <c r="UCZ132" s="531" t="e">
        <f t="shared" si="228"/>
        <v>#DIV/0!</v>
      </c>
      <c r="UDA132" s="531" t="e">
        <f t="shared" si="228"/>
        <v>#DIV/0!</v>
      </c>
      <c r="UDB132" s="531" t="e">
        <f t="shared" si="228"/>
        <v>#DIV/0!</v>
      </c>
      <c r="UDC132" s="531" t="e">
        <f t="shared" si="228"/>
        <v>#DIV/0!</v>
      </c>
      <c r="UDD132" s="531" t="e">
        <f t="shared" si="228"/>
        <v>#DIV/0!</v>
      </c>
      <c r="UDE132" s="531" t="e">
        <f t="shared" si="228"/>
        <v>#DIV/0!</v>
      </c>
      <c r="UDF132" s="531" t="e">
        <f t="shared" si="228"/>
        <v>#DIV/0!</v>
      </c>
      <c r="UDG132" s="531" t="e">
        <f t="shared" si="228"/>
        <v>#DIV/0!</v>
      </c>
      <c r="UDH132" s="531" t="e">
        <f t="shared" si="228"/>
        <v>#DIV/0!</v>
      </c>
      <c r="UDI132" s="531" t="e">
        <f t="shared" si="228"/>
        <v>#DIV/0!</v>
      </c>
      <c r="UDJ132" s="531" t="e">
        <f t="shared" si="228"/>
        <v>#DIV/0!</v>
      </c>
      <c r="UDK132" s="531" t="e">
        <f t="shared" si="228"/>
        <v>#DIV/0!</v>
      </c>
      <c r="UDL132" s="531" t="e">
        <f t="shared" si="228"/>
        <v>#DIV/0!</v>
      </c>
      <c r="UDM132" s="531" t="e">
        <f t="shared" si="228"/>
        <v>#DIV/0!</v>
      </c>
      <c r="UDN132" s="531" t="e">
        <f t="shared" si="228"/>
        <v>#DIV/0!</v>
      </c>
      <c r="UDO132" s="531" t="e">
        <f t="shared" si="228"/>
        <v>#DIV/0!</v>
      </c>
      <c r="UDP132" s="531" t="e">
        <f t="shared" si="228"/>
        <v>#DIV/0!</v>
      </c>
      <c r="UDQ132" s="531" t="e">
        <f t="shared" si="228"/>
        <v>#DIV/0!</v>
      </c>
      <c r="UDR132" s="531" t="e">
        <f t="shared" si="228"/>
        <v>#DIV/0!</v>
      </c>
      <c r="UDS132" s="531" t="e">
        <f t="shared" si="228"/>
        <v>#DIV/0!</v>
      </c>
      <c r="UDT132" s="531" t="e">
        <f t="shared" si="228"/>
        <v>#DIV/0!</v>
      </c>
      <c r="UDU132" s="531" t="e">
        <f t="shared" si="228"/>
        <v>#DIV/0!</v>
      </c>
      <c r="UDV132" s="531" t="e">
        <f t="shared" si="228"/>
        <v>#DIV/0!</v>
      </c>
      <c r="UDW132" s="531" t="e">
        <f t="shared" si="228"/>
        <v>#DIV/0!</v>
      </c>
      <c r="UDX132" s="531" t="e">
        <f t="shared" si="228"/>
        <v>#DIV/0!</v>
      </c>
      <c r="UDY132" s="531" t="e">
        <f t="shared" si="228"/>
        <v>#DIV/0!</v>
      </c>
      <c r="UDZ132" s="531" t="e">
        <f t="shared" si="228"/>
        <v>#DIV/0!</v>
      </c>
      <c r="UEA132" s="531" t="e">
        <f t="shared" si="228"/>
        <v>#DIV/0!</v>
      </c>
      <c r="UEB132" s="531" t="e">
        <f t="shared" si="228"/>
        <v>#DIV/0!</v>
      </c>
      <c r="UEC132" s="531" t="e">
        <f t="shared" si="228"/>
        <v>#DIV/0!</v>
      </c>
      <c r="UED132" s="531" t="e">
        <f t="shared" si="228"/>
        <v>#DIV/0!</v>
      </c>
      <c r="UEE132" s="531" t="e">
        <f t="shared" si="228"/>
        <v>#DIV/0!</v>
      </c>
      <c r="UEF132" s="531" t="e">
        <f t="shared" si="228"/>
        <v>#DIV/0!</v>
      </c>
      <c r="UEG132" s="531" t="e">
        <f t="shared" si="228"/>
        <v>#DIV/0!</v>
      </c>
      <c r="UEH132" s="531" t="e">
        <f t="shared" si="228"/>
        <v>#DIV/0!</v>
      </c>
      <c r="UEI132" s="531" t="e">
        <f t="shared" si="228"/>
        <v>#DIV/0!</v>
      </c>
      <c r="UEJ132" s="531" t="e">
        <f t="shared" si="228"/>
        <v>#DIV/0!</v>
      </c>
      <c r="UEK132" s="531" t="e">
        <f t="shared" si="228"/>
        <v>#DIV/0!</v>
      </c>
      <c r="UEL132" s="531" t="e">
        <f t="shared" si="228"/>
        <v>#DIV/0!</v>
      </c>
      <c r="UEM132" s="531" t="e">
        <f t="shared" si="228"/>
        <v>#DIV/0!</v>
      </c>
      <c r="UEN132" s="531" t="e">
        <f t="shared" si="228"/>
        <v>#DIV/0!</v>
      </c>
      <c r="UEO132" s="531" t="e">
        <f t="shared" si="228"/>
        <v>#DIV/0!</v>
      </c>
      <c r="UEP132" s="531" t="e">
        <f t="shared" si="228"/>
        <v>#DIV/0!</v>
      </c>
      <c r="UEQ132" s="531" t="e">
        <f t="shared" ref="UEQ132:UHB132" si="229">(UEQ128-UEQ116)/(UEQ52*10^5)</f>
        <v>#DIV/0!</v>
      </c>
      <c r="UER132" s="531" t="e">
        <f t="shared" si="229"/>
        <v>#DIV/0!</v>
      </c>
      <c r="UES132" s="531" t="e">
        <f t="shared" si="229"/>
        <v>#DIV/0!</v>
      </c>
      <c r="UET132" s="531" t="e">
        <f t="shared" si="229"/>
        <v>#DIV/0!</v>
      </c>
      <c r="UEU132" s="531" t="e">
        <f t="shared" si="229"/>
        <v>#DIV/0!</v>
      </c>
      <c r="UEV132" s="531" t="e">
        <f t="shared" si="229"/>
        <v>#DIV/0!</v>
      </c>
      <c r="UEW132" s="531" t="e">
        <f t="shared" si="229"/>
        <v>#DIV/0!</v>
      </c>
      <c r="UEX132" s="531" t="e">
        <f t="shared" si="229"/>
        <v>#DIV/0!</v>
      </c>
      <c r="UEY132" s="531" t="e">
        <f t="shared" si="229"/>
        <v>#DIV/0!</v>
      </c>
      <c r="UEZ132" s="531" t="e">
        <f t="shared" si="229"/>
        <v>#DIV/0!</v>
      </c>
      <c r="UFA132" s="531" t="e">
        <f t="shared" si="229"/>
        <v>#DIV/0!</v>
      </c>
      <c r="UFB132" s="531" t="e">
        <f t="shared" si="229"/>
        <v>#DIV/0!</v>
      </c>
      <c r="UFC132" s="531" t="e">
        <f t="shared" si="229"/>
        <v>#DIV/0!</v>
      </c>
      <c r="UFD132" s="531" t="e">
        <f t="shared" si="229"/>
        <v>#DIV/0!</v>
      </c>
      <c r="UFE132" s="531" t="e">
        <f t="shared" si="229"/>
        <v>#DIV/0!</v>
      </c>
      <c r="UFF132" s="531" t="e">
        <f t="shared" si="229"/>
        <v>#DIV/0!</v>
      </c>
      <c r="UFG132" s="531" t="e">
        <f t="shared" si="229"/>
        <v>#DIV/0!</v>
      </c>
      <c r="UFH132" s="531" t="e">
        <f t="shared" si="229"/>
        <v>#DIV/0!</v>
      </c>
      <c r="UFI132" s="531" t="e">
        <f t="shared" si="229"/>
        <v>#DIV/0!</v>
      </c>
      <c r="UFJ132" s="531" t="e">
        <f t="shared" si="229"/>
        <v>#DIV/0!</v>
      </c>
      <c r="UFK132" s="531" t="e">
        <f t="shared" si="229"/>
        <v>#DIV/0!</v>
      </c>
      <c r="UFL132" s="531" t="e">
        <f t="shared" si="229"/>
        <v>#DIV/0!</v>
      </c>
      <c r="UFM132" s="531" t="e">
        <f t="shared" si="229"/>
        <v>#DIV/0!</v>
      </c>
      <c r="UFN132" s="531" t="e">
        <f t="shared" si="229"/>
        <v>#DIV/0!</v>
      </c>
      <c r="UFO132" s="531" t="e">
        <f t="shared" si="229"/>
        <v>#DIV/0!</v>
      </c>
      <c r="UFP132" s="531" t="e">
        <f t="shared" si="229"/>
        <v>#DIV/0!</v>
      </c>
      <c r="UFQ132" s="531" t="e">
        <f t="shared" si="229"/>
        <v>#DIV/0!</v>
      </c>
      <c r="UFR132" s="531" t="e">
        <f t="shared" si="229"/>
        <v>#DIV/0!</v>
      </c>
      <c r="UFS132" s="531" t="e">
        <f t="shared" si="229"/>
        <v>#DIV/0!</v>
      </c>
      <c r="UFT132" s="531" t="e">
        <f t="shared" si="229"/>
        <v>#DIV/0!</v>
      </c>
      <c r="UFU132" s="531" t="e">
        <f t="shared" si="229"/>
        <v>#DIV/0!</v>
      </c>
      <c r="UFV132" s="531" t="e">
        <f t="shared" si="229"/>
        <v>#DIV/0!</v>
      </c>
      <c r="UFW132" s="531" t="e">
        <f t="shared" si="229"/>
        <v>#DIV/0!</v>
      </c>
      <c r="UFX132" s="531" t="e">
        <f t="shared" si="229"/>
        <v>#DIV/0!</v>
      </c>
      <c r="UFY132" s="531" t="e">
        <f t="shared" si="229"/>
        <v>#DIV/0!</v>
      </c>
      <c r="UFZ132" s="531" t="e">
        <f t="shared" si="229"/>
        <v>#DIV/0!</v>
      </c>
      <c r="UGA132" s="531" t="e">
        <f t="shared" si="229"/>
        <v>#DIV/0!</v>
      </c>
      <c r="UGB132" s="531" t="e">
        <f t="shared" si="229"/>
        <v>#DIV/0!</v>
      </c>
      <c r="UGC132" s="531" t="e">
        <f t="shared" si="229"/>
        <v>#DIV/0!</v>
      </c>
      <c r="UGD132" s="531" t="e">
        <f t="shared" si="229"/>
        <v>#DIV/0!</v>
      </c>
      <c r="UGE132" s="531" t="e">
        <f t="shared" si="229"/>
        <v>#DIV/0!</v>
      </c>
      <c r="UGF132" s="531" t="e">
        <f t="shared" si="229"/>
        <v>#DIV/0!</v>
      </c>
      <c r="UGG132" s="531" t="e">
        <f t="shared" si="229"/>
        <v>#DIV/0!</v>
      </c>
      <c r="UGH132" s="531" t="e">
        <f t="shared" si="229"/>
        <v>#DIV/0!</v>
      </c>
      <c r="UGI132" s="531" t="e">
        <f t="shared" si="229"/>
        <v>#DIV/0!</v>
      </c>
      <c r="UGJ132" s="531" t="e">
        <f t="shared" si="229"/>
        <v>#DIV/0!</v>
      </c>
      <c r="UGK132" s="531" t="e">
        <f t="shared" si="229"/>
        <v>#DIV/0!</v>
      </c>
      <c r="UGL132" s="531" t="e">
        <f t="shared" si="229"/>
        <v>#DIV/0!</v>
      </c>
      <c r="UGM132" s="531" t="e">
        <f t="shared" si="229"/>
        <v>#DIV/0!</v>
      </c>
      <c r="UGN132" s="531" t="e">
        <f t="shared" si="229"/>
        <v>#DIV/0!</v>
      </c>
      <c r="UGO132" s="531" t="e">
        <f t="shared" si="229"/>
        <v>#DIV/0!</v>
      </c>
      <c r="UGP132" s="531" t="e">
        <f t="shared" si="229"/>
        <v>#DIV/0!</v>
      </c>
      <c r="UGQ132" s="531" t="e">
        <f t="shared" si="229"/>
        <v>#DIV/0!</v>
      </c>
      <c r="UGR132" s="531" t="e">
        <f t="shared" si="229"/>
        <v>#DIV/0!</v>
      </c>
      <c r="UGS132" s="531" t="e">
        <f t="shared" si="229"/>
        <v>#DIV/0!</v>
      </c>
      <c r="UGT132" s="531" t="e">
        <f t="shared" si="229"/>
        <v>#DIV/0!</v>
      </c>
      <c r="UGU132" s="531" t="e">
        <f t="shared" si="229"/>
        <v>#DIV/0!</v>
      </c>
      <c r="UGV132" s="531" t="e">
        <f t="shared" si="229"/>
        <v>#DIV/0!</v>
      </c>
      <c r="UGW132" s="531" t="e">
        <f t="shared" si="229"/>
        <v>#DIV/0!</v>
      </c>
      <c r="UGX132" s="531" t="e">
        <f t="shared" si="229"/>
        <v>#DIV/0!</v>
      </c>
      <c r="UGY132" s="531" t="e">
        <f t="shared" si="229"/>
        <v>#DIV/0!</v>
      </c>
      <c r="UGZ132" s="531" t="e">
        <f t="shared" si="229"/>
        <v>#DIV/0!</v>
      </c>
      <c r="UHA132" s="531" t="e">
        <f t="shared" si="229"/>
        <v>#DIV/0!</v>
      </c>
      <c r="UHB132" s="531" t="e">
        <f t="shared" si="229"/>
        <v>#DIV/0!</v>
      </c>
      <c r="UHC132" s="531" t="e">
        <f t="shared" ref="UHC132:UJN132" si="230">(UHC128-UHC116)/(UHC52*10^5)</f>
        <v>#DIV/0!</v>
      </c>
      <c r="UHD132" s="531" t="e">
        <f t="shared" si="230"/>
        <v>#DIV/0!</v>
      </c>
      <c r="UHE132" s="531" t="e">
        <f t="shared" si="230"/>
        <v>#DIV/0!</v>
      </c>
      <c r="UHF132" s="531" t="e">
        <f t="shared" si="230"/>
        <v>#DIV/0!</v>
      </c>
      <c r="UHG132" s="531" t="e">
        <f t="shared" si="230"/>
        <v>#DIV/0!</v>
      </c>
      <c r="UHH132" s="531" t="e">
        <f t="shared" si="230"/>
        <v>#DIV/0!</v>
      </c>
      <c r="UHI132" s="531" t="e">
        <f t="shared" si="230"/>
        <v>#DIV/0!</v>
      </c>
      <c r="UHJ132" s="531" t="e">
        <f t="shared" si="230"/>
        <v>#DIV/0!</v>
      </c>
      <c r="UHK132" s="531" t="e">
        <f t="shared" si="230"/>
        <v>#DIV/0!</v>
      </c>
      <c r="UHL132" s="531" t="e">
        <f t="shared" si="230"/>
        <v>#DIV/0!</v>
      </c>
      <c r="UHM132" s="531" t="e">
        <f t="shared" si="230"/>
        <v>#DIV/0!</v>
      </c>
      <c r="UHN132" s="531" t="e">
        <f t="shared" si="230"/>
        <v>#DIV/0!</v>
      </c>
      <c r="UHO132" s="531" t="e">
        <f t="shared" si="230"/>
        <v>#DIV/0!</v>
      </c>
      <c r="UHP132" s="531" t="e">
        <f t="shared" si="230"/>
        <v>#DIV/0!</v>
      </c>
      <c r="UHQ132" s="531" t="e">
        <f t="shared" si="230"/>
        <v>#DIV/0!</v>
      </c>
      <c r="UHR132" s="531" t="e">
        <f t="shared" si="230"/>
        <v>#DIV/0!</v>
      </c>
      <c r="UHS132" s="531" t="e">
        <f t="shared" si="230"/>
        <v>#DIV/0!</v>
      </c>
      <c r="UHT132" s="531" t="e">
        <f t="shared" si="230"/>
        <v>#DIV/0!</v>
      </c>
      <c r="UHU132" s="531" t="e">
        <f t="shared" si="230"/>
        <v>#DIV/0!</v>
      </c>
      <c r="UHV132" s="531" t="e">
        <f t="shared" si="230"/>
        <v>#DIV/0!</v>
      </c>
      <c r="UHW132" s="531" t="e">
        <f t="shared" si="230"/>
        <v>#DIV/0!</v>
      </c>
      <c r="UHX132" s="531" t="e">
        <f t="shared" si="230"/>
        <v>#DIV/0!</v>
      </c>
      <c r="UHY132" s="531" t="e">
        <f t="shared" si="230"/>
        <v>#DIV/0!</v>
      </c>
      <c r="UHZ132" s="531" t="e">
        <f t="shared" si="230"/>
        <v>#DIV/0!</v>
      </c>
      <c r="UIA132" s="531" t="e">
        <f t="shared" si="230"/>
        <v>#DIV/0!</v>
      </c>
      <c r="UIB132" s="531" t="e">
        <f t="shared" si="230"/>
        <v>#DIV/0!</v>
      </c>
      <c r="UIC132" s="531" t="e">
        <f t="shared" si="230"/>
        <v>#DIV/0!</v>
      </c>
      <c r="UID132" s="531" t="e">
        <f t="shared" si="230"/>
        <v>#DIV/0!</v>
      </c>
      <c r="UIE132" s="531" t="e">
        <f t="shared" si="230"/>
        <v>#DIV/0!</v>
      </c>
      <c r="UIF132" s="531" t="e">
        <f t="shared" si="230"/>
        <v>#DIV/0!</v>
      </c>
      <c r="UIG132" s="531" t="e">
        <f t="shared" si="230"/>
        <v>#DIV/0!</v>
      </c>
      <c r="UIH132" s="531" t="e">
        <f t="shared" si="230"/>
        <v>#DIV/0!</v>
      </c>
      <c r="UII132" s="531" t="e">
        <f t="shared" si="230"/>
        <v>#DIV/0!</v>
      </c>
      <c r="UIJ132" s="531" t="e">
        <f t="shared" si="230"/>
        <v>#DIV/0!</v>
      </c>
      <c r="UIK132" s="531" t="e">
        <f t="shared" si="230"/>
        <v>#DIV/0!</v>
      </c>
      <c r="UIL132" s="531" t="e">
        <f t="shared" si="230"/>
        <v>#DIV/0!</v>
      </c>
      <c r="UIM132" s="531" t="e">
        <f t="shared" si="230"/>
        <v>#DIV/0!</v>
      </c>
      <c r="UIN132" s="531" t="e">
        <f t="shared" si="230"/>
        <v>#DIV/0!</v>
      </c>
      <c r="UIO132" s="531" t="e">
        <f t="shared" si="230"/>
        <v>#DIV/0!</v>
      </c>
      <c r="UIP132" s="531" t="e">
        <f t="shared" si="230"/>
        <v>#DIV/0!</v>
      </c>
      <c r="UIQ132" s="531" t="e">
        <f t="shared" si="230"/>
        <v>#DIV/0!</v>
      </c>
      <c r="UIR132" s="531" t="e">
        <f t="shared" si="230"/>
        <v>#DIV/0!</v>
      </c>
      <c r="UIS132" s="531" t="e">
        <f t="shared" si="230"/>
        <v>#DIV/0!</v>
      </c>
      <c r="UIT132" s="531" t="e">
        <f t="shared" si="230"/>
        <v>#DIV/0!</v>
      </c>
      <c r="UIU132" s="531" t="e">
        <f t="shared" si="230"/>
        <v>#DIV/0!</v>
      </c>
      <c r="UIV132" s="531" t="e">
        <f t="shared" si="230"/>
        <v>#DIV/0!</v>
      </c>
      <c r="UIW132" s="531" t="e">
        <f t="shared" si="230"/>
        <v>#DIV/0!</v>
      </c>
      <c r="UIX132" s="531" t="e">
        <f t="shared" si="230"/>
        <v>#DIV/0!</v>
      </c>
      <c r="UIY132" s="531" t="e">
        <f t="shared" si="230"/>
        <v>#DIV/0!</v>
      </c>
      <c r="UIZ132" s="531" t="e">
        <f t="shared" si="230"/>
        <v>#DIV/0!</v>
      </c>
      <c r="UJA132" s="531" t="e">
        <f t="shared" si="230"/>
        <v>#DIV/0!</v>
      </c>
      <c r="UJB132" s="531" t="e">
        <f t="shared" si="230"/>
        <v>#DIV/0!</v>
      </c>
      <c r="UJC132" s="531" t="e">
        <f t="shared" si="230"/>
        <v>#DIV/0!</v>
      </c>
      <c r="UJD132" s="531" t="e">
        <f t="shared" si="230"/>
        <v>#DIV/0!</v>
      </c>
      <c r="UJE132" s="531" t="e">
        <f t="shared" si="230"/>
        <v>#DIV/0!</v>
      </c>
      <c r="UJF132" s="531" t="e">
        <f t="shared" si="230"/>
        <v>#DIV/0!</v>
      </c>
      <c r="UJG132" s="531" t="e">
        <f t="shared" si="230"/>
        <v>#DIV/0!</v>
      </c>
      <c r="UJH132" s="531" t="e">
        <f t="shared" si="230"/>
        <v>#DIV/0!</v>
      </c>
      <c r="UJI132" s="531" t="e">
        <f t="shared" si="230"/>
        <v>#DIV/0!</v>
      </c>
      <c r="UJJ132" s="531" t="e">
        <f t="shared" si="230"/>
        <v>#DIV/0!</v>
      </c>
      <c r="UJK132" s="531" t="e">
        <f t="shared" si="230"/>
        <v>#DIV/0!</v>
      </c>
      <c r="UJL132" s="531" t="e">
        <f t="shared" si="230"/>
        <v>#DIV/0!</v>
      </c>
      <c r="UJM132" s="531" t="e">
        <f t="shared" si="230"/>
        <v>#DIV/0!</v>
      </c>
      <c r="UJN132" s="531" t="e">
        <f t="shared" si="230"/>
        <v>#DIV/0!</v>
      </c>
      <c r="UJO132" s="531" t="e">
        <f t="shared" ref="UJO132:ULZ132" si="231">(UJO128-UJO116)/(UJO52*10^5)</f>
        <v>#DIV/0!</v>
      </c>
      <c r="UJP132" s="531" t="e">
        <f t="shared" si="231"/>
        <v>#DIV/0!</v>
      </c>
      <c r="UJQ132" s="531" t="e">
        <f t="shared" si="231"/>
        <v>#DIV/0!</v>
      </c>
      <c r="UJR132" s="531" t="e">
        <f t="shared" si="231"/>
        <v>#DIV/0!</v>
      </c>
      <c r="UJS132" s="531" t="e">
        <f t="shared" si="231"/>
        <v>#DIV/0!</v>
      </c>
      <c r="UJT132" s="531" t="e">
        <f t="shared" si="231"/>
        <v>#DIV/0!</v>
      </c>
      <c r="UJU132" s="531" t="e">
        <f t="shared" si="231"/>
        <v>#DIV/0!</v>
      </c>
      <c r="UJV132" s="531" t="e">
        <f t="shared" si="231"/>
        <v>#DIV/0!</v>
      </c>
      <c r="UJW132" s="531" t="e">
        <f t="shared" si="231"/>
        <v>#DIV/0!</v>
      </c>
      <c r="UJX132" s="531" t="e">
        <f t="shared" si="231"/>
        <v>#DIV/0!</v>
      </c>
      <c r="UJY132" s="531" t="e">
        <f t="shared" si="231"/>
        <v>#DIV/0!</v>
      </c>
      <c r="UJZ132" s="531" t="e">
        <f t="shared" si="231"/>
        <v>#DIV/0!</v>
      </c>
      <c r="UKA132" s="531" t="e">
        <f t="shared" si="231"/>
        <v>#DIV/0!</v>
      </c>
      <c r="UKB132" s="531" t="e">
        <f t="shared" si="231"/>
        <v>#DIV/0!</v>
      </c>
      <c r="UKC132" s="531" t="e">
        <f t="shared" si="231"/>
        <v>#DIV/0!</v>
      </c>
      <c r="UKD132" s="531" t="e">
        <f t="shared" si="231"/>
        <v>#DIV/0!</v>
      </c>
      <c r="UKE132" s="531" t="e">
        <f t="shared" si="231"/>
        <v>#DIV/0!</v>
      </c>
      <c r="UKF132" s="531" t="e">
        <f t="shared" si="231"/>
        <v>#DIV/0!</v>
      </c>
      <c r="UKG132" s="531" t="e">
        <f t="shared" si="231"/>
        <v>#DIV/0!</v>
      </c>
      <c r="UKH132" s="531" t="e">
        <f t="shared" si="231"/>
        <v>#DIV/0!</v>
      </c>
      <c r="UKI132" s="531" t="e">
        <f t="shared" si="231"/>
        <v>#DIV/0!</v>
      </c>
      <c r="UKJ132" s="531" t="e">
        <f t="shared" si="231"/>
        <v>#DIV/0!</v>
      </c>
      <c r="UKK132" s="531" t="e">
        <f t="shared" si="231"/>
        <v>#DIV/0!</v>
      </c>
      <c r="UKL132" s="531" t="e">
        <f t="shared" si="231"/>
        <v>#DIV/0!</v>
      </c>
      <c r="UKM132" s="531" t="e">
        <f t="shared" si="231"/>
        <v>#DIV/0!</v>
      </c>
      <c r="UKN132" s="531" t="e">
        <f t="shared" si="231"/>
        <v>#DIV/0!</v>
      </c>
      <c r="UKO132" s="531" t="e">
        <f t="shared" si="231"/>
        <v>#DIV/0!</v>
      </c>
      <c r="UKP132" s="531" t="e">
        <f t="shared" si="231"/>
        <v>#DIV/0!</v>
      </c>
      <c r="UKQ132" s="531" t="e">
        <f t="shared" si="231"/>
        <v>#DIV/0!</v>
      </c>
      <c r="UKR132" s="531" t="e">
        <f t="shared" si="231"/>
        <v>#DIV/0!</v>
      </c>
      <c r="UKS132" s="531" t="e">
        <f t="shared" si="231"/>
        <v>#DIV/0!</v>
      </c>
      <c r="UKT132" s="531" t="e">
        <f t="shared" si="231"/>
        <v>#DIV/0!</v>
      </c>
      <c r="UKU132" s="531" t="e">
        <f t="shared" si="231"/>
        <v>#DIV/0!</v>
      </c>
      <c r="UKV132" s="531" t="e">
        <f t="shared" si="231"/>
        <v>#DIV/0!</v>
      </c>
      <c r="UKW132" s="531" t="e">
        <f t="shared" si="231"/>
        <v>#DIV/0!</v>
      </c>
      <c r="UKX132" s="531" t="e">
        <f t="shared" si="231"/>
        <v>#DIV/0!</v>
      </c>
      <c r="UKY132" s="531" t="e">
        <f t="shared" si="231"/>
        <v>#DIV/0!</v>
      </c>
      <c r="UKZ132" s="531" t="e">
        <f t="shared" si="231"/>
        <v>#DIV/0!</v>
      </c>
      <c r="ULA132" s="531" t="e">
        <f t="shared" si="231"/>
        <v>#DIV/0!</v>
      </c>
      <c r="ULB132" s="531" t="e">
        <f t="shared" si="231"/>
        <v>#DIV/0!</v>
      </c>
      <c r="ULC132" s="531" t="e">
        <f t="shared" si="231"/>
        <v>#DIV/0!</v>
      </c>
      <c r="ULD132" s="531" t="e">
        <f t="shared" si="231"/>
        <v>#DIV/0!</v>
      </c>
      <c r="ULE132" s="531" t="e">
        <f t="shared" si="231"/>
        <v>#DIV/0!</v>
      </c>
      <c r="ULF132" s="531" t="e">
        <f t="shared" si="231"/>
        <v>#DIV/0!</v>
      </c>
      <c r="ULG132" s="531" t="e">
        <f t="shared" si="231"/>
        <v>#DIV/0!</v>
      </c>
      <c r="ULH132" s="531" t="e">
        <f t="shared" si="231"/>
        <v>#DIV/0!</v>
      </c>
      <c r="ULI132" s="531" t="e">
        <f t="shared" si="231"/>
        <v>#DIV/0!</v>
      </c>
      <c r="ULJ132" s="531" t="e">
        <f t="shared" si="231"/>
        <v>#DIV/0!</v>
      </c>
      <c r="ULK132" s="531" t="e">
        <f t="shared" si="231"/>
        <v>#DIV/0!</v>
      </c>
      <c r="ULL132" s="531" t="e">
        <f t="shared" si="231"/>
        <v>#DIV/0!</v>
      </c>
      <c r="ULM132" s="531" t="e">
        <f t="shared" si="231"/>
        <v>#DIV/0!</v>
      </c>
      <c r="ULN132" s="531" t="e">
        <f t="shared" si="231"/>
        <v>#DIV/0!</v>
      </c>
      <c r="ULO132" s="531" t="e">
        <f t="shared" si="231"/>
        <v>#DIV/0!</v>
      </c>
      <c r="ULP132" s="531" t="e">
        <f t="shared" si="231"/>
        <v>#DIV/0!</v>
      </c>
      <c r="ULQ132" s="531" t="e">
        <f t="shared" si="231"/>
        <v>#DIV/0!</v>
      </c>
      <c r="ULR132" s="531" t="e">
        <f t="shared" si="231"/>
        <v>#DIV/0!</v>
      </c>
      <c r="ULS132" s="531" t="e">
        <f t="shared" si="231"/>
        <v>#DIV/0!</v>
      </c>
      <c r="ULT132" s="531" t="e">
        <f t="shared" si="231"/>
        <v>#DIV/0!</v>
      </c>
      <c r="ULU132" s="531" t="e">
        <f t="shared" si="231"/>
        <v>#DIV/0!</v>
      </c>
      <c r="ULV132" s="531" t="e">
        <f t="shared" si="231"/>
        <v>#DIV/0!</v>
      </c>
      <c r="ULW132" s="531" t="e">
        <f t="shared" si="231"/>
        <v>#DIV/0!</v>
      </c>
      <c r="ULX132" s="531" t="e">
        <f t="shared" si="231"/>
        <v>#DIV/0!</v>
      </c>
      <c r="ULY132" s="531" t="e">
        <f t="shared" si="231"/>
        <v>#DIV/0!</v>
      </c>
      <c r="ULZ132" s="531" t="e">
        <f t="shared" si="231"/>
        <v>#DIV/0!</v>
      </c>
      <c r="UMA132" s="531" t="e">
        <f t="shared" ref="UMA132:UOL132" si="232">(UMA128-UMA116)/(UMA52*10^5)</f>
        <v>#DIV/0!</v>
      </c>
      <c r="UMB132" s="531" t="e">
        <f t="shared" si="232"/>
        <v>#DIV/0!</v>
      </c>
      <c r="UMC132" s="531" t="e">
        <f t="shared" si="232"/>
        <v>#DIV/0!</v>
      </c>
      <c r="UMD132" s="531" t="e">
        <f t="shared" si="232"/>
        <v>#DIV/0!</v>
      </c>
      <c r="UME132" s="531" t="e">
        <f t="shared" si="232"/>
        <v>#DIV/0!</v>
      </c>
      <c r="UMF132" s="531" t="e">
        <f t="shared" si="232"/>
        <v>#DIV/0!</v>
      </c>
      <c r="UMG132" s="531" t="e">
        <f t="shared" si="232"/>
        <v>#DIV/0!</v>
      </c>
      <c r="UMH132" s="531" t="e">
        <f t="shared" si="232"/>
        <v>#DIV/0!</v>
      </c>
      <c r="UMI132" s="531" t="e">
        <f t="shared" si="232"/>
        <v>#DIV/0!</v>
      </c>
      <c r="UMJ132" s="531" t="e">
        <f t="shared" si="232"/>
        <v>#DIV/0!</v>
      </c>
      <c r="UMK132" s="531" t="e">
        <f t="shared" si="232"/>
        <v>#DIV/0!</v>
      </c>
      <c r="UML132" s="531" t="e">
        <f t="shared" si="232"/>
        <v>#DIV/0!</v>
      </c>
      <c r="UMM132" s="531" t="e">
        <f t="shared" si="232"/>
        <v>#DIV/0!</v>
      </c>
      <c r="UMN132" s="531" t="e">
        <f t="shared" si="232"/>
        <v>#DIV/0!</v>
      </c>
      <c r="UMO132" s="531" t="e">
        <f t="shared" si="232"/>
        <v>#DIV/0!</v>
      </c>
      <c r="UMP132" s="531" t="e">
        <f t="shared" si="232"/>
        <v>#DIV/0!</v>
      </c>
      <c r="UMQ132" s="531" t="e">
        <f t="shared" si="232"/>
        <v>#DIV/0!</v>
      </c>
      <c r="UMR132" s="531" t="e">
        <f t="shared" si="232"/>
        <v>#DIV/0!</v>
      </c>
      <c r="UMS132" s="531" t="e">
        <f t="shared" si="232"/>
        <v>#DIV/0!</v>
      </c>
      <c r="UMT132" s="531" t="e">
        <f t="shared" si="232"/>
        <v>#DIV/0!</v>
      </c>
      <c r="UMU132" s="531" t="e">
        <f t="shared" si="232"/>
        <v>#DIV/0!</v>
      </c>
      <c r="UMV132" s="531" t="e">
        <f t="shared" si="232"/>
        <v>#DIV/0!</v>
      </c>
      <c r="UMW132" s="531" t="e">
        <f t="shared" si="232"/>
        <v>#DIV/0!</v>
      </c>
      <c r="UMX132" s="531" t="e">
        <f t="shared" si="232"/>
        <v>#DIV/0!</v>
      </c>
      <c r="UMY132" s="531" t="e">
        <f t="shared" si="232"/>
        <v>#DIV/0!</v>
      </c>
      <c r="UMZ132" s="531" t="e">
        <f t="shared" si="232"/>
        <v>#DIV/0!</v>
      </c>
      <c r="UNA132" s="531" t="e">
        <f t="shared" si="232"/>
        <v>#DIV/0!</v>
      </c>
      <c r="UNB132" s="531" t="e">
        <f t="shared" si="232"/>
        <v>#DIV/0!</v>
      </c>
      <c r="UNC132" s="531" t="e">
        <f t="shared" si="232"/>
        <v>#DIV/0!</v>
      </c>
      <c r="UND132" s="531" t="e">
        <f t="shared" si="232"/>
        <v>#DIV/0!</v>
      </c>
      <c r="UNE132" s="531" t="e">
        <f t="shared" si="232"/>
        <v>#DIV/0!</v>
      </c>
      <c r="UNF132" s="531" t="e">
        <f t="shared" si="232"/>
        <v>#DIV/0!</v>
      </c>
      <c r="UNG132" s="531" t="e">
        <f t="shared" si="232"/>
        <v>#DIV/0!</v>
      </c>
      <c r="UNH132" s="531" t="e">
        <f t="shared" si="232"/>
        <v>#DIV/0!</v>
      </c>
      <c r="UNI132" s="531" t="e">
        <f t="shared" si="232"/>
        <v>#DIV/0!</v>
      </c>
      <c r="UNJ132" s="531" t="e">
        <f t="shared" si="232"/>
        <v>#DIV/0!</v>
      </c>
      <c r="UNK132" s="531" t="e">
        <f t="shared" si="232"/>
        <v>#DIV/0!</v>
      </c>
      <c r="UNL132" s="531" t="e">
        <f t="shared" si="232"/>
        <v>#DIV/0!</v>
      </c>
      <c r="UNM132" s="531" t="e">
        <f t="shared" si="232"/>
        <v>#DIV/0!</v>
      </c>
      <c r="UNN132" s="531" t="e">
        <f t="shared" si="232"/>
        <v>#DIV/0!</v>
      </c>
      <c r="UNO132" s="531" t="e">
        <f t="shared" si="232"/>
        <v>#DIV/0!</v>
      </c>
      <c r="UNP132" s="531" t="e">
        <f t="shared" si="232"/>
        <v>#DIV/0!</v>
      </c>
      <c r="UNQ132" s="531" t="e">
        <f t="shared" si="232"/>
        <v>#DIV/0!</v>
      </c>
      <c r="UNR132" s="531" t="e">
        <f t="shared" si="232"/>
        <v>#DIV/0!</v>
      </c>
      <c r="UNS132" s="531" t="e">
        <f t="shared" si="232"/>
        <v>#DIV/0!</v>
      </c>
      <c r="UNT132" s="531" t="e">
        <f t="shared" si="232"/>
        <v>#DIV/0!</v>
      </c>
      <c r="UNU132" s="531" t="e">
        <f t="shared" si="232"/>
        <v>#DIV/0!</v>
      </c>
      <c r="UNV132" s="531" t="e">
        <f t="shared" si="232"/>
        <v>#DIV/0!</v>
      </c>
      <c r="UNW132" s="531" t="e">
        <f t="shared" si="232"/>
        <v>#DIV/0!</v>
      </c>
      <c r="UNX132" s="531" t="e">
        <f t="shared" si="232"/>
        <v>#DIV/0!</v>
      </c>
      <c r="UNY132" s="531" t="e">
        <f t="shared" si="232"/>
        <v>#DIV/0!</v>
      </c>
      <c r="UNZ132" s="531" t="e">
        <f t="shared" si="232"/>
        <v>#DIV/0!</v>
      </c>
      <c r="UOA132" s="531" t="e">
        <f t="shared" si="232"/>
        <v>#DIV/0!</v>
      </c>
      <c r="UOB132" s="531" t="e">
        <f t="shared" si="232"/>
        <v>#DIV/0!</v>
      </c>
      <c r="UOC132" s="531" t="e">
        <f t="shared" si="232"/>
        <v>#DIV/0!</v>
      </c>
      <c r="UOD132" s="531" t="e">
        <f t="shared" si="232"/>
        <v>#DIV/0!</v>
      </c>
      <c r="UOE132" s="531" t="e">
        <f t="shared" si="232"/>
        <v>#DIV/0!</v>
      </c>
      <c r="UOF132" s="531" t="e">
        <f t="shared" si="232"/>
        <v>#DIV/0!</v>
      </c>
      <c r="UOG132" s="531" t="e">
        <f t="shared" si="232"/>
        <v>#DIV/0!</v>
      </c>
      <c r="UOH132" s="531" t="e">
        <f t="shared" si="232"/>
        <v>#DIV/0!</v>
      </c>
      <c r="UOI132" s="531" t="e">
        <f t="shared" si="232"/>
        <v>#DIV/0!</v>
      </c>
      <c r="UOJ132" s="531" t="e">
        <f t="shared" si="232"/>
        <v>#DIV/0!</v>
      </c>
      <c r="UOK132" s="531" t="e">
        <f t="shared" si="232"/>
        <v>#DIV/0!</v>
      </c>
      <c r="UOL132" s="531" t="e">
        <f t="shared" si="232"/>
        <v>#DIV/0!</v>
      </c>
      <c r="UOM132" s="531" t="e">
        <f t="shared" ref="UOM132:UQX132" si="233">(UOM128-UOM116)/(UOM52*10^5)</f>
        <v>#DIV/0!</v>
      </c>
      <c r="UON132" s="531" t="e">
        <f t="shared" si="233"/>
        <v>#DIV/0!</v>
      </c>
      <c r="UOO132" s="531" t="e">
        <f t="shared" si="233"/>
        <v>#DIV/0!</v>
      </c>
      <c r="UOP132" s="531" t="e">
        <f t="shared" si="233"/>
        <v>#DIV/0!</v>
      </c>
      <c r="UOQ132" s="531" t="e">
        <f t="shared" si="233"/>
        <v>#DIV/0!</v>
      </c>
      <c r="UOR132" s="531" t="e">
        <f t="shared" si="233"/>
        <v>#DIV/0!</v>
      </c>
      <c r="UOS132" s="531" t="e">
        <f t="shared" si="233"/>
        <v>#DIV/0!</v>
      </c>
      <c r="UOT132" s="531" t="e">
        <f t="shared" si="233"/>
        <v>#DIV/0!</v>
      </c>
      <c r="UOU132" s="531" t="e">
        <f t="shared" si="233"/>
        <v>#DIV/0!</v>
      </c>
      <c r="UOV132" s="531" t="e">
        <f t="shared" si="233"/>
        <v>#DIV/0!</v>
      </c>
      <c r="UOW132" s="531" t="e">
        <f t="shared" si="233"/>
        <v>#DIV/0!</v>
      </c>
      <c r="UOX132" s="531" t="e">
        <f t="shared" si="233"/>
        <v>#DIV/0!</v>
      </c>
      <c r="UOY132" s="531" t="e">
        <f t="shared" si="233"/>
        <v>#DIV/0!</v>
      </c>
      <c r="UOZ132" s="531" t="e">
        <f t="shared" si="233"/>
        <v>#DIV/0!</v>
      </c>
      <c r="UPA132" s="531" t="e">
        <f t="shared" si="233"/>
        <v>#DIV/0!</v>
      </c>
      <c r="UPB132" s="531" t="e">
        <f t="shared" si="233"/>
        <v>#DIV/0!</v>
      </c>
      <c r="UPC132" s="531" t="e">
        <f t="shared" si="233"/>
        <v>#DIV/0!</v>
      </c>
      <c r="UPD132" s="531" t="e">
        <f t="shared" si="233"/>
        <v>#DIV/0!</v>
      </c>
      <c r="UPE132" s="531" t="e">
        <f t="shared" si="233"/>
        <v>#DIV/0!</v>
      </c>
      <c r="UPF132" s="531" t="e">
        <f t="shared" si="233"/>
        <v>#DIV/0!</v>
      </c>
      <c r="UPG132" s="531" t="e">
        <f t="shared" si="233"/>
        <v>#DIV/0!</v>
      </c>
      <c r="UPH132" s="531" t="e">
        <f t="shared" si="233"/>
        <v>#DIV/0!</v>
      </c>
      <c r="UPI132" s="531" t="e">
        <f t="shared" si="233"/>
        <v>#DIV/0!</v>
      </c>
      <c r="UPJ132" s="531" t="e">
        <f t="shared" si="233"/>
        <v>#DIV/0!</v>
      </c>
      <c r="UPK132" s="531" t="e">
        <f t="shared" si="233"/>
        <v>#DIV/0!</v>
      </c>
      <c r="UPL132" s="531" t="e">
        <f t="shared" si="233"/>
        <v>#DIV/0!</v>
      </c>
      <c r="UPM132" s="531" t="e">
        <f t="shared" si="233"/>
        <v>#DIV/0!</v>
      </c>
      <c r="UPN132" s="531" t="e">
        <f t="shared" si="233"/>
        <v>#DIV/0!</v>
      </c>
      <c r="UPO132" s="531" t="e">
        <f t="shared" si="233"/>
        <v>#DIV/0!</v>
      </c>
      <c r="UPP132" s="531" t="e">
        <f t="shared" si="233"/>
        <v>#DIV/0!</v>
      </c>
      <c r="UPQ132" s="531" t="e">
        <f t="shared" si="233"/>
        <v>#DIV/0!</v>
      </c>
      <c r="UPR132" s="531" t="e">
        <f t="shared" si="233"/>
        <v>#DIV/0!</v>
      </c>
      <c r="UPS132" s="531" t="e">
        <f t="shared" si="233"/>
        <v>#DIV/0!</v>
      </c>
      <c r="UPT132" s="531" t="e">
        <f t="shared" si="233"/>
        <v>#DIV/0!</v>
      </c>
      <c r="UPU132" s="531" t="e">
        <f t="shared" si="233"/>
        <v>#DIV/0!</v>
      </c>
      <c r="UPV132" s="531" t="e">
        <f t="shared" si="233"/>
        <v>#DIV/0!</v>
      </c>
      <c r="UPW132" s="531" t="e">
        <f t="shared" si="233"/>
        <v>#DIV/0!</v>
      </c>
      <c r="UPX132" s="531" t="e">
        <f t="shared" si="233"/>
        <v>#DIV/0!</v>
      </c>
      <c r="UPY132" s="531" t="e">
        <f t="shared" si="233"/>
        <v>#DIV/0!</v>
      </c>
      <c r="UPZ132" s="531" t="e">
        <f t="shared" si="233"/>
        <v>#DIV/0!</v>
      </c>
      <c r="UQA132" s="531" t="e">
        <f t="shared" si="233"/>
        <v>#DIV/0!</v>
      </c>
      <c r="UQB132" s="531" t="e">
        <f t="shared" si="233"/>
        <v>#DIV/0!</v>
      </c>
      <c r="UQC132" s="531" t="e">
        <f t="shared" si="233"/>
        <v>#DIV/0!</v>
      </c>
      <c r="UQD132" s="531" t="e">
        <f t="shared" si="233"/>
        <v>#DIV/0!</v>
      </c>
      <c r="UQE132" s="531" t="e">
        <f t="shared" si="233"/>
        <v>#DIV/0!</v>
      </c>
      <c r="UQF132" s="531" t="e">
        <f t="shared" si="233"/>
        <v>#DIV/0!</v>
      </c>
      <c r="UQG132" s="531" t="e">
        <f t="shared" si="233"/>
        <v>#DIV/0!</v>
      </c>
      <c r="UQH132" s="531" t="e">
        <f t="shared" si="233"/>
        <v>#DIV/0!</v>
      </c>
      <c r="UQI132" s="531" t="e">
        <f t="shared" si="233"/>
        <v>#DIV/0!</v>
      </c>
      <c r="UQJ132" s="531" t="e">
        <f t="shared" si="233"/>
        <v>#DIV/0!</v>
      </c>
      <c r="UQK132" s="531" t="e">
        <f t="shared" si="233"/>
        <v>#DIV/0!</v>
      </c>
      <c r="UQL132" s="531" t="e">
        <f t="shared" si="233"/>
        <v>#DIV/0!</v>
      </c>
      <c r="UQM132" s="531" t="e">
        <f t="shared" si="233"/>
        <v>#DIV/0!</v>
      </c>
      <c r="UQN132" s="531" t="e">
        <f t="shared" si="233"/>
        <v>#DIV/0!</v>
      </c>
      <c r="UQO132" s="531" t="e">
        <f t="shared" si="233"/>
        <v>#DIV/0!</v>
      </c>
      <c r="UQP132" s="531" t="e">
        <f t="shared" si="233"/>
        <v>#DIV/0!</v>
      </c>
      <c r="UQQ132" s="531" t="e">
        <f t="shared" si="233"/>
        <v>#DIV/0!</v>
      </c>
      <c r="UQR132" s="531" t="e">
        <f t="shared" si="233"/>
        <v>#DIV/0!</v>
      </c>
      <c r="UQS132" s="531" t="e">
        <f t="shared" si="233"/>
        <v>#DIV/0!</v>
      </c>
      <c r="UQT132" s="531" t="e">
        <f t="shared" si="233"/>
        <v>#DIV/0!</v>
      </c>
      <c r="UQU132" s="531" t="e">
        <f t="shared" si="233"/>
        <v>#DIV/0!</v>
      </c>
      <c r="UQV132" s="531" t="e">
        <f t="shared" si="233"/>
        <v>#DIV/0!</v>
      </c>
      <c r="UQW132" s="531" t="e">
        <f t="shared" si="233"/>
        <v>#DIV/0!</v>
      </c>
      <c r="UQX132" s="531" t="e">
        <f t="shared" si="233"/>
        <v>#DIV/0!</v>
      </c>
      <c r="UQY132" s="531" t="e">
        <f t="shared" ref="UQY132:UTJ132" si="234">(UQY128-UQY116)/(UQY52*10^5)</f>
        <v>#DIV/0!</v>
      </c>
      <c r="UQZ132" s="531" t="e">
        <f t="shared" si="234"/>
        <v>#DIV/0!</v>
      </c>
      <c r="URA132" s="531" t="e">
        <f t="shared" si="234"/>
        <v>#DIV/0!</v>
      </c>
      <c r="URB132" s="531" t="e">
        <f t="shared" si="234"/>
        <v>#DIV/0!</v>
      </c>
      <c r="URC132" s="531" t="e">
        <f t="shared" si="234"/>
        <v>#DIV/0!</v>
      </c>
      <c r="URD132" s="531" t="e">
        <f t="shared" si="234"/>
        <v>#DIV/0!</v>
      </c>
      <c r="URE132" s="531" t="e">
        <f t="shared" si="234"/>
        <v>#DIV/0!</v>
      </c>
      <c r="URF132" s="531" t="e">
        <f t="shared" si="234"/>
        <v>#DIV/0!</v>
      </c>
      <c r="URG132" s="531" t="e">
        <f t="shared" si="234"/>
        <v>#DIV/0!</v>
      </c>
      <c r="URH132" s="531" t="e">
        <f t="shared" si="234"/>
        <v>#DIV/0!</v>
      </c>
      <c r="URI132" s="531" t="e">
        <f t="shared" si="234"/>
        <v>#DIV/0!</v>
      </c>
      <c r="URJ132" s="531" t="e">
        <f t="shared" si="234"/>
        <v>#DIV/0!</v>
      </c>
      <c r="URK132" s="531" t="e">
        <f t="shared" si="234"/>
        <v>#DIV/0!</v>
      </c>
      <c r="URL132" s="531" t="e">
        <f t="shared" si="234"/>
        <v>#DIV/0!</v>
      </c>
      <c r="URM132" s="531" t="e">
        <f t="shared" si="234"/>
        <v>#DIV/0!</v>
      </c>
      <c r="URN132" s="531" t="e">
        <f t="shared" si="234"/>
        <v>#DIV/0!</v>
      </c>
      <c r="URO132" s="531" t="e">
        <f t="shared" si="234"/>
        <v>#DIV/0!</v>
      </c>
      <c r="URP132" s="531" t="e">
        <f t="shared" si="234"/>
        <v>#DIV/0!</v>
      </c>
      <c r="URQ132" s="531" t="e">
        <f t="shared" si="234"/>
        <v>#DIV/0!</v>
      </c>
      <c r="URR132" s="531" t="e">
        <f t="shared" si="234"/>
        <v>#DIV/0!</v>
      </c>
      <c r="URS132" s="531" t="e">
        <f t="shared" si="234"/>
        <v>#DIV/0!</v>
      </c>
      <c r="URT132" s="531" t="e">
        <f t="shared" si="234"/>
        <v>#DIV/0!</v>
      </c>
      <c r="URU132" s="531" t="e">
        <f t="shared" si="234"/>
        <v>#DIV/0!</v>
      </c>
      <c r="URV132" s="531" t="e">
        <f t="shared" si="234"/>
        <v>#DIV/0!</v>
      </c>
      <c r="URW132" s="531" t="e">
        <f t="shared" si="234"/>
        <v>#DIV/0!</v>
      </c>
      <c r="URX132" s="531" t="e">
        <f t="shared" si="234"/>
        <v>#DIV/0!</v>
      </c>
      <c r="URY132" s="531" t="e">
        <f t="shared" si="234"/>
        <v>#DIV/0!</v>
      </c>
      <c r="URZ132" s="531" t="e">
        <f t="shared" si="234"/>
        <v>#DIV/0!</v>
      </c>
      <c r="USA132" s="531" t="e">
        <f t="shared" si="234"/>
        <v>#DIV/0!</v>
      </c>
      <c r="USB132" s="531" t="e">
        <f t="shared" si="234"/>
        <v>#DIV/0!</v>
      </c>
      <c r="USC132" s="531" t="e">
        <f t="shared" si="234"/>
        <v>#DIV/0!</v>
      </c>
      <c r="USD132" s="531" t="e">
        <f t="shared" si="234"/>
        <v>#DIV/0!</v>
      </c>
      <c r="USE132" s="531" t="e">
        <f t="shared" si="234"/>
        <v>#DIV/0!</v>
      </c>
      <c r="USF132" s="531" t="e">
        <f t="shared" si="234"/>
        <v>#DIV/0!</v>
      </c>
      <c r="USG132" s="531" t="e">
        <f t="shared" si="234"/>
        <v>#DIV/0!</v>
      </c>
      <c r="USH132" s="531" t="e">
        <f t="shared" si="234"/>
        <v>#DIV/0!</v>
      </c>
      <c r="USI132" s="531" t="e">
        <f t="shared" si="234"/>
        <v>#DIV/0!</v>
      </c>
      <c r="USJ132" s="531" t="e">
        <f t="shared" si="234"/>
        <v>#DIV/0!</v>
      </c>
      <c r="USK132" s="531" t="e">
        <f t="shared" si="234"/>
        <v>#DIV/0!</v>
      </c>
      <c r="USL132" s="531" t="e">
        <f t="shared" si="234"/>
        <v>#DIV/0!</v>
      </c>
      <c r="USM132" s="531" t="e">
        <f t="shared" si="234"/>
        <v>#DIV/0!</v>
      </c>
      <c r="USN132" s="531" t="e">
        <f t="shared" si="234"/>
        <v>#DIV/0!</v>
      </c>
      <c r="USO132" s="531" t="e">
        <f t="shared" si="234"/>
        <v>#DIV/0!</v>
      </c>
      <c r="USP132" s="531" t="e">
        <f t="shared" si="234"/>
        <v>#DIV/0!</v>
      </c>
      <c r="USQ132" s="531" t="e">
        <f t="shared" si="234"/>
        <v>#DIV/0!</v>
      </c>
      <c r="USR132" s="531" t="e">
        <f t="shared" si="234"/>
        <v>#DIV/0!</v>
      </c>
      <c r="USS132" s="531" t="e">
        <f t="shared" si="234"/>
        <v>#DIV/0!</v>
      </c>
      <c r="UST132" s="531" t="e">
        <f t="shared" si="234"/>
        <v>#DIV/0!</v>
      </c>
      <c r="USU132" s="531" t="e">
        <f t="shared" si="234"/>
        <v>#DIV/0!</v>
      </c>
      <c r="USV132" s="531" t="e">
        <f t="shared" si="234"/>
        <v>#DIV/0!</v>
      </c>
      <c r="USW132" s="531" t="e">
        <f t="shared" si="234"/>
        <v>#DIV/0!</v>
      </c>
      <c r="USX132" s="531" t="e">
        <f t="shared" si="234"/>
        <v>#DIV/0!</v>
      </c>
      <c r="USY132" s="531" t="e">
        <f t="shared" si="234"/>
        <v>#DIV/0!</v>
      </c>
      <c r="USZ132" s="531" t="e">
        <f t="shared" si="234"/>
        <v>#DIV/0!</v>
      </c>
      <c r="UTA132" s="531" t="e">
        <f t="shared" si="234"/>
        <v>#DIV/0!</v>
      </c>
      <c r="UTB132" s="531" t="e">
        <f t="shared" si="234"/>
        <v>#DIV/0!</v>
      </c>
      <c r="UTC132" s="531" t="e">
        <f t="shared" si="234"/>
        <v>#DIV/0!</v>
      </c>
      <c r="UTD132" s="531" t="e">
        <f t="shared" si="234"/>
        <v>#DIV/0!</v>
      </c>
      <c r="UTE132" s="531" t="e">
        <f t="shared" si="234"/>
        <v>#DIV/0!</v>
      </c>
      <c r="UTF132" s="531" t="e">
        <f t="shared" si="234"/>
        <v>#DIV/0!</v>
      </c>
      <c r="UTG132" s="531" t="e">
        <f t="shared" si="234"/>
        <v>#DIV/0!</v>
      </c>
      <c r="UTH132" s="531" t="e">
        <f t="shared" si="234"/>
        <v>#DIV/0!</v>
      </c>
      <c r="UTI132" s="531" t="e">
        <f t="shared" si="234"/>
        <v>#DIV/0!</v>
      </c>
      <c r="UTJ132" s="531" t="e">
        <f t="shared" si="234"/>
        <v>#DIV/0!</v>
      </c>
      <c r="UTK132" s="531" t="e">
        <f t="shared" ref="UTK132:UVV132" si="235">(UTK128-UTK116)/(UTK52*10^5)</f>
        <v>#DIV/0!</v>
      </c>
      <c r="UTL132" s="531" t="e">
        <f t="shared" si="235"/>
        <v>#DIV/0!</v>
      </c>
      <c r="UTM132" s="531" t="e">
        <f t="shared" si="235"/>
        <v>#DIV/0!</v>
      </c>
      <c r="UTN132" s="531" t="e">
        <f t="shared" si="235"/>
        <v>#DIV/0!</v>
      </c>
      <c r="UTO132" s="531" t="e">
        <f t="shared" si="235"/>
        <v>#DIV/0!</v>
      </c>
      <c r="UTP132" s="531" t="e">
        <f t="shared" si="235"/>
        <v>#DIV/0!</v>
      </c>
      <c r="UTQ132" s="531" t="e">
        <f t="shared" si="235"/>
        <v>#DIV/0!</v>
      </c>
      <c r="UTR132" s="531" t="e">
        <f t="shared" si="235"/>
        <v>#DIV/0!</v>
      </c>
      <c r="UTS132" s="531" t="e">
        <f t="shared" si="235"/>
        <v>#DIV/0!</v>
      </c>
      <c r="UTT132" s="531" t="e">
        <f t="shared" si="235"/>
        <v>#DIV/0!</v>
      </c>
      <c r="UTU132" s="531" t="e">
        <f t="shared" si="235"/>
        <v>#DIV/0!</v>
      </c>
      <c r="UTV132" s="531" t="e">
        <f t="shared" si="235"/>
        <v>#DIV/0!</v>
      </c>
      <c r="UTW132" s="531" t="e">
        <f t="shared" si="235"/>
        <v>#DIV/0!</v>
      </c>
      <c r="UTX132" s="531" t="e">
        <f t="shared" si="235"/>
        <v>#DIV/0!</v>
      </c>
      <c r="UTY132" s="531" t="e">
        <f t="shared" si="235"/>
        <v>#DIV/0!</v>
      </c>
      <c r="UTZ132" s="531" t="e">
        <f t="shared" si="235"/>
        <v>#DIV/0!</v>
      </c>
      <c r="UUA132" s="531" t="e">
        <f t="shared" si="235"/>
        <v>#DIV/0!</v>
      </c>
      <c r="UUB132" s="531" t="e">
        <f t="shared" si="235"/>
        <v>#DIV/0!</v>
      </c>
      <c r="UUC132" s="531" t="e">
        <f t="shared" si="235"/>
        <v>#DIV/0!</v>
      </c>
      <c r="UUD132" s="531" t="e">
        <f t="shared" si="235"/>
        <v>#DIV/0!</v>
      </c>
      <c r="UUE132" s="531" t="e">
        <f t="shared" si="235"/>
        <v>#DIV/0!</v>
      </c>
      <c r="UUF132" s="531" t="e">
        <f t="shared" si="235"/>
        <v>#DIV/0!</v>
      </c>
      <c r="UUG132" s="531" t="e">
        <f t="shared" si="235"/>
        <v>#DIV/0!</v>
      </c>
      <c r="UUH132" s="531" t="e">
        <f t="shared" si="235"/>
        <v>#DIV/0!</v>
      </c>
      <c r="UUI132" s="531" t="e">
        <f t="shared" si="235"/>
        <v>#DIV/0!</v>
      </c>
      <c r="UUJ132" s="531" t="e">
        <f t="shared" si="235"/>
        <v>#DIV/0!</v>
      </c>
      <c r="UUK132" s="531" t="e">
        <f t="shared" si="235"/>
        <v>#DIV/0!</v>
      </c>
      <c r="UUL132" s="531" t="e">
        <f t="shared" si="235"/>
        <v>#DIV/0!</v>
      </c>
      <c r="UUM132" s="531" t="e">
        <f t="shared" si="235"/>
        <v>#DIV/0!</v>
      </c>
      <c r="UUN132" s="531" t="e">
        <f t="shared" si="235"/>
        <v>#DIV/0!</v>
      </c>
      <c r="UUO132" s="531" t="e">
        <f t="shared" si="235"/>
        <v>#DIV/0!</v>
      </c>
      <c r="UUP132" s="531" t="e">
        <f t="shared" si="235"/>
        <v>#DIV/0!</v>
      </c>
      <c r="UUQ132" s="531" t="e">
        <f t="shared" si="235"/>
        <v>#DIV/0!</v>
      </c>
      <c r="UUR132" s="531" t="e">
        <f t="shared" si="235"/>
        <v>#DIV/0!</v>
      </c>
      <c r="UUS132" s="531" t="e">
        <f t="shared" si="235"/>
        <v>#DIV/0!</v>
      </c>
      <c r="UUT132" s="531" t="e">
        <f t="shared" si="235"/>
        <v>#DIV/0!</v>
      </c>
      <c r="UUU132" s="531" t="e">
        <f t="shared" si="235"/>
        <v>#DIV/0!</v>
      </c>
      <c r="UUV132" s="531" t="e">
        <f t="shared" si="235"/>
        <v>#DIV/0!</v>
      </c>
      <c r="UUW132" s="531" t="e">
        <f t="shared" si="235"/>
        <v>#DIV/0!</v>
      </c>
      <c r="UUX132" s="531" t="e">
        <f t="shared" si="235"/>
        <v>#DIV/0!</v>
      </c>
      <c r="UUY132" s="531" t="e">
        <f t="shared" si="235"/>
        <v>#DIV/0!</v>
      </c>
      <c r="UUZ132" s="531" t="e">
        <f t="shared" si="235"/>
        <v>#DIV/0!</v>
      </c>
      <c r="UVA132" s="531" t="e">
        <f t="shared" si="235"/>
        <v>#DIV/0!</v>
      </c>
      <c r="UVB132" s="531" t="e">
        <f t="shared" si="235"/>
        <v>#DIV/0!</v>
      </c>
      <c r="UVC132" s="531" t="e">
        <f t="shared" si="235"/>
        <v>#DIV/0!</v>
      </c>
      <c r="UVD132" s="531" t="e">
        <f t="shared" si="235"/>
        <v>#DIV/0!</v>
      </c>
      <c r="UVE132" s="531" t="e">
        <f t="shared" si="235"/>
        <v>#DIV/0!</v>
      </c>
      <c r="UVF132" s="531" t="e">
        <f t="shared" si="235"/>
        <v>#DIV/0!</v>
      </c>
      <c r="UVG132" s="531" t="e">
        <f t="shared" si="235"/>
        <v>#DIV/0!</v>
      </c>
      <c r="UVH132" s="531" t="e">
        <f t="shared" si="235"/>
        <v>#DIV/0!</v>
      </c>
      <c r="UVI132" s="531" t="e">
        <f t="shared" si="235"/>
        <v>#DIV/0!</v>
      </c>
      <c r="UVJ132" s="531" t="e">
        <f t="shared" si="235"/>
        <v>#DIV/0!</v>
      </c>
      <c r="UVK132" s="531" t="e">
        <f t="shared" si="235"/>
        <v>#DIV/0!</v>
      </c>
      <c r="UVL132" s="531" t="e">
        <f t="shared" si="235"/>
        <v>#DIV/0!</v>
      </c>
      <c r="UVM132" s="531" t="e">
        <f t="shared" si="235"/>
        <v>#DIV/0!</v>
      </c>
      <c r="UVN132" s="531" t="e">
        <f t="shared" si="235"/>
        <v>#DIV/0!</v>
      </c>
      <c r="UVO132" s="531" t="e">
        <f t="shared" si="235"/>
        <v>#DIV/0!</v>
      </c>
      <c r="UVP132" s="531" t="e">
        <f t="shared" si="235"/>
        <v>#DIV/0!</v>
      </c>
      <c r="UVQ132" s="531" t="e">
        <f t="shared" si="235"/>
        <v>#DIV/0!</v>
      </c>
      <c r="UVR132" s="531" t="e">
        <f t="shared" si="235"/>
        <v>#DIV/0!</v>
      </c>
      <c r="UVS132" s="531" t="e">
        <f t="shared" si="235"/>
        <v>#DIV/0!</v>
      </c>
      <c r="UVT132" s="531" t="e">
        <f t="shared" si="235"/>
        <v>#DIV/0!</v>
      </c>
      <c r="UVU132" s="531" t="e">
        <f t="shared" si="235"/>
        <v>#DIV/0!</v>
      </c>
      <c r="UVV132" s="531" t="e">
        <f t="shared" si="235"/>
        <v>#DIV/0!</v>
      </c>
      <c r="UVW132" s="531" t="e">
        <f t="shared" ref="UVW132:UYH132" si="236">(UVW128-UVW116)/(UVW52*10^5)</f>
        <v>#DIV/0!</v>
      </c>
      <c r="UVX132" s="531" t="e">
        <f t="shared" si="236"/>
        <v>#DIV/0!</v>
      </c>
      <c r="UVY132" s="531" t="e">
        <f t="shared" si="236"/>
        <v>#DIV/0!</v>
      </c>
      <c r="UVZ132" s="531" t="e">
        <f t="shared" si="236"/>
        <v>#DIV/0!</v>
      </c>
      <c r="UWA132" s="531" t="e">
        <f t="shared" si="236"/>
        <v>#DIV/0!</v>
      </c>
      <c r="UWB132" s="531" t="e">
        <f t="shared" si="236"/>
        <v>#DIV/0!</v>
      </c>
      <c r="UWC132" s="531" t="e">
        <f t="shared" si="236"/>
        <v>#DIV/0!</v>
      </c>
      <c r="UWD132" s="531" t="e">
        <f t="shared" si="236"/>
        <v>#DIV/0!</v>
      </c>
      <c r="UWE132" s="531" t="e">
        <f t="shared" si="236"/>
        <v>#DIV/0!</v>
      </c>
      <c r="UWF132" s="531" t="e">
        <f t="shared" si="236"/>
        <v>#DIV/0!</v>
      </c>
      <c r="UWG132" s="531" t="e">
        <f t="shared" si="236"/>
        <v>#DIV/0!</v>
      </c>
      <c r="UWH132" s="531" t="e">
        <f t="shared" si="236"/>
        <v>#DIV/0!</v>
      </c>
      <c r="UWI132" s="531" t="e">
        <f t="shared" si="236"/>
        <v>#DIV/0!</v>
      </c>
      <c r="UWJ132" s="531" t="e">
        <f t="shared" si="236"/>
        <v>#DIV/0!</v>
      </c>
      <c r="UWK132" s="531" t="e">
        <f t="shared" si="236"/>
        <v>#DIV/0!</v>
      </c>
      <c r="UWL132" s="531" t="e">
        <f t="shared" si="236"/>
        <v>#DIV/0!</v>
      </c>
      <c r="UWM132" s="531" t="e">
        <f t="shared" si="236"/>
        <v>#DIV/0!</v>
      </c>
      <c r="UWN132" s="531" t="e">
        <f t="shared" si="236"/>
        <v>#DIV/0!</v>
      </c>
      <c r="UWO132" s="531" t="e">
        <f t="shared" si="236"/>
        <v>#DIV/0!</v>
      </c>
      <c r="UWP132" s="531" t="e">
        <f t="shared" si="236"/>
        <v>#DIV/0!</v>
      </c>
      <c r="UWQ132" s="531" t="e">
        <f t="shared" si="236"/>
        <v>#DIV/0!</v>
      </c>
      <c r="UWR132" s="531" t="e">
        <f t="shared" si="236"/>
        <v>#DIV/0!</v>
      </c>
      <c r="UWS132" s="531" t="e">
        <f t="shared" si="236"/>
        <v>#DIV/0!</v>
      </c>
      <c r="UWT132" s="531" t="e">
        <f t="shared" si="236"/>
        <v>#DIV/0!</v>
      </c>
      <c r="UWU132" s="531" t="e">
        <f t="shared" si="236"/>
        <v>#DIV/0!</v>
      </c>
      <c r="UWV132" s="531" t="e">
        <f t="shared" si="236"/>
        <v>#DIV/0!</v>
      </c>
      <c r="UWW132" s="531" t="e">
        <f t="shared" si="236"/>
        <v>#DIV/0!</v>
      </c>
      <c r="UWX132" s="531" t="e">
        <f t="shared" si="236"/>
        <v>#DIV/0!</v>
      </c>
      <c r="UWY132" s="531" t="e">
        <f t="shared" si="236"/>
        <v>#DIV/0!</v>
      </c>
      <c r="UWZ132" s="531" t="e">
        <f t="shared" si="236"/>
        <v>#DIV/0!</v>
      </c>
      <c r="UXA132" s="531" t="e">
        <f t="shared" si="236"/>
        <v>#DIV/0!</v>
      </c>
      <c r="UXB132" s="531" t="e">
        <f t="shared" si="236"/>
        <v>#DIV/0!</v>
      </c>
      <c r="UXC132" s="531" t="e">
        <f t="shared" si="236"/>
        <v>#DIV/0!</v>
      </c>
      <c r="UXD132" s="531" t="e">
        <f t="shared" si="236"/>
        <v>#DIV/0!</v>
      </c>
      <c r="UXE132" s="531" t="e">
        <f t="shared" si="236"/>
        <v>#DIV/0!</v>
      </c>
      <c r="UXF132" s="531" t="e">
        <f t="shared" si="236"/>
        <v>#DIV/0!</v>
      </c>
      <c r="UXG132" s="531" t="e">
        <f t="shared" si="236"/>
        <v>#DIV/0!</v>
      </c>
      <c r="UXH132" s="531" t="e">
        <f t="shared" si="236"/>
        <v>#DIV/0!</v>
      </c>
      <c r="UXI132" s="531" t="e">
        <f t="shared" si="236"/>
        <v>#DIV/0!</v>
      </c>
      <c r="UXJ132" s="531" t="e">
        <f t="shared" si="236"/>
        <v>#DIV/0!</v>
      </c>
      <c r="UXK132" s="531" t="e">
        <f t="shared" si="236"/>
        <v>#DIV/0!</v>
      </c>
      <c r="UXL132" s="531" t="e">
        <f t="shared" si="236"/>
        <v>#DIV/0!</v>
      </c>
      <c r="UXM132" s="531" t="e">
        <f t="shared" si="236"/>
        <v>#DIV/0!</v>
      </c>
      <c r="UXN132" s="531" t="e">
        <f t="shared" si="236"/>
        <v>#DIV/0!</v>
      </c>
      <c r="UXO132" s="531" t="e">
        <f t="shared" si="236"/>
        <v>#DIV/0!</v>
      </c>
      <c r="UXP132" s="531" t="e">
        <f t="shared" si="236"/>
        <v>#DIV/0!</v>
      </c>
      <c r="UXQ132" s="531" t="e">
        <f t="shared" si="236"/>
        <v>#DIV/0!</v>
      </c>
      <c r="UXR132" s="531" t="e">
        <f t="shared" si="236"/>
        <v>#DIV/0!</v>
      </c>
      <c r="UXS132" s="531" t="e">
        <f t="shared" si="236"/>
        <v>#DIV/0!</v>
      </c>
      <c r="UXT132" s="531" t="e">
        <f t="shared" si="236"/>
        <v>#DIV/0!</v>
      </c>
      <c r="UXU132" s="531" t="e">
        <f t="shared" si="236"/>
        <v>#DIV/0!</v>
      </c>
      <c r="UXV132" s="531" t="e">
        <f t="shared" si="236"/>
        <v>#DIV/0!</v>
      </c>
      <c r="UXW132" s="531" t="e">
        <f t="shared" si="236"/>
        <v>#DIV/0!</v>
      </c>
      <c r="UXX132" s="531" t="e">
        <f t="shared" si="236"/>
        <v>#DIV/0!</v>
      </c>
      <c r="UXY132" s="531" t="e">
        <f t="shared" si="236"/>
        <v>#DIV/0!</v>
      </c>
      <c r="UXZ132" s="531" t="e">
        <f t="shared" si="236"/>
        <v>#DIV/0!</v>
      </c>
      <c r="UYA132" s="531" t="e">
        <f t="shared" si="236"/>
        <v>#DIV/0!</v>
      </c>
      <c r="UYB132" s="531" t="e">
        <f t="shared" si="236"/>
        <v>#DIV/0!</v>
      </c>
      <c r="UYC132" s="531" t="e">
        <f t="shared" si="236"/>
        <v>#DIV/0!</v>
      </c>
      <c r="UYD132" s="531" t="e">
        <f t="shared" si="236"/>
        <v>#DIV/0!</v>
      </c>
      <c r="UYE132" s="531" t="e">
        <f t="shared" si="236"/>
        <v>#DIV/0!</v>
      </c>
      <c r="UYF132" s="531" t="e">
        <f t="shared" si="236"/>
        <v>#DIV/0!</v>
      </c>
      <c r="UYG132" s="531" t="e">
        <f t="shared" si="236"/>
        <v>#DIV/0!</v>
      </c>
      <c r="UYH132" s="531" t="e">
        <f t="shared" si="236"/>
        <v>#DIV/0!</v>
      </c>
      <c r="UYI132" s="531" t="e">
        <f t="shared" ref="UYI132:VAT132" si="237">(UYI128-UYI116)/(UYI52*10^5)</f>
        <v>#DIV/0!</v>
      </c>
      <c r="UYJ132" s="531" t="e">
        <f t="shared" si="237"/>
        <v>#DIV/0!</v>
      </c>
      <c r="UYK132" s="531" t="e">
        <f t="shared" si="237"/>
        <v>#DIV/0!</v>
      </c>
      <c r="UYL132" s="531" t="e">
        <f t="shared" si="237"/>
        <v>#DIV/0!</v>
      </c>
      <c r="UYM132" s="531" t="e">
        <f t="shared" si="237"/>
        <v>#DIV/0!</v>
      </c>
      <c r="UYN132" s="531" t="e">
        <f t="shared" si="237"/>
        <v>#DIV/0!</v>
      </c>
      <c r="UYO132" s="531" t="e">
        <f t="shared" si="237"/>
        <v>#DIV/0!</v>
      </c>
      <c r="UYP132" s="531" t="e">
        <f t="shared" si="237"/>
        <v>#DIV/0!</v>
      </c>
      <c r="UYQ132" s="531" t="e">
        <f t="shared" si="237"/>
        <v>#DIV/0!</v>
      </c>
      <c r="UYR132" s="531" t="e">
        <f t="shared" si="237"/>
        <v>#DIV/0!</v>
      </c>
      <c r="UYS132" s="531" t="e">
        <f t="shared" si="237"/>
        <v>#DIV/0!</v>
      </c>
      <c r="UYT132" s="531" t="e">
        <f t="shared" si="237"/>
        <v>#DIV/0!</v>
      </c>
      <c r="UYU132" s="531" t="e">
        <f t="shared" si="237"/>
        <v>#DIV/0!</v>
      </c>
      <c r="UYV132" s="531" t="e">
        <f t="shared" si="237"/>
        <v>#DIV/0!</v>
      </c>
      <c r="UYW132" s="531" t="e">
        <f t="shared" si="237"/>
        <v>#DIV/0!</v>
      </c>
      <c r="UYX132" s="531" t="e">
        <f t="shared" si="237"/>
        <v>#DIV/0!</v>
      </c>
      <c r="UYY132" s="531" t="e">
        <f t="shared" si="237"/>
        <v>#DIV/0!</v>
      </c>
      <c r="UYZ132" s="531" t="e">
        <f t="shared" si="237"/>
        <v>#DIV/0!</v>
      </c>
      <c r="UZA132" s="531" t="e">
        <f t="shared" si="237"/>
        <v>#DIV/0!</v>
      </c>
      <c r="UZB132" s="531" t="e">
        <f t="shared" si="237"/>
        <v>#DIV/0!</v>
      </c>
      <c r="UZC132" s="531" t="e">
        <f t="shared" si="237"/>
        <v>#DIV/0!</v>
      </c>
      <c r="UZD132" s="531" t="e">
        <f t="shared" si="237"/>
        <v>#DIV/0!</v>
      </c>
      <c r="UZE132" s="531" t="e">
        <f t="shared" si="237"/>
        <v>#DIV/0!</v>
      </c>
      <c r="UZF132" s="531" t="e">
        <f t="shared" si="237"/>
        <v>#DIV/0!</v>
      </c>
      <c r="UZG132" s="531" t="e">
        <f t="shared" si="237"/>
        <v>#DIV/0!</v>
      </c>
      <c r="UZH132" s="531" t="e">
        <f t="shared" si="237"/>
        <v>#DIV/0!</v>
      </c>
      <c r="UZI132" s="531" t="e">
        <f t="shared" si="237"/>
        <v>#DIV/0!</v>
      </c>
      <c r="UZJ132" s="531" t="e">
        <f t="shared" si="237"/>
        <v>#DIV/0!</v>
      </c>
      <c r="UZK132" s="531" t="e">
        <f t="shared" si="237"/>
        <v>#DIV/0!</v>
      </c>
      <c r="UZL132" s="531" t="e">
        <f t="shared" si="237"/>
        <v>#DIV/0!</v>
      </c>
      <c r="UZM132" s="531" t="e">
        <f t="shared" si="237"/>
        <v>#DIV/0!</v>
      </c>
      <c r="UZN132" s="531" t="e">
        <f t="shared" si="237"/>
        <v>#DIV/0!</v>
      </c>
      <c r="UZO132" s="531" t="e">
        <f t="shared" si="237"/>
        <v>#DIV/0!</v>
      </c>
      <c r="UZP132" s="531" t="e">
        <f t="shared" si="237"/>
        <v>#DIV/0!</v>
      </c>
      <c r="UZQ132" s="531" t="e">
        <f t="shared" si="237"/>
        <v>#DIV/0!</v>
      </c>
      <c r="UZR132" s="531" t="e">
        <f t="shared" si="237"/>
        <v>#DIV/0!</v>
      </c>
      <c r="UZS132" s="531" t="e">
        <f t="shared" si="237"/>
        <v>#DIV/0!</v>
      </c>
      <c r="UZT132" s="531" t="e">
        <f t="shared" si="237"/>
        <v>#DIV/0!</v>
      </c>
      <c r="UZU132" s="531" t="e">
        <f t="shared" si="237"/>
        <v>#DIV/0!</v>
      </c>
      <c r="UZV132" s="531" t="e">
        <f t="shared" si="237"/>
        <v>#DIV/0!</v>
      </c>
      <c r="UZW132" s="531" t="e">
        <f t="shared" si="237"/>
        <v>#DIV/0!</v>
      </c>
      <c r="UZX132" s="531" t="e">
        <f t="shared" si="237"/>
        <v>#DIV/0!</v>
      </c>
      <c r="UZY132" s="531" t="e">
        <f t="shared" si="237"/>
        <v>#DIV/0!</v>
      </c>
      <c r="UZZ132" s="531" t="e">
        <f t="shared" si="237"/>
        <v>#DIV/0!</v>
      </c>
      <c r="VAA132" s="531" t="e">
        <f t="shared" si="237"/>
        <v>#DIV/0!</v>
      </c>
      <c r="VAB132" s="531" t="e">
        <f t="shared" si="237"/>
        <v>#DIV/0!</v>
      </c>
      <c r="VAC132" s="531" t="e">
        <f t="shared" si="237"/>
        <v>#DIV/0!</v>
      </c>
      <c r="VAD132" s="531" t="e">
        <f t="shared" si="237"/>
        <v>#DIV/0!</v>
      </c>
      <c r="VAE132" s="531" t="e">
        <f t="shared" si="237"/>
        <v>#DIV/0!</v>
      </c>
      <c r="VAF132" s="531" t="e">
        <f t="shared" si="237"/>
        <v>#DIV/0!</v>
      </c>
      <c r="VAG132" s="531" t="e">
        <f t="shared" si="237"/>
        <v>#DIV/0!</v>
      </c>
      <c r="VAH132" s="531" t="e">
        <f t="shared" si="237"/>
        <v>#DIV/0!</v>
      </c>
      <c r="VAI132" s="531" t="e">
        <f t="shared" si="237"/>
        <v>#DIV/0!</v>
      </c>
      <c r="VAJ132" s="531" t="e">
        <f t="shared" si="237"/>
        <v>#DIV/0!</v>
      </c>
      <c r="VAK132" s="531" t="e">
        <f t="shared" si="237"/>
        <v>#DIV/0!</v>
      </c>
      <c r="VAL132" s="531" t="e">
        <f t="shared" si="237"/>
        <v>#DIV/0!</v>
      </c>
      <c r="VAM132" s="531" t="e">
        <f t="shared" si="237"/>
        <v>#DIV/0!</v>
      </c>
      <c r="VAN132" s="531" t="e">
        <f t="shared" si="237"/>
        <v>#DIV/0!</v>
      </c>
      <c r="VAO132" s="531" t="e">
        <f t="shared" si="237"/>
        <v>#DIV/0!</v>
      </c>
      <c r="VAP132" s="531" t="e">
        <f t="shared" si="237"/>
        <v>#DIV/0!</v>
      </c>
      <c r="VAQ132" s="531" t="e">
        <f t="shared" si="237"/>
        <v>#DIV/0!</v>
      </c>
      <c r="VAR132" s="531" t="e">
        <f t="shared" si="237"/>
        <v>#DIV/0!</v>
      </c>
      <c r="VAS132" s="531" t="e">
        <f t="shared" si="237"/>
        <v>#DIV/0!</v>
      </c>
      <c r="VAT132" s="531" t="e">
        <f t="shared" si="237"/>
        <v>#DIV/0!</v>
      </c>
      <c r="VAU132" s="531" t="e">
        <f t="shared" ref="VAU132:VDF132" si="238">(VAU128-VAU116)/(VAU52*10^5)</f>
        <v>#DIV/0!</v>
      </c>
      <c r="VAV132" s="531" t="e">
        <f t="shared" si="238"/>
        <v>#DIV/0!</v>
      </c>
      <c r="VAW132" s="531" t="e">
        <f t="shared" si="238"/>
        <v>#DIV/0!</v>
      </c>
      <c r="VAX132" s="531" t="e">
        <f t="shared" si="238"/>
        <v>#DIV/0!</v>
      </c>
      <c r="VAY132" s="531" t="e">
        <f t="shared" si="238"/>
        <v>#DIV/0!</v>
      </c>
      <c r="VAZ132" s="531" t="e">
        <f t="shared" si="238"/>
        <v>#DIV/0!</v>
      </c>
      <c r="VBA132" s="531" t="e">
        <f t="shared" si="238"/>
        <v>#DIV/0!</v>
      </c>
      <c r="VBB132" s="531" t="e">
        <f t="shared" si="238"/>
        <v>#DIV/0!</v>
      </c>
      <c r="VBC132" s="531" t="e">
        <f t="shared" si="238"/>
        <v>#DIV/0!</v>
      </c>
      <c r="VBD132" s="531" t="e">
        <f t="shared" si="238"/>
        <v>#DIV/0!</v>
      </c>
      <c r="VBE132" s="531" t="e">
        <f t="shared" si="238"/>
        <v>#DIV/0!</v>
      </c>
      <c r="VBF132" s="531" t="e">
        <f t="shared" si="238"/>
        <v>#DIV/0!</v>
      </c>
      <c r="VBG132" s="531" t="e">
        <f t="shared" si="238"/>
        <v>#DIV/0!</v>
      </c>
      <c r="VBH132" s="531" t="e">
        <f t="shared" si="238"/>
        <v>#DIV/0!</v>
      </c>
      <c r="VBI132" s="531" t="e">
        <f t="shared" si="238"/>
        <v>#DIV/0!</v>
      </c>
      <c r="VBJ132" s="531" t="e">
        <f t="shared" si="238"/>
        <v>#DIV/0!</v>
      </c>
      <c r="VBK132" s="531" t="e">
        <f t="shared" si="238"/>
        <v>#DIV/0!</v>
      </c>
      <c r="VBL132" s="531" t="e">
        <f t="shared" si="238"/>
        <v>#DIV/0!</v>
      </c>
      <c r="VBM132" s="531" t="e">
        <f t="shared" si="238"/>
        <v>#DIV/0!</v>
      </c>
      <c r="VBN132" s="531" t="e">
        <f t="shared" si="238"/>
        <v>#DIV/0!</v>
      </c>
      <c r="VBO132" s="531" t="e">
        <f t="shared" si="238"/>
        <v>#DIV/0!</v>
      </c>
      <c r="VBP132" s="531" t="e">
        <f t="shared" si="238"/>
        <v>#DIV/0!</v>
      </c>
      <c r="VBQ132" s="531" t="e">
        <f t="shared" si="238"/>
        <v>#DIV/0!</v>
      </c>
      <c r="VBR132" s="531" t="e">
        <f t="shared" si="238"/>
        <v>#DIV/0!</v>
      </c>
      <c r="VBS132" s="531" t="e">
        <f t="shared" si="238"/>
        <v>#DIV/0!</v>
      </c>
      <c r="VBT132" s="531" t="e">
        <f t="shared" si="238"/>
        <v>#DIV/0!</v>
      </c>
      <c r="VBU132" s="531" t="e">
        <f t="shared" si="238"/>
        <v>#DIV/0!</v>
      </c>
      <c r="VBV132" s="531" t="e">
        <f t="shared" si="238"/>
        <v>#DIV/0!</v>
      </c>
      <c r="VBW132" s="531" t="e">
        <f t="shared" si="238"/>
        <v>#DIV/0!</v>
      </c>
      <c r="VBX132" s="531" t="e">
        <f t="shared" si="238"/>
        <v>#DIV/0!</v>
      </c>
      <c r="VBY132" s="531" t="e">
        <f t="shared" si="238"/>
        <v>#DIV/0!</v>
      </c>
      <c r="VBZ132" s="531" t="e">
        <f t="shared" si="238"/>
        <v>#DIV/0!</v>
      </c>
      <c r="VCA132" s="531" t="e">
        <f t="shared" si="238"/>
        <v>#DIV/0!</v>
      </c>
      <c r="VCB132" s="531" t="e">
        <f t="shared" si="238"/>
        <v>#DIV/0!</v>
      </c>
      <c r="VCC132" s="531" t="e">
        <f t="shared" si="238"/>
        <v>#DIV/0!</v>
      </c>
      <c r="VCD132" s="531" t="e">
        <f t="shared" si="238"/>
        <v>#DIV/0!</v>
      </c>
      <c r="VCE132" s="531" t="e">
        <f t="shared" si="238"/>
        <v>#DIV/0!</v>
      </c>
      <c r="VCF132" s="531" t="e">
        <f t="shared" si="238"/>
        <v>#DIV/0!</v>
      </c>
      <c r="VCG132" s="531" t="e">
        <f t="shared" si="238"/>
        <v>#DIV/0!</v>
      </c>
      <c r="VCH132" s="531" t="e">
        <f t="shared" si="238"/>
        <v>#DIV/0!</v>
      </c>
      <c r="VCI132" s="531" t="e">
        <f t="shared" si="238"/>
        <v>#DIV/0!</v>
      </c>
      <c r="VCJ132" s="531" t="e">
        <f t="shared" si="238"/>
        <v>#DIV/0!</v>
      </c>
      <c r="VCK132" s="531" t="e">
        <f t="shared" si="238"/>
        <v>#DIV/0!</v>
      </c>
      <c r="VCL132" s="531" t="e">
        <f t="shared" si="238"/>
        <v>#DIV/0!</v>
      </c>
      <c r="VCM132" s="531" t="e">
        <f t="shared" si="238"/>
        <v>#DIV/0!</v>
      </c>
      <c r="VCN132" s="531" t="e">
        <f t="shared" si="238"/>
        <v>#DIV/0!</v>
      </c>
      <c r="VCO132" s="531" t="e">
        <f t="shared" si="238"/>
        <v>#DIV/0!</v>
      </c>
      <c r="VCP132" s="531" t="e">
        <f t="shared" si="238"/>
        <v>#DIV/0!</v>
      </c>
      <c r="VCQ132" s="531" t="e">
        <f t="shared" si="238"/>
        <v>#DIV/0!</v>
      </c>
      <c r="VCR132" s="531" t="e">
        <f t="shared" si="238"/>
        <v>#DIV/0!</v>
      </c>
      <c r="VCS132" s="531" t="e">
        <f t="shared" si="238"/>
        <v>#DIV/0!</v>
      </c>
      <c r="VCT132" s="531" t="e">
        <f t="shared" si="238"/>
        <v>#DIV/0!</v>
      </c>
      <c r="VCU132" s="531" t="e">
        <f t="shared" si="238"/>
        <v>#DIV/0!</v>
      </c>
      <c r="VCV132" s="531" t="e">
        <f t="shared" si="238"/>
        <v>#DIV/0!</v>
      </c>
      <c r="VCW132" s="531" t="e">
        <f t="shared" si="238"/>
        <v>#DIV/0!</v>
      </c>
      <c r="VCX132" s="531" t="e">
        <f t="shared" si="238"/>
        <v>#DIV/0!</v>
      </c>
      <c r="VCY132" s="531" t="e">
        <f t="shared" si="238"/>
        <v>#DIV/0!</v>
      </c>
      <c r="VCZ132" s="531" t="e">
        <f t="shared" si="238"/>
        <v>#DIV/0!</v>
      </c>
      <c r="VDA132" s="531" t="e">
        <f t="shared" si="238"/>
        <v>#DIV/0!</v>
      </c>
      <c r="VDB132" s="531" t="e">
        <f t="shared" si="238"/>
        <v>#DIV/0!</v>
      </c>
      <c r="VDC132" s="531" t="e">
        <f t="shared" si="238"/>
        <v>#DIV/0!</v>
      </c>
      <c r="VDD132" s="531" t="e">
        <f t="shared" si="238"/>
        <v>#DIV/0!</v>
      </c>
      <c r="VDE132" s="531" t="e">
        <f t="shared" si="238"/>
        <v>#DIV/0!</v>
      </c>
      <c r="VDF132" s="531" t="e">
        <f t="shared" si="238"/>
        <v>#DIV/0!</v>
      </c>
      <c r="VDG132" s="531" t="e">
        <f t="shared" ref="VDG132:VFR132" si="239">(VDG128-VDG116)/(VDG52*10^5)</f>
        <v>#DIV/0!</v>
      </c>
      <c r="VDH132" s="531" t="e">
        <f t="shared" si="239"/>
        <v>#DIV/0!</v>
      </c>
      <c r="VDI132" s="531" t="e">
        <f t="shared" si="239"/>
        <v>#DIV/0!</v>
      </c>
      <c r="VDJ132" s="531" t="e">
        <f t="shared" si="239"/>
        <v>#DIV/0!</v>
      </c>
      <c r="VDK132" s="531" t="e">
        <f t="shared" si="239"/>
        <v>#DIV/0!</v>
      </c>
      <c r="VDL132" s="531" t="e">
        <f t="shared" si="239"/>
        <v>#DIV/0!</v>
      </c>
      <c r="VDM132" s="531" t="e">
        <f t="shared" si="239"/>
        <v>#DIV/0!</v>
      </c>
      <c r="VDN132" s="531" t="e">
        <f t="shared" si="239"/>
        <v>#DIV/0!</v>
      </c>
      <c r="VDO132" s="531" t="e">
        <f t="shared" si="239"/>
        <v>#DIV/0!</v>
      </c>
      <c r="VDP132" s="531" t="e">
        <f t="shared" si="239"/>
        <v>#DIV/0!</v>
      </c>
      <c r="VDQ132" s="531" t="e">
        <f t="shared" si="239"/>
        <v>#DIV/0!</v>
      </c>
      <c r="VDR132" s="531" t="e">
        <f t="shared" si="239"/>
        <v>#DIV/0!</v>
      </c>
      <c r="VDS132" s="531" t="e">
        <f t="shared" si="239"/>
        <v>#DIV/0!</v>
      </c>
      <c r="VDT132" s="531" t="e">
        <f t="shared" si="239"/>
        <v>#DIV/0!</v>
      </c>
      <c r="VDU132" s="531" t="e">
        <f t="shared" si="239"/>
        <v>#DIV/0!</v>
      </c>
      <c r="VDV132" s="531" t="e">
        <f t="shared" si="239"/>
        <v>#DIV/0!</v>
      </c>
      <c r="VDW132" s="531" t="e">
        <f t="shared" si="239"/>
        <v>#DIV/0!</v>
      </c>
      <c r="VDX132" s="531" t="e">
        <f t="shared" si="239"/>
        <v>#DIV/0!</v>
      </c>
      <c r="VDY132" s="531" t="e">
        <f t="shared" si="239"/>
        <v>#DIV/0!</v>
      </c>
      <c r="VDZ132" s="531" t="e">
        <f t="shared" si="239"/>
        <v>#DIV/0!</v>
      </c>
      <c r="VEA132" s="531" t="e">
        <f t="shared" si="239"/>
        <v>#DIV/0!</v>
      </c>
      <c r="VEB132" s="531" t="e">
        <f t="shared" si="239"/>
        <v>#DIV/0!</v>
      </c>
      <c r="VEC132" s="531" t="e">
        <f t="shared" si="239"/>
        <v>#DIV/0!</v>
      </c>
      <c r="VED132" s="531" t="e">
        <f t="shared" si="239"/>
        <v>#DIV/0!</v>
      </c>
      <c r="VEE132" s="531" t="e">
        <f t="shared" si="239"/>
        <v>#DIV/0!</v>
      </c>
      <c r="VEF132" s="531" t="e">
        <f t="shared" si="239"/>
        <v>#DIV/0!</v>
      </c>
      <c r="VEG132" s="531" t="e">
        <f t="shared" si="239"/>
        <v>#DIV/0!</v>
      </c>
      <c r="VEH132" s="531" t="e">
        <f t="shared" si="239"/>
        <v>#DIV/0!</v>
      </c>
      <c r="VEI132" s="531" t="e">
        <f t="shared" si="239"/>
        <v>#DIV/0!</v>
      </c>
      <c r="VEJ132" s="531" t="e">
        <f t="shared" si="239"/>
        <v>#DIV/0!</v>
      </c>
      <c r="VEK132" s="531" t="e">
        <f t="shared" si="239"/>
        <v>#DIV/0!</v>
      </c>
      <c r="VEL132" s="531" t="e">
        <f t="shared" si="239"/>
        <v>#DIV/0!</v>
      </c>
      <c r="VEM132" s="531" t="e">
        <f t="shared" si="239"/>
        <v>#DIV/0!</v>
      </c>
      <c r="VEN132" s="531" t="e">
        <f t="shared" si="239"/>
        <v>#DIV/0!</v>
      </c>
      <c r="VEO132" s="531" t="e">
        <f t="shared" si="239"/>
        <v>#DIV/0!</v>
      </c>
      <c r="VEP132" s="531" t="e">
        <f t="shared" si="239"/>
        <v>#DIV/0!</v>
      </c>
      <c r="VEQ132" s="531" t="e">
        <f t="shared" si="239"/>
        <v>#DIV/0!</v>
      </c>
      <c r="VER132" s="531" t="e">
        <f t="shared" si="239"/>
        <v>#DIV/0!</v>
      </c>
      <c r="VES132" s="531" t="e">
        <f t="shared" si="239"/>
        <v>#DIV/0!</v>
      </c>
      <c r="VET132" s="531" t="e">
        <f t="shared" si="239"/>
        <v>#DIV/0!</v>
      </c>
      <c r="VEU132" s="531" t="e">
        <f t="shared" si="239"/>
        <v>#DIV/0!</v>
      </c>
      <c r="VEV132" s="531" t="e">
        <f t="shared" si="239"/>
        <v>#DIV/0!</v>
      </c>
      <c r="VEW132" s="531" t="e">
        <f t="shared" si="239"/>
        <v>#DIV/0!</v>
      </c>
      <c r="VEX132" s="531" t="e">
        <f t="shared" si="239"/>
        <v>#DIV/0!</v>
      </c>
      <c r="VEY132" s="531" t="e">
        <f t="shared" si="239"/>
        <v>#DIV/0!</v>
      </c>
      <c r="VEZ132" s="531" t="e">
        <f t="shared" si="239"/>
        <v>#DIV/0!</v>
      </c>
      <c r="VFA132" s="531" t="e">
        <f t="shared" si="239"/>
        <v>#DIV/0!</v>
      </c>
      <c r="VFB132" s="531" t="e">
        <f t="shared" si="239"/>
        <v>#DIV/0!</v>
      </c>
      <c r="VFC132" s="531" t="e">
        <f t="shared" si="239"/>
        <v>#DIV/0!</v>
      </c>
      <c r="VFD132" s="531" t="e">
        <f t="shared" si="239"/>
        <v>#DIV/0!</v>
      </c>
      <c r="VFE132" s="531" t="e">
        <f t="shared" si="239"/>
        <v>#DIV/0!</v>
      </c>
      <c r="VFF132" s="531" t="e">
        <f t="shared" si="239"/>
        <v>#DIV/0!</v>
      </c>
      <c r="VFG132" s="531" t="e">
        <f t="shared" si="239"/>
        <v>#DIV/0!</v>
      </c>
      <c r="VFH132" s="531" t="e">
        <f t="shared" si="239"/>
        <v>#DIV/0!</v>
      </c>
      <c r="VFI132" s="531" t="e">
        <f t="shared" si="239"/>
        <v>#DIV/0!</v>
      </c>
      <c r="VFJ132" s="531" t="e">
        <f t="shared" si="239"/>
        <v>#DIV/0!</v>
      </c>
      <c r="VFK132" s="531" t="e">
        <f t="shared" si="239"/>
        <v>#DIV/0!</v>
      </c>
      <c r="VFL132" s="531" t="e">
        <f t="shared" si="239"/>
        <v>#DIV/0!</v>
      </c>
      <c r="VFM132" s="531" t="e">
        <f t="shared" si="239"/>
        <v>#DIV/0!</v>
      </c>
      <c r="VFN132" s="531" t="e">
        <f t="shared" si="239"/>
        <v>#DIV/0!</v>
      </c>
      <c r="VFO132" s="531" t="e">
        <f t="shared" si="239"/>
        <v>#DIV/0!</v>
      </c>
      <c r="VFP132" s="531" t="e">
        <f t="shared" si="239"/>
        <v>#DIV/0!</v>
      </c>
      <c r="VFQ132" s="531" t="e">
        <f t="shared" si="239"/>
        <v>#DIV/0!</v>
      </c>
      <c r="VFR132" s="531" t="e">
        <f t="shared" si="239"/>
        <v>#DIV/0!</v>
      </c>
      <c r="VFS132" s="531" t="e">
        <f t="shared" ref="VFS132:VID132" si="240">(VFS128-VFS116)/(VFS52*10^5)</f>
        <v>#DIV/0!</v>
      </c>
      <c r="VFT132" s="531" t="e">
        <f t="shared" si="240"/>
        <v>#DIV/0!</v>
      </c>
      <c r="VFU132" s="531" t="e">
        <f t="shared" si="240"/>
        <v>#DIV/0!</v>
      </c>
      <c r="VFV132" s="531" t="e">
        <f t="shared" si="240"/>
        <v>#DIV/0!</v>
      </c>
      <c r="VFW132" s="531" t="e">
        <f t="shared" si="240"/>
        <v>#DIV/0!</v>
      </c>
      <c r="VFX132" s="531" t="e">
        <f t="shared" si="240"/>
        <v>#DIV/0!</v>
      </c>
      <c r="VFY132" s="531" t="e">
        <f t="shared" si="240"/>
        <v>#DIV/0!</v>
      </c>
      <c r="VFZ132" s="531" t="e">
        <f t="shared" si="240"/>
        <v>#DIV/0!</v>
      </c>
      <c r="VGA132" s="531" t="e">
        <f t="shared" si="240"/>
        <v>#DIV/0!</v>
      </c>
      <c r="VGB132" s="531" t="e">
        <f t="shared" si="240"/>
        <v>#DIV/0!</v>
      </c>
      <c r="VGC132" s="531" t="e">
        <f t="shared" si="240"/>
        <v>#DIV/0!</v>
      </c>
      <c r="VGD132" s="531" t="e">
        <f t="shared" si="240"/>
        <v>#DIV/0!</v>
      </c>
      <c r="VGE132" s="531" t="e">
        <f t="shared" si="240"/>
        <v>#DIV/0!</v>
      </c>
      <c r="VGF132" s="531" t="e">
        <f t="shared" si="240"/>
        <v>#DIV/0!</v>
      </c>
      <c r="VGG132" s="531" t="e">
        <f t="shared" si="240"/>
        <v>#DIV/0!</v>
      </c>
      <c r="VGH132" s="531" t="e">
        <f t="shared" si="240"/>
        <v>#DIV/0!</v>
      </c>
      <c r="VGI132" s="531" t="e">
        <f t="shared" si="240"/>
        <v>#DIV/0!</v>
      </c>
      <c r="VGJ132" s="531" t="e">
        <f t="shared" si="240"/>
        <v>#DIV/0!</v>
      </c>
      <c r="VGK132" s="531" t="e">
        <f t="shared" si="240"/>
        <v>#DIV/0!</v>
      </c>
      <c r="VGL132" s="531" t="e">
        <f t="shared" si="240"/>
        <v>#DIV/0!</v>
      </c>
      <c r="VGM132" s="531" t="e">
        <f t="shared" si="240"/>
        <v>#DIV/0!</v>
      </c>
      <c r="VGN132" s="531" t="e">
        <f t="shared" si="240"/>
        <v>#DIV/0!</v>
      </c>
      <c r="VGO132" s="531" t="e">
        <f t="shared" si="240"/>
        <v>#DIV/0!</v>
      </c>
      <c r="VGP132" s="531" t="e">
        <f t="shared" si="240"/>
        <v>#DIV/0!</v>
      </c>
      <c r="VGQ132" s="531" t="e">
        <f t="shared" si="240"/>
        <v>#DIV/0!</v>
      </c>
      <c r="VGR132" s="531" t="e">
        <f t="shared" si="240"/>
        <v>#DIV/0!</v>
      </c>
      <c r="VGS132" s="531" t="e">
        <f t="shared" si="240"/>
        <v>#DIV/0!</v>
      </c>
      <c r="VGT132" s="531" t="e">
        <f t="shared" si="240"/>
        <v>#DIV/0!</v>
      </c>
      <c r="VGU132" s="531" t="e">
        <f t="shared" si="240"/>
        <v>#DIV/0!</v>
      </c>
      <c r="VGV132" s="531" t="e">
        <f t="shared" si="240"/>
        <v>#DIV/0!</v>
      </c>
      <c r="VGW132" s="531" t="e">
        <f t="shared" si="240"/>
        <v>#DIV/0!</v>
      </c>
      <c r="VGX132" s="531" t="e">
        <f t="shared" si="240"/>
        <v>#DIV/0!</v>
      </c>
      <c r="VGY132" s="531" t="e">
        <f t="shared" si="240"/>
        <v>#DIV/0!</v>
      </c>
      <c r="VGZ132" s="531" t="e">
        <f t="shared" si="240"/>
        <v>#DIV/0!</v>
      </c>
      <c r="VHA132" s="531" t="e">
        <f t="shared" si="240"/>
        <v>#DIV/0!</v>
      </c>
      <c r="VHB132" s="531" t="e">
        <f t="shared" si="240"/>
        <v>#DIV/0!</v>
      </c>
      <c r="VHC132" s="531" t="e">
        <f t="shared" si="240"/>
        <v>#DIV/0!</v>
      </c>
      <c r="VHD132" s="531" t="e">
        <f t="shared" si="240"/>
        <v>#DIV/0!</v>
      </c>
      <c r="VHE132" s="531" t="e">
        <f t="shared" si="240"/>
        <v>#DIV/0!</v>
      </c>
      <c r="VHF132" s="531" t="e">
        <f t="shared" si="240"/>
        <v>#DIV/0!</v>
      </c>
      <c r="VHG132" s="531" t="e">
        <f t="shared" si="240"/>
        <v>#DIV/0!</v>
      </c>
      <c r="VHH132" s="531" t="e">
        <f t="shared" si="240"/>
        <v>#DIV/0!</v>
      </c>
      <c r="VHI132" s="531" t="e">
        <f t="shared" si="240"/>
        <v>#DIV/0!</v>
      </c>
      <c r="VHJ132" s="531" t="e">
        <f t="shared" si="240"/>
        <v>#DIV/0!</v>
      </c>
      <c r="VHK132" s="531" t="e">
        <f t="shared" si="240"/>
        <v>#DIV/0!</v>
      </c>
      <c r="VHL132" s="531" t="e">
        <f t="shared" si="240"/>
        <v>#DIV/0!</v>
      </c>
      <c r="VHM132" s="531" t="e">
        <f t="shared" si="240"/>
        <v>#DIV/0!</v>
      </c>
      <c r="VHN132" s="531" t="e">
        <f t="shared" si="240"/>
        <v>#DIV/0!</v>
      </c>
      <c r="VHO132" s="531" t="e">
        <f t="shared" si="240"/>
        <v>#DIV/0!</v>
      </c>
      <c r="VHP132" s="531" t="e">
        <f t="shared" si="240"/>
        <v>#DIV/0!</v>
      </c>
      <c r="VHQ132" s="531" t="e">
        <f t="shared" si="240"/>
        <v>#DIV/0!</v>
      </c>
      <c r="VHR132" s="531" t="e">
        <f t="shared" si="240"/>
        <v>#DIV/0!</v>
      </c>
      <c r="VHS132" s="531" t="e">
        <f t="shared" si="240"/>
        <v>#DIV/0!</v>
      </c>
      <c r="VHT132" s="531" t="e">
        <f t="shared" si="240"/>
        <v>#DIV/0!</v>
      </c>
      <c r="VHU132" s="531" t="e">
        <f t="shared" si="240"/>
        <v>#DIV/0!</v>
      </c>
      <c r="VHV132" s="531" t="e">
        <f t="shared" si="240"/>
        <v>#DIV/0!</v>
      </c>
      <c r="VHW132" s="531" t="e">
        <f t="shared" si="240"/>
        <v>#DIV/0!</v>
      </c>
      <c r="VHX132" s="531" t="e">
        <f t="shared" si="240"/>
        <v>#DIV/0!</v>
      </c>
      <c r="VHY132" s="531" t="e">
        <f t="shared" si="240"/>
        <v>#DIV/0!</v>
      </c>
      <c r="VHZ132" s="531" t="e">
        <f t="shared" si="240"/>
        <v>#DIV/0!</v>
      </c>
      <c r="VIA132" s="531" t="e">
        <f t="shared" si="240"/>
        <v>#DIV/0!</v>
      </c>
      <c r="VIB132" s="531" t="e">
        <f t="shared" si="240"/>
        <v>#DIV/0!</v>
      </c>
      <c r="VIC132" s="531" t="e">
        <f t="shared" si="240"/>
        <v>#DIV/0!</v>
      </c>
      <c r="VID132" s="531" t="e">
        <f t="shared" si="240"/>
        <v>#DIV/0!</v>
      </c>
      <c r="VIE132" s="531" t="e">
        <f t="shared" ref="VIE132:VKP132" si="241">(VIE128-VIE116)/(VIE52*10^5)</f>
        <v>#DIV/0!</v>
      </c>
      <c r="VIF132" s="531" t="e">
        <f t="shared" si="241"/>
        <v>#DIV/0!</v>
      </c>
      <c r="VIG132" s="531" t="e">
        <f t="shared" si="241"/>
        <v>#DIV/0!</v>
      </c>
      <c r="VIH132" s="531" t="e">
        <f t="shared" si="241"/>
        <v>#DIV/0!</v>
      </c>
      <c r="VII132" s="531" t="e">
        <f t="shared" si="241"/>
        <v>#DIV/0!</v>
      </c>
      <c r="VIJ132" s="531" t="e">
        <f t="shared" si="241"/>
        <v>#DIV/0!</v>
      </c>
      <c r="VIK132" s="531" t="e">
        <f t="shared" si="241"/>
        <v>#DIV/0!</v>
      </c>
      <c r="VIL132" s="531" t="e">
        <f t="shared" si="241"/>
        <v>#DIV/0!</v>
      </c>
      <c r="VIM132" s="531" t="e">
        <f t="shared" si="241"/>
        <v>#DIV/0!</v>
      </c>
      <c r="VIN132" s="531" t="e">
        <f t="shared" si="241"/>
        <v>#DIV/0!</v>
      </c>
      <c r="VIO132" s="531" t="e">
        <f t="shared" si="241"/>
        <v>#DIV/0!</v>
      </c>
      <c r="VIP132" s="531" t="e">
        <f t="shared" si="241"/>
        <v>#DIV/0!</v>
      </c>
      <c r="VIQ132" s="531" t="e">
        <f t="shared" si="241"/>
        <v>#DIV/0!</v>
      </c>
      <c r="VIR132" s="531" t="e">
        <f t="shared" si="241"/>
        <v>#DIV/0!</v>
      </c>
      <c r="VIS132" s="531" t="e">
        <f t="shared" si="241"/>
        <v>#DIV/0!</v>
      </c>
      <c r="VIT132" s="531" t="e">
        <f t="shared" si="241"/>
        <v>#DIV/0!</v>
      </c>
      <c r="VIU132" s="531" t="e">
        <f t="shared" si="241"/>
        <v>#DIV/0!</v>
      </c>
      <c r="VIV132" s="531" t="e">
        <f t="shared" si="241"/>
        <v>#DIV/0!</v>
      </c>
      <c r="VIW132" s="531" t="e">
        <f t="shared" si="241"/>
        <v>#DIV/0!</v>
      </c>
      <c r="VIX132" s="531" t="e">
        <f t="shared" si="241"/>
        <v>#DIV/0!</v>
      </c>
      <c r="VIY132" s="531" t="e">
        <f t="shared" si="241"/>
        <v>#DIV/0!</v>
      </c>
      <c r="VIZ132" s="531" t="e">
        <f t="shared" si="241"/>
        <v>#DIV/0!</v>
      </c>
      <c r="VJA132" s="531" t="e">
        <f t="shared" si="241"/>
        <v>#DIV/0!</v>
      </c>
      <c r="VJB132" s="531" t="e">
        <f t="shared" si="241"/>
        <v>#DIV/0!</v>
      </c>
      <c r="VJC132" s="531" t="e">
        <f t="shared" si="241"/>
        <v>#DIV/0!</v>
      </c>
      <c r="VJD132" s="531" t="e">
        <f t="shared" si="241"/>
        <v>#DIV/0!</v>
      </c>
      <c r="VJE132" s="531" t="e">
        <f t="shared" si="241"/>
        <v>#DIV/0!</v>
      </c>
      <c r="VJF132" s="531" t="e">
        <f t="shared" si="241"/>
        <v>#DIV/0!</v>
      </c>
      <c r="VJG132" s="531" t="e">
        <f t="shared" si="241"/>
        <v>#DIV/0!</v>
      </c>
      <c r="VJH132" s="531" t="e">
        <f t="shared" si="241"/>
        <v>#DIV/0!</v>
      </c>
      <c r="VJI132" s="531" t="e">
        <f t="shared" si="241"/>
        <v>#DIV/0!</v>
      </c>
      <c r="VJJ132" s="531" t="e">
        <f t="shared" si="241"/>
        <v>#DIV/0!</v>
      </c>
      <c r="VJK132" s="531" t="e">
        <f t="shared" si="241"/>
        <v>#DIV/0!</v>
      </c>
      <c r="VJL132" s="531" t="e">
        <f t="shared" si="241"/>
        <v>#DIV/0!</v>
      </c>
      <c r="VJM132" s="531" t="e">
        <f t="shared" si="241"/>
        <v>#DIV/0!</v>
      </c>
      <c r="VJN132" s="531" t="e">
        <f t="shared" si="241"/>
        <v>#DIV/0!</v>
      </c>
      <c r="VJO132" s="531" t="e">
        <f t="shared" si="241"/>
        <v>#DIV/0!</v>
      </c>
      <c r="VJP132" s="531" t="e">
        <f t="shared" si="241"/>
        <v>#DIV/0!</v>
      </c>
      <c r="VJQ132" s="531" t="e">
        <f t="shared" si="241"/>
        <v>#DIV/0!</v>
      </c>
      <c r="VJR132" s="531" t="e">
        <f t="shared" si="241"/>
        <v>#DIV/0!</v>
      </c>
      <c r="VJS132" s="531" t="e">
        <f t="shared" si="241"/>
        <v>#DIV/0!</v>
      </c>
      <c r="VJT132" s="531" t="e">
        <f t="shared" si="241"/>
        <v>#DIV/0!</v>
      </c>
      <c r="VJU132" s="531" t="e">
        <f t="shared" si="241"/>
        <v>#DIV/0!</v>
      </c>
      <c r="VJV132" s="531" t="e">
        <f t="shared" si="241"/>
        <v>#DIV/0!</v>
      </c>
      <c r="VJW132" s="531" t="e">
        <f t="shared" si="241"/>
        <v>#DIV/0!</v>
      </c>
      <c r="VJX132" s="531" t="e">
        <f t="shared" si="241"/>
        <v>#DIV/0!</v>
      </c>
      <c r="VJY132" s="531" t="e">
        <f t="shared" si="241"/>
        <v>#DIV/0!</v>
      </c>
      <c r="VJZ132" s="531" t="e">
        <f t="shared" si="241"/>
        <v>#DIV/0!</v>
      </c>
      <c r="VKA132" s="531" t="e">
        <f t="shared" si="241"/>
        <v>#DIV/0!</v>
      </c>
      <c r="VKB132" s="531" t="e">
        <f t="shared" si="241"/>
        <v>#DIV/0!</v>
      </c>
      <c r="VKC132" s="531" t="e">
        <f t="shared" si="241"/>
        <v>#DIV/0!</v>
      </c>
      <c r="VKD132" s="531" t="e">
        <f t="shared" si="241"/>
        <v>#DIV/0!</v>
      </c>
      <c r="VKE132" s="531" t="e">
        <f t="shared" si="241"/>
        <v>#DIV/0!</v>
      </c>
      <c r="VKF132" s="531" t="e">
        <f t="shared" si="241"/>
        <v>#DIV/0!</v>
      </c>
      <c r="VKG132" s="531" t="e">
        <f t="shared" si="241"/>
        <v>#DIV/0!</v>
      </c>
      <c r="VKH132" s="531" t="e">
        <f t="shared" si="241"/>
        <v>#DIV/0!</v>
      </c>
      <c r="VKI132" s="531" t="e">
        <f t="shared" si="241"/>
        <v>#DIV/0!</v>
      </c>
      <c r="VKJ132" s="531" t="e">
        <f t="shared" si="241"/>
        <v>#DIV/0!</v>
      </c>
      <c r="VKK132" s="531" t="e">
        <f t="shared" si="241"/>
        <v>#DIV/0!</v>
      </c>
      <c r="VKL132" s="531" t="e">
        <f t="shared" si="241"/>
        <v>#DIV/0!</v>
      </c>
      <c r="VKM132" s="531" t="e">
        <f t="shared" si="241"/>
        <v>#DIV/0!</v>
      </c>
      <c r="VKN132" s="531" t="e">
        <f t="shared" si="241"/>
        <v>#DIV/0!</v>
      </c>
      <c r="VKO132" s="531" t="e">
        <f t="shared" si="241"/>
        <v>#DIV/0!</v>
      </c>
      <c r="VKP132" s="531" t="e">
        <f t="shared" si="241"/>
        <v>#DIV/0!</v>
      </c>
      <c r="VKQ132" s="531" t="e">
        <f t="shared" ref="VKQ132:VNB132" si="242">(VKQ128-VKQ116)/(VKQ52*10^5)</f>
        <v>#DIV/0!</v>
      </c>
      <c r="VKR132" s="531" t="e">
        <f t="shared" si="242"/>
        <v>#DIV/0!</v>
      </c>
      <c r="VKS132" s="531" t="e">
        <f t="shared" si="242"/>
        <v>#DIV/0!</v>
      </c>
      <c r="VKT132" s="531" t="e">
        <f t="shared" si="242"/>
        <v>#DIV/0!</v>
      </c>
      <c r="VKU132" s="531" t="e">
        <f t="shared" si="242"/>
        <v>#DIV/0!</v>
      </c>
      <c r="VKV132" s="531" t="e">
        <f t="shared" si="242"/>
        <v>#DIV/0!</v>
      </c>
      <c r="VKW132" s="531" t="e">
        <f t="shared" si="242"/>
        <v>#DIV/0!</v>
      </c>
      <c r="VKX132" s="531" t="e">
        <f t="shared" si="242"/>
        <v>#DIV/0!</v>
      </c>
      <c r="VKY132" s="531" t="e">
        <f t="shared" si="242"/>
        <v>#DIV/0!</v>
      </c>
      <c r="VKZ132" s="531" t="e">
        <f t="shared" si="242"/>
        <v>#DIV/0!</v>
      </c>
      <c r="VLA132" s="531" t="e">
        <f t="shared" si="242"/>
        <v>#DIV/0!</v>
      </c>
      <c r="VLB132" s="531" t="e">
        <f t="shared" si="242"/>
        <v>#DIV/0!</v>
      </c>
      <c r="VLC132" s="531" t="e">
        <f t="shared" si="242"/>
        <v>#DIV/0!</v>
      </c>
      <c r="VLD132" s="531" t="e">
        <f t="shared" si="242"/>
        <v>#DIV/0!</v>
      </c>
      <c r="VLE132" s="531" t="e">
        <f t="shared" si="242"/>
        <v>#DIV/0!</v>
      </c>
      <c r="VLF132" s="531" t="e">
        <f t="shared" si="242"/>
        <v>#DIV/0!</v>
      </c>
      <c r="VLG132" s="531" t="e">
        <f t="shared" si="242"/>
        <v>#DIV/0!</v>
      </c>
      <c r="VLH132" s="531" t="e">
        <f t="shared" si="242"/>
        <v>#DIV/0!</v>
      </c>
      <c r="VLI132" s="531" t="e">
        <f t="shared" si="242"/>
        <v>#DIV/0!</v>
      </c>
      <c r="VLJ132" s="531" t="e">
        <f t="shared" si="242"/>
        <v>#DIV/0!</v>
      </c>
      <c r="VLK132" s="531" t="e">
        <f t="shared" si="242"/>
        <v>#DIV/0!</v>
      </c>
      <c r="VLL132" s="531" t="e">
        <f t="shared" si="242"/>
        <v>#DIV/0!</v>
      </c>
      <c r="VLM132" s="531" t="e">
        <f t="shared" si="242"/>
        <v>#DIV/0!</v>
      </c>
      <c r="VLN132" s="531" t="e">
        <f t="shared" si="242"/>
        <v>#DIV/0!</v>
      </c>
      <c r="VLO132" s="531" t="e">
        <f t="shared" si="242"/>
        <v>#DIV/0!</v>
      </c>
      <c r="VLP132" s="531" t="e">
        <f t="shared" si="242"/>
        <v>#DIV/0!</v>
      </c>
      <c r="VLQ132" s="531" t="e">
        <f t="shared" si="242"/>
        <v>#DIV/0!</v>
      </c>
      <c r="VLR132" s="531" t="e">
        <f t="shared" si="242"/>
        <v>#DIV/0!</v>
      </c>
      <c r="VLS132" s="531" t="e">
        <f t="shared" si="242"/>
        <v>#DIV/0!</v>
      </c>
      <c r="VLT132" s="531" t="e">
        <f t="shared" si="242"/>
        <v>#DIV/0!</v>
      </c>
      <c r="VLU132" s="531" t="e">
        <f t="shared" si="242"/>
        <v>#DIV/0!</v>
      </c>
      <c r="VLV132" s="531" t="e">
        <f t="shared" si="242"/>
        <v>#DIV/0!</v>
      </c>
      <c r="VLW132" s="531" t="e">
        <f t="shared" si="242"/>
        <v>#DIV/0!</v>
      </c>
      <c r="VLX132" s="531" t="e">
        <f t="shared" si="242"/>
        <v>#DIV/0!</v>
      </c>
      <c r="VLY132" s="531" t="e">
        <f t="shared" si="242"/>
        <v>#DIV/0!</v>
      </c>
      <c r="VLZ132" s="531" t="e">
        <f t="shared" si="242"/>
        <v>#DIV/0!</v>
      </c>
      <c r="VMA132" s="531" t="e">
        <f t="shared" si="242"/>
        <v>#DIV/0!</v>
      </c>
      <c r="VMB132" s="531" t="e">
        <f t="shared" si="242"/>
        <v>#DIV/0!</v>
      </c>
      <c r="VMC132" s="531" t="e">
        <f t="shared" si="242"/>
        <v>#DIV/0!</v>
      </c>
      <c r="VMD132" s="531" t="e">
        <f t="shared" si="242"/>
        <v>#DIV/0!</v>
      </c>
      <c r="VME132" s="531" t="e">
        <f t="shared" si="242"/>
        <v>#DIV/0!</v>
      </c>
      <c r="VMF132" s="531" t="e">
        <f t="shared" si="242"/>
        <v>#DIV/0!</v>
      </c>
      <c r="VMG132" s="531" t="e">
        <f t="shared" si="242"/>
        <v>#DIV/0!</v>
      </c>
      <c r="VMH132" s="531" t="e">
        <f t="shared" si="242"/>
        <v>#DIV/0!</v>
      </c>
      <c r="VMI132" s="531" t="e">
        <f t="shared" si="242"/>
        <v>#DIV/0!</v>
      </c>
      <c r="VMJ132" s="531" t="e">
        <f t="shared" si="242"/>
        <v>#DIV/0!</v>
      </c>
      <c r="VMK132" s="531" t="e">
        <f t="shared" si="242"/>
        <v>#DIV/0!</v>
      </c>
      <c r="VML132" s="531" t="e">
        <f t="shared" si="242"/>
        <v>#DIV/0!</v>
      </c>
      <c r="VMM132" s="531" t="e">
        <f t="shared" si="242"/>
        <v>#DIV/0!</v>
      </c>
      <c r="VMN132" s="531" t="e">
        <f t="shared" si="242"/>
        <v>#DIV/0!</v>
      </c>
      <c r="VMO132" s="531" t="e">
        <f t="shared" si="242"/>
        <v>#DIV/0!</v>
      </c>
      <c r="VMP132" s="531" t="e">
        <f t="shared" si="242"/>
        <v>#DIV/0!</v>
      </c>
      <c r="VMQ132" s="531" t="e">
        <f t="shared" si="242"/>
        <v>#DIV/0!</v>
      </c>
      <c r="VMR132" s="531" t="e">
        <f t="shared" si="242"/>
        <v>#DIV/0!</v>
      </c>
      <c r="VMS132" s="531" t="e">
        <f t="shared" si="242"/>
        <v>#DIV/0!</v>
      </c>
      <c r="VMT132" s="531" t="e">
        <f t="shared" si="242"/>
        <v>#DIV/0!</v>
      </c>
      <c r="VMU132" s="531" t="e">
        <f t="shared" si="242"/>
        <v>#DIV/0!</v>
      </c>
      <c r="VMV132" s="531" t="e">
        <f t="shared" si="242"/>
        <v>#DIV/0!</v>
      </c>
      <c r="VMW132" s="531" t="e">
        <f t="shared" si="242"/>
        <v>#DIV/0!</v>
      </c>
      <c r="VMX132" s="531" t="e">
        <f t="shared" si="242"/>
        <v>#DIV/0!</v>
      </c>
      <c r="VMY132" s="531" t="e">
        <f t="shared" si="242"/>
        <v>#DIV/0!</v>
      </c>
      <c r="VMZ132" s="531" t="e">
        <f t="shared" si="242"/>
        <v>#DIV/0!</v>
      </c>
      <c r="VNA132" s="531" t="e">
        <f t="shared" si="242"/>
        <v>#DIV/0!</v>
      </c>
      <c r="VNB132" s="531" t="e">
        <f t="shared" si="242"/>
        <v>#DIV/0!</v>
      </c>
      <c r="VNC132" s="531" t="e">
        <f t="shared" ref="VNC132:VPN132" si="243">(VNC128-VNC116)/(VNC52*10^5)</f>
        <v>#DIV/0!</v>
      </c>
      <c r="VND132" s="531" t="e">
        <f t="shared" si="243"/>
        <v>#DIV/0!</v>
      </c>
      <c r="VNE132" s="531" t="e">
        <f t="shared" si="243"/>
        <v>#DIV/0!</v>
      </c>
      <c r="VNF132" s="531" t="e">
        <f t="shared" si="243"/>
        <v>#DIV/0!</v>
      </c>
      <c r="VNG132" s="531" t="e">
        <f t="shared" si="243"/>
        <v>#DIV/0!</v>
      </c>
      <c r="VNH132" s="531" t="e">
        <f t="shared" si="243"/>
        <v>#DIV/0!</v>
      </c>
      <c r="VNI132" s="531" t="e">
        <f t="shared" si="243"/>
        <v>#DIV/0!</v>
      </c>
      <c r="VNJ132" s="531" t="e">
        <f t="shared" si="243"/>
        <v>#DIV/0!</v>
      </c>
      <c r="VNK132" s="531" t="e">
        <f t="shared" si="243"/>
        <v>#DIV/0!</v>
      </c>
      <c r="VNL132" s="531" t="e">
        <f t="shared" si="243"/>
        <v>#DIV/0!</v>
      </c>
      <c r="VNM132" s="531" t="e">
        <f t="shared" si="243"/>
        <v>#DIV/0!</v>
      </c>
      <c r="VNN132" s="531" t="e">
        <f t="shared" si="243"/>
        <v>#DIV/0!</v>
      </c>
      <c r="VNO132" s="531" t="e">
        <f t="shared" si="243"/>
        <v>#DIV/0!</v>
      </c>
      <c r="VNP132" s="531" t="e">
        <f t="shared" si="243"/>
        <v>#DIV/0!</v>
      </c>
      <c r="VNQ132" s="531" t="e">
        <f t="shared" si="243"/>
        <v>#DIV/0!</v>
      </c>
      <c r="VNR132" s="531" t="e">
        <f t="shared" si="243"/>
        <v>#DIV/0!</v>
      </c>
      <c r="VNS132" s="531" t="e">
        <f t="shared" si="243"/>
        <v>#DIV/0!</v>
      </c>
      <c r="VNT132" s="531" t="e">
        <f t="shared" si="243"/>
        <v>#DIV/0!</v>
      </c>
      <c r="VNU132" s="531" t="e">
        <f t="shared" si="243"/>
        <v>#DIV/0!</v>
      </c>
      <c r="VNV132" s="531" t="e">
        <f t="shared" si="243"/>
        <v>#DIV/0!</v>
      </c>
      <c r="VNW132" s="531" t="e">
        <f t="shared" si="243"/>
        <v>#DIV/0!</v>
      </c>
      <c r="VNX132" s="531" t="e">
        <f t="shared" si="243"/>
        <v>#DIV/0!</v>
      </c>
      <c r="VNY132" s="531" t="e">
        <f t="shared" si="243"/>
        <v>#DIV/0!</v>
      </c>
      <c r="VNZ132" s="531" t="e">
        <f t="shared" si="243"/>
        <v>#DIV/0!</v>
      </c>
      <c r="VOA132" s="531" t="e">
        <f t="shared" si="243"/>
        <v>#DIV/0!</v>
      </c>
      <c r="VOB132" s="531" t="e">
        <f t="shared" si="243"/>
        <v>#DIV/0!</v>
      </c>
      <c r="VOC132" s="531" t="e">
        <f t="shared" si="243"/>
        <v>#DIV/0!</v>
      </c>
      <c r="VOD132" s="531" t="e">
        <f t="shared" si="243"/>
        <v>#DIV/0!</v>
      </c>
      <c r="VOE132" s="531" t="e">
        <f t="shared" si="243"/>
        <v>#DIV/0!</v>
      </c>
      <c r="VOF132" s="531" t="e">
        <f t="shared" si="243"/>
        <v>#DIV/0!</v>
      </c>
      <c r="VOG132" s="531" t="e">
        <f t="shared" si="243"/>
        <v>#DIV/0!</v>
      </c>
      <c r="VOH132" s="531" t="e">
        <f t="shared" si="243"/>
        <v>#DIV/0!</v>
      </c>
      <c r="VOI132" s="531" t="e">
        <f t="shared" si="243"/>
        <v>#DIV/0!</v>
      </c>
      <c r="VOJ132" s="531" t="e">
        <f t="shared" si="243"/>
        <v>#DIV/0!</v>
      </c>
      <c r="VOK132" s="531" t="e">
        <f t="shared" si="243"/>
        <v>#DIV/0!</v>
      </c>
      <c r="VOL132" s="531" t="e">
        <f t="shared" si="243"/>
        <v>#DIV/0!</v>
      </c>
      <c r="VOM132" s="531" t="e">
        <f t="shared" si="243"/>
        <v>#DIV/0!</v>
      </c>
      <c r="VON132" s="531" t="e">
        <f t="shared" si="243"/>
        <v>#DIV/0!</v>
      </c>
      <c r="VOO132" s="531" t="e">
        <f t="shared" si="243"/>
        <v>#DIV/0!</v>
      </c>
      <c r="VOP132" s="531" t="e">
        <f t="shared" si="243"/>
        <v>#DIV/0!</v>
      </c>
      <c r="VOQ132" s="531" t="e">
        <f t="shared" si="243"/>
        <v>#DIV/0!</v>
      </c>
      <c r="VOR132" s="531" t="e">
        <f t="shared" si="243"/>
        <v>#DIV/0!</v>
      </c>
      <c r="VOS132" s="531" t="e">
        <f t="shared" si="243"/>
        <v>#DIV/0!</v>
      </c>
      <c r="VOT132" s="531" t="e">
        <f t="shared" si="243"/>
        <v>#DIV/0!</v>
      </c>
      <c r="VOU132" s="531" t="e">
        <f t="shared" si="243"/>
        <v>#DIV/0!</v>
      </c>
      <c r="VOV132" s="531" t="e">
        <f t="shared" si="243"/>
        <v>#DIV/0!</v>
      </c>
      <c r="VOW132" s="531" t="e">
        <f t="shared" si="243"/>
        <v>#DIV/0!</v>
      </c>
      <c r="VOX132" s="531" t="e">
        <f t="shared" si="243"/>
        <v>#DIV/0!</v>
      </c>
      <c r="VOY132" s="531" t="e">
        <f t="shared" si="243"/>
        <v>#DIV/0!</v>
      </c>
      <c r="VOZ132" s="531" t="e">
        <f t="shared" si="243"/>
        <v>#DIV/0!</v>
      </c>
      <c r="VPA132" s="531" t="e">
        <f t="shared" si="243"/>
        <v>#DIV/0!</v>
      </c>
      <c r="VPB132" s="531" t="e">
        <f t="shared" si="243"/>
        <v>#DIV/0!</v>
      </c>
      <c r="VPC132" s="531" t="e">
        <f t="shared" si="243"/>
        <v>#DIV/0!</v>
      </c>
      <c r="VPD132" s="531" t="e">
        <f t="shared" si="243"/>
        <v>#DIV/0!</v>
      </c>
      <c r="VPE132" s="531" t="e">
        <f t="shared" si="243"/>
        <v>#DIV/0!</v>
      </c>
      <c r="VPF132" s="531" t="e">
        <f t="shared" si="243"/>
        <v>#DIV/0!</v>
      </c>
      <c r="VPG132" s="531" t="e">
        <f t="shared" si="243"/>
        <v>#DIV/0!</v>
      </c>
      <c r="VPH132" s="531" t="e">
        <f t="shared" si="243"/>
        <v>#DIV/0!</v>
      </c>
      <c r="VPI132" s="531" t="e">
        <f t="shared" si="243"/>
        <v>#DIV/0!</v>
      </c>
      <c r="VPJ132" s="531" t="e">
        <f t="shared" si="243"/>
        <v>#DIV/0!</v>
      </c>
      <c r="VPK132" s="531" t="e">
        <f t="shared" si="243"/>
        <v>#DIV/0!</v>
      </c>
      <c r="VPL132" s="531" t="e">
        <f t="shared" si="243"/>
        <v>#DIV/0!</v>
      </c>
      <c r="VPM132" s="531" t="e">
        <f t="shared" si="243"/>
        <v>#DIV/0!</v>
      </c>
      <c r="VPN132" s="531" t="e">
        <f t="shared" si="243"/>
        <v>#DIV/0!</v>
      </c>
      <c r="VPO132" s="531" t="e">
        <f t="shared" ref="VPO132:VRZ132" si="244">(VPO128-VPO116)/(VPO52*10^5)</f>
        <v>#DIV/0!</v>
      </c>
      <c r="VPP132" s="531" t="e">
        <f t="shared" si="244"/>
        <v>#DIV/0!</v>
      </c>
      <c r="VPQ132" s="531" t="e">
        <f t="shared" si="244"/>
        <v>#DIV/0!</v>
      </c>
      <c r="VPR132" s="531" t="e">
        <f t="shared" si="244"/>
        <v>#DIV/0!</v>
      </c>
      <c r="VPS132" s="531" t="e">
        <f t="shared" si="244"/>
        <v>#DIV/0!</v>
      </c>
      <c r="VPT132" s="531" t="e">
        <f t="shared" si="244"/>
        <v>#DIV/0!</v>
      </c>
      <c r="VPU132" s="531" t="e">
        <f t="shared" si="244"/>
        <v>#DIV/0!</v>
      </c>
      <c r="VPV132" s="531" t="e">
        <f t="shared" si="244"/>
        <v>#DIV/0!</v>
      </c>
      <c r="VPW132" s="531" t="e">
        <f t="shared" si="244"/>
        <v>#DIV/0!</v>
      </c>
      <c r="VPX132" s="531" t="e">
        <f t="shared" si="244"/>
        <v>#DIV/0!</v>
      </c>
      <c r="VPY132" s="531" t="e">
        <f t="shared" si="244"/>
        <v>#DIV/0!</v>
      </c>
      <c r="VPZ132" s="531" t="e">
        <f t="shared" si="244"/>
        <v>#DIV/0!</v>
      </c>
      <c r="VQA132" s="531" t="e">
        <f t="shared" si="244"/>
        <v>#DIV/0!</v>
      </c>
      <c r="VQB132" s="531" t="e">
        <f t="shared" si="244"/>
        <v>#DIV/0!</v>
      </c>
      <c r="VQC132" s="531" t="e">
        <f t="shared" si="244"/>
        <v>#DIV/0!</v>
      </c>
      <c r="VQD132" s="531" t="e">
        <f t="shared" si="244"/>
        <v>#DIV/0!</v>
      </c>
      <c r="VQE132" s="531" t="e">
        <f t="shared" si="244"/>
        <v>#DIV/0!</v>
      </c>
      <c r="VQF132" s="531" t="e">
        <f t="shared" si="244"/>
        <v>#DIV/0!</v>
      </c>
      <c r="VQG132" s="531" t="e">
        <f t="shared" si="244"/>
        <v>#DIV/0!</v>
      </c>
      <c r="VQH132" s="531" t="e">
        <f t="shared" si="244"/>
        <v>#DIV/0!</v>
      </c>
      <c r="VQI132" s="531" t="e">
        <f t="shared" si="244"/>
        <v>#DIV/0!</v>
      </c>
      <c r="VQJ132" s="531" t="e">
        <f t="shared" si="244"/>
        <v>#DIV/0!</v>
      </c>
      <c r="VQK132" s="531" t="e">
        <f t="shared" si="244"/>
        <v>#DIV/0!</v>
      </c>
      <c r="VQL132" s="531" t="e">
        <f t="shared" si="244"/>
        <v>#DIV/0!</v>
      </c>
      <c r="VQM132" s="531" t="e">
        <f t="shared" si="244"/>
        <v>#DIV/0!</v>
      </c>
      <c r="VQN132" s="531" t="e">
        <f t="shared" si="244"/>
        <v>#DIV/0!</v>
      </c>
      <c r="VQO132" s="531" t="e">
        <f t="shared" si="244"/>
        <v>#DIV/0!</v>
      </c>
      <c r="VQP132" s="531" t="e">
        <f t="shared" si="244"/>
        <v>#DIV/0!</v>
      </c>
      <c r="VQQ132" s="531" t="e">
        <f t="shared" si="244"/>
        <v>#DIV/0!</v>
      </c>
      <c r="VQR132" s="531" t="e">
        <f t="shared" si="244"/>
        <v>#DIV/0!</v>
      </c>
      <c r="VQS132" s="531" t="e">
        <f t="shared" si="244"/>
        <v>#DIV/0!</v>
      </c>
      <c r="VQT132" s="531" t="e">
        <f t="shared" si="244"/>
        <v>#DIV/0!</v>
      </c>
      <c r="VQU132" s="531" t="e">
        <f t="shared" si="244"/>
        <v>#DIV/0!</v>
      </c>
      <c r="VQV132" s="531" t="e">
        <f t="shared" si="244"/>
        <v>#DIV/0!</v>
      </c>
      <c r="VQW132" s="531" t="e">
        <f t="shared" si="244"/>
        <v>#DIV/0!</v>
      </c>
      <c r="VQX132" s="531" t="e">
        <f t="shared" si="244"/>
        <v>#DIV/0!</v>
      </c>
      <c r="VQY132" s="531" t="e">
        <f t="shared" si="244"/>
        <v>#DIV/0!</v>
      </c>
      <c r="VQZ132" s="531" t="e">
        <f t="shared" si="244"/>
        <v>#DIV/0!</v>
      </c>
      <c r="VRA132" s="531" t="e">
        <f t="shared" si="244"/>
        <v>#DIV/0!</v>
      </c>
      <c r="VRB132" s="531" t="e">
        <f t="shared" si="244"/>
        <v>#DIV/0!</v>
      </c>
      <c r="VRC132" s="531" t="e">
        <f t="shared" si="244"/>
        <v>#DIV/0!</v>
      </c>
      <c r="VRD132" s="531" t="e">
        <f t="shared" si="244"/>
        <v>#DIV/0!</v>
      </c>
      <c r="VRE132" s="531" t="e">
        <f t="shared" si="244"/>
        <v>#DIV/0!</v>
      </c>
      <c r="VRF132" s="531" t="e">
        <f t="shared" si="244"/>
        <v>#DIV/0!</v>
      </c>
      <c r="VRG132" s="531" t="e">
        <f t="shared" si="244"/>
        <v>#DIV/0!</v>
      </c>
      <c r="VRH132" s="531" t="e">
        <f t="shared" si="244"/>
        <v>#DIV/0!</v>
      </c>
      <c r="VRI132" s="531" t="e">
        <f t="shared" si="244"/>
        <v>#DIV/0!</v>
      </c>
      <c r="VRJ132" s="531" t="e">
        <f t="shared" si="244"/>
        <v>#DIV/0!</v>
      </c>
      <c r="VRK132" s="531" t="e">
        <f t="shared" si="244"/>
        <v>#DIV/0!</v>
      </c>
      <c r="VRL132" s="531" t="e">
        <f t="shared" si="244"/>
        <v>#DIV/0!</v>
      </c>
      <c r="VRM132" s="531" t="e">
        <f t="shared" si="244"/>
        <v>#DIV/0!</v>
      </c>
      <c r="VRN132" s="531" t="e">
        <f t="shared" si="244"/>
        <v>#DIV/0!</v>
      </c>
      <c r="VRO132" s="531" t="e">
        <f t="shared" si="244"/>
        <v>#DIV/0!</v>
      </c>
      <c r="VRP132" s="531" t="e">
        <f t="shared" si="244"/>
        <v>#DIV/0!</v>
      </c>
      <c r="VRQ132" s="531" t="e">
        <f t="shared" si="244"/>
        <v>#DIV/0!</v>
      </c>
      <c r="VRR132" s="531" t="e">
        <f t="shared" si="244"/>
        <v>#DIV/0!</v>
      </c>
      <c r="VRS132" s="531" t="e">
        <f t="shared" si="244"/>
        <v>#DIV/0!</v>
      </c>
      <c r="VRT132" s="531" t="e">
        <f t="shared" si="244"/>
        <v>#DIV/0!</v>
      </c>
      <c r="VRU132" s="531" t="e">
        <f t="shared" si="244"/>
        <v>#DIV/0!</v>
      </c>
      <c r="VRV132" s="531" t="e">
        <f t="shared" si="244"/>
        <v>#DIV/0!</v>
      </c>
      <c r="VRW132" s="531" t="e">
        <f t="shared" si="244"/>
        <v>#DIV/0!</v>
      </c>
      <c r="VRX132" s="531" t="e">
        <f t="shared" si="244"/>
        <v>#DIV/0!</v>
      </c>
      <c r="VRY132" s="531" t="e">
        <f t="shared" si="244"/>
        <v>#DIV/0!</v>
      </c>
      <c r="VRZ132" s="531" t="e">
        <f t="shared" si="244"/>
        <v>#DIV/0!</v>
      </c>
      <c r="VSA132" s="531" t="e">
        <f t="shared" ref="VSA132:VUL132" si="245">(VSA128-VSA116)/(VSA52*10^5)</f>
        <v>#DIV/0!</v>
      </c>
      <c r="VSB132" s="531" t="e">
        <f t="shared" si="245"/>
        <v>#DIV/0!</v>
      </c>
      <c r="VSC132" s="531" t="e">
        <f t="shared" si="245"/>
        <v>#DIV/0!</v>
      </c>
      <c r="VSD132" s="531" t="e">
        <f t="shared" si="245"/>
        <v>#DIV/0!</v>
      </c>
      <c r="VSE132" s="531" t="e">
        <f t="shared" si="245"/>
        <v>#DIV/0!</v>
      </c>
      <c r="VSF132" s="531" t="e">
        <f t="shared" si="245"/>
        <v>#DIV/0!</v>
      </c>
      <c r="VSG132" s="531" t="e">
        <f t="shared" si="245"/>
        <v>#DIV/0!</v>
      </c>
      <c r="VSH132" s="531" t="e">
        <f t="shared" si="245"/>
        <v>#DIV/0!</v>
      </c>
      <c r="VSI132" s="531" t="e">
        <f t="shared" si="245"/>
        <v>#DIV/0!</v>
      </c>
      <c r="VSJ132" s="531" t="e">
        <f t="shared" si="245"/>
        <v>#DIV/0!</v>
      </c>
      <c r="VSK132" s="531" t="e">
        <f t="shared" si="245"/>
        <v>#DIV/0!</v>
      </c>
      <c r="VSL132" s="531" t="e">
        <f t="shared" si="245"/>
        <v>#DIV/0!</v>
      </c>
      <c r="VSM132" s="531" t="e">
        <f t="shared" si="245"/>
        <v>#DIV/0!</v>
      </c>
      <c r="VSN132" s="531" t="e">
        <f t="shared" si="245"/>
        <v>#DIV/0!</v>
      </c>
      <c r="VSO132" s="531" t="e">
        <f t="shared" si="245"/>
        <v>#DIV/0!</v>
      </c>
      <c r="VSP132" s="531" t="e">
        <f t="shared" si="245"/>
        <v>#DIV/0!</v>
      </c>
      <c r="VSQ132" s="531" t="e">
        <f t="shared" si="245"/>
        <v>#DIV/0!</v>
      </c>
      <c r="VSR132" s="531" t="e">
        <f t="shared" si="245"/>
        <v>#DIV/0!</v>
      </c>
      <c r="VSS132" s="531" t="e">
        <f t="shared" si="245"/>
        <v>#DIV/0!</v>
      </c>
      <c r="VST132" s="531" t="e">
        <f t="shared" si="245"/>
        <v>#DIV/0!</v>
      </c>
      <c r="VSU132" s="531" t="e">
        <f t="shared" si="245"/>
        <v>#DIV/0!</v>
      </c>
      <c r="VSV132" s="531" t="e">
        <f t="shared" si="245"/>
        <v>#DIV/0!</v>
      </c>
      <c r="VSW132" s="531" t="e">
        <f t="shared" si="245"/>
        <v>#DIV/0!</v>
      </c>
      <c r="VSX132" s="531" t="e">
        <f t="shared" si="245"/>
        <v>#DIV/0!</v>
      </c>
      <c r="VSY132" s="531" t="e">
        <f t="shared" si="245"/>
        <v>#DIV/0!</v>
      </c>
      <c r="VSZ132" s="531" t="e">
        <f t="shared" si="245"/>
        <v>#DIV/0!</v>
      </c>
      <c r="VTA132" s="531" t="e">
        <f t="shared" si="245"/>
        <v>#DIV/0!</v>
      </c>
      <c r="VTB132" s="531" t="e">
        <f t="shared" si="245"/>
        <v>#DIV/0!</v>
      </c>
      <c r="VTC132" s="531" t="e">
        <f t="shared" si="245"/>
        <v>#DIV/0!</v>
      </c>
      <c r="VTD132" s="531" t="e">
        <f t="shared" si="245"/>
        <v>#DIV/0!</v>
      </c>
      <c r="VTE132" s="531" t="e">
        <f t="shared" si="245"/>
        <v>#DIV/0!</v>
      </c>
      <c r="VTF132" s="531" t="e">
        <f t="shared" si="245"/>
        <v>#DIV/0!</v>
      </c>
      <c r="VTG132" s="531" t="e">
        <f t="shared" si="245"/>
        <v>#DIV/0!</v>
      </c>
      <c r="VTH132" s="531" t="e">
        <f t="shared" si="245"/>
        <v>#DIV/0!</v>
      </c>
      <c r="VTI132" s="531" t="e">
        <f t="shared" si="245"/>
        <v>#DIV/0!</v>
      </c>
      <c r="VTJ132" s="531" t="e">
        <f t="shared" si="245"/>
        <v>#DIV/0!</v>
      </c>
      <c r="VTK132" s="531" t="e">
        <f t="shared" si="245"/>
        <v>#DIV/0!</v>
      </c>
      <c r="VTL132" s="531" t="e">
        <f t="shared" si="245"/>
        <v>#DIV/0!</v>
      </c>
      <c r="VTM132" s="531" t="e">
        <f t="shared" si="245"/>
        <v>#DIV/0!</v>
      </c>
      <c r="VTN132" s="531" t="e">
        <f t="shared" si="245"/>
        <v>#DIV/0!</v>
      </c>
      <c r="VTO132" s="531" t="e">
        <f t="shared" si="245"/>
        <v>#DIV/0!</v>
      </c>
      <c r="VTP132" s="531" t="e">
        <f t="shared" si="245"/>
        <v>#DIV/0!</v>
      </c>
      <c r="VTQ132" s="531" t="e">
        <f t="shared" si="245"/>
        <v>#DIV/0!</v>
      </c>
      <c r="VTR132" s="531" t="e">
        <f t="shared" si="245"/>
        <v>#DIV/0!</v>
      </c>
      <c r="VTS132" s="531" t="e">
        <f t="shared" si="245"/>
        <v>#DIV/0!</v>
      </c>
      <c r="VTT132" s="531" t="e">
        <f t="shared" si="245"/>
        <v>#DIV/0!</v>
      </c>
      <c r="VTU132" s="531" t="e">
        <f t="shared" si="245"/>
        <v>#DIV/0!</v>
      </c>
      <c r="VTV132" s="531" t="e">
        <f t="shared" si="245"/>
        <v>#DIV/0!</v>
      </c>
      <c r="VTW132" s="531" t="e">
        <f t="shared" si="245"/>
        <v>#DIV/0!</v>
      </c>
      <c r="VTX132" s="531" t="e">
        <f t="shared" si="245"/>
        <v>#DIV/0!</v>
      </c>
      <c r="VTY132" s="531" t="e">
        <f t="shared" si="245"/>
        <v>#DIV/0!</v>
      </c>
      <c r="VTZ132" s="531" t="e">
        <f t="shared" si="245"/>
        <v>#DIV/0!</v>
      </c>
      <c r="VUA132" s="531" t="e">
        <f t="shared" si="245"/>
        <v>#DIV/0!</v>
      </c>
      <c r="VUB132" s="531" t="e">
        <f t="shared" si="245"/>
        <v>#DIV/0!</v>
      </c>
      <c r="VUC132" s="531" t="e">
        <f t="shared" si="245"/>
        <v>#DIV/0!</v>
      </c>
      <c r="VUD132" s="531" t="e">
        <f t="shared" si="245"/>
        <v>#DIV/0!</v>
      </c>
      <c r="VUE132" s="531" t="e">
        <f t="shared" si="245"/>
        <v>#DIV/0!</v>
      </c>
      <c r="VUF132" s="531" t="e">
        <f t="shared" si="245"/>
        <v>#DIV/0!</v>
      </c>
      <c r="VUG132" s="531" t="e">
        <f t="shared" si="245"/>
        <v>#DIV/0!</v>
      </c>
      <c r="VUH132" s="531" t="e">
        <f t="shared" si="245"/>
        <v>#DIV/0!</v>
      </c>
      <c r="VUI132" s="531" t="e">
        <f t="shared" si="245"/>
        <v>#DIV/0!</v>
      </c>
      <c r="VUJ132" s="531" t="e">
        <f t="shared" si="245"/>
        <v>#DIV/0!</v>
      </c>
      <c r="VUK132" s="531" t="e">
        <f t="shared" si="245"/>
        <v>#DIV/0!</v>
      </c>
      <c r="VUL132" s="531" t="e">
        <f t="shared" si="245"/>
        <v>#DIV/0!</v>
      </c>
      <c r="VUM132" s="531" t="e">
        <f t="shared" ref="VUM132:VWX132" si="246">(VUM128-VUM116)/(VUM52*10^5)</f>
        <v>#DIV/0!</v>
      </c>
      <c r="VUN132" s="531" t="e">
        <f t="shared" si="246"/>
        <v>#DIV/0!</v>
      </c>
      <c r="VUO132" s="531" t="e">
        <f t="shared" si="246"/>
        <v>#DIV/0!</v>
      </c>
      <c r="VUP132" s="531" t="e">
        <f t="shared" si="246"/>
        <v>#DIV/0!</v>
      </c>
      <c r="VUQ132" s="531" t="e">
        <f t="shared" si="246"/>
        <v>#DIV/0!</v>
      </c>
      <c r="VUR132" s="531" t="e">
        <f t="shared" si="246"/>
        <v>#DIV/0!</v>
      </c>
      <c r="VUS132" s="531" t="e">
        <f t="shared" si="246"/>
        <v>#DIV/0!</v>
      </c>
      <c r="VUT132" s="531" t="e">
        <f t="shared" si="246"/>
        <v>#DIV/0!</v>
      </c>
      <c r="VUU132" s="531" t="e">
        <f t="shared" si="246"/>
        <v>#DIV/0!</v>
      </c>
      <c r="VUV132" s="531" t="e">
        <f t="shared" si="246"/>
        <v>#DIV/0!</v>
      </c>
      <c r="VUW132" s="531" t="e">
        <f t="shared" si="246"/>
        <v>#DIV/0!</v>
      </c>
      <c r="VUX132" s="531" t="e">
        <f t="shared" si="246"/>
        <v>#DIV/0!</v>
      </c>
      <c r="VUY132" s="531" t="e">
        <f t="shared" si="246"/>
        <v>#DIV/0!</v>
      </c>
      <c r="VUZ132" s="531" t="e">
        <f t="shared" si="246"/>
        <v>#DIV/0!</v>
      </c>
      <c r="VVA132" s="531" t="e">
        <f t="shared" si="246"/>
        <v>#DIV/0!</v>
      </c>
      <c r="VVB132" s="531" t="e">
        <f t="shared" si="246"/>
        <v>#DIV/0!</v>
      </c>
      <c r="VVC132" s="531" t="e">
        <f t="shared" si="246"/>
        <v>#DIV/0!</v>
      </c>
      <c r="VVD132" s="531" t="e">
        <f t="shared" si="246"/>
        <v>#DIV/0!</v>
      </c>
      <c r="VVE132" s="531" t="e">
        <f t="shared" si="246"/>
        <v>#DIV/0!</v>
      </c>
      <c r="VVF132" s="531" t="e">
        <f t="shared" si="246"/>
        <v>#DIV/0!</v>
      </c>
      <c r="VVG132" s="531" t="e">
        <f t="shared" si="246"/>
        <v>#DIV/0!</v>
      </c>
      <c r="VVH132" s="531" t="e">
        <f t="shared" si="246"/>
        <v>#DIV/0!</v>
      </c>
      <c r="VVI132" s="531" t="e">
        <f t="shared" si="246"/>
        <v>#DIV/0!</v>
      </c>
      <c r="VVJ132" s="531" t="e">
        <f t="shared" si="246"/>
        <v>#DIV/0!</v>
      </c>
      <c r="VVK132" s="531" t="e">
        <f t="shared" si="246"/>
        <v>#DIV/0!</v>
      </c>
      <c r="VVL132" s="531" t="e">
        <f t="shared" si="246"/>
        <v>#DIV/0!</v>
      </c>
      <c r="VVM132" s="531" t="e">
        <f t="shared" si="246"/>
        <v>#DIV/0!</v>
      </c>
      <c r="VVN132" s="531" t="e">
        <f t="shared" si="246"/>
        <v>#DIV/0!</v>
      </c>
      <c r="VVO132" s="531" t="e">
        <f t="shared" si="246"/>
        <v>#DIV/0!</v>
      </c>
      <c r="VVP132" s="531" t="e">
        <f t="shared" si="246"/>
        <v>#DIV/0!</v>
      </c>
      <c r="VVQ132" s="531" t="e">
        <f t="shared" si="246"/>
        <v>#DIV/0!</v>
      </c>
      <c r="VVR132" s="531" t="e">
        <f t="shared" si="246"/>
        <v>#DIV/0!</v>
      </c>
      <c r="VVS132" s="531" t="e">
        <f t="shared" si="246"/>
        <v>#DIV/0!</v>
      </c>
      <c r="VVT132" s="531" t="e">
        <f t="shared" si="246"/>
        <v>#DIV/0!</v>
      </c>
      <c r="VVU132" s="531" t="e">
        <f t="shared" si="246"/>
        <v>#DIV/0!</v>
      </c>
      <c r="VVV132" s="531" t="e">
        <f t="shared" si="246"/>
        <v>#DIV/0!</v>
      </c>
      <c r="VVW132" s="531" t="e">
        <f t="shared" si="246"/>
        <v>#DIV/0!</v>
      </c>
      <c r="VVX132" s="531" t="e">
        <f t="shared" si="246"/>
        <v>#DIV/0!</v>
      </c>
      <c r="VVY132" s="531" t="e">
        <f t="shared" si="246"/>
        <v>#DIV/0!</v>
      </c>
      <c r="VVZ132" s="531" t="e">
        <f t="shared" si="246"/>
        <v>#DIV/0!</v>
      </c>
      <c r="VWA132" s="531" t="e">
        <f t="shared" si="246"/>
        <v>#DIV/0!</v>
      </c>
      <c r="VWB132" s="531" t="e">
        <f t="shared" si="246"/>
        <v>#DIV/0!</v>
      </c>
      <c r="VWC132" s="531" t="e">
        <f t="shared" si="246"/>
        <v>#DIV/0!</v>
      </c>
      <c r="VWD132" s="531" t="e">
        <f t="shared" si="246"/>
        <v>#DIV/0!</v>
      </c>
      <c r="VWE132" s="531" t="e">
        <f t="shared" si="246"/>
        <v>#DIV/0!</v>
      </c>
      <c r="VWF132" s="531" t="e">
        <f t="shared" si="246"/>
        <v>#DIV/0!</v>
      </c>
      <c r="VWG132" s="531" t="e">
        <f t="shared" si="246"/>
        <v>#DIV/0!</v>
      </c>
      <c r="VWH132" s="531" t="e">
        <f t="shared" si="246"/>
        <v>#DIV/0!</v>
      </c>
      <c r="VWI132" s="531" t="e">
        <f t="shared" si="246"/>
        <v>#DIV/0!</v>
      </c>
      <c r="VWJ132" s="531" t="e">
        <f t="shared" si="246"/>
        <v>#DIV/0!</v>
      </c>
      <c r="VWK132" s="531" t="e">
        <f t="shared" si="246"/>
        <v>#DIV/0!</v>
      </c>
      <c r="VWL132" s="531" t="e">
        <f t="shared" si="246"/>
        <v>#DIV/0!</v>
      </c>
      <c r="VWM132" s="531" t="e">
        <f t="shared" si="246"/>
        <v>#DIV/0!</v>
      </c>
      <c r="VWN132" s="531" t="e">
        <f t="shared" si="246"/>
        <v>#DIV/0!</v>
      </c>
      <c r="VWO132" s="531" t="e">
        <f t="shared" si="246"/>
        <v>#DIV/0!</v>
      </c>
      <c r="VWP132" s="531" t="e">
        <f t="shared" si="246"/>
        <v>#DIV/0!</v>
      </c>
      <c r="VWQ132" s="531" t="e">
        <f t="shared" si="246"/>
        <v>#DIV/0!</v>
      </c>
      <c r="VWR132" s="531" t="e">
        <f t="shared" si="246"/>
        <v>#DIV/0!</v>
      </c>
      <c r="VWS132" s="531" t="e">
        <f t="shared" si="246"/>
        <v>#DIV/0!</v>
      </c>
      <c r="VWT132" s="531" t="e">
        <f t="shared" si="246"/>
        <v>#DIV/0!</v>
      </c>
      <c r="VWU132" s="531" t="e">
        <f t="shared" si="246"/>
        <v>#DIV/0!</v>
      </c>
      <c r="VWV132" s="531" t="e">
        <f t="shared" si="246"/>
        <v>#DIV/0!</v>
      </c>
      <c r="VWW132" s="531" t="e">
        <f t="shared" si="246"/>
        <v>#DIV/0!</v>
      </c>
      <c r="VWX132" s="531" t="e">
        <f t="shared" si="246"/>
        <v>#DIV/0!</v>
      </c>
      <c r="VWY132" s="531" t="e">
        <f t="shared" ref="VWY132:VZJ132" si="247">(VWY128-VWY116)/(VWY52*10^5)</f>
        <v>#DIV/0!</v>
      </c>
      <c r="VWZ132" s="531" t="e">
        <f t="shared" si="247"/>
        <v>#DIV/0!</v>
      </c>
      <c r="VXA132" s="531" t="e">
        <f t="shared" si="247"/>
        <v>#DIV/0!</v>
      </c>
      <c r="VXB132" s="531" t="e">
        <f t="shared" si="247"/>
        <v>#DIV/0!</v>
      </c>
      <c r="VXC132" s="531" t="e">
        <f t="shared" si="247"/>
        <v>#DIV/0!</v>
      </c>
      <c r="VXD132" s="531" t="e">
        <f t="shared" si="247"/>
        <v>#DIV/0!</v>
      </c>
      <c r="VXE132" s="531" t="e">
        <f t="shared" si="247"/>
        <v>#DIV/0!</v>
      </c>
      <c r="VXF132" s="531" t="e">
        <f t="shared" si="247"/>
        <v>#DIV/0!</v>
      </c>
      <c r="VXG132" s="531" t="e">
        <f t="shared" si="247"/>
        <v>#DIV/0!</v>
      </c>
      <c r="VXH132" s="531" t="e">
        <f t="shared" si="247"/>
        <v>#DIV/0!</v>
      </c>
      <c r="VXI132" s="531" t="e">
        <f t="shared" si="247"/>
        <v>#DIV/0!</v>
      </c>
      <c r="VXJ132" s="531" t="e">
        <f t="shared" si="247"/>
        <v>#DIV/0!</v>
      </c>
      <c r="VXK132" s="531" t="e">
        <f t="shared" si="247"/>
        <v>#DIV/0!</v>
      </c>
      <c r="VXL132" s="531" t="e">
        <f t="shared" si="247"/>
        <v>#DIV/0!</v>
      </c>
      <c r="VXM132" s="531" t="e">
        <f t="shared" si="247"/>
        <v>#DIV/0!</v>
      </c>
      <c r="VXN132" s="531" t="e">
        <f t="shared" si="247"/>
        <v>#DIV/0!</v>
      </c>
      <c r="VXO132" s="531" t="e">
        <f t="shared" si="247"/>
        <v>#DIV/0!</v>
      </c>
      <c r="VXP132" s="531" t="e">
        <f t="shared" si="247"/>
        <v>#DIV/0!</v>
      </c>
      <c r="VXQ132" s="531" t="e">
        <f t="shared" si="247"/>
        <v>#DIV/0!</v>
      </c>
      <c r="VXR132" s="531" t="e">
        <f t="shared" si="247"/>
        <v>#DIV/0!</v>
      </c>
      <c r="VXS132" s="531" t="e">
        <f t="shared" si="247"/>
        <v>#DIV/0!</v>
      </c>
      <c r="VXT132" s="531" t="e">
        <f t="shared" si="247"/>
        <v>#DIV/0!</v>
      </c>
      <c r="VXU132" s="531" t="e">
        <f t="shared" si="247"/>
        <v>#DIV/0!</v>
      </c>
      <c r="VXV132" s="531" t="e">
        <f t="shared" si="247"/>
        <v>#DIV/0!</v>
      </c>
      <c r="VXW132" s="531" t="e">
        <f t="shared" si="247"/>
        <v>#DIV/0!</v>
      </c>
      <c r="VXX132" s="531" t="e">
        <f t="shared" si="247"/>
        <v>#DIV/0!</v>
      </c>
      <c r="VXY132" s="531" t="e">
        <f t="shared" si="247"/>
        <v>#DIV/0!</v>
      </c>
      <c r="VXZ132" s="531" t="e">
        <f t="shared" si="247"/>
        <v>#DIV/0!</v>
      </c>
      <c r="VYA132" s="531" t="e">
        <f t="shared" si="247"/>
        <v>#DIV/0!</v>
      </c>
      <c r="VYB132" s="531" t="e">
        <f t="shared" si="247"/>
        <v>#DIV/0!</v>
      </c>
      <c r="VYC132" s="531" t="e">
        <f t="shared" si="247"/>
        <v>#DIV/0!</v>
      </c>
      <c r="VYD132" s="531" t="e">
        <f t="shared" si="247"/>
        <v>#DIV/0!</v>
      </c>
      <c r="VYE132" s="531" t="e">
        <f t="shared" si="247"/>
        <v>#DIV/0!</v>
      </c>
      <c r="VYF132" s="531" t="e">
        <f t="shared" si="247"/>
        <v>#DIV/0!</v>
      </c>
      <c r="VYG132" s="531" t="e">
        <f t="shared" si="247"/>
        <v>#DIV/0!</v>
      </c>
      <c r="VYH132" s="531" t="e">
        <f t="shared" si="247"/>
        <v>#DIV/0!</v>
      </c>
      <c r="VYI132" s="531" t="e">
        <f t="shared" si="247"/>
        <v>#DIV/0!</v>
      </c>
      <c r="VYJ132" s="531" t="e">
        <f t="shared" si="247"/>
        <v>#DIV/0!</v>
      </c>
      <c r="VYK132" s="531" t="e">
        <f t="shared" si="247"/>
        <v>#DIV/0!</v>
      </c>
      <c r="VYL132" s="531" t="e">
        <f t="shared" si="247"/>
        <v>#DIV/0!</v>
      </c>
      <c r="VYM132" s="531" t="e">
        <f t="shared" si="247"/>
        <v>#DIV/0!</v>
      </c>
      <c r="VYN132" s="531" t="e">
        <f t="shared" si="247"/>
        <v>#DIV/0!</v>
      </c>
      <c r="VYO132" s="531" t="e">
        <f t="shared" si="247"/>
        <v>#DIV/0!</v>
      </c>
      <c r="VYP132" s="531" t="e">
        <f t="shared" si="247"/>
        <v>#DIV/0!</v>
      </c>
      <c r="VYQ132" s="531" t="e">
        <f t="shared" si="247"/>
        <v>#DIV/0!</v>
      </c>
      <c r="VYR132" s="531" t="e">
        <f t="shared" si="247"/>
        <v>#DIV/0!</v>
      </c>
      <c r="VYS132" s="531" t="e">
        <f t="shared" si="247"/>
        <v>#DIV/0!</v>
      </c>
      <c r="VYT132" s="531" t="e">
        <f t="shared" si="247"/>
        <v>#DIV/0!</v>
      </c>
      <c r="VYU132" s="531" t="e">
        <f t="shared" si="247"/>
        <v>#DIV/0!</v>
      </c>
      <c r="VYV132" s="531" t="e">
        <f t="shared" si="247"/>
        <v>#DIV/0!</v>
      </c>
      <c r="VYW132" s="531" t="e">
        <f t="shared" si="247"/>
        <v>#DIV/0!</v>
      </c>
      <c r="VYX132" s="531" t="e">
        <f t="shared" si="247"/>
        <v>#DIV/0!</v>
      </c>
      <c r="VYY132" s="531" t="e">
        <f t="shared" si="247"/>
        <v>#DIV/0!</v>
      </c>
      <c r="VYZ132" s="531" t="e">
        <f t="shared" si="247"/>
        <v>#DIV/0!</v>
      </c>
      <c r="VZA132" s="531" t="e">
        <f t="shared" si="247"/>
        <v>#DIV/0!</v>
      </c>
      <c r="VZB132" s="531" t="e">
        <f t="shared" si="247"/>
        <v>#DIV/0!</v>
      </c>
      <c r="VZC132" s="531" t="e">
        <f t="shared" si="247"/>
        <v>#DIV/0!</v>
      </c>
      <c r="VZD132" s="531" t="e">
        <f t="shared" si="247"/>
        <v>#DIV/0!</v>
      </c>
      <c r="VZE132" s="531" t="e">
        <f t="shared" si="247"/>
        <v>#DIV/0!</v>
      </c>
      <c r="VZF132" s="531" t="e">
        <f t="shared" si="247"/>
        <v>#DIV/0!</v>
      </c>
      <c r="VZG132" s="531" t="e">
        <f t="shared" si="247"/>
        <v>#DIV/0!</v>
      </c>
      <c r="VZH132" s="531" t="e">
        <f t="shared" si="247"/>
        <v>#DIV/0!</v>
      </c>
      <c r="VZI132" s="531" t="e">
        <f t="shared" si="247"/>
        <v>#DIV/0!</v>
      </c>
      <c r="VZJ132" s="531" t="e">
        <f t="shared" si="247"/>
        <v>#DIV/0!</v>
      </c>
      <c r="VZK132" s="531" t="e">
        <f t="shared" ref="VZK132:WBV132" si="248">(VZK128-VZK116)/(VZK52*10^5)</f>
        <v>#DIV/0!</v>
      </c>
      <c r="VZL132" s="531" t="e">
        <f t="shared" si="248"/>
        <v>#DIV/0!</v>
      </c>
      <c r="VZM132" s="531" t="e">
        <f t="shared" si="248"/>
        <v>#DIV/0!</v>
      </c>
      <c r="VZN132" s="531" t="e">
        <f t="shared" si="248"/>
        <v>#DIV/0!</v>
      </c>
      <c r="VZO132" s="531" t="e">
        <f t="shared" si="248"/>
        <v>#DIV/0!</v>
      </c>
      <c r="VZP132" s="531" t="e">
        <f t="shared" si="248"/>
        <v>#DIV/0!</v>
      </c>
      <c r="VZQ132" s="531" t="e">
        <f t="shared" si="248"/>
        <v>#DIV/0!</v>
      </c>
      <c r="VZR132" s="531" t="e">
        <f t="shared" si="248"/>
        <v>#DIV/0!</v>
      </c>
      <c r="VZS132" s="531" t="e">
        <f t="shared" si="248"/>
        <v>#DIV/0!</v>
      </c>
      <c r="VZT132" s="531" t="e">
        <f t="shared" si="248"/>
        <v>#DIV/0!</v>
      </c>
      <c r="VZU132" s="531" t="e">
        <f t="shared" si="248"/>
        <v>#DIV/0!</v>
      </c>
      <c r="VZV132" s="531" t="e">
        <f t="shared" si="248"/>
        <v>#DIV/0!</v>
      </c>
      <c r="VZW132" s="531" t="e">
        <f t="shared" si="248"/>
        <v>#DIV/0!</v>
      </c>
      <c r="VZX132" s="531" t="e">
        <f t="shared" si="248"/>
        <v>#DIV/0!</v>
      </c>
      <c r="VZY132" s="531" t="e">
        <f t="shared" si="248"/>
        <v>#DIV/0!</v>
      </c>
      <c r="VZZ132" s="531" t="e">
        <f t="shared" si="248"/>
        <v>#DIV/0!</v>
      </c>
      <c r="WAA132" s="531" t="e">
        <f t="shared" si="248"/>
        <v>#DIV/0!</v>
      </c>
      <c r="WAB132" s="531" t="e">
        <f t="shared" si="248"/>
        <v>#DIV/0!</v>
      </c>
      <c r="WAC132" s="531" t="e">
        <f t="shared" si="248"/>
        <v>#DIV/0!</v>
      </c>
      <c r="WAD132" s="531" t="e">
        <f t="shared" si="248"/>
        <v>#DIV/0!</v>
      </c>
      <c r="WAE132" s="531" t="e">
        <f t="shared" si="248"/>
        <v>#DIV/0!</v>
      </c>
      <c r="WAF132" s="531" t="e">
        <f t="shared" si="248"/>
        <v>#DIV/0!</v>
      </c>
      <c r="WAG132" s="531" t="e">
        <f t="shared" si="248"/>
        <v>#DIV/0!</v>
      </c>
      <c r="WAH132" s="531" t="e">
        <f t="shared" si="248"/>
        <v>#DIV/0!</v>
      </c>
      <c r="WAI132" s="531" t="e">
        <f t="shared" si="248"/>
        <v>#DIV/0!</v>
      </c>
      <c r="WAJ132" s="531" t="e">
        <f t="shared" si="248"/>
        <v>#DIV/0!</v>
      </c>
      <c r="WAK132" s="531" t="e">
        <f t="shared" si="248"/>
        <v>#DIV/0!</v>
      </c>
      <c r="WAL132" s="531" t="e">
        <f t="shared" si="248"/>
        <v>#DIV/0!</v>
      </c>
      <c r="WAM132" s="531" t="e">
        <f t="shared" si="248"/>
        <v>#DIV/0!</v>
      </c>
      <c r="WAN132" s="531" t="e">
        <f t="shared" si="248"/>
        <v>#DIV/0!</v>
      </c>
      <c r="WAO132" s="531" t="e">
        <f t="shared" si="248"/>
        <v>#DIV/0!</v>
      </c>
      <c r="WAP132" s="531" t="e">
        <f t="shared" si="248"/>
        <v>#DIV/0!</v>
      </c>
      <c r="WAQ132" s="531" t="e">
        <f t="shared" si="248"/>
        <v>#DIV/0!</v>
      </c>
      <c r="WAR132" s="531" t="e">
        <f t="shared" si="248"/>
        <v>#DIV/0!</v>
      </c>
      <c r="WAS132" s="531" t="e">
        <f t="shared" si="248"/>
        <v>#DIV/0!</v>
      </c>
      <c r="WAT132" s="531" t="e">
        <f t="shared" si="248"/>
        <v>#DIV/0!</v>
      </c>
      <c r="WAU132" s="531" t="e">
        <f t="shared" si="248"/>
        <v>#DIV/0!</v>
      </c>
      <c r="WAV132" s="531" t="e">
        <f t="shared" si="248"/>
        <v>#DIV/0!</v>
      </c>
      <c r="WAW132" s="531" t="e">
        <f t="shared" si="248"/>
        <v>#DIV/0!</v>
      </c>
      <c r="WAX132" s="531" t="e">
        <f t="shared" si="248"/>
        <v>#DIV/0!</v>
      </c>
      <c r="WAY132" s="531" t="e">
        <f t="shared" si="248"/>
        <v>#DIV/0!</v>
      </c>
      <c r="WAZ132" s="531" t="e">
        <f t="shared" si="248"/>
        <v>#DIV/0!</v>
      </c>
      <c r="WBA132" s="531" t="e">
        <f t="shared" si="248"/>
        <v>#DIV/0!</v>
      </c>
      <c r="WBB132" s="531" t="e">
        <f t="shared" si="248"/>
        <v>#DIV/0!</v>
      </c>
      <c r="WBC132" s="531" t="e">
        <f t="shared" si="248"/>
        <v>#DIV/0!</v>
      </c>
      <c r="WBD132" s="531" t="e">
        <f t="shared" si="248"/>
        <v>#DIV/0!</v>
      </c>
      <c r="WBE132" s="531" t="e">
        <f t="shared" si="248"/>
        <v>#DIV/0!</v>
      </c>
      <c r="WBF132" s="531" t="e">
        <f t="shared" si="248"/>
        <v>#DIV/0!</v>
      </c>
      <c r="WBG132" s="531" t="e">
        <f t="shared" si="248"/>
        <v>#DIV/0!</v>
      </c>
      <c r="WBH132" s="531" t="e">
        <f t="shared" si="248"/>
        <v>#DIV/0!</v>
      </c>
      <c r="WBI132" s="531" t="e">
        <f t="shared" si="248"/>
        <v>#DIV/0!</v>
      </c>
      <c r="WBJ132" s="531" t="e">
        <f t="shared" si="248"/>
        <v>#DIV/0!</v>
      </c>
      <c r="WBK132" s="531" t="e">
        <f t="shared" si="248"/>
        <v>#DIV/0!</v>
      </c>
      <c r="WBL132" s="531" t="e">
        <f t="shared" si="248"/>
        <v>#DIV/0!</v>
      </c>
      <c r="WBM132" s="531" t="e">
        <f t="shared" si="248"/>
        <v>#DIV/0!</v>
      </c>
      <c r="WBN132" s="531" t="e">
        <f t="shared" si="248"/>
        <v>#DIV/0!</v>
      </c>
      <c r="WBO132" s="531" t="e">
        <f t="shared" si="248"/>
        <v>#DIV/0!</v>
      </c>
      <c r="WBP132" s="531" t="e">
        <f t="shared" si="248"/>
        <v>#DIV/0!</v>
      </c>
      <c r="WBQ132" s="531" t="e">
        <f t="shared" si="248"/>
        <v>#DIV/0!</v>
      </c>
      <c r="WBR132" s="531" t="e">
        <f t="shared" si="248"/>
        <v>#DIV/0!</v>
      </c>
      <c r="WBS132" s="531" t="e">
        <f t="shared" si="248"/>
        <v>#DIV/0!</v>
      </c>
      <c r="WBT132" s="531" t="e">
        <f t="shared" si="248"/>
        <v>#DIV/0!</v>
      </c>
      <c r="WBU132" s="531" t="e">
        <f t="shared" si="248"/>
        <v>#DIV/0!</v>
      </c>
      <c r="WBV132" s="531" t="e">
        <f t="shared" si="248"/>
        <v>#DIV/0!</v>
      </c>
      <c r="WBW132" s="531" t="e">
        <f t="shared" ref="WBW132:WEH132" si="249">(WBW128-WBW116)/(WBW52*10^5)</f>
        <v>#DIV/0!</v>
      </c>
      <c r="WBX132" s="531" t="e">
        <f t="shared" si="249"/>
        <v>#DIV/0!</v>
      </c>
      <c r="WBY132" s="531" t="e">
        <f t="shared" si="249"/>
        <v>#DIV/0!</v>
      </c>
      <c r="WBZ132" s="531" t="e">
        <f t="shared" si="249"/>
        <v>#DIV/0!</v>
      </c>
      <c r="WCA132" s="531" t="e">
        <f t="shared" si="249"/>
        <v>#DIV/0!</v>
      </c>
      <c r="WCB132" s="531" t="e">
        <f t="shared" si="249"/>
        <v>#DIV/0!</v>
      </c>
      <c r="WCC132" s="531" t="e">
        <f t="shared" si="249"/>
        <v>#DIV/0!</v>
      </c>
      <c r="WCD132" s="531" t="e">
        <f t="shared" si="249"/>
        <v>#DIV/0!</v>
      </c>
      <c r="WCE132" s="531" t="e">
        <f t="shared" si="249"/>
        <v>#DIV/0!</v>
      </c>
      <c r="WCF132" s="531" t="e">
        <f t="shared" si="249"/>
        <v>#DIV/0!</v>
      </c>
      <c r="WCG132" s="531" t="e">
        <f t="shared" si="249"/>
        <v>#DIV/0!</v>
      </c>
      <c r="WCH132" s="531" t="e">
        <f t="shared" si="249"/>
        <v>#DIV/0!</v>
      </c>
      <c r="WCI132" s="531" t="e">
        <f t="shared" si="249"/>
        <v>#DIV/0!</v>
      </c>
      <c r="WCJ132" s="531" t="e">
        <f t="shared" si="249"/>
        <v>#DIV/0!</v>
      </c>
      <c r="WCK132" s="531" t="e">
        <f t="shared" si="249"/>
        <v>#DIV/0!</v>
      </c>
      <c r="WCL132" s="531" t="e">
        <f t="shared" si="249"/>
        <v>#DIV/0!</v>
      </c>
      <c r="WCM132" s="531" t="e">
        <f t="shared" si="249"/>
        <v>#DIV/0!</v>
      </c>
      <c r="WCN132" s="531" t="e">
        <f t="shared" si="249"/>
        <v>#DIV/0!</v>
      </c>
      <c r="WCO132" s="531" t="e">
        <f t="shared" si="249"/>
        <v>#DIV/0!</v>
      </c>
      <c r="WCP132" s="531" t="e">
        <f t="shared" si="249"/>
        <v>#DIV/0!</v>
      </c>
      <c r="WCQ132" s="531" t="e">
        <f t="shared" si="249"/>
        <v>#DIV/0!</v>
      </c>
      <c r="WCR132" s="531" t="e">
        <f t="shared" si="249"/>
        <v>#DIV/0!</v>
      </c>
      <c r="WCS132" s="531" t="e">
        <f t="shared" si="249"/>
        <v>#DIV/0!</v>
      </c>
      <c r="WCT132" s="531" t="e">
        <f t="shared" si="249"/>
        <v>#DIV/0!</v>
      </c>
      <c r="WCU132" s="531" t="e">
        <f t="shared" si="249"/>
        <v>#DIV/0!</v>
      </c>
      <c r="WCV132" s="531" t="e">
        <f t="shared" si="249"/>
        <v>#DIV/0!</v>
      </c>
      <c r="WCW132" s="531" t="e">
        <f t="shared" si="249"/>
        <v>#DIV/0!</v>
      </c>
      <c r="WCX132" s="531" t="e">
        <f t="shared" si="249"/>
        <v>#DIV/0!</v>
      </c>
      <c r="WCY132" s="531" t="e">
        <f t="shared" si="249"/>
        <v>#DIV/0!</v>
      </c>
      <c r="WCZ132" s="531" t="e">
        <f t="shared" si="249"/>
        <v>#DIV/0!</v>
      </c>
      <c r="WDA132" s="531" t="e">
        <f t="shared" si="249"/>
        <v>#DIV/0!</v>
      </c>
      <c r="WDB132" s="531" t="e">
        <f t="shared" si="249"/>
        <v>#DIV/0!</v>
      </c>
      <c r="WDC132" s="531" t="e">
        <f t="shared" si="249"/>
        <v>#DIV/0!</v>
      </c>
      <c r="WDD132" s="531" t="e">
        <f t="shared" si="249"/>
        <v>#DIV/0!</v>
      </c>
      <c r="WDE132" s="531" t="e">
        <f t="shared" si="249"/>
        <v>#DIV/0!</v>
      </c>
      <c r="WDF132" s="531" t="e">
        <f t="shared" si="249"/>
        <v>#DIV/0!</v>
      </c>
      <c r="WDG132" s="531" t="e">
        <f t="shared" si="249"/>
        <v>#DIV/0!</v>
      </c>
      <c r="WDH132" s="531" t="e">
        <f t="shared" si="249"/>
        <v>#DIV/0!</v>
      </c>
      <c r="WDI132" s="531" t="e">
        <f t="shared" si="249"/>
        <v>#DIV/0!</v>
      </c>
      <c r="WDJ132" s="531" t="e">
        <f t="shared" si="249"/>
        <v>#DIV/0!</v>
      </c>
      <c r="WDK132" s="531" t="e">
        <f t="shared" si="249"/>
        <v>#DIV/0!</v>
      </c>
      <c r="WDL132" s="531" t="e">
        <f t="shared" si="249"/>
        <v>#DIV/0!</v>
      </c>
      <c r="WDM132" s="531" t="e">
        <f t="shared" si="249"/>
        <v>#DIV/0!</v>
      </c>
      <c r="WDN132" s="531" t="e">
        <f t="shared" si="249"/>
        <v>#DIV/0!</v>
      </c>
      <c r="WDO132" s="531" t="e">
        <f t="shared" si="249"/>
        <v>#DIV/0!</v>
      </c>
      <c r="WDP132" s="531" t="e">
        <f t="shared" si="249"/>
        <v>#DIV/0!</v>
      </c>
      <c r="WDQ132" s="531" t="e">
        <f t="shared" si="249"/>
        <v>#DIV/0!</v>
      </c>
      <c r="WDR132" s="531" t="e">
        <f t="shared" si="249"/>
        <v>#DIV/0!</v>
      </c>
      <c r="WDS132" s="531" t="e">
        <f t="shared" si="249"/>
        <v>#DIV/0!</v>
      </c>
      <c r="WDT132" s="531" t="e">
        <f t="shared" si="249"/>
        <v>#DIV/0!</v>
      </c>
      <c r="WDU132" s="531" t="e">
        <f t="shared" si="249"/>
        <v>#DIV/0!</v>
      </c>
      <c r="WDV132" s="531" t="e">
        <f t="shared" si="249"/>
        <v>#DIV/0!</v>
      </c>
      <c r="WDW132" s="531" t="e">
        <f t="shared" si="249"/>
        <v>#DIV/0!</v>
      </c>
      <c r="WDX132" s="531" t="e">
        <f t="shared" si="249"/>
        <v>#DIV/0!</v>
      </c>
      <c r="WDY132" s="531" t="e">
        <f t="shared" si="249"/>
        <v>#DIV/0!</v>
      </c>
      <c r="WDZ132" s="531" t="e">
        <f t="shared" si="249"/>
        <v>#DIV/0!</v>
      </c>
      <c r="WEA132" s="531" t="e">
        <f t="shared" si="249"/>
        <v>#DIV/0!</v>
      </c>
      <c r="WEB132" s="531" t="e">
        <f t="shared" si="249"/>
        <v>#DIV/0!</v>
      </c>
      <c r="WEC132" s="531" t="e">
        <f t="shared" si="249"/>
        <v>#DIV/0!</v>
      </c>
      <c r="WED132" s="531" t="e">
        <f t="shared" si="249"/>
        <v>#DIV/0!</v>
      </c>
      <c r="WEE132" s="531" t="e">
        <f t="shared" si="249"/>
        <v>#DIV/0!</v>
      </c>
      <c r="WEF132" s="531" t="e">
        <f t="shared" si="249"/>
        <v>#DIV/0!</v>
      </c>
      <c r="WEG132" s="531" t="e">
        <f t="shared" si="249"/>
        <v>#DIV/0!</v>
      </c>
      <c r="WEH132" s="531" t="e">
        <f t="shared" si="249"/>
        <v>#DIV/0!</v>
      </c>
      <c r="WEI132" s="531" t="e">
        <f t="shared" ref="WEI132:WGT132" si="250">(WEI128-WEI116)/(WEI52*10^5)</f>
        <v>#DIV/0!</v>
      </c>
      <c r="WEJ132" s="531" t="e">
        <f t="shared" si="250"/>
        <v>#DIV/0!</v>
      </c>
      <c r="WEK132" s="531" t="e">
        <f t="shared" si="250"/>
        <v>#DIV/0!</v>
      </c>
      <c r="WEL132" s="531" t="e">
        <f t="shared" si="250"/>
        <v>#DIV/0!</v>
      </c>
      <c r="WEM132" s="531" t="e">
        <f t="shared" si="250"/>
        <v>#DIV/0!</v>
      </c>
      <c r="WEN132" s="531" t="e">
        <f t="shared" si="250"/>
        <v>#DIV/0!</v>
      </c>
      <c r="WEO132" s="531" t="e">
        <f t="shared" si="250"/>
        <v>#DIV/0!</v>
      </c>
      <c r="WEP132" s="531" t="e">
        <f t="shared" si="250"/>
        <v>#DIV/0!</v>
      </c>
      <c r="WEQ132" s="531" t="e">
        <f t="shared" si="250"/>
        <v>#DIV/0!</v>
      </c>
      <c r="WER132" s="531" t="e">
        <f t="shared" si="250"/>
        <v>#DIV/0!</v>
      </c>
      <c r="WES132" s="531" t="e">
        <f t="shared" si="250"/>
        <v>#DIV/0!</v>
      </c>
      <c r="WET132" s="531" t="e">
        <f t="shared" si="250"/>
        <v>#DIV/0!</v>
      </c>
      <c r="WEU132" s="531" t="e">
        <f t="shared" si="250"/>
        <v>#DIV/0!</v>
      </c>
      <c r="WEV132" s="531" t="e">
        <f t="shared" si="250"/>
        <v>#DIV/0!</v>
      </c>
      <c r="WEW132" s="531" t="e">
        <f t="shared" si="250"/>
        <v>#DIV/0!</v>
      </c>
      <c r="WEX132" s="531" t="e">
        <f t="shared" si="250"/>
        <v>#DIV/0!</v>
      </c>
      <c r="WEY132" s="531" t="e">
        <f t="shared" si="250"/>
        <v>#DIV/0!</v>
      </c>
      <c r="WEZ132" s="531" t="e">
        <f t="shared" si="250"/>
        <v>#DIV/0!</v>
      </c>
      <c r="WFA132" s="531" t="e">
        <f t="shared" si="250"/>
        <v>#DIV/0!</v>
      </c>
      <c r="WFB132" s="531" t="e">
        <f t="shared" si="250"/>
        <v>#DIV/0!</v>
      </c>
      <c r="WFC132" s="531" t="e">
        <f t="shared" si="250"/>
        <v>#DIV/0!</v>
      </c>
      <c r="WFD132" s="531" t="e">
        <f t="shared" si="250"/>
        <v>#DIV/0!</v>
      </c>
      <c r="WFE132" s="531" t="e">
        <f t="shared" si="250"/>
        <v>#DIV/0!</v>
      </c>
      <c r="WFF132" s="531" t="e">
        <f t="shared" si="250"/>
        <v>#DIV/0!</v>
      </c>
      <c r="WFG132" s="531" t="e">
        <f t="shared" si="250"/>
        <v>#DIV/0!</v>
      </c>
      <c r="WFH132" s="531" t="e">
        <f t="shared" si="250"/>
        <v>#DIV/0!</v>
      </c>
      <c r="WFI132" s="531" t="e">
        <f t="shared" si="250"/>
        <v>#DIV/0!</v>
      </c>
      <c r="WFJ132" s="531" t="e">
        <f t="shared" si="250"/>
        <v>#DIV/0!</v>
      </c>
      <c r="WFK132" s="531" t="e">
        <f t="shared" si="250"/>
        <v>#DIV/0!</v>
      </c>
      <c r="WFL132" s="531" t="e">
        <f t="shared" si="250"/>
        <v>#DIV/0!</v>
      </c>
      <c r="WFM132" s="531" t="e">
        <f t="shared" si="250"/>
        <v>#DIV/0!</v>
      </c>
      <c r="WFN132" s="531" t="e">
        <f t="shared" si="250"/>
        <v>#DIV/0!</v>
      </c>
      <c r="WFO132" s="531" t="e">
        <f t="shared" si="250"/>
        <v>#DIV/0!</v>
      </c>
      <c r="WFP132" s="531" t="e">
        <f t="shared" si="250"/>
        <v>#DIV/0!</v>
      </c>
      <c r="WFQ132" s="531" t="e">
        <f t="shared" si="250"/>
        <v>#DIV/0!</v>
      </c>
      <c r="WFR132" s="531" t="e">
        <f t="shared" si="250"/>
        <v>#DIV/0!</v>
      </c>
      <c r="WFS132" s="531" t="e">
        <f t="shared" si="250"/>
        <v>#DIV/0!</v>
      </c>
      <c r="WFT132" s="531" t="e">
        <f t="shared" si="250"/>
        <v>#DIV/0!</v>
      </c>
      <c r="WFU132" s="531" t="e">
        <f t="shared" si="250"/>
        <v>#DIV/0!</v>
      </c>
      <c r="WFV132" s="531" t="e">
        <f t="shared" si="250"/>
        <v>#DIV/0!</v>
      </c>
      <c r="WFW132" s="531" t="e">
        <f t="shared" si="250"/>
        <v>#DIV/0!</v>
      </c>
      <c r="WFX132" s="531" t="e">
        <f t="shared" si="250"/>
        <v>#DIV/0!</v>
      </c>
      <c r="WFY132" s="531" t="e">
        <f t="shared" si="250"/>
        <v>#DIV/0!</v>
      </c>
      <c r="WFZ132" s="531" t="e">
        <f t="shared" si="250"/>
        <v>#DIV/0!</v>
      </c>
      <c r="WGA132" s="531" t="e">
        <f t="shared" si="250"/>
        <v>#DIV/0!</v>
      </c>
      <c r="WGB132" s="531" t="e">
        <f t="shared" si="250"/>
        <v>#DIV/0!</v>
      </c>
      <c r="WGC132" s="531" t="e">
        <f t="shared" si="250"/>
        <v>#DIV/0!</v>
      </c>
      <c r="WGD132" s="531" t="e">
        <f t="shared" si="250"/>
        <v>#DIV/0!</v>
      </c>
      <c r="WGE132" s="531" t="e">
        <f t="shared" si="250"/>
        <v>#DIV/0!</v>
      </c>
      <c r="WGF132" s="531" t="e">
        <f t="shared" si="250"/>
        <v>#DIV/0!</v>
      </c>
      <c r="WGG132" s="531" t="e">
        <f t="shared" si="250"/>
        <v>#DIV/0!</v>
      </c>
      <c r="WGH132" s="531" t="e">
        <f t="shared" si="250"/>
        <v>#DIV/0!</v>
      </c>
      <c r="WGI132" s="531" t="e">
        <f t="shared" si="250"/>
        <v>#DIV/0!</v>
      </c>
      <c r="WGJ132" s="531" t="e">
        <f t="shared" si="250"/>
        <v>#DIV/0!</v>
      </c>
      <c r="WGK132" s="531" t="e">
        <f t="shared" si="250"/>
        <v>#DIV/0!</v>
      </c>
      <c r="WGL132" s="531" t="e">
        <f t="shared" si="250"/>
        <v>#DIV/0!</v>
      </c>
      <c r="WGM132" s="531" t="e">
        <f t="shared" si="250"/>
        <v>#DIV/0!</v>
      </c>
      <c r="WGN132" s="531" t="e">
        <f t="shared" si="250"/>
        <v>#DIV/0!</v>
      </c>
      <c r="WGO132" s="531" t="e">
        <f t="shared" si="250"/>
        <v>#DIV/0!</v>
      </c>
      <c r="WGP132" s="531" t="e">
        <f t="shared" si="250"/>
        <v>#DIV/0!</v>
      </c>
      <c r="WGQ132" s="531" t="e">
        <f t="shared" si="250"/>
        <v>#DIV/0!</v>
      </c>
      <c r="WGR132" s="531" t="e">
        <f t="shared" si="250"/>
        <v>#DIV/0!</v>
      </c>
      <c r="WGS132" s="531" t="e">
        <f t="shared" si="250"/>
        <v>#DIV/0!</v>
      </c>
      <c r="WGT132" s="531" t="e">
        <f t="shared" si="250"/>
        <v>#DIV/0!</v>
      </c>
      <c r="WGU132" s="531" t="e">
        <f t="shared" ref="WGU132:WJF132" si="251">(WGU128-WGU116)/(WGU52*10^5)</f>
        <v>#DIV/0!</v>
      </c>
      <c r="WGV132" s="531" t="e">
        <f t="shared" si="251"/>
        <v>#DIV/0!</v>
      </c>
      <c r="WGW132" s="531" t="e">
        <f t="shared" si="251"/>
        <v>#DIV/0!</v>
      </c>
      <c r="WGX132" s="531" t="e">
        <f t="shared" si="251"/>
        <v>#DIV/0!</v>
      </c>
      <c r="WGY132" s="531" t="e">
        <f t="shared" si="251"/>
        <v>#DIV/0!</v>
      </c>
      <c r="WGZ132" s="531" t="e">
        <f t="shared" si="251"/>
        <v>#DIV/0!</v>
      </c>
      <c r="WHA132" s="531" t="e">
        <f t="shared" si="251"/>
        <v>#DIV/0!</v>
      </c>
      <c r="WHB132" s="531" t="e">
        <f t="shared" si="251"/>
        <v>#DIV/0!</v>
      </c>
      <c r="WHC132" s="531" t="e">
        <f t="shared" si="251"/>
        <v>#DIV/0!</v>
      </c>
      <c r="WHD132" s="531" t="e">
        <f t="shared" si="251"/>
        <v>#DIV/0!</v>
      </c>
      <c r="WHE132" s="531" t="e">
        <f t="shared" si="251"/>
        <v>#DIV/0!</v>
      </c>
      <c r="WHF132" s="531" t="e">
        <f t="shared" si="251"/>
        <v>#DIV/0!</v>
      </c>
      <c r="WHG132" s="531" t="e">
        <f t="shared" si="251"/>
        <v>#DIV/0!</v>
      </c>
      <c r="WHH132" s="531" t="e">
        <f t="shared" si="251"/>
        <v>#DIV/0!</v>
      </c>
      <c r="WHI132" s="531" t="e">
        <f t="shared" si="251"/>
        <v>#DIV/0!</v>
      </c>
      <c r="WHJ132" s="531" t="e">
        <f t="shared" si="251"/>
        <v>#DIV/0!</v>
      </c>
      <c r="WHK132" s="531" t="e">
        <f t="shared" si="251"/>
        <v>#DIV/0!</v>
      </c>
      <c r="WHL132" s="531" t="e">
        <f t="shared" si="251"/>
        <v>#DIV/0!</v>
      </c>
      <c r="WHM132" s="531" t="e">
        <f t="shared" si="251"/>
        <v>#DIV/0!</v>
      </c>
      <c r="WHN132" s="531" t="e">
        <f t="shared" si="251"/>
        <v>#DIV/0!</v>
      </c>
      <c r="WHO132" s="531" t="e">
        <f t="shared" si="251"/>
        <v>#DIV/0!</v>
      </c>
      <c r="WHP132" s="531" t="e">
        <f t="shared" si="251"/>
        <v>#DIV/0!</v>
      </c>
      <c r="WHQ132" s="531" t="e">
        <f t="shared" si="251"/>
        <v>#DIV/0!</v>
      </c>
      <c r="WHR132" s="531" t="e">
        <f t="shared" si="251"/>
        <v>#DIV/0!</v>
      </c>
      <c r="WHS132" s="531" t="e">
        <f t="shared" si="251"/>
        <v>#DIV/0!</v>
      </c>
      <c r="WHT132" s="531" t="e">
        <f t="shared" si="251"/>
        <v>#DIV/0!</v>
      </c>
      <c r="WHU132" s="531" t="e">
        <f t="shared" si="251"/>
        <v>#DIV/0!</v>
      </c>
      <c r="WHV132" s="531" t="e">
        <f t="shared" si="251"/>
        <v>#DIV/0!</v>
      </c>
      <c r="WHW132" s="531" t="e">
        <f t="shared" si="251"/>
        <v>#DIV/0!</v>
      </c>
      <c r="WHX132" s="531" t="e">
        <f t="shared" si="251"/>
        <v>#DIV/0!</v>
      </c>
      <c r="WHY132" s="531" t="e">
        <f t="shared" si="251"/>
        <v>#DIV/0!</v>
      </c>
      <c r="WHZ132" s="531" t="e">
        <f t="shared" si="251"/>
        <v>#DIV/0!</v>
      </c>
      <c r="WIA132" s="531" t="e">
        <f t="shared" si="251"/>
        <v>#DIV/0!</v>
      </c>
      <c r="WIB132" s="531" t="e">
        <f t="shared" si="251"/>
        <v>#DIV/0!</v>
      </c>
      <c r="WIC132" s="531" t="e">
        <f t="shared" si="251"/>
        <v>#DIV/0!</v>
      </c>
      <c r="WID132" s="531" t="e">
        <f t="shared" si="251"/>
        <v>#DIV/0!</v>
      </c>
      <c r="WIE132" s="531" t="e">
        <f t="shared" si="251"/>
        <v>#DIV/0!</v>
      </c>
      <c r="WIF132" s="531" t="e">
        <f t="shared" si="251"/>
        <v>#DIV/0!</v>
      </c>
      <c r="WIG132" s="531" t="e">
        <f t="shared" si="251"/>
        <v>#DIV/0!</v>
      </c>
      <c r="WIH132" s="531" t="e">
        <f t="shared" si="251"/>
        <v>#DIV/0!</v>
      </c>
      <c r="WII132" s="531" t="e">
        <f t="shared" si="251"/>
        <v>#DIV/0!</v>
      </c>
      <c r="WIJ132" s="531" t="e">
        <f t="shared" si="251"/>
        <v>#DIV/0!</v>
      </c>
      <c r="WIK132" s="531" t="e">
        <f t="shared" si="251"/>
        <v>#DIV/0!</v>
      </c>
      <c r="WIL132" s="531" t="e">
        <f t="shared" si="251"/>
        <v>#DIV/0!</v>
      </c>
      <c r="WIM132" s="531" t="e">
        <f t="shared" si="251"/>
        <v>#DIV/0!</v>
      </c>
      <c r="WIN132" s="531" t="e">
        <f t="shared" si="251"/>
        <v>#DIV/0!</v>
      </c>
      <c r="WIO132" s="531" t="e">
        <f t="shared" si="251"/>
        <v>#DIV/0!</v>
      </c>
      <c r="WIP132" s="531" t="e">
        <f t="shared" si="251"/>
        <v>#DIV/0!</v>
      </c>
      <c r="WIQ132" s="531" t="e">
        <f t="shared" si="251"/>
        <v>#DIV/0!</v>
      </c>
      <c r="WIR132" s="531" t="e">
        <f t="shared" si="251"/>
        <v>#DIV/0!</v>
      </c>
      <c r="WIS132" s="531" t="e">
        <f t="shared" si="251"/>
        <v>#DIV/0!</v>
      </c>
      <c r="WIT132" s="531" t="e">
        <f t="shared" si="251"/>
        <v>#DIV/0!</v>
      </c>
      <c r="WIU132" s="531" t="e">
        <f t="shared" si="251"/>
        <v>#DIV/0!</v>
      </c>
      <c r="WIV132" s="531" t="e">
        <f t="shared" si="251"/>
        <v>#DIV/0!</v>
      </c>
      <c r="WIW132" s="531" t="e">
        <f t="shared" si="251"/>
        <v>#DIV/0!</v>
      </c>
      <c r="WIX132" s="531" t="e">
        <f t="shared" si="251"/>
        <v>#DIV/0!</v>
      </c>
      <c r="WIY132" s="531" t="e">
        <f t="shared" si="251"/>
        <v>#DIV/0!</v>
      </c>
      <c r="WIZ132" s="531" t="e">
        <f t="shared" si="251"/>
        <v>#DIV/0!</v>
      </c>
      <c r="WJA132" s="531" t="e">
        <f t="shared" si="251"/>
        <v>#DIV/0!</v>
      </c>
      <c r="WJB132" s="531" t="e">
        <f t="shared" si="251"/>
        <v>#DIV/0!</v>
      </c>
      <c r="WJC132" s="531" t="e">
        <f t="shared" si="251"/>
        <v>#DIV/0!</v>
      </c>
      <c r="WJD132" s="531" t="e">
        <f t="shared" si="251"/>
        <v>#DIV/0!</v>
      </c>
      <c r="WJE132" s="531" t="e">
        <f t="shared" si="251"/>
        <v>#DIV/0!</v>
      </c>
      <c r="WJF132" s="531" t="e">
        <f t="shared" si="251"/>
        <v>#DIV/0!</v>
      </c>
      <c r="WJG132" s="531" t="e">
        <f t="shared" ref="WJG132:WLR132" si="252">(WJG128-WJG116)/(WJG52*10^5)</f>
        <v>#DIV/0!</v>
      </c>
      <c r="WJH132" s="531" t="e">
        <f t="shared" si="252"/>
        <v>#DIV/0!</v>
      </c>
      <c r="WJI132" s="531" t="e">
        <f t="shared" si="252"/>
        <v>#DIV/0!</v>
      </c>
      <c r="WJJ132" s="531" t="e">
        <f t="shared" si="252"/>
        <v>#DIV/0!</v>
      </c>
      <c r="WJK132" s="531" t="e">
        <f t="shared" si="252"/>
        <v>#DIV/0!</v>
      </c>
      <c r="WJL132" s="531" t="e">
        <f t="shared" si="252"/>
        <v>#DIV/0!</v>
      </c>
      <c r="WJM132" s="531" t="e">
        <f t="shared" si="252"/>
        <v>#DIV/0!</v>
      </c>
      <c r="WJN132" s="531" t="e">
        <f t="shared" si="252"/>
        <v>#DIV/0!</v>
      </c>
      <c r="WJO132" s="531" t="e">
        <f t="shared" si="252"/>
        <v>#DIV/0!</v>
      </c>
      <c r="WJP132" s="531" t="e">
        <f t="shared" si="252"/>
        <v>#DIV/0!</v>
      </c>
      <c r="WJQ132" s="531" t="e">
        <f t="shared" si="252"/>
        <v>#DIV/0!</v>
      </c>
      <c r="WJR132" s="531" t="e">
        <f t="shared" si="252"/>
        <v>#DIV/0!</v>
      </c>
      <c r="WJS132" s="531" t="e">
        <f t="shared" si="252"/>
        <v>#DIV/0!</v>
      </c>
      <c r="WJT132" s="531" t="e">
        <f t="shared" si="252"/>
        <v>#DIV/0!</v>
      </c>
      <c r="WJU132" s="531" t="e">
        <f t="shared" si="252"/>
        <v>#DIV/0!</v>
      </c>
      <c r="WJV132" s="531" t="e">
        <f t="shared" si="252"/>
        <v>#DIV/0!</v>
      </c>
      <c r="WJW132" s="531" t="e">
        <f t="shared" si="252"/>
        <v>#DIV/0!</v>
      </c>
      <c r="WJX132" s="531" t="e">
        <f t="shared" si="252"/>
        <v>#DIV/0!</v>
      </c>
      <c r="WJY132" s="531" t="e">
        <f t="shared" si="252"/>
        <v>#DIV/0!</v>
      </c>
      <c r="WJZ132" s="531" t="e">
        <f t="shared" si="252"/>
        <v>#DIV/0!</v>
      </c>
      <c r="WKA132" s="531" t="e">
        <f t="shared" si="252"/>
        <v>#DIV/0!</v>
      </c>
      <c r="WKB132" s="531" t="e">
        <f t="shared" si="252"/>
        <v>#DIV/0!</v>
      </c>
      <c r="WKC132" s="531" t="e">
        <f t="shared" si="252"/>
        <v>#DIV/0!</v>
      </c>
      <c r="WKD132" s="531" t="e">
        <f t="shared" si="252"/>
        <v>#DIV/0!</v>
      </c>
      <c r="WKE132" s="531" t="e">
        <f t="shared" si="252"/>
        <v>#DIV/0!</v>
      </c>
      <c r="WKF132" s="531" t="e">
        <f t="shared" si="252"/>
        <v>#DIV/0!</v>
      </c>
      <c r="WKG132" s="531" t="e">
        <f t="shared" si="252"/>
        <v>#DIV/0!</v>
      </c>
      <c r="WKH132" s="531" t="e">
        <f t="shared" si="252"/>
        <v>#DIV/0!</v>
      </c>
      <c r="WKI132" s="531" t="e">
        <f t="shared" si="252"/>
        <v>#DIV/0!</v>
      </c>
      <c r="WKJ132" s="531" t="e">
        <f t="shared" si="252"/>
        <v>#DIV/0!</v>
      </c>
      <c r="WKK132" s="531" t="e">
        <f t="shared" si="252"/>
        <v>#DIV/0!</v>
      </c>
      <c r="WKL132" s="531" t="e">
        <f t="shared" si="252"/>
        <v>#DIV/0!</v>
      </c>
      <c r="WKM132" s="531" t="e">
        <f t="shared" si="252"/>
        <v>#DIV/0!</v>
      </c>
      <c r="WKN132" s="531" t="e">
        <f t="shared" si="252"/>
        <v>#DIV/0!</v>
      </c>
      <c r="WKO132" s="531" t="e">
        <f t="shared" si="252"/>
        <v>#DIV/0!</v>
      </c>
      <c r="WKP132" s="531" t="e">
        <f t="shared" si="252"/>
        <v>#DIV/0!</v>
      </c>
      <c r="WKQ132" s="531" t="e">
        <f t="shared" si="252"/>
        <v>#DIV/0!</v>
      </c>
      <c r="WKR132" s="531" t="e">
        <f t="shared" si="252"/>
        <v>#DIV/0!</v>
      </c>
      <c r="WKS132" s="531" t="e">
        <f t="shared" si="252"/>
        <v>#DIV/0!</v>
      </c>
      <c r="WKT132" s="531" t="e">
        <f t="shared" si="252"/>
        <v>#DIV/0!</v>
      </c>
      <c r="WKU132" s="531" t="e">
        <f t="shared" si="252"/>
        <v>#DIV/0!</v>
      </c>
      <c r="WKV132" s="531" t="e">
        <f t="shared" si="252"/>
        <v>#DIV/0!</v>
      </c>
      <c r="WKW132" s="531" t="e">
        <f t="shared" si="252"/>
        <v>#DIV/0!</v>
      </c>
      <c r="WKX132" s="531" t="e">
        <f t="shared" si="252"/>
        <v>#DIV/0!</v>
      </c>
      <c r="WKY132" s="531" t="e">
        <f t="shared" si="252"/>
        <v>#DIV/0!</v>
      </c>
      <c r="WKZ132" s="531" t="e">
        <f t="shared" si="252"/>
        <v>#DIV/0!</v>
      </c>
      <c r="WLA132" s="531" t="e">
        <f t="shared" si="252"/>
        <v>#DIV/0!</v>
      </c>
      <c r="WLB132" s="531" t="e">
        <f t="shared" si="252"/>
        <v>#DIV/0!</v>
      </c>
      <c r="WLC132" s="531" t="e">
        <f t="shared" si="252"/>
        <v>#DIV/0!</v>
      </c>
      <c r="WLD132" s="531" t="e">
        <f t="shared" si="252"/>
        <v>#DIV/0!</v>
      </c>
      <c r="WLE132" s="531" t="e">
        <f t="shared" si="252"/>
        <v>#DIV/0!</v>
      </c>
      <c r="WLF132" s="531" t="e">
        <f t="shared" si="252"/>
        <v>#DIV/0!</v>
      </c>
      <c r="WLG132" s="531" t="e">
        <f t="shared" si="252"/>
        <v>#DIV/0!</v>
      </c>
      <c r="WLH132" s="531" t="e">
        <f t="shared" si="252"/>
        <v>#DIV/0!</v>
      </c>
      <c r="WLI132" s="531" t="e">
        <f t="shared" si="252"/>
        <v>#DIV/0!</v>
      </c>
      <c r="WLJ132" s="531" t="e">
        <f t="shared" si="252"/>
        <v>#DIV/0!</v>
      </c>
      <c r="WLK132" s="531" t="e">
        <f t="shared" si="252"/>
        <v>#DIV/0!</v>
      </c>
      <c r="WLL132" s="531" t="e">
        <f t="shared" si="252"/>
        <v>#DIV/0!</v>
      </c>
      <c r="WLM132" s="531" t="e">
        <f t="shared" si="252"/>
        <v>#DIV/0!</v>
      </c>
      <c r="WLN132" s="531" t="e">
        <f t="shared" si="252"/>
        <v>#DIV/0!</v>
      </c>
      <c r="WLO132" s="531" t="e">
        <f t="shared" si="252"/>
        <v>#DIV/0!</v>
      </c>
      <c r="WLP132" s="531" t="e">
        <f t="shared" si="252"/>
        <v>#DIV/0!</v>
      </c>
      <c r="WLQ132" s="531" t="e">
        <f t="shared" si="252"/>
        <v>#DIV/0!</v>
      </c>
      <c r="WLR132" s="531" t="e">
        <f t="shared" si="252"/>
        <v>#DIV/0!</v>
      </c>
      <c r="WLS132" s="531" t="e">
        <f t="shared" ref="WLS132:WOD132" si="253">(WLS128-WLS116)/(WLS52*10^5)</f>
        <v>#DIV/0!</v>
      </c>
      <c r="WLT132" s="531" t="e">
        <f t="shared" si="253"/>
        <v>#DIV/0!</v>
      </c>
      <c r="WLU132" s="531" t="e">
        <f t="shared" si="253"/>
        <v>#DIV/0!</v>
      </c>
      <c r="WLV132" s="531" t="e">
        <f t="shared" si="253"/>
        <v>#DIV/0!</v>
      </c>
      <c r="WLW132" s="531" t="e">
        <f t="shared" si="253"/>
        <v>#DIV/0!</v>
      </c>
      <c r="WLX132" s="531" t="e">
        <f t="shared" si="253"/>
        <v>#DIV/0!</v>
      </c>
      <c r="WLY132" s="531" t="e">
        <f t="shared" si="253"/>
        <v>#DIV/0!</v>
      </c>
      <c r="WLZ132" s="531" t="e">
        <f t="shared" si="253"/>
        <v>#DIV/0!</v>
      </c>
      <c r="WMA132" s="531" t="e">
        <f t="shared" si="253"/>
        <v>#DIV/0!</v>
      </c>
      <c r="WMB132" s="531" t="e">
        <f t="shared" si="253"/>
        <v>#DIV/0!</v>
      </c>
      <c r="WMC132" s="531" t="e">
        <f t="shared" si="253"/>
        <v>#DIV/0!</v>
      </c>
      <c r="WMD132" s="531" t="e">
        <f t="shared" si="253"/>
        <v>#DIV/0!</v>
      </c>
      <c r="WME132" s="531" t="e">
        <f t="shared" si="253"/>
        <v>#DIV/0!</v>
      </c>
      <c r="WMF132" s="531" t="e">
        <f t="shared" si="253"/>
        <v>#DIV/0!</v>
      </c>
      <c r="WMG132" s="531" t="e">
        <f t="shared" si="253"/>
        <v>#DIV/0!</v>
      </c>
      <c r="WMH132" s="531" t="e">
        <f t="shared" si="253"/>
        <v>#DIV/0!</v>
      </c>
      <c r="WMI132" s="531" t="e">
        <f t="shared" si="253"/>
        <v>#DIV/0!</v>
      </c>
      <c r="WMJ132" s="531" t="e">
        <f t="shared" si="253"/>
        <v>#DIV/0!</v>
      </c>
      <c r="WMK132" s="531" t="e">
        <f t="shared" si="253"/>
        <v>#DIV/0!</v>
      </c>
      <c r="WML132" s="531" t="e">
        <f t="shared" si="253"/>
        <v>#DIV/0!</v>
      </c>
      <c r="WMM132" s="531" t="e">
        <f t="shared" si="253"/>
        <v>#DIV/0!</v>
      </c>
      <c r="WMN132" s="531" t="e">
        <f t="shared" si="253"/>
        <v>#DIV/0!</v>
      </c>
      <c r="WMO132" s="531" t="e">
        <f t="shared" si="253"/>
        <v>#DIV/0!</v>
      </c>
      <c r="WMP132" s="531" t="e">
        <f t="shared" si="253"/>
        <v>#DIV/0!</v>
      </c>
      <c r="WMQ132" s="531" t="e">
        <f t="shared" si="253"/>
        <v>#DIV/0!</v>
      </c>
      <c r="WMR132" s="531" t="e">
        <f t="shared" si="253"/>
        <v>#DIV/0!</v>
      </c>
      <c r="WMS132" s="531" t="e">
        <f t="shared" si="253"/>
        <v>#DIV/0!</v>
      </c>
      <c r="WMT132" s="531" t="e">
        <f t="shared" si="253"/>
        <v>#DIV/0!</v>
      </c>
      <c r="WMU132" s="531" t="e">
        <f t="shared" si="253"/>
        <v>#DIV/0!</v>
      </c>
      <c r="WMV132" s="531" t="e">
        <f t="shared" si="253"/>
        <v>#DIV/0!</v>
      </c>
      <c r="WMW132" s="531" t="e">
        <f t="shared" si="253"/>
        <v>#DIV/0!</v>
      </c>
      <c r="WMX132" s="531" t="e">
        <f t="shared" si="253"/>
        <v>#DIV/0!</v>
      </c>
      <c r="WMY132" s="531" t="e">
        <f t="shared" si="253"/>
        <v>#DIV/0!</v>
      </c>
      <c r="WMZ132" s="531" t="e">
        <f t="shared" si="253"/>
        <v>#DIV/0!</v>
      </c>
      <c r="WNA132" s="531" t="e">
        <f t="shared" si="253"/>
        <v>#DIV/0!</v>
      </c>
      <c r="WNB132" s="531" t="e">
        <f t="shared" si="253"/>
        <v>#DIV/0!</v>
      </c>
      <c r="WNC132" s="531" t="e">
        <f t="shared" si="253"/>
        <v>#DIV/0!</v>
      </c>
      <c r="WND132" s="531" t="e">
        <f t="shared" si="253"/>
        <v>#DIV/0!</v>
      </c>
      <c r="WNE132" s="531" t="e">
        <f t="shared" si="253"/>
        <v>#DIV/0!</v>
      </c>
      <c r="WNF132" s="531" t="e">
        <f t="shared" si="253"/>
        <v>#DIV/0!</v>
      </c>
      <c r="WNG132" s="531" t="e">
        <f t="shared" si="253"/>
        <v>#DIV/0!</v>
      </c>
      <c r="WNH132" s="531" t="e">
        <f t="shared" si="253"/>
        <v>#DIV/0!</v>
      </c>
      <c r="WNI132" s="531" t="e">
        <f t="shared" si="253"/>
        <v>#DIV/0!</v>
      </c>
      <c r="WNJ132" s="531" t="e">
        <f t="shared" si="253"/>
        <v>#DIV/0!</v>
      </c>
      <c r="WNK132" s="531" t="e">
        <f t="shared" si="253"/>
        <v>#DIV/0!</v>
      </c>
      <c r="WNL132" s="531" t="e">
        <f t="shared" si="253"/>
        <v>#DIV/0!</v>
      </c>
      <c r="WNM132" s="531" t="e">
        <f t="shared" si="253"/>
        <v>#DIV/0!</v>
      </c>
      <c r="WNN132" s="531" t="e">
        <f t="shared" si="253"/>
        <v>#DIV/0!</v>
      </c>
      <c r="WNO132" s="531" t="e">
        <f t="shared" si="253"/>
        <v>#DIV/0!</v>
      </c>
      <c r="WNP132" s="531" t="e">
        <f t="shared" si="253"/>
        <v>#DIV/0!</v>
      </c>
      <c r="WNQ132" s="531" t="e">
        <f t="shared" si="253"/>
        <v>#DIV/0!</v>
      </c>
      <c r="WNR132" s="531" t="e">
        <f t="shared" si="253"/>
        <v>#DIV/0!</v>
      </c>
      <c r="WNS132" s="531" t="e">
        <f t="shared" si="253"/>
        <v>#DIV/0!</v>
      </c>
      <c r="WNT132" s="531" t="e">
        <f t="shared" si="253"/>
        <v>#DIV/0!</v>
      </c>
      <c r="WNU132" s="531" t="e">
        <f t="shared" si="253"/>
        <v>#DIV/0!</v>
      </c>
      <c r="WNV132" s="531" t="e">
        <f t="shared" si="253"/>
        <v>#DIV/0!</v>
      </c>
      <c r="WNW132" s="531" t="e">
        <f t="shared" si="253"/>
        <v>#DIV/0!</v>
      </c>
      <c r="WNX132" s="531" t="e">
        <f t="shared" si="253"/>
        <v>#DIV/0!</v>
      </c>
      <c r="WNY132" s="531" t="e">
        <f t="shared" si="253"/>
        <v>#DIV/0!</v>
      </c>
      <c r="WNZ132" s="531" t="e">
        <f t="shared" si="253"/>
        <v>#DIV/0!</v>
      </c>
      <c r="WOA132" s="531" t="e">
        <f t="shared" si="253"/>
        <v>#DIV/0!</v>
      </c>
      <c r="WOB132" s="531" t="e">
        <f t="shared" si="253"/>
        <v>#DIV/0!</v>
      </c>
      <c r="WOC132" s="531" t="e">
        <f t="shared" si="253"/>
        <v>#DIV/0!</v>
      </c>
      <c r="WOD132" s="531" t="e">
        <f t="shared" si="253"/>
        <v>#DIV/0!</v>
      </c>
      <c r="WOE132" s="531" t="e">
        <f t="shared" ref="WOE132:WQP132" si="254">(WOE128-WOE116)/(WOE52*10^5)</f>
        <v>#DIV/0!</v>
      </c>
      <c r="WOF132" s="531" t="e">
        <f t="shared" si="254"/>
        <v>#DIV/0!</v>
      </c>
      <c r="WOG132" s="531" t="e">
        <f t="shared" si="254"/>
        <v>#DIV/0!</v>
      </c>
      <c r="WOH132" s="531" t="e">
        <f t="shared" si="254"/>
        <v>#DIV/0!</v>
      </c>
      <c r="WOI132" s="531" t="e">
        <f t="shared" si="254"/>
        <v>#DIV/0!</v>
      </c>
      <c r="WOJ132" s="531" t="e">
        <f t="shared" si="254"/>
        <v>#DIV/0!</v>
      </c>
      <c r="WOK132" s="531" t="e">
        <f t="shared" si="254"/>
        <v>#DIV/0!</v>
      </c>
      <c r="WOL132" s="531" t="e">
        <f t="shared" si="254"/>
        <v>#DIV/0!</v>
      </c>
      <c r="WOM132" s="531" t="e">
        <f t="shared" si="254"/>
        <v>#DIV/0!</v>
      </c>
      <c r="WON132" s="531" t="e">
        <f t="shared" si="254"/>
        <v>#DIV/0!</v>
      </c>
      <c r="WOO132" s="531" t="e">
        <f t="shared" si="254"/>
        <v>#DIV/0!</v>
      </c>
      <c r="WOP132" s="531" t="e">
        <f t="shared" si="254"/>
        <v>#DIV/0!</v>
      </c>
      <c r="WOQ132" s="531" t="e">
        <f t="shared" si="254"/>
        <v>#DIV/0!</v>
      </c>
      <c r="WOR132" s="531" t="e">
        <f t="shared" si="254"/>
        <v>#DIV/0!</v>
      </c>
      <c r="WOS132" s="531" t="e">
        <f t="shared" si="254"/>
        <v>#DIV/0!</v>
      </c>
      <c r="WOT132" s="531" t="e">
        <f t="shared" si="254"/>
        <v>#DIV/0!</v>
      </c>
      <c r="WOU132" s="531" t="e">
        <f t="shared" si="254"/>
        <v>#DIV/0!</v>
      </c>
      <c r="WOV132" s="531" t="e">
        <f t="shared" si="254"/>
        <v>#DIV/0!</v>
      </c>
      <c r="WOW132" s="531" t="e">
        <f t="shared" si="254"/>
        <v>#DIV/0!</v>
      </c>
      <c r="WOX132" s="531" t="e">
        <f t="shared" si="254"/>
        <v>#DIV/0!</v>
      </c>
      <c r="WOY132" s="531" t="e">
        <f t="shared" si="254"/>
        <v>#DIV/0!</v>
      </c>
      <c r="WOZ132" s="531" t="e">
        <f t="shared" si="254"/>
        <v>#DIV/0!</v>
      </c>
      <c r="WPA132" s="531" t="e">
        <f t="shared" si="254"/>
        <v>#DIV/0!</v>
      </c>
      <c r="WPB132" s="531" t="e">
        <f t="shared" si="254"/>
        <v>#DIV/0!</v>
      </c>
      <c r="WPC132" s="531" t="e">
        <f t="shared" si="254"/>
        <v>#DIV/0!</v>
      </c>
      <c r="WPD132" s="531" t="e">
        <f t="shared" si="254"/>
        <v>#DIV/0!</v>
      </c>
      <c r="WPE132" s="531" t="e">
        <f t="shared" si="254"/>
        <v>#DIV/0!</v>
      </c>
      <c r="WPF132" s="531" t="e">
        <f t="shared" si="254"/>
        <v>#DIV/0!</v>
      </c>
      <c r="WPG132" s="531" t="e">
        <f t="shared" si="254"/>
        <v>#DIV/0!</v>
      </c>
      <c r="WPH132" s="531" t="e">
        <f t="shared" si="254"/>
        <v>#DIV/0!</v>
      </c>
      <c r="WPI132" s="531" t="e">
        <f t="shared" si="254"/>
        <v>#DIV/0!</v>
      </c>
      <c r="WPJ132" s="531" t="e">
        <f t="shared" si="254"/>
        <v>#DIV/0!</v>
      </c>
      <c r="WPK132" s="531" t="e">
        <f t="shared" si="254"/>
        <v>#DIV/0!</v>
      </c>
      <c r="WPL132" s="531" t="e">
        <f t="shared" si="254"/>
        <v>#DIV/0!</v>
      </c>
      <c r="WPM132" s="531" t="e">
        <f t="shared" si="254"/>
        <v>#DIV/0!</v>
      </c>
      <c r="WPN132" s="531" t="e">
        <f t="shared" si="254"/>
        <v>#DIV/0!</v>
      </c>
      <c r="WPO132" s="531" t="e">
        <f t="shared" si="254"/>
        <v>#DIV/0!</v>
      </c>
      <c r="WPP132" s="531" t="e">
        <f t="shared" si="254"/>
        <v>#DIV/0!</v>
      </c>
      <c r="WPQ132" s="531" t="e">
        <f t="shared" si="254"/>
        <v>#DIV/0!</v>
      </c>
      <c r="WPR132" s="531" t="e">
        <f t="shared" si="254"/>
        <v>#DIV/0!</v>
      </c>
      <c r="WPS132" s="531" t="e">
        <f t="shared" si="254"/>
        <v>#DIV/0!</v>
      </c>
      <c r="WPT132" s="531" t="e">
        <f t="shared" si="254"/>
        <v>#DIV/0!</v>
      </c>
      <c r="WPU132" s="531" t="e">
        <f t="shared" si="254"/>
        <v>#DIV/0!</v>
      </c>
      <c r="WPV132" s="531" t="e">
        <f t="shared" si="254"/>
        <v>#DIV/0!</v>
      </c>
      <c r="WPW132" s="531" t="e">
        <f t="shared" si="254"/>
        <v>#DIV/0!</v>
      </c>
      <c r="WPX132" s="531" t="e">
        <f t="shared" si="254"/>
        <v>#DIV/0!</v>
      </c>
      <c r="WPY132" s="531" t="e">
        <f t="shared" si="254"/>
        <v>#DIV/0!</v>
      </c>
      <c r="WPZ132" s="531" t="e">
        <f t="shared" si="254"/>
        <v>#DIV/0!</v>
      </c>
      <c r="WQA132" s="531" t="e">
        <f t="shared" si="254"/>
        <v>#DIV/0!</v>
      </c>
      <c r="WQB132" s="531" t="e">
        <f t="shared" si="254"/>
        <v>#DIV/0!</v>
      </c>
      <c r="WQC132" s="531" t="e">
        <f t="shared" si="254"/>
        <v>#DIV/0!</v>
      </c>
      <c r="WQD132" s="531" t="e">
        <f t="shared" si="254"/>
        <v>#DIV/0!</v>
      </c>
      <c r="WQE132" s="531" t="e">
        <f t="shared" si="254"/>
        <v>#DIV/0!</v>
      </c>
      <c r="WQF132" s="531" t="e">
        <f t="shared" si="254"/>
        <v>#DIV/0!</v>
      </c>
      <c r="WQG132" s="531" t="e">
        <f t="shared" si="254"/>
        <v>#DIV/0!</v>
      </c>
      <c r="WQH132" s="531" t="e">
        <f t="shared" si="254"/>
        <v>#DIV/0!</v>
      </c>
      <c r="WQI132" s="531" t="e">
        <f t="shared" si="254"/>
        <v>#DIV/0!</v>
      </c>
      <c r="WQJ132" s="531" t="e">
        <f t="shared" si="254"/>
        <v>#DIV/0!</v>
      </c>
      <c r="WQK132" s="531" t="e">
        <f t="shared" si="254"/>
        <v>#DIV/0!</v>
      </c>
      <c r="WQL132" s="531" t="e">
        <f t="shared" si="254"/>
        <v>#DIV/0!</v>
      </c>
      <c r="WQM132" s="531" t="e">
        <f t="shared" si="254"/>
        <v>#DIV/0!</v>
      </c>
      <c r="WQN132" s="531" t="e">
        <f t="shared" si="254"/>
        <v>#DIV/0!</v>
      </c>
      <c r="WQO132" s="531" t="e">
        <f t="shared" si="254"/>
        <v>#DIV/0!</v>
      </c>
      <c r="WQP132" s="531" t="e">
        <f t="shared" si="254"/>
        <v>#DIV/0!</v>
      </c>
      <c r="WQQ132" s="531" t="e">
        <f t="shared" ref="WQQ132:WTB132" si="255">(WQQ128-WQQ116)/(WQQ52*10^5)</f>
        <v>#DIV/0!</v>
      </c>
      <c r="WQR132" s="531" t="e">
        <f t="shared" si="255"/>
        <v>#DIV/0!</v>
      </c>
      <c r="WQS132" s="531" t="e">
        <f t="shared" si="255"/>
        <v>#DIV/0!</v>
      </c>
      <c r="WQT132" s="531" t="e">
        <f t="shared" si="255"/>
        <v>#DIV/0!</v>
      </c>
      <c r="WQU132" s="531" t="e">
        <f t="shared" si="255"/>
        <v>#DIV/0!</v>
      </c>
      <c r="WQV132" s="531" t="e">
        <f t="shared" si="255"/>
        <v>#DIV/0!</v>
      </c>
      <c r="WQW132" s="531" t="e">
        <f t="shared" si="255"/>
        <v>#DIV/0!</v>
      </c>
      <c r="WQX132" s="531" t="e">
        <f t="shared" si="255"/>
        <v>#DIV/0!</v>
      </c>
      <c r="WQY132" s="531" t="e">
        <f t="shared" si="255"/>
        <v>#DIV/0!</v>
      </c>
      <c r="WQZ132" s="531" t="e">
        <f t="shared" si="255"/>
        <v>#DIV/0!</v>
      </c>
      <c r="WRA132" s="531" t="e">
        <f t="shared" si="255"/>
        <v>#DIV/0!</v>
      </c>
      <c r="WRB132" s="531" t="e">
        <f t="shared" si="255"/>
        <v>#DIV/0!</v>
      </c>
      <c r="WRC132" s="531" t="e">
        <f t="shared" si="255"/>
        <v>#DIV/0!</v>
      </c>
      <c r="WRD132" s="531" t="e">
        <f t="shared" si="255"/>
        <v>#DIV/0!</v>
      </c>
      <c r="WRE132" s="531" t="e">
        <f t="shared" si="255"/>
        <v>#DIV/0!</v>
      </c>
      <c r="WRF132" s="531" t="e">
        <f t="shared" si="255"/>
        <v>#DIV/0!</v>
      </c>
      <c r="WRG132" s="531" t="e">
        <f t="shared" si="255"/>
        <v>#DIV/0!</v>
      </c>
      <c r="WRH132" s="531" t="e">
        <f t="shared" si="255"/>
        <v>#DIV/0!</v>
      </c>
      <c r="WRI132" s="531" t="e">
        <f t="shared" si="255"/>
        <v>#DIV/0!</v>
      </c>
      <c r="WRJ132" s="531" t="e">
        <f t="shared" si="255"/>
        <v>#DIV/0!</v>
      </c>
      <c r="WRK132" s="531" t="e">
        <f t="shared" si="255"/>
        <v>#DIV/0!</v>
      </c>
      <c r="WRL132" s="531" t="e">
        <f t="shared" si="255"/>
        <v>#DIV/0!</v>
      </c>
      <c r="WRM132" s="531" t="e">
        <f t="shared" si="255"/>
        <v>#DIV/0!</v>
      </c>
      <c r="WRN132" s="531" t="e">
        <f t="shared" si="255"/>
        <v>#DIV/0!</v>
      </c>
      <c r="WRO132" s="531" t="e">
        <f t="shared" si="255"/>
        <v>#DIV/0!</v>
      </c>
      <c r="WRP132" s="531" t="e">
        <f t="shared" si="255"/>
        <v>#DIV/0!</v>
      </c>
      <c r="WRQ132" s="531" t="e">
        <f t="shared" si="255"/>
        <v>#DIV/0!</v>
      </c>
      <c r="WRR132" s="531" t="e">
        <f t="shared" si="255"/>
        <v>#DIV/0!</v>
      </c>
      <c r="WRS132" s="531" t="e">
        <f t="shared" si="255"/>
        <v>#DIV/0!</v>
      </c>
      <c r="WRT132" s="531" t="e">
        <f t="shared" si="255"/>
        <v>#DIV/0!</v>
      </c>
      <c r="WRU132" s="531" t="e">
        <f t="shared" si="255"/>
        <v>#DIV/0!</v>
      </c>
      <c r="WRV132" s="531" t="e">
        <f t="shared" si="255"/>
        <v>#DIV/0!</v>
      </c>
      <c r="WRW132" s="531" t="e">
        <f t="shared" si="255"/>
        <v>#DIV/0!</v>
      </c>
      <c r="WRX132" s="531" t="e">
        <f t="shared" si="255"/>
        <v>#DIV/0!</v>
      </c>
      <c r="WRY132" s="531" t="e">
        <f t="shared" si="255"/>
        <v>#DIV/0!</v>
      </c>
      <c r="WRZ132" s="531" t="e">
        <f t="shared" si="255"/>
        <v>#DIV/0!</v>
      </c>
      <c r="WSA132" s="531" t="e">
        <f t="shared" si="255"/>
        <v>#DIV/0!</v>
      </c>
      <c r="WSB132" s="531" t="e">
        <f t="shared" si="255"/>
        <v>#DIV/0!</v>
      </c>
      <c r="WSC132" s="531" t="e">
        <f t="shared" si="255"/>
        <v>#DIV/0!</v>
      </c>
      <c r="WSD132" s="531" t="e">
        <f t="shared" si="255"/>
        <v>#DIV/0!</v>
      </c>
      <c r="WSE132" s="531" t="e">
        <f t="shared" si="255"/>
        <v>#DIV/0!</v>
      </c>
      <c r="WSF132" s="531" t="e">
        <f t="shared" si="255"/>
        <v>#DIV/0!</v>
      </c>
      <c r="WSG132" s="531" t="e">
        <f t="shared" si="255"/>
        <v>#DIV/0!</v>
      </c>
      <c r="WSH132" s="531" t="e">
        <f t="shared" si="255"/>
        <v>#DIV/0!</v>
      </c>
      <c r="WSI132" s="531" t="e">
        <f t="shared" si="255"/>
        <v>#DIV/0!</v>
      </c>
      <c r="WSJ132" s="531" t="e">
        <f t="shared" si="255"/>
        <v>#DIV/0!</v>
      </c>
      <c r="WSK132" s="531" t="e">
        <f t="shared" si="255"/>
        <v>#DIV/0!</v>
      </c>
      <c r="WSL132" s="531" t="e">
        <f t="shared" si="255"/>
        <v>#DIV/0!</v>
      </c>
      <c r="WSM132" s="531" t="e">
        <f t="shared" si="255"/>
        <v>#DIV/0!</v>
      </c>
      <c r="WSN132" s="531" t="e">
        <f t="shared" si="255"/>
        <v>#DIV/0!</v>
      </c>
      <c r="WSO132" s="531" t="e">
        <f t="shared" si="255"/>
        <v>#DIV/0!</v>
      </c>
      <c r="WSP132" s="531" t="e">
        <f t="shared" si="255"/>
        <v>#DIV/0!</v>
      </c>
      <c r="WSQ132" s="531" t="e">
        <f t="shared" si="255"/>
        <v>#DIV/0!</v>
      </c>
      <c r="WSR132" s="531" t="e">
        <f t="shared" si="255"/>
        <v>#DIV/0!</v>
      </c>
      <c r="WSS132" s="531" t="e">
        <f t="shared" si="255"/>
        <v>#DIV/0!</v>
      </c>
      <c r="WST132" s="531" t="e">
        <f t="shared" si="255"/>
        <v>#DIV/0!</v>
      </c>
      <c r="WSU132" s="531" t="e">
        <f t="shared" si="255"/>
        <v>#DIV/0!</v>
      </c>
      <c r="WSV132" s="531" t="e">
        <f t="shared" si="255"/>
        <v>#DIV/0!</v>
      </c>
      <c r="WSW132" s="531" t="e">
        <f t="shared" si="255"/>
        <v>#DIV/0!</v>
      </c>
      <c r="WSX132" s="531" t="e">
        <f t="shared" si="255"/>
        <v>#DIV/0!</v>
      </c>
      <c r="WSY132" s="531" t="e">
        <f t="shared" si="255"/>
        <v>#DIV/0!</v>
      </c>
      <c r="WSZ132" s="531" t="e">
        <f t="shared" si="255"/>
        <v>#DIV/0!</v>
      </c>
      <c r="WTA132" s="531" t="e">
        <f t="shared" si="255"/>
        <v>#DIV/0!</v>
      </c>
      <c r="WTB132" s="531" t="e">
        <f t="shared" si="255"/>
        <v>#DIV/0!</v>
      </c>
      <c r="WTC132" s="531" t="e">
        <f t="shared" ref="WTC132:WVN132" si="256">(WTC128-WTC116)/(WTC52*10^5)</f>
        <v>#DIV/0!</v>
      </c>
      <c r="WTD132" s="531" t="e">
        <f t="shared" si="256"/>
        <v>#DIV/0!</v>
      </c>
      <c r="WTE132" s="531" t="e">
        <f t="shared" si="256"/>
        <v>#DIV/0!</v>
      </c>
      <c r="WTF132" s="531" t="e">
        <f t="shared" si="256"/>
        <v>#DIV/0!</v>
      </c>
      <c r="WTG132" s="531" t="e">
        <f t="shared" si="256"/>
        <v>#DIV/0!</v>
      </c>
      <c r="WTH132" s="531" t="e">
        <f t="shared" si="256"/>
        <v>#DIV/0!</v>
      </c>
      <c r="WTI132" s="531" t="e">
        <f t="shared" si="256"/>
        <v>#DIV/0!</v>
      </c>
      <c r="WTJ132" s="531" t="e">
        <f t="shared" si="256"/>
        <v>#DIV/0!</v>
      </c>
      <c r="WTK132" s="531" t="e">
        <f t="shared" si="256"/>
        <v>#DIV/0!</v>
      </c>
      <c r="WTL132" s="531" t="e">
        <f t="shared" si="256"/>
        <v>#DIV/0!</v>
      </c>
      <c r="WTM132" s="531" t="e">
        <f t="shared" si="256"/>
        <v>#DIV/0!</v>
      </c>
      <c r="WTN132" s="531" t="e">
        <f t="shared" si="256"/>
        <v>#DIV/0!</v>
      </c>
      <c r="WTO132" s="531" t="e">
        <f t="shared" si="256"/>
        <v>#DIV/0!</v>
      </c>
      <c r="WTP132" s="531" t="e">
        <f t="shared" si="256"/>
        <v>#DIV/0!</v>
      </c>
      <c r="WTQ132" s="531" t="e">
        <f t="shared" si="256"/>
        <v>#DIV/0!</v>
      </c>
      <c r="WTR132" s="531" t="e">
        <f t="shared" si="256"/>
        <v>#DIV/0!</v>
      </c>
      <c r="WTS132" s="531" t="e">
        <f t="shared" si="256"/>
        <v>#DIV/0!</v>
      </c>
      <c r="WTT132" s="531" t="e">
        <f t="shared" si="256"/>
        <v>#DIV/0!</v>
      </c>
      <c r="WTU132" s="531" t="e">
        <f t="shared" si="256"/>
        <v>#DIV/0!</v>
      </c>
      <c r="WTV132" s="531" t="e">
        <f t="shared" si="256"/>
        <v>#DIV/0!</v>
      </c>
      <c r="WTW132" s="531" t="e">
        <f t="shared" si="256"/>
        <v>#DIV/0!</v>
      </c>
      <c r="WTX132" s="531" t="e">
        <f t="shared" si="256"/>
        <v>#DIV/0!</v>
      </c>
      <c r="WTY132" s="531" t="e">
        <f t="shared" si="256"/>
        <v>#DIV/0!</v>
      </c>
      <c r="WTZ132" s="531" t="e">
        <f t="shared" si="256"/>
        <v>#DIV/0!</v>
      </c>
      <c r="WUA132" s="531" t="e">
        <f t="shared" si="256"/>
        <v>#DIV/0!</v>
      </c>
      <c r="WUB132" s="531" t="e">
        <f t="shared" si="256"/>
        <v>#DIV/0!</v>
      </c>
      <c r="WUC132" s="531" t="e">
        <f t="shared" si="256"/>
        <v>#DIV/0!</v>
      </c>
      <c r="WUD132" s="531" t="e">
        <f t="shared" si="256"/>
        <v>#DIV/0!</v>
      </c>
      <c r="WUE132" s="531" t="e">
        <f t="shared" si="256"/>
        <v>#DIV/0!</v>
      </c>
      <c r="WUF132" s="531" t="e">
        <f t="shared" si="256"/>
        <v>#DIV/0!</v>
      </c>
      <c r="WUG132" s="531" t="e">
        <f t="shared" si="256"/>
        <v>#DIV/0!</v>
      </c>
      <c r="WUH132" s="531" t="e">
        <f t="shared" si="256"/>
        <v>#DIV/0!</v>
      </c>
      <c r="WUI132" s="531" t="e">
        <f t="shared" si="256"/>
        <v>#DIV/0!</v>
      </c>
      <c r="WUJ132" s="531" t="e">
        <f t="shared" si="256"/>
        <v>#DIV/0!</v>
      </c>
      <c r="WUK132" s="531" t="e">
        <f t="shared" si="256"/>
        <v>#DIV/0!</v>
      </c>
      <c r="WUL132" s="531" t="e">
        <f t="shared" si="256"/>
        <v>#DIV/0!</v>
      </c>
      <c r="WUM132" s="531" t="e">
        <f t="shared" si="256"/>
        <v>#DIV/0!</v>
      </c>
      <c r="WUN132" s="531" t="e">
        <f t="shared" si="256"/>
        <v>#DIV/0!</v>
      </c>
      <c r="WUO132" s="531" t="e">
        <f t="shared" si="256"/>
        <v>#DIV/0!</v>
      </c>
      <c r="WUP132" s="531" t="e">
        <f t="shared" si="256"/>
        <v>#DIV/0!</v>
      </c>
      <c r="WUQ132" s="531" t="e">
        <f t="shared" si="256"/>
        <v>#DIV/0!</v>
      </c>
      <c r="WUR132" s="531" t="e">
        <f t="shared" si="256"/>
        <v>#DIV/0!</v>
      </c>
      <c r="WUS132" s="531" t="e">
        <f t="shared" si="256"/>
        <v>#DIV/0!</v>
      </c>
      <c r="WUT132" s="531" t="e">
        <f t="shared" si="256"/>
        <v>#DIV/0!</v>
      </c>
      <c r="WUU132" s="531" t="e">
        <f t="shared" si="256"/>
        <v>#DIV/0!</v>
      </c>
      <c r="WUV132" s="531" t="e">
        <f t="shared" si="256"/>
        <v>#DIV/0!</v>
      </c>
      <c r="WUW132" s="531" t="e">
        <f t="shared" si="256"/>
        <v>#DIV/0!</v>
      </c>
      <c r="WUX132" s="531" t="e">
        <f t="shared" si="256"/>
        <v>#DIV/0!</v>
      </c>
      <c r="WUY132" s="531" t="e">
        <f t="shared" si="256"/>
        <v>#DIV/0!</v>
      </c>
      <c r="WUZ132" s="531" t="e">
        <f t="shared" si="256"/>
        <v>#DIV/0!</v>
      </c>
      <c r="WVA132" s="531" t="e">
        <f t="shared" si="256"/>
        <v>#DIV/0!</v>
      </c>
      <c r="WVB132" s="531" t="e">
        <f t="shared" si="256"/>
        <v>#DIV/0!</v>
      </c>
      <c r="WVC132" s="531" t="e">
        <f t="shared" si="256"/>
        <v>#DIV/0!</v>
      </c>
      <c r="WVD132" s="531" t="e">
        <f t="shared" si="256"/>
        <v>#DIV/0!</v>
      </c>
      <c r="WVE132" s="531" t="e">
        <f t="shared" si="256"/>
        <v>#DIV/0!</v>
      </c>
      <c r="WVF132" s="531" t="e">
        <f t="shared" si="256"/>
        <v>#DIV/0!</v>
      </c>
      <c r="WVG132" s="531" t="e">
        <f t="shared" si="256"/>
        <v>#DIV/0!</v>
      </c>
      <c r="WVH132" s="531" t="e">
        <f t="shared" si="256"/>
        <v>#DIV/0!</v>
      </c>
      <c r="WVI132" s="531" t="e">
        <f t="shared" si="256"/>
        <v>#DIV/0!</v>
      </c>
      <c r="WVJ132" s="531" t="e">
        <f t="shared" si="256"/>
        <v>#DIV/0!</v>
      </c>
      <c r="WVK132" s="531" t="e">
        <f t="shared" si="256"/>
        <v>#DIV/0!</v>
      </c>
      <c r="WVL132" s="531" t="e">
        <f t="shared" si="256"/>
        <v>#DIV/0!</v>
      </c>
      <c r="WVM132" s="531" t="e">
        <f t="shared" si="256"/>
        <v>#DIV/0!</v>
      </c>
      <c r="WVN132" s="531" t="e">
        <f t="shared" si="256"/>
        <v>#DIV/0!</v>
      </c>
      <c r="WVO132" s="531" t="e">
        <f t="shared" ref="WVO132:WXZ132" si="257">(WVO128-WVO116)/(WVO52*10^5)</f>
        <v>#DIV/0!</v>
      </c>
      <c r="WVP132" s="531" t="e">
        <f t="shared" si="257"/>
        <v>#DIV/0!</v>
      </c>
      <c r="WVQ132" s="531" t="e">
        <f t="shared" si="257"/>
        <v>#DIV/0!</v>
      </c>
      <c r="WVR132" s="531" t="e">
        <f t="shared" si="257"/>
        <v>#DIV/0!</v>
      </c>
      <c r="WVS132" s="531" t="e">
        <f t="shared" si="257"/>
        <v>#DIV/0!</v>
      </c>
      <c r="WVT132" s="531" t="e">
        <f t="shared" si="257"/>
        <v>#DIV/0!</v>
      </c>
      <c r="WVU132" s="531" t="e">
        <f t="shared" si="257"/>
        <v>#DIV/0!</v>
      </c>
      <c r="WVV132" s="531" t="e">
        <f t="shared" si="257"/>
        <v>#DIV/0!</v>
      </c>
      <c r="WVW132" s="531" t="e">
        <f t="shared" si="257"/>
        <v>#DIV/0!</v>
      </c>
      <c r="WVX132" s="531" t="e">
        <f t="shared" si="257"/>
        <v>#DIV/0!</v>
      </c>
      <c r="WVY132" s="531" t="e">
        <f t="shared" si="257"/>
        <v>#DIV/0!</v>
      </c>
      <c r="WVZ132" s="531" t="e">
        <f t="shared" si="257"/>
        <v>#DIV/0!</v>
      </c>
      <c r="WWA132" s="531" t="e">
        <f t="shared" si="257"/>
        <v>#DIV/0!</v>
      </c>
      <c r="WWB132" s="531" t="e">
        <f t="shared" si="257"/>
        <v>#DIV/0!</v>
      </c>
      <c r="WWC132" s="531" t="e">
        <f t="shared" si="257"/>
        <v>#DIV/0!</v>
      </c>
      <c r="WWD132" s="531" t="e">
        <f t="shared" si="257"/>
        <v>#DIV/0!</v>
      </c>
      <c r="WWE132" s="531" t="e">
        <f t="shared" si="257"/>
        <v>#DIV/0!</v>
      </c>
      <c r="WWF132" s="531" t="e">
        <f t="shared" si="257"/>
        <v>#DIV/0!</v>
      </c>
      <c r="WWG132" s="531" t="e">
        <f t="shared" si="257"/>
        <v>#DIV/0!</v>
      </c>
      <c r="WWH132" s="531" t="e">
        <f t="shared" si="257"/>
        <v>#DIV/0!</v>
      </c>
      <c r="WWI132" s="531" t="e">
        <f t="shared" si="257"/>
        <v>#DIV/0!</v>
      </c>
      <c r="WWJ132" s="531" t="e">
        <f t="shared" si="257"/>
        <v>#DIV/0!</v>
      </c>
      <c r="WWK132" s="531" t="e">
        <f t="shared" si="257"/>
        <v>#DIV/0!</v>
      </c>
      <c r="WWL132" s="531" t="e">
        <f t="shared" si="257"/>
        <v>#DIV/0!</v>
      </c>
      <c r="WWM132" s="531" t="e">
        <f t="shared" si="257"/>
        <v>#DIV/0!</v>
      </c>
      <c r="WWN132" s="531" t="e">
        <f t="shared" si="257"/>
        <v>#DIV/0!</v>
      </c>
      <c r="WWO132" s="531" t="e">
        <f t="shared" si="257"/>
        <v>#DIV/0!</v>
      </c>
      <c r="WWP132" s="531" t="e">
        <f t="shared" si="257"/>
        <v>#DIV/0!</v>
      </c>
      <c r="WWQ132" s="531" t="e">
        <f t="shared" si="257"/>
        <v>#DIV/0!</v>
      </c>
      <c r="WWR132" s="531" t="e">
        <f t="shared" si="257"/>
        <v>#DIV/0!</v>
      </c>
      <c r="WWS132" s="531" t="e">
        <f t="shared" si="257"/>
        <v>#DIV/0!</v>
      </c>
      <c r="WWT132" s="531" t="e">
        <f t="shared" si="257"/>
        <v>#DIV/0!</v>
      </c>
      <c r="WWU132" s="531" t="e">
        <f t="shared" si="257"/>
        <v>#DIV/0!</v>
      </c>
      <c r="WWV132" s="531" t="e">
        <f t="shared" si="257"/>
        <v>#DIV/0!</v>
      </c>
      <c r="WWW132" s="531" t="e">
        <f t="shared" si="257"/>
        <v>#DIV/0!</v>
      </c>
      <c r="WWX132" s="531" t="e">
        <f t="shared" si="257"/>
        <v>#DIV/0!</v>
      </c>
      <c r="WWY132" s="531" t="e">
        <f t="shared" si="257"/>
        <v>#DIV/0!</v>
      </c>
      <c r="WWZ132" s="531" t="e">
        <f t="shared" si="257"/>
        <v>#DIV/0!</v>
      </c>
      <c r="WXA132" s="531" t="e">
        <f t="shared" si="257"/>
        <v>#DIV/0!</v>
      </c>
      <c r="WXB132" s="531" t="e">
        <f t="shared" si="257"/>
        <v>#DIV/0!</v>
      </c>
      <c r="WXC132" s="531" t="e">
        <f t="shared" si="257"/>
        <v>#DIV/0!</v>
      </c>
      <c r="WXD132" s="531" t="e">
        <f t="shared" si="257"/>
        <v>#DIV/0!</v>
      </c>
      <c r="WXE132" s="531" t="e">
        <f t="shared" si="257"/>
        <v>#DIV/0!</v>
      </c>
      <c r="WXF132" s="531" t="e">
        <f t="shared" si="257"/>
        <v>#DIV/0!</v>
      </c>
      <c r="WXG132" s="531" t="e">
        <f t="shared" si="257"/>
        <v>#DIV/0!</v>
      </c>
      <c r="WXH132" s="531" t="e">
        <f t="shared" si="257"/>
        <v>#DIV/0!</v>
      </c>
      <c r="WXI132" s="531" t="e">
        <f t="shared" si="257"/>
        <v>#DIV/0!</v>
      </c>
      <c r="WXJ132" s="531" t="e">
        <f t="shared" si="257"/>
        <v>#DIV/0!</v>
      </c>
      <c r="WXK132" s="531" t="e">
        <f t="shared" si="257"/>
        <v>#DIV/0!</v>
      </c>
      <c r="WXL132" s="531" t="e">
        <f t="shared" si="257"/>
        <v>#DIV/0!</v>
      </c>
      <c r="WXM132" s="531" t="e">
        <f t="shared" si="257"/>
        <v>#DIV/0!</v>
      </c>
      <c r="WXN132" s="531" t="e">
        <f t="shared" si="257"/>
        <v>#DIV/0!</v>
      </c>
      <c r="WXO132" s="531" t="e">
        <f t="shared" si="257"/>
        <v>#DIV/0!</v>
      </c>
      <c r="WXP132" s="531" t="e">
        <f t="shared" si="257"/>
        <v>#DIV/0!</v>
      </c>
      <c r="WXQ132" s="531" t="e">
        <f t="shared" si="257"/>
        <v>#DIV/0!</v>
      </c>
      <c r="WXR132" s="531" t="e">
        <f t="shared" si="257"/>
        <v>#DIV/0!</v>
      </c>
      <c r="WXS132" s="531" t="e">
        <f t="shared" si="257"/>
        <v>#DIV/0!</v>
      </c>
      <c r="WXT132" s="531" t="e">
        <f t="shared" si="257"/>
        <v>#DIV/0!</v>
      </c>
      <c r="WXU132" s="531" t="e">
        <f t="shared" si="257"/>
        <v>#DIV/0!</v>
      </c>
      <c r="WXV132" s="531" t="e">
        <f t="shared" si="257"/>
        <v>#DIV/0!</v>
      </c>
      <c r="WXW132" s="531" t="e">
        <f t="shared" si="257"/>
        <v>#DIV/0!</v>
      </c>
      <c r="WXX132" s="531" t="e">
        <f t="shared" si="257"/>
        <v>#DIV/0!</v>
      </c>
      <c r="WXY132" s="531" t="e">
        <f t="shared" si="257"/>
        <v>#DIV/0!</v>
      </c>
      <c r="WXZ132" s="531" t="e">
        <f t="shared" si="257"/>
        <v>#DIV/0!</v>
      </c>
      <c r="WYA132" s="531" t="e">
        <f t="shared" ref="WYA132:XAL132" si="258">(WYA128-WYA116)/(WYA52*10^5)</f>
        <v>#DIV/0!</v>
      </c>
      <c r="WYB132" s="531" t="e">
        <f t="shared" si="258"/>
        <v>#DIV/0!</v>
      </c>
      <c r="WYC132" s="531" t="e">
        <f t="shared" si="258"/>
        <v>#DIV/0!</v>
      </c>
      <c r="WYD132" s="531" t="e">
        <f t="shared" si="258"/>
        <v>#DIV/0!</v>
      </c>
      <c r="WYE132" s="531" t="e">
        <f t="shared" si="258"/>
        <v>#DIV/0!</v>
      </c>
      <c r="WYF132" s="531" t="e">
        <f t="shared" si="258"/>
        <v>#DIV/0!</v>
      </c>
      <c r="WYG132" s="531" t="e">
        <f t="shared" si="258"/>
        <v>#DIV/0!</v>
      </c>
      <c r="WYH132" s="531" t="e">
        <f t="shared" si="258"/>
        <v>#DIV/0!</v>
      </c>
      <c r="WYI132" s="531" t="e">
        <f t="shared" si="258"/>
        <v>#DIV/0!</v>
      </c>
      <c r="WYJ132" s="531" t="e">
        <f t="shared" si="258"/>
        <v>#DIV/0!</v>
      </c>
      <c r="WYK132" s="531" t="e">
        <f t="shared" si="258"/>
        <v>#DIV/0!</v>
      </c>
      <c r="WYL132" s="531" t="e">
        <f t="shared" si="258"/>
        <v>#DIV/0!</v>
      </c>
      <c r="WYM132" s="531" t="e">
        <f t="shared" si="258"/>
        <v>#DIV/0!</v>
      </c>
      <c r="WYN132" s="531" t="e">
        <f t="shared" si="258"/>
        <v>#DIV/0!</v>
      </c>
      <c r="WYO132" s="531" t="e">
        <f t="shared" si="258"/>
        <v>#DIV/0!</v>
      </c>
      <c r="WYP132" s="531" t="e">
        <f t="shared" si="258"/>
        <v>#DIV/0!</v>
      </c>
      <c r="WYQ132" s="531" t="e">
        <f t="shared" si="258"/>
        <v>#DIV/0!</v>
      </c>
      <c r="WYR132" s="531" t="e">
        <f t="shared" si="258"/>
        <v>#DIV/0!</v>
      </c>
      <c r="WYS132" s="531" t="e">
        <f t="shared" si="258"/>
        <v>#DIV/0!</v>
      </c>
      <c r="WYT132" s="531" t="e">
        <f t="shared" si="258"/>
        <v>#DIV/0!</v>
      </c>
      <c r="WYU132" s="531" t="e">
        <f t="shared" si="258"/>
        <v>#DIV/0!</v>
      </c>
      <c r="WYV132" s="531" t="e">
        <f t="shared" si="258"/>
        <v>#DIV/0!</v>
      </c>
      <c r="WYW132" s="531" t="e">
        <f t="shared" si="258"/>
        <v>#DIV/0!</v>
      </c>
      <c r="WYX132" s="531" t="e">
        <f t="shared" si="258"/>
        <v>#DIV/0!</v>
      </c>
      <c r="WYY132" s="531" t="e">
        <f t="shared" si="258"/>
        <v>#DIV/0!</v>
      </c>
      <c r="WYZ132" s="531" t="e">
        <f t="shared" si="258"/>
        <v>#DIV/0!</v>
      </c>
      <c r="WZA132" s="531" t="e">
        <f t="shared" si="258"/>
        <v>#DIV/0!</v>
      </c>
      <c r="WZB132" s="531" t="e">
        <f t="shared" si="258"/>
        <v>#DIV/0!</v>
      </c>
      <c r="WZC132" s="531" t="e">
        <f t="shared" si="258"/>
        <v>#DIV/0!</v>
      </c>
      <c r="WZD132" s="531" t="e">
        <f t="shared" si="258"/>
        <v>#DIV/0!</v>
      </c>
      <c r="WZE132" s="531" t="e">
        <f t="shared" si="258"/>
        <v>#DIV/0!</v>
      </c>
      <c r="WZF132" s="531" t="e">
        <f t="shared" si="258"/>
        <v>#DIV/0!</v>
      </c>
      <c r="WZG132" s="531" t="e">
        <f t="shared" si="258"/>
        <v>#DIV/0!</v>
      </c>
      <c r="WZH132" s="531" t="e">
        <f t="shared" si="258"/>
        <v>#DIV/0!</v>
      </c>
      <c r="WZI132" s="531" t="e">
        <f t="shared" si="258"/>
        <v>#DIV/0!</v>
      </c>
      <c r="WZJ132" s="531" t="e">
        <f t="shared" si="258"/>
        <v>#DIV/0!</v>
      </c>
      <c r="WZK132" s="531" t="e">
        <f t="shared" si="258"/>
        <v>#DIV/0!</v>
      </c>
      <c r="WZL132" s="531" t="e">
        <f t="shared" si="258"/>
        <v>#DIV/0!</v>
      </c>
      <c r="WZM132" s="531" t="e">
        <f t="shared" si="258"/>
        <v>#DIV/0!</v>
      </c>
      <c r="WZN132" s="531" t="e">
        <f t="shared" si="258"/>
        <v>#DIV/0!</v>
      </c>
      <c r="WZO132" s="531" t="e">
        <f t="shared" si="258"/>
        <v>#DIV/0!</v>
      </c>
      <c r="WZP132" s="531" t="e">
        <f t="shared" si="258"/>
        <v>#DIV/0!</v>
      </c>
      <c r="WZQ132" s="531" t="e">
        <f t="shared" si="258"/>
        <v>#DIV/0!</v>
      </c>
      <c r="WZR132" s="531" t="e">
        <f t="shared" si="258"/>
        <v>#DIV/0!</v>
      </c>
      <c r="WZS132" s="531" t="e">
        <f t="shared" si="258"/>
        <v>#DIV/0!</v>
      </c>
      <c r="WZT132" s="531" t="e">
        <f t="shared" si="258"/>
        <v>#DIV/0!</v>
      </c>
      <c r="WZU132" s="531" t="e">
        <f t="shared" si="258"/>
        <v>#DIV/0!</v>
      </c>
      <c r="WZV132" s="531" t="e">
        <f t="shared" si="258"/>
        <v>#DIV/0!</v>
      </c>
      <c r="WZW132" s="531" t="e">
        <f t="shared" si="258"/>
        <v>#DIV/0!</v>
      </c>
      <c r="WZX132" s="531" t="e">
        <f t="shared" si="258"/>
        <v>#DIV/0!</v>
      </c>
      <c r="WZY132" s="531" t="e">
        <f t="shared" si="258"/>
        <v>#DIV/0!</v>
      </c>
      <c r="WZZ132" s="531" t="e">
        <f t="shared" si="258"/>
        <v>#DIV/0!</v>
      </c>
      <c r="XAA132" s="531" t="e">
        <f t="shared" si="258"/>
        <v>#DIV/0!</v>
      </c>
      <c r="XAB132" s="531" t="e">
        <f t="shared" si="258"/>
        <v>#DIV/0!</v>
      </c>
      <c r="XAC132" s="531" t="e">
        <f t="shared" si="258"/>
        <v>#DIV/0!</v>
      </c>
      <c r="XAD132" s="531" t="e">
        <f t="shared" si="258"/>
        <v>#DIV/0!</v>
      </c>
      <c r="XAE132" s="531" t="e">
        <f t="shared" si="258"/>
        <v>#DIV/0!</v>
      </c>
      <c r="XAF132" s="531" t="e">
        <f t="shared" si="258"/>
        <v>#DIV/0!</v>
      </c>
      <c r="XAG132" s="531" t="e">
        <f t="shared" si="258"/>
        <v>#DIV/0!</v>
      </c>
      <c r="XAH132" s="531" t="e">
        <f t="shared" si="258"/>
        <v>#DIV/0!</v>
      </c>
      <c r="XAI132" s="531" t="e">
        <f t="shared" si="258"/>
        <v>#DIV/0!</v>
      </c>
      <c r="XAJ132" s="531" t="e">
        <f t="shared" si="258"/>
        <v>#DIV/0!</v>
      </c>
      <c r="XAK132" s="531" t="e">
        <f t="shared" si="258"/>
        <v>#DIV/0!</v>
      </c>
      <c r="XAL132" s="531" t="e">
        <f t="shared" si="258"/>
        <v>#DIV/0!</v>
      </c>
      <c r="XAM132" s="531" t="e">
        <f t="shared" ref="XAM132:XCX132" si="259">(XAM128-XAM116)/(XAM52*10^5)</f>
        <v>#DIV/0!</v>
      </c>
      <c r="XAN132" s="531" t="e">
        <f t="shared" si="259"/>
        <v>#DIV/0!</v>
      </c>
      <c r="XAO132" s="531" t="e">
        <f t="shared" si="259"/>
        <v>#DIV/0!</v>
      </c>
      <c r="XAP132" s="531" t="e">
        <f t="shared" si="259"/>
        <v>#DIV/0!</v>
      </c>
      <c r="XAQ132" s="531" t="e">
        <f t="shared" si="259"/>
        <v>#DIV/0!</v>
      </c>
      <c r="XAR132" s="531" t="e">
        <f t="shared" si="259"/>
        <v>#DIV/0!</v>
      </c>
      <c r="XAS132" s="531" t="e">
        <f t="shared" si="259"/>
        <v>#DIV/0!</v>
      </c>
      <c r="XAT132" s="531" t="e">
        <f t="shared" si="259"/>
        <v>#DIV/0!</v>
      </c>
      <c r="XAU132" s="531" t="e">
        <f t="shared" si="259"/>
        <v>#DIV/0!</v>
      </c>
      <c r="XAV132" s="531" t="e">
        <f t="shared" si="259"/>
        <v>#DIV/0!</v>
      </c>
      <c r="XAW132" s="531" t="e">
        <f t="shared" si="259"/>
        <v>#DIV/0!</v>
      </c>
      <c r="XAX132" s="531" t="e">
        <f t="shared" si="259"/>
        <v>#DIV/0!</v>
      </c>
      <c r="XAY132" s="531" t="e">
        <f t="shared" si="259"/>
        <v>#DIV/0!</v>
      </c>
      <c r="XAZ132" s="531" t="e">
        <f t="shared" si="259"/>
        <v>#DIV/0!</v>
      </c>
      <c r="XBA132" s="531" t="e">
        <f t="shared" si="259"/>
        <v>#DIV/0!</v>
      </c>
      <c r="XBB132" s="531" t="e">
        <f t="shared" si="259"/>
        <v>#DIV/0!</v>
      </c>
      <c r="XBC132" s="531" t="e">
        <f t="shared" si="259"/>
        <v>#DIV/0!</v>
      </c>
      <c r="XBD132" s="531" t="e">
        <f t="shared" si="259"/>
        <v>#DIV/0!</v>
      </c>
      <c r="XBE132" s="531" t="e">
        <f t="shared" si="259"/>
        <v>#DIV/0!</v>
      </c>
      <c r="XBF132" s="531" t="e">
        <f t="shared" si="259"/>
        <v>#DIV/0!</v>
      </c>
      <c r="XBG132" s="531" t="e">
        <f t="shared" si="259"/>
        <v>#DIV/0!</v>
      </c>
      <c r="XBH132" s="531" t="e">
        <f t="shared" si="259"/>
        <v>#DIV/0!</v>
      </c>
      <c r="XBI132" s="531" t="e">
        <f t="shared" si="259"/>
        <v>#DIV/0!</v>
      </c>
      <c r="XBJ132" s="531" t="e">
        <f t="shared" si="259"/>
        <v>#DIV/0!</v>
      </c>
      <c r="XBK132" s="531" t="e">
        <f t="shared" si="259"/>
        <v>#DIV/0!</v>
      </c>
      <c r="XBL132" s="531" t="e">
        <f t="shared" si="259"/>
        <v>#DIV/0!</v>
      </c>
      <c r="XBM132" s="531" t="e">
        <f t="shared" si="259"/>
        <v>#DIV/0!</v>
      </c>
      <c r="XBN132" s="531" t="e">
        <f t="shared" si="259"/>
        <v>#DIV/0!</v>
      </c>
      <c r="XBO132" s="531" t="e">
        <f t="shared" si="259"/>
        <v>#DIV/0!</v>
      </c>
      <c r="XBP132" s="531" t="e">
        <f t="shared" si="259"/>
        <v>#DIV/0!</v>
      </c>
      <c r="XBQ132" s="531" t="e">
        <f t="shared" si="259"/>
        <v>#DIV/0!</v>
      </c>
      <c r="XBR132" s="531" t="e">
        <f t="shared" si="259"/>
        <v>#DIV/0!</v>
      </c>
      <c r="XBS132" s="531" t="e">
        <f t="shared" si="259"/>
        <v>#DIV/0!</v>
      </c>
      <c r="XBT132" s="531" t="e">
        <f t="shared" si="259"/>
        <v>#DIV/0!</v>
      </c>
      <c r="XBU132" s="531" t="e">
        <f t="shared" si="259"/>
        <v>#DIV/0!</v>
      </c>
      <c r="XBV132" s="531" t="e">
        <f t="shared" si="259"/>
        <v>#DIV/0!</v>
      </c>
      <c r="XBW132" s="531" t="e">
        <f t="shared" si="259"/>
        <v>#DIV/0!</v>
      </c>
      <c r="XBX132" s="531" t="e">
        <f t="shared" si="259"/>
        <v>#DIV/0!</v>
      </c>
      <c r="XBY132" s="531" t="e">
        <f t="shared" si="259"/>
        <v>#DIV/0!</v>
      </c>
      <c r="XBZ132" s="531" t="e">
        <f t="shared" si="259"/>
        <v>#DIV/0!</v>
      </c>
      <c r="XCA132" s="531" t="e">
        <f t="shared" si="259"/>
        <v>#DIV/0!</v>
      </c>
      <c r="XCB132" s="531" t="e">
        <f t="shared" si="259"/>
        <v>#DIV/0!</v>
      </c>
      <c r="XCC132" s="531" t="e">
        <f t="shared" si="259"/>
        <v>#DIV/0!</v>
      </c>
      <c r="XCD132" s="531" t="e">
        <f t="shared" si="259"/>
        <v>#DIV/0!</v>
      </c>
      <c r="XCE132" s="531" t="e">
        <f t="shared" si="259"/>
        <v>#DIV/0!</v>
      </c>
      <c r="XCF132" s="531" t="e">
        <f t="shared" si="259"/>
        <v>#DIV/0!</v>
      </c>
      <c r="XCG132" s="531" t="e">
        <f t="shared" si="259"/>
        <v>#DIV/0!</v>
      </c>
      <c r="XCH132" s="531" t="e">
        <f t="shared" si="259"/>
        <v>#DIV/0!</v>
      </c>
      <c r="XCI132" s="531" t="e">
        <f t="shared" si="259"/>
        <v>#DIV/0!</v>
      </c>
      <c r="XCJ132" s="531" t="e">
        <f t="shared" si="259"/>
        <v>#DIV/0!</v>
      </c>
      <c r="XCK132" s="531" t="e">
        <f t="shared" si="259"/>
        <v>#DIV/0!</v>
      </c>
      <c r="XCL132" s="531" t="e">
        <f t="shared" si="259"/>
        <v>#DIV/0!</v>
      </c>
      <c r="XCM132" s="531" t="e">
        <f t="shared" si="259"/>
        <v>#DIV/0!</v>
      </c>
      <c r="XCN132" s="531" t="e">
        <f t="shared" si="259"/>
        <v>#DIV/0!</v>
      </c>
      <c r="XCO132" s="531" t="e">
        <f t="shared" si="259"/>
        <v>#DIV/0!</v>
      </c>
      <c r="XCP132" s="531" t="e">
        <f t="shared" si="259"/>
        <v>#DIV/0!</v>
      </c>
      <c r="XCQ132" s="531" t="e">
        <f t="shared" si="259"/>
        <v>#DIV/0!</v>
      </c>
      <c r="XCR132" s="531" t="e">
        <f t="shared" si="259"/>
        <v>#DIV/0!</v>
      </c>
      <c r="XCS132" s="531" t="e">
        <f t="shared" si="259"/>
        <v>#DIV/0!</v>
      </c>
      <c r="XCT132" s="531" t="e">
        <f t="shared" si="259"/>
        <v>#DIV/0!</v>
      </c>
      <c r="XCU132" s="531" t="e">
        <f t="shared" si="259"/>
        <v>#DIV/0!</v>
      </c>
      <c r="XCV132" s="531" t="e">
        <f t="shared" si="259"/>
        <v>#DIV/0!</v>
      </c>
      <c r="XCW132" s="531" t="e">
        <f t="shared" si="259"/>
        <v>#DIV/0!</v>
      </c>
      <c r="XCX132" s="531" t="e">
        <f t="shared" si="259"/>
        <v>#DIV/0!</v>
      </c>
      <c r="XCY132" s="531" t="e">
        <f t="shared" ref="XCY132:XFD132" si="260">(XCY128-XCY116)/(XCY52*10^5)</f>
        <v>#DIV/0!</v>
      </c>
      <c r="XCZ132" s="531" t="e">
        <f t="shared" si="260"/>
        <v>#DIV/0!</v>
      </c>
      <c r="XDA132" s="531" t="e">
        <f t="shared" si="260"/>
        <v>#DIV/0!</v>
      </c>
      <c r="XDB132" s="531" t="e">
        <f t="shared" si="260"/>
        <v>#DIV/0!</v>
      </c>
      <c r="XDC132" s="531" t="e">
        <f t="shared" si="260"/>
        <v>#DIV/0!</v>
      </c>
      <c r="XDD132" s="531" t="e">
        <f t="shared" si="260"/>
        <v>#DIV/0!</v>
      </c>
      <c r="XDE132" s="531" t="e">
        <f t="shared" si="260"/>
        <v>#DIV/0!</v>
      </c>
      <c r="XDF132" s="531" t="e">
        <f t="shared" si="260"/>
        <v>#DIV/0!</v>
      </c>
      <c r="XDG132" s="531" t="e">
        <f t="shared" si="260"/>
        <v>#DIV/0!</v>
      </c>
      <c r="XDH132" s="531" t="e">
        <f t="shared" si="260"/>
        <v>#DIV/0!</v>
      </c>
      <c r="XDI132" s="531" t="e">
        <f t="shared" si="260"/>
        <v>#DIV/0!</v>
      </c>
      <c r="XDJ132" s="531" t="e">
        <f t="shared" si="260"/>
        <v>#DIV/0!</v>
      </c>
      <c r="XDK132" s="531" t="e">
        <f t="shared" si="260"/>
        <v>#DIV/0!</v>
      </c>
      <c r="XDL132" s="531" t="e">
        <f t="shared" si="260"/>
        <v>#DIV/0!</v>
      </c>
      <c r="XDM132" s="531" t="e">
        <f t="shared" si="260"/>
        <v>#DIV/0!</v>
      </c>
      <c r="XDN132" s="531" t="e">
        <f t="shared" si="260"/>
        <v>#DIV/0!</v>
      </c>
      <c r="XDO132" s="531" t="e">
        <f t="shared" si="260"/>
        <v>#DIV/0!</v>
      </c>
      <c r="XDP132" s="531" t="e">
        <f t="shared" si="260"/>
        <v>#DIV/0!</v>
      </c>
      <c r="XDQ132" s="531" t="e">
        <f t="shared" si="260"/>
        <v>#DIV/0!</v>
      </c>
      <c r="XDR132" s="531" t="e">
        <f t="shared" si="260"/>
        <v>#DIV/0!</v>
      </c>
      <c r="XDS132" s="531" t="e">
        <f t="shared" si="260"/>
        <v>#DIV/0!</v>
      </c>
      <c r="XDT132" s="531" t="e">
        <f t="shared" si="260"/>
        <v>#DIV/0!</v>
      </c>
      <c r="XDU132" s="531" t="e">
        <f t="shared" si="260"/>
        <v>#DIV/0!</v>
      </c>
      <c r="XDV132" s="531" t="e">
        <f t="shared" si="260"/>
        <v>#DIV/0!</v>
      </c>
      <c r="XDW132" s="531" t="e">
        <f t="shared" si="260"/>
        <v>#DIV/0!</v>
      </c>
      <c r="XDX132" s="531" t="e">
        <f t="shared" si="260"/>
        <v>#DIV/0!</v>
      </c>
      <c r="XDY132" s="531" t="e">
        <f t="shared" si="260"/>
        <v>#DIV/0!</v>
      </c>
      <c r="XDZ132" s="531" t="e">
        <f t="shared" si="260"/>
        <v>#DIV/0!</v>
      </c>
      <c r="XEA132" s="531" t="e">
        <f t="shared" si="260"/>
        <v>#DIV/0!</v>
      </c>
      <c r="XEB132" s="531" t="e">
        <f t="shared" si="260"/>
        <v>#DIV/0!</v>
      </c>
      <c r="XEC132" s="531" t="e">
        <f t="shared" si="260"/>
        <v>#DIV/0!</v>
      </c>
      <c r="XED132" s="531" t="e">
        <f t="shared" si="260"/>
        <v>#DIV/0!</v>
      </c>
      <c r="XEE132" s="531" t="e">
        <f t="shared" si="260"/>
        <v>#DIV/0!</v>
      </c>
      <c r="XEF132" s="531" t="e">
        <f t="shared" si="260"/>
        <v>#DIV/0!</v>
      </c>
      <c r="XEG132" s="531" t="e">
        <f t="shared" si="260"/>
        <v>#DIV/0!</v>
      </c>
      <c r="XEH132" s="531" t="e">
        <f t="shared" si="260"/>
        <v>#DIV/0!</v>
      </c>
      <c r="XEI132" s="531" t="e">
        <f t="shared" si="260"/>
        <v>#DIV/0!</v>
      </c>
      <c r="XEJ132" s="531" t="e">
        <f t="shared" si="260"/>
        <v>#DIV/0!</v>
      </c>
      <c r="XEK132" s="531" t="e">
        <f t="shared" si="260"/>
        <v>#DIV/0!</v>
      </c>
      <c r="XEL132" s="531" t="e">
        <f t="shared" si="260"/>
        <v>#DIV/0!</v>
      </c>
      <c r="XEM132" s="531" t="e">
        <f t="shared" si="260"/>
        <v>#DIV/0!</v>
      </c>
      <c r="XEN132" s="531" t="e">
        <f t="shared" si="260"/>
        <v>#DIV/0!</v>
      </c>
      <c r="XEO132" s="531" t="e">
        <f t="shared" si="260"/>
        <v>#DIV/0!</v>
      </c>
      <c r="XEP132" s="531" t="e">
        <f t="shared" si="260"/>
        <v>#DIV/0!</v>
      </c>
      <c r="XEQ132" s="531" t="e">
        <f t="shared" si="260"/>
        <v>#DIV/0!</v>
      </c>
      <c r="XER132" s="531" t="e">
        <f t="shared" si="260"/>
        <v>#DIV/0!</v>
      </c>
      <c r="XES132" s="531" t="e">
        <f t="shared" si="260"/>
        <v>#DIV/0!</v>
      </c>
      <c r="XET132" s="531" t="e">
        <f t="shared" si="260"/>
        <v>#DIV/0!</v>
      </c>
      <c r="XEU132" s="531" t="e">
        <f t="shared" si="260"/>
        <v>#DIV/0!</v>
      </c>
      <c r="XEV132" s="531" t="e">
        <f t="shared" si="260"/>
        <v>#DIV/0!</v>
      </c>
      <c r="XEW132" s="531" t="e">
        <f t="shared" si="260"/>
        <v>#DIV/0!</v>
      </c>
      <c r="XEX132" s="531" t="e">
        <f t="shared" si="260"/>
        <v>#DIV/0!</v>
      </c>
      <c r="XEY132" s="531" t="e">
        <f t="shared" si="260"/>
        <v>#DIV/0!</v>
      </c>
      <c r="XEZ132" s="531" t="e">
        <f t="shared" si="260"/>
        <v>#DIV/0!</v>
      </c>
      <c r="XFA132" s="531" t="e">
        <f t="shared" si="260"/>
        <v>#DIV/0!</v>
      </c>
      <c r="XFB132" s="531" t="e">
        <f t="shared" si="260"/>
        <v>#DIV/0!</v>
      </c>
      <c r="XFC132" s="531" t="e">
        <f t="shared" si="260"/>
        <v>#DIV/0!</v>
      </c>
      <c r="XFD132" s="531" t="e">
        <f t="shared" si="260"/>
        <v>#DIV/0!</v>
      </c>
    </row>
    <row r="133" spans="1:16384" s="529" customFormat="1" ht="28" customHeight="1" x14ac:dyDescent="0.35">
      <c r="A133" s="911" t="s">
        <v>1079</v>
      </c>
      <c r="B133" s="912" t="s">
        <v>2279</v>
      </c>
      <c r="C133" s="913"/>
      <c r="D133" s="528" t="s">
        <v>2277</v>
      </c>
      <c r="E133" s="531">
        <f>IFERROR((E116+E124)/(E130*10^5),0)</f>
        <v>0</v>
      </c>
      <c r="F133" s="531">
        <f>IFERROR(F116/(F130*10^5),0)</f>
        <v>0</v>
      </c>
      <c r="G133" s="531" t="e">
        <f t="shared" ref="G133:BR133" si="261">G116/(G52*10^5)</f>
        <v>#DIV/0!</v>
      </c>
      <c r="H133" s="531" t="e">
        <f t="shared" si="261"/>
        <v>#DIV/0!</v>
      </c>
      <c r="I133" s="531" t="e">
        <f t="shared" si="261"/>
        <v>#DIV/0!</v>
      </c>
      <c r="J133" s="531" t="e">
        <f t="shared" si="261"/>
        <v>#DIV/0!</v>
      </c>
      <c r="K133" s="531" t="e">
        <f t="shared" si="261"/>
        <v>#DIV/0!</v>
      </c>
      <c r="L133" s="531" t="e">
        <f t="shared" si="261"/>
        <v>#DIV/0!</v>
      </c>
      <c r="M133" s="531" t="e">
        <f t="shared" si="261"/>
        <v>#DIV/0!</v>
      </c>
      <c r="N133" s="531" t="e">
        <f t="shared" si="261"/>
        <v>#DIV/0!</v>
      </c>
      <c r="O133" s="531" t="e">
        <f t="shared" si="261"/>
        <v>#DIV/0!</v>
      </c>
      <c r="P133" s="531" t="e">
        <f t="shared" si="261"/>
        <v>#DIV/0!</v>
      </c>
      <c r="Q133" s="531" t="e">
        <f t="shared" si="261"/>
        <v>#DIV/0!</v>
      </c>
      <c r="R133" s="531" t="e">
        <f t="shared" si="261"/>
        <v>#DIV/0!</v>
      </c>
      <c r="S133" s="531" t="e">
        <f t="shared" si="261"/>
        <v>#DIV/0!</v>
      </c>
      <c r="T133" s="531" t="e">
        <f t="shared" si="261"/>
        <v>#DIV/0!</v>
      </c>
      <c r="U133" s="531" t="e">
        <f t="shared" si="261"/>
        <v>#DIV/0!</v>
      </c>
      <c r="V133" s="531" t="e">
        <f t="shared" si="261"/>
        <v>#DIV/0!</v>
      </c>
      <c r="W133" s="531" t="e">
        <f t="shared" si="261"/>
        <v>#DIV/0!</v>
      </c>
      <c r="X133" s="531" t="e">
        <f t="shared" si="261"/>
        <v>#DIV/0!</v>
      </c>
      <c r="Y133" s="531" t="e">
        <f t="shared" si="261"/>
        <v>#DIV/0!</v>
      </c>
      <c r="Z133" s="531" t="e">
        <f t="shared" si="261"/>
        <v>#DIV/0!</v>
      </c>
      <c r="AA133" s="531" t="e">
        <f t="shared" si="261"/>
        <v>#DIV/0!</v>
      </c>
      <c r="AB133" s="531" t="e">
        <f t="shared" si="261"/>
        <v>#DIV/0!</v>
      </c>
      <c r="AC133" s="531" t="e">
        <f t="shared" si="261"/>
        <v>#DIV/0!</v>
      </c>
      <c r="AD133" s="531" t="e">
        <f t="shared" si="261"/>
        <v>#DIV/0!</v>
      </c>
      <c r="AE133" s="531" t="e">
        <f t="shared" si="261"/>
        <v>#DIV/0!</v>
      </c>
      <c r="AF133" s="531" t="e">
        <f t="shared" si="261"/>
        <v>#DIV/0!</v>
      </c>
      <c r="AG133" s="531" t="e">
        <f t="shared" si="261"/>
        <v>#DIV/0!</v>
      </c>
      <c r="AH133" s="531" t="e">
        <f t="shared" si="261"/>
        <v>#DIV/0!</v>
      </c>
      <c r="AI133" s="531" t="e">
        <f t="shared" si="261"/>
        <v>#DIV/0!</v>
      </c>
      <c r="AJ133" s="531" t="e">
        <f t="shared" si="261"/>
        <v>#DIV/0!</v>
      </c>
      <c r="AK133" s="531" t="e">
        <f t="shared" si="261"/>
        <v>#DIV/0!</v>
      </c>
      <c r="AL133" s="531" t="e">
        <f t="shared" si="261"/>
        <v>#DIV/0!</v>
      </c>
      <c r="AM133" s="531" t="e">
        <f t="shared" si="261"/>
        <v>#DIV/0!</v>
      </c>
      <c r="AN133" s="531" t="e">
        <f t="shared" si="261"/>
        <v>#DIV/0!</v>
      </c>
      <c r="AO133" s="531" t="e">
        <f t="shared" si="261"/>
        <v>#DIV/0!</v>
      </c>
      <c r="AP133" s="531" t="e">
        <f t="shared" si="261"/>
        <v>#DIV/0!</v>
      </c>
      <c r="AQ133" s="531" t="e">
        <f t="shared" si="261"/>
        <v>#DIV/0!</v>
      </c>
      <c r="AR133" s="531" t="e">
        <f t="shared" si="261"/>
        <v>#DIV/0!</v>
      </c>
      <c r="AS133" s="531" t="e">
        <f t="shared" si="261"/>
        <v>#DIV/0!</v>
      </c>
      <c r="AT133" s="531" t="e">
        <f t="shared" si="261"/>
        <v>#DIV/0!</v>
      </c>
      <c r="AU133" s="531" t="e">
        <f t="shared" si="261"/>
        <v>#DIV/0!</v>
      </c>
      <c r="AV133" s="531" t="e">
        <f t="shared" si="261"/>
        <v>#DIV/0!</v>
      </c>
      <c r="AW133" s="531" t="e">
        <f t="shared" si="261"/>
        <v>#DIV/0!</v>
      </c>
      <c r="AX133" s="531" t="e">
        <f t="shared" si="261"/>
        <v>#DIV/0!</v>
      </c>
      <c r="AY133" s="531" t="e">
        <f t="shared" si="261"/>
        <v>#DIV/0!</v>
      </c>
      <c r="AZ133" s="531" t="e">
        <f t="shared" si="261"/>
        <v>#DIV/0!</v>
      </c>
      <c r="BA133" s="531" t="e">
        <f t="shared" si="261"/>
        <v>#DIV/0!</v>
      </c>
      <c r="BB133" s="531" t="e">
        <f t="shared" si="261"/>
        <v>#DIV/0!</v>
      </c>
      <c r="BC133" s="531" t="e">
        <f t="shared" si="261"/>
        <v>#DIV/0!</v>
      </c>
      <c r="BD133" s="531" t="e">
        <f t="shared" si="261"/>
        <v>#DIV/0!</v>
      </c>
      <c r="BE133" s="531" t="e">
        <f t="shared" si="261"/>
        <v>#DIV/0!</v>
      </c>
      <c r="BF133" s="531" t="e">
        <f t="shared" si="261"/>
        <v>#DIV/0!</v>
      </c>
      <c r="BG133" s="531" t="e">
        <f t="shared" si="261"/>
        <v>#DIV/0!</v>
      </c>
      <c r="BH133" s="531" t="e">
        <f t="shared" si="261"/>
        <v>#DIV/0!</v>
      </c>
      <c r="BI133" s="531" t="e">
        <f t="shared" si="261"/>
        <v>#DIV/0!</v>
      </c>
      <c r="BJ133" s="531" t="e">
        <f t="shared" si="261"/>
        <v>#DIV/0!</v>
      </c>
      <c r="BK133" s="531" t="e">
        <f t="shared" si="261"/>
        <v>#DIV/0!</v>
      </c>
      <c r="BL133" s="531" t="e">
        <f t="shared" si="261"/>
        <v>#DIV/0!</v>
      </c>
      <c r="BM133" s="531" t="e">
        <f t="shared" si="261"/>
        <v>#DIV/0!</v>
      </c>
      <c r="BN133" s="531" t="e">
        <f t="shared" si="261"/>
        <v>#DIV/0!</v>
      </c>
      <c r="BO133" s="531" t="e">
        <f t="shared" si="261"/>
        <v>#DIV/0!</v>
      </c>
      <c r="BP133" s="531" t="e">
        <f t="shared" si="261"/>
        <v>#DIV/0!</v>
      </c>
      <c r="BQ133" s="531" t="e">
        <f t="shared" si="261"/>
        <v>#DIV/0!</v>
      </c>
      <c r="BR133" s="531" t="e">
        <f t="shared" si="261"/>
        <v>#DIV/0!</v>
      </c>
      <c r="BS133" s="531" t="e">
        <f t="shared" ref="BS133:ED133" si="262">BS116/(BS52*10^5)</f>
        <v>#DIV/0!</v>
      </c>
      <c r="BT133" s="531" t="e">
        <f t="shared" si="262"/>
        <v>#DIV/0!</v>
      </c>
      <c r="BU133" s="531" t="e">
        <f t="shared" si="262"/>
        <v>#DIV/0!</v>
      </c>
      <c r="BV133" s="531" t="e">
        <f t="shared" si="262"/>
        <v>#DIV/0!</v>
      </c>
      <c r="BW133" s="531" t="e">
        <f t="shared" si="262"/>
        <v>#DIV/0!</v>
      </c>
      <c r="BX133" s="531" t="e">
        <f t="shared" si="262"/>
        <v>#DIV/0!</v>
      </c>
      <c r="BY133" s="531" t="e">
        <f t="shared" si="262"/>
        <v>#DIV/0!</v>
      </c>
      <c r="BZ133" s="531" t="e">
        <f t="shared" si="262"/>
        <v>#DIV/0!</v>
      </c>
      <c r="CA133" s="531" t="e">
        <f t="shared" si="262"/>
        <v>#DIV/0!</v>
      </c>
      <c r="CB133" s="531" t="e">
        <f t="shared" si="262"/>
        <v>#DIV/0!</v>
      </c>
      <c r="CC133" s="531" t="e">
        <f t="shared" si="262"/>
        <v>#DIV/0!</v>
      </c>
      <c r="CD133" s="531" t="e">
        <f t="shared" si="262"/>
        <v>#DIV/0!</v>
      </c>
      <c r="CE133" s="531" t="e">
        <f t="shared" si="262"/>
        <v>#DIV/0!</v>
      </c>
      <c r="CF133" s="531" t="e">
        <f t="shared" si="262"/>
        <v>#DIV/0!</v>
      </c>
      <c r="CG133" s="531" t="e">
        <f t="shared" si="262"/>
        <v>#DIV/0!</v>
      </c>
      <c r="CH133" s="531" t="e">
        <f t="shared" si="262"/>
        <v>#DIV/0!</v>
      </c>
      <c r="CI133" s="531" t="e">
        <f t="shared" si="262"/>
        <v>#DIV/0!</v>
      </c>
      <c r="CJ133" s="531" t="e">
        <f t="shared" si="262"/>
        <v>#DIV/0!</v>
      </c>
      <c r="CK133" s="531" t="e">
        <f t="shared" si="262"/>
        <v>#DIV/0!</v>
      </c>
      <c r="CL133" s="531" t="e">
        <f t="shared" si="262"/>
        <v>#DIV/0!</v>
      </c>
      <c r="CM133" s="531" t="e">
        <f t="shared" si="262"/>
        <v>#DIV/0!</v>
      </c>
      <c r="CN133" s="531" t="e">
        <f t="shared" si="262"/>
        <v>#DIV/0!</v>
      </c>
      <c r="CO133" s="531" t="e">
        <f t="shared" si="262"/>
        <v>#DIV/0!</v>
      </c>
      <c r="CP133" s="531" t="e">
        <f t="shared" si="262"/>
        <v>#DIV/0!</v>
      </c>
      <c r="CQ133" s="531" t="e">
        <f t="shared" si="262"/>
        <v>#DIV/0!</v>
      </c>
      <c r="CR133" s="531" t="e">
        <f t="shared" si="262"/>
        <v>#DIV/0!</v>
      </c>
      <c r="CS133" s="531" t="e">
        <f t="shared" si="262"/>
        <v>#DIV/0!</v>
      </c>
      <c r="CT133" s="531" t="e">
        <f t="shared" si="262"/>
        <v>#DIV/0!</v>
      </c>
      <c r="CU133" s="531" t="e">
        <f t="shared" si="262"/>
        <v>#DIV/0!</v>
      </c>
      <c r="CV133" s="531" t="e">
        <f t="shared" si="262"/>
        <v>#DIV/0!</v>
      </c>
      <c r="CW133" s="531" t="e">
        <f t="shared" si="262"/>
        <v>#DIV/0!</v>
      </c>
      <c r="CX133" s="531" t="e">
        <f t="shared" si="262"/>
        <v>#DIV/0!</v>
      </c>
      <c r="CY133" s="531" t="e">
        <f t="shared" si="262"/>
        <v>#DIV/0!</v>
      </c>
      <c r="CZ133" s="531" t="e">
        <f t="shared" si="262"/>
        <v>#DIV/0!</v>
      </c>
      <c r="DA133" s="531" t="e">
        <f t="shared" si="262"/>
        <v>#DIV/0!</v>
      </c>
      <c r="DB133" s="531" t="e">
        <f t="shared" si="262"/>
        <v>#DIV/0!</v>
      </c>
      <c r="DC133" s="531" t="e">
        <f t="shared" si="262"/>
        <v>#DIV/0!</v>
      </c>
      <c r="DD133" s="531" t="e">
        <f t="shared" si="262"/>
        <v>#DIV/0!</v>
      </c>
      <c r="DE133" s="531" t="e">
        <f t="shared" si="262"/>
        <v>#DIV/0!</v>
      </c>
      <c r="DF133" s="531" t="e">
        <f t="shared" si="262"/>
        <v>#DIV/0!</v>
      </c>
      <c r="DG133" s="531" t="e">
        <f t="shared" si="262"/>
        <v>#DIV/0!</v>
      </c>
      <c r="DH133" s="531" t="e">
        <f t="shared" si="262"/>
        <v>#DIV/0!</v>
      </c>
      <c r="DI133" s="531" t="e">
        <f t="shared" si="262"/>
        <v>#DIV/0!</v>
      </c>
      <c r="DJ133" s="531" t="e">
        <f t="shared" si="262"/>
        <v>#DIV/0!</v>
      </c>
      <c r="DK133" s="531" t="e">
        <f t="shared" si="262"/>
        <v>#DIV/0!</v>
      </c>
      <c r="DL133" s="531" t="e">
        <f t="shared" si="262"/>
        <v>#DIV/0!</v>
      </c>
      <c r="DM133" s="531" t="e">
        <f t="shared" si="262"/>
        <v>#DIV/0!</v>
      </c>
      <c r="DN133" s="531" t="e">
        <f t="shared" si="262"/>
        <v>#DIV/0!</v>
      </c>
      <c r="DO133" s="531" t="e">
        <f t="shared" si="262"/>
        <v>#DIV/0!</v>
      </c>
      <c r="DP133" s="531" t="e">
        <f t="shared" si="262"/>
        <v>#DIV/0!</v>
      </c>
      <c r="DQ133" s="531" t="e">
        <f t="shared" si="262"/>
        <v>#DIV/0!</v>
      </c>
      <c r="DR133" s="531" t="e">
        <f t="shared" si="262"/>
        <v>#DIV/0!</v>
      </c>
      <c r="DS133" s="531" t="e">
        <f t="shared" si="262"/>
        <v>#DIV/0!</v>
      </c>
      <c r="DT133" s="531" t="e">
        <f t="shared" si="262"/>
        <v>#DIV/0!</v>
      </c>
      <c r="DU133" s="531" t="e">
        <f t="shared" si="262"/>
        <v>#DIV/0!</v>
      </c>
      <c r="DV133" s="531" t="e">
        <f t="shared" si="262"/>
        <v>#DIV/0!</v>
      </c>
      <c r="DW133" s="531" t="e">
        <f t="shared" si="262"/>
        <v>#DIV/0!</v>
      </c>
      <c r="DX133" s="531" t="e">
        <f t="shared" si="262"/>
        <v>#DIV/0!</v>
      </c>
      <c r="DY133" s="531" t="e">
        <f t="shared" si="262"/>
        <v>#DIV/0!</v>
      </c>
      <c r="DZ133" s="531" t="e">
        <f t="shared" si="262"/>
        <v>#DIV/0!</v>
      </c>
      <c r="EA133" s="531" t="e">
        <f t="shared" si="262"/>
        <v>#DIV/0!</v>
      </c>
      <c r="EB133" s="531" t="e">
        <f t="shared" si="262"/>
        <v>#DIV/0!</v>
      </c>
      <c r="EC133" s="531" t="e">
        <f t="shared" si="262"/>
        <v>#DIV/0!</v>
      </c>
      <c r="ED133" s="531" t="e">
        <f t="shared" si="262"/>
        <v>#DIV/0!</v>
      </c>
      <c r="EE133" s="531" t="e">
        <f t="shared" ref="EE133:GP133" si="263">EE116/(EE52*10^5)</f>
        <v>#DIV/0!</v>
      </c>
      <c r="EF133" s="531" t="e">
        <f t="shared" si="263"/>
        <v>#DIV/0!</v>
      </c>
      <c r="EG133" s="531" t="e">
        <f t="shared" si="263"/>
        <v>#DIV/0!</v>
      </c>
      <c r="EH133" s="531" t="e">
        <f t="shared" si="263"/>
        <v>#DIV/0!</v>
      </c>
      <c r="EI133" s="531" t="e">
        <f t="shared" si="263"/>
        <v>#DIV/0!</v>
      </c>
      <c r="EJ133" s="531" t="e">
        <f t="shared" si="263"/>
        <v>#DIV/0!</v>
      </c>
      <c r="EK133" s="531" t="e">
        <f t="shared" si="263"/>
        <v>#DIV/0!</v>
      </c>
      <c r="EL133" s="531" t="e">
        <f t="shared" si="263"/>
        <v>#DIV/0!</v>
      </c>
      <c r="EM133" s="531" t="e">
        <f t="shared" si="263"/>
        <v>#DIV/0!</v>
      </c>
      <c r="EN133" s="531" t="e">
        <f t="shared" si="263"/>
        <v>#DIV/0!</v>
      </c>
      <c r="EO133" s="531" t="e">
        <f t="shared" si="263"/>
        <v>#DIV/0!</v>
      </c>
      <c r="EP133" s="531" t="e">
        <f t="shared" si="263"/>
        <v>#DIV/0!</v>
      </c>
      <c r="EQ133" s="531" t="e">
        <f t="shared" si="263"/>
        <v>#DIV/0!</v>
      </c>
      <c r="ER133" s="531" t="e">
        <f t="shared" si="263"/>
        <v>#DIV/0!</v>
      </c>
      <c r="ES133" s="531" t="e">
        <f t="shared" si="263"/>
        <v>#DIV/0!</v>
      </c>
      <c r="ET133" s="531" t="e">
        <f t="shared" si="263"/>
        <v>#DIV/0!</v>
      </c>
      <c r="EU133" s="531" t="e">
        <f t="shared" si="263"/>
        <v>#DIV/0!</v>
      </c>
      <c r="EV133" s="531" t="e">
        <f t="shared" si="263"/>
        <v>#DIV/0!</v>
      </c>
      <c r="EW133" s="531" t="e">
        <f t="shared" si="263"/>
        <v>#DIV/0!</v>
      </c>
      <c r="EX133" s="531" t="e">
        <f t="shared" si="263"/>
        <v>#DIV/0!</v>
      </c>
      <c r="EY133" s="531" t="e">
        <f t="shared" si="263"/>
        <v>#DIV/0!</v>
      </c>
      <c r="EZ133" s="531" t="e">
        <f t="shared" si="263"/>
        <v>#DIV/0!</v>
      </c>
      <c r="FA133" s="531" t="e">
        <f t="shared" si="263"/>
        <v>#DIV/0!</v>
      </c>
      <c r="FB133" s="531" t="e">
        <f t="shared" si="263"/>
        <v>#DIV/0!</v>
      </c>
      <c r="FC133" s="531" t="e">
        <f t="shared" si="263"/>
        <v>#DIV/0!</v>
      </c>
      <c r="FD133" s="531" t="e">
        <f t="shared" si="263"/>
        <v>#DIV/0!</v>
      </c>
      <c r="FE133" s="531" t="e">
        <f t="shared" si="263"/>
        <v>#DIV/0!</v>
      </c>
      <c r="FF133" s="531" t="e">
        <f t="shared" si="263"/>
        <v>#DIV/0!</v>
      </c>
      <c r="FG133" s="531" t="e">
        <f t="shared" si="263"/>
        <v>#DIV/0!</v>
      </c>
      <c r="FH133" s="531" t="e">
        <f t="shared" si="263"/>
        <v>#DIV/0!</v>
      </c>
      <c r="FI133" s="531" t="e">
        <f t="shared" si="263"/>
        <v>#DIV/0!</v>
      </c>
      <c r="FJ133" s="531" t="e">
        <f t="shared" si="263"/>
        <v>#DIV/0!</v>
      </c>
      <c r="FK133" s="531" t="e">
        <f t="shared" si="263"/>
        <v>#DIV/0!</v>
      </c>
      <c r="FL133" s="531" t="e">
        <f t="shared" si="263"/>
        <v>#DIV/0!</v>
      </c>
      <c r="FM133" s="531" t="e">
        <f t="shared" si="263"/>
        <v>#DIV/0!</v>
      </c>
      <c r="FN133" s="531" t="e">
        <f t="shared" si="263"/>
        <v>#DIV/0!</v>
      </c>
      <c r="FO133" s="531" t="e">
        <f t="shared" si="263"/>
        <v>#DIV/0!</v>
      </c>
      <c r="FP133" s="531" t="e">
        <f t="shared" si="263"/>
        <v>#DIV/0!</v>
      </c>
      <c r="FQ133" s="531" t="e">
        <f t="shared" si="263"/>
        <v>#DIV/0!</v>
      </c>
      <c r="FR133" s="531" t="e">
        <f t="shared" si="263"/>
        <v>#DIV/0!</v>
      </c>
      <c r="FS133" s="531" t="e">
        <f t="shared" si="263"/>
        <v>#DIV/0!</v>
      </c>
      <c r="FT133" s="531" t="e">
        <f t="shared" si="263"/>
        <v>#DIV/0!</v>
      </c>
      <c r="FU133" s="531" t="e">
        <f t="shared" si="263"/>
        <v>#DIV/0!</v>
      </c>
      <c r="FV133" s="531" t="e">
        <f t="shared" si="263"/>
        <v>#DIV/0!</v>
      </c>
      <c r="FW133" s="531" t="e">
        <f t="shared" si="263"/>
        <v>#DIV/0!</v>
      </c>
      <c r="FX133" s="531" t="e">
        <f t="shared" si="263"/>
        <v>#DIV/0!</v>
      </c>
      <c r="FY133" s="531" t="e">
        <f t="shared" si="263"/>
        <v>#DIV/0!</v>
      </c>
      <c r="FZ133" s="531" t="e">
        <f t="shared" si="263"/>
        <v>#DIV/0!</v>
      </c>
      <c r="GA133" s="531" t="e">
        <f t="shared" si="263"/>
        <v>#DIV/0!</v>
      </c>
      <c r="GB133" s="531" t="e">
        <f t="shared" si="263"/>
        <v>#DIV/0!</v>
      </c>
      <c r="GC133" s="531" t="e">
        <f t="shared" si="263"/>
        <v>#DIV/0!</v>
      </c>
      <c r="GD133" s="531" t="e">
        <f t="shared" si="263"/>
        <v>#DIV/0!</v>
      </c>
      <c r="GE133" s="531" t="e">
        <f t="shared" si="263"/>
        <v>#DIV/0!</v>
      </c>
      <c r="GF133" s="531" t="e">
        <f t="shared" si="263"/>
        <v>#DIV/0!</v>
      </c>
      <c r="GG133" s="531" t="e">
        <f t="shared" si="263"/>
        <v>#DIV/0!</v>
      </c>
      <c r="GH133" s="531" t="e">
        <f t="shared" si="263"/>
        <v>#DIV/0!</v>
      </c>
      <c r="GI133" s="531" t="e">
        <f t="shared" si="263"/>
        <v>#DIV/0!</v>
      </c>
      <c r="GJ133" s="531" t="e">
        <f t="shared" si="263"/>
        <v>#DIV/0!</v>
      </c>
      <c r="GK133" s="531" t="e">
        <f t="shared" si="263"/>
        <v>#DIV/0!</v>
      </c>
      <c r="GL133" s="531" t="e">
        <f t="shared" si="263"/>
        <v>#DIV/0!</v>
      </c>
      <c r="GM133" s="531" t="e">
        <f t="shared" si="263"/>
        <v>#DIV/0!</v>
      </c>
      <c r="GN133" s="531" t="e">
        <f t="shared" si="263"/>
        <v>#DIV/0!</v>
      </c>
      <c r="GO133" s="531" t="e">
        <f t="shared" si="263"/>
        <v>#DIV/0!</v>
      </c>
      <c r="GP133" s="531" t="e">
        <f t="shared" si="263"/>
        <v>#DIV/0!</v>
      </c>
      <c r="GQ133" s="531" t="e">
        <f t="shared" ref="GQ133:JB133" si="264">GQ116/(GQ52*10^5)</f>
        <v>#DIV/0!</v>
      </c>
      <c r="GR133" s="531" t="e">
        <f t="shared" si="264"/>
        <v>#DIV/0!</v>
      </c>
      <c r="GS133" s="531" t="e">
        <f t="shared" si="264"/>
        <v>#DIV/0!</v>
      </c>
      <c r="GT133" s="531" t="e">
        <f t="shared" si="264"/>
        <v>#DIV/0!</v>
      </c>
      <c r="GU133" s="531" t="e">
        <f t="shared" si="264"/>
        <v>#DIV/0!</v>
      </c>
      <c r="GV133" s="531" t="e">
        <f t="shared" si="264"/>
        <v>#DIV/0!</v>
      </c>
      <c r="GW133" s="531" t="e">
        <f t="shared" si="264"/>
        <v>#DIV/0!</v>
      </c>
      <c r="GX133" s="531" t="e">
        <f t="shared" si="264"/>
        <v>#DIV/0!</v>
      </c>
      <c r="GY133" s="531" t="e">
        <f t="shared" si="264"/>
        <v>#DIV/0!</v>
      </c>
      <c r="GZ133" s="531" t="e">
        <f t="shared" si="264"/>
        <v>#DIV/0!</v>
      </c>
      <c r="HA133" s="531" t="e">
        <f t="shared" si="264"/>
        <v>#DIV/0!</v>
      </c>
      <c r="HB133" s="531" t="e">
        <f t="shared" si="264"/>
        <v>#DIV/0!</v>
      </c>
      <c r="HC133" s="531" t="e">
        <f t="shared" si="264"/>
        <v>#DIV/0!</v>
      </c>
      <c r="HD133" s="531" t="e">
        <f t="shared" si="264"/>
        <v>#DIV/0!</v>
      </c>
      <c r="HE133" s="531" t="e">
        <f t="shared" si="264"/>
        <v>#DIV/0!</v>
      </c>
      <c r="HF133" s="531" t="e">
        <f t="shared" si="264"/>
        <v>#DIV/0!</v>
      </c>
      <c r="HG133" s="531" t="e">
        <f t="shared" si="264"/>
        <v>#DIV/0!</v>
      </c>
      <c r="HH133" s="531" t="e">
        <f t="shared" si="264"/>
        <v>#DIV/0!</v>
      </c>
      <c r="HI133" s="531" t="e">
        <f t="shared" si="264"/>
        <v>#DIV/0!</v>
      </c>
      <c r="HJ133" s="531" t="e">
        <f t="shared" si="264"/>
        <v>#DIV/0!</v>
      </c>
      <c r="HK133" s="531" t="e">
        <f t="shared" si="264"/>
        <v>#DIV/0!</v>
      </c>
      <c r="HL133" s="531" t="e">
        <f t="shared" si="264"/>
        <v>#DIV/0!</v>
      </c>
      <c r="HM133" s="531" t="e">
        <f t="shared" si="264"/>
        <v>#DIV/0!</v>
      </c>
      <c r="HN133" s="531" t="e">
        <f t="shared" si="264"/>
        <v>#DIV/0!</v>
      </c>
      <c r="HO133" s="531" t="e">
        <f t="shared" si="264"/>
        <v>#DIV/0!</v>
      </c>
      <c r="HP133" s="531" t="e">
        <f t="shared" si="264"/>
        <v>#DIV/0!</v>
      </c>
      <c r="HQ133" s="531" t="e">
        <f t="shared" si="264"/>
        <v>#DIV/0!</v>
      </c>
      <c r="HR133" s="531" t="e">
        <f t="shared" si="264"/>
        <v>#DIV/0!</v>
      </c>
      <c r="HS133" s="531" t="e">
        <f t="shared" si="264"/>
        <v>#DIV/0!</v>
      </c>
      <c r="HT133" s="531" t="e">
        <f t="shared" si="264"/>
        <v>#DIV/0!</v>
      </c>
      <c r="HU133" s="531" t="e">
        <f t="shared" si="264"/>
        <v>#DIV/0!</v>
      </c>
      <c r="HV133" s="531" t="e">
        <f t="shared" si="264"/>
        <v>#DIV/0!</v>
      </c>
      <c r="HW133" s="531" t="e">
        <f t="shared" si="264"/>
        <v>#DIV/0!</v>
      </c>
      <c r="HX133" s="531" t="e">
        <f t="shared" si="264"/>
        <v>#DIV/0!</v>
      </c>
      <c r="HY133" s="531" t="e">
        <f t="shared" si="264"/>
        <v>#DIV/0!</v>
      </c>
      <c r="HZ133" s="531" t="e">
        <f t="shared" si="264"/>
        <v>#DIV/0!</v>
      </c>
      <c r="IA133" s="531" t="e">
        <f t="shared" si="264"/>
        <v>#DIV/0!</v>
      </c>
      <c r="IB133" s="531" t="e">
        <f t="shared" si="264"/>
        <v>#DIV/0!</v>
      </c>
      <c r="IC133" s="531" t="e">
        <f t="shared" si="264"/>
        <v>#DIV/0!</v>
      </c>
      <c r="ID133" s="531" t="e">
        <f t="shared" si="264"/>
        <v>#DIV/0!</v>
      </c>
      <c r="IE133" s="531" t="e">
        <f t="shared" si="264"/>
        <v>#DIV/0!</v>
      </c>
      <c r="IF133" s="531" t="e">
        <f t="shared" si="264"/>
        <v>#DIV/0!</v>
      </c>
      <c r="IG133" s="531" t="e">
        <f t="shared" si="264"/>
        <v>#DIV/0!</v>
      </c>
      <c r="IH133" s="531" t="e">
        <f t="shared" si="264"/>
        <v>#DIV/0!</v>
      </c>
      <c r="II133" s="531" t="e">
        <f t="shared" si="264"/>
        <v>#DIV/0!</v>
      </c>
      <c r="IJ133" s="531" t="e">
        <f t="shared" si="264"/>
        <v>#DIV/0!</v>
      </c>
      <c r="IK133" s="531" t="e">
        <f t="shared" si="264"/>
        <v>#DIV/0!</v>
      </c>
      <c r="IL133" s="531" t="e">
        <f t="shared" si="264"/>
        <v>#DIV/0!</v>
      </c>
      <c r="IM133" s="531" t="e">
        <f t="shared" si="264"/>
        <v>#DIV/0!</v>
      </c>
      <c r="IN133" s="531" t="e">
        <f t="shared" si="264"/>
        <v>#DIV/0!</v>
      </c>
      <c r="IO133" s="531" t="e">
        <f t="shared" si="264"/>
        <v>#DIV/0!</v>
      </c>
      <c r="IP133" s="531" t="e">
        <f t="shared" si="264"/>
        <v>#DIV/0!</v>
      </c>
      <c r="IQ133" s="531" t="e">
        <f t="shared" si="264"/>
        <v>#DIV/0!</v>
      </c>
      <c r="IR133" s="531" t="e">
        <f t="shared" si="264"/>
        <v>#DIV/0!</v>
      </c>
      <c r="IS133" s="531" t="e">
        <f t="shared" si="264"/>
        <v>#DIV/0!</v>
      </c>
      <c r="IT133" s="531" t="e">
        <f t="shared" si="264"/>
        <v>#DIV/0!</v>
      </c>
      <c r="IU133" s="531" t="e">
        <f t="shared" si="264"/>
        <v>#DIV/0!</v>
      </c>
      <c r="IV133" s="531" t="e">
        <f t="shared" si="264"/>
        <v>#DIV/0!</v>
      </c>
      <c r="IW133" s="531" t="e">
        <f t="shared" si="264"/>
        <v>#DIV/0!</v>
      </c>
      <c r="IX133" s="531" t="e">
        <f t="shared" si="264"/>
        <v>#DIV/0!</v>
      </c>
      <c r="IY133" s="531" t="e">
        <f t="shared" si="264"/>
        <v>#DIV/0!</v>
      </c>
      <c r="IZ133" s="531" t="e">
        <f t="shared" si="264"/>
        <v>#DIV/0!</v>
      </c>
      <c r="JA133" s="531" t="e">
        <f t="shared" si="264"/>
        <v>#DIV/0!</v>
      </c>
      <c r="JB133" s="531" t="e">
        <f t="shared" si="264"/>
        <v>#DIV/0!</v>
      </c>
      <c r="JC133" s="531" t="e">
        <f t="shared" ref="JC133:LN133" si="265">JC116/(JC52*10^5)</f>
        <v>#DIV/0!</v>
      </c>
      <c r="JD133" s="531" t="e">
        <f t="shared" si="265"/>
        <v>#DIV/0!</v>
      </c>
      <c r="JE133" s="531" t="e">
        <f t="shared" si="265"/>
        <v>#DIV/0!</v>
      </c>
      <c r="JF133" s="531" t="e">
        <f t="shared" si="265"/>
        <v>#DIV/0!</v>
      </c>
      <c r="JG133" s="531" t="e">
        <f t="shared" si="265"/>
        <v>#DIV/0!</v>
      </c>
      <c r="JH133" s="531" t="e">
        <f t="shared" si="265"/>
        <v>#DIV/0!</v>
      </c>
      <c r="JI133" s="531" t="e">
        <f t="shared" si="265"/>
        <v>#DIV/0!</v>
      </c>
      <c r="JJ133" s="531" t="e">
        <f t="shared" si="265"/>
        <v>#DIV/0!</v>
      </c>
      <c r="JK133" s="531" t="e">
        <f t="shared" si="265"/>
        <v>#DIV/0!</v>
      </c>
      <c r="JL133" s="531" t="e">
        <f t="shared" si="265"/>
        <v>#DIV/0!</v>
      </c>
      <c r="JM133" s="531" t="e">
        <f t="shared" si="265"/>
        <v>#DIV/0!</v>
      </c>
      <c r="JN133" s="531" t="e">
        <f t="shared" si="265"/>
        <v>#DIV/0!</v>
      </c>
      <c r="JO133" s="531" t="e">
        <f t="shared" si="265"/>
        <v>#DIV/0!</v>
      </c>
      <c r="JP133" s="531" t="e">
        <f t="shared" si="265"/>
        <v>#DIV/0!</v>
      </c>
      <c r="JQ133" s="531" t="e">
        <f t="shared" si="265"/>
        <v>#DIV/0!</v>
      </c>
      <c r="JR133" s="531" t="e">
        <f t="shared" si="265"/>
        <v>#DIV/0!</v>
      </c>
      <c r="JS133" s="531" t="e">
        <f t="shared" si="265"/>
        <v>#DIV/0!</v>
      </c>
      <c r="JT133" s="531" t="e">
        <f t="shared" si="265"/>
        <v>#DIV/0!</v>
      </c>
      <c r="JU133" s="531" t="e">
        <f t="shared" si="265"/>
        <v>#DIV/0!</v>
      </c>
      <c r="JV133" s="531" t="e">
        <f t="shared" si="265"/>
        <v>#DIV/0!</v>
      </c>
      <c r="JW133" s="531" t="e">
        <f t="shared" si="265"/>
        <v>#DIV/0!</v>
      </c>
      <c r="JX133" s="531" t="e">
        <f t="shared" si="265"/>
        <v>#DIV/0!</v>
      </c>
      <c r="JY133" s="531" t="e">
        <f t="shared" si="265"/>
        <v>#DIV/0!</v>
      </c>
      <c r="JZ133" s="531" t="e">
        <f t="shared" si="265"/>
        <v>#DIV/0!</v>
      </c>
      <c r="KA133" s="531" t="e">
        <f t="shared" si="265"/>
        <v>#DIV/0!</v>
      </c>
      <c r="KB133" s="531" t="e">
        <f t="shared" si="265"/>
        <v>#DIV/0!</v>
      </c>
      <c r="KC133" s="531" t="e">
        <f t="shared" si="265"/>
        <v>#DIV/0!</v>
      </c>
      <c r="KD133" s="531" t="e">
        <f t="shared" si="265"/>
        <v>#DIV/0!</v>
      </c>
      <c r="KE133" s="531" t="e">
        <f t="shared" si="265"/>
        <v>#DIV/0!</v>
      </c>
      <c r="KF133" s="531" t="e">
        <f t="shared" si="265"/>
        <v>#DIV/0!</v>
      </c>
      <c r="KG133" s="531" t="e">
        <f t="shared" si="265"/>
        <v>#DIV/0!</v>
      </c>
      <c r="KH133" s="531" t="e">
        <f t="shared" si="265"/>
        <v>#DIV/0!</v>
      </c>
      <c r="KI133" s="531" t="e">
        <f t="shared" si="265"/>
        <v>#DIV/0!</v>
      </c>
      <c r="KJ133" s="531" t="e">
        <f t="shared" si="265"/>
        <v>#DIV/0!</v>
      </c>
      <c r="KK133" s="531" t="e">
        <f t="shared" si="265"/>
        <v>#DIV/0!</v>
      </c>
      <c r="KL133" s="531" t="e">
        <f t="shared" si="265"/>
        <v>#DIV/0!</v>
      </c>
      <c r="KM133" s="531" t="e">
        <f t="shared" si="265"/>
        <v>#DIV/0!</v>
      </c>
      <c r="KN133" s="531" t="e">
        <f t="shared" si="265"/>
        <v>#DIV/0!</v>
      </c>
      <c r="KO133" s="531" t="e">
        <f t="shared" si="265"/>
        <v>#DIV/0!</v>
      </c>
      <c r="KP133" s="531" t="e">
        <f t="shared" si="265"/>
        <v>#DIV/0!</v>
      </c>
      <c r="KQ133" s="531" t="e">
        <f t="shared" si="265"/>
        <v>#DIV/0!</v>
      </c>
      <c r="KR133" s="531" t="e">
        <f t="shared" si="265"/>
        <v>#DIV/0!</v>
      </c>
      <c r="KS133" s="531" t="e">
        <f t="shared" si="265"/>
        <v>#DIV/0!</v>
      </c>
      <c r="KT133" s="531" t="e">
        <f t="shared" si="265"/>
        <v>#DIV/0!</v>
      </c>
      <c r="KU133" s="531" t="e">
        <f t="shared" si="265"/>
        <v>#DIV/0!</v>
      </c>
      <c r="KV133" s="531" t="e">
        <f t="shared" si="265"/>
        <v>#DIV/0!</v>
      </c>
      <c r="KW133" s="531" t="e">
        <f t="shared" si="265"/>
        <v>#DIV/0!</v>
      </c>
      <c r="KX133" s="531" t="e">
        <f t="shared" si="265"/>
        <v>#DIV/0!</v>
      </c>
      <c r="KY133" s="531" t="e">
        <f t="shared" si="265"/>
        <v>#DIV/0!</v>
      </c>
      <c r="KZ133" s="531" t="e">
        <f t="shared" si="265"/>
        <v>#DIV/0!</v>
      </c>
      <c r="LA133" s="531" t="e">
        <f t="shared" si="265"/>
        <v>#DIV/0!</v>
      </c>
      <c r="LB133" s="531" t="e">
        <f t="shared" si="265"/>
        <v>#DIV/0!</v>
      </c>
      <c r="LC133" s="531" t="e">
        <f t="shared" si="265"/>
        <v>#DIV/0!</v>
      </c>
      <c r="LD133" s="531" t="e">
        <f t="shared" si="265"/>
        <v>#DIV/0!</v>
      </c>
      <c r="LE133" s="531" t="e">
        <f t="shared" si="265"/>
        <v>#DIV/0!</v>
      </c>
      <c r="LF133" s="531" t="e">
        <f t="shared" si="265"/>
        <v>#DIV/0!</v>
      </c>
      <c r="LG133" s="531" t="e">
        <f t="shared" si="265"/>
        <v>#DIV/0!</v>
      </c>
      <c r="LH133" s="531" t="e">
        <f t="shared" si="265"/>
        <v>#DIV/0!</v>
      </c>
      <c r="LI133" s="531" t="e">
        <f t="shared" si="265"/>
        <v>#DIV/0!</v>
      </c>
      <c r="LJ133" s="531" t="e">
        <f t="shared" si="265"/>
        <v>#DIV/0!</v>
      </c>
      <c r="LK133" s="531" t="e">
        <f t="shared" si="265"/>
        <v>#DIV/0!</v>
      </c>
      <c r="LL133" s="531" t="e">
        <f t="shared" si="265"/>
        <v>#DIV/0!</v>
      </c>
      <c r="LM133" s="531" t="e">
        <f t="shared" si="265"/>
        <v>#DIV/0!</v>
      </c>
      <c r="LN133" s="531" t="e">
        <f t="shared" si="265"/>
        <v>#DIV/0!</v>
      </c>
      <c r="LO133" s="531" t="e">
        <f t="shared" ref="LO133:NZ133" si="266">LO116/(LO52*10^5)</f>
        <v>#DIV/0!</v>
      </c>
      <c r="LP133" s="531" t="e">
        <f t="shared" si="266"/>
        <v>#DIV/0!</v>
      </c>
      <c r="LQ133" s="531" t="e">
        <f t="shared" si="266"/>
        <v>#DIV/0!</v>
      </c>
      <c r="LR133" s="531" t="e">
        <f t="shared" si="266"/>
        <v>#DIV/0!</v>
      </c>
      <c r="LS133" s="531" t="e">
        <f t="shared" si="266"/>
        <v>#DIV/0!</v>
      </c>
      <c r="LT133" s="531" t="e">
        <f t="shared" si="266"/>
        <v>#DIV/0!</v>
      </c>
      <c r="LU133" s="531" t="e">
        <f t="shared" si="266"/>
        <v>#DIV/0!</v>
      </c>
      <c r="LV133" s="531" t="e">
        <f t="shared" si="266"/>
        <v>#DIV/0!</v>
      </c>
      <c r="LW133" s="531" t="e">
        <f t="shared" si="266"/>
        <v>#DIV/0!</v>
      </c>
      <c r="LX133" s="531" t="e">
        <f t="shared" si="266"/>
        <v>#DIV/0!</v>
      </c>
      <c r="LY133" s="531" t="e">
        <f t="shared" si="266"/>
        <v>#DIV/0!</v>
      </c>
      <c r="LZ133" s="531" t="e">
        <f t="shared" si="266"/>
        <v>#DIV/0!</v>
      </c>
      <c r="MA133" s="531" t="e">
        <f t="shared" si="266"/>
        <v>#DIV/0!</v>
      </c>
      <c r="MB133" s="531" t="e">
        <f t="shared" si="266"/>
        <v>#DIV/0!</v>
      </c>
      <c r="MC133" s="531" t="e">
        <f t="shared" si="266"/>
        <v>#DIV/0!</v>
      </c>
      <c r="MD133" s="531" t="e">
        <f t="shared" si="266"/>
        <v>#DIV/0!</v>
      </c>
      <c r="ME133" s="531" t="e">
        <f t="shared" si="266"/>
        <v>#DIV/0!</v>
      </c>
      <c r="MF133" s="531" t="e">
        <f t="shared" si="266"/>
        <v>#DIV/0!</v>
      </c>
      <c r="MG133" s="531" t="e">
        <f t="shared" si="266"/>
        <v>#DIV/0!</v>
      </c>
      <c r="MH133" s="531" t="e">
        <f t="shared" si="266"/>
        <v>#DIV/0!</v>
      </c>
      <c r="MI133" s="531" t="e">
        <f t="shared" si="266"/>
        <v>#DIV/0!</v>
      </c>
      <c r="MJ133" s="531" t="e">
        <f t="shared" si="266"/>
        <v>#DIV/0!</v>
      </c>
      <c r="MK133" s="531" t="e">
        <f t="shared" si="266"/>
        <v>#DIV/0!</v>
      </c>
      <c r="ML133" s="531" t="e">
        <f t="shared" si="266"/>
        <v>#DIV/0!</v>
      </c>
      <c r="MM133" s="531" t="e">
        <f t="shared" si="266"/>
        <v>#DIV/0!</v>
      </c>
      <c r="MN133" s="531" t="e">
        <f t="shared" si="266"/>
        <v>#DIV/0!</v>
      </c>
      <c r="MO133" s="531" t="e">
        <f t="shared" si="266"/>
        <v>#DIV/0!</v>
      </c>
      <c r="MP133" s="531" t="e">
        <f t="shared" si="266"/>
        <v>#DIV/0!</v>
      </c>
      <c r="MQ133" s="531" t="e">
        <f t="shared" si="266"/>
        <v>#DIV/0!</v>
      </c>
      <c r="MR133" s="531" t="e">
        <f t="shared" si="266"/>
        <v>#DIV/0!</v>
      </c>
      <c r="MS133" s="531" t="e">
        <f t="shared" si="266"/>
        <v>#DIV/0!</v>
      </c>
      <c r="MT133" s="531" t="e">
        <f t="shared" si="266"/>
        <v>#DIV/0!</v>
      </c>
      <c r="MU133" s="531" t="e">
        <f t="shared" si="266"/>
        <v>#DIV/0!</v>
      </c>
      <c r="MV133" s="531" t="e">
        <f t="shared" si="266"/>
        <v>#DIV/0!</v>
      </c>
      <c r="MW133" s="531" t="e">
        <f t="shared" si="266"/>
        <v>#DIV/0!</v>
      </c>
      <c r="MX133" s="531" t="e">
        <f t="shared" si="266"/>
        <v>#DIV/0!</v>
      </c>
      <c r="MY133" s="531" t="e">
        <f t="shared" si="266"/>
        <v>#DIV/0!</v>
      </c>
      <c r="MZ133" s="531" t="e">
        <f t="shared" si="266"/>
        <v>#DIV/0!</v>
      </c>
      <c r="NA133" s="531" t="e">
        <f t="shared" si="266"/>
        <v>#DIV/0!</v>
      </c>
      <c r="NB133" s="531" t="e">
        <f t="shared" si="266"/>
        <v>#DIV/0!</v>
      </c>
      <c r="NC133" s="531" t="e">
        <f t="shared" si="266"/>
        <v>#DIV/0!</v>
      </c>
      <c r="ND133" s="531" t="e">
        <f t="shared" si="266"/>
        <v>#DIV/0!</v>
      </c>
      <c r="NE133" s="531" t="e">
        <f t="shared" si="266"/>
        <v>#DIV/0!</v>
      </c>
      <c r="NF133" s="531" t="e">
        <f t="shared" si="266"/>
        <v>#DIV/0!</v>
      </c>
      <c r="NG133" s="531" t="e">
        <f t="shared" si="266"/>
        <v>#DIV/0!</v>
      </c>
      <c r="NH133" s="531" t="e">
        <f t="shared" si="266"/>
        <v>#DIV/0!</v>
      </c>
      <c r="NI133" s="531" t="e">
        <f t="shared" si="266"/>
        <v>#DIV/0!</v>
      </c>
      <c r="NJ133" s="531" t="e">
        <f t="shared" si="266"/>
        <v>#DIV/0!</v>
      </c>
      <c r="NK133" s="531" t="e">
        <f t="shared" si="266"/>
        <v>#DIV/0!</v>
      </c>
      <c r="NL133" s="531" t="e">
        <f t="shared" si="266"/>
        <v>#DIV/0!</v>
      </c>
      <c r="NM133" s="531" t="e">
        <f t="shared" si="266"/>
        <v>#DIV/0!</v>
      </c>
      <c r="NN133" s="531" t="e">
        <f t="shared" si="266"/>
        <v>#DIV/0!</v>
      </c>
      <c r="NO133" s="531" t="e">
        <f t="shared" si="266"/>
        <v>#DIV/0!</v>
      </c>
      <c r="NP133" s="531" t="e">
        <f t="shared" si="266"/>
        <v>#DIV/0!</v>
      </c>
      <c r="NQ133" s="531" t="e">
        <f t="shared" si="266"/>
        <v>#DIV/0!</v>
      </c>
      <c r="NR133" s="531" t="e">
        <f t="shared" si="266"/>
        <v>#DIV/0!</v>
      </c>
      <c r="NS133" s="531" t="e">
        <f t="shared" si="266"/>
        <v>#DIV/0!</v>
      </c>
      <c r="NT133" s="531" t="e">
        <f t="shared" si="266"/>
        <v>#DIV/0!</v>
      </c>
      <c r="NU133" s="531" t="e">
        <f t="shared" si="266"/>
        <v>#DIV/0!</v>
      </c>
      <c r="NV133" s="531" t="e">
        <f t="shared" si="266"/>
        <v>#DIV/0!</v>
      </c>
      <c r="NW133" s="531" t="e">
        <f t="shared" si="266"/>
        <v>#DIV/0!</v>
      </c>
      <c r="NX133" s="531" t="e">
        <f t="shared" si="266"/>
        <v>#DIV/0!</v>
      </c>
      <c r="NY133" s="531" t="e">
        <f t="shared" si="266"/>
        <v>#DIV/0!</v>
      </c>
      <c r="NZ133" s="531" t="e">
        <f t="shared" si="266"/>
        <v>#DIV/0!</v>
      </c>
      <c r="OA133" s="531" t="e">
        <f t="shared" ref="OA133:QL133" si="267">OA116/(OA52*10^5)</f>
        <v>#DIV/0!</v>
      </c>
      <c r="OB133" s="531" t="e">
        <f t="shared" si="267"/>
        <v>#DIV/0!</v>
      </c>
      <c r="OC133" s="531" t="e">
        <f t="shared" si="267"/>
        <v>#DIV/0!</v>
      </c>
      <c r="OD133" s="531" t="e">
        <f t="shared" si="267"/>
        <v>#DIV/0!</v>
      </c>
      <c r="OE133" s="531" t="e">
        <f t="shared" si="267"/>
        <v>#DIV/0!</v>
      </c>
      <c r="OF133" s="531" t="e">
        <f t="shared" si="267"/>
        <v>#DIV/0!</v>
      </c>
      <c r="OG133" s="531" t="e">
        <f t="shared" si="267"/>
        <v>#DIV/0!</v>
      </c>
      <c r="OH133" s="531" t="e">
        <f t="shared" si="267"/>
        <v>#DIV/0!</v>
      </c>
      <c r="OI133" s="531" t="e">
        <f t="shared" si="267"/>
        <v>#DIV/0!</v>
      </c>
      <c r="OJ133" s="531" t="e">
        <f t="shared" si="267"/>
        <v>#DIV/0!</v>
      </c>
      <c r="OK133" s="531" t="e">
        <f t="shared" si="267"/>
        <v>#DIV/0!</v>
      </c>
      <c r="OL133" s="531" t="e">
        <f t="shared" si="267"/>
        <v>#DIV/0!</v>
      </c>
      <c r="OM133" s="531" t="e">
        <f t="shared" si="267"/>
        <v>#DIV/0!</v>
      </c>
      <c r="ON133" s="531" t="e">
        <f t="shared" si="267"/>
        <v>#DIV/0!</v>
      </c>
      <c r="OO133" s="531" t="e">
        <f t="shared" si="267"/>
        <v>#DIV/0!</v>
      </c>
      <c r="OP133" s="531" t="e">
        <f t="shared" si="267"/>
        <v>#DIV/0!</v>
      </c>
      <c r="OQ133" s="531" t="e">
        <f t="shared" si="267"/>
        <v>#DIV/0!</v>
      </c>
      <c r="OR133" s="531" t="e">
        <f t="shared" si="267"/>
        <v>#DIV/0!</v>
      </c>
      <c r="OS133" s="531" t="e">
        <f t="shared" si="267"/>
        <v>#DIV/0!</v>
      </c>
      <c r="OT133" s="531" t="e">
        <f t="shared" si="267"/>
        <v>#DIV/0!</v>
      </c>
      <c r="OU133" s="531" t="e">
        <f t="shared" si="267"/>
        <v>#DIV/0!</v>
      </c>
      <c r="OV133" s="531" t="e">
        <f t="shared" si="267"/>
        <v>#DIV/0!</v>
      </c>
      <c r="OW133" s="531" t="e">
        <f t="shared" si="267"/>
        <v>#DIV/0!</v>
      </c>
      <c r="OX133" s="531" t="e">
        <f t="shared" si="267"/>
        <v>#DIV/0!</v>
      </c>
      <c r="OY133" s="531" t="e">
        <f t="shared" si="267"/>
        <v>#DIV/0!</v>
      </c>
      <c r="OZ133" s="531" t="e">
        <f t="shared" si="267"/>
        <v>#DIV/0!</v>
      </c>
      <c r="PA133" s="531" t="e">
        <f t="shared" si="267"/>
        <v>#DIV/0!</v>
      </c>
      <c r="PB133" s="531" t="e">
        <f t="shared" si="267"/>
        <v>#DIV/0!</v>
      </c>
      <c r="PC133" s="531" t="e">
        <f t="shared" si="267"/>
        <v>#DIV/0!</v>
      </c>
      <c r="PD133" s="531" t="e">
        <f t="shared" si="267"/>
        <v>#DIV/0!</v>
      </c>
      <c r="PE133" s="531" t="e">
        <f t="shared" si="267"/>
        <v>#DIV/0!</v>
      </c>
      <c r="PF133" s="531" t="e">
        <f t="shared" si="267"/>
        <v>#DIV/0!</v>
      </c>
      <c r="PG133" s="531" t="e">
        <f t="shared" si="267"/>
        <v>#DIV/0!</v>
      </c>
      <c r="PH133" s="531" t="e">
        <f t="shared" si="267"/>
        <v>#DIV/0!</v>
      </c>
      <c r="PI133" s="531" t="e">
        <f t="shared" si="267"/>
        <v>#DIV/0!</v>
      </c>
      <c r="PJ133" s="531" t="e">
        <f t="shared" si="267"/>
        <v>#DIV/0!</v>
      </c>
      <c r="PK133" s="531" t="e">
        <f t="shared" si="267"/>
        <v>#DIV/0!</v>
      </c>
      <c r="PL133" s="531" t="e">
        <f t="shared" si="267"/>
        <v>#DIV/0!</v>
      </c>
      <c r="PM133" s="531" t="e">
        <f t="shared" si="267"/>
        <v>#DIV/0!</v>
      </c>
      <c r="PN133" s="531" t="e">
        <f t="shared" si="267"/>
        <v>#DIV/0!</v>
      </c>
      <c r="PO133" s="531" t="e">
        <f t="shared" si="267"/>
        <v>#DIV/0!</v>
      </c>
      <c r="PP133" s="531" t="e">
        <f t="shared" si="267"/>
        <v>#DIV/0!</v>
      </c>
      <c r="PQ133" s="531" t="e">
        <f t="shared" si="267"/>
        <v>#DIV/0!</v>
      </c>
      <c r="PR133" s="531" t="e">
        <f t="shared" si="267"/>
        <v>#DIV/0!</v>
      </c>
      <c r="PS133" s="531" t="e">
        <f t="shared" si="267"/>
        <v>#DIV/0!</v>
      </c>
      <c r="PT133" s="531" t="e">
        <f t="shared" si="267"/>
        <v>#DIV/0!</v>
      </c>
      <c r="PU133" s="531" t="e">
        <f t="shared" si="267"/>
        <v>#DIV/0!</v>
      </c>
      <c r="PV133" s="531" t="e">
        <f t="shared" si="267"/>
        <v>#DIV/0!</v>
      </c>
      <c r="PW133" s="531" t="e">
        <f t="shared" si="267"/>
        <v>#DIV/0!</v>
      </c>
      <c r="PX133" s="531" t="e">
        <f t="shared" si="267"/>
        <v>#DIV/0!</v>
      </c>
      <c r="PY133" s="531" t="e">
        <f t="shared" si="267"/>
        <v>#DIV/0!</v>
      </c>
      <c r="PZ133" s="531" t="e">
        <f t="shared" si="267"/>
        <v>#DIV/0!</v>
      </c>
      <c r="QA133" s="531" t="e">
        <f t="shared" si="267"/>
        <v>#DIV/0!</v>
      </c>
      <c r="QB133" s="531" t="e">
        <f t="shared" si="267"/>
        <v>#DIV/0!</v>
      </c>
      <c r="QC133" s="531" t="e">
        <f t="shared" si="267"/>
        <v>#DIV/0!</v>
      </c>
      <c r="QD133" s="531" t="e">
        <f t="shared" si="267"/>
        <v>#DIV/0!</v>
      </c>
      <c r="QE133" s="531" t="e">
        <f t="shared" si="267"/>
        <v>#DIV/0!</v>
      </c>
      <c r="QF133" s="531" t="e">
        <f t="shared" si="267"/>
        <v>#DIV/0!</v>
      </c>
      <c r="QG133" s="531" t="e">
        <f t="shared" si="267"/>
        <v>#DIV/0!</v>
      </c>
      <c r="QH133" s="531" t="e">
        <f t="shared" si="267"/>
        <v>#DIV/0!</v>
      </c>
      <c r="QI133" s="531" t="e">
        <f t="shared" si="267"/>
        <v>#DIV/0!</v>
      </c>
      <c r="QJ133" s="531" t="e">
        <f t="shared" si="267"/>
        <v>#DIV/0!</v>
      </c>
      <c r="QK133" s="531" t="e">
        <f t="shared" si="267"/>
        <v>#DIV/0!</v>
      </c>
      <c r="QL133" s="531" t="e">
        <f t="shared" si="267"/>
        <v>#DIV/0!</v>
      </c>
      <c r="QM133" s="531" t="e">
        <f t="shared" ref="QM133:SX133" si="268">QM116/(QM52*10^5)</f>
        <v>#DIV/0!</v>
      </c>
      <c r="QN133" s="531" t="e">
        <f t="shared" si="268"/>
        <v>#DIV/0!</v>
      </c>
      <c r="QO133" s="531" t="e">
        <f t="shared" si="268"/>
        <v>#DIV/0!</v>
      </c>
      <c r="QP133" s="531" t="e">
        <f t="shared" si="268"/>
        <v>#DIV/0!</v>
      </c>
      <c r="QQ133" s="531" t="e">
        <f t="shared" si="268"/>
        <v>#DIV/0!</v>
      </c>
      <c r="QR133" s="531" t="e">
        <f t="shared" si="268"/>
        <v>#DIV/0!</v>
      </c>
      <c r="QS133" s="531" t="e">
        <f t="shared" si="268"/>
        <v>#DIV/0!</v>
      </c>
      <c r="QT133" s="531" t="e">
        <f t="shared" si="268"/>
        <v>#DIV/0!</v>
      </c>
      <c r="QU133" s="531" t="e">
        <f t="shared" si="268"/>
        <v>#DIV/0!</v>
      </c>
      <c r="QV133" s="531" t="e">
        <f t="shared" si="268"/>
        <v>#DIV/0!</v>
      </c>
      <c r="QW133" s="531" t="e">
        <f t="shared" si="268"/>
        <v>#DIV/0!</v>
      </c>
      <c r="QX133" s="531" t="e">
        <f t="shared" si="268"/>
        <v>#DIV/0!</v>
      </c>
      <c r="QY133" s="531" t="e">
        <f t="shared" si="268"/>
        <v>#DIV/0!</v>
      </c>
      <c r="QZ133" s="531" t="e">
        <f t="shared" si="268"/>
        <v>#DIV/0!</v>
      </c>
      <c r="RA133" s="531" t="e">
        <f t="shared" si="268"/>
        <v>#DIV/0!</v>
      </c>
      <c r="RB133" s="531" t="e">
        <f t="shared" si="268"/>
        <v>#DIV/0!</v>
      </c>
      <c r="RC133" s="531" t="e">
        <f t="shared" si="268"/>
        <v>#DIV/0!</v>
      </c>
      <c r="RD133" s="531" t="e">
        <f t="shared" si="268"/>
        <v>#DIV/0!</v>
      </c>
      <c r="RE133" s="531" t="e">
        <f t="shared" si="268"/>
        <v>#DIV/0!</v>
      </c>
      <c r="RF133" s="531" t="e">
        <f t="shared" si="268"/>
        <v>#DIV/0!</v>
      </c>
      <c r="RG133" s="531" t="e">
        <f t="shared" si="268"/>
        <v>#DIV/0!</v>
      </c>
      <c r="RH133" s="531" t="e">
        <f t="shared" si="268"/>
        <v>#DIV/0!</v>
      </c>
      <c r="RI133" s="531" t="e">
        <f t="shared" si="268"/>
        <v>#DIV/0!</v>
      </c>
      <c r="RJ133" s="531" t="e">
        <f t="shared" si="268"/>
        <v>#DIV/0!</v>
      </c>
      <c r="RK133" s="531" t="e">
        <f t="shared" si="268"/>
        <v>#DIV/0!</v>
      </c>
      <c r="RL133" s="531" t="e">
        <f t="shared" si="268"/>
        <v>#DIV/0!</v>
      </c>
      <c r="RM133" s="531" t="e">
        <f t="shared" si="268"/>
        <v>#DIV/0!</v>
      </c>
      <c r="RN133" s="531" t="e">
        <f t="shared" si="268"/>
        <v>#DIV/0!</v>
      </c>
      <c r="RO133" s="531" t="e">
        <f t="shared" si="268"/>
        <v>#DIV/0!</v>
      </c>
      <c r="RP133" s="531" t="e">
        <f t="shared" si="268"/>
        <v>#DIV/0!</v>
      </c>
      <c r="RQ133" s="531" t="e">
        <f t="shared" si="268"/>
        <v>#DIV/0!</v>
      </c>
      <c r="RR133" s="531" t="e">
        <f t="shared" si="268"/>
        <v>#DIV/0!</v>
      </c>
      <c r="RS133" s="531" t="e">
        <f t="shared" si="268"/>
        <v>#DIV/0!</v>
      </c>
      <c r="RT133" s="531" t="e">
        <f t="shared" si="268"/>
        <v>#DIV/0!</v>
      </c>
      <c r="RU133" s="531" t="e">
        <f t="shared" si="268"/>
        <v>#DIV/0!</v>
      </c>
      <c r="RV133" s="531" t="e">
        <f t="shared" si="268"/>
        <v>#DIV/0!</v>
      </c>
      <c r="RW133" s="531" t="e">
        <f t="shared" si="268"/>
        <v>#DIV/0!</v>
      </c>
      <c r="RX133" s="531" t="e">
        <f t="shared" si="268"/>
        <v>#DIV/0!</v>
      </c>
      <c r="RY133" s="531" t="e">
        <f t="shared" si="268"/>
        <v>#DIV/0!</v>
      </c>
      <c r="RZ133" s="531" t="e">
        <f t="shared" si="268"/>
        <v>#DIV/0!</v>
      </c>
      <c r="SA133" s="531" t="e">
        <f t="shared" si="268"/>
        <v>#DIV/0!</v>
      </c>
      <c r="SB133" s="531" t="e">
        <f t="shared" si="268"/>
        <v>#DIV/0!</v>
      </c>
      <c r="SC133" s="531" t="e">
        <f t="shared" si="268"/>
        <v>#DIV/0!</v>
      </c>
      <c r="SD133" s="531" t="e">
        <f t="shared" si="268"/>
        <v>#DIV/0!</v>
      </c>
      <c r="SE133" s="531" t="e">
        <f t="shared" si="268"/>
        <v>#DIV/0!</v>
      </c>
      <c r="SF133" s="531" t="e">
        <f t="shared" si="268"/>
        <v>#DIV/0!</v>
      </c>
      <c r="SG133" s="531" t="e">
        <f t="shared" si="268"/>
        <v>#DIV/0!</v>
      </c>
      <c r="SH133" s="531" t="e">
        <f t="shared" si="268"/>
        <v>#DIV/0!</v>
      </c>
      <c r="SI133" s="531" t="e">
        <f t="shared" si="268"/>
        <v>#DIV/0!</v>
      </c>
      <c r="SJ133" s="531" t="e">
        <f t="shared" si="268"/>
        <v>#DIV/0!</v>
      </c>
      <c r="SK133" s="531" t="e">
        <f t="shared" si="268"/>
        <v>#DIV/0!</v>
      </c>
      <c r="SL133" s="531" t="e">
        <f t="shared" si="268"/>
        <v>#DIV/0!</v>
      </c>
      <c r="SM133" s="531" t="e">
        <f t="shared" si="268"/>
        <v>#DIV/0!</v>
      </c>
      <c r="SN133" s="531" t="e">
        <f t="shared" si="268"/>
        <v>#DIV/0!</v>
      </c>
      <c r="SO133" s="531" t="e">
        <f t="shared" si="268"/>
        <v>#DIV/0!</v>
      </c>
      <c r="SP133" s="531" t="e">
        <f t="shared" si="268"/>
        <v>#DIV/0!</v>
      </c>
      <c r="SQ133" s="531" t="e">
        <f t="shared" si="268"/>
        <v>#DIV/0!</v>
      </c>
      <c r="SR133" s="531" t="e">
        <f t="shared" si="268"/>
        <v>#DIV/0!</v>
      </c>
      <c r="SS133" s="531" t="e">
        <f t="shared" si="268"/>
        <v>#DIV/0!</v>
      </c>
      <c r="ST133" s="531" t="e">
        <f t="shared" si="268"/>
        <v>#DIV/0!</v>
      </c>
      <c r="SU133" s="531" t="e">
        <f t="shared" si="268"/>
        <v>#DIV/0!</v>
      </c>
      <c r="SV133" s="531" t="e">
        <f t="shared" si="268"/>
        <v>#DIV/0!</v>
      </c>
      <c r="SW133" s="531" t="e">
        <f t="shared" si="268"/>
        <v>#DIV/0!</v>
      </c>
      <c r="SX133" s="531" t="e">
        <f t="shared" si="268"/>
        <v>#DIV/0!</v>
      </c>
      <c r="SY133" s="531" t="e">
        <f t="shared" ref="SY133:VJ133" si="269">SY116/(SY52*10^5)</f>
        <v>#DIV/0!</v>
      </c>
      <c r="SZ133" s="531" t="e">
        <f t="shared" si="269"/>
        <v>#DIV/0!</v>
      </c>
      <c r="TA133" s="531" t="e">
        <f t="shared" si="269"/>
        <v>#DIV/0!</v>
      </c>
      <c r="TB133" s="531" t="e">
        <f t="shared" si="269"/>
        <v>#DIV/0!</v>
      </c>
      <c r="TC133" s="531" t="e">
        <f t="shared" si="269"/>
        <v>#DIV/0!</v>
      </c>
      <c r="TD133" s="531" t="e">
        <f t="shared" si="269"/>
        <v>#DIV/0!</v>
      </c>
      <c r="TE133" s="531" t="e">
        <f t="shared" si="269"/>
        <v>#DIV/0!</v>
      </c>
      <c r="TF133" s="531" t="e">
        <f t="shared" si="269"/>
        <v>#DIV/0!</v>
      </c>
      <c r="TG133" s="531" t="e">
        <f t="shared" si="269"/>
        <v>#DIV/0!</v>
      </c>
      <c r="TH133" s="531" t="e">
        <f t="shared" si="269"/>
        <v>#DIV/0!</v>
      </c>
      <c r="TI133" s="531" t="e">
        <f t="shared" si="269"/>
        <v>#DIV/0!</v>
      </c>
      <c r="TJ133" s="531" t="e">
        <f t="shared" si="269"/>
        <v>#DIV/0!</v>
      </c>
      <c r="TK133" s="531" t="e">
        <f t="shared" si="269"/>
        <v>#DIV/0!</v>
      </c>
      <c r="TL133" s="531" t="e">
        <f t="shared" si="269"/>
        <v>#DIV/0!</v>
      </c>
      <c r="TM133" s="531" t="e">
        <f t="shared" si="269"/>
        <v>#DIV/0!</v>
      </c>
      <c r="TN133" s="531" t="e">
        <f t="shared" si="269"/>
        <v>#DIV/0!</v>
      </c>
      <c r="TO133" s="531" t="e">
        <f t="shared" si="269"/>
        <v>#DIV/0!</v>
      </c>
      <c r="TP133" s="531" t="e">
        <f t="shared" si="269"/>
        <v>#DIV/0!</v>
      </c>
      <c r="TQ133" s="531" t="e">
        <f t="shared" si="269"/>
        <v>#DIV/0!</v>
      </c>
      <c r="TR133" s="531" t="e">
        <f t="shared" si="269"/>
        <v>#DIV/0!</v>
      </c>
      <c r="TS133" s="531" t="e">
        <f t="shared" si="269"/>
        <v>#DIV/0!</v>
      </c>
      <c r="TT133" s="531" t="e">
        <f t="shared" si="269"/>
        <v>#DIV/0!</v>
      </c>
      <c r="TU133" s="531" t="e">
        <f t="shared" si="269"/>
        <v>#DIV/0!</v>
      </c>
      <c r="TV133" s="531" t="e">
        <f t="shared" si="269"/>
        <v>#DIV/0!</v>
      </c>
      <c r="TW133" s="531" t="e">
        <f t="shared" si="269"/>
        <v>#DIV/0!</v>
      </c>
      <c r="TX133" s="531" t="e">
        <f t="shared" si="269"/>
        <v>#DIV/0!</v>
      </c>
      <c r="TY133" s="531" t="e">
        <f t="shared" si="269"/>
        <v>#DIV/0!</v>
      </c>
      <c r="TZ133" s="531" t="e">
        <f t="shared" si="269"/>
        <v>#DIV/0!</v>
      </c>
      <c r="UA133" s="531" t="e">
        <f t="shared" si="269"/>
        <v>#DIV/0!</v>
      </c>
      <c r="UB133" s="531" t="e">
        <f t="shared" si="269"/>
        <v>#DIV/0!</v>
      </c>
      <c r="UC133" s="531" t="e">
        <f t="shared" si="269"/>
        <v>#DIV/0!</v>
      </c>
      <c r="UD133" s="531" t="e">
        <f t="shared" si="269"/>
        <v>#DIV/0!</v>
      </c>
      <c r="UE133" s="531" t="e">
        <f t="shared" si="269"/>
        <v>#DIV/0!</v>
      </c>
      <c r="UF133" s="531" t="e">
        <f t="shared" si="269"/>
        <v>#DIV/0!</v>
      </c>
      <c r="UG133" s="531" t="e">
        <f t="shared" si="269"/>
        <v>#DIV/0!</v>
      </c>
      <c r="UH133" s="531" t="e">
        <f t="shared" si="269"/>
        <v>#DIV/0!</v>
      </c>
      <c r="UI133" s="531" t="e">
        <f t="shared" si="269"/>
        <v>#DIV/0!</v>
      </c>
      <c r="UJ133" s="531" t="e">
        <f t="shared" si="269"/>
        <v>#DIV/0!</v>
      </c>
      <c r="UK133" s="531" t="e">
        <f t="shared" si="269"/>
        <v>#DIV/0!</v>
      </c>
      <c r="UL133" s="531" t="e">
        <f t="shared" si="269"/>
        <v>#DIV/0!</v>
      </c>
      <c r="UM133" s="531" t="e">
        <f t="shared" si="269"/>
        <v>#DIV/0!</v>
      </c>
      <c r="UN133" s="531" t="e">
        <f t="shared" si="269"/>
        <v>#DIV/0!</v>
      </c>
      <c r="UO133" s="531" t="e">
        <f t="shared" si="269"/>
        <v>#DIV/0!</v>
      </c>
      <c r="UP133" s="531" t="e">
        <f t="shared" si="269"/>
        <v>#DIV/0!</v>
      </c>
      <c r="UQ133" s="531" t="e">
        <f t="shared" si="269"/>
        <v>#DIV/0!</v>
      </c>
      <c r="UR133" s="531" t="e">
        <f t="shared" si="269"/>
        <v>#DIV/0!</v>
      </c>
      <c r="US133" s="531" t="e">
        <f t="shared" si="269"/>
        <v>#DIV/0!</v>
      </c>
      <c r="UT133" s="531" t="e">
        <f t="shared" si="269"/>
        <v>#DIV/0!</v>
      </c>
      <c r="UU133" s="531" t="e">
        <f t="shared" si="269"/>
        <v>#DIV/0!</v>
      </c>
      <c r="UV133" s="531" t="e">
        <f t="shared" si="269"/>
        <v>#DIV/0!</v>
      </c>
      <c r="UW133" s="531" t="e">
        <f t="shared" si="269"/>
        <v>#DIV/0!</v>
      </c>
      <c r="UX133" s="531" t="e">
        <f t="shared" si="269"/>
        <v>#DIV/0!</v>
      </c>
      <c r="UY133" s="531" t="e">
        <f t="shared" si="269"/>
        <v>#DIV/0!</v>
      </c>
      <c r="UZ133" s="531" t="e">
        <f t="shared" si="269"/>
        <v>#DIV/0!</v>
      </c>
      <c r="VA133" s="531" t="e">
        <f t="shared" si="269"/>
        <v>#DIV/0!</v>
      </c>
      <c r="VB133" s="531" t="e">
        <f t="shared" si="269"/>
        <v>#DIV/0!</v>
      </c>
      <c r="VC133" s="531" t="e">
        <f t="shared" si="269"/>
        <v>#DIV/0!</v>
      </c>
      <c r="VD133" s="531" t="e">
        <f t="shared" si="269"/>
        <v>#DIV/0!</v>
      </c>
      <c r="VE133" s="531" t="e">
        <f t="shared" si="269"/>
        <v>#DIV/0!</v>
      </c>
      <c r="VF133" s="531" t="e">
        <f t="shared" si="269"/>
        <v>#DIV/0!</v>
      </c>
      <c r="VG133" s="531" t="e">
        <f t="shared" si="269"/>
        <v>#DIV/0!</v>
      </c>
      <c r="VH133" s="531" t="e">
        <f t="shared" si="269"/>
        <v>#DIV/0!</v>
      </c>
      <c r="VI133" s="531" t="e">
        <f t="shared" si="269"/>
        <v>#DIV/0!</v>
      </c>
      <c r="VJ133" s="531" t="e">
        <f t="shared" si="269"/>
        <v>#DIV/0!</v>
      </c>
      <c r="VK133" s="531" t="e">
        <f t="shared" ref="VK133:XV133" si="270">VK116/(VK52*10^5)</f>
        <v>#DIV/0!</v>
      </c>
      <c r="VL133" s="531" t="e">
        <f t="shared" si="270"/>
        <v>#DIV/0!</v>
      </c>
      <c r="VM133" s="531" t="e">
        <f t="shared" si="270"/>
        <v>#DIV/0!</v>
      </c>
      <c r="VN133" s="531" t="e">
        <f t="shared" si="270"/>
        <v>#DIV/0!</v>
      </c>
      <c r="VO133" s="531" t="e">
        <f t="shared" si="270"/>
        <v>#DIV/0!</v>
      </c>
      <c r="VP133" s="531" t="e">
        <f t="shared" si="270"/>
        <v>#DIV/0!</v>
      </c>
      <c r="VQ133" s="531" t="e">
        <f t="shared" si="270"/>
        <v>#DIV/0!</v>
      </c>
      <c r="VR133" s="531" t="e">
        <f t="shared" si="270"/>
        <v>#DIV/0!</v>
      </c>
      <c r="VS133" s="531" t="e">
        <f t="shared" si="270"/>
        <v>#DIV/0!</v>
      </c>
      <c r="VT133" s="531" t="e">
        <f t="shared" si="270"/>
        <v>#DIV/0!</v>
      </c>
      <c r="VU133" s="531" t="e">
        <f t="shared" si="270"/>
        <v>#DIV/0!</v>
      </c>
      <c r="VV133" s="531" t="e">
        <f t="shared" si="270"/>
        <v>#DIV/0!</v>
      </c>
      <c r="VW133" s="531" t="e">
        <f t="shared" si="270"/>
        <v>#DIV/0!</v>
      </c>
      <c r="VX133" s="531" t="e">
        <f t="shared" si="270"/>
        <v>#DIV/0!</v>
      </c>
      <c r="VY133" s="531" t="e">
        <f t="shared" si="270"/>
        <v>#DIV/0!</v>
      </c>
      <c r="VZ133" s="531" t="e">
        <f t="shared" si="270"/>
        <v>#DIV/0!</v>
      </c>
      <c r="WA133" s="531" t="e">
        <f t="shared" si="270"/>
        <v>#DIV/0!</v>
      </c>
      <c r="WB133" s="531" t="e">
        <f t="shared" si="270"/>
        <v>#DIV/0!</v>
      </c>
      <c r="WC133" s="531" t="e">
        <f t="shared" si="270"/>
        <v>#DIV/0!</v>
      </c>
      <c r="WD133" s="531" t="e">
        <f t="shared" si="270"/>
        <v>#DIV/0!</v>
      </c>
      <c r="WE133" s="531" t="e">
        <f t="shared" si="270"/>
        <v>#DIV/0!</v>
      </c>
      <c r="WF133" s="531" t="e">
        <f t="shared" si="270"/>
        <v>#DIV/0!</v>
      </c>
      <c r="WG133" s="531" t="e">
        <f t="shared" si="270"/>
        <v>#DIV/0!</v>
      </c>
      <c r="WH133" s="531" t="e">
        <f t="shared" si="270"/>
        <v>#DIV/0!</v>
      </c>
      <c r="WI133" s="531" t="e">
        <f t="shared" si="270"/>
        <v>#DIV/0!</v>
      </c>
      <c r="WJ133" s="531" t="e">
        <f t="shared" si="270"/>
        <v>#DIV/0!</v>
      </c>
      <c r="WK133" s="531" t="e">
        <f t="shared" si="270"/>
        <v>#DIV/0!</v>
      </c>
      <c r="WL133" s="531" t="e">
        <f t="shared" si="270"/>
        <v>#DIV/0!</v>
      </c>
      <c r="WM133" s="531" t="e">
        <f t="shared" si="270"/>
        <v>#DIV/0!</v>
      </c>
      <c r="WN133" s="531" t="e">
        <f t="shared" si="270"/>
        <v>#DIV/0!</v>
      </c>
      <c r="WO133" s="531" t="e">
        <f t="shared" si="270"/>
        <v>#DIV/0!</v>
      </c>
      <c r="WP133" s="531" t="e">
        <f t="shared" si="270"/>
        <v>#DIV/0!</v>
      </c>
      <c r="WQ133" s="531" t="e">
        <f t="shared" si="270"/>
        <v>#DIV/0!</v>
      </c>
      <c r="WR133" s="531" t="e">
        <f t="shared" si="270"/>
        <v>#DIV/0!</v>
      </c>
      <c r="WS133" s="531" t="e">
        <f t="shared" si="270"/>
        <v>#DIV/0!</v>
      </c>
      <c r="WT133" s="531" t="e">
        <f t="shared" si="270"/>
        <v>#DIV/0!</v>
      </c>
      <c r="WU133" s="531" t="e">
        <f t="shared" si="270"/>
        <v>#DIV/0!</v>
      </c>
      <c r="WV133" s="531" t="e">
        <f t="shared" si="270"/>
        <v>#DIV/0!</v>
      </c>
      <c r="WW133" s="531" t="e">
        <f t="shared" si="270"/>
        <v>#DIV/0!</v>
      </c>
      <c r="WX133" s="531" t="e">
        <f t="shared" si="270"/>
        <v>#DIV/0!</v>
      </c>
      <c r="WY133" s="531" t="e">
        <f t="shared" si="270"/>
        <v>#DIV/0!</v>
      </c>
      <c r="WZ133" s="531" t="e">
        <f t="shared" si="270"/>
        <v>#DIV/0!</v>
      </c>
      <c r="XA133" s="531" t="e">
        <f t="shared" si="270"/>
        <v>#DIV/0!</v>
      </c>
      <c r="XB133" s="531" t="e">
        <f t="shared" si="270"/>
        <v>#DIV/0!</v>
      </c>
      <c r="XC133" s="531" t="e">
        <f t="shared" si="270"/>
        <v>#DIV/0!</v>
      </c>
      <c r="XD133" s="531" t="e">
        <f t="shared" si="270"/>
        <v>#DIV/0!</v>
      </c>
      <c r="XE133" s="531" t="e">
        <f t="shared" si="270"/>
        <v>#DIV/0!</v>
      </c>
      <c r="XF133" s="531" t="e">
        <f t="shared" si="270"/>
        <v>#DIV/0!</v>
      </c>
      <c r="XG133" s="531" t="e">
        <f t="shared" si="270"/>
        <v>#DIV/0!</v>
      </c>
      <c r="XH133" s="531" t="e">
        <f t="shared" si="270"/>
        <v>#DIV/0!</v>
      </c>
      <c r="XI133" s="531" t="e">
        <f t="shared" si="270"/>
        <v>#DIV/0!</v>
      </c>
      <c r="XJ133" s="531" t="e">
        <f t="shared" si="270"/>
        <v>#DIV/0!</v>
      </c>
      <c r="XK133" s="531" t="e">
        <f t="shared" si="270"/>
        <v>#DIV/0!</v>
      </c>
      <c r="XL133" s="531" t="e">
        <f t="shared" si="270"/>
        <v>#DIV/0!</v>
      </c>
      <c r="XM133" s="531" t="e">
        <f t="shared" si="270"/>
        <v>#DIV/0!</v>
      </c>
      <c r="XN133" s="531" t="e">
        <f t="shared" si="270"/>
        <v>#DIV/0!</v>
      </c>
      <c r="XO133" s="531" t="e">
        <f t="shared" si="270"/>
        <v>#DIV/0!</v>
      </c>
      <c r="XP133" s="531" t="e">
        <f t="shared" si="270"/>
        <v>#DIV/0!</v>
      </c>
      <c r="XQ133" s="531" t="e">
        <f t="shared" si="270"/>
        <v>#DIV/0!</v>
      </c>
      <c r="XR133" s="531" t="e">
        <f t="shared" si="270"/>
        <v>#DIV/0!</v>
      </c>
      <c r="XS133" s="531" t="e">
        <f t="shared" si="270"/>
        <v>#DIV/0!</v>
      </c>
      <c r="XT133" s="531" t="e">
        <f t="shared" si="270"/>
        <v>#DIV/0!</v>
      </c>
      <c r="XU133" s="531" t="e">
        <f t="shared" si="270"/>
        <v>#DIV/0!</v>
      </c>
      <c r="XV133" s="531" t="e">
        <f t="shared" si="270"/>
        <v>#DIV/0!</v>
      </c>
      <c r="XW133" s="531" t="e">
        <f t="shared" ref="XW133:AAH133" si="271">XW116/(XW52*10^5)</f>
        <v>#DIV/0!</v>
      </c>
      <c r="XX133" s="531" t="e">
        <f t="shared" si="271"/>
        <v>#DIV/0!</v>
      </c>
      <c r="XY133" s="531" t="e">
        <f t="shared" si="271"/>
        <v>#DIV/0!</v>
      </c>
      <c r="XZ133" s="531" t="e">
        <f t="shared" si="271"/>
        <v>#DIV/0!</v>
      </c>
      <c r="YA133" s="531" t="e">
        <f t="shared" si="271"/>
        <v>#DIV/0!</v>
      </c>
      <c r="YB133" s="531" t="e">
        <f t="shared" si="271"/>
        <v>#DIV/0!</v>
      </c>
      <c r="YC133" s="531" t="e">
        <f t="shared" si="271"/>
        <v>#DIV/0!</v>
      </c>
      <c r="YD133" s="531" t="e">
        <f t="shared" si="271"/>
        <v>#DIV/0!</v>
      </c>
      <c r="YE133" s="531" t="e">
        <f t="shared" si="271"/>
        <v>#DIV/0!</v>
      </c>
      <c r="YF133" s="531" t="e">
        <f t="shared" si="271"/>
        <v>#DIV/0!</v>
      </c>
      <c r="YG133" s="531" t="e">
        <f t="shared" si="271"/>
        <v>#DIV/0!</v>
      </c>
      <c r="YH133" s="531" t="e">
        <f t="shared" si="271"/>
        <v>#DIV/0!</v>
      </c>
      <c r="YI133" s="531" t="e">
        <f t="shared" si="271"/>
        <v>#DIV/0!</v>
      </c>
      <c r="YJ133" s="531" t="e">
        <f t="shared" si="271"/>
        <v>#DIV/0!</v>
      </c>
      <c r="YK133" s="531" t="e">
        <f t="shared" si="271"/>
        <v>#DIV/0!</v>
      </c>
      <c r="YL133" s="531" t="e">
        <f t="shared" si="271"/>
        <v>#DIV/0!</v>
      </c>
      <c r="YM133" s="531" t="e">
        <f t="shared" si="271"/>
        <v>#DIV/0!</v>
      </c>
      <c r="YN133" s="531" t="e">
        <f t="shared" si="271"/>
        <v>#DIV/0!</v>
      </c>
      <c r="YO133" s="531" t="e">
        <f t="shared" si="271"/>
        <v>#DIV/0!</v>
      </c>
      <c r="YP133" s="531" t="e">
        <f t="shared" si="271"/>
        <v>#DIV/0!</v>
      </c>
      <c r="YQ133" s="531" t="e">
        <f t="shared" si="271"/>
        <v>#DIV/0!</v>
      </c>
      <c r="YR133" s="531" t="e">
        <f t="shared" si="271"/>
        <v>#DIV/0!</v>
      </c>
      <c r="YS133" s="531" t="e">
        <f t="shared" si="271"/>
        <v>#DIV/0!</v>
      </c>
      <c r="YT133" s="531" t="e">
        <f t="shared" si="271"/>
        <v>#DIV/0!</v>
      </c>
      <c r="YU133" s="531" t="e">
        <f t="shared" si="271"/>
        <v>#DIV/0!</v>
      </c>
      <c r="YV133" s="531" t="e">
        <f t="shared" si="271"/>
        <v>#DIV/0!</v>
      </c>
      <c r="YW133" s="531" t="e">
        <f t="shared" si="271"/>
        <v>#DIV/0!</v>
      </c>
      <c r="YX133" s="531" t="e">
        <f t="shared" si="271"/>
        <v>#DIV/0!</v>
      </c>
      <c r="YY133" s="531" t="e">
        <f t="shared" si="271"/>
        <v>#DIV/0!</v>
      </c>
      <c r="YZ133" s="531" t="e">
        <f t="shared" si="271"/>
        <v>#DIV/0!</v>
      </c>
      <c r="ZA133" s="531" t="e">
        <f t="shared" si="271"/>
        <v>#DIV/0!</v>
      </c>
      <c r="ZB133" s="531" t="e">
        <f t="shared" si="271"/>
        <v>#DIV/0!</v>
      </c>
      <c r="ZC133" s="531" t="e">
        <f t="shared" si="271"/>
        <v>#DIV/0!</v>
      </c>
      <c r="ZD133" s="531" t="e">
        <f t="shared" si="271"/>
        <v>#DIV/0!</v>
      </c>
      <c r="ZE133" s="531" t="e">
        <f t="shared" si="271"/>
        <v>#DIV/0!</v>
      </c>
      <c r="ZF133" s="531" t="e">
        <f t="shared" si="271"/>
        <v>#DIV/0!</v>
      </c>
      <c r="ZG133" s="531" t="e">
        <f t="shared" si="271"/>
        <v>#DIV/0!</v>
      </c>
      <c r="ZH133" s="531" t="e">
        <f t="shared" si="271"/>
        <v>#DIV/0!</v>
      </c>
      <c r="ZI133" s="531" t="e">
        <f t="shared" si="271"/>
        <v>#DIV/0!</v>
      </c>
      <c r="ZJ133" s="531" t="e">
        <f t="shared" si="271"/>
        <v>#DIV/0!</v>
      </c>
      <c r="ZK133" s="531" t="e">
        <f t="shared" si="271"/>
        <v>#DIV/0!</v>
      </c>
      <c r="ZL133" s="531" t="e">
        <f t="shared" si="271"/>
        <v>#DIV/0!</v>
      </c>
      <c r="ZM133" s="531" t="e">
        <f t="shared" si="271"/>
        <v>#DIV/0!</v>
      </c>
      <c r="ZN133" s="531" t="e">
        <f t="shared" si="271"/>
        <v>#DIV/0!</v>
      </c>
      <c r="ZO133" s="531" t="e">
        <f t="shared" si="271"/>
        <v>#DIV/0!</v>
      </c>
      <c r="ZP133" s="531" t="e">
        <f t="shared" si="271"/>
        <v>#DIV/0!</v>
      </c>
      <c r="ZQ133" s="531" t="e">
        <f t="shared" si="271"/>
        <v>#DIV/0!</v>
      </c>
      <c r="ZR133" s="531" t="e">
        <f t="shared" si="271"/>
        <v>#DIV/0!</v>
      </c>
      <c r="ZS133" s="531" t="e">
        <f t="shared" si="271"/>
        <v>#DIV/0!</v>
      </c>
      <c r="ZT133" s="531" t="e">
        <f t="shared" si="271"/>
        <v>#DIV/0!</v>
      </c>
      <c r="ZU133" s="531" t="e">
        <f t="shared" si="271"/>
        <v>#DIV/0!</v>
      </c>
      <c r="ZV133" s="531" t="e">
        <f t="shared" si="271"/>
        <v>#DIV/0!</v>
      </c>
      <c r="ZW133" s="531" t="e">
        <f t="shared" si="271"/>
        <v>#DIV/0!</v>
      </c>
      <c r="ZX133" s="531" t="e">
        <f t="shared" si="271"/>
        <v>#DIV/0!</v>
      </c>
      <c r="ZY133" s="531" t="e">
        <f t="shared" si="271"/>
        <v>#DIV/0!</v>
      </c>
      <c r="ZZ133" s="531" t="e">
        <f t="shared" si="271"/>
        <v>#DIV/0!</v>
      </c>
      <c r="AAA133" s="531" t="e">
        <f t="shared" si="271"/>
        <v>#DIV/0!</v>
      </c>
      <c r="AAB133" s="531" t="e">
        <f t="shared" si="271"/>
        <v>#DIV/0!</v>
      </c>
      <c r="AAC133" s="531" t="e">
        <f t="shared" si="271"/>
        <v>#DIV/0!</v>
      </c>
      <c r="AAD133" s="531" t="e">
        <f t="shared" si="271"/>
        <v>#DIV/0!</v>
      </c>
      <c r="AAE133" s="531" t="e">
        <f t="shared" si="271"/>
        <v>#DIV/0!</v>
      </c>
      <c r="AAF133" s="531" t="e">
        <f t="shared" si="271"/>
        <v>#DIV/0!</v>
      </c>
      <c r="AAG133" s="531" t="e">
        <f t="shared" si="271"/>
        <v>#DIV/0!</v>
      </c>
      <c r="AAH133" s="531" t="e">
        <f t="shared" si="271"/>
        <v>#DIV/0!</v>
      </c>
      <c r="AAI133" s="531" t="e">
        <f t="shared" ref="AAI133:ACT133" si="272">AAI116/(AAI52*10^5)</f>
        <v>#DIV/0!</v>
      </c>
      <c r="AAJ133" s="531" t="e">
        <f t="shared" si="272"/>
        <v>#DIV/0!</v>
      </c>
      <c r="AAK133" s="531" t="e">
        <f t="shared" si="272"/>
        <v>#DIV/0!</v>
      </c>
      <c r="AAL133" s="531" t="e">
        <f t="shared" si="272"/>
        <v>#DIV/0!</v>
      </c>
      <c r="AAM133" s="531" t="e">
        <f t="shared" si="272"/>
        <v>#DIV/0!</v>
      </c>
      <c r="AAN133" s="531" t="e">
        <f t="shared" si="272"/>
        <v>#DIV/0!</v>
      </c>
      <c r="AAO133" s="531" t="e">
        <f t="shared" si="272"/>
        <v>#DIV/0!</v>
      </c>
      <c r="AAP133" s="531" t="e">
        <f t="shared" si="272"/>
        <v>#DIV/0!</v>
      </c>
      <c r="AAQ133" s="531" t="e">
        <f t="shared" si="272"/>
        <v>#DIV/0!</v>
      </c>
      <c r="AAR133" s="531" t="e">
        <f t="shared" si="272"/>
        <v>#DIV/0!</v>
      </c>
      <c r="AAS133" s="531" t="e">
        <f t="shared" si="272"/>
        <v>#DIV/0!</v>
      </c>
      <c r="AAT133" s="531" t="e">
        <f t="shared" si="272"/>
        <v>#DIV/0!</v>
      </c>
      <c r="AAU133" s="531" t="e">
        <f t="shared" si="272"/>
        <v>#DIV/0!</v>
      </c>
      <c r="AAV133" s="531" t="e">
        <f t="shared" si="272"/>
        <v>#DIV/0!</v>
      </c>
      <c r="AAW133" s="531" t="e">
        <f t="shared" si="272"/>
        <v>#DIV/0!</v>
      </c>
      <c r="AAX133" s="531" t="e">
        <f t="shared" si="272"/>
        <v>#DIV/0!</v>
      </c>
      <c r="AAY133" s="531" t="e">
        <f t="shared" si="272"/>
        <v>#DIV/0!</v>
      </c>
      <c r="AAZ133" s="531" t="e">
        <f t="shared" si="272"/>
        <v>#DIV/0!</v>
      </c>
      <c r="ABA133" s="531" t="e">
        <f t="shared" si="272"/>
        <v>#DIV/0!</v>
      </c>
      <c r="ABB133" s="531" t="e">
        <f t="shared" si="272"/>
        <v>#DIV/0!</v>
      </c>
      <c r="ABC133" s="531" t="e">
        <f t="shared" si="272"/>
        <v>#DIV/0!</v>
      </c>
      <c r="ABD133" s="531" t="e">
        <f t="shared" si="272"/>
        <v>#DIV/0!</v>
      </c>
      <c r="ABE133" s="531" t="e">
        <f t="shared" si="272"/>
        <v>#DIV/0!</v>
      </c>
      <c r="ABF133" s="531" t="e">
        <f t="shared" si="272"/>
        <v>#DIV/0!</v>
      </c>
      <c r="ABG133" s="531" t="e">
        <f t="shared" si="272"/>
        <v>#DIV/0!</v>
      </c>
      <c r="ABH133" s="531" t="e">
        <f t="shared" si="272"/>
        <v>#DIV/0!</v>
      </c>
      <c r="ABI133" s="531" t="e">
        <f t="shared" si="272"/>
        <v>#DIV/0!</v>
      </c>
      <c r="ABJ133" s="531" t="e">
        <f t="shared" si="272"/>
        <v>#DIV/0!</v>
      </c>
      <c r="ABK133" s="531" t="e">
        <f t="shared" si="272"/>
        <v>#DIV/0!</v>
      </c>
      <c r="ABL133" s="531" t="e">
        <f t="shared" si="272"/>
        <v>#DIV/0!</v>
      </c>
      <c r="ABM133" s="531" t="e">
        <f t="shared" si="272"/>
        <v>#DIV/0!</v>
      </c>
      <c r="ABN133" s="531" t="e">
        <f t="shared" si="272"/>
        <v>#DIV/0!</v>
      </c>
      <c r="ABO133" s="531" t="e">
        <f t="shared" si="272"/>
        <v>#DIV/0!</v>
      </c>
      <c r="ABP133" s="531" t="e">
        <f t="shared" si="272"/>
        <v>#DIV/0!</v>
      </c>
      <c r="ABQ133" s="531" t="e">
        <f t="shared" si="272"/>
        <v>#DIV/0!</v>
      </c>
      <c r="ABR133" s="531" t="e">
        <f t="shared" si="272"/>
        <v>#DIV/0!</v>
      </c>
      <c r="ABS133" s="531" t="e">
        <f t="shared" si="272"/>
        <v>#DIV/0!</v>
      </c>
      <c r="ABT133" s="531" t="e">
        <f t="shared" si="272"/>
        <v>#DIV/0!</v>
      </c>
      <c r="ABU133" s="531" t="e">
        <f t="shared" si="272"/>
        <v>#DIV/0!</v>
      </c>
      <c r="ABV133" s="531" t="e">
        <f t="shared" si="272"/>
        <v>#DIV/0!</v>
      </c>
      <c r="ABW133" s="531" t="e">
        <f t="shared" si="272"/>
        <v>#DIV/0!</v>
      </c>
      <c r="ABX133" s="531" t="e">
        <f t="shared" si="272"/>
        <v>#DIV/0!</v>
      </c>
      <c r="ABY133" s="531" t="e">
        <f t="shared" si="272"/>
        <v>#DIV/0!</v>
      </c>
      <c r="ABZ133" s="531" t="e">
        <f t="shared" si="272"/>
        <v>#DIV/0!</v>
      </c>
      <c r="ACA133" s="531" t="e">
        <f t="shared" si="272"/>
        <v>#DIV/0!</v>
      </c>
      <c r="ACB133" s="531" t="e">
        <f t="shared" si="272"/>
        <v>#DIV/0!</v>
      </c>
      <c r="ACC133" s="531" t="e">
        <f t="shared" si="272"/>
        <v>#DIV/0!</v>
      </c>
      <c r="ACD133" s="531" t="e">
        <f t="shared" si="272"/>
        <v>#DIV/0!</v>
      </c>
      <c r="ACE133" s="531" t="e">
        <f t="shared" si="272"/>
        <v>#DIV/0!</v>
      </c>
      <c r="ACF133" s="531" t="e">
        <f t="shared" si="272"/>
        <v>#DIV/0!</v>
      </c>
      <c r="ACG133" s="531" t="e">
        <f t="shared" si="272"/>
        <v>#DIV/0!</v>
      </c>
      <c r="ACH133" s="531" t="e">
        <f t="shared" si="272"/>
        <v>#DIV/0!</v>
      </c>
      <c r="ACI133" s="531" t="e">
        <f t="shared" si="272"/>
        <v>#DIV/0!</v>
      </c>
      <c r="ACJ133" s="531" t="e">
        <f t="shared" si="272"/>
        <v>#DIV/0!</v>
      </c>
      <c r="ACK133" s="531" t="e">
        <f t="shared" si="272"/>
        <v>#DIV/0!</v>
      </c>
      <c r="ACL133" s="531" t="e">
        <f t="shared" si="272"/>
        <v>#DIV/0!</v>
      </c>
      <c r="ACM133" s="531" t="e">
        <f t="shared" si="272"/>
        <v>#DIV/0!</v>
      </c>
      <c r="ACN133" s="531" t="e">
        <f t="shared" si="272"/>
        <v>#DIV/0!</v>
      </c>
      <c r="ACO133" s="531" t="e">
        <f t="shared" si="272"/>
        <v>#DIV/0!</v>
      </c>
      <c r="ACP133" s="531" t="e">
        <f t="shared" si="272"/>
        <v>#DIV/0!</v>
      </c>
      <c r="ACQ133" s="531" t="e">
        <f t="shared" si="272"/>
        <v>#DIV/0!</v>
      </c>
      <c r="ACR133" s="531" t="e">
        <f t="shared" si="272"/>
        <v>#DIV/0!</v>
      </c>
      <c r="ACS133" s="531" t="e">
        <f t="shared" si="272"/>
        <v>#DIV/0!</v>
      </c>
      <c r="ACT133" s="531" t="e">
        <f t="shared" si="272"/>
        <v>#DIV/0!</v>
      </c>
      <c r="ACU133" s="531" t="e">
        <f t="shared" ref="ACU133:AFF133" si="273">ACU116/(ACU52*10^5)</f>
        <v>#DIV/0!</v>
      </c>
      <c r="ACV133" s="531" t="e">
        <f t="shared" si="273"/>
        <v>#DIV/0!</v>
      </c>
      <c r="ACW133" s="531" t="e">
        <f t="shared" si="273"/>
        <v>#DIV/0!</v>
      </c>
      <c r="ACX133" s="531" t="e">
        <f t="shared" si="273"/>
        <v>#DIV/0!</v>
      </c>
      <c r="ACY133" s="531" t="e">
        <f t="shared" si="273"/>
        <v>#DIV/0!</v>
      </c>
      <c r="ACZ133" s="531" t="e">
        <f t="shared" si="273"/>
        <v>#DIV/0!</v>
      </c>
      <c r="ADA133" s="531" t="e">
        <f t="shared" si="273"/>
        <v>#DIV/0!</v>
      </c>
      <c r="ADB133" s="531" t="e">
        <f t="shared" si="273"/>
        <v>#DIV/0!</v>
      </c>
      <c r="ADC133" s="531" t="e">
        <f t="shared" si="273"/>
        <v>#DIV/0!</v>
      </c>
      <c r="ADD133" s="531" t="e">
        <f t="shared" si="273"/>
        <v>#DIV/0!</v>
      </c>
      <c r="ADE133" s="531" t="e">
        <f t="shared" si="273"/>
        <v>#DIV/0!</v>
      </c>
      <c r="ADF133" s="531" t="e">
        <f t="shared" si="273"/>
        <v>#DIV/0!</v>
      </c>
      <c r="ADG133" s="531" t="e">
        <f t="shared" si="273"/>
        <v>#DIV/0!</v>
      </c>
      <c r="ADH133" s="531" t="e">
        <f t="shared" si="273"/>
        <v>#DIV/0!</v>
      </c>
      <c r="ADI133" s="531" t="e">
        <f t="shared" si="273"/>
        <v>#DIV/0!</v>
      </c>
      <c r="ADJ133" s="531" t="e">
        <f t="shared" si="273"/>
        <v>#DIV/0!</v>
      </c>
      <c r="ADK133" s="531" t="e">
        <f t="shared" si="273"/>
        <v>#DIV/0!</v>
      </c>
      <c r="ADL133" s="531" t="e">
        <f t="shared" si="273"/>
        <v>#DIV/0!</v>
      </c>
      <c r="ADM133" s="531" t="e">
        <f t="shared" si="273"/>
        <v>#DIV/0!</v>
      </c>
      <c r="ADN133" s="531" t="e">
        <f t="shared" si="273"/>
        <v>#DIV/0!</v>
      </c>
      <c r="ADO133" s="531" t="e">
        <f t="shared" si="273"/>
        <v>#DIV/0!</v>
      </c>
      <c r="ADP133" s="531" t="e">
        <f t="shared" si="273"/>
        <v>#DIV/0!</v>
      </c>
      <c r="ADQ133" s="531" t="e">
        <f t="shared" si="273"/>
        <v>#DIV/0!</v>
      </c>
      <c r="ADR133" s="531" t="e">
        <f t="shared" si="273"/>
        <v>#DIV/0!</v>
      </c>
      <c r="ADS133" s="531" t="e">
        <f t="shared" si="273"/>
        <v>#DIV/0!</v>
      </c>
      <c r="ADT133" s="531" t="e">
        <f t="shared" si="273"/>
        <v>#DIV/0!</v>
      </c>
      <c r="ADU133" s="531" t="e">
        <f t="shared" si="273"/>
        <v>#DIV/0!</v>
      </c>
      <c r="ADV133" s="531" t="e">
        <f t="shared" si="273"/>
        <v>#DIV/0!</v>
      </c>
      <c r="ADW133" s="531" t="e">
        <f t="shared" si="273"/>
        <v>#DIV/0!</v>
      </c>
      <c r="ADX133" s="531" t="e">
        <f t="shared" si="273"/>
        <v>#DIV/0!</v>
      </c>
      <c r="ADY133" s="531" t="e">
        <f t="shared" si="273"/>
        <v>#DIV/0!</v>
      </c>
      <c r="ADZ133" s="531" t="e">
        <f t="shared" si="273"/>
        <v>#DIV/0!</v>
      </c>
      <c r="AEA133" s="531" t="e">
        <f t="shared" si="273"/>
        <v>#DIV/0!</v>
      </c>
      <c r="AEB133" s="531" t="e">
        <f t="shared" si="273"/>
        <v>#DIV/0!</v>
      </c>
      <c r="AEC133" s="531" t="e">
        <f t="shared" si="273"/>
        <v>#DIV/0!</v>
      </c>
      <c r="AED133" s="531" t="e">
        <f t="shared" si="273"/>
        <v>#DIV/0!</v>
      </c>
      <c r="AEE133" s="531" t="e">
        <f t="shared" si="273"/>
        <v>#DIV/0!</v>
      </c>
      <c r="AEF133" s="531" t="e">
        <f t="shared" si="273"/>
        <v>#DIV/0!</v>
      </c>
      <c r="AEG133" s="531" t="e">
        <f t="shared" si="273"/>
        <v>#DIV/0!</v>
      </c>
      <c r="AEH133" s="531" t="e">
        <f t="shared" si="273"/>
        <v>#DIV/0!</v>
      </c>
      <c r="AEI133" s="531" t="e">
        <f t="shared" si="273"/>
        <v>#DIV/0!</v>
      </c>
      <c r="AEJ133" s="531" t="e">
        <f t="shared" si="273"/>
        <v>#DIV/0!</v>
      </c>
      <c r="AEK133" s="531" t="e">
        <f t="shared" si="273"/>
        <v>#DIV/0!</v>
      </c>
      <c r="AEL133" s="531" t="e">
        <f t="shared" si="273"/>
        <v>#DIV/0!</v>
      </c>
      <c r="AEM133" s="531" t="e">
        <f t="shared" si="273"/>
        <v>#DIV/0!</v>
      </c>
      <c r="AEN133" s="531" t="e">
        <f t="shared" si="273"/>
        <v>#DIV/0!</v>
      </c>
      <c r="AEO133" s="531" t="e">
        <f t="shared" si="273"/>
        <v>#DIV/0!</v>
      </c>
      <c r="AEP133" s="531" t="e">
        <f t="shared" si="273"/>
        <v>#DIV/0!</v>
      </c>
      <c r="AEQ133" s="531" t="e">
        <f t="shared" si="273"/>
        <v>#DIV/0!</v>
      </c>
      <c r="AER133" s="531" t="e">
        <f t="shared" si="273"/>
        <v>#DIV/0!</v>
      </c>
      <c r="AES133" s="531" t="e">
        <f t="shared" si="273"/>
        <v>#DIV/0!</v>
      </c>
      <c r="AET133" s="531" t="e">
        <f t="shared" si="273"/>
        <v>#DIV/0!</v>
      </c>
      <c r="AEU133" s="531" t="e">
        <f t="shared" si="273"/>
        <v>#DIV/0!</v>
      </c>
      <c r="AEV133" s="531" t="e">
        <f t="shared" si="273"/>
        <v>#DIV/0!</v>
      </c>
      <c r="AEW133" s="531" t="e">
        <f t="shared" si="273"/>
        <v>#DIV/0!</v>
      </c>
      <c r="AEX133" s="531" t="e">
        <f t="shared" si="273"/>
        <v>#DIV/0!</v>
      </c>
      <c r="AEY133" s="531" t="e">
        <f t="shared" si="273"/>
        <v>#DIV/0!</v>
      </c>
      <c r="AEZ133" s="531" t="e">
        <f t="shared" si="273"/>
        <v>#DIV/0!</v>
      </c>
      <c r="AFA133" s="531" t="e">
        <f t="shared" si="273"/>
        <v>#DIV/0!</v>
      </c>
      <c r="AFB133" s="531" t="e">
        <f t="shared" si="273"/>
        <v>#DIV/0!</v>
      </c>
      <c r="AFC133" s="531" t="e">
        <f t="shared" si="273"/>
        <v>#DIV/0!</v>
      </c>
      <c r="AFD133" s="531" t="e">
        <f t="shared" si="273"/>
        <v>#DIV/0!</v>
      </c>
      <c r="AFE133" s="531" t="e">
        <f t="shared" si="273"/>
        <v>#DIV/0!</v>
      </c>
      <c r="AFF133" s="531" t="e">
        <f t="shared" si="273"/>
        <v>#DIV/0!</v>
      </c>
      <c r="AFG133" s="531" t="e">
        <f t="shared" ref="AFG133:AHR133" si="274">AFG116/(AFG52*10^5)</f>
        <v>#DIV/0!</v>
      </c>
      <c r="AFH133" s="531" t="e">
        <f t="shared" si="274"/>
        <v>#DIV/0!</v>
      </c>
      <c r="AFI133" s="531" t="e">
        <f t="shared" si="274"/>
        <v>#DIV/0!</v>
      </c>
      <c r="AFJ133" s="531" t="e">
        <f t="shared" si="274"/>
        <v>#DIV/0!</v>
      </c>
      <c r="AFK133" s="531" t="e">
        <f t="shared" si="274"/>
        <v>#DIV/0!</v>
      </c>
      <c r="AFL133" s="531" t="e">
        <f t="shared" si="274"/>
        <v>#DIV/0!</v>
      </c>
      <c r="AFM133" s="531" t="e">
        <f t="shared" si="274"/>
        <v>#DIV/0!</v>
      </c>
      <c r="AFN133" s="531" t="e">
        <f t="shared" si="274"/>
        <v>#DIV/0!</v>
      </c>
      <c r="AFO133" s="531" t="e">
        <f t="shared" si="274"/>
        <v>#DIV/0!</v>
      </c>
      <c r="AFP133" s="531" t="e">
        <f t="shared" si="274"/>
        <v>#DIV/0!</v>
      </c>
      <c r="AFQ133" s="531" t="e">
        <f t="shared" si="274"/>
        <v>#DIV/0!</v>
      </c>
      <c r="AFR133" s="531" t="e">
        <f t="shared" si="274"/>
        <v>#DIV/0!</v>
      </c>
      <c r="AFS133" s="531" t="e">
        <f t="shared" si="274"/>
        <v>#DIV/0!</v>
      </c>
      <c r="AFT133" s="531" t="e">
        <f t="shared" si="274"/>
        <v>#DIV/0!</v>
      </c>
      <c r="AFU133" s="531" t="e">
        <f t="shared" si="274"/>
        <v>#DIV/0!</v>
      </c>
      <c r="AFV133" s="531" t="e">
        <f t="shared" si="274"/>
        <v>#DIV/0!</v>
      </c>
      <c r="AFW133" s="531" t="e">
        <f t="shared" si="274"/>
        <v>#DIV/0!</v>
      </c>
      <c r="AFX133" s="531" t="e">
        <f t="shared" si="274"/>
        <v>#DIV/0!</v>
      </c>
      <c r="AFY133" s="531" t="e">
        <f t="shared" si="274"/>
        <v>#DIV/0!</v>
      </c>
      <c r="AFZ133" s="531" t="e">
        <f t="shared" si="274"/>
        <v>#DIV/0!</v>
      </c>
      <c r="AGA133" s="531" t="e">
        <f t="shared" si="274"/>
        <v>#DIV/0!</v>
      </c>
      <c r="AGB133" s="531" t="e">
        <f t="shared" si="274"/>
        <v>#DIV/0!</v>
      </c>
      <c r="AGC133" s="531" t="e">
        <f t="shared" si="274"/>
        <v>#DIV/0!</v>
      </c>
      <c r="AGD133" s="531" t="e">
        <f t="shared" si="274"/>
        <v>#DIV/0!</v>
      </c>
      <c r="AGE133" s="531" t="e">
        <f t="shared" si="274"/>
        <v>#DIV/0!</v>
      </c>
      <c r="AGF133" s="531" t="e">
        <f t="shared" si="274"/>
        <v>#DIV/0!</v>
      </c>
      <c r="AGG133" s="531" t="e">
        <f t="shared" si="274"/>
        <v>#DIV/0!</v>
      </c>
      <c r="AGH133" s="531" t="e">
        <f t="shared" si="274"/>
        <v>#DIV/0!</v>
      </c>
      <c r="AGI133" s="531" t="e">
        <f t="shared" si="274"/>
        <v>#DIV/0!</v>
      </c>
      <c r="AGJ133" s="531" t="e">
        <f t="shared" si="274"/>
        <v>#DIV/0!</v>
      </c>
      <c r="AGK133" s="531" t="e">
        <f t="shared" si="274"/>
        <v>#DIV/0!</v>
      </c>
      <c r="AGL133" s="531" t="e">
        <f t="shared" si="274"/>
        <v>#DIV/0!</v>
      </c>
      <c r="AGM133" s="531" t="e">
        <f t="shared" si="274"/>
        <v>#DIV/0!</v>
      </c>
      <c r="AGN133" s="531" t="e">
        <f t="shared" si="274"/>
        <v>#DIV/0!</v>
      </c>
      <c r="AGO133" s="531" t="e">
        <f t="shared" si="274"/>
        <v>#DIV/0!</v>
      </c>
      <c r="AGP133" s="531" t="e">
        <f t="shared" si="274"/>
        <v>#DIV/0!</v>
      </c>
      <c r="AGQ133" s="531" t="e">
        <f t="shared" si="274"/>
        <v>#DIV/0!</v>
      </c>
      <c r="AGR133" s="531" t="e">
        <f t="shared" si="274"/>
        <v>#DIV/0!</v>
      </c>
      <c r="AGS133" s="531" t="e">
        <f t="shared" si="274"/>
        <v>#DIV/0!</v>
      </c>
      <c r="AGT133" s="531" t="e">
        <f t="shared" si="274"/>
        <v>#DIV/0!</v>
      </c>
      <c r="AGU133" s="531" t="e">
        <f t="shared" si="274"/>
        <v>#DIV/0!</v>
      </c>
      <c r="AGV133" s="531" t="e">
        <f t="shared" si="274"/>
        <v>#DIV/0!</v>
      </c>
      <c r="AGW133" s="531" t="e">
        <f t="shared" si="274"/>
        <v>#DIV/0!</v>
      </c>
      <c r="AGX133" s="531" t="e">
        <f t="shared" si="274"/>
        <v>#DIV/0!</v>
      </c>
      <c r="AGY133" s="531" t="e">
        <f t="shared" si="274"/>
        <v>#DIV/0!</v>
      </c>
      <c r="AGZ133" s="531" t="e">
        <f t="shared" si="274"/>
        <v>#DIV/0!</v>
      </c>
      <c r="AHA133" s="531" t="e">
        <f t="shared" si="274"/>
        <v>#DIV/0!</v>
      </c>
      <c r="AHB133" s="531" t="e">
        <f t="shared" si="274"/>
        <v>#DIV/0!</v>
      </c>
      <c r="AHC133" s="531" t="e">
        <f t="shared" si="274"/>
        <v>#DIV/0!</v>
      </c>
      <c r="AHD133" s="531" t="e">
        <f t="shared" si="274"/>
        <v>#DIV/0!</v>
      </c>
      <c r="AHE133" s="531" t="e">
        <f t="shared" si="274"/>
        <v>#DIV/0!</v>
      </c>
      <c r="AHF133" s="531" t="e">
        <f t="shared" si="274"/>
        <v>#DIV/0!</v>
      </c>
      <c r="AHG133" s="531" t="e">
        <f t="shared" si="274"/>
        <v>#DIV/0!</v>
      </c>
      <c r="AHH133" s="531" t="e">
        <f t="shared" si="274"/>
        <v>#DIV/0!</v>
      </c>
      <c r="AHI133" s="531" t="e">
        <f t="shared" si="274"/>
        <v>#DIV/0!</v>
      </c>
      <c r="AHJ133" s="531" t="e">
        <f t="shared" si="274"/>
        <v>#DIV/0!</v>
      </c>
      <c r="AHK133" s="531" t="e">
        <f t="shared" si="274"/>
        <v>#DIV/0!</v>
      </c>
      <c r="AHL133" s="531" t="e">
        <f t="shared" si="274"/>
        <v>#DIV/0!</v>
      </c>
      <c r="AHM133" s="531" t="e">
        <f t="shared" si="274"/>
        <v>#DIV/0!</v>
      </c>
      <c r="AHN133" s="531" t="e">
        <f t="shared" si="274"/>
        <v>#DIV/0!</v>
      </c>
      <c r="AHO133" s="531" t="e">
        <f t="shared" si="274"/>
        <v>#DIV/0!</v>
      </c>
      <c r="AHP133" s="531" t="e">
        <f t="shared" si="274"/>
        <v>#DIV/0!</v>
      </c>
      <c r="AHQ133" s="531" t="e">
        <f t="shared" si="274"/>
        <v>#DIV/0!</v>
      </c>
      <c r="AHR133" s="531" t="e">
        <f t="shared" si="274"/>
        <v>#DIV/0!</v>
      </c>
      <c r="AHS133" s="531" t="e">
        <f t="shared" ref="AHS133:AKD133" si="275">AHS116/(AHS52*10^5)</f>
        <v>#DIV/0!</v>
      </c>
      <c r="AHT133" s="531" t="e">
        <f t="shared" si="275"/>
        <v>#DIV/0!</v>
      </c>
      <c r="AHU133" s="531" t="e">
        <f t="shared" si="275"/>
        <v>#DIV/0!</v>
      </c>
      <c r="AHV133" s="531" t="e">
        <f t="shared" si="275"/>
        <v>#DIV/0!</v>
      </c>
      <c r="AHW133" s="531" t="e">
        <f t="shared" si="275"/>
        <v>#DIV/0!</v>
      </c>
      <c r="AHX133" s="531" t="e">
        <f t="shared" si="275"/>
        <v>#DIV/0!</v>
      </c>
      <c r="AHY133" s="531" t="e">
        <f t="shared" si="275"/>
        <v>#DIV/0!</v>
      </c>
      <c r="AHZ133" s="531" t="e">
        <f t="shared" si="275"/>
        <v>#DIV/0!</v>
      </c>
      <c r="AIA133" s="531" t="e">
        <f t="shared" si="275"/>
        <v>#DIV/0!</v>
      </c>
      <c r="AIB133" s="531" t="e">
        <f t="shared" si="275"/>
        <v>#DIV/0!</v>
      </c>
      <c r="AIC133" s="531" t="e">
        <f t="shared" si="275"/>
        <v>#DIV/0!</v>
      </c>
      <c r="AID133" s="531" t="e">
        <f t="shared" si="275"/>
        <v>#DIV/0!</v>
      </c>
      <c r="AIE133" s="531" t="e">
        <f t="shared" si="275"/>
        <v>#DIV/0!</v>
      </c>
      <c r="AIF133" s="531" t="e">
        <f t="shared" si="275"/>
        <v>#DIV/0!</v>
      </c>
      <c r="AIG133" s="531" t="e">
        <f t="shared" si="275"/>
        <v>#DIV/0!</v>
      </c>
      <c r="AIH133" s="531" t="e">
        <f t="shared" si="275"/>
        <v>#DIV/0!</v>
      </c>
      <c r="AII133" s="531" t="e">
        <f t="shared" si="275"/>
        <v>#DIV/0!</v>
      </c>
      <c r="AIJ133" s="531" t="e">
        <f t="shared" si="275"/>
        <v>#DIV/0!</v>
      </c>
      <c r="AIK133" s="531" t="e">
        <f t="shared" si="275"/>
        <v>#DIV/0!</v>
      </c>
      <c r="AIL133" s="531" t="e">
        <f t="shared" si="275"/>
        <v>#DIV/0!</v>
      </c>
      <c r="AIM133" s="531" t="e">
        <f t="shared" si="275"/>
        <v>#DIV/0!</v>
      </c>
      <c r="AIN133" s="531" t="e">
        <f t="shared" si="275"/>
        <v>#DIV/0!</v>
      </c>
      <c r="AIO133" s="531" t="e">
        <f t="shared" si="275"/>
        <v>#DIV/0!</v>
      </c>
      <c r="AIP133" s="531" t="e">
        <f t="shared" si="275"/>
        <v>#DIV/0!</v>
      </c>
      <c r="AIQ133" s="531" t="e">
        <f t="shared" si="275"/>
        <v>#DIV/0!</v>
      </c>
      <c r="AIR133" s="531" t="e">
        <f t="shared" si="275"/>
        <v>#DIV/0!</v>
      </c>
      <c r="AIS133" s="531" t="e">
        <f t="shared" si="275"/>
        <v>#DIV/0!</v>
      </c>
      <c r="AIT133" s="531" t="e">
        <f t="shared" si="275"/>
        <v>#DIV/0!</v>
      </c>
      <c r="AIU133" s="531" t="e">
        <f t="shared" si="275"/>
        <v>#DIV/0!</v>
      </c>
      <c r="AIV133" s="531" t="e">
        <f t="shared" si="275"/>
        <v>#DIV/0!</v>
      </c>
      <c r="AIW133" s="531" t="e">
        <f t="shared" si="275"/>
        <v>#DIV/0!</v>
      </c>
      <c r="AIX133" s="531" t="e">
        <f t="shared" si="275"/>
        <v>#DIV/0!</v>
      </c>
      <c r="AIY133" s="531" t="e">
        <f t="shared" si="275"/>
        <v>#DIV/0!</v>
      </c>
      <c r="AIZ133" s="531" t="e">
        <f t="shared" si="275"/>
        <v>#DIV/0!</v>
      </c>
      <c r="AJA133" s="531" t="e">
        <f t="shared" si="275"/>
        <v>#DIV/0!</v>
      </c>
      <c r="AJB133" s="531" t="e">
        <f t="shared" si="275"/>
        <v>#DIV/0!</v>
      </c>
      <c r="AJC133" s="531" t="e">
        <f t="shared" si="275"/>
        <v>#DIV/0!</v>
      </c>
      <c r="AJD133" s="531" t="e">
        <f t="shared" si="275"/>
        <v>#DIV/0!</v>
      </c>
      <c r="AJE133" s="531" t="e">
        <f t="shared" si="275"/>
        <v>#DIV/0!</v>
      </c>
      <c r="AJF133" s="531" t="e">
        <f t="shared" si="275"/>
        <v>#DIV/0!</v>
      </c>
      <c r="AJG133" s="531" t="e">
        <f t="shared" si="275"/>
        <v>#DIV/0!</v>
      </c>
      <c r="AJH133" s="531" t="e">
        <f t="shared" si="275"/>
        <v>#DIV/0!</v>
      </c>
      <c r="AJI133" s="531" t="e">
        <f t="shared" si="275"/>
        <v>#DIV/0!</v>
      </c>
      <c r="AJJ133" s="531" t="e">
        <f t="shared" si="275"/>
        <v>#DIV/0!</v>
      </c>
      <c r="AJK133" s="531" t="e">
        <f t="shared" si="275"/>
        <v>#DIV/0!</v>
      </c>
      <c r="AJL133" s="531" t="e">
        <f t="shared" si="275"/>
        <v>#DIV/0!</v>
      </c>
      <c r="AJM133" s="531" t="e">
        <f t="shared" si="275"/>
        <v>#DIV/0!</v>
      </c>
      <c r="AJN133" s="531" t="e">
        <f t="shared" si="275"/>
        <v>#DIV/0!</v>
      </c>
      <c r="AJO133" s="531" t="e">
        <f t="shared" si="275"/>
        <v>#DIV/0!</v>
      </c>
      <c r="AJP133" s="531" t="e">
        <f t="shared" si="275"/>
        <v>#DIV/0!</v>
      </c>
      <c r="AJQ133" s="531" t="e">
        <f t="shared" si="275"/>
        <v>#DIV/0!</v>
      </c>
      <c r="AJR133" s="531" t="e">
        <f t="shared" si="275"/>
        <v>#DIV/0!</v>
      </c>
      <c r="AJS133" s="531" t="e">
        <f t="shared" si="275"/>
        <v>#DIV/0!</v>
      </c>
      <c r="AJT133" s="531" t="e">
        <f t="shared" si="275"/>
        <v>#DIV/0!</v>
      </c>
      <c r="AJU133" s="531" t="e">
        <f t="shared" si="275"/>
        <v>#DIV/0!</v>
      </c>
      <c r="AJV133" s="531" t="e">
        <f t="shared" si="275"/>
        <v>#DIV/0!</v>
      </c>
      <c r="AJW133" s="531" t="e">
        <f t="shared" si="275"/>
        <v>#DIV/0!</v>
      </c>
      <c r="AJX133" s="531" t="e">
        <f t="shared" si="275"/>
        <v>#DIV/0!</v>
      </c>
      <c r="AJY133" s="531" t="e">
        <f t="shared" si="275"/>
        <v>#DIV/0!</v>
      </c>
      <c r="AJZ133" s="531" t="e">
        <f t="shared" si="275"/>
        <v>#DIV/0!</v>
      </c>
      <c r="AKA133" s="531" t="e">
        <f t="shared" si="275"/>
        <v>#DIV/0!</v>
      </c>
      <c r="AKB133" s="531" t="e">
        <f t="shared" si="275"/>
        <v>#DIV/0!</v>
      </c>
      <c r="AKC133" s="531" t="e">
        <f t="shared" si="275"/>
        <v>#DIV/0!</v>
      </c>
      <c r="AKD133" s="531" t="e">
        <f t="shared" si="275"/>
        <v>#DIV/0!</v>
      </c>
      <c r="AKE133" s="531" t="e">
        <f t="shared" ref="AKE133:AMP133" si="276">AKE116/(AKE52*10^5)</f>
        <v>#DIV/0!</v>
      </c>
      <c r="AKF133" s="531" t="e">
        <f t="shared" si="276"/>
        <v>#DIV/0!</v>
      </c>
      <c r="AKG133" s="531" t="e">
        <f t="shared" si="276"/>
        <v>#DIV/0!</v>
      </c>
      <c r="AKH133" s="531" t="e">
        <f t="shared" si="276"/>
        <v>#DIV/0!</v>
      </c>
      <c r="AKI133" s="531" t="e">
        <f t="shared" si="276"/>
        <v>#DIV/0!</v>
      </c>
      <c r="AKJ133" s="531" t="e">
        <f t="shared" si="276"/>
        <v>#DIV/0!</v>
      </c>
      <c r="AKK133" s="531" t="e">
        <f t="shared" si="276"/>
        <v>#DIV/0!</v>
      </c>
      <c r="AKL133" s="531" t="e">
        <f t="shared" si="276"/>
        <v>#DIV/0!</v>
      </c>
      <c r="AKM133" s="531" t="e">
        <f t="shared" si="276"/>
        <v>#DIV/0!</v>
      </c>
      <c r="AKN133" s="531" t="e">
        <f t="shared" si="276"/>
        <v>#DIV/0!</v>
      </c>
      <c r="AKO133" s="531" t="e">
        <f t="shared" si="276"/>
        <v>#DIV/0!</v>
      </c>
      <c r="AKP133" s="531" t="e">
        <f t="shared" si="276"/>
        <v>#DIV/0!</v>
      </c>
      <c r="AKQ133" s="531" t="e">
        <f t="shared" si="276"/>
        <v>#DIV/0!</v>
      </c>
      <c r="AKR133" s="531" t="e">
        <f t="shared" si="276"/>
        <v>#DIV/0!</v>
      </c>
      <c r="AKS133" s="531" t="e">
        <f t="shared" si="276"/>
        <v>#DIV/0!</v>
      </c>
      <c r="AKT133" s="531" t="e">
        <f t="shared" si="276"/>
        <v>#DIV/0!</v>
      </c>
      <c r="AKU133" s="531" t="e">
        <f t="shared" si="276"/>
        <v>#DIV/0!</v>
      </c>
      <c r="AKV133" s="531" t="e">
        <f t="shared" si="276"/>
        <v>#DIV/0!</v>
      </c>
      <c r="AKW133" s="531" t="e">
        <f t="shared" si="276"/>
        <v>#DIV/0!</v>
      </c>
      <c r="AKX133" s="531" t="e">
        <f t="shared" si="276"/>
        <v>#DIV/0!</v>
      </c>
      <c r="AKY133" s="531" t="e">
        <f t="shared" si="276"/>
        <v>#DIV/0!</v>
      </c>
      <c r="AKZ133" s="531" t="e">
        <f t="shared" si="276"/>
        <v>#DIV/0!</v>
      </c>
      <c r="ALA133" s="531" t="e">
        <f t="shared" si="276"/>
        <v>#DIV/0!</v>
      </c>
      <c r="ALB133" s="531" t="e">
        <f t="shared" si="276"/>
        <v>#DIV/0!</v>
      </c>
      <c r="ALC133" s="531" t="e">
        <f t="shared" si="276"/>
        <v>#DIV/0!</v>
      </c>
      <c r="ALD133" s="531" t="e">
        <f t="shared" si="276"/>
        <v>#DIV/0!</v>
      </c>
      <c r="ALE133" s="531" t="e">
        <f t="shared" si="276"/>
        <v>#DIV/0!</v>
      </c>
      <c r="ALF133" s="531" t="e">
        <f t="shared" si="276"/>
        <v>#DIV/0!</v>
      </c>
      <c r="ALG133" s="531" t="e">
        <f t="shared" si="276"/>
        <v>#DIV/0!</v>
      </c>
      <c r="ALH133" s="531" t="e">
        <f t="shared" si="276"/>
        <v>#DIV/0!</v>
      </c>
      <c r="ALI133" s="531" t="e">
        <f t="shared" si="276"/>
        <v>#DIV/0!</v>
      </c>
      <c r="ALJ133" s="531" t="e">
        <f t="shared" si="276"/>
        <v>#DIV/0!</v>
      </c>
      <c r="ALK133" s="531" t="e">
        <f t="shared" si="276"/>
        <v>#DIV/0!</v>
      </c>
      <c r="ALL133" s="531" t="e">
        <f t="shared" si="276"/>
        <v>#DIV/0!</v>
      </c>
      <c r="ALM133" s="531" t="e">
        <f t="shared" si="276"/>
        <v>#DIV/0!</v>
      </c>
      <c r="ALN133" s="531" t="e">
        <f t="shared" si="276"/>
        <v>#DIV/0!</v>
      </c>
      <c r="ALO133" s="531" t="e">
        <f t="shared" si="276"/>
        <v>#DIV/0!</v>
      </c>
      <c r="ALP133" s="531" t="e">
        <f t="shared" si="276"/>
        <v>#DIV/0!</v>
      </c>
      <c r="ALQ133" s="531" t="e">
        <f t="shared" si="276"/>
        <v>#DIV/0!</v>
      </c>
      <c r="ALR133" s="531" t="e">
        <f t="shared" si="276"/>
        <v>#DIV/0!</v>
      </c>
      <c r="ALS133" s="531" t="e">
        <f t="shared" si="276"/>
        <v>#DIV/0!</v>
      </c>
      <c r="ALT133" s="531" t="e">
        <f t="shared" si="276"/>
        <v>#DIV/0!</v>
      </c>
      <c r="ALU133" s="531" t="e">
        <f t="shared" si="276"/>
        <v>#DIV/0!</v>
      </c>
      <c r="ALV133" s="531" t="e">
        <f t="shared" si="276"/>
        <v>#DIV/0!</v>
      </c>
      <c r="ALW133" s="531" t="e">
        <f t="shared" si="276"/>
        <v>#DIV/0!</v>
      </c>
      <c r="ALX133" s="531" t="e">
        <f t="shared" si="276"/>
        <v>#DIV/0!</v>
      </c>
      <c r="ALY133" s="531" t="e">
        <f t="shared" si="276"/>
        <v>#DIV/0!</v>
      </c>
      <c r="ALZ133" s="531" t="e">
        <f t="shared" si="276"/>
        <v>#DIV/0!</v>
      </c>
      <c r="AMA133" s="531" t="e">
        <f t="shared" si="276"/>
        <v>#DIV/0!</v>
      </c>
      <c r="AMB133" s="531" t="e">
        <f t="shared" si="276"/>
        <v>#DIV/0!</v>
      </c>
      <c r="AMC133" s="531" t="e">
        <f t="shared" si="276"/>
        <v>#DIV/0!</v>
      </c>
      <c r="AMD133" s="531" t="e">
        <f t="shared" si="276"/>
        <v>#DIV/0!</v>
      </c>
      <c r="AME133" s="531" t="e">
        <f t="shared" si="276"/>
        <v>#DIV/0!</v>
      </c>
      <c r="AMF133" s="531" t="e">
        <f t="shared" si="276"/>
        <v>#DIV/0!</v>
      </c>
      <c r="AMG133" s="531" t="e">
        <f t="shared" si="276"/>
        <v>#DIV/0!</v>
      </c>
      <c r="AMH133" s="531" t="e">
        <f t="shared" si="276"/>
        <v>#DIV/0!</v>
      </c>
      <c r="AMI133" s="531" t="e">
        <f t="shared" si="276"/>
        <v>#DIV/0!</v>
      </c>
      <c r="AMJ133" s="531" t="e">
        <f t="shared" si="276"/>
        <v>#DIV/0!</v>
      </c>
      <c r="AMK133" s="531" t="e">
        <f t="shared" si="276"/>
        <v>#DIV/0!</v>
      </c>
      <c r="AML133" s="531" t="e">
        <f t="shared" si="276"/>
        <v>#DIV/0!</v>
      </c>
      <c r="AMM133" s="531" t="e">
        <f t="shared" si="276"/>
        <v>#DIV/0!</v>
      </c>
      <c r="AMN133" s="531" t="e">
        <f t="shared" si="276"/>
        <v>#DIV/0!</v>
      </c>
      <c r="AMO133" s="531" t="e">
        <f t="shared" si="276"/>
        <v>#DIV/0!</v>
      </c>
      <c r="AMP133" s="531" t="e">
        <f t="shared" si="276"/>
        <v>#DIV/0!</v>
      </c>
      <c r="AMQ133" s="531" t="e">
        <f t="shared" ref="AMQ133:APB133" si="277">AMQ116/(AMQ52*10^5)</f>
        <v>#DIV/0!</v>
      </c>
      <c r="AMR133" s="531" t="e">
        <f t="shared" si="277"/>
        <v>#DIV/0!</v>
      </c>
      <c r="AMS133" s="531" t="e">
        <f t="shared" si="277"/>
        <v>#DIV/0!</v>
      </c>
      <c r="AMT133" s="531" t="e">
        <f t="shared" si="277"/>
        <v>#DIV/0!</v>
      </c>
      <c r="AMU133" s="531" t="e">
        <f t="shared" si="277"/>
        <v>#DIV/0!</v>
      </c>
      <c r="AMV133" s="531" t="e">
        <f t="shared" si="277"/>
        <v>#DIV/0!</v>
      </c>
      <c r="AMW133" s="531" t="e">
        <f t="shared" si="277"/>
        <v>#DIV/0!</v>
      </c>
      <c r="AMX133" s="531" t="e">
        <f t="shared" si="277"/>
        <v>#DIV/0!</v>
      </c>
      <c r="AMY133" s="531" t="e">
        <f t="shared" si="277"/>
        <v>#DIV/0!</v>
      </c>
      <c r="AMZ133" s="531" t="e">
        <f t="shared" si="277"/>
        <v>#DIV/0!</v>
      </c>
      <c r="ANA133" s="531" t="e">
        <f t="shared" si="277"/>
        <v>#DIV/0!</v>
      </c>
      <c r="ANB133" s="531" t="e">
        <f t="shared" si="277"/>
        <v>#DIV/0!</v>
      </c>
      <c r="ANC133" s="531" t="e">
        <f t="shared" si="277"/>
        <v>#DIV/0!</v>
      </c>
      <c r="AND133" s="531" t="e">
        <f t="shared" si="277"/>
        <v>#DIV/0!</v>
      </c>
      <c r="ANE133" s="531" t="e">
        <f t="shared" si="277"/>
        <v>#DIV/0!</v>
      </c>
      <c r="ANF133" s="531" t="e">
        <f t="shared" si="277"/>
        <v>#DIV/0!</v>
      </c>
      <c r="ANG133" s="531" t="e">
        <f t="shared" si="277"/>
        <v>#DIV/0!</v>
      </c>
      <c r="ANH133" s="531" t="e">
        <f t="shared" si="277"/>
        <v>#DIV/0!</v>
      </c>
      <c r="ANI133" s="531" t="e">
        <f t="shared" si="277"/>
        <v>#DIV/0!</v>
      </c>
      <c r="ANJ133" s="531" t="e">
        <f t="shared" si="277"/>
        <v>#DIV/0!</v>
      </c>
      <c r="ANK133" s="531" t="e">
        <f t="shared" si="277"/>
        <v>#DIV/0!</v>
      </c>
      <c r="ANL133" s="531" t="e">
        <f t="shared" si="277"/>
        <v>#DIV/0!</v>
      </c>
      <c r="ANM133" s="531" t="e">
        <f t="shared" si="277"/>
        <v>#DIV/0!</v>
      </c>
      <c r="ANN133" s="531" t="e">
        <f t="shared" si="277"/>
        <v>#DIV/0!</v>
      </c>
      <c r="ANO133" s="531" t="e">
        <f t="shared" si="277"/>
        <v>#DIV/0!</v>
      </c>
      <c r="ANP133" s="531" t="e">
        <f t="shared" si="277"/>
        <v>#DIV/0!</v>
      </c>
      <c r="ANQ133" s="531" t="e">
        <f t="shared" si="277"/>
        <v>#DIV/0!</v>
      </c>
      <c r="ANR133" s="531" t="e">
        <f t="shared" si="277"/>
        <v>#DIV/0!</v>
      </c>
      <c r="ANS133" s="531" t="e">
        <f t="shared" si="277"/>
        <v>#DIV/0!</v>
      </c>
      <c r="ANT133" s="531" t="e">
        <f t="shared" si="277"/>
        <v>#DIV/0!</v>
      </c>
      <c r="ANU133" s="531" t="e">
        <f t="shared" si="277"/>
        <v>#DIV/0!</v>
      </c>
      <c r="ANV133" s="531" t="e">
        <f t="shared" si="277"/>
        <v>#DIV/0!</v>
      </c>
      <c r="ANW133" s="531" t="e">
        <f t="shared" si="277"/>
        <v>#DIV/0!</v>
      </c>
      <c r="ANX133" s="531" t="e">
        <f t="shared" si="277"/>
        <v>#DIV/0!</v>
      </c>
      <c r="ANY133" s="531" t="e">
        <f t="shared" si="277"/>
        <v>#DIV/0!</v>
      </c>
      <c r="ANZ133" s="531" t="e">
        <f t="shared" si="277"/>
        <v>#DIV/0!</v>
      </c>
      <c r="AOA133" s="531" t="e">
        <f t="shared" si="277"/>
        <v>#DIV/0!</v>
      </c>
      <c r="AOB133" s="531" t="e">
        <f t="shared" si="277"/>
        <v>#DIV/0!</v>
      </c>
      <c r="AOC133" s="531" t="e">
        <f t="shared" si="277"/>
        <v>#DIV/0!</v>
      </c>
      <c r="AOD133" s="531" t="e">
        <f t="shared" si="277"/>
        <v>#DIV/0!</v>
      </c>
      <c r="AOE133" s="531" t="e">
        <f t="shared" si="277"/>
        <v>#DIV/0!</v>
      </c>
      <c r="AOF133" s="531" t="e">
        <f t="shared" si="277"/>
        <v>#DIV/0!</v>
      </c>
      <c r="AOG133" s="531" t="e">
        <f t="shared" si="277"/>
        <v>#DIV/0!</v>
      </c>
      <c r="AOH133" s="531" t="e">
        <f t="shared" si="277"/>
        <v>#DIV/0!</v>
      </c>
      <c r="AOI133" s="531" t="e">
        <f t="shared" si="277"/>
        <v>#DIV/0!</v>
      </c>
      <c r="AOJ133" s="531" t="e">
        <f t="shared" si="277"/>
        <v>#DIV/0!</v>
      </c>
      <c r="AOK133" s="531" t="e">
        <f t="shared" si="277"/>
        <v>#DIV/0!</v>
      </c>
      <c r="AOL133" s="531" t="e">
        <f t="shared" si="277"/>
        <v>#DIV/0!</v>
      </c>
      <c r="AOM133" s="531" t="e">
        <f t="shared" si="277"/>
        <v>#DIV/0!</v>
      </c>
      <c r="AON133" s="531" t="e">
        <f t="shared" si="277"/>
        <v>#DIV/0!</v>
      </c>
      <c r="AOO133" s="531" t="e">
        <f t="shared" si="277"/>
        <v>#DIV/0!</v>
      </c>
      <c r="AOP133" s="531" t="e">
        <f t="shared" si="277"/>
        <v>#DIV/0!</v>
      </c>
      <c r="AOQ133" s="531" t="e">
        <f t="shared" si="277"/>
        <v>#DIV/0!</v>
      </c>
      <c r="AOR133" s="531" t="e">
        <f t="shared" si="277"/>
        <v>#DIV/0!</v>
      </c>
      <c r="AOS133" s="531" t="e">
        <f t="shared" si="277"/>
        <v>#DIV/0!</v>
      </c>
      <c r="AOT133" s="531" t="e">
        <f t="shared" si="277"/>
        <v>#DIV/0!</v>
      </c>
      <c r="AOU133" s="531" t="e">
        <f t="shared" si="277"/>
        <v>#DIV/0!</v>
      </c>
      <c r="AOV133" s="531" t="e">
        <f t="shared" si="277"/>
        <v>#DIV/0!</v>
      </c>
      <c r="AOW133" s="531" t="e">
        <f t="shared" si="277"/>
        <v>#DIV/0!</v>
      </c>
      <c r="AOX133" s="531" t="e">
        <f t="shared" si="277"/>
        <v>#DIV/0!</v>
      </c>
      <c r="AOY133" s="531" t="e">
        <f t="shared" si="277"/>
        <v>#DIV/0!</v>
      </c>
      <c r="AOZ133" s="531" t="e">
        <f t="shared" si="277"/>
        <v>#DIV/0!</v>
      </c>
      <c r="APA133" s="531" t="e">
        <f t="shared" si="277"/>
        <v>#DIV/0!</v>
      </c>
      <c r="APB133" s="531" t="e">
        <f t="shared" si="277"/>
        <v>#DIV/0!</v>
      </c>
      <c r="APC133" s="531" t="e">
        <f t="shared" ref="APC133:ARN133" si="278">APC116/(APC52*10^5)</f>
        <v>#DIV/0!</v>
      </c>
      <c r="APD133" s="531" t="e">
        <f t="shared" si="278"/>
        <v>#DIV/0!</v>
      </c>
      <c r="APE133" s="531" t="e">
        <f t="shared" si="278"/>
        <v>#DIV/0!</v>
      </c>
      <c r="APF133" s="531" t="e">
        <f t="shared" si="278"/>
        <v>#DIV/0!</v>
      </c>
      <c r="APG133" s="531" t="e">
        <f t="shared" si="278"/>
        <v>#DIV/0!</v>
      </c>
      <c r="APH133" s="531" t="e">
        <f t="shared" si="278"/>
        <v>#DIV/0!</v>
      </c>
      <c r="API133" s="531" t="e">
        <f t="shared" si="278"/>
        <v>#DIV/0!</v>
      </c>
      <c r="APJ133" s="531" t="e">
        <f t="shared" si="278"/>
        <v>#DIV/0!</v>
      </c>
      <c r="APK133" s="531" t="e">
        <f t="shared" si="278"/>
        <v>#DIV/0!</v>
      </c>
      <c r="APL133" s="531" t="e">
        <f t="shared" si="278"/>
        <v>#DIV/0!</v>
      </c>
      <c r="APM133" s="531" t="e">
        <f t="shared" si="278"/>
        <v>#DIV/0!</v>
      </c>
      <c r="APN133" s="531" t="e">
        <f t="shared" si="278"/>
        <v>#DIV/0!</v>
      </c>
      <c r="APO133" s="531" t="e">
        <f t="shared" si="278"/>
        <v>#DIV/0!</v>
      </c>
      <c r="APP133" s="531" t="e">
        <f t="shared" si="278"/>
        <v>#DIV/0!</v>
      </c>
      <c r="APQ133" s="531" t="e">
        <f t="shared" si="278"/>
        <v>#DIV/0!</v>
      </c>
      <c r="APR133" s="531" t="e">
        <f t="shared" si="278"/>
        <v>#DIV/0!</v>
      </c>
      <c r="APS133" s="531" t="e">
        <f t="shared" si="278"/>
        <v>#DIV/0!</v>
      </c>
      <c r="APT133" s="531" t="e">
        <f t="shared" si="278"/>
        <v>#DIV/0!</v>
      </c>
      <c r="APU133" s="531" t="e">
        <f t="shared" si="278"/>
        <v>#DIV/0!</v>
      </c>
      <c r="APV133" s="531" t="e">
        <f t="shared" si="278"/>
        <v>#DIV/0!</v>
      </c>
      <c r="APW133" s="531" t="e">
        <f t="shared" si="278"/>
        <v>#DIV/0!</v>
      </c>
      <c r="APX133" s="531" t="e">
        <f t="shared" si="278"/>
        <v>#DIV/0!</v>
      </c>
      <c r="APY133" s="531" t="e">
        <f t="shared" si="278"/>
        <v>#DIV/0!</v>
      </c>
      <c r="APZ133" s="531" t="e">
        <f t="shared" si="278"/>
        <v>#DIV/0!</v>
      </c>
      <c r="AQA133" s="531" t="e">
        <f t="shared" si="278"/>
        <v>#DIV/0!</v>
      </c>
      <c r="AQB133" s="531" t="e">
        <f t="shared" si="278"/>
        <v>#DIV/0!</v>
      </c>
      <c r="AQC133" s="531" t="e">
        <f t="shared" si="278"/>
        <v>#DIV/0!</v>
      </c>
      <c r="AQD133" s="531" t="e">
        <f t="shared" si="278"/>
        <v>#DIV/0!</v>
      </c>
      <c r="AQE133" s="531" t="e">
        <f t="shared" si="278"/>
        <v>#DIV/0!</v>
      </c>
      <c r="AQF133" s="531" t="e">
        <f t="shared" si="278"/>
        <v>#DIV/0!</v>
      </c>
      <c r="AQG133" s="531" t="e">
        <f t="shared" si="278"/>
        <v>#DIV/0!</v>
      </c>
      <c r="AQH133" s="531" t="e">
        <f t="shared" si="278"/>
        <v>#DIV/0!</v>
      </c>
      <c r="AQI133" s="531" t="e">
        <f t="shared" si="278"/>
        <v>#DIV/0!</v>
      </c>
      <c r="AQJ133" s="531" t="e">
        <f t="shared" si="278"/>
        <v>#DIV/0!</v>
      </c>
      <c r="AQK133" s="531" t="e">
        <f t="shared" si="278"/>
        <v>#DIV/0!</v>
      </c>
      <c r="AQL133" s="531" t="e">
        <f t="shared" si="278"/>
        <v>#DIV/0!</v>
      </c>
      <c r="AQM133" s="531" t="e">
        <f t="shared" si="278"/>
        <v>#DIV/0!</v>
      </c>
      <c r="AQN133" s="531" t="e">
        <f t="shared" si="278"/>
        <v>#DIV/0!</v>
      </c>
      <c r="AQO133" s="531" t="e">
        <f t="shared" si="278"/>
        <v>#DIV/0!</v>
      </c>
      <c r="AQP133" s="531" t="e">
        <f t="shared" si="278"/>
        <v>#DIV/0!</v>
      </c>
      <c r="AQQ133" s="531" t="e">
        <f t="shared" si="278"/>
        <v>#DIV/0!</v>
      </c>
      <c r="AQR133" s="531" t="e">
        <f t="shared" si="278"/>
        <v>#DIV/0!</v>
      </c>
      <c r="AQS133" s="531" t="e">
        <f t="shared" si="278"/>
        <v>#DIV/0!</v>
      </c>
      <c r="AQT133" s="531" t="e">
        <f t="shared" si="278"/>
        <v>#DIV/0!</v>
      </c>
      <c r="AQU133" s="531" t="e">
        <f t="shared" si="278"/>
        <v>#DIV/0!</v>
      </c>
      <c r="AQV133" s="531" t="e">
        <f t="shared" si="278"/>
        <v>#DIV/0!</v>
      </c>
      <c r="AQW133" s="531" t="e">
        <f t="shared" si="278"/>
        <v>#DIV/0!</v>
      </c>
      <c r="AQX133" s="531" t="e">
        <f t="shared" si="278"/>
        <v>#DIV/0!</v>
      </c>
      <c r="AQY133" s="531" t="e">
        <f t="shared" si="278"/>
        <v>#DIV/0!</v>
      </c>
      <c r="AQZ133" s="531" t="e">
        <f t="shared" si="278"/>
        <v>#DIV/0!</v>
      </c>
      <c r="ARA133" s="531" t="e">
        <f t="shared" si="278"/>
        <v>#DIV/0!</v>
      </c>
      <c r="ARB133" s="531" t="e">
        <f t="shared" si="278"/>
        <v>#DIV/0!</v>
      </c>
      <c r="ARC133" s="531" t="e">
        <f t="shared" si="278"/>
        <v>#DIV/0!</v>
      </c>
      <c r="ARD133" s="531" t="e">
        <f t="shared" si="278"/>
        <v>#DIV/0!</v>
      </c>
      <c r="ARE133" s="531" t="e">
        <f t="shared" si="278"/>
        <v>#DIV/0!</v>
      </c>
      <c r="ARF133" s="531" t="e">
        <f t="shared" si="278"/>
        <v>#DIV/0!</v>
      </c>
      <c r="ARG133" s="531" t="e">
        <f t="shared" si="278"/>
        <v>#DIV/0!</v>
      </c>
      <c r="ARH133" s="531" t="e">
        <f t="shared" si="278"/>
        <v>#DIV/0!</v>
      </c>
      <c r="ARI133" s="531" t="e">
        <f t="shared" si="278"/>
        <v>#DIV/0!</v>
      </c>
      <c r="ARJ133" s="531" t="e">
        <f t="shared" si="278"/>
        <v>#DIV/0!</v>
      </c>
      <c r="ARK133" s="531" t="e">
        <f t="shared" si="278"/>
        <v>#DIV/0!</v>
      </c>
      <c r="ARL133" s="531" t="e">
        <f t="shared" si="278"/>
        <v>#DIV/0!</v>
      </c>
      <c r="ARM133" s="531" t="e">
        <f t="shared" si="278"/>
        <v>#DIV/0!</v>
      </c>
      <c r="ARN133" s="531" t="e">
        <f t="shared" si="278"/>
        <v>#DIV/0!</v>
      </c>
      <c r="ARO133" s="531" t="e">
        <f t="shared" ref="ARO133:ATZ133" si="279">ARO116/(ARO52*10^5)</f>
        <v>#DIV/0!</v>
      </c>
      <c r="ARP133" s="531" t="e">
        <f t="shared" si="279"/>
        <v>#DIV/0!</v>
      </c>
      <c r="ARQ133" s="531" t="e">
        <f t="shared" si="279"/>
        <v>#DIV/0!</v>
      </c>
      <c r="ARR133" s="531" t="e">
        <f t="shared" si="279"/>
        <v>#DIV/0!</v>
      </c>
      <c r="ARS133" s="531" t="e">
        <f t="shared" si="279"/>
        <v>#DIV/0!</v>
      </c>
      <c r="ART133" s="531" t="e">
        <f t="shared" si="279"/>
        <v>#DIV/0!</v>
      </c>
      <c r="ARU133" s="531" t="e">
        <f t="shared" si="279"/>
        <v>#DIV/0!</v>
      </c>
      <c r="ARV133" s="531" t="e">
        <f t="shared" si="279"/>
        <v>#DIV/0!</v>
      </c>
      <c r="ARW133" s="531" t="e">
        <f t="shared" si="279"/>
        <v>#DIV/0!</v>
      </c>
      <c r="ARX133" s="531" t="e">
        <f t="shared" si="279"/>
        <v>#DIV/0!</v>
      </c>
      <c r="ARY133" s="531" t="e">
        <f t="shared" si="279"/>
        <v>#DIV/0!</v>
      </c>
      <c r="ARZ133" s="531" t="e">
        <f t="shared" si="279"/>
        <v>#DIV/0!</v>
      </c>
      <c r="ASA133" s="531" t="e">
        <f t="shared" si="279"/>
        <v>#DIV/0!</v>
      </c>
      <c r="ASB133" s="531" t="e">
        <f t="shared" si="279"/>
        <v>#DIV/0!</v>
      </c>
      <c r="ASC133" s="531" t="e">
        <f t="shared" si="279"/>
        <v>#DIV/0!</v>
      </c>
      <c r="ASD133" s="531" t="e">
        <f t="shared" si="279"/>
        <v>#DIV/0!</v>
      </c>
      <c r="ASE133" s="531" t="e">
        <f t="shared" si="279"/>
        <v>#DIV/0!</v>
      </c>
      <c r="ASF133" s="531" t="e">
        <f t="shared" si="279"/>
        <v>#DIV/0!</v>
      </c>
      <c r="ASG133" s="531" t="e">
        <f t="shared" si="279"/>
        <v>#DIV/0!</v>
      </c>
      <c r="ASH133" s="531" t="e">
        <f t="shared" si="279"/>
        <v>#DIV/0!</v>
      </c>
      <c r="ASI133" s="531" t="e">
        <f t="shared" si="279"/>
        <v>#DIV/0!</v>
      </c>
      <c r="ASJ133" s="531" t="e">
        <f t="shared" si="279"/>
        <v>#DIV/0!</v>
      </c>
      <c r="ASK133" s="531" t="e">
        <f t="shared" si="279"/>
        <v>#DIV/0!</v>
      </c>
      <c r="ASL133" s="531" t="e">
        <f t="shared" si="279"/>
        <v>#DIV/0!</v>
      </c>
      <c r="ASM133" s="531" t="e">
        <f t="shared" si="279"/>
        <v>#DIV/0!</v>
      </c>
      <c r="ASN133" s="531" t="e">
        <f t="shared" si="279"/>
        <v>#DIV/0!</v>
      </c>
      <c r="ASO133" s="531" t="e">
        <f t="shared" si="279"/>
        <v>#DIV/0!</v>
      </c>
      <c r="ASP133" s="531" t="e">
        <f t="shared" si="279"/>
        <v>#DIV/0!</v>
      </c>
      <c r="ASQ133" s="531" t="e">
        <f t="shared" si="279"/>
        <v>#DIV/0!</v>
      </c>
      <c r="ASR133" s="531" t="e">
        <f t="shared" si="279"/>
        <v>#DIV/0!</v>
      </c>
      <c r="ASS133" s="531" t="e">
        <f t="shared" si="279"/>
        <v>#DIV/0!</v>
      </c>
      <c r="AST133" s="531" t="e">
        <f t="shared" si="279"/>
        <v>#DIV/0!</v>
      </c>
      <c r="ASU133" s="531" t="e">
        <f t="shared" si="279"/>
        <v>#DIV/0!</v>
      </c>
      <c r="ASV133" s="531" t="e">
        <f t="shared" si="279"/>
        <v>#DIV/0!</v>
      </c>
      <c r="ASW133" s="531" t="e">
        <f t="shared" si="279"/>
        <v>#DIV/0!</v>
      </c>
      <c r="ASX133" s="531" t="e">
        <f t="shared" si="279"/>
        <v>#DIV/0!</v>
      </c>
      <c r="ASY133" s="531" t="e">
        <f t="shared" si="279"/>
        <v>#DIV/0!</v>
      </c>
      <c r="ASZ133" s="531" t="e">
        <f t="shared" si="279"/>
        <v>#DIV/0!</v>
      </c>
      <c r="ATA133" s="531" t="e">
        <f t="shared" si="279"/>
        <v>#DIV/0!</v>
      </c>
      <c r="ATB133" s="531" t="e">
        <f t="shared" si="279"/>
        <v>#DIV/0!</v>
      </c>
      <c r="ATC133" s="531" t="e">
        <f t="shared" si="279"/>
        <v>#DIV/0!</v>
      </c>
      <c r="ATD133" s="531" t="e">
        <f t="shared" si="279"/>
        <v>#DIV/0!</v>
      </c>
      <c r="ATE133" s="531" t="e">
        <f t="shared" si="279"/>
        <v>#DIV/0!</v>
      </c>
      <c r="ATF133" s="531" t="e">
        <f t="shared" si="279"/>
        <v>#DIV/0!</v>
      </c>
      <c r="ATG133" s="531" t="e">
        <f t="shared" si="279"/>
        <v>#DIV/0!</v>
      </c>
      <c r="ATH133" s="531" t="e">
        <f t="shared" si="279"/>
        <v>#DIV/0!</v>
      </c>
      <c r="ATI133" s="531" t="e">
        <f t="shared" si="279"/>
        <v>#DIV/0!</v>
      </c>
      <c r="ATJ133" s="531" t="e">
        <f t="shared" si="279"/>
        <v>#DIV/0!</v>
      </c>
      <c r="ATK133" s="531" t="e">
        <f t="shared" si="279"/>
        <v>#DIV/0!</v>
      </c>
      <c r="ATL133" s="531" t="e">
        <f t="shared" si="279"/>
        <v>#DIV/0!</v>
      </c>
      <c r="ATM133" s="531" t="e">
        <f t="shared" si="279"/>
        <v>#DIV/0!</v>
      </c>
      <c r="ATN133" s="531" t="e">
        <f t="shared" si="279"/>
        <v>#DIV/0!</v>
      </c>
      <c r="ATO133" s="531" t="e">
        <f t="shared" si="279"/>
        <v>#DIV/0!</v>
      </c>
      <c r="ATP133" s="531" t="e">
        <f t="shared" si="279"/>
        <v>#DIV/0!</v>
      </c>
      <c r="ATQ133" s="531" t="e">
        <f t="shared" si="279"/>
        <v>#DIV/0!</v>
      </c>
      <c r="ATR133" s="531" t="e">
        <f t="shared" si="279"/>
        <v>#DIV/0!</v>
      </c>
      <c r="ATS133" s="531" t="e">
        <f t="shared" si="279"/>
        <v>#DIV/0!</v>
      </c>
      <c r="ATT133" s="531" t="e">
        <f t="shared" si="279"/>
        <v>#DIV/0!</v>
      </c>
      <c r="ATU133" s="531" t="e">
        <f t="shared" si="279"/>
        <v>#DIV/0!</v>
      </c>
      <c r="ATV133" s="531" t="e">
        <f t="shared" si="279"/>
        <v>#DIV/0!</v>
      </c>
      <c r="ATW133" s="531" t="e">
        <f t="shared" si="279"/>
        <v>#DIV/0!</v>
      </c>
      <c r="ATX133" s="531" t="e">
        <f t="shared" si="279"/>
        <v>#DIV/0!</v>
      </c>
      <c r="ATY133" s="531" t="e">
        <f t="shared" si="279"/>
        <v>#DIV/0!</v>
      </c>
      <c r="ATZ133" s="531" t="e">
        <f t="shared" si="279"/>
        <v>#DIV/0!</v>
      </c>
      <c r="AUA133" s="531" t="e">
        <f t="shared" ref="AUA133:AWL133" si="280">AUA116/(AUA52*10^5)</f>
        <v>#DIV/0!</v>
      </c>
      <c r="AUB133" s="531" t="e">
        <f t="shared" si="280"/>
        <v>#DIV/0!</v>
      </c>
      <c r="AUC133" s="531" t="e">
        <f t="shared" si="280"/>
        <v>#DIV/0!</v>
      </c>
      <c r="AUD133" s="531" t="e">
        <f t="shared" si="280"/>
        <v>#DIV/0!</v>
      </c>
      <c r="AUE133" s="531" t="e">
        <f t="shared" si="280"/>
        <v>#DIV/0!</v>
      </c>
      <c r="AUF133" s="531" t="e">
        <f t="shared" si="280"/>
        <v>#DIV/0!</v>
      </c>
      <c r="AUG133" s="531" t="e">
        <f t="shared" si="280"/>
        <v>#DIV/0!</v>
      </c>
      <c r="AUH133" s="531" t="e">
        <f t="shared" si="280"/>
        <v>#DIV/0!</v>
      </c>
      <c r="AUI133" s="531" t="e">
        <f t="shared" si="280"/>
        <v>#DIV/0!</v>
      </c>
      <c r="AUJ133" s="531" t="e">
        <f t="shared" si="280"/>
        <v>#DIV/0!</v>
      </c>
      <c r="AUK133" s="531" t="e">
        <f t="shared" si="280"/>
        <v>#DIV/0!</v>
      </c>
      <c r="AUL133" s="531" t="e">
        <f t="shared" si="280"/>
        <v>#DIV/0!</v>
      </c>
      <c r="AUM133" s="531" t="e">
        <f t="shared" si="280"/>
        <v>#DIV/0!</v>
      </c>
      <c r="AUN133" s="531" t="e">
        <f t="shared" si="280"/>
        <v>#DIV/0!</v>
      </c>
      <c r="AUO133" s="531" t="e">
        <f t="shared" si="280"/>
        <v>#DIV/0!</v>
      </c>
      <c r="AUP133" s="531" t="e">
        <f t="shared" si="280"/>
        <v>#DIV/0!</v>
      </c>
      <c r="AUQ133" s="531" t="e">
        <f t="shared" si="280"/>
        <v>#DIV/0!</v>
      </c>
      <c r="AUR133" s="531" t="e">
        <f t="shared" si="280"/>
        <v>#DIV/0!</v>
      </c>
      <c r="AUS133" s="531" t="e">
        <f t="shared" si="280"/>
        <v>#DIV/0!</v>
      </c>
      <c r="AUT133" s="531" t="e">
        <f t="shared" si="280"/>
        <v>#DIV/0!</v>
      </c>
      <c r="AUU133" s="531" t="e">
        <f t="shared" si="280"/>
        <v>#DIV/0!</v>
      </c>
      <c r="AUV133" s="531" t="e">
        <f t="shared" si="280"/>
        <v>#DIV/0!</v>
      </c>
      <c r="AUW133" s="531" t="e">
        <f t="shared" si="280"/>
        <v>#DIV/0!</v>
      </c>
      <c r="AUX133" s="531" t="e">
        <f t="shared" si="280"/>
        <v>#DIV/0!</v>
      </c>
      <c r="AUY133" s="531" t="e">
        <f t="shared" si="280"/>
        <v>#DIV/0!</v>
      </c>
      <c r="AUZ133" s="531" t="e">
        <f t="shared" si="280"/>
        <v>#DIV/0!</v>
      </c>
      <c r="AVA133" s="531" t="e">
        <f t="shared" si="280"/>
        <v>#DIV/0!</v>
      </c>
      <c r="AVB133" s="531" t="e">
        <f t="shared" si="280"/>
        <v>#DIV/0!</v>
      </c>
      <c r="AVC133" s="531" t="e">
        <f t="shared" si="280"/>
        <v>#DIV/0!</v>
      </c>
      <c r="AVD133" s="531" t="e">
        <f t="shared" si="280"/>
        <v>#DIV/0!</v>
      </c>
      <c r="AVE133" s="531" t="e">
        <f t="shared" si="280"/>
        <v>#DIV/0!</v>
      </c>
      <c r="AVF133" s="531" t="e">
        <f t="shared" si="280"/>
        <v>#DIV/0!</v>
      </c>
      <c r="AVG133" s="531" t="e">
        <f t="shared" si="280"/>
        <v>#DIV/0!</v>
      </c>
      <c r="AVH133" s="531" t="e">
        <f t="shared" si="280"/>
        <v>#DIV/0!</v>
      </c>
      <c r="AVI133" s="531" t="e">
        <f t="shared" si="280"/>
        <v>#DIV/0!</v>
      </c>
      <c r="AVJ133" s="531" t="e">
        <f t="shared" si="280"/>
        <v>#DIV/0!</v>
      </c>
      <c r="AVK133" s="531" t="e">
        <f t="shared" si="280"/>
        <v>#DIV/0!</v>
      </c>
      <c r="AVL133" s="531" t="e">
        <f t="shared" si="280"/>
        <v>#DIV/0!</v>
      </c>
      <c r="AVM133" s="531" t="e">
        <f t="shared" si="280"/>
        <v>#DIV/0!</v>
      </c>
      <c r="AVN133" s="531" t="e">
        <f t="shared" si="280"/>
        <v>#DIV/0!</v>
      </c>
      <c r="AVO133" s="531" t="e">
        <f t="shared" si="280"/>
        <v>#DIV/0!</v>
      </c>
      <c r="AVP133" s="531" t="e">
        <f t="shared" si="280"/>
        <v>#DIV/0!</v>
      </c>
      <c r="AVQ133" s="531" t="e">
        <f t="shared" si="280"/>
        <v>#DIV/0!</v>
      </c>
      <c r="AVR133" s="531" t="e">
        <f t="shared" si="280"/>
        <v>#DIV/0!</v>
      </c>
      <c r="AVS133" s="531" t="e">
        <f t="shared" si="280"/>
        <v>#DIV/0!</v>
      </c>
      <c r="AVT133" s="531" t="e">
        <f t="shared" si="280"/>
        <v>#DIV/0!</v>
      </c>
      <c r="AVU133" s="531" t="e">
        <f t="shared" si="280"/>
        <v>#DIV/0!</v>
      </c>
      <c r="AVV133" s="531" t="e">
        <f t="shared" si="280"/>
        <v>#DIV/0!</v>
      </c>
      <c r="AVW133" s="531" t="e">
        <f t="shared" si="280"/>
        <v>#DIV/0!</v>
      </c>
      <c r="AVX133" s="531" t="e">
        <f t="shared" si="280"/>
        <v>#DIV/0!</v>
      </c>
      <c r="AVY133" s="531" t="e">
        <f t="shared" si="280"/>
        <v>#DIV/0!</v>
      </c>
      <c r="AVZ133" s="531" t="e">
        <f t="shared" si="280"/>
        <v>#DIV/0!</v>
      </c>
      <c r="AWA133" s="531" t="e">
        <f t="shared" si="280"/>
        <v>#DIV/0!</v>
      </c>
      <c r="AWB133" s="531" t="e">
        <f t="shared" si="280"/>
        <v>#DIV/0!</v>
      </c>
      <c r="AWC133" s="531" t="e">
        <f t="shared" si="280"/>
        <v>#DIV/0!</v>
      </c>
      <c r="AWD133" s="531" t="e">
        <f t="shared" si="280"/>
        <v>#DIV/0!</v>
      </c>
      <c r="AWE133" s="531" t="e">
        <f t="shared" si="280"/>
        <v>#DIV/0!</v>
      </c>
      <c r="AWF133" s="531" t="e">
        <f t="shared" si="280"/>
        <v>#DIV/0!</v>
      </c>
      <c r="AWG133" s="531" t="e">
        <f t="shared" si="280"/>
        <v>#DIV/0!</v>
      </c>
      <c r="AWH133" s="531" t="e">
        <f t="shared" si="280"/>
        <v>#DIV/0!</v>
      </c>
      <c r="AWI133" s="531" t="e">
        <f t="shared" si="280"/>
        <v>#DIV/0!</v>
      </c>
      <c r="AWJ133" s="531" t="e">
        <f t="shared" si="280"/>
        <v>#DIV/0!</v>
      </c>
      <c r="AWK133" s="531" t="e">
        <f t="shared" si="280"/>
        <v>#DIV/0!</v>
      </c>
      <c r="AWL133" s="531" t="e">
        <f t="shared" si="280"/>
        <v>#DIV/0!</v>
      </c>
      <c r="AWM133" s="531" t="e">
        <f t="shared" ref="AWM133:AYX133" si="281">AWM116/(AWM52*10^5)</f>
        <v>#DIV/0!</v>
      </c>
      <c r="AWN133" s="531" t="e">
        <f t="shared" si="281"/>
        <v>#DIV/0!</v>
      </c>
      <c r="AWO133" s="531" t="e">
        <f t="shared" si="281"/>
        <v>#DIV/0!</v>
      </c>
      <c r="AWP133" s="531" t="e">
        <f t="shared" si="281"/>
        <v>#DIV/0!</v>
      </c>
      <c r="AWQ133" s="531" t="e">
        <f t="shared" si="281"/>
        <v>#DIV/0!</v>
      </c>
      <c r="AWR133" s="531" t="e">
        <f t="shared" si="281"/>
        <v>#DIV/0!</v>
      </c>
      <c r="AWS133" s="531" t="e">
        <f t="shared" si="281"/>
        <v>#DIV/0!</v>
      </c>
      <c r="AWT133" s="531" t="e">
        <f t="shared" si="281"/>
        <v>#DIV/0!</v>
      </c>
      <c r="AWU133" s="531" t="e">
        <f t="shared" si="281"/>
        <v>#DIV/0!</v>
      </c>
      <c r="AWV133" s="531" t="e">
        <f t="shared" si="281"/>
        <v>#DIV/0!</v>
      </c>
      <c r="AWW133" s="531" t="e">
        <f t="shared" si="281"/>
        <v>#DIV/0!</v>
      </c>
      <c r="AWX133" s="531" t="e">
        <f t="shared" si="281"/>
        <v>#DIV/0!</v>
      </c>
      <c r="AWY133" s="531" t="e">
        <f t="shared" si="281"/>
        <v>#DIV/0!</v>
      </c>
      <c r="AWZ133" s="531" t="e">
        <f t="shared" si="281"/>
        <v>#DIV/0!</v>
      </c>
      <c r="AXA133" s="531" t="e">
        <f t="shared" si="281"/>
        <v>#DIV/0!</v>
      </c>
      <c r="AXB133" s="531" t="e">
        <f t="shared" si="281"/>
        <v>#DIV/0!</v>
      </c>
      <c r="AXC133" s="531" t="e">
        <f t="shared" si="281"/>
        <v>#DIV/0!</v>
      </c>
      <c r="AXD133" s="531" t="e">
        <f t="shared" si="281"/>
        <v>#DIV/0!</v>
      </c>
      <c r="AXE133" s="531" t="e">
        <f t="shared" si="281"/>
        <v>#DIV/0!</v>
      </c>
      <c r="AXF133" s="531" t="e">
        <f t="shared" si="281"/>
        <v>#DIV/0!</v>
      </c>
      <c r="AXG133" s="531" t="e">
        <f t="shared" si="281"/>
        <v>#DIV/0!</v>
      </c>
      <c r="AXH133" s="531" t="e">
        <f t="shared" si="281"/>
        <v>#DIV/0!</v>
      </c>
      <c r="AXI133" s="531" t="e">
        <f t="shared" si="281"/>
        <v>#DIV/0!</v>
      </c>
      <c r="AXJ133" s="531" t="e">
        <f t="shared" si="281"/>
        <v>#DIV/0!</v>
      </c>
      <c r="AXK133" s="531" t="e">
        <f t="shared" si="281"/>
        <v>#DIV/0!</v>
      </c>
      <c r="AXL133" s="531" t="e">
        <f t="shared" si="281"/>
        <v>#DIV/0!</v>
      </c>
      <c r="AXM133" s="531" t="e">
        <f t="shared" si="281"/>
        <v>#DIV/0!</v>
      </c>
      <c r="AXN133" s="531" t="e">
        <f t="shared" si="281"/>
        <v>#DIV/0!</v>
      </c>
      <c r="AXO133" s="531" t="e">
        <f t="shared" si="281"/>
        <v>#DIV/0!</v>
      </c>
      <c r="AXP133" s="531" t="e">
        <f t="shared" si="281"/>
        <v>#DIV/0!</v>
      </c>
      <c r="AXQ133" s="531" t="e">
        <f t="shared" si="281"/>
        <v>#DIV/0!</v>
      </c>
      <c r="AXR133" s="531" t="e">
        <f t="shared" si="281"/>
        <v>#DIV/0!</v>
      </c>
      <c r="AXS133" s="531" t="e">
        <f t="shared" si="281"/>
        <v>#DIV/0!</v>
      </c>
      <c r="AXT133" s="531" t="e">
        <f t="shared" si="281"/>
        <v>#DIV/0!</v>
      </c>
      <c r="AXU133" s="531" t="e">
        <f t="shared" si="281"/>
        <v>#DIV/0!</v>
      </c>
      <c r="AXV133" s="531" t="e">
        <f t="shared" si="281"/>
        <v>#DIV/0!</v>
      </c>
      <c r="AXW133" s="531" t="e">
        <f t="shared" si="281"/>
        <v>#DIV/0!</v>
      </c>
      <c r="AXX133" s="531" t="e">
        <f t="shared" si="281"/>
        <v>#DIV/0!</v>
      </c>
      <c r="AXY133" s="531" t="e">
        <f t="shared" si="281"/>
        <v>#DIV/0!</v>
      </c>
      <c r="AXZ133" s="531" t="e">
        <f t="shared" si="281"/>
        <v>#DIV/0!</v>
      </c>
      <c r="AYA133" s="531" t="e">
        <f t="shared" si="281"/>
        <v>#DIV/0!</v>
      </c>
      <c r="AYB133" s="531" t="e">
        <f t="shared" si="281"/>
        <v>#DIV/0!</v>
      </c>
      <c r="AYC133" s="531" t="e">
        <f t="shared" si="281"/>
        <v>#DIV/0!</v>
      </c>
      <c r="AYD133" s="531" t="e">
        <f t="shared" si="281"/>
        <v>#DIV/0!</v>
      </c>
      <c r="AYE133" s="531" t="e">
        <f t="shared" si="281"/>
        <v>#DIV/0!</v>
      </c>
      <c r="AYF133" s="531" t="e">
        <f t="shared" si="281"/>
        <v>#DIV/0!</v>
      </c>
      <c r="AYG133" s="531" t="e">
        <f t="shared" si="281"/>
        <v>#DIV/0!</v>
      </c>
      <c r="AYH133" s="531" t="e">
        <f t="shared" si="281"/>
        <v>#DIV/0!</v>
      </c>
      <c r="AYI133" s="531" t="e">
        <f t="shared" si="281"/>
        <v>#DIV/0!</v>
      </c>
      <c r="AYJ133" s="531" t="e">
        <f t="shared" si="281"/>
        <v>#DIV/0!</v>
      </c>
      <c r="AYK133" s="531" t="e">
        <f t="shared" si="281"/>
        <v>#DIV/0!</v>
      </c>
      <c r="AYL133" s="531" t="e">
        <f t="shared" si="281"/>
        <v>#DIV/0!</v>
      </c>
      <c r="AYM133" s="531" t="e">
        <f t="shared" si="281"/>
        <v>#DIV/0!</v>
      </c>
      <c r="AYN133" s="531" t="e">
        <f t="shared" si="281"/>
        <v>#DIV/0!</v>
      </c>
      <c r="AYO133" s="531" t="e">
        <f t="shared" si="281"/>
        <v>#DIV/0!</v>
      </c>
      <c r="AYP133" s="531" t="e">
        <f t="shared" si="281"/>
        <v>#DIV/0!</v>
      </c>
      <c r="AYQ133" s="531" t="e">
        <f t="shared" si="281"/>
        <v>#DIV/0!</v>
      </c>
      <c r="AYR133" s="531" t="e">
        <f t="shared" si="281"/>
        <v>#DIV/0!</v>
      </c>
      <c r="AYS133" s="531" t="e">
        <f t="shared" si="281"/>
        <v>#DIV/0!</v>
      </c>
      <c r="AYT133" s="531" t="e">
        <f t="shared" si="281"/>
        <v>#DIV/0!</v>
      </c>
      <c r="AYU133" s="531" t="e">
        <f t="shared" si="281"/>
        <v>#DIV/0!</v>
      </c>
      <c r="AYV133" s="531" t="e">
        <f t="shared" si="281"/>
        <v>#DIV/0!</v>
      </c>
      <c r="AYW133" s="531" t="e">
        <f t="shared" si="281"/>
        <v>#DIV/0!</v>
      </c>
      <c r="AYX133" s="531" t="e">
        <f t="shared" si="281"/>
        <v>#DIV/0!</v>
      </c>
      <c r="AYY133" s="531" t="e">
        <f t="shared" ref="AYY133:BBJ133" si="282">AYY116/(AYY52*10^5)</f>
        <v>#DIV/0!</v>
      </c>
      <c r="AYZ133" s="531" t="e">
        <f t="shared" si="282"/>
        <v>#DIV/0!</v>
      </c>
      <c r="AZA133" s="531" t="e">
        <f t="shared" si="282"/>
        <v>#DIV/0!</v>
      </c>
      <c r="AZB133" s="531" t="e">
        <f t="shared" si="282"/>
        <v>#DIV/0!</v>
      </c>
      <c r="AZC133" s="531" t="e">
        <f t="shared" si="282"/>
        <v>#DIV/0!</v>
      </c>
      <c r="AZD133" s="531" t="e">
        <f t="shared" si="282"/>
        <v>#DIV/0!</v>
      </c>
      <c r="AZE133" s="531" t="e">
        <f t="shared" si="282"/>
        <v>#DIV/0!</v>
      </c>
      <c r="AZF133" s="531" t="e">
        <f t="shared" si="282"/>
        <v>#DIV/0!</v>
      </c>
      <c r="AZG133" s="531" t="e">
        <f t="shared" si="282"/>
        <v>#DIV/0!</v>
      </c>
      <c r="AZH133" s="531" t="e">
        <f t="shared" si="282"/>
        <v>#DIV/0!</v>
      </c>
      <c r="AZI133" s="531" t="e">
        <f t="shared" si="282"/>
        <v>#DIV/0!</v>
      </c>
      <c r="AZJ133" s="531" t="e">
        <f t="shared" si="282"/>
        <v>#DIV/0!</v>
      </c>
      <c r="AZK133" s="531" t="e">
        <f t="shared" si="282"/>
        <v>#DIV/0!</v>
      </c>
      <c r="AZL133" s="531" t="e">
        <f t="shared" si="282"/>
        <v>#DIV/0!</v>
      </c>
      <c r="AZM133" s="531" t="e">
        <f t="shared" si="282"/>
        <v>#DIV/0!</v>
      </c>
      <c r="AZN133" s="531" t="e">
        <f t="shared" si="282"/>
        <v>#DIV/0!</v>
      </c>
      <c r="AZO133" s="531" t="e">
        <f t="shared" si="282"/>
        <v>#DIV/0!</v>
      </c>
      <c r="AZP133" s="531" t="e">
        <f t="shared" si="282"/>
        <v>#DIV/0!</v>
      </c>
      <c r="AZQ133" s="531" t="e">
        <f t="shared" si="282"/>
        <v>#DIV/0!</v>
      </c>
      <c r="AZR133" s="531" t="e">
        <f t="shared" si="282"/>
        <v>#DIV/0!</v>
      </c>
      <c r="AZS133" s="531" t="e">
        <f t="shared" si="282"/>
        <v>#DIV/0!</v>
      </c>
      <c r="AZT133" s="531" t="e">
        <f t="shared" si="282"/>
        <v>#DIV/0!</v>
      </c>
      <c r="AZU133" s="531" t="e">
        <f t="shared" si="282"/>
        <v>#DIV/0!</v>
      </c>
      <c r="AZV133" s="531" t="e">
        <f t="shared" si="282"/>
        <v>#DIV/0!</v>
      </c>
      <c r="AZW133" s="531" t="e">
        <f t="shared" si="282"/>
        <v>#DIV/0!</v>
      </c>
      <c r="AZX133" s="531" t="e">
        <f t="shared" si="282"/>
        <v>#DIV/0!</v>
      </c>
      <c r="AZY133" s="531" t="e">
        <f t="shared" si="282"/>
        <v>#DIV/0!</v>
      </c>
      <c r="AZZ133" s="531" t="e">
        <f t="shared" si="282"/>
        <v>#DIV/0!</v>
      </c>
      <c r="BAA133" s="531" t="e">
        <f t="shared" si="282"/>
        <v>#DIV/0!</v>
      </c>
      <c r="BAB133" s="531" t="e">
        <f t="shared" si="282"/>
        <v>#DIV/0!</v>
      </c>
      <c r="BAC133" s="531" t="e">
        <f t="shared" si="282"/>
        <v>#DIV/0!</v>
      </c>
      <c r="BAD133" s="531" t="e">
        <f t="shared" si="282"/>
        <v>#DIV/0!</v>
      </c>
      <c r="BAE133" s="531" t="e">
        <f t="shared" si="282"/>
        <v>#DIV/0!</v>
      </c>
      <c r="BAF133" s="531" t="e">
        <f t="shared" si="282"/>
        <v>#DIV/0!</v>
      </c>
      <c r="BAG133" s="531" t="e">
        <f t="shared" si="282"/>
        <v>#DIV/0!</v>
      </c>
      <c r="BAH133" s="531" t="e">
        <f t="shared" si="282"/>
        <v>#DIV/0!</v>
      </c>
      <c r="BAI133" s="531" t="e">
        <f t="shared" si="282"/>
        <v>#DIV/0!</v>
      </c>
      <c r="BAJ133" s="531" t="e">
        <f t="shared" si="282"/>
        <v>#DIV/0!</v>
      </c>
      <c r="BAK133" s="531" t="e">
        <f t="shared" si="282"/>
        <v>#DIV/0!</v>
      </c>
      <c r="BAL133" s="531" t="e">
        <f t="shared" si="282"/>
        <v>#DIV/0!</v>
      </c>
      <c r="BAM133" s="531" t="e">
        <f t="shared" si="282"/>
        <v>#DIV/0!</v>
      </c>
      <c r="BAN133" s="531" t="e">
        <f t="shared" si="282"/>
        <v>#DIV/0!</v>
      </c>
      <c r="BAO133" s="531" t="e">
        <f t="shared" si="282"/>
        <v>#DIV/0!</v>
      </c>
      <c r="BAP133" s="531" t="e">
        <f t="shared" si="282"/>
        <v>#DIV/0!</v>
      </c>
      <c r="BAQ133" s="531" t="e">
        <f t="shared" si="282"/>
        <v>#DIV/0!</v>
      </c>
      <c r="BAR133" s="531" t="e">
        <f t="shared" si="282"/>
        <v>#DIV/0!</v>
      </c>
      <c r="BAS133" s="531" t="e">
        <f t="shared" si="282"/>
        <v>#DIV/0!</v>
      </c>
      <c r="BAT133" s="531" t="e">
        <f t="shared" si="282"/>
        <v>#DIV/0!</v>
      </c>
      <c r="BAU133" s="531" t="e">
        <f t="shared" si="282"/>
        <v>#DIV/0!</v>
      </c>
      <c r="BAV133" s="531" t="e">
        <f t="shared" si="282"/>
        <v>#DIV/0!</v>
      </c>
      <c r="BAW133" s="531" t="e">
        <f t="shared" si="282"/>
        <v>#DIV/0!</v>
      </c>
      <c r="BAX133" s="531" t="e">
        <f t="shared" si="282"/>
        <v>#DIV/0!</v>
      </c>
      <c r="BAY133" s="531" t="e">
        <f t="shared" si="282"/>
        <v>#DIV/0!</v>
      </c>
      <c r="BAZ133" s="531" t="e">
        <f t="shared" si="282"/>
        <v>#DIV/0!</v>
      </c>
      <c r="BBA133" s="531" t="e">
        <f t="shared" si="282"/>
        <v>#DIV/0!</v>
      </c>
      <c r="BBB133" s="531" t="e">
        <f t="shared" si="282"/>
        <v>#DIV/0!</v>
      </c>
      <c r="BBC133" s="531" t="e">
        <f t="shared" si="282"/>
        <v>#DIV/0!</v>
      </c>
      <c r="BBD133" s="531" t="e">
        <f t="shared" si="282"/>
        <v>#DIV/0!</v>
      </c>
      <c r="BBE133" s="531" t="e">
        <f t="shared" si="282"/>
        <v>#DIV/0!</v>
      </c>
      <c r="BBF133" s="531" t="e">
        <f t="shared" si="282"/>
        <v>#DIV/0!</v>
      </c>
      <c r="BBG133" s="531" t="e">
        <f t="shared" si="282"/>
        <v>#DIV/0!</v>
      </c>
      <c r="BBH133" s="531" t="e">
        <f t="shared" si="282"/>
        <v>#DIV/0!</v>
      </c>
      <c r="BBI133" s="531" t="e">
        <f t="shared" si="282"/>
        <v>#DIV/0!</v>
      </c>
      <c r="BBJ133" s="531" t="e">
        <f t="shared" si="282"/>
        <v>#DIV/0!</v>
      </c>
      <c r="BBK133" s="531" t="e">
        <f t="shared" ref="BBK133:BDV133" si="283">BBK116/(BBK52*10^5)</f>
        <v>#DIV/0!</v>
      </c>
      <c r="BBL133" s="531" t="e">
        <f t="shared" si="283"/>
        <v>#DIV/0!</v>
      </c>
      <c r="BBM133" s="531" t="e">
        <f t="shared" si="283"/>
        <v>#DIV/0!</v>
      </c>
      <c r="BBN133" s="531" t="e">
        <f t="shared" si="283"/>
        <v>#DIV/0!</v>
      </c>
      <c r="BBO133" s="531" t="e">
        <f t="shared" si="283"/>
        <v>#DIV/0!</v>
      </c>
      <c r="BBP133" s="531" t="e">
        <f t="shared" si="283"/>
        <v>#DIV/0!</v>
      </c>
      <c r="BBQ133" s="531" t="e">
        <f t="shared" si="283"/>
        <v>#DIV/0!</v>
      </c>
      <c r="BBR133" s="531" t="e">
        <f t="shared" si="283"/>
        <v>#DIV/0!</v>
      </c>
      <c r="BBS133" s="531" t="e">
        <f t="shared" si="283"/>
        <v>#DIV/0!</v>
      </c>
      <c r="BBT133" s="531" t="e">
        <f t="shared" si="283"/>
        <v>#DIV/0!</v>
      </c>
      <c r="BBU133" s="531" t="e">
        <f t="shared" si="283"/>
        <v>#DIV/0!</v>
      </c>
      <c r="BBV133" s="531" t="e">
        <f t="shared" si="283"/>
        <v>#DIV/0!</v>
      </c>
      <c r="BBW133" s="531" t="e">
        <f t="shared" si="283"/>
        <v>#DIV/0!</v>
      </c>
      <c r="BBX133" s="531" t="e">
        <f t="shared" si="283"/>
        <v>#DIV/0!</v>
      </c>
      <c r="BBY133" s="531" t="e">
        <f t="shared" si="283"/>
        <v>#DIV/0!</v>
      </c>
      <c r="BBZ133" s="531" t="e">
        <f t="shared" si="283"/>
        <v>#DIV/0!</v>
      </c>
      <c r="BCA133" s="531" t="e">
        <f t="shared" si="283"/>
        <v>#DIV/0!</v>
      </c>
      <c r="BCB133" s="531" t="e">
        <f t="shared" si="283"/>
        <v>#DIV/0!</v>
      </c>
      <c r="BCC133" s="531" t="e">
        <f t="shared" si="283"/>
        <v>#DIV/0!</v>
      </c>
      <c r="BCD133" s="531" t="e">
        <f t="shared" si="283"/>
        <v>#DIV/0!</v>
      </c>
      <c r="BCE133" s="531" t="e">
        <f t="shared" si="283"/>
        <v>#DIV/0!</v>
      </c>
      <c r="BCF133" s="531" t="e">
        <f t="shared" si="283"/>
        <v>#DIV/0!</v>
      </c>
      <c r="BCG133" s="531" t="e">
        <f t="shared" si="283"/>
        <v>#DIV/0!</v>
      </c>
      <c r="BCH133" s="531" t="e">
        <f t="shared" si="283"/>
        <v>#DIV/0!</v>
      </c>
      <c r="BCI133" s="531" t="e">
        <f t="shared" si="283"/>
        <v>#DIV/0!</v>
      </c>
      <c r="BCJ133" s="531" t="e">
        <f t="shared" si="283"/>
        <v>#DIV/0!</v>
      </c>
      <c r="BCK133" s="531" t="e">
        <f t="shared" si="283"/>
        <v>#DIV/0!</v>
      </c>
      <c r="BCL133" s="531" t="e">
        <f t="shared" si="283"/>
        <v>#DIV/0!</v>
      </c>
      <c r="BCM133" s="531" t="e">
        <f t="shared" si="283"/>
        <v>#DIV/0!</v>
      </c>
      <c r="BCN133" s="531" t="e">
        <f t="shared" si="283"/>
        <v>#DIV/0!</v>
      </c>
      <c r="BCO133" s="531" t="e">
        <f t="shared" si="283"/>
        <v>#DIV/0!</v>
      </c>
      <c r="BCP133" s="531" t="e">
        <f t="shared" si="283"/>
        <v>#DIV/0!</v>
      </c>
      <c r="BCQ133" s="531" t="e">
        <f t="shared" si="283"/>
        <v>#DIV/0!</v>
      </c>
      <c r="BCR133" s="531" t="e">
        <f t="shared" si="283"/>
        <v>#DIV/0!</v>
      </c>
      <c r="BCS133" s="531" t="e">
        <f t="shared" si="283"/>
        <v>#DIV/0!</v>
      </c>
      <c r="BCT133" s="531" t="e">
        <f t="shared" si="283"/>
        <v>#DIV/0!</v>
      </c>
      <c r="BCU133" s="531" t="e">
        <f t="shared" si="283"/>
        <v>#DIV/0!</v>
      </c>
      <c r="BCV133" s="531" t="e">
        <f t="shared" si="283"/>
        <v>#DIV/0!</v>
      </c>
      <c r="BCW133" s="531" t="e">
        <f t="shared" si="283"/>
        <v>#DIV/0!</v>
      </c>
      <c r="BCX133" s="531" t="e">
        <f t="shared" si="283"/>
        <v>#DIV/0!</v>
      </c>
      <c r="BCY133" s="531" t="e">
        <f t="shared" si="283"/>
        <v>#DIV/0!</v>
      </c>
      <c r="BCZ133" s="531" t="e">
        <f t="shared" si="283"/>
        <v>#DIV/0!</v>
      </c>
      <c r="BDA133" s="531" t="e">
        <f t="shared" si="283"/>
        <v>#DIV/0!</v>
      </c>
      <c r="BDB133" s="531" t="e">
        <f t="shared" si="283"/>
        <v>#DIV/0!</v>
      </c>
      <c r="BDC133" s="531" t="e">
        <f t="shared" si="283"/>
        <v>#DIV/0!</v>
      </c>
      <c r="BDD133" s="531" t="e">
        <f t="shared" si="283"/>
        <v>#DIV/0!</v>
      </c>
      <c r="BDE133" s="531" t="e">
        <f t="shared" si="283"/>
        <v>#DIV/0!</v>
      </c>
      <c r="BDF133" s="531" t="e">
        <f t="shared" si="283"/>
        <v>#DIV/0!</v>
      </c>
      <c r="BDG133" s="531" t="e">
        <f t="shared" si="283"/>
        <v>#DIV/0!</v>
      </c>
      <c r="BDH133" s="531" t="e">
        <f t="shared" si="283"/>
        <v>#DIV/0!</v>
      </c>
      <c r="BDI133" s="531" t="e">
        <f t="shared" si="283"/>
        <v>#DIV/0!</v>
      </c>
      <c r="BDJ133" s="531" t="e">
        <f t="shared" si="283"/>
        <v>#DIV/0!</v>
      </c>
      <c r="BDK133" s="531" t="e">
        <f t="shared" si="283"/>
        <v>#DIV/0!</v>
      </c>
      <c r="BDL133" s="531" t="e">
        <f t="shared" si="283"/>
        <v>#DIV/0!</v>
      </c>
      <c r="BDM133" s="531" t="e">
        <f t="shared" si="283"/>
        <v>#DIV/0!</v>
      </c>
      <c r="BDN133" s="531" t="e">
        <f t="shared" si="283"/>
        <v>#DIV/0!</v>
      </c>
      <c r="BDO133" s="531" t="e">
        <f t="shared" si="283"/>
        <v>#DIV/0!</v>
      </c>
      <c r="BDP133" s="531" t="e">
        <f t="shared" si="283"/>
        <v>#DIV/0!</v>
      </c>
      <c r="BDQ133" s="531" t="e">
        <f t="shared" si="283"/>
        <v>#DIV/0!</v>
      </c>
      <c r="BDR133" s="531" t="e">
        <f t="shared" si="283"/>
        <v>#DIV/0!</v>
      </c>
      <c r="BDS133" s="531" t="e">
        <f t="shared" si="283"/>
        <v>#DIV/0!</v>
      </c>
      <c r="BDT133" s="531" t="e">
        <f t="shared" si="283"/>
        <v>#DIV/0!</v>
      </c>
      <c r="BDU133" s="531" t="e">
        <f t="shared" si="283"/>
        <v>#DIV/0!</v>
      </c>
      <c r="BDV133" s="531" t="e">
        <f t="shared" si="283"/>
        <v>#DIV/0!</v>
      </c>
      <c r="BDW133" s="531" t="e">
        <f t="shared" ref="BDW133:BGH133" si="284">BDW116/(BDW52*10^5)</f>
        <v>#DIV/0!</v>
      </c>
      <c r="BDX133" s="531" t="e">
        <f t="shared" si="284"/>
        <v>#DIV/0!</v>
      </c>
      <c r="BDY133" s="531" t="e">
        <f t="shared" si="284"/>
        <v>#DIV/0!</v>
      </c>
      <c r="BDZ133" s="531" t="e">
        <f t="shared" si="284"/>
        <v>#DIV/0!</v>
      </c>
      <c r="BEA133" s="531" t="e">
        <f t="shared" si="284"/>
        <v>#DIV/0!</v>
      </c>
      <c r="BEB133" s="531" t="e">
        <f t="shared" si="284"/>
        <v>#DIV/0!</v>
      </c>
      <c r="BEC133" s="531" t="e">
        <f t="shared" si="284"/>
        <v>#DIV/0!</v>
      </c>
      <c r="BED133" s="531" t="e">
        <f t="shared" si="284"/>
        <v>#DIV/0!</v>
      </c>
      <c r="BEE133" s="531" t="e">
        <f t="shared" si="284"/>
        <v>#DIV/0!</v>
      </c>
      <c r="BEF133" s="531" t="e">
        <f t="shared" si="284"/>
        <v>#DIV/0!</v>
      </c>
      <c r="BEG133" s="531" t="e">
        <f t="shared" si="284"/>
        <v>#DIV/0!</v>
      </c>
      <c r="BEH133" s="531" t="e">
        <f t="shared" si="284"/>
        <v>#DIV/0!</v>
      </c>
      <c r="BEI133" s="531" t="e">
        <f t="shared" si="284"/>
        <v>#DIV/0!</v>
      </c>
      <c r="BEJ133" s="531" t="e">
        <f t="shared" si="284"/>
        <v>#DIV/0!</v>
      </c>
      <c r="BEK133" s="531" t="e">
        <f t="shared" si="284"/>
        <v>#DIV/0!</v>
      </c>
      <c r="BEL133" s="531" t="e">
        <f t="shared" si="284"/>
        <v>#DIV/0!</v>
      </c>
      <c r="BEM133" s="531" t="e">
        <f t="shared" si="284"/>
        <v>#DIV/0!</v>
      </c>
      <c r="BEN133" s="531" t="e">
        <f t="shared" si="284"/>
        <v>#DIV/0!</v>
      </c>
      <c r="BEO133" s="531" t="e">
        <f t="shared" si="284"/>
        <v>#DIV/0!</v>
      </c>
      <c r="BEP133" s="531" t="e">
        <f t="shared" si="284"/>
        <v>#DIV/0!</v>
      </c>
      <c r="BEQ133" s="531" t="e">
        <f t="shared" si="284"/>
        <v>#DIV/0!</v>
      </c>
      <c r="BER133" s="531" t="e">
        <f t="shared" si="284"/>
        <v>#DIV/0!</v>
      </c>
      <c r="BES133" s="531" t="e">
        <f t="shared" si="284"/>
        <v>#DIV/0!</v>
      </c>
      <c r="BET133" s="531" t="e">
        <f t="shared" si="284"/>
        <v>#DIV/0!</v>
      </c>
      <c r="BEU133" s="531" t="e">
        <f t="shared" si="284"/>
        <v>#DIV/0!</v>
      </c>
      <c r="BEV133" s="531" t="e">
        <f t="shared" si="284"/>
        <v>#DIV/0!</v>
      </c>
      <c r="BEW133" s="531" t="e">
        <f t="shared" si="284"/>
        <v>#DIV/0!</v>
      </c>
      <c r="BEX133" s="531" t="e">
        <f t="shared" si="284"/>
        <v>#DIV/0!</v>
      </c>
      <c r="BEY133" s="531" t="e">
        <f t="shared" si="284"/>
        <v>#DIV/0!</v>
      </c>
      <c r="BEZ133" s="531" t="e">
        <f t="shared" si="284"/>
        <v>#DIV/0!</v>
      </c>
      <c r="BFA133" s="531" t="e">
        <f t="shared" si="284"/>
        <v>#DIV/0!</v>
      </c>
      <c r="BFB133" s="531" t="e">
        <f t="shared" si="284"/>
        <v>#DIV/0!</v>
      </c>
      <c r="BFC133" s="531" t="e">
        <f t="shared" si="284"/>
        <v>#DIV/0!</v>
      </c>
      <c r="BFD133" s="531" t="e">
        <f t="shared" si="284"/>
        <v>#DIV/0!</v>
      </c>
      <c r="BFE133" s="531" t="e">
        <f t="shared" si="284"/>
        <v>#DIV/0!</v>
      </c>
      <c r="BFF133" s="531" t="e">
        <f t="shared" si="284"/>
        <v>#DIV/0!</v>
      </c>
      <c r="BFG133" s="531" t="e">
        <f t="shared" si="284"/>
        <v>#DIV/0!</v>
      </c>
      <c r="BFH133" s="531" t="e">
        <f t="shared" si="284"/>
        <v>#DIV/0!</v>
      </c>
      <c r="BFI133" s="531" t="e">
        <f t="shared" si="284"/>
        <v>#DIV/0!</v>
      </c>
      <c r="BFJ133" s="531" t="e">
        <f t="shared" si="284"/>
        <v>#DIV/0!</v>
      </c>
      <c r="BFK133" s="531" t="e">
        <f t="shared" si="284"/>
        <v>#DIV/0!</v>
      </c>
      <c r="BFL133" s="531" t="e">
        <f t="shared" si="284"/>
        <v>#DIV/0!</v>
      </c>
      <c r="BFM133" s="531" t="e">
        <f t="shared" si="284"/>
        <v>#DIV/0!</v>
      </c>
      <c r="BFN133" s="531" t="e">
        <f t="shared" si="284"/>
        <v>#DIV/0!</v>
      </c>
      <c r="BFO133" s="531" t="e">
        <f t="shared" si="284"/>
        <v>#DIV/0!</v>
      </c>
      <c r="BFP133" s="531" t="e">
        <f t="shared" si="284"/>
        <v>#DIV/0!</v>
      </c>
      <c r="BFQ133" s="531" t="e">
        <f t="shared" si="284"/>
        <v>#DIV/0!</v>
      </c>
      <c r="BFR133" s="531" t="e">
        <f t="shared" si="284"/>
        <v>#DIV/0!</v>
      </c>
      <c r="BFS133" s="531" t="e">
        <f t="shared" si="284"/>
        <v>#DIV/0!</v>
      </c>
      <c r="BFT133" s="531" t="e">
        <f t="shared" si="284"/>
        <v>#DIV/0!</v>
      </c>
      <c r="BFU133" s="531" t="e">
        <f t="shared" si="284"/>
        <v>#DIV/0!</v>
      </c>
      <c r="BFV133" s="531" t="e">
        <f t="shared" si="284"/>
        <v>#DIV/0!</v>
      </c>
      <c r="BFW133" s="531" t="e">
        <f t="shared" si="284"/>
        <v>#DIV/0!</v>
      </c>
      <c r="BFX133" s="531" t="e">
        <f t="shared" si="284"/>
        <v>#DIV/0!</v>
      </c>
      <c r="BFY133" s="531" t="e">
        <f t="shared" si="284"/>
        <v>#DIV/0!</v>
      </c>
      <c r="BFZ133" s="531" t="e">
        <f t="shared" si="284"/>
        <v>#DIV/0!</v>
      </c>
      <c r="BGA133" s="531" t="e">
        <f t="shared" si="284"/>
        <v>#DIV/0!</v>
      </c>
      <c r="BGB133" s="531" t="e">
        <f t="shared" si="284"/>
        <v>#DIV/0!</v>
      </c>
      <c r="BGC133" s="531" t="e">
        <f t="shared" si="284"/>
        <v>#DIV/0!</v>
      </c>
      <c r="BGD133" s="531" t="e">
        <f t="shared" si="284"/>
        <v>#DIV/0!</v>
      </c>
      <c r="BGE133" s="531" t="e">
        <f t="shared" si="284"/>
        <v>#DIV/0!</v>
      </c>
      <c r="BGF133" s="531" t="e">
        <f t="shared" si="284"/>
        <v>#DIV/0!</v>
      </c>
      <c r="BGG133" s="531" t="e">
        <f t="shared" si="284"/>
        <v>#DIV/0!</v>
      </c>
      <c r="BGH133" s="531" t="e">
        <f t="shared" si="284"/>
        <v>#DIV/0!</v>
      </c>
      <c r="BGI133" s="531" t="e">
        <f t="shared" ref="BGI133:BIT133" si="285">BGI116/(BGI52*10^5)</f>
        <v>#DIV/0!</v>
      </c>
      <c r="BGJ133" s="531" t="e">
        <f t="shared" si="285"/>
        <v>#DIV/0!</v>
      </c>
      <c r="BGK133" s="531" t="e">
        <f t="shared" si="285"/>
        <v>#DIV/0!</v>
      </c>
      <c r="BGL133" s="531" t="e">
        <f t="shared" si="285"/>
        <v>#DIV/0!</v>
      </c>
      <c r="BGM133" s="531" t="e">
        <f t="shared" si="285"/>
        <v>#DIV/0!</v>
      </c>
      <c r="BGN133" s="531" t="e">
        <f t="shared" si="285"/>
        <v>#DIV/0!</v>
      </c>
      <c r="BGO133" s="531" t="e">
        <f t="shared" si="285"/>
        <v>#DIV/0!</v>
      </c>
      <c r="BGP133" s="531" t="e">
        <f t="shared" si="285"/>
        <v>#DIV/0!</v>
      </c>
      <c r="BGQ133" s="531" t="e">
        <f t="shared" si="285"/>
        <v>#DIV/0!</v>
      </c>
      <c r="BGR133" s="531" t="e">
        <f t="shared" si="285"/>
        <v>#DIV/0!</v>
      </c>
      <c r="BGS133" s="531" t="e">
        <f t="shared" si="285"/>
        <v>#DIV/0!</v>
      </c>
      <c r="BGT133" s="531" t="e">
        <f t="shared" si="285"/>
        <v>#DIV/0!</v>
      </c>
      <c r="BGU133" s="531" t="e">
        <f t="shared" si="285"/>
        <v>#DIV/0!</v>
      </c>
      <c r="BGV133" s="531" t="e">
        <f t="shared" si="285"/>
        <v>#DIV/0!</v>
      </c>
      <c r="BGW133" s="531" t="e">
        <f t="shared" si="285"/>
        <v>#DIV/0!</v>
      </c>
      <c r="BGX133" s="531" t="e">
        <f t="shared" si="285"/>
        <v>#DIV/0!</v>
      </c>
      <c r="BGY133" s="531" t="e">
        <f t="shared" si="285"/>
        <v>#DIV/0!</v>
      </c>
      <c r="BGZ133" s="531" t="e">
        <f t="shared" si="285"/>
        <v>#DIV/0!</v>
      </c>
      <c r="BHA133" s="531" t="e">
        <f t="shared" si="285"/>
        <v>#DIV/0!</v>
      </c>
      <c r="BHB133" s="531" t="e">
        <f t="shared" si="285"/>
        <v>#DIV/0!</v>
      </c>
      <c r="BHC133" s="531" t="e">
        <f t="shared" si="285"/>
        <v>#DIV/0!</v>
      </c>
      <c r="BHD133" s="531" t="e">
        <f t="shared" si="285"/>
        <v>#DIV/0!</v>
      </c>
      <c r="BHE133" s="531" t="e">
        <f t="shared" si="285"/>
        <v>#DIV/0!</v>
      </c>
      <c r="BHF133" s="531" t="e">
        <f t="shared" si="285"/>
        <v>#DIV/0!</v>
      </c>
      <c r="BHG133" s="531" t="e">
        <f t="shared" si="285"/>
        <v>#DIV/0!</v>
      </c>
      <c r="BHH133" s="531" t="e">
        <f t="shared" si="285"/>
        <v>#DIV/0!</v>
      </c>
      <c r="BHI133" s="531" t="e">
        <f t="shared" si="285"/>
        <v>#DIV/0!</v>
      </c>
      <c r="BHJ133" s="531" t="e">
        <f t="shared" si="285"/>
        <v>#DIV/0!</v>
      </c>
      <c r="BHK133" s="531" t="e">
        <f t="shared" si="285"/>
        <v>#DIV/0!</v>
      </c>
      <c r="BHL133" s="531" t="e">
        <f t="shared" si="285"/>
        <v>#DIV/0!</v>
      </c>
      <c r="BHM133" s="531" t="e">
        <f t="shared" si="285"/>
        <v>#DIV/0!</v>
      </c>
      <c r="BHN133" s="531" t="e">
        <f t="shared" si="285"/>
        <v>#DIV/0!</v>
      </c>
      <c r="BHO133" s="531" t="e">
        <f t="shared" si="285"/>
        <v>#DIV/0!</v>
      </c>
      <c r="BHP133" s="531" t="e">
        <f t="shared" si="285"/>
        <v>#DIV/0!</v>
      </c>
      <c r="BHQ133" s="531" t="e">
        <f t="shared" si="285"/>
        <v>#DIV/0!</v>
      </c>
      <c r="BHR133" s="531" t="e">
        <f t="shared" si="285"/>
        <v>#DIV/0!</v>
      </c>
      <c r="BHS133" s="531" t="e">
        <f t="shared" si="285"/>
        <v>#DIV/0!</v>
      </c>
      <c r="BHT133" s="531" t="e">
        <f t="shared" si="285"/>
        <v>#DIV/0!</v>
      </c>
      <c r="BHU133" s="531" t="e">
        <f t="shared" si="285"/>
        <v>#DIV/0!</v>
      </c>
      <c r="BHV133" s="531" t="e">
        <f t="shared" si="285"/>
        <v>#DIV/0!</v>
      </c>
      <c r="BHW133" s="531" t="e">
        <f t="shared" si="285"/>
        <v>#DIV/0!</v>
      </c>
      <c r="BHX133" s="531" t="e">
        <f t="shared" si="285"/>
        <v>#DIV/0!</v>
      </c>
      <c r="BHY133" s="531" t="e">
        <f t="shared" si="285"/>
        <v>#DIV/0!</v>
      </c>
      <c r="BHZ133" s="531" t="e">
        <f t="shared" si="285"/>
        <v>#DIV/0!</v>
      </c>
      <c r="BIA133" s="531" t="e">
        <f t="shared" si="285"/>
        <v>#DIV/0!</v>
      </c>
      <c r="BIB133" s="531" t="e">
        <f t="shared" si="285"/>
        <v>#DIV/0!</v>
      </c>
      <c r="BIC133" s="531" t="e">
        <f t="shared" si="285"/>
        <v>#DIV/0!</v>
      </c>
      <c r="BID133" s="531" t="e">
        <f t="shared" si="285"/>
        <v>#DIV/0!</v>
      </c>
      <c r="BIE133" s="531" t="e">
        <f t="shared" si="285"/>
        <v>#DIV/0!</v>
      </c>
      <c r="BIF133" s="531" t="e">
        <f t="shared" si="285"/>
        <v>#DIV/0!</v>
      </c>
      <c r="BIG133" s="531" t="e">
        <f t="shared" si="285"/>
        <v>#DIV/0!</v>
      </c>
      <c r="BIH133" s="531" t="e">
        <f t="shared" si="285"/>
        <v>#DIV/0!</v>
      </c>
      <c r="BII133" s="531" t="e">
        <f t="shared" si="285"/>
        <v>#DIV/0!</v>
      </c>
      <c r="BIJ133" s="531" t="e">
        <f t="shared" si="285"/>
        <v>#DIV/0!</v>
      </c>
      <c r="BIK133" s="531" t="e">
        <f t="shared" si="285"/>
        <v>#DIV/0!</v>
      </c>
      <c r="BIL133" s="531" t="e">
        <f t="shared" si="285"/>
        <v>#DIV/0!</v>
      </c>
      <c r="BIM133" s="531" t="e">
        <f t="shared" si="285"/>
        <v>#DIV/0!</v>
      </c>
      <c r="BIN133" s="531" t="e">
        <f t="shared" si="285"/>
        <v>#DIV/0!</v>
      </c>
      <c r="BIO133" s="531" t="e">
        <f t="shared" si="285"/>
        <v>#DIV/0!</v>
      </c>
      <c r="BIP133" s="531" t="e">
        <f t="shared" si="285"/>
        <v>#DIV/0!</v>
      </c>
      <c r="BIQ133" s="531" t="e">
        <f t="shared" si="285"/>
        <v>#DIV/0!</v>
      </c>
      <c r="BIR133" s="531" t="e">
        <f t="shared" si="285"/>
        <v>#DIV/0!</v>
      </c>
      <c r="BIS133" s="531" t="e">
        <f t="shared" si="285"/>
        <v>#DIV/0!</v>
      </c>
      <c r="BIT133" s="531" t="e">
        <f t="shared" si="285"/>
        <v>#DIV/0!</v>
      </c>
      <c r="BIU133" s="531" t="e">
        <f t="shared" ref="BIU133:BLF133" si="286">BIU116/(BIU52*10^5)</f>
        <v>#DIV/0!</v>
      </c>
      <c r="BIV133" s="531" t="e">
        <f t="shared" si="286"/>
        <v>#DIV/0!</v>
      </c>
      <c r="BIW133" s="531" t="e">
        <f t="shared" si="286"/>
        <v>#DIV/0!</v>
      </c>
      <c r="BIX133" s="531" t="e">
        <f t="shared" si="286"/>
        <v>#DIV/0!</v>
      </c>
      <c r="BIY133" s="531" t="e">
        <f t="shared" si="286"/>
        <v>#DIV/0!</v>
      </c>
      <c r="BIZ133" s="531" t="e">
        <f t="shared" si="286"/>
        <v>#DIV/0!</v>
      </c>
      <c r="BJA133" s="531" t="e">
        <f t="shared" si="286"/>
        <v>#DIV/0!</v>
      </c>
      <c r="BJB133" s="531" t="e">
        <f t="shared" si="286"/>
        <v>#DIV/0!</v>
      </c>
      <c r="BJC133" s="531" t="e">
        <f t="shared" si="286"/>
        <v>#DIV/0!</v>
      </c>
      <c r="BJD133" s="531" t="e">
        <f t="shared" si="286"/>
        <v>#DIV/0!</v>
      </c>
      <c r="BJE133" s="531" t="e">
        <f t="shared" si="286"/>
        <v>#DIV/0!</v>
      </c>
      <c r="BJF133" s="531" t="e">
        <f t="shared" si="286"/>
        <v>#DIV/0!</v>
      </c>
      <c r="BJG133" s="531" t="e">
        <f t="shared" si="286"/>
        <v>#DIV/0!</v>
      </c>
      <c r="BJH133" s="531" t="e">
        <f t="shared" si="286"/>
        <v>#DIV/0!</v>
      </c>
      <c r="BJI133" s="531" t="e">
        <f t="shared" si="286"/>
        <v>#DIV/0!</v>
      </c>
      <c r="BJJ133" s="531" t="e">
        <f t="shared" si="286"/>
        <v>#DIV/0!</v>
      </c>
      <c r="BJK133" s="531" t="e">
        <f t="shared" si="286"/>
        <v>#DIV/0!</v>
      </c>
      <c r="BJL133" s="531" t="e">
        <f t="shared" si="286"/>
        <v>#DIV/0!</v>
      </c>
      <c r="BJM133" s="531" t="e">
        <f t="shared" si="286"/>
        <v>#DIV/0!</v>
      </c>
      <c r="BJN133" s="531" t="e">
        <f t="shared" si="286"/>
        <v>#DIV/0!</v>
      </c>
      <c r="BJO133" s="531" t="e">
        <f t="shared" si="286"/>
        <v>#DIV/0!</v>
      </c>
      <c r="BJP133" s="531" t="e">
        <f t="shared" si="286"/>
        <v>#DIV/0!</v>
      </c>
      <c r="BJQ133" s="531" t="e">
        <f t="shared" si="286"/>
        <v>#DIV/0!</v>
      </c>
      <c r="BJR133" s="531" t="e">
        <f t="shared" si="286"/>
        <v>#DIV/0!</v>
      </c>
      <c r="BJS133" s="531" t="e">
        <f t="shared" si="286"/>
        <v>#DIV/0!</v>
      </c>
      <c r="BJT133" s="531" t="e">
        <f t="shared" si="286"/>
        <v>#DIV/0!</v>
      </c>
      <c r="BJU133" s="531" t="e">
        <f t="shared" si="286"/>
        <v>#DIV/0!</v>
      </c>
      <c r="BJV133" s="531" t="e">
        <f t="shared" si="286"/>
        <v>#DIV/0!</v>
      </c>
      <c r="BJW133" s="531" t="e">
        <f t="shared" si="286"/>
        <v>#DIV/0!</v>
      </c>
      <c r="BJX133" s="531" t="e">
        <f t="shared" si="286"/>
        <v>#DIV/0!</v>
      </c>
      <c r="BJY133" s="531" t="e">
        <f t="shared" si="286"/>
        <v>#DIV/0!</v>
      </c>
      <c r="BJZ133" s="531" t="e">
        <f t="shared" si="286"/>
        <v>#DIV/0!</v>
      </c>
      <c r="BKA133" s="531" t="e">
        <f t="shared" si="286"/>
        <v>#DIV/0!</v>
      </c>
      <c r="BKB133" s="531" t="e">
        <f t="shared" si="286"/>
        <v>#DIV/0!</v>
      </c>
      <c r="BKC133" s="531" t="e">
        <f t="shared" si="286"/>
        <v>#DIV/0!</v>
      </c>
      <c r="BKD133" s="531" t="e">
        <f t="shared" si="286"/>
        <v>#DIV/0!</v>
      </c>
      <c r="BKE133" s="531" t="e">
        <f t="shared" si="286"/>
        <v>#DIV/0!</v>
      </c>
      <c r="BKF133" s="531" t="e">
        <f t="shared" si="286"/>
        <v>#DIV/0!</v>
      </c>
      <c r="BKG133" s="531" t="e">
        <f t="shared" si="286"/>
        <v>#DIV/0!</v>
      </c>
      <c r="BKH133" s="531" t="e">
        <f t="shared" si="286"/>
        <v>#DIV/0!</v>
      </c>
      <c r="BKI133" s="531" t="e">
        <f t="shared" si="286"/>
        <v>#DIV/0!</v>
      </c>
      <c r="BKJ133" s="531" t="e">
        <f t="shared" si="286"/>
        <v>#DIV/0!</v>
      </c>
      <c r="BKK133" s="531" t="e">
        <f t="shared" si="286"/>
        <v>#DIV/0!</v>
      </c>
      <c r="BKL133" s="531" t="e">
        <f t="shared" si="286"/>
        <v>#DIV/0!</v>
      </c>
      <c r="BKM133" s="531" t="e">
        <f t="shared" si="286"/>
        <v>#DIV/0!</v>
      </c>
      <c r="BKN133" s="531" t="e">
        <f t="shared" si="286"/>
        <v>#DIV/0!</v>
      </c>
      <c r="BKO133" s="531" t="e">
        <f t="shared" si="286"/>
        <v>#DIV/0!</v>
      </c>
      <c r="BKP133" s="531" t="e">
        <f t="shared" si="286"/>
        <v>#DIV/0!</v>
      </c>
      <c r="BKQ133" s="531" t="e">
        <f t="shared" si="286"/>
        <v>#DIV/0!</v>
      </c>
      <c r="BKR133" s="531" t="e">
        <f t="shared" si="286"/>
        <v>#DIV/0!</v>
      </c>
      <c r="BKS133" s="531" t="e">
        <f t="shared" si="286"/>
        <v>#DIV/0!</v>
      </c>
      <c r="BKT133" s="531" t="e">
        <f t="shared" si="286"/>
        <v>#DIV/0!</v>
      </c>
      <c r="BKU133" s="531" t="e">
        <f t="shared" si="286"/>
        <v>#DIV/0!</v>
      </c>
      <c r="BKV133" s="531" t="e">
        <f t="shared" si="286"/>
        <v>#DIV/0!</v>
      </c>
      <c r="BKW133" s="531" t="e">
        <f t="shared" si="286"/>
        <v>#DIV/0!</v>
      </c>
      <c r="BKX133" s="531" t="e">
        <f t="shared" si="286"/>
        <v>#DIV/0!</v>
      </c>
      <c r="BKY133" s="531" t="e">
        <f t="shared" si="286"/>
        <v>#DIV/0!</v>
      </c>
      <c r="BKZ133" s="531" t="e">
        <f t="shared" si="286"/>
        <v>#DIV/0!</v>
      </c>
      <c r="BLA133" s="531" t="e">
        <f t="shared" si="286"/>
        <v>#DIV/0!</v>
      </c>
      <c r="BLB133" s="531" t="e">
        <f t="shared" si="286"/>
        <v>#DIV/0!</v>
      </c>
      <c r="BLC133" s="531" t="e">
        <f t="shared" si="286"/>
        <v>#DIV/0!</v>
      </c>
      <c r="BLD133" s="531" t="e">
        <f t="shared" si="286"/>
        <v>#DIV/0!</v>
      </c>
      <c r="BLE133" s="531" t="e">
        <f t="shared" si="286"/>
        <v>#DIV/0!</v>
      </c>
      <c r="BLF133" s="531" t="e">
        <f t="shared" si="286"/>
        <v>#DIV/0!</v>
      </c>
      <c r="BLG133" s="531" t="e">
        <f t="shared" ref="BLG133:BNR133" si="287">BLG116/(BLG52*10^5)</f>
        <v>#DIV/0!</v>
      </c>
      <c r="BLH133" s="531" t="e">
        <f t="shared" si="287"/>
        <v>#DIV/0!</v>
      </c>
      <c r="BLI133" s="531" t="e">
        <f t="shared" si="287"/>
        <v>#DIV/0!</v>
      </c>
      <c r="BLJ133" s="531" t="e">
        <f t="shared" si="287"/>
        <v>#DIV/0!</v>
      </c>
      <c r="BLK133" s="531" t="e">
        <f t="shared" si="287"/>
        <v>#DIV/0!</v>
      </c>
      <c r="BLL133" s="531" t="e">
        <f t="shared" si="287"/>
        <v>#DIV/0!</v>
      </c>
      <c r="BLM133" s="531" t="e">
        <f t="shared" si="287"/>
        <v>#DIV/0!</v>
      </c>
      <c r="BLN133" s="531" t="e">
        <f t="shared" si="287"/>
        <v>#DIV/0!</v>
      </c>
      <c r="BLO133" s="531" t="e">
        <f t="shared" si="287"/>
        <v>#DIV/0!</v>
      </c>
      <c r="BLP133" s="531" t="e">
        <f t="shared" si="287"/>
        <v>#DIV/0!</v>
      </c>
      <c r="BLQ133" s="531" t="e">
        <f t="shared" si="287"/>
        <v>#DIV/0!</v>
      </c>
      <c r="BLR133" s="531" t="e">
        <f t="shared" si="287"/>
        <v>#DIV/0!</v>
      </c>
      <c r="BLS133" s="531" t="e">
        <f t="shared" si="287"/>
        <v>#DIV/0!</v>
      </c>
      <c r="BLT133" s="531" t="e">
        <f t="shared" si="287"/>
        <v>#DIV/0!</v>
      </c>
      <c r="BLU133" s="531" t="e">
        <f t="shared" si="287"/>
        <v>#DIV/0!</v>
      </c>
      <c r="BLV133" s="531" t="e">
        <f t="shared" si="287"/>
        <v>#DIV/0!</v>
      </c>
      <c r="BLW133" s="531" t="e">
        <f t="shared" si="287"/>
        <v>#DIV/0!</v>
      </c>
      <c r="BLX133" s="531" t="e">
        <f t="shared" si="287"/>
        <v>#DIV/0!</v>
      </c>
      <c r="BLY133" s="531" t="e">
        <f t="shared" si="287"/>
        <v>#DIV/0!</v>
      </c>
      <c r="BLZ133" s="531" t="e">
        <f t="shared" si="287"/>
        <v>#DIV/0!</v>
      </c>
      <c r="BMA133" s="531" t="e">
        <f t="shared" si="287"/>
        <v>#DIV/0!</v>
      </c>
      <c r="BMB133" s="531" t="e">
        <f t="shared" si="287"/>
        <v>#DIV/0!</v>
      </c>
      <c r="BMC133" s="531" t="e">
        <f t="shared" si="287"/>
        <v>#DIV/0!</v>
      </c>
      <c r="BMD133" s="531" t="e">
        <f t="shared" si="287"/>
        <v>#DIV/0!</v>
      </c>
      <c r="BME133" s="531" t="e">
        <f t="shared" si="287"/>
        <v>#DIV/0!</v>
      </c>
      <c r="BMF133" s="531" t="e">
        <f t="shared" si="287"/>
        <v>#DIV/0!</v>
      </c>
      <c r="BMG133" s="531" t="e">
        <f t="shared" si="287"/>
        <v>#DIV/0!</v>
      </c>
      <c r="BMH133" s="531" t="e">
        <f t="shared" si="287"/>
        <v>#DIV/0!</v>
      </c>
      <c r="BMI133" s="531" t="e">
        <f t="shared" si="287"/>
        <v>#DIV/0!</v>
      </c>
      <c r="BMJ133" s="531" t="e">
        <f t="shared" si="287"/>
        <v>#DIV/0!</v>
      </c>
      <c r="BMK133" s="531" t="e">
        <f t="shared" si="287"/>
        <v>#DIV/0!</v>
      </c>
      <c r="BML133" s="531" t="e">
        <f t="shared" si="287"/>
        <v>#DIV/0!</v>
      </c>
      <c r="BMM133" s="531" t="e">
        <f t="shared" si="287"/>
        <v>#DIV/0!</v>
      </c>
      <c r="BMN133" s="531" t="e">
        <f t="shared" si="287"/>
        <v>#DIV/0!</v>
      </c>
      <c r="BMO133" s="531" t="e">
        <f t="shared" si="287"/>
        <v>#DIV/0!</v>
      </c>
      <c r="BMP133" s="531" t="e">
        <f t="shared" si="287"/>
        <v>#DIV/0!</v>
      </c>
      <c r="BMQ133" s="531" t="e">
        <f t="shared" si="287"/>
        <v>#DIV/0!</v>
      </c>
      <c r="BMR133" s="531" t="e">
        <f t="shared" si="287"/>
        <v>#DIV/0!</v>
      </c>
      <c r="BMS133" s="531" t="e">
        <f t="shared" si="287"/>
        <v>#DIV/0!</v>
      </c>
      <c r="BMT133" s="531" t="e">
        <f t="shared" si="287"/>
        <v>#DIV/0!</v>
      </c>
      <c r="BMU133" s="531" t="e">
        <f t="shared" si="287"/>
        <v>#DIV/0!</v>
      </c>
      <c r="BMV133" s="531" t="e">
        <f t="shared" si="287"/>
        <v>#DIV/0!</v>
      </c>
      <c r="BMW133" s="531" t="e">
        <f t="shared" si="287"/>
        <v>#DIV/0!</v>
      </c>
      <c r="BMX133" s="531" t="e">
        <f t="shared" si="287"/>
        <v>#DIV/0!</v>
      </c>
      <c r="BMY133" s="531" t="e">
        <f t="shared" si="287"/>
        <v>#DIV/0!</v>
      </c>
      <c r="BMZ133" s="531" t="e">
        <f t="shared" si="287"/>
        <v>#DIV/0!</v>
      </c>
      <c r="BNA133" s="531" t="e">
        <f t="shared" si="287"/>
        <v>#DIV/0!</v>
      </c>
      <c r="BNB133" s="531" t="e">
        <f t="shared" si="287"/>
        <v>#DIV/0!</v>
      </c>
      <c r="BNC133" s="531" t="e">
        <f t="shared" si="287"/>
        <v>#DIV/0!</v>
      </c>
      <c r="BND133" s="531" t="e">
        <f t="shared" si="287"/>
        <v>#DIV/0!</v>
      </c>
      <c r="BNE133" s="531" t="e">
        <f t="shared" si="287"/>
        <v>#DIV/0!</v>
      </c>
      <c r="BNF133" s="531" t="e">
        <f t="shared" si="287"/>
        <v>#DIV/0!</v>
      </c>
      <c r="BNG133" s="531" t="e">
        <f t="shared" si="287"/>
        <v>#DIV/0!</v>
      </c>
      <c r="BNH133" s="531" t="e">
        <f t="shared" si="287"/>
        <v>#DIV/0!</v>
      </c>
      <c r="BNI133" s="531" t="e">
        <f t="shared" si="287"/>
        <v>#DIV/0!</v>
      </c>
      <c r="BNJ133" s="531" t="e">
        <f t="shared" si="287"/>
        <v>#DIV/0!</v>
      </c>
      <c r="BNK133" s="531" t="e">
        <f t="shared" si="287"/>
        <v>#DIV/0!</v>
      </c>
      <c r="BNL133" s="531" t="e">
        <f t="shared" si="287"/>
        <v>#DIV/0!</v>
      </c>
      <c r="BNM133" s="531" t="e">
        <f t="shared" si="287"/>
        <v>#DIV/0!</v>
      </c>
      <c r="BNN133" s="531" t="e">
        <f t="shared" si="287"/>
        <v>#DIV/0!</v>
      </c>
      <c r="BNO133" s="531" t="e">
        <f t="shared" si="287"/>
        <v>#DIV/0!</v>
      </c>
      <c r="BNP133" s="531" t="e">
        <f t="shared" si="287"/>
        <v>#DIV/0!</v>
      </c>
      <c r="BNQ133" s="531" t="e">
        <f t="shared" si="287"/>
        <v>#DIV/0!</v>
      </c>
      <c r="BNR133" s="531" t="e">
        <f t="shared" si="287"/>
        <v>#DIV/0!</v>
      </c>
      <c r="BNS133" s="531" t="e">
        <f t="shared" ref="BNS133:BQD133" si="288">BNS116/(BNS52*10^5)</f>
        <v>#DIV/0!</v>
      </c>
      <c r="BNT133" s="531" t="e">
        <f t="shared" si="288"/>
        <v>#DIV/0!</v>
      </c>
      <c r="BNU133" s="531" t="e">
        <f t="shared" si="288"/>
        <v>#DIV/0!</v>
      </c>
      <c r="BNV133" s="531" t="e">
        <f t="shared" si="288"/>
        <v>#DIV/0!</v>
      </c>
      <c r="BNW133" s="531" t="e">
        <f t="shared" si="288"/>
        <v>#DIV/0!</v>
      </c>
      <c r="BNX133" s="531" t="e">
        <f t="shared" si="288"/>
        <v>#DIV/0!</v>
      </c>
      <c r="BNY133" s="531" t="e">
        <f t="shared" si="288"/>
        <v>#DIV/0!</v>
      </c>
      <c r="BNZ133" s="531" t="e">
        <f t="shared" si="288"/>
        <v>#DIV/0!</v>
      </c>
      <c r="BOA133" s="531" t="e">
        <f t="shared" si="288"/>
        <v>#DIV/0!</v>
      </c>
      <c r="BOB133" s="531" t="e">
        <f t="shared" si="288"/>
        <v>#DIV/0!</v>
      </c>
      <c r="BOC133" s="531" t="e">
        <f t="shared" si="288"/>
        <v>#DIV/0!</v>
      </c>
      <c r="BOD133" s="531" t="e">
        <f t="shared" si="288"/>
        <v>#DIV/0!</v>
      </c>
      <c r="BOE133" s="531" t="e">
        <f t="shared" si="288"/>
        <v>#DIV/0!</v>
      </c>
      <c r="BOF133" s="531" t="e">
        <f t="shared" si="288"/>
        <v>#DIV/0!</v>
      </c>
      <c r="BOG133" s="531" t="e">
        <f t="shared" si="288"/>
        <v>#DIV/0!</v>
      </c>
      <c r="BOH133" s="531" t="e">
        <f t="shared" si="288"/>
        <v>#DIV/0!</v>
      </c>
      <c r="BOI133" s="531" t="e">
        <f t="shared" si="288"/>
        <v>#DIV/0!</v>
      </c>
      <c r="BOJ133" s="531" t="e">
        <f t="shared" si="288"/>
        <v>#DIV/0!</v>
      </c>
      <c r="BOK133" s="531" t="e">
        <f t="shared" si="288"/>
        <v>#DIV/0!</v>
      </c>
      <c r="BOL133" s="531" t="e">
        <f t="shared" si="288"/>
        <v>#DIV/0!</v>
      </c>
      <c r="BOM133" s="531" t="e">
        <f t="shared" si="288"/>
        <v>#DIV/0!</v>
      </c>
      <c r="BON133" s="531" t="e">
        <f t="shared" si="288"/>
        <v>#DIV/0!</v>
      </c>
      <c r="BOO133" s="531" t="e">
        <f t="shared" si="288"/>
        <v>#DIV/0!</v>
      </c>
      <c r="BOP133" s="531" t="e">
        <f t="shared" si="288"/>
        <v>#DIV/0!</v>
      </c>
      <c r="BOQ133" s="531" t="e">
        <f t="shared" si="288"/>
        <v>#DIV/0!</v>
      </c>
      <c r="BOR133" s="531" t="e">
        <f t="shared" si="288"/>
        <v>#DIV/0!</v>
      </c>
      <c r="BOS133" s="531" t="e">
        <f t="shared" si="288"/>
        <v>#DIV/0!</v>
      </c>
      <c r="BOT133" s="531" t="e">
        <f t="shared" si="288"/>
        <v>#DIV/0!</v>
      </c>
      <c r="BOU133" s="531" t="e">
        <f t="shared" si="288"/>
        <v>#DIV/0!</v>
      </c>
      <c r="BOV133" s="531" t="e">
        <f t="shared" si="288"/>
        <v>#DIV/0!</v>
      </c>
      <c r="BOW133" s="531" t="e">
        <f t="shared" si="288"/>
        <v>#DIV/0!</v>
      </c>
      <c r="BOX133" s="531" t="e">
        <f t="shared" si="288"/>
        <v>#DIV/0!</v>
      </c>
      <c r="BOY133" s="531" t="e">
        <f t="shared" si="288"/>
        <v>#DIV/0!</v>
      </c>
      <c r="BOZ133" s="531" t="e">
        <f t="shared" si="288"/>
        <v>#DIV/0!</v>
      </c>
      <c r="BPA133" s="531" t="e">
        <f t="shared" si="288"/>
        <v>#DIV/0!</v>
      </c>
      <c r="BPB133" s="531" t="e">
        <f t="shared" si="288"/>
        <v>#DIV/0!</v>
      </c>
      <c r="BPC133" s="531" t="e">
        <f t="shared" si="288"/>
        <v>#DIV/0!</v>
      </c>
      <c r="BPD133" s="531" t="e">
        <f t="shared" si="288"/>
        <v>#DIV/0!</v>
      </c>
      <c r="BPE133" s="531" t="e">
        <f t="shared" si="288"/>
        <v>#DIV/0!</v>
      </c>
      <c r="BPF133" s="531" t="e">
        <f t="shared" si="288"/>
        <v>#DIV/0!</v>
      </c>
      <c r="BPG133" s="531" t="e">
        <f t="shared" si="288"/>
        <v>#DIV/0!</v>
      </c>
      <c r="BPH133" s="531" t="e">
        <f t="shared" si="288"/>
        <v>#DIV/0!</v>
      </c>
      <c r="BPI133" s="531" t="e">
        <f t="shared" si="288"/>
        <v>#DIV/0!</v>
      </c>
      <c r="BPJ133" s="531" t="e">
        <f t="shared" si="288"/>
        <v>#DIV/0!</v>
      </c>
      <c r="BPK133" s="531" t="e">
        <f t="shared" si="288"/>
        <v>#DIV/0!</v>
      </c>
      <c r="BPL133" s="531" t="e">
        <f t="shared" si="288"/>
        <v>#DIV/0!</v>
      </c>
      <c r="BPM133" s="531" t="e">
        <f t="shared" si="288"/>
        <v>#DIV/0!</v>
      </c>
      <c r="BPN133" s="531" t="e">
        <f t="shared" si="288"/>
        <v>#DIV/0!</v>
      </c>
      <c r="BPO133" s="531" t="e">
        <f t="shared" si="288"/>
        <v>#DIV/0!</v>
      </c>
      <c r="BPP133" s="531" t="e">
        <f t="shared" si="288"/>
        <v>#DIV/0!</v>
      </c>
      <c r="BPQ133" s="531" t="e">
        <f t="shared" si="288"/>
        <v>#DIV/0!</v>
      </c>
      <c r="BPR133" s="531" t="e">
        <f t="shared" si="288"/>
        <v>#DIV/0!</v>
      </c>
      <c r="BPS133" s="531" t="e">
        <f t="shared" si="288"/>
        <v>#DIV/0!</v>
      </c>
      <c r="BPT133" s="531" t="e">
        <f t="shared" si="288"/>
        <v>#DIV/0!</v>
      </c>
      <c r="BPU133" s="531" t="e">
        <f t="shared" si="288"/>
        <v>#DIV/0!</v>
      </c>
      <c r="BPV133" s="531" t="e">
        <f t="shared" si="288"/>
        <v>#DIV/0!</v>
      </c>
      <c r="BPW133" s="531" t="e">
        <f t="shared" si="288"/>
        <v>#DIV/0!</v>
      </c>
      <c r="BPX133" s="531" t="e">
        <f t="shared" si="288"/>
        <v>#DIV/0!</v>
      </c>
      <c r="BPY133" s="531" t="e">
        <f t="shared" si="288"/>
        <v>#DIV/0!</v>
      </c>
      <c r="BPZ133" s="531" t="e">
        <f t="shared" si="288"/>
        <v>#DIV/0!</v>
      </c>
      <c r="BQA133" s="531" t="e">
        <f t="shared" si="288"/>
        <v>#DIV/0!</v>
      </c>
      <c r="BQB133" s="531" t="e">
        <f t="shared" si="288"/>
        <v>#DIV/0!</v>
      </c>
      <c r="BQC133" s="531" t="e">
        <f t="shared" si="288"/>
        <v>#DIV/0!</v>
      </c>
      <c r="BQD133" s="531" t="e">
        <f t="shared" si="288"/>
        <v>#DIV/0!</v>
      </c>
      <c r="BQE133" s="531" t="e">
        <f t="shared" ref="BQE133:BSP133" si="289">BQE116/(BQE52*10^5)</f>
        <v>#DIV/0!</v>
      </c>
      <c r="BQF133" s="531" t="e">
        <f t="shared" si="289"/>
        <v>#DIV/0!</v>
      </c>
      <c r="BQG133" s="531" t="e">
        <f t="shared" si="289"/>
        <v>#DIV/0!</v>
      </c>
      <c r="BQH133" s="531" t="e">
        <f t="shared" si="289"/>
        <v>#DIV/0!</v>
      </c>
      <c r="BQI133" s="531" t="e">
        <f t="shared" si="289"/>
        <v>#DIV/0!</v>
      </c>
      <c r="BQJ133" s="531" t="e">
        <f t="shared" si="289"/>
        <v>#DIV/0!</v>
      </c>
      <c r="BQK133" s="531" t="e">
        <f t="shared" si="289"/>
        <v>#DIV/0!</v>
      </c>
      <c r="BQL133" s="531" t="e">
        <f t="shared" si="289"/>
        <v>#DIV/0!</v>
      </c>
      <c r="BQM133" s="531" t="e">
        <f t="shared" si="289"/>
        <v>#DIV/0!</v>
      </c>
      <c r="BQN133" s="531" t="e">
        <f t="shared" si="289"/>
        <v>#DIV/0!</v>
      </c>
      <c r="BQO133" s="531" t="e">
        <f t="shared" si="289"/>
        <v>#DIV/0!</v>
      </c>
      <c r="BQP133" s="531" t="e">
        <f t="shared" si="289"/>
        <v>#DIV/0!</v>
      </c>
      <c r="BQQ133" s="531" t="e">
        <f t="shared" si="289"/>
        <v>#DIV/0!</v>
      </c>
      <c r="BQR133" s="531" t="e">
        <f t="shared" si="289"/>
        <v>#DIV/0!</v>
      </c>
      <c r="BQS133" s="531" t="e">
        <f t="shared" si="289"/>
        <v>#DIV/0!</v>
      </c>
      <c r="BQT133" s="531" t="e">
        <f t="shared" si="289"/>
        <v>#DIV/0!</v>
      </c>
      <c r="BQU133" s="531" t="e">
        <f t="shared" si="289"/>
        <v>#DIV/0!</v>
      </c>
      <c r="BQV133" s="531" t="e">
        <f t="shared" si="289"/>
        <v>#DIV/0!</v>
      </c>
      <c r="BQW133" s="531" t="e">
        <f t="shared" si="289"/>
        <v>#DIV/0!</v>
      </c>
      <c r="BQX133" s="531" t="e">
        <f t="shared" si="289"/>
        <v>#DIV/0!</v>
      </c>
      <c r="BQY133" s="531" t="e">
        <f t="shared" si="289"/>
        <v>#DIV/0!</v>
      </c>
      <c r="BQZ133" s="531" t="e">
        <f t="shared" si="289"/>
        <v>#DIV/0!</v>
      </c>
      <c r="BRA133" s="531" t="e">
        <f t="shared" si="289"/>
        <v>#DIV/0!</v>
      </c>
      <c r="BRB133" s="531" t="e">
        <f t="shared" si="289"/>
        <v>#DIV/0!</v>
      </c>
      <c r="BRC133" s="531" t="e">
        <f t="shared" si="289"/>
        <v>#DIV/0!</v>
      </c>
      <c r="BRD133" s="531" t="e">
        <f t="shared" si="289"/>
        <v>#DIV/0!</v>
      </c>
      <c r="BRE133" s="531" t="e">
        <f t="shared" si="289"/>
        <v>#DIV/0!</v>
      </c>
      <c r="BRF133" s="531" t="e">
        <f t="shared" si="289"/>
        <v>#DIV/0!</v>
      </c>
      <c r="BRG133" s="531" t="e">
        <f t="shared" si="289"/>
        <v>#DIV/0!</v>
      </c>
      <c r="BRH133" s="531" t="e">
        <f t="shared" si="289"/>
        <v>#DIV/0!</v>
      </c>
      <c r="BRI133" s="531" t="e">
        <f t="shared" si="289"/>
        <v>#DIV/0!</v>
      </c>
      <c r="BRJ133" s="531" t="e">
        <f t="shared" si="289"/>
        <v>#DIV/0!</v>
      </c>
      <c r="BRK133" s="531" t="e">
        <f t="shared" si="289"/>
        <v>#DIV/0!</v>
      </c>
      <c r="BRL133" s="531" t="e">
        <f t="shared" si="289"/>
        <v>#DIV/0!</v>
      </c>
      <c r="BRM133" s="531" t="e">
        <f t="shared" si="289"/>
        <v>#DIV/0!</v>
      </c>
      <c r="BRN133" s="531" t="e">
        <f t="shared" si="289"/>
        <v>#DIV/0!</v>
      </c>
      <c r="BRO133" s="531" t="e">
        <f t="shared" si="289"/>
        <v>#DIV/0!</v>
      </c>
      <c r="BRP133" s="531" t="e">
        <f t="shared" si="289"/>
        <v>#DIV/0!</v>
      </c>
      <c r="BRQ133" s="531" t="e">
        <f t="shared" si="289"/>
        <v>#DIV/0!</v>
      </c>
      <c r="BRR133" s="531" t="e">
        <f t="shared" si="289"/>
        <v>#DIV/0!</v>
      </c>
      <c r="BRS133" s="531" t="e">
        <f t="shared" si="289"/>
        <v>#DIV/0!</v>
      </c>
      <c r="BRT133" s="531" t="e">
        <f t="shared" si="289"/>
        <v>#DIV/0!</v>
      </c>
      <c r="BRU133" s="531" t="e">
        <f t="shared" si="289"/>
        <v>#DIV/0!</v>
      </c>
      <c r="BRV133" s="531" t="e">
        <f t="shared" si="289"/>
        <v>#DIV/0!</v>
      </c>
      <c r="BRW133" s="531" t="e">
        <f t="shared" si="289"/>
        <v>#DIV/0!</v>
      </c>
      <c r="BRX133" s="531" t="e">
        <f t="shared" si="289"/>
        <v>#DIV/0!</v>
      </c>
      <c r="BRY133" s="531" t="e">
        <f t="shared" si="289"/>
        <v>#DIV/0!</v>
      </c>
      <c r="BRZ133" s="531" t="e">
        <f t="shared" si="289"/>
        <v>#DIV/0!</v>
      </c>
      <c r="BSA133" s="531" t="e">
        <f t="shared" si="289"/>
        <v>#DIV/0!</v>
      </c>
      <c r="BSB133" s="531" t="e">
        <f t="shared" si="289"/>
        <v>#DIV/0!</v>
      </c>
      <c r="BSC133" s="531" t="e">
        <f t="shared" si="289"/>
        <v>#DIV/0!</v>
      </c>
      <c r="BSD133" s="531" t="e">
        <f t="shared" si="289"/>
        <v>#DIV/0!</v>
      </c>
      <c r="BSE133" s="531" t="e">
        <f t="shared" si="289"/>
        <v>#DIV/0!</v>
      </c>
      <c r="BSF133" s="531" t="e">
        <f t="shared" si="289"/>
        <v>#DIV/0!</v>
      </c>
      <c r="BSG133" s="531" t="e">
        <f t="shared" si="289"/>
        <v>#DIV/0!</v>
      </c>
      <c r="BSH133" s="531" t="e">
        <f t="shared" si="289"/>
        <v>#DIV/0!</v>
      </c>
      <c r="BSI133" s="531" t="e">
        <f t="shared" si="289"/>
        <v>#DIV/0!</v>
      </c>
      <c r="BSJ133" s="531" t="e">
        <f t="shared" si="289"/>
        <v>#DIV/0!</v>
      </c>
      <c r="BSK133" s="531" t="e">
        <f t="shared" si="289"/>
        <v>#DIV/0!</v>
      </c>
      <c r="BSL133" s="531" t="e">
        <f t="shared" si="289"/>
        <v>#DIV/0!</v>
      </c>
      <c r="BSM133" s="531" t="e">
        <f t="shared" si="289"/>
        <v>#DIV/0!</v>
      </c>
      <c r="BSN133" s="531" t="e">
        <f t="shared" si="289"/>
        <v>#DIV/0!</v>
      </c>
      <c r="BSO133" s="531" t="e">
        <f t="shared" si="289"/>
        <v>#DIV/0!</v>
      </c>
      <c r="BSP133" s="531" t="e">
        <f t="shared" si="289"/>
        <v>#DIV/0!</v>
      </c>
      <c r="BSQ133" s="531" t="e">
        <f t="shared" ref="BSQ133:BVB133" si="290">BSQ116/(BSQ52*10^5)</f>
        <v>#DIV/0!</v>
      </c>
      <c r="BSR133" s="531" t="e">
        <f t="shared" si="290"/>
        <v>#DIV/0!</v>
      </c>
      <c r="BSS133" s="531" t="e">
        <f t="shared" si="290"/>
        <v>#DIV/0!</v>
      </c>
      <c r="BST133" s="531" t="e">
        <f t="shared" si="290"/>
        <v>#DIV/0!</v>
      </c>
      <c r="BSU133" s="531" t="e">
        <f t="shared" si="290"/>
        <v>#DIV/0!</v>
      </c>
      <c r="BSV133" s="531" t="e">
        <f t="shared" si="290"/>
        <v>#DIV/0!</v>
      </c>
      <c r="BSW133" s="531" t="e">
        <f t="shared" si="290"/>
        <v>#DIV/0!</v>
      </c>
      <c r="BSX133" s="531" t="e">
        <f t="shared" si="290"/>
        <v>#DIV/0!</v>
      </c>
      <c r="BSY133" s="531" t="e">
        <f t="shared" si="290"/>
        <v>#DIV/0!</v>
      </c>
      <c r="BSZ133" s="531" t="e">
        <f t="shared" si="290"/>
        <v>#DIV/0!</v>
      </c>
      <c r="BTA133" s="531" t="e">
        <f t="shared" si="290"/>
        <v>#DIV/0!</v>
      </c>
      <c r="BTB133" s="531" t="e">
        <f t="shared" si="290"/>
        <v>#DIV/0!</v>
      </c>
      <c r="BTC133" s="531" t="e">
        <f t="shared" si="290"/>
        <v>#DIV/0!</v>
      </c>
      <c r="BTD133" s="531" t="e">
        <f t="shared" si="290"/>
        <v>#DIV/0!</v>
      </c>
      <c r="BTE133" s="531" t="e">
        <f t="shared" si="290"/>
        <v>#DIV/0!</v>
      </c>
      <c r="BTF133" s="531" t="e">
        <f t="shared" si="290"/>
        <v>#DIV/0!</v>
      </c>
      <c r="BTG133" s="531" t="e">
        <f t="shared" si="290"/>
        <v>#DIV/0!</v>
      </c>
      <c r="BTH133" s="531" t="e">
        <f t="shared" si="290"/>
        <v>#DIV/0!</v>
      </c>
      <c r="BTI133" s="531" t="e">
        <f t="shared" si="290"/>
        <v>#DIV/0!</v>
      </c>
      <c r="BTJ133" s="531" t="e">
        <f t="shared" si="290"/>
        <v>#DIV/0!</v>
      </c>
      <c r="BTK133" s="531" t="e">
        <f t="shared" si="290"/>
        <v>#DIV/0!</v>
      </c>
      <c r="BTL133" s="531" t="e">
        <f t="shared" si="290"/>
        <v>#DIV/0!</v>
      </c>
      <c r="BTM133" s="531" t="e">
        <f t="shared" si="290"/>
        <v>#DIV/0!</v>
      </c>
      <c r="BTN133" s="531" t="e">
        <f t="shared" si="290"/>
        <v>#DIV/0!</v>
      </c>
      <c r="BTO133" s="531" t="e">
        <f t="shared" si="290"/>
        <v>#DIV/0!</v>
      </c>
      <c r="BTP133" s="531" t="e">
        <f t="shared" si="290"/>
        <v>#DIV/0!</v>
      </c>
      <c r="BTQ133" s="531" t="e">
        <f t="shared" si="290"/>
        <v>#DIV/0!</v>
      </c>
      <c r="BTR133" s="531" t="e">
        <f t="shared" si="290"/>
        <v>#DIV/0!</v>
      </c>
      <c r="BTS133" s="531" t="e">
        <f t="shared" si="290"/>
        <v>#DIV/0!</v>
      </c>
      <c r="BTT133" s="531" t="e">
        <f t="shared" si="290"/>
        <v>#DIV/0!</v>
      </c>
      <c r="BTU133" s="531" t="e">
        <f t="shared" si="290"/>
        <v>#DIV/0!</v>
      </c>
      <c r="BTV133" s="531" t="e">
        <f t="shared" si="290"/>
        <v>#DIV/0!</v>
      </c>
      <c r="BTW133" s="531" t="e">
        <f t="shared" si="290"/>
        <v>#DIV/0!</v>
      </c>
      <c r="BTX133" s="531" t="e">
        <f t="shared" si="290"/>
        <v>#DIV/0!</v>
      </c>
      <c r="BTY133" s="531" t="e">
        <f t="shared" si="290"/>
        <v>#DIV/0!</v>
      </c>
      <c r="BTZ133" s="531" t="e">
        <f t="shared" si="290"/>
        <v>#DIV/0!</v>
      </c>
      <c r="BUA133" s="531" t="e">
        <f t="shared" si="290"/>
        <v>#DIV/0!</v>
      </c>
      <c r="BUB133" s="531" t="e">
        <f t="shared" si="290"/>
        <v>#DIV/0!</v>
      </c>
      <c r="BUC133" s="531" t="e">
        <f t="shared" si="290"/>
        <v>#DIV/0!</v>
      </c>
      <c r="BUD133" s="531" t="e">
        <f t="shared" si="290"/>
        <v>#DIV/0!</v>
      </c>
      <c r="BUE133" s="531" t="e">
        <f t="shared" si="290"/>
        <v>#DIV/0!</v>
      </c>
      <c r="BUF133" s="531" t="e">
        <f t="shared" si="290"/>
        <v>#DIV/0!</v>
      </c>
      <c r="BUG133" s="531" t="e">
        <f t="shared" si="290"/>
        <v>#DIV/0!</v>
      </c>
      <c r="BUH133" s="531" t="e">
        <f t="shared" si="290"/>
        <v>#DIV/0!</v>
      </c>
      <c r="BUI133" s="531" t="e">
        <f t="shared" si="290"/>
        <v>#DIV/0!</v>
      </c>
      <c r="BUJ133" s="531" t="e">
        <f t="shared" si="290"/>
        <v>#DIV/0!</v>
      </c>
      <c r="BUK133" s="531" t="e">
        <f t="shared" si="290"/>
        <v>#DIV/0!</v>
      </c>
      <c r="BUL133" s="531" t="e">
        <f t="shared" si="290"/>
        <v>#DIV/0!</v>
      </c>
      <c r="BUM133" s="531" t="e">
        <f t="shared" si="290"/>
        <v>#DIV/0!</v>
      </c>
      <c r="BUN133" s="531" t="e">
        <f t="shared" si="290"/>
        <v>#DIV/0!</v>
      </c>
      <c r="BUO133" s="531" t="e">
        <f t="shared" si="290"/>
        <v>#DIV/0!</v>
      </c>
      <c r="BUP133" s="531" t="e">
        <f t="shared" si="290"/>
        <v>#DIV/0!</v>
      </c>
      <c r="BUQ133" s="531" t="e">
        <f t="shared" si="290"/>
        <v>#DIV/0!</v>
      </c>
      <c r="BUR133" s="531" t="e">
        <f t="shared" si="290"/>
        <v>#DIV/0!</v>
      </c>
      <c r="BUS133" s="531" t="e">
        <f t="shared" si="290"/>
        <v>#DIV/0!</v>
      </c>
      <c r="BUT133" s="531" t="e">
        <f t="shared" si="290"/>
        <v>#DIV/0!</v>
      </c>
      <c r="BUU133" s="531" t="e">
        <f t="shared" si="290"/>
        <v>#DIV/0!</v>
      </c>
      <c r="BUV133" s="531" t="e">
        <f t="shared" si="290"/>
        <v>#DIV/0!</v>
      </c>
      <c r="BUW133" s="531" t="e">
        <f t="shared" si="290"/>
        <v>#DIV/0!</v>
      </c>
      <c r="BUX133" s="531" t="e">
        <f t="shared" si="290"/>
        <v>#DIV/0!</v>
      </c>
      <c r="BUY133" s="531" t="e">
        <f t="shared" si="290"/>
        <v>#DIV/0!</v>
      </c>
      <c r="BUZ133" s="531" t="e">
        <f t="shared" si="290"/>
        <v>#DIV/0!</v>
      </c>
      <c r="BVA133" s="531" t="e">
        <f t="shared" si="290"/>
        <v>#DIV/0!</v>
      </c>
      <c r="BVB133" s="531" t="e">
        <f t="shared" si="290"/>
        <v>#DIV/0!</v>
      </c>
      <c r="BVC133" s="531" t="e">
        <f t="shared" ref="BVC133:BXN133" si="291">BVC116/(BVC52*10^5)</f>
        <v>#DIV/0!</v>
      </c>
      <c r="BVD133" s="531" t="e">
        <f t="shared" si="291"/>
        <v>#DIV/0!</v>
      </c>
      <c r="BVE133" s="531" t="e">
        <f t="shared" si="291"/>
        <v>#DIV/0!</v>
      </c>
      <c r="BVF133" s="531" t="e">
        <f t="shared" si="291"/>
        <v>#DIV/0!</v>
      </c>
      <c r="BVG133" s="531" t="e">
        <f t="shared" si="291"/>
        <v>#DIV/0!</v>
      </c>
      <c r="BVH133" s="531" t="e">
        <f t="shared" si="291"/>
        <v>#DIV/0!</v>
      </c>
      <c r="BVI133" s="531" t="e">
        <f t="shared" si="291"/>
        <v>#DIV/0!</v>
      </c>
      <c r="BVJ133" s="531" t="e">
        <f t="shared" si="291"/>
        <v>#DIV/0!</v>
      </c>
      <c r="BVK133" s="531" t="e">
        <f t="shared" si="291"/>
        <v>#DIV/0!</v>
      </c>
      <c r="BVL133" s="531" t="e">
        <f t="shared" si="291"/>
        <v>#DIV/0!</v>
      </c>
      <c r="BVM133" s="531" t="e">
        <f t="shared" si="291"/>
        <v>#DIV/0!</v>
      </c>
      <c r="BVN133" s="531" t="e">
        <f t="shared" si="291"/>
        <v>#DIV/0!</v>
      </c>
      <c r="BVO133" s="531" t="e">
        <f t="shared" si="291"/>
        <v>#DIV/0!</v>
      </c>
      <c r="BVP133" s="531" t="e">
        <f t="shared" si="291"/>
        <v>#DIV/0!</v>
      </c>
      <c r="BVQ133" s="531" t="e">
        <f t="shared" si="291"/>
        <v>#DIV/0!</v>
      </c>
      <c r="BVR133" s="531" t="e">
        <f t="shared" si="291"/>
        <v>#DIV/0!</v>
      </c>
      <c r="BVS133" s="531" t="e">
        <f t="shared" si="291"/>
        <v>#DIV/0!</v>
      </c>
      <c r="BVT133" s="531" t="e">
        <f t="shared" si="291"/>
        <v>#DIV/0!</v>
      </c>
      <c r="BVU133" s="531" t="e">
        <f t="shared" si="291"/>
        <v>#DIV/0!</v>
      </c>
      <c r="BVV133" s="531" t="e">
        <f t="shared" si="291"/>
        <v>#DIV/0!</v>
      </c>
      <c r="BVW133" s="531" t="e">
        <f t="shared" si="291"/>
        <v>#DIV/0!</v>
      </c>
      <c r="BVX133" s="531" t="e">
        <f t="shared" si="291"/>
        <v>#DIV/0!</v>
      </c>
      <c r="BVY133" s="531" t="e">
        <f t="shared" si="291"/>
        <v>#DIV/0!</v>
      </c>
      <c r="BVZ133" s="531" t="e">
        <f t="shared" si="291"/>
        <v>#DIV/0!</v>
      </c>
      <c r="BWA133" s="531" t="e">
        <f t="shared" si="291"/>
        <v>#DIV/0!</v>
      </c>
      <c r="BWB133" s="531" t="e">
        <f t="shared" si="291"/>
        <v>#DIV/0!</v>
      </c>
      <c r="BWC133" s="531" t="e">
        <f t="shared" si="291"/>
        <v>#DIV/0!</v>
      </c>
      <c r="BWD133" s="531" t="e">
        <f t="shared" si="291"/>
        <v>#DIV/0!</v>
      </c>
      <c r="BWE133" s="531" t="e">
        <f t="shared" si="291"/>
        <v>#DIV/0!</v>
      </c>
      <c r="BWF133" s="531" t="e">
        <f t="shared" si="291"/>
        <v>#DIV/0!</v>
      </c>
      <c r="BWG133" s="531" t="e">
        <f t="shared" si="291"/>
        <v>#DIV/0!</v>
      </c>
      <c r="BWH133" s="531" t="e">
        <f t="shared" si="291"/>
        <v>#DIV/0!</v>
      </c>
      <c r="BWI133" s="531" t="e">
        <f t="shared" si="291"/>
        <v>#DIV/0!</v>
      </c>
      <c r="BWJ133" s="531" t="e">
        <f t="shared" si="291"/>
        <v>#DIV/0!</v>
      </c>
      <c r="BWK133" s="531" t="e">
        <f t="shared" si="291"/>
        <v>#DIV/0!</v>
      </c>
      <c r="BWL133" s="531" t="e">
        <f t="shared" si="291"/>
        <v>#DIV/0!</v>
      </c>
      <c r="BWM133" s="531" t="e">
        <f t="shared" si="291"/>
        <v>#DIV/0!</v>
      </c>
      <c r="BWN133" s="531" t="e">
        <f t="shared" si="291"/>
        <v>#DIV/0!</v>
      </c>
      <c r="BWO133" s="531" t="e">
        <f t="shared" si="291"/>
        <v>#DIV/0!</v>
      </c>
      <c r="BWP133" s="531" t="e">
        <f t="shared" si="291"/>
        <v>#DIV/0!</v>
      </c>
      <c r="BWQ133" s="531" t="e">
        <f t="shared" si="291"/>
        <v>#DIV/0!</v>
      </c>
      <c r="BWR133" s="531" t="e">
        <f t="shared" si="291"/>
        <v>#DIV/0!</v>
      </c>
      <c r="BWS133" s="531" t="e">
        <f t="shared" si="291"/>
        <v>#DIV/0!</v>
      </c>
      <c r="BWT133" s="531" t="e">
        <f t="shared" si="291"/>
        <v>#DIV/0!</v>
      </c>
      <c r="BWU133" s="531" t="e">
        <f t="shared" si="291"/>
        <v>#DIV/0!</v>
      </c>
      <c r="BWV133" s="531" t="e">
        <f t="shared" si="291"/>
        <v>#DIV/0!</v>
      </c>
      <c r="BWW133" s="531" t="e">
        <f t="shared" si="291"/>
        <v>#DIV/0!</v>
      </c>
      <c r="BWX133" s="531" t="e">
        <f t="shared" si="291"/>
        <v>#DIV/0!</v>
      </c>
      <c r="BWY133" s="531" t="e">
        <f t="shared" si="291"/>
        <v>#DIV/0!</v>
      </c>
      <c r="BWZ133" s="531" t="e">
        <f t="shared" si="291"/>
        <v>#DIV/0!</v>
      </c>
      <c r="BXA133" s="531" t="e">
        <f t="shared" si="291"/>
        <v>#DIV/0!</v>
      </c>
      <c r="BXB133" s="531" t="e">
        <f t="shared" si="291"/>
        <v>#DIV/0!</v>
      </c>
      <c r="BXC133" s="531" t="e">
        <f t="shared" si="291"/>
        <v>#DIV/0!</v>
      </c>
      <c r="BXD133" s="531" t="e">
        <f t="shared" si="291"/>
        <v>#DIV/0!</v>
      </c>
      <c r="BXE133" s="531" t="e">
        <f t="shared" si="291"/>
        <v>#DIV/0!</v>
      </c>
      <c r="BXF133" s="531" t="e">
        <f t="shared" si="291"/>
        <v>#DIV/0!</v>
      </c>
      <c r="BXG133" s="531" t="e">
        <f t="shared" si="291"/>
        <v>#DIV/0!</v>
      </c>
      <c r="BXH133" s="531" t="e">
        <f t="shared" si="291"/>
        <v>#DIV/0!</v>
      </c>
      <c r="BXI133" s="531" t="e">
        <f t="shared" si="291"/>
        <v>#DIV/0!</v>
      </c>
      <c r="BXJ133" s="531" t="e">
        <f t="shared" si="291"/>
        <v>#DIV/0!</v>
      </c>
      <c r="BXK133" s="531" t="e">
        <f t="shared" si="291"/>
        <v>#DIV/0!</v>
      </c>
      <c r="BXL133" s="531" t="e">
        <f t="shared" si="291"/>
        <v>#DIV/0!</v>
      </c>
      <c r="BXM133" s="531" t="e">
        <f t="shared" si="291"/>
        <v>#DIV/0!</v>
      </c>
      <c r="BXN133" s="531" t="e">
        <f t="shared" si="291"/>
        <v>#DIV/0!</v>
      </c>
      <c r="BXO133" s="531" t="e">
        <f t="shared" ref="BXO133:BZZ133" si="292">BXO116/(BXO52*10^5)</f>
        <v>#DIV/0!</v>
      </c>
      <c r="BXP133" s="531" t="e">
        <f t="shared" si="292"/>
        <v>#DIV/0!</v>
      </c>
      <c r="BXQ133" s="531" t="e">
        <f t="shared" si="292"/>
        <v>#DIV/0!</v>
      </c>
      <c r="BXR133" s="531" t="e">
        <f t="shared" si="292"/>
        <v>#DIV/0!</v>
      </c>
      <c r="BXS133" s="531" t="e">
        <f t="shared" si="292"/>
        <v>#DIV/0!</v>
      </c>
      <c r="BXT133" s="531" t="e">
        <f t="shared" si="292"/>
        <v>#DIV/0!</v>
      </c>
      <c r="BXU133" s="531" t="e">
        <f t="shared" si="292"/>
        <v>#DIV/0!</v>
      </c>
      <c r="BXV133" s="531" t="e">
        <f t="shared" si="292"/>
        <v>#DIV/0!</v>
      </c>
      <c r="BXW133" s="531" t="e">
        <f t="shared" si="292"/>
        <v>#DIV/0!</v>
      </c>
      <c r="BXX133" s="531" t="e">
        <f t="shared" si="292"/>
        <v>#DIV/0!</v>
      </c>
      <c r="BXY133" s="531" t="e">
        <f t="shared" si="292"/>
        <v>#DIV/0!</v>
      </c>
      <c r="BXZ133" s="531" t="e">
        <f t="shared" si="292"/>
        <v>#DIV/0!</v>
      </c>
      <c r="BYA133" s="531" t="e">
        <f t="shared" si="292"/>
        <v>#DIV/0!</v>
      </c>
      <c r="BYB133" s="531" t="e">
        <f t="shared" si="292"/>
        <v>#DIV/0!</v>
      </c>
      <c r="BYC133" s="531" t="e">
        <f t="shared" si="292"/>
        <v>#DIV/0!</v>
      </c>
      <c r="BYD133" s="531" t="e">
        <f t="shared" si="292"/>
        <v>#DIV/0!</v>
      </c>
      <c r="BYE133" s="531" t="e">
        <f t="shared" si="292"/>
        <v>#DIV/0!</v>
      </c>
      <c r="BYF133" s="531" t="e">
        <f t="shared" si="292"/>
        <v>#DIV/0!</v>
      </c>
      <c r="BYG133" s="531" t="e">
        <f t="shared" si="292"/>
        <v>#DIV/0!</v>
      </c>
      <c r="BYH133" s="531" t="e">
        <f t="shared" si="292"/>
        <v>#DIV/0!</v>
      </c>
      <c r="BYI133" s="531" t="e">
        <f t="shared" si="292"/>
        <v>#DIV/0!</v>
      </c>
      <c r="BYJ133" s="531" t="e">
        <f t="shared" si="292"/>
        <v>#DIV/0!</v>
      </c>
      <c r="BYK133" s="531" t="e">
        <f t="shared" si="292"/>
        <v>#DIV/0!</v>
      </c>
      <c r="BYL133" s="531" t="e">
        <f t="shared" si="292"/>
        <v>#DIV/0!</v>
      </c>
      <c r="BYM133" s="531" t="e">
        <f t="shared" si="292"/>
        <v>#DIV/0!</v>
      </c>
      <c r="BYN133" s="531" t="e">
        <f t="shared" si="292"/>
        <v>#DIV/0!</v>
      </c>
      <c r="BYO133" s="531" t="e">
        <f t="shared" si="292"/>
        <v>#DIV/0!</v>
      </c>
      <c r="BYP133" s="531" t="e">
        <f t="shared" si="292"/>
        <v>#DIV/0!</v>
      </c>
      <c r="BYQ133" s="531" t="e">
        <f t="shared" si="292"/>
        <v>#DIV/0!</v>
      </c>
      <c r="BYR133" s="531" t="e">
        <f t="shared" si="292"/>
        <v>#DIV/0!</v>
      </c>
      <c r="BYS133" s="531" t="e">
        <f t="shared" si="292"/>
        <v>#DIV/0!</v>
      </c>
      <c r="BYT133" s="531" t="e">
        <f t="shared" si="292"/>
        <v>#DIV/0!</v>
      </c>
      <c r="BYU133" s="531" t="e">
        <f t="shared" si="292"/>
        <v>#DIV/0!</v>
      </c>
      <c r="BYV133" s="531" t="e">
        <f t="shared" si="292"/>
        <v>#DIV/0!</v>
      </c>
      <c r="BYW133" s="531" t="e">
        <f t="shared" si="292"/>
        <v>#DIV/0!</v>
      </c>
      <c r="BYX133" s="531" t="e">
        <f t="shared" si="292"/>
        <v>#DIV/0!</v>
      </c>
      <c r="BYY133" s="531" t="e">
        <f t="shared" si="292"/>
        <v>#DIV/0!</v>
      </c>
      <c r="BYZ133" s="531" t="e">
        <f t="shared" si="292"/>
        <v>#DIV/0!</v>
      </c>
      <c r="BZA133" s="531" t="e">
        <f t="shared" si="292"/>
        <v>#DIV/0!</v>
      </c>
      <c r="BZB133" s="531" t="e">
        <f t="shared" si="292"/>
        <v>#DIV/0!</v>
      </c>
      <c r="BZC133" s="531" t="e">
        <f t="shared" si="292"/>
        <v>#DIV/0!</v>
      </c>
      <c r="BZD133" s="531" t="e">
        <f t="shared" si="292"/>
        <v>#DIV/0!</v>
      </c>
      <c r="BZE133" s="531" t="e">
        <f t="shared" si="292"/>
        <v>#DIV/0!</v>
      </c>
      <c r="BZF133" s="531" t="e">
        <f t="shared" si="292"/>
        <v>#DIV/0!</v>
      </c>
      <c r="BZG133" s="531" t="e">
        <f t="shared" si="292"/>
        <v>#DIV/0!</v>
      </c>
      <c r="BZH133" s="531" t="e">
        <f t="shared" si="292"/>
        <v>#DIV/0!</v>
      </c>
      <c r="BZI133" s="531" t="e">
        <f t="shared" si="292"/>
        <v>#DIV/0!</v>
      </c>
      <c r="BZJ133" s="531" t="e">
        <f t="shared" si="292"/>
        <v>#DIV/0!</v>
      </c>
      <c r="BZK133" s="531" t="e">
        <f t="shared" si="292"/>
        <v>#DIV/0!</v>
      </c>
      <c r="BZL133" s="531" t="e">
        <f t="shared" si="292"/>
        <v>#DIV/0!</v>
      </c>
      <c r="BZM133" s="531" t="e">
        <f t="shared" si="292"/>
        <v>#DIV/0!</v>
      </c>
      <c r="BZN133" s="531" t="e">
        <f t="shared" si="292"/>
        <v>#DIV/0!</v>
      </c>
      <c r="BZO133" s="531" t="e">
        <f t="shared" si="292"/>
        <v>#DIV/0!</v>
      </c>
      <c r="BZP133" s="531" t="e">
        <f t="shared" si="292"/>
        <v>#DIV/0!</v>
      </c>
      <c r="BZQ133" s="531" t="e">
        <f t="shared" si="292"/>
        <v>#DIV/0!</v>
      </c>
      <c r="BZR133" s="531" t="e">
        <f t="shared" si="292"/>
        <v>#DIV/0!</v>
      </c>
      <c r="BZS133" s="531" t="e">
        <f t="shared" si="292"/>
        <v>#DIV/0!</v>
      </c>
      <c r="BZT133" s="531" t="e">
        <f t="shared" si="292"/>
        <v>#DIV/0!</v>
      </c>
      <c r="BZU133" s="531" t="e">
        <f t="shared" si="292"/>
        <v>#DIV/0!</v>
      </c>
      <c r="BZV133" s="531" t="e">
        <f t="shared" si="292"/>
        <v>#DIV/0!</v>
      </c>
      <c r="BZW133" s="531" t="e">
        <f t="shared" si="292"/>
        <v>#DIV/0!</v>
      </c>
      <c r="BZX133" s="531" t="e">
        <f t="shared" si="292"/>
        <v>#DIV/0!</v>
      </c>
      <c r="BZY133" s="531" t="e">
        <f t="shared" si="292"/>
        <v>#DIV/0!</v>
      </c>
      <c r="BZZ133" s="531" t="e">
        <f t="shared" si="292"/>
        <v>#DIV/0!</v>
      </c>
      <c r="CAA133" s="531" t="e">
        <f t="shared" ref="CAA133:CCL133" si="293">CAA116/(CAA52*10^5)</f>
        <v>#DIV/0!</v>
      </c>
      <c r="CAB133" s="531" t="e">
        <f t="shared" si="293"/>
        <v>#DIV/0!</v>
      </c>
      <c r="CAC133" s="531" t="e">
        <f t="shared" si="293"/>
        <v>#DIV/0!</v>
      </c>
      <c r="CAD133" s="531" t="e">
        <f t="shared" si="293"/>
        <v>#DIV/0!</v>
      </c>
      <c r="CAE133" s="531" t="e">
        <f t="shared" si="293"/>
        <v>#DIV/0!</v>
      </c>
      <c r="CAF133" s="531" t="e">
        <f t="shared" si="293"/>
        <v>#DIV/0!</v>
      </c>
      <c r="CAG133" s="531" t="e">
        <f t="shared" si="293"/>
        <v>#DIV/0!</v>
      </c>
      <c r="CAH133" s="531" t="e">
        <f t="shared" si="293"/>
        <v>#DIV/0!</v>
      </c>
      <c r="CAI133" s="531" t="e">
        <f t="shared" si="293"/>
        <v>#DIV/0!</v>
      </c>
      <c r="CAJ133" s="531" t="e">
        <f t="shared" si="293"/>
        <v>#DIV/0!</v>
      </c>
      <c r="CAK133" s="531" t="e">
        <f t="shared" si="293"/>
        <v>#DIV/0!</v>
      </c>
      <c r="CAL133" s="531" t="e">
        <f t="shared" si="293"/>
        <v>#DIV/0!</v>
      </c>
      <c r="CAM133" s="531" t="e">
        <f t="shared" si="293"/>
        <v>#DIV/0!</v>
      </c>
      <c r="CAN133" s="531" t="e">
        <f t="shared" si="293"/>
        <v>#DIV/0!</v>
      </c>
      <c r="CAO133" s="531" t="e">
        <f t="shared" si="293"/>
        <v>#DIV/0!</v>
      </c>
      <c r="CAP133" s="531" t="e">
        <f t="shared" si="293"/>
        <v>#DIV/0!</v>
      </c>
      <c r="CAQ133" s="531" t="e">
        <f t="shared" si="293"/>
        <v>#DIV/0!</v>
      </c>
      <c r="CAR133" s="531" t="e">
        <f t="shared" si="293"/>
        <v>#DIV/0!</v>
      </c>
      <c r="CAS133" s="531" t="e">
        <f t="shared" si="293"/>
        <v>#DIV/0!</v>
      </c>
      <c r="CAT133" s="531" t="e">
        <f t="shared" si="293"/>
        <v>#DIV/0!</v>
      </c>
      <c r="CAU133" s="531" t="e">
        <f t="shared" si="293"/>
        <v>#DIV/0!</v>
      </c>
      <c r="CAV133" s="531" t="e">
        <f t="shared" si="293"/>
        <v>#DIV/0!</v>
      </c>
      <c r="CAW133" s="531" t="e">
        <f t="shared" si="293"/>
        <v>#DIV/0!</v>
      </c>
      <c r="CAX133" s="531" t="e">
        <f t="shared" si="293"/>
        <v>#DIV/0!</v>
      </c>
      <c r="CAY133" s="531" t="e">
        <f t="shared" si="293"/>
        <v>#DIV/0!</v>
      </c>
      <c r="CAZ133" s="531" t="e">
        <f t="shared" si="293"/>
        <v>#DIV/0!</v>
      </c>
      <c r="CBA133" s="531" t="e">
        <f t="shared" si="293"/>
        <v>#DIV/0!</v>
      </c>
      <c r="CBB133" s="531" t="e">
        <f t="shared" si="293"/>
        <v>#DIV/0!</v>
      </c>
      <c r="CBC133" s="531" t="e">
        <f t="shared" si="293"/>
        <v>#DIV/0!</v>
      </c>
      <c r="CBD133" s="531" t="e">
        <f t="shared" si="293"/>
        <v>#DIV/0!</v>
      </c>
      <c r="CBE133" s="531" t="e">
        <f t="shared" si="293"/>
        <v>#DIV/0!</v>
      </c>
      <c r="CBF133" s="531" t="e">
        <f t="shared" si="293"/>
        <v>#DIV/0!</v>
      </c>
      <c r="CBG133" s="531" t="e">
        <f t="shared" si="293"/>
        <v>#DIV/0!</v>
      </c>
      <c r="CBH133" s="531" t="e">
        <f t="shared" si="293"/>
        <v>#DIV/0!</v>
      </c>
      <c r="CBI133" s="531" t="e">
        <f t="shared" si="293"/>
        <v>#DIV/0!</v>
      </c>
      <c r="CBJ133" s="531" t="e">
        <f t="shared" si="293"/>
        <v>#DIV/0!</v>
      </c>
      <c r="CBK133" s="531" t="e">
        <f t="shared" si="293"/>
        <v>#DIV/0!</v>
      </c>
      <c r="CBL133" s="531" t="e">
        <f t="shared" si="293"/>
        <v>#DIV/0!</v>
      </c>
      <c r="CBM133" s="531" t="e">
        <f t="shared" si="293"/>
        <v>#DIV/0!</v>
      </c>
      <c r="CBN133" s="531" t="e">
        <f t="shared" si="293"/>
        <v>#DIV/0!</v>
      </c>
      <c r="CBO133" s="531" t="e">
        <f t="shared" si="293"/>
        <v>#DIV/0!</v>
      </c>
      <c r="CBP133" s="531" t="e">
        <f t="shared" si="293"/>
        <v>#DIV/0!</v>
      </c>
      <c r="CBQ133" s="531" t="e">
        <f t="shared" si="293"/>
        <v>#DIV/0!</v>
      </c>
      <c r="CBR133" s="531" t="e">
        <f t="shared" si="293"/>
        <v>#DIV/0!</v>
      </c>
      <c r="CBS133" s="531" t="e">
        <f t="shared" si="293"/>
        <v>#DIV/0!</v>
      </c>
      <c r="CBT133" s="531" t="e">
        <f t="shared" si="293"/>
        <v>#DIV/0!</v>
      </c>
      <c r="CBU133" s="531" t="e">
        <f t="shared" si="293"/>
        <v>#DIV/0!</v>
      </c>
      <c r="CBV133" s="531" t="e">
        <f t="shared" si="293"/>
        <v>#DIV/0!</v>
      </c>
      <c r="CBW133" s="531" t="e">
        <f t="shared" si="293"/>
        <v>#DIV/0!</v>
      </c>
      <c r="CBX133" s="531" t="e">
        <f t="shared" si="293"/>
        <v>#DIV/0!</v>
      </c>
      <c r="CBY133" s="531" t="e">
        <f t="shared" si="293"/>
        <v>#DIV/0!</v>
      </c>
      <c r="CBZ133" s="531" t="e">
        <f t="shared" si="293"/>
        <v>#DIV/0!</v>
      </c>
      <c r="CCA133" s="531" t="e">
        <f t="shared" si="293"/>
        <v>#DIV/0!</v>
      </c>
      <c r="CCB133" s="531" t="e">
        <f t="shared" si="293"/>
        <v>#DIV/0!</v>
      </c>
      <c r="CCC133" s="531" t="e">
        <f t="shared" si="293"/>
        <v>#DIV/0!</v>
      </c>
      <c r="CCD133" s="531" t="e">
        <f t="shared" si="293"/>
        <v>#DIV/0!</v>
      </c>
      <c r="CCE133" s="531" t="e">
        <f t="shared" si="293"/>
        <v>#DIV/0!</v>
      </c>
      <c r="CCF133" s="531" t="e">
        <f t="shared" si="293"/>
        <v>#DIV/0!</v>
      </c>
      <c r="CCG133" s="531" t="e">
        <f t="shared" si="293"/>
        <v>#DIV/0!</v>
      </c>
      <c r="CCH133" s="531" t="e">
        <f t="shared" si="293"/>
        <v>#DIV/0!</v>
      </c>
      <c r="CCI133" s="531" t="e">
        <f t="shared" si="293"/>
        <v>#DIV/0!</v>
      </c>
      <c r="CCJ133" s="531" t="e">
        <f t="shared" si="293"/>
        <v>#DIV/0!</v>
      </c>
      <c r="CCK133" s="531" t="e">
        <f t="shared" si="293"/>
        <v>#DIV/0!</v>
      </c>
      <c r="CCL133" s="531" t="e">
        <f t="shared" si="293"/>
        <v>#DIV/0!</v>
      </c>
      <c r="CCM133" s="531" t="e">
        <f t="shared" ref="CCM133:CEX133" si="294">CCM116/(CCM52*10^5)</f>
        <v>#DIV/0!</v>
      </c>
      <c r="CCN133" s="531" t="e">
        <f t="shared" si="294"/>
        <v>#DIV/0!</v>
      </c>
      <c r="CCO133" s="531" t="e">
        <f t="shared" si="294"/>
        <v>#DIV/0!</v>
      </c>
      <c r="CCP133" s="531" t="e">
        <f t="shared" si="294"/>
        <v>#DIV/0!</v>
      </c>
      <c r="CCQ133" s="531" t="e">
        <f t="shared" si="294"/>
        <v>#DIV/0!</v>
      </c>
      <c r="CCR133" s="531" t="e">
        <f t="shared" si="294"/>
        <v>#DIV/0!</v>
      </c>
      <c r="CCS133" s="531" t="e">
        <f t="shared" si="294"/>
        <v>#DIV/0!</v>
      </c>
      <c r="CCT133" s="531" t="e">
        <f t="shared" si="294"/>
        <v>#DIV/0!</v>
      </c>
      <c r="CCU133" s="531" t="e">
        <f t="shared" si="294"/>
        <v>#DIV/0!</v>
      </c>
      <c r="CCV133" s="531" t="e">
        <f t="shared" si="294"/>
        <v>#DIV/0!</v>
      </c>
      <c r="CCW133" s="531" t="e">
        <f t="shared" si="294"/>
        <v>#DIV/0!</v>
      </c>
      <c r="CCX133" s="531" t="e">
        <f t="shared" si="294"/>
        <v>#DIV/0!</v>
      </c>
      <c r="CCY133" s="531" t="e">
        <f t="shared" si="294"/>
        <v>#DIV/0!</v>
      </c>
      <c r="CCZ133" s="531" t="e">
        <f t="shared" si="294"/>
        <v>#DIV/0!</v>
      </c>
      <c r="CDA133" s="531" t="e">
        <f t="shared" si="294"/>
        <v>#DIV/0!</v>
      </c>
      <c r="CDB133" s="531" t="e">
        <f t="shared" si="294"/>
        <v>#DIV/0!</v>
      </c>
      <c r="CDC133" s="531" t="e">
        <f t="shared" si="294"/>
        <v>#DIV/0!</v>
      </c>
      <c r="CDD133" s="531" t="e">
        <f t="shared" si="294"/>
        <v>#DIV/0!</v>
      </c>
      <c r="CDE133" s="531" t="e">
        <f t="shared" si="294"/>
        <v>#DIV/0!</v>
      </c>
      <c r="CDF133" s="531" t="e">
        <f t="shared" si="294"/>
        <v>#DIV/0!</v>
      </c>
      <c r="CDG133" s="531" t="e">
        <f t="shared" si="294"/>
        <v>#DIV/0!</v>
      </c>
      <c r="CDH133" s="531" t="e">
        <f t="shared" si="294"/>
        <v>#DIV/0!</v>
      </c>
      <c r="CDI133" s="531" t="e">
        <f t="shared" si="294"/>
        <v>#DIV/0!</v>
      </c>
      <c r="CDJ133" s="531" t="e">
        <f t="shared" si="294"/>
        <v>#DIV/0!</v>
      </c>
      <c r="CDK133" s="531" t="e">
        <f t="shared" si="294"/>
        <v>#DIV/0!</v>
      </c>
      <c r="CDL133" s="531" t="e">
        <f t="shared" si="294"/>
        <v>#DIV/0!</v>
      </c>
      <c r="CDM133" s="531" t="e">
        <f t="shared" si="294"/>
        <v>#DIV/0!</v>
      </c>
      <c r="CDN133" s="531" t="e">
        <f t="shared" si="294"/>
        <v>#DIV/0!</v>
      </c>
      <c r="CDO133" s="531" t="e">
        <f t="shared" si="294"/>
        <v>#DIV/0!</v>
      </c>
      <c r="CDP133" s="531" t="e">
        <f t="shared" si="294"/>
        <v>#DIV/0!</v>
      </c>
      <c r="CDQ133" s="531" t="e">
        <f t="shared" si="294"/>
        <v>#DIV/0!</v>
      </c>
      <c r="CDR133" s="531" t="e">
        <f t="shared" si="294"/>
        <v>#DIV/0!</v>
      </c>
      <c r="CDS133" s="531" t="e">
        <f t="shared" si="294"/>
        <v>#DIV/0!</v>
      </c>
      <c r="CDT133" s="531" t="e">
        <f t="shared" si="294"/>
        <v>#DIV/0!</v>
      </c>
      <c r="CDU133" s="531" t="e">
        <f t="shared" si="294"/>
        <v>#DIV/0!</v>
      </c>
      <c r="CDV133" s="531" t="e">
        <f t="shared" si="294"/>
        <v>#DIV/0!</v>
      </c>
      <c r="CDW133" s="531" t="e">
        <f t="shared" si="294"/>
        <v>#DIV/0!</v>
      </c>
      <c r="CDX133" s="531" t="e">
        <f t="shared" si="294"/>
        <v>#DIV/0!</v>
      </c>
      <c r="CDY133" s="531" t="e">
        <f t="shared" si="294"/>
        <v>#DIV/0!</v>
      </c>
      <c r="CDZ133" s="531" t="e">
        <f t="shared" si="294"/>
        <v>#DIV/0!</v>
      </c>
      <c r="CEA133" s="531" t="e">
        <f t="shared" si="294"/>
        <v>#DIV/0!</v>
      </c>
      <c r="CEB133" s="531" t="e">
        <f t="shared" si="294"/>
        <v>#DIV/0!</v>
      </c>
      <c r="CEC133" s="531" t="e">
        <f t="shared" si="294"/>
        <v>#DIV/0!</v>
      </c>
      <c r="CED133" s="531" t="e">
        <f t="shared" si="294"/>
        <v>#DIV/0!</v>
      </c>
      <c r="CEE133" s="531" t="e">
        <f t="shared" si="294"/>
        <v>#DIV/0!</v>
      </c>
      <c r="CEF133" s="531" t="e">
        <f t="shared" si="294"/>
        <v>#DIV/0!</v>
      </c>
      <c r="CEG133" s="531" t="e">
        <f t="shared" si="294"/>
        <v>#DIV/0!</v>
      </c>
      <c r="CEH133" s="531" t="e">
        <f t="shared" si="294"/>
        <v>#DIV/0!</v>
      </c>
      <c r="CEI133" s="531" t="e">
        <f t="shared" si="294"/>
        <v>#DIV/0!</v>
      </c>
      <c r="CEJ133" s="531" t="e">
        <f t="shared" si="294"/>
        <v>#DIV/0!</v>
      </c>
      <c r="CEK133" s="531" t="e">
        <f t="shared" si="294"/>
        <v>#DIV/0!</v>
      </c>
      <c r="CEL133" s="531" t="e">
        <f t="shared" si="294"/>
        <v>#DIV/0!</v>
      </c>
      <c r="CEM133" s="531" t="e">
        <f t="shared" si="294"/>
        <v>#DIV/0!</v>
      </c>
      <c r="CEN133" s="531" t="e">
        <f t="shared" si="294"/>
        <v>#DIV/0!</v>
      </c>
      <c r="CEO133" s="531" t="e">
        <f t="shared" si="294"/>
        <v>#DIV/0!</v>
      </c>
      <c r="CEP133" s="531" t="e">
        <f t="shared" si="294"/>
        <v>#DIV/0!</v>
      </c>
      <c r="CEQ133" s="531" t="e">
        <f t="shared" si="294"/>
        <v>#DIV/0!</v>
      </c>
      <c r="CER133" s="531" t="e">
        <f t="shared" si="294"/>
        <v>#DIV/0!</v>
      </c>
      <c r="CES133" s="531" t="e">
        <f t="shared" si="294"/>
        <v>#DIV/0!</v>
      </c>
      <c r="CET133" s="531" t="e">
        <f t="shared" si="294"/>
        <v>#DIV/0!</v>
      </c>
      <c r="CEU133" s="531" t="e">
        <f t="shared" si="294"/>
        <v>#DIV/0!</v>
      </c>
      <c r="CEV133" s="531" t="e">
        <f t="shared" si="294"/>
        <v>#DIV/0!</v>
      </c>
      <c r="CEW133" s="531" t="e">
        <f t="shared" si="294"/>
        <v>#DIV/0!</v>
      </c>
      <c r="CEX133" s="531" t="e">
        <f t="shared" si="294"/>
        <v>#DIV/0!</v>
      </c>
      <c r="CEY133" s="531" t="e">
        <f t="shared" ref="CEY133:CHJ133" si="295">CEY116/(CEY52*10^5)</f>
        <v>#DIV/0!</v>
      </c>
      <c r="CEZ133" s="531" t="e">
        <f t="shared" si="295"/>
        <v>#DIV/0!</v>
      </c>
      <c r="CFA133" s="531" t="e">
        <f t="shared" si="295"/>
        <v>#DIV/0!</v>
      </c>
      <c r="CFB133" s="531" t="e">
        <f t="shared" si="295"/>
        <v>#DIV/0!</v>
      </c>
      <c r="CFC133" s="531" t="e">
        <f t="shared" si="295"/>
        <v>#DIV/0!</v>
      </c>
      <c r="CFD133" s="531" t="e">
        <f t="shared" si="295"/>
        <v>#DIV/0!</v>
      </c>
      <c r="CFE133" s="531" t="e">
        <f t="shared" si="295"/>
        <v>#DIV/0!</v>
      </c>
      <c r="CFF133" s="531" t="e">
        <f t="shared" si="295"/>
        <v>#DIV/0!</v>
      </c>
      <c r="CFG133" s="531" t="e">
        <f t="shared" si="295"/>
        <v>#DIV/0!</v>
      </c>
      <c r="CFH133" s="531" t="e">
        <f t="shared" si="295"/>
        <v>#DIV/0!</v>
      </c>
      <c r="CFI133" s="531" t="e">
        <f t="shared" si="295"/>
        <v>#DIV/0!</v>
      </c>
      <c r="CFJ133" s="531" t="e">
        <f t="shared" si="295"/>
        <v>#DIV/0!</v>
      </c>
      <c r="CFK133" s="531" t="e">
        <f t="shared" si="295"/>
        <v>#DIV/0!</v>
      </c>
      <c r="CFL133" s="531" t="e">
        <f t="shared" si="295"/>
        <v>#DIV/0!</v>
      </c>
      <c r="CFM133" s="531" t="e">
        <f t="shared" si="295"/>
        <v>#DIV/0!</v>
      </c>
      <c r="CFN133" s="531" t="e">
        <f t="shared" si="295"/>
        <v>#DIV/0!</v>
      </c>
      <c r="CFO133" s="531" t="e">
        <f t="shared" si="295"/>
        <v>#DIV/0!</v>
      </c>
      <c r="CFP133" s="531" t="e">
        <f t="shared" si="295"/>
        <v>#DIV/0!</v>
      </c>
      <c r="CFQ133" s="531" t="e">
        <f t="shared" si="295"/>
        <v>#DIV/0!</v>
      </c>
      <c r="CFR133" s="531" t="e">
        <f t="shared" si="295"/>
        <v>#DIV/0!</v>
      </c>
      <c r="CFS133" s="531" t="e">
        <f t="shared" si="295"/>
        <v>#DIV/0!</v>
      </c>
      <c r="CFT133" s="531" t="e">
        <f t="shared" si="295"/>
        <v>#DIV/0!</v>
      </c>
      <c r="CFU133" s="531" t="e">
        <f t="shared" si="295"/>
        <v>#DIV/0!</v>
      </c>
      <c r="CFV133" s="531" t="e">
        <f t="shared" si="295"/>
        <v>#DIV/0!</v>
      </c>
      <c r="CFW133" s="531" t="e">
        <f t="shared" si="295"/>
        <v>#DIV/0!</v>
      </c>
      <c r="CFX133" s="531" t="e">
        <f t="shared" si="295"/>
        <v>#DIV/0!</v>
      </c>
      <c r="CFY133" s="531" t="e">
        <f t="shared" si="295"/>
        <v>#DIV/0!</v>
      </c>
      <c r="CFZ133" s="531" t="e">
        <f t="shared" si="295"/>
        <v>#DIV/0!</v>
      </c>
      <c r="CGA133" s="531" t="e">
        <f t="shared" si="295"/>
        <v>#DIV/0!</v>
      </c>
      <c r="CGB133" s="531" t="e">
        <f t="shared" si="295"/>
        <v>#DIV/0!</v>
      </c>
      <c r="CGC133" s="531" t="e">
        <f t="shared" si="295"/>
        <v>#DIV/0!</v>
      </c>
      <c r="CGD133" s="531" t="e">
        <f t="shared" si="295"/>
        <v>#DIV/0!</v>
      </c>
      <c r="CGE133" s="531" t="e">
        <f t="shared" si="295"/>
        <v>#DIV/0!</v>
      </c>
      <c r="CGF133" s="531" t="e">
        <f t="shared" si="295"/>
        <v>#DIV/0!</v>
      </c>
      <c r="CGG133" s="531" t="e">
        <f t="shared" si="295"/>
        <v>#DIV/0!</v>
      </c>
      <c r="CGH133" s="531" t="e">
        <f t="shared" si="295"/>
        <v>#DIV/0!</v>
      </c>
      <c r="CGI133" s="531" t="e">
        <f t="shared" si="295"/>
        <v>#DIV/0!</v>
      </c>
      <c r="CGJ133" s="531" t="e">
        <f t="shared" si="295"/>
        <v>#DIV/0!</v>
      </c>
      <c r="CGK133" s="531" t="e">
        <f t="shared" si="295"/>
        <v>#DIV/0!</v>
      </c>
      <c r="CGL133" s="531" t="e">
        <f t="shared" si="295"/>
        <v>#DIV/0!</v>
      </c>
      <c r="CGM133" s="531" t="e">
        <f t="shared" si="295"/>
        <v>#DIV/0!</v>
      </c>
      <c r="CGN133" s="531" t="e">
        <f t="shared" si="295"/>
        <v>#DIV/0!</v>
      </c>
      <c r="CGO133" s="531" t="e">
        <f t="shared" si="295"/>
        <v>#DIV/0!</v>
      </c>
      <c r="CGP133" s="531" t="e">
        <f t="shared" si="295"/>
        <v>#DIV/0!</v>
      </c>
      <c r="CGQ133" s="531" t="e">
        <f t="shared" si="295"/>
        <v>#DIV/0!</v>
      </c>
      <c r="CGR133" s="531" t="e">
        <f t="shared" si="295"/>
        <v>#DIV/0!</v>
      </c>
      <c r="CGS133" s="531" t="e">
        <f t="shared" si="295"/>
        <v>#DIV/0!</v>
      </c>
      <c r="CGT133" s="531" t="e">
        <f t="shared" si="295"/>
        <v>#DIV/0!</v>
      </c>
      <c r="CGU133" s="531" t="e">
        <f t="shared" si="295"/>
        <v>#DIV/0!</v>
      </c>
      <c r="CGV133" s="531" t="e">
        <f t="shared" si="295"/>
        <v>#DIV/0!</v>
      </c>
      <c r="CGW133" s="531" t="e">
        <f t="shared" si="295"/>
        <v>#DIV/0!</v>
      </c>
      <c r="CGX133" s="531" t="e">
        <f t="shared" si="295"/>
        <v>#DIV/0!</v>
      </c>
      <c r="CGY133" s="531" t="e">
        <f t="shared" si="295"/>
        <v>#DIV/0!</v>
      </c>
      <c r="CGZ133" s="531" t="e">
        <f t="shared" si="295"/>
        <v>#DIV/0!</v>
      </c>
      <c r="CHA133" s="531" t="e">
        <f t="shared" si="295"/>
        <v>#DIV/0!</v>
      </c>
      <c r="CHB133" s="531" t="e">
        <f t="shared" si="295"/>
        <v>#DIV/0!</v>
      </c>
      <c r="CHC133" s="531" t="e">
        <f t="shared" si="295"/>
        <v>#DIV/0!</v>
      </c>
      <c r="CHD133" s="531" t="e">
        <f t="shared" si="295"/>
        <v>#DIV/0!</v>
      </c>
      <c r="CHE133" s="531" t="e">
        <f t="shared" si="295"/>
        <v>#DIV/0!</v>
      </c>
      <c r="CHF133" s="531" t="e">
        <f t="shared" si="295"/>
        <v>#DIV/0!</v>
      </c>
      <c r="CHG133" s="531" t="e">
        <f t="shared" si="295"/>
        <v>#DIV/0!</v>
      </c>
      <c r="CHH133" s="531" t="e">
        <f t="shared" si="295"/>
        <v>#DIV/0!</v>
      </c>
      <c r="CHI133" s="531" t="e">
        <f t="shared" si="295"/>
        <v>#DIV/0!</v>
      </c>
      <c r="CHJ133" s="531" t="e">
        <f t="shared" si="295"/>
        <v>#DIV/0!</v>
      </c>
      <c r="CHK133" s="531" t="e">
        <f t="shared" ref="CHK133:CJV133" si="296">CHK116/(CHK52*10^5)</f>
        <v>#DIV/0!</v>
      </c>
      <c r="CHL133" s="531" t="e">
        <f t="shared" si="296"/>
        <v>#DIV/0!</v>
      </c>
      <c r="CHM133" s="531" t="e">
        <f t="shared" si="296"/>
        <v>#DIV/0!</v>
      </c>
      <c r="CHN133" s="531" t="e">
        <f t="shared" si="296"/>
        <v>#DIV/0!</v>
      </c>
      <c r="CHO133" s="531" t="e">
        <f t="shared" si="296"/>
        <v>#DIV/0!</v>
      </c>
      <c r="CHP133" s="531" t="e">
        <f t="shared" si="296"/>
        <v>#DIV/0!</v>
      </c>
      <c r="CHQ133" s="531" t="e">
        <f t="shared" si="296"/>
        <v>#DIV/0!</v>
      </c>
      <c r="CHR133" s="531" t="e">
        <f t="shared" si="296"/>
        <v>#DIV/0!</v>
      </c>
      <c r="CHS133" s="531" t="e">
        <f t="shared" si="296"/>
        <v>#DIV/0!</v>
      </c>
      <c r="CHT133" s="531" t="e">
        <f t="shared" si="296"/>
        <v>#DIV/0!</v>
      </c>
      <c r="CHU133" s="531" t="e">
        <f t="shared" si="296"/>
        <v>#DIV/0!</v>
      </c>
      <c r="CHV133" s="531" t="e">
        <f t="shared" si="296"/>
        <v>#DIV/0!</v>
      </c>
      <c r="CHW133" s="531" t="e">
        <f t="shared" si="296"/>
        <v>#DIV/0!</v>
      </c>
      <c r="CHX133" s="531" t="e">
        <f t="shared" si="296"/>
        <v>#DIV/0!</v>
      </c>
      <c r="CHY133" s="531" t="e">
        <f t="shared" si="296"/>
        <v>#DIV/0!</v>
      </c>
      <c r="CHZ133" s="531" t="e">
        <f t="shared" si="296"/>
        <v>#DIV/0!</v>
      </c>
      <c r="CIA133" s="531" t="e">
        <f t="shared" si="296"/>
        <v>#DIV/0!</v>
      </c>
      <c r="CIB133" s="531" t="e">
        <f t="shared" si="296"/>
        <v>#DIV/0!</v>
      </c>
      <c r="CIC133" s="531" t="e">
        <f t="shared" si="296"/>
        <v>#DIV/0!</v>
      </c>
      <c r="CID133" s="531" t="e">
        <f t="shared" si="296"/>
        <v>#DIV/0!</v>
      </c>
      <c r="CIE133" s="531" t="e">
        <f t="shared" si="296"/>
        <v>#DIV/0!</v>
      </c>
      <c r="CIF133" s="531" t="e">
        <f t="shared" si="296"/>
        <v>#DIV/0!</v>
      </c>
      <c r="CIG133" s="531" t="e">
        <f t="shared" si="296"/>
        <v>#DIV/0!</v>
      </c>
      <c r="CIH133" s="531" t="e">
        <f t="shared" si="296"/>
        <v>#DIV/0!</v>
      </c>
      <c r="CII133" s="531" t="e">
        <f t="shared" si="296"/>
        <v>#DIV/0!</v>
      </c>
      <c r="CIJ133" s="531" t="e">
        <f t="shared" si="296"/>
        <v>#DIV/0!</v>
      </c>
      <c r="CIK133" s="531" t="e">
        <f t="shared" si="296"/>
        <v>#DIV/0!</v>
      </c>
      <c r="CIL133" s="531" t="e">
        <f t="shared" si="296"/>
        <v>#DIV/0!</v>
      </c>
      <c r="CIM133" s="531" t="e">
        <f t="shared" si="296"/>
        <v>#DIV/0!</v>
      </c>
      <c r="CIN133" s="531" t="e">
        <f t="shared" si="296"/>
        <v>#DIV/0!</v>
      </c>
      <c r="CIO133" s="531" t="e">
        <f t="shared" si="296"/>
        <v>#DIV/0!</v>
      </c>
      <c r="CIP133" s="531" t="e">
        <f t="shared" si="296"/>
        <v>#DIV/0!</v>
      </c>
      <c r="CIQ133" s="531" t="e">
        <f t="shared" si="296"/>
        <v>#DIV/0!</v>
      </c>
      <c r="CIR133" s="531" t="e">
        <f t="shared" si="296"/>
        <v>#DIV/0!</v>
      </c>
      <c r="CIS133" s="531" t="e">
        <f t="shared" si="296"/>
        <v>#DIV/0!</v>
      </c>
      <c r="CIT133" s="531" t="e">
        <f t="shared" si="296"/>
        <v>#DIV/0!</v>
      </c>
      <c r="CIU133" s="531" t="e">
        <f t="shared" si="296"/>
        <v>#DIV/0!</v>
      </c>
      <c r="CIV133" s="531" t="e">
        <f t="shared" si="296"/>
        <v>#DIV/0!</v>
      </c>
      <c r="CIW133" s="531" t="e">
        <f t="shared" si="296"/>
        <v>#DIV/0!</v>
      </c>
      <c r="CIX133" s="531" t="e">
        <f t="shared" si="296"/>
        <v>#DIV/0!</v>
      </c>
      <c r="CIY133" s="531" t="e">
        <f t="shared" si="296"/>
        <v>#DIV/0!</v>
      </c>
      <c r="CIZ133" s="531" t="e">
        <f t="shared" si="296"/>
        <v>#DIV/0!</v>
      </c>
      <c r="CJA133" s="531" t="e">
        <f t="shared" si="296"/>
        <v>#DIV/0!</v>
      </c>
      <c r="CJB133" s="531" t="e">
        <f t="shared" si="296"/>
        <v>#DIV/0!</v>
      </c>
      <c r="CJC133" s="531" t="e">
        <f t="shared" si="296"/>
        <v>#DIV/0!</v>
      </c>
      <c r="CJD133" s="531" t="e">
        <f t="shared" si="296"/>
        <v>#DIV/0!</v>
      </c>
      <c r="CJE133" s="531" t="e">
        <f t="shared" si="296"/>
        <v>#DIV/0!</v>
      </c>
      <c r="CJF133" s="531" t="e">
        <f t="shared" si="296"/>
        <v>#DIV/0!</v>
      </c>
      <c r="CJG133" s="531" t="e">
        <f t="shared" si="296"/>
        <v>#DIV/0!</v>
      </c>
      <c r="CJH133" s="531" t="e">
        <f t="shared" si="296"/>
        <v>#DIV/0!</v>
      </c>
      <c r="CJI133" s="531" t="e">
        <f t="shared" si="296"/>
        <v>#DIV/0!</v>
      </c>
      <c r="CJJ133" s="531" t="e">
        <f t="shared" si="296"/>
        <v>#DIV/0!</v>
      </c>
      <c r="CJK133" s="531" t="e">
        <f t="shared" si="296"/>
        <v>#DIV/0!</v>
      </c>
      <c r="CJL133" s="531" t="e">
        <f t="shared" si="296"/>
        <v>#DIV/0!</v>
      </c>
      <c r="CJM133" s="531" t="e">
        <f t="shared" si="296"/>
        <v>#DIV/0!</v>
      </c>
      <c r="CJN133" s="531" t="e">
        <f t="shared" si="296"/>
        <v>#DIV/0!</v>
      </c>
      <c r="CJO133" s="531" t="e">
        <f t="shared" si="296"/>
        <v>#DIV/0!</v>
      </c>
      <c r="CJP133" s="531" t="e">
        <f t="shared" si="296"/>
        <v>#DIV/0!</v>
      </c>
      <c r="CJQ133" s="531" t="e">
        <f t="shared" si="296"/>
        <v>#DIV/0!</v>
      </c>
      <c r="CJR133" s="531" t="e">
        <f t="shared" si="296"/>
        <v>#DIV/0!</v>
      </c>
      <c r="CJS133" s="531" t="e">
        <f t="shared" si="296"/>
        <v>#DIV/0!</v>
      </c>
      <c r="CJT133" s="531" t="e">
        <f t="shared" si="296"/>
        <v>#DIV/0!</v>
      </c>
      <c r="CJU133" s="531" t="e">
        <f t="shared" si="296"/>
        <v>#DIV/0!</v>
      </c>
      <c r="CJV133" s="531" t="e">
        <f t="shared" si="296"/>
        <v>#DIV/0!</v>
      </c>
      <c r="CJW133" s="531" t="e">
        <f t="shared" ref="CJW133:CMH133" si="297">CJW116/(CJW52*10^5)</f>
        <v>#DIV/0!</v>
      </c>
      <c r="CJX133" s="531" t="e">
        <f t="shared" si="297"/>
        <v>#DIV/0!</v>
      </c>
      <c r="CJY133" s="531" t="e">
        <f t="shared" si="297"/>
        <v>#DIV/0!</v>
      </c>
      <c r="CJZ133" s="531" t="e">
        <f t="shared" si="297"/>
        <v>#DIV/0!</v>
      </c>
      <c r="CKA133" s="531" t="e">
        <f t="shared" si="297"/>
        <v>#DIV/0!</v>
      </c>
      <c r="CKB133" s="531" t="e">
        <f t="shared" si="297"/>
        <v>#DIV/0!</v>
      </c>
      <c r="CKC133" s="531" t="e">
        <f t="shared" si="297"/>
        <v>#DIV/0!</v>
      </c>
      <c r="CKD133" s="531" t="e">
        <f t="shared" si="297"/>
        <v>#DIV/0!</v>
      </c>
      <c r="CKE133" s="531" t="e">
        <f t="shared" si="297"/>
        <v>#DIV/0!</v>
      </c>
      <c r="CKF133" s="531" t="e">
        <f t="shared" si="297"/>
        <v>#DIV/0!</v>
      </c>
      <c r="CKG133" s="531" t="e">
        <f t="shared" si="297"/>
        <v>#DIV/0!</v>
      </c>
      <c r="CKH133" s="531" t="e">
        <f t="shared" si="297"/>
        <v>#DIV/0!</v>
      </c>
      <c r="CKI133" s="531" t="e">
        <f t="shared" si="297"/>
        <v>#DIV/0!</v>
      </c>
      <c r="CKJ133" s="531" t="e">
        <f t="shared" si="297"/>
        <v>#DIV/0!</v>
      </c>
      <c r="CKK133" s="531" t="e">
        <f t="shared" si="297"/>
        <v>#DIV/0!</v>
      </c>
      <c r="CKL133" s="531" t="e">
        <f t="shared" si="297"/>
        <v>#DIV/0!</v>
      </c>
      <c r="CKM133" s="531" t="e">
        <f t="shared" si="297"/>
        <v>#DIV/0!</v>
      </c>
      <c r="CKN133" s="531" t="e">
        <f t="shared" si="297"/>
        <v>#DIV/0!</v>
      </c>
      <c r="CKO133" s="531" t="e">
        <f t="shared" si="297"/>
        <v>#DIV/0!</v>
      </c>
      <c r="CKP133" s="531" t="e">
        <f t="shared" si="297"/>
        <v>#DIV/0!</v>
      </c>
      <c r="CKQ133" s="531" t="e">
        <f t="shared" si="297"/>
        <v>#DIV/0!</v>
      </c>
      <c r="CKR133" s="531" t="e">
        <f t="shared" si="297"/>
        <v>#DIV/0!</v>
      </c>
      <c r="CKS133" s="531" t="e">
        <f t="shared" si="297"/>
        <v>#DIV/0!</v>
      </c>
      <c r="CKT133" s="531" t="e">
        <f t="shared" si="297"/>
        <v>#DIV/0!</v>
      </c>
      <c r="CKU133" s="531" t="e">
        <f t="shared" si="297"/>
        <v>#DIV/0!</v>
      </c>
      <c r="CKV133" s="531" t="e">
        <f t="shared" si="297"/>
        <v>#DIV/0!</v>
      </c>
      <c r="CKW133" s="531" t="e">
        <f t="shared" si="297"/>
        <v>#DIV/0!</v>
      </c>
      <c r="CKX133" s="531" t="e">
        <f t="shared" si="297"/>
        <v>#DIV/0!</v>
      </c>
      <c r="CKY133" s="531" t="e">
        <f t="shared" si="297"/>
        <v>#DIV/0!</v>
      </c>
      <c r="CKZ133" s="531" t="e">
        <f t="shared" si="297"/>
        <v>#DIV/0!</v>
      </c>
      <c r="CLA133" s="531" t="e">
        <f t="shared" si="297"/>
        <v>#DIV/0!</v>
      </c>
      <c r="CLB133" s="531" t="e">
        <f t="shared" si="297"/>
        <v>#DIV/0!</v>
      </c>
      <c r="CLC133" s="531" t="e">
        <f t="shared" si="297"/>
        <v>#DIV/0!</v>
      </c>
      <c r="CLD133" s="531" t="e">
        <f t="shared" si="297"/>
        <v>#DIV/0!</v>
      </c>
      <c r="CLE133" s="531" t="e">
        <f t="shared" si="297"/>
        <v>#DIV/0!</v>
      </c>
      <c r="CLF133" s="531" t="e">
        <f t="shared" si="297"/>
        <v>#DIV/0!</v>
      </c>
      <c r="CLG133" s="531" t="e">
        <f t="shared" si="297"/>
        <v>#DIV/0!</v>
      </c>
      <c r="CLH133" s="531" t="e">
        <f t="shared" si="297"/>
        <v>#DIV/0!</v>
      </c>
      <c r="CLI133" s="531" t="e">
        <f t="shared" si="297"/>
        <v>#DIV/0!</v>
      </c>
      <c r="CLJ133" s="531" t="e">
        <f t="shared" si="297"/>
        <v>#DIV/0!</v>
      </c>
      <c r="CLK133" s="531" t="e">
        <f t="shared" si="297"/>
        <v>#DIV/0!</v>
      </c>
      <c r="CLL133" s="531" t="e">
        <f t="shared" si="297"/>
        <v>#DIV/0!</v>
      </c>
      <c r="CLM133" s="531" t="e">
        <f t="shared" si="297"/>
        <v>#DIV/0!</v>
      </c>
      <c r="CLN133" s="531" t="e">
        <f t="shared" si="297"/>
        <v>#DIV/0!</v>
      </c>
      <c r="CLO133" s="531" t="e">
        <f t="shared" si="297"/>
        <v>#DIV/0!</v>
      </c>
      <c r="CLP133" s="531" t="e">
        <f t="shared" si="297"/>
        <v>#DIV/0!</v>
      </c>
      <c r="CLQ133" s="531" t="e">
        <f t="shared" si="297"/>
        <v>#DIV/0!</v>
      </c>
      <c r="CLR133" s="531" t="e">
        <f t="shared" si="297"/>
        <v>#DIV/0!</v>
      </c>
      <c r="CLS133" s="531" t="e">
        <f t="shared" si="297"/>
        <v>#DIV/0!</v>
      </c>
      <c r="CLT133" s="531" t="e">
        <f t="shared" si="297"/>
        <v>#DIV/0!</v>
      </c>
      <c r="CLU133" s="531" t="e">
        <f t="shared" si="297"/>
        <v>#DIV/0!</v>
      </c>
      <c r="CLV133" s="531" t="e">
        <f t="shared" si="297"/>
        <v>#DIV/0!</v>
      </c>
      <c r="CLW133" s="531" t="e">
        <f t="shared" si="297"/>
        <v>#DIV/0!</v>
      </c>
      <c r="CLX133" s="531" t="e">
        <f t="shared" si="297"/>
        <v>#DIV/0!</v>
      </c>
      <c r="CLY133" s="531" t="e">
        <f t="shared" si="297"/>
        <v>#DIV/0!</v>
      </c>
      <c r="CLZ133" s="531" t="e">
        <f t="shared" si="297"/>
        <v>#DIV/0!</v>
      </c>
      <c r="CMA133" s="531" t="e">
        <f t="shared" si="297"/>
        <v>#DIV/0!</v>
      </c>
      <c r="CMB133" s="531" t="e">
        <f t="shared" si="297"/>
        <v>#DIV/0!</v>
      </c>
      <c r="CMC133" s="531" t="e">
        <f t="shared" si="297"/>
        <v>#DIV/0!</v>
      </c>
      <c r="CMD133" s="531" t="e">
        <f t="shared" si="297"/>
        <v>#DIV/0!</v>
      </c>
      <c r="CME133" s="531" t="e">
        <f t="shared" si="297"/>
        <v>#DIV/0!</v>
      </c>
      <c r="CMF133" s="531" t="e">
        <f t="shared" si="297"/>
        <v>#DIV/0!</v>
      </c>
      <c r="CMG133" s="531" t="e">
        <f t="shared" si="297"/>
        <v>#DIV/0!</v>
      </c>
      <c r="CMH133" s="531" t="e">
        <f t="shared" si="297"/>
        <v>#DIV/0!</v>
      </c>
      <c r="CMI133" s="531" t="e">
        <f t="shared" ref="CMI133:COT133" si="298">CMI116/(CMI52*10^5)</f>
        <v>#DIV/0!</v>
      </c>
      <c r="CMJ133" s="531" t="e">
        <f t="shared" si="298"/>
        <v>#DIV/0!</v>
      </c>
      <c r="CMK133" s="531" t="e">
        <f t="shared" si="298"/>
        <v>#DIV/0!</v>
      </c>
      <c r="CML133" s="531" t="e">
        <f t="shared" si="298"/>
        <v>#DIV/0!</v>
      </c>
      <c r="CMM133" s="531" t="e">
        <f t="shared" si="298"/>
        <v>#DIV/0!</v>
      </c>
      <c r="CMN133" s="531" t="e">
        <f t="shared" si="298"/>
        <v>#DIV/0!</v>
      </c>
      <c r="CMO133" s="531" t="e">
        <f t="shared" si="298"/>
        <v>#DIV/0!</v>
      </c>
      <c r="CMP133" s="531" t="e">
        <f t="shared" si="298"/>
        <v>#DIV/0!</v>
      </c>
      <c r="CMQ133" s="531" t="e">
        <f t="shared" si="298"/>
        <v>#DIV/0!</v>
      </c>
      <c r="CMR133" s="531" t="e">
        <f t="shared" si="298"/>
        <v>#DIV/0!</v>
      </c>
      <c r="CMS133" s="531" t="e">
        <f t="shared" si="298"/>
        <v>#DIV/0!</v>
      </c>
      <c r="CMT133" s="531" t="e">
        <f t="shared" si="298"/>
        <v>#DIV/0!</v>
      </c>
      <c r="CMU133" s="531" t="e">
        <f t="shared" si="298"/>
        <v>#DIV/0!</v>
      </c>
      <c r="CMV133" s="531" t="e">
        <f t="shared" si="298"/>
        <v>#DIV/0!</v>
      </c>
      <c r="CMW133" s="531" t="e">
        <f t="shared" si="298"/>
        <v>#DIV/0!</v>
      </c>
      <c r="CMX133" s="531" t="e">
        <f t="shared" si="298"/>
        <v>#DIV/0!</v>
      </c>
      <c r="CMY133" s="531" t="e">
        <f t="shared" si="298"/>
        <v>#DIV/0!</v>
      </c>
      <c r="CMZ133" s="531" t="e">
        <f t="shared" si="298"/>
        <v>#DIV/0!</v>
      </c>
      <c r="CNA133" s="531" t="e">
        <f t="shared" si="298"/>
        <v>#DIV/0!</v>
      </c>
      <c r="CNB133" s="531" t="e">
        <f t="shared" si="298"/>
        <v>#DIV/0!</v>
      </c>
      <c r="CNC133" s="531" t="e">
        <f t="shared" si="298"/>
        <v>#DIV/0!</v>
      </c>
      <c r="CND133" s="531" t="e">
        <f t="shared" si="298"/>
        <v>#DIV/0!</v>
      </c>
      <c r="CNE133" s="531" t="e">
        <f t="shared" si="298"/>
        <v>#DIV/0!</v>
      </c>
      <c r="CNF133" s="531" t="e">
        <f t="shared" si="298"/>
        <v>#DIV/0!</v>
      </c>
      <c r="CNG133" s="531" t="e">
        <f t="shared" si="298"/>
        <v>#DIV/0!</v>
      </c>
      <c r="CNH133" s="531" t="e">
        <f t="shared" si="298"/>
        <v>#DIV/0!</v>
      </c>
      <c r="CNI133" s="531" t="e">
        <f t="shared" si="298"/>
        <v>#DIV/0!</v>
      </c>
      <c r="CNJ133" s="531" t="e">
        <f t="shared" si="298"/>
        <v>#DIV/0!</v>
      </c>
      <c r="CNK133" s="531" t="e">
        <f t="shared" si="298"/>
        <v>#DIV/0!</v>
      </c>
      <c r="CNL133" s="531" t="e">
        <f t="shared" si="298"/>
        <v>#DIV/0!</v>
      </c>
      <c r="CNM133" s="531" t="e">
        <f t="shared" si="298"/>
        <v>#DIV/0!</v>
      </c>
      <c r="CNN133" s="531" t="e">
        <f t="shared" si="298"/>
        <v>#DIV/0!</v>
      </c>
      <c r="CNO133" s="531" t="e">
        <f t="shared" si="298"/>
        <v>#DIV/0!</v>
      </c>
      <c r="CNP133" s="531" t="e">
        <f t="shared" si="298"/>
        <v>#DIV/0!</v>
      </c>
      <c r="CNQ133" s="531" t="e">
        <f t="shared" si="298"/>
        <v>#DIV/0!</v>
      </c>
      <c r="CNR133" s="531" t="e">
        <f t="shared" si="298"/>
        <v>#DIV/0!</v>
      </c>
      <c r="CNS133" s="531" t="e">
        <f t="shared" si="298"/>
        <v>#DIV/0!</v>
      </c>
      <c r="CNT133" s="531" t="e">
        <f t="shared" si="298"/>
        <v>#DIV/0!</v>
      </c>
      <c r="CNU133" s="531" t="e">
        <f t="shared" si="298"/>
        <v>#DIV/0!</v>
      </c>
      <c r="CNV133" s="531" t="e">
        <f t="shared" si="298"/>
        <v>#DIV/0!</v>
      </c>
      <c r="CNW133" s="531" t="e">
        <f t="shared" si="298"/>
        <v>#DIV/0!</v>
      </c>
      <c r="CNX133" s="531" t="e">
        <f t="shared" si="298"/>
        <v>#DIV/0!</v>
      </c>
      <c r="CNY133" s="531" t="e">
        <f t="shared" si="298"/>
        <v>#DIV/0!</v>
      </c>
      <c r="CNZ133" s="531" t="e">
        <f t="shared" si="298"/>
        <v>#DIV/0!</v>
      </c>
      <c r="COA133" s="531" t="e">
        <f t="shared" si="298"/>
        <v>#DIV/0!</v>
      </c>
      <c r="COB133" s="531" t="e">
        <f t="shared" si="298"/>
        <v>#DIV/0!</v>
      </c>
      <c r="COC133" s="531" t="e">
        <f t="shared" si="298"/>
        <v>#DIV/0!</v>
      </c>
      <c r="COD133" s="531" t="e">
        <f t="shared" si="298"/>
        <v>#DIV/0!</v>
      </c>
      <c r="COE133" s="531" t="e">
        <f t="shared" si="298"/>
        <v>#DIV/0!</v>
      </c>
      <c r="COF133" s="531" t="e">
        <f t="shared" si="298"/>
        <v>#DIV/0!</v>
      </c>
      <c r="COG133" s="531" t="e">
        <f t="shared" si="298"/>
        <v>#DIV/0!</v>
      </c>
      <c r="COH133" s="531" t="e">
        <f t="shared" si="298"/>
        <v>#DIV/0!</v>
      </c>
      <c r="COI133" s="531" t="e">
        <f t="shared" si="298"/>
        <v>#DIV/0!</v>
      </c>
      <c r="COJ133" s="531" t="e">
        <f t="shared" si="298"/>
        <v>#DIV/0!</v>
      </c>
      <c r="COK133" s="531" t="e">
        <f t="shared" si="298"/>
        <v>#DIV/0!</v>
      </c>
      <c r="COL133" s="531" t="e">
        <f t="shared" si="298"/>
        <v>#DIV/0!</v>
      </c>
      <c r="COM133" s="531" t="e">
        <f t="shared" si="298"/>
        <v>#DIV/0!</v>
      </c>
      <c r="CON133" s="531" t="e">
        <f t="shared" si="298"/>
        <v>#DIV/0!</v>
      </c>
      <c r="COO133" s="531" t="e">
        <f t="shared" si="298"/>
        <v>#DIV/0!</v>
      </c>
      <c r="COP133" s="531" t="e">
        <f t="shared" si="298"/>
        <v>#DIV/0!</v>
      </c>
      <c r="COQ133" s="531" t="e">
        <f t="shared" si="298"/>
        <v>#DIV/0!</v>
      </c>
      <c r="COR133" s="531" t="e">
        <f t="shared" si="298"/>
        <v>#DIV/0!</v>
      </c>
      <c r="COS133" s="531" t="e">
        <f t="shared" si="298"/>
        <v>#DIV/0!</v>
      </c>
      <c r="COT133" s="531" t="e">
        <f t="shared" si="298"/>
        <v>#DIV/0!</v>
      </c>
      <c r="COU133" s="531" t="e">
        <f t="shared" ref="COU133:CRF133" si="299">COU116/(COU52*10^5)</f>
        <v>#DIV/0!</v>
      </c>
      <c r="COV133" s="531" t="e">
        <f t="shared" si="299"/>
        <v>#DIV/0!</v>
      </c>
      <c r="COW133" s="531" t="e">
        <f t="shared" si="299"/>
        <v>#DIV/0!</v>
      </c>
      <c r="COX133" s="531" t="e">
        <f t="shared" si="299"/>
        <v>#DIV/0!</v>
      </c>
      <c r="COY133" s="531" t="e">
        <f t="shared" si="299"/>
        <v>#DIV/0!</v>
      </c>
      <c r="COZ133" s="531" t="e">
        <f t="shared" si="299"/>
        <v>#DIV/0!</v>
      </c>
      <c r="CPA133" s="531" t="e">
        <f t="shared" si="299"/>
        <v>#DIV/0!</v>
      </c>
      <c r="CPB133" s="531" t="e">
        <f t="shared" si="299"/>
        <v>#DIV/0!</v>
      </c>
      <c r="CPC133" s="531" t="e">
        <f t="shared" si="299"/>
        <v>#DIV/0!</v>
      </c>
      <c r="CPD133" s="531" t="e">
        <f t="shared" si="299"/>
        <v>#DIV/0!</v>
      </c>
      <c r="CPE133" s="531" t="e">
        <f t="shared" si="299"/>
        <v>#DIV/0!</v>
      </c>
      <c r="CPF133" s="531" t="e">
        <f t="shared" si="299"/>
        <v>#DIV/0!</v>
      </c>
      <c r="CPG133" s="531" t="e">
        <f t="shared" si="299"/>
        <v>#DIV/0!</v>
      </c>
      <c r="CPH133" s="531" t="e">
        <f t="shared" si="299"/>
        <v>#DIV/0!</v>
      </c>
      <c r="CPI133" s="531" t="e">
        <f t="shared" si="299"/>
        <v>#DIV/0!</v>
      </c>
      <c r="CPJ133" s="531" t="e">
        <f t="shared" si="299"/>
        <v>#DIV/0!</v>
      </c>
      <c r="CPK133" s="531" t="e">
        <f t="shared" si="299"/>
        <v>#DIV/0!</v>
      </c>
      <c r="CPL133" s="531" t="e">
        <f t="shared" si="299"/>
        <v>#DIV/0!</v>
      </c>
      <c r="CPM133" s="531" t="e">
        <f t="shared" si="299"/>
        <v>#DIV/0!</v>
      </c>
      <c r="CPN133" s="531" t="e">
        <f t="shared" si="299"/>
        <v>#DIV/0!</v>
      </c>
      <c r="CPO133" s="531" t="e">
        <f t="shared" si="299"/>
        <v>#DIV/0!</v>
      </c>
      <c r="CPP133" s="531" t="e">
        <f t="shared" si="299"/>
        <v>#DIV/0!</v>
      </c>
      <c r="CPQ133" s="531" t="e">
        <f t="shared" si="299"/>
        <v>#DIV/0!</v>
      </c>
      <c r="CPR133" s="531" t="e">
        <f t="shared" si="299"/>
        <v>#DIV/0!</v>
      </c>
      <c r="CPS133" s="531" t="e">
        <f t="shared" si="299"/>
        <v>#DIV/0!</v>
      </c>
      <c r="CPT133" s="531" t="e">
        <f t="shared" si="299"/>
        <v>#DIV/0!</v>
      </c>
      <c r="CPU133" s="531" t="e">
        <f t="shared" si="299"/>
        <v>#DIV/0!</v>
      </c>
      <c r="CPV133" s="531" t="e">
        <f t="shared" si="299"/>
        <v>#DIV/0!</v>
      </c>
      <c r="CPW133" s="531" t="e">
        <f t="shared" si="299"/>
        <v>#DIV/0!</v>
      </c>
      <c r="CPX133" s="531" t="e">
        <f t="shared" si="299"/>
        <v>#DIV/0!</v>
      </c>
      <c r="CPY133" s="531" t="e">
        <f t="shared" si="299"/>
        <v>#DIV/0!</v>
      </c>
      <c r="CPZ133" s="531" t="e">
        <f t="shared" si="299"/>
        <v>#DIV/0!</v>
      </c>
      <c r="CQA133" s="531" t="e">
        <f t="shared" si="299"/>
        <v>#DIV/0!</v>
      </c>
      <c r="CQB133" s="531" t="e">
        <f t="shared" si="299"/>
        <v>#DIV/0!</v>
      </c>
      <c r="CQC133" s="531" t="e">
        <f t="shared" si="299"/>
        <v>#DIV/0!</v>
      </c>
      <c r="CQD133" s="531" t="e">
        <f t="shared" si="299"/>
        <v>#DIV/0!</v>
      </c>
      <c r="CQE133" s="531" t="e">
        <f t="shared" si="299"/>
        <v>#DIV/0!</v>
      </c>
      <c r="CQF133" s="531" t="e">
        <f t="shared" si="299"/>
        <v>#DIV/0!</v>
      </c>
      <c r="CQG133" s="531" t="e">
        <f t="shared" si="299"/>
        <v>#DIV/0!</v>
      </c>
      <c r="CQH133" s="531" t="e">
        <f t="shared" si="299"/>
        <v>#DIV/0!</v>
      </c>
      <c r="CQI133" s="531" t="e">
        <f t="shared" si="299"/>
        <v>#DIV/0!</v>
      </c>
      <c r="CQJ133" s="531" t="e">
        <f t="shared" si="299"/>
        <v>#DIV/0!</v>
      </c>
      <c r="CQK133" s="531" t="e">
        <f t="shared" si="299"/>
        <v>#DIV/0!</v>
      </c>
      <c r="CQL133" s="531" t="e">
        <f t="shared" si="299"/>
        <v>#DIV/0!</v>
      </c>
      <c r="CQM133" s="531" t="e">
        <f t="shared" si="299"/>
        <v>#DIV/0!</v>
      </c>
      <c r="CQN133" s="531" t="e">
        <f t="shared" si="299"/>
        <v>#DIV/0!</v>
      </c>
      <c r="CQO133" s="531" t="e">
        <f t="shared" si="299"/>
        <v>#DIV/0!</v>
      </c>
      <c r="CQP133" s="531" t="e">
        <f t="shared" si="299"/>
        <v>#DIV/0!</v>
      </c>
      <c r="CQQ133" s="531" t="e">
        <f t="shared" si="299"/>
        <v>#DIV/0!</v>
      </c>
      <c r="CQR133" s="531" t="e">
        <f t="shared" si="299"/>
        <v>#DIV/0!</v>
      </c>
      <c r="CQS133" s="531" t="e">
        <f t="shared" si="299"/>
        <v>#DIV/0!</v>
      </c>
      <c r="CQT133" s="531" t="e">
        <f t="shared" si="299"/>
        <v>#DIV/0!</v>
      </c>
      <c r="CQU133" s="531" t="e">
        <f t="shared" si="299"/>
        <v>#DIV/0!</v>
      </c>
      <c r="CQV133" s="531" t="e">
        <f t="shared" si="299"/>
        <v>#DIV/0!</v>
      </c>
      <c r="CQW133" s="531" t="e">
        <f t="shared" si="299"/>
        <v>#DIV/0!</v>
      </c>
      <c r="CQX133" s="531" t="e">
        <f t="shared" si="299"/>
        <v>#DIV/0!</v>
      </c>
      <c r="CQY133" s="531" t="e">
        <f t="shared" si="299"/>
        <v>#DIV/0!</v>
      </c>
      <c r="CQZ133" s="531" t="e">
        <f t="shared" si="299"/>
        <v>#DIV/0!</v>
      </c>
      <c r="CRA133" s="531" t="e">
        <f t="shared" si="299"/>
        <v>#DIV/0!</v>
      </c>
      <c r="CRB133" s="531" t="e">
        <f t="shared" si="299"/>
        <v>#DIV/0!</v>
      </c>
      <c r="CRC133" s="531" t="e">
        <f t="shared" si="299"/>
        <v>#DIV/0!</v>
      </c>
      <c r="CRD133" s="531" t="e">
        <f t="shared" si="299"/>
        <v>#DIV/0!</v>
      </c>
      <c r="CRE133" s="531" t="e">
        <f t="shared" si="299"/>
        <v>#DIV/0!</v>
      </c>
      <c r="CRF133" s="531" t="e">
        <f t="shared" si="299"/>
        <v>#DIV/0!</v>
      </c>
      <c r="CRG133" s="531" t="e">
        <f t="shared" ref="CRG133:CTR133" si="300">CRG116/(CRG52*10^5)</f>
        <v>#DIV/0!</v>
      </c>
      <c r="CRH133" s="531" t="e">
        <f t="shared" si="300"/>
        <v>#DIV/0!</v>
      </c>
      <c r="CRI133" s="531" t="e">
        <f t="shared" si="300"/>
        <v>#DIV/0!</v>
      </c>
      <c r="CRJ133" s="531" t="e">
        <f t="shared" si="300"/>
        <v>#DIV/0!</v>
      </c>
      <c r="CRK133" s="531" t="e">
        <f t="shared" si="300"/>
        <v>#DIV/0!</v>
      </c>
      <c r="CRL133" s="531" t="e">
        <f t="shared" si="300"/>
        <v>#DIV/0!</v>
      </c>
      <c r="CRM133" s="531" t="e">
        <f t="shared" si="300"/>
        <v>#DIV/0!</v>
      </c>
      <c r="CRN133" s="531" t="e">
        <f t="shared" si="300"/>
        <v>#DIV/0!</v>
      </c>
      <c r="CRO133" s="531" t="e">
        <f t="shared" si="300"/>
        <v>#DIV/0!</v>
      </c>
      <c r="CRP133" s="531" t="e">
        <f t="shared" si="300"/>
        <v>#DIV/0!</v>
      </c>
      <c r="CRQ133" s="531" t="e">
        <f t="shared" si="300"/>
        <v>#DIV/0!</v>
      </c>
      <c r="CRR133" s="531" t="e">
        <f t="shared" si="300"/>
        <v>#DIV/0!</v>
      </c>
      <c r="CRS133" s="531" t="e">
        <f t="shared" si="300"/>
        <v>#DIV/0!</v>
      </c>
      <c r="CRT133" s="531" t="e">
        <f t="shared" si="300"/>
        <v>#DIV/0!</v>
      </c>
      <c r="CRU133" s="531" t="e">
        <f t="shared" si="300"/>
        <v>#DIV/0!</v>
      </c>
      <c r="CRV133" s="531" t="e">
        <f t="shared" si="300"/>
        <v>#DIV/0!</v>
      </c>
      <c r="CRW133" s="531" t="e">
        <f t="shared" si="300"/>
        <v>#DIV/0!</v>
      </c>
      <c r="CRX133" s="531" t="e">
        <f t="shared" si="300"/>
        <v>#DIV/0!</v>
      </c>
      <c r="CRY133" s="531" t="e">
        <f t="shared" si="300"/>
        <v>#DIV/0!</v>
      </c>
      <c r="CRZ133" s="531" t="e">
        <f t="shared" si="300"/>
        <v>#DIV/0!</v>
      </c>
      <c r="CSA133" s="531" t="e">
        <f t="shared" si="300"/>
        <v>#DIV/0!</v>
      </c>
      <c r="CSB133" s="531" t="e">
        <f t="shared" si="300"/>
        <v>#DIV/0!</v>
      </c>
      <c r="CSC133" s="531" t="e">
        <f t="shared" si="300"/>
        <v>#DIV/0!</v>
      </c>
      <c r="CSD133" s="531" t="e">
        <f t="shared" si="300"/>
        <v>#DIV/0!</v>
      </c>
      <c r="CSE133" s="531" t="e">
        <f t="shared" si="300"/>
        <v>#DIV/0!</v>
      </c>
      <c r="CSF133" s="531" t="e">
        <f t="shared" si="300"/>
        <v>#DIV/0!</v>
      </c>
      <c r="CSG133" s="531" t="e">
        <f t="shared" si="300"/>
        <v>#DIV/0!</v>
      </c>
      <c r="CSH133" s="531" t="e">
        <f t="shared" si="300"/>
        <v>#DIV/0!</v>
      </c>
      <c r="CSI133" s="531" t="e">
        <f t="shared" si="300"/>
        <v>#DIV/0!</v>
      </c>
      <c r="CSJ133" s="531" t="e">
        <f t="shared" si="300"/>
        <v>#DIV/0!</v>
      </c>
      <c r="CSK133" s="531" t="e">
        <f t="shared" si="300"/>
        <v>#DIV/0!</v>
      </c>
      <c r="CSL133" s="531" t="e">
        <f t="shared" si="300"/>
        <v>#DIV/0!</v>
      </c>
      <c r="CSM133" s="531" t="e">
        <f t="shared" si="300"/>
        <v>#DIV/0!</v>
      </c>
      <c r="CSN133" s="531" t="e">
        <f t="shared" si="300"/>
        <v>#DIV/0!</v>
      </c>
      <c r="CSO133" s="531" t="e">
        <f t="shared" si="300"/>
        <v>#DIV/0!</v>
      </c>
      <c r="CSP133" s="531" t="e">
        <f t="shared" si="300"/>
        <v>#DIV/0!</v>
      </c>
      <c r="CSQ133" s="531" t="e">
        <f t="shared" si="300"/>
        <v>#DIV/0!</v>
      </c>
      <c r="CSR133" s="531" t="e">
        <f t="shared" si="300"/>
        <v>#DIV/0!</v>
      </c>
      <c r="CSS133" s="531" t="e">
        <f t="shared" si="300"/>
        <v>#DIV/0!</v>
      </c>
      <c r="CST133" s="531" t="e">
        <f t="shared" si="300"/>
        <v>#DIV/0!</v>
      </c>
      <c r="CSU133" s="531" t="e">
        <f t="shared" si="300"/>
        <v>#DIV/0!</v>
      </c>
      <c r="CSV133" s="531" t="e">
        <f t="shared" si="300"/>
        <v>#DIV/0!</v>
      </c>
      <c r="CSW133" s="531" t="e">
        <f t="shared" si="300"/>
        <v>#DIV/0!</v>
      </c>
      <c r="CSX133" s="531" t="e">
        <f t="shared" si="300"/>
        <v>#DIV/0!</v>
      </c>
      <c r="CSY133" s="531" t="e">
        <f t="shared" si="300"/>
        <v>#DIV/0!</v>
      </c>
      <c r="CSZ133" s="531" t="e">
        <f t="shared" si="300"/>
        <v>#DIV/0!</v>
      </c>
      <c r="CTA133" s="531" t="e">
        <f t="shared" si="300"/>
        <v>#DIV/0!</v>
      </c>
      <c r="CTB133" s="531" t="e">
        <f t="shared" si="300"/>
        <v>#DIV/0!</v>
      </c>
      <c r="CTC133" s="531" t="e">
        <f t="shared" si="300"/>
        <v>#DIV/0!</v>
      </c>
      <c r="CTD133" s="531" t="e">
        <f t="shared" si="300"/>
        <v>#DIV/0!</v>
      </c>
      <c r="CTE133" s="531" t="e">
        <f t="shared" si="300"/>
        <v>#DIV/0!</v>
      </c>
      <c r="CTF133" s="531" t="e">
        <f t="shared" si="300"/>
        <v>#DIV/0!</v>
      </c>
      <c r="CTG133" s="531" t="e">
        <f t="shared" si="300"/>
        <v>#DIV/0!</v>
      </c>
      <c r="CTH133" s="531" t="e">
        <f t="shared" si="300"/>
        <v>#DIV/0!</v>
      </c>
      <c r="CTI133" s="531" t="e">
        <f t="shared" si="300"/>
        <v>#DIV/0!</v>
      </c>
      <c r="CTJ133" s="531" t="e">
        <f t="shared" si="300"/>
        <v>#DIV/0!</v>
      </c>
      <c r="CTK133" s="531" t="e">
        <f t="shared" si="300"/>
        <v>#DIV/0!</v>
      </c>
      <c r="CTL133" s="531" t="e">
        <f t="shared" si="300"/>
        <v>#DIV/0!</v>
      </c>
      <c r="CTM133" s="531" t="e">
        <f t="shared" si="300"/>
        <v>#DIV/0!</v>
      </c>
      <c r="CTN133" s="531" t="e">
        <f t="shared" si="300"/>
        <v>#DIV/0!</v>
      </c>
      <c r="CTO133" s="531" t="e">
        <f t="shared" si="300"/>
        <v>#DIV/0!</v>
      </c>
      <c r="CTP133" s="531" t="e">
        <f t="shared" si="300"/>
        <v>#DIV/0!</v>
      </c>
      <c r="CTQ133" s="531" t="e">
        <f t="shared" si="300"/>
        <v>#DIV/0!</v>
      </c>
      <c r="CTR133" s="531" t="e">
        <f t="shared" si="300"/>
        <v>#DIV/0!</v>
      </c>
      <c r="CTS133" s="531" t="e">
        <f t="shared" ref="CTS133:CWD133" si="301">CTS116/(CTS52*10^5)</f>
        <v>#DIV/0!</v>
      </c>
      <c r="CTT133" s="531" t="e">
        <f t="shared" si="301"/>
        <v>#DIV/0!</v>
      </c>
      <c r="CTU133" s="531" t="e">
        <f t="shared" si="301"/>
        <v>#DIV/0!</v>
      </c>
      <c r="CTV133" s="531" t="e">
        <f t="shared" si="301"/>
        <v>#DIV/0!</v>
      </c>
      <c r="CTW133" s="531" t="e">
        <f t="shared" si="301"/>
        <v>#DIV/0!</v>
      </c>
      <c r="CTX133" s="531" t="e">
        <f t="shared" si="301"/>
        <v>#DIV/0!</v>
      </c>
      <c r="CTY133" s="531" t="e">
        <f t="shared" si="301"/>
        <v>#DIV/0!</v>
      </c>
      <c r="CTZ133" s="531" t="e">
        <f t="shared" si="301"/>
        <v>#DIV/0!</v>
      </c>
      <c r="CUA133" s="531" t="e">
        <f t="shared" si="301"/>
        <v>#DIV/0!</v>
      </c>
      <c r="CUB133" s="531" t="e">
        <f t="shared" si="301"/>
        <v>#DIV/0!</v>
      </c>
      <c r="CUC133" s="531" t="e">
        <f t="shared" si="301"/>
        <v>#DIV/0!</v>
      </c>
      <c r="CUD133" s="531" t="e">
        <f t="shared" si="301"/>
        <v>#DIV/0!</v>
      </c>
      <c r="CUE133" s="531" t="e">
        <f t="shared" si="301"/>
        <v>#DIV/0!</v>
      </c>
      <c r="CUF133" s="531" t="e">
        <f t="shared" si="301"/>
        <v>#DIV/0!</v>
      </c>
      <c r="CUG133" s="531" t="e">
        <f t="shared" si="301"/>
        <v>#DIV/0!</v>
      </c>
      <c r="CUH133" s="531" t="e">
        <f t="shared" si="301"/>
        <v>#DIV/0!</v>
      </c>
      <c r="CUI133" s="531" t="e">
        <f t="shared" si="301"/>
        <v>#DIV/0!</v>
      </c>
      <c r="CUJ133" s="531" t="e">
        <f t="shared" si="301"/>
        <v>#DIV/0!</v>
      </c>
      <c r="CUK133" s="531" t="e">
        <f t="shared" si="301"/>
        <v>#DIV/0!</v>
      </c>
      <c r="CUL133" s="531" t="e">
        <f t="shared" si="301"/>
        <v>#DIV/0!</v>
      </c>
      <c r="CUM133" s="531" t="e">
        <f t="shared" si="301"/>
        <v>#DIV/0!</v>
      </c>
      <c r="CUN133" s="531" t="e">
        <f t="shared" si="301"/>
        <v>#DIV/0!</v>
      </c>
      <c r="CUO133" s="531" t="e">
        <f t="shared" si="301"/>
        <v>#DIV/0!</v>
      </c>
      <c r="CUP133" s="531" t="e">
        <f t="shared" si="301"/>
        <v>#DIV/0!</v>
      </c>
      <c r="CUQ133" s="531" t="e">
        <f t="shared" si="301"/>
        <v>#DIV/0!</v>
      </c>
      <c r="CUR133" s="531" t="e">
        <f t="shared" si="301"/>
        <v>#DIV/0!</v>
      </c>
      <c r="CUS133" s="531" t="e">
        <f t="shared" si="301"/>
        <v>#DIV/0!</v>
      </c>
      <c r="CUT133" s="531" t="e">
        <f t="shared" si="301"/>
        <v>#DIV/0!</v>
      </c>
      <c r="CUU133" s="531" t="e">
        <f t="shared" si="301"/>
        <v>#DIV/0!</v>
      </c>
      <c r="CUV133" s="531" t="e">
        <f t="shared" si="301"/>
        <v>#DIV/0!</v>
      </c>
      <c r="CUW133" s="531" t="e">
        <f t="shared" si="301"/>
        <v>#DIV/0!</v>
      </c>
      <c r="CUX133" s="531" t="e">
        <f t="shared" si="301"/>
        <v>#DIV/0!</v>
      </c>
      <c r="CUY133" s="531" t="e">
        <f t="shared" si="301"/>
        <v>#DIV/0!</v>
      </c>
      <c r="CUZ133" s="531" t="e">
        <f t="shared" si="301"/>
        <v>#DIV/0!</v>
      </c>
      <c r="CVA133" s="531" t="e">
        <f t="shared" si="301"/>
        <v>#DIV/0!</v>
      </c>
      <c r="CVB133" s="531" t="e">
        <f t="shared" si="301"/>
        <v>#DIV/0!</v>
      </c>
      <c r="CVC133" s="531" t="e">
        <f t="shared" si="301"/>
        <v>#DIV/0!</v>
      </c>
      <c r="CVD133" s="531" t="e">
        <f t="shared" si="301"/>
        <v>#DIV/0!</v>
      </c>
      <c r="CVE133" s="531" t="e">
        <f t="shared" si="301"/>
        <v>#DIV/0!</v>
      </c>
      <c r="CVF133" s="531" t="e">
        <f t="shared" si="301"/>
        <v>#DIV/0!</v>
      </c>
      <c r="CVG133" s="531" t="e">
        <f t="shared" si="301"/>
        <v>#DIV/0!</v>
      </c>
      <c r="CVH133" s="531" t="e">
        <f t="shared" si="301"/>
        <v>#DIV/0!</v>
      </c>
      <c r="CVI133" s="531" t="e">
        <f t="shared" si="301"/>
        <v>#DIV/0!</v>
      </c>
      <c r="CVJ133" s="531" t="e">
        <f t="shared" si="301"/>
        <v>#DIV/0!</v>
      </c>
      <c r="CVK133" s="531" t="e">
        <f t="shared" si="301"/>
        <v>#DIV/0!</v>
      </c>
      <c r="CVL133" s="531" t="e">
        <f t="shared" si="301"/>
        <v>#DIV/0!</v>
      </c>
      <c r="CVM133" s="531" t="e">
        <f t="shared" si="301"/>
        <v>#DIV/0!</v>
      </c>
      <c r="CVN133" s="531" t="e">
        <f t="shared" si="301"/>
        <v>#DIV/0!</v>
      </c>
      <c r="CVO133" s="531" t="e">
        <f t="shared" si="301"/>
        <v>#DIV/0!</v>
      </c>
      <c r="CVP133" s="531" t="e">
        <f t="shared" si="301"/>
        <v>#DIV/0!</v>
      </c>
      <c r="CVQ133" s="531" t="e">
        <f t="shared" si="301"/>
        <v>#DIV/0!</v>
      </c>
      <c r="CVR133" s="531" t="e">
        <f t="shared" si="301"/>
        <v>#DIV/0!</v>
      </c>
      <c r="CVS133" s="531" t="e">
        <f t="shared" si="301"/>
        <v>#DIV/0!</v>
      </c>
      <c r="CVT133" s="531" t="e">
        <f t="shared" si="301"/>
        <v>#DIV/0!</v>
      </c>
      <c r="CVU133" s="531" t="e">
        <f t="shared" si="301"/>
        <v>#DIV/0!</v>
      </c>
      <c r="CVV133" s="531" t="e">
        <f t="shared" si="301"/>
        <v>#DIV/0!</v>
      </c>
      <c r="CVW133" s="531" t="e">
        <f t="shared" si="301"/>
        <v>#DIV/0!</v>
      </c>
      <c r="CVX133" s="531" t="e">
        <f t="shared" si="301"/>
        <v>#DIV/0!</v>
      </c>
      <c r="CVY133" s="531" t="e">
        <f t="shared" si="301"/>
        <v>#DIV/0!</v>
      </c>
      <c r="CVZ133" s="531" t="e">
        <f t="shared" si="301"/>
        <v>#DIV/0!</v>
      </c>
      <c r="CWA133" s="531" t="e">
        <f t="shared" si="301"/>
        <v>#DIV/0!</v>
      </c>
      <c r="CWB133" s="531" t="e">
        <f t="shared" si="301"/>
        <v>#DIV/0!</v>
      </c>
      <c r="CWC133" s="531" t="e">
        <f t="shared" si="301"/>
        <v>#DIV/0!</v>
      </c>
      <c r="CWD133" s="531" t="e">
        <f t="shared" si="301"/>
        <v>#DIV/0!</v>
      </c>
      <c r="CWE133" s="531" t="e">
        <f t="shared" ref="CWE133:CYP133" si="302">CWE116/(CWE52*10^5)</f>
        <v>#DIV/0!</v>
      </c>
      <c r="CWF133" s="531" t="e">
        <f t="shared" si="302"/>
        <v>#DIV/0!</v>
      </c>
      <c r="CWG133" s="531" t="e">
        <f t="shared" si="302"/>
        <v>#DIV/0!</v>
      </c>
      <c r="CWH133" s="531" t="e">
        <f t="shared" si="302"/>
        <v>#DIV/0!</v>
      </c>
      <c r="CWI133" s="531" t="e">
        <f t="shared" si="302"/>
        <v>#DIV/0!</v>
      </c>
      <c r="CWJ133" s="531" t="e">
        <f t="shared" si="302"/>
        <v>#DIV/0!</v>
      </c>
      <c r="CWK133" s="531" t="e">
        <f t="shared" si="302"/>
        <v>#DIV/0!</v>
      </c>
      <c r="CWL133" s="531" t="e">
        <f t="shared" si="302"/>
        <v>#DIV/0!</v>
      </c>
      <c r="CWM133" s="531" t="e">
        <f t="shared" si="302"/>
        <v>#DIV/0!</v>
      </c>
      <c r="CWN133" s="531" t="e">
        <f t="shared" si="302"/>
        <v>#DIV/0!</v>
      </c>
      <c r="CWO133" s="531" t="e">
        <f t="shared" si="302"/>
        <v>#DIV/0!</v>
      </c>
      <c r="CWP133" s="531" t="e">
        <f t="shared" si="302"/>
        <v>#DIV/0!</v>
      </c>
      <c r="CWQ133" s="531" t="e">
        <f t="shared" si="302"/>
        <v>#DIV/0!</v>
      </c>
      <c r="CWR133" s="531" t="e">
        <f t="shared" si="302"/>
        <v>#DIV/0!</v>
      </c>
      <c r="CWS133" s="531" t="e">
        <f t="shared" si="302"/>
        <v>#DIV/0!</v>
      </c>
      <c r="CWT133" s="531" t="e">
        <f t="shared" si="302"/>
        <v>#DIV/0!</v>
      </c>
      <c r="CWU133" s="531" t="e">
        <f t="shared" si="302"/>
        <v>#DIV/0!</v>
      </c>
      <c r="CWV133" s="531" t="e">
        <f t="shared" si="302"/>
        <v>#DIV/0!</v>
      </c>
      <c r="CWW133" s="531" t="e">
        <f t="shared" si="302"/>
        <v>#DIV/0!</v>
      </c>
      <c r="CWX133" s="531" t="e">
        <f t="shared" si="302"/>
        <v>#DIV/0!</v>
      </c>
      <c r="CWY133" s="531" t="e">
        <f t="shared" si="302"/>
        <v>#DIV/0!</v>
      </c>
      <c r="CWZ133" s="531" t="e">
        <f t="shared" si="302"/>
        <v>#DIV/0!</v>
      </c>
      <c r="CXA133" s="531" t="e">
        <f t="shared" si="302"/>
        <v>#DIV/0!</v>
      </c>
      <c r="CXB133" s="531" t="e">
        <f t="shared" si="302"/>
        <v>#DIV/0!</v>
      </c>
      <c r="CXC133" s="531" t="e">
        <f t="shared" si="302"/>
        <v>#DIV/0!</v>
      </c>
      <c r="CXD133" s="531" t="e">
        <f t="shared" si="302"/>
        <v>#DIV/0!</v>
      </c>
      <c r="CXE133" s="531" t="e">
        <f t="shared" si="302"/>
        <v>#DIV/0!</v>
      </c>
      <c r="CXF133" s="531" t="e">
        <f t="shared" si="302"/>
        <v>#DIV/0!</v>
      </c>
      <c r="CXG133" s="531" t="e">
        <f t="shared" si="302"/>
        <v>#DIV/0!</v>
      </c>
      <c r="CXH133" s="531" t="e">
        <f t="shared" si="302"/>
        <v>#DIV/0!</v>
      </c>
      <c r="CXI133" s="531" t="e">
        <f t="shared" si="302"/>
        <v>#DIV/0!</v>
      </c>
      <c r="CXJ133" s="531" t="e">
        <f t="shared" si="302"/>
        <v>#DIV/0!</v>
      </c>
      <c r="CXK133" s="531" t="e">
        <f t="shared" si="302"/>
        <v>#DIV/0!</v>
      </c>
      <c r="CXL133" s="531" t="e">
        <f t="shared" si="302"/>
        <v>#DIV/0!</v>
      </c>
      <c r="CXM133" s="531" t="e">
        <f t="shared" si="302"/>
        <v>#DIV/0!</v>
      </c>
      <c r="CXN133" s="531" t="e">
        <f t="shared" si="302"/>
        <v>#DIV/0!</v>
      </c>
      <c r="CXO133" s="531" t="e">
        <f t="shared" si="302"/>
        <v>#DIV/0!</v>
      </c>
      <c r="CXP133" s="531" t="e">
        <f t="shared" si="302"/>
        <v>#DIV/0!</v>
      </c>
      <c r="CXQ133" s="531" t="e">
        <f t="shared" si="302"/>
        <v>#DIV/0!</v>
      </c>
      <c r="CXR133" s="531" t="e">
        <f t="shared" si="302"/>
        <v>#DIV/0!</v>
      </c>
      <c r="CXS133" s="531" t="e">
        <f t="shared" si="302"/>
        <v>#DIV/0!</v>
      </c>
      <c r="CXT133" s="531" t="e">
        <f t="shared" si="302"/>
        <v>#DIV/0!</v>
      </c>
      <c r="CXU133" s="531" t="e">
        <f t="shared" si="302"/>
        <v>#DIV/0!</v>
      </c>
      <c r="CXV133" s="531" t="e">
        <f t="shared" si="302"/>
        <v>#DIV/0!</v>
      </c>
      <c r="CXW133" s="531" t="e">
        <f t="shared" si="302"/>
        <v>#DIV/0!</v>
      </c>
      <c r="CXX133" s="531" t="e">
        <f t="shared" si="302"/>
        <v>#DIV/0!</v>
      </c>
      <c r="CXY133" s="531" t="e">
        <f t="shared" si="302"/>
        <v>#DIV/0!</v>
      </c>
      <c r="CXZ133" s="531" t="e">
        <f t="shared" si="302"/>
        <v>#DIV/0!</v>
      </c>
      <c r="CYA133" s="531" t="e">
        <f t="shared" si="302"/>
        <v>#DIV/0!</v>
      </c>
      <c r="CYB133" s="531" t="e">
        <f t="shared" si="302"/>
        <v>#DIV/0!</v>
      </c>
      <c r="CYC133" s="531" t="e">
        <f t="shared" si="302"/>
        <v>#DIV/0!</v>
      </c>
      <c r="CYD133" s="531" t="e">
        <f t="shared" si="302"/>
        <v>#DIV/0!</v>
      </c>
      <c r="CYE133" s="531" t="e">
        <f t="shared" si="302"/>
        <v>#DIV/0!</v>
      </c>
      <c r="CYF133" s="531" t="e">
        <f t="shared" si="302"/>
        <v>#DIV/0!</v>
      </c>
      <c r="CYG133" s="531" t="e">
        <f t="shared" si="302"/>
        <v>#DIV/0!</v>
      </c>
      <c r="CYH133" s="531" t="e">
        <f t="shared" si="302"/>
        <v>#DIV/0!</v>
      </c>
      <c r="CYI133" s="531" t="e">
        <f t="shared" si="302"/>
        <v>#DIV/0!</v>
      </c>
      <c r="CYJ133" s="531" t="e">
        <f t="shared" si="302"/>
        <v>#DIV/0!</v>
      </c>
      <c r="CYK133" s="531" t="e">
        <f t="shared" si="302"/>
        <v>#DIV/0!</v>
      </c>
      <c r="CYL133" s="531" t="e">
        <f t="shared" si="302"/>
        <v>#DIV/0!</v>
      </c>
      <c r="CYM133" s="531" t="e">
        <f t="shared" si="302"/>
        <v>#DIV/0!</v>
      </c>
      <c r="CYN133" s="531" t="e">
        <f t="shared" si="302"/>
        <v>#DIV/0!</v>
      </c>
      <c r="CYO133" s="531" t="e">
        <f t="shared" si="302"/>
        <v>#DIV/0!</v>
      </c>
      <c r="CYP133" s="531" t="e">
        <f t="shared" si="302"/>
        <v>#DIV/0!</v>
      </c>
      <c r="CYQ133" s="531" t="e">
        <f t="shared" ref="CYQ133:DBB133" si="303">CYQ116/(CYQ52*10^5)</f>
        <v>#DIV/0!</v>
      </c>
      <c r="CYR133" s="531" t="e">
        <f t="shared" si="303"/>
        <v>#DIV/0!</v>
      </c>
      <c r="CYS133" s="531" t="e">
        <f t="shared" si="303"/>
        <v>#DIV/0!</v>
      </c>
      <c r="CYT133" s="531" t="e">
        <f t="shared" si="303"/>
        <v>#DIV/0!</v>
      </c>
      <c r="CYU133" s="531" t="e">
        <f t="shared" si="303"/>
        <v>#DIV/0!</v>
      </c>
      <c r="CYV133" s="531" t="e">
        <f t="shared" si="303"/>
        <v>#DIV/0!</v>
      </c>
      <c r="CYW133" s="531" t="e">
        <f t="shared" si="303"/>
        <v>#DIV/0!</v>
      </c>
      <c r="CYX133" s="531" t="e">
        <f t="shared" si="303"/>
        <v>#DIV/0!</v>
      </c>
      <c r="CYY133" s="531" t="e">
        <f t="shared" si="303"/>
        <v>#DIV/0!</v>
      </c>
      <c r="CYZ133" s="531" t="e">
        <f t="shared" si="303"/>
        <v>#DIV/0!</v>
      </c>
      <c r="CZA133" s="531" t="e">
        <f t="shared" si="303"/>
        <v>#DIV/0!</v>
      </c>
      <c r="CZB133" s="531" t="e">
        <f t="shared" si="303"/>
        <v>#DIV/0!</v>
      </c>
      <c r="CZC133" s="531" t="e">
        <f t="shared" si="303"/>
        <v>#DIV/0!</v>
      </c>
      <c r="CZD133" s="531" t="e">
        <f t="shared" si="303"/>
        <v>#DIV/0!</v>
      </c>
      <c r="CZE133" s="531" t="e">
        <f t="shared" si="303"/>
        <v>#DIV/0!</v>
      </c>
      <c r="CZF133" s="531" t="e">
        <f t="shared" si="303"/>
        <v>#DIV/0!</v>
      </c>
      <c r="CZG133" s="531" t="e">
        <f t="shared" si="303"/>
        <v>#DIV/0!</v>
      </c>
      <c r="CZH133" s="531" t="e">
        <f t="shared" si="303"/>
        <v>#DIV/0!</v>
      </c>
      <c r="CZI133" s="531" t="e">
        <f t="shared" si="303"/>
        <v>#DIV/0!</v>
      </c>
      <c r="CZJ133" s="531" t="e">
        <f t="shared" si="303"/>
        <v>#DIV/0!</v>
      </c>
      <c r="CZK133" s="531" t="e">
        <f t="shared" si="303"/>
        <v>#DIV/0!</v>
      </c>
      <c r="CZL133" s="531" t="e">
        <f t="shared" si="303"/>
        <v>#DIV/0!</v>
      </c>
      <c r="CZM133" s="531" t="e">
        <f t="shared" si="303"/>
        <v>#DIV/0!</v>
      </c>
      <c r="CZN133" s="531" t="e">
        <f t="shared" si="303"/>
        <v>#DIV/0!</v>
      </c>
      <c r="CZO133" s="531" t="e">
        <f t="shared" si="303"/>
        <v>#DIV/0!</v>
      </c>
      <c r="CZP133" s="531" t="e">
        <f t="shared" si="303"/>
        <v>#DIV/0!</v>
      </c>
      <c r="CZQ133" s="531" t="e">
        <f t="shared" si="303"/>
        <v>#DIV/0!</v>
      </c>
      <c r="CZR133" s="531" t="e">
        <f t="shared" si="303"/>
        <v>#DIV/0!</v>
      </c>
      <c r="CZS133" s="531" t="e">
        <f t="shared" si="303"/>
        <v>#DIV/0!</v>
      </c>
      <c r="CZT133" s="531" t="e">
        <f t="shared" si="303"/>
        <v>#DIV/0!</v>
      </c>
      <c r="CZU133" s="531" t="e">
        <f t="shared" si="303"/>
        <v>#DIV/0!</v>
      </c>
      <c r="CZV133" s="531" t="e">
        <f t="shared" si="303"/>
        <v>#DIV/0!</v>
      </c>
      <c r="CZW133" s="531" t="e">
        <f t="shared" si="303"/>
        <v>#DIV/0!</v>
      </c>
      <c r="CZX133" s="531" t="e">
        <f t="shared" si="303"/>
        <v>#DIV/0!</v>
      </c>
      <c r="CZY133" s="531" t="e">
        <f t="shared" si="303"/>
        <v>#DIV/0!</v>
      </c>
      <c r="CZZ133" s="531" t="e">
        <f t="shared" si="303"/>
        <v>#DIV/0!</v>
      </c>
      <c r="DAA133" s="531" t="e">
        <f t="shared" si="303"/>
        <v>#DIV/0!</v>
      </c>
      <c r="DAB133" s="531" t="e">
        <f t="shared" si="303"/>
        <v>#DIV/0!</v>
      </c>
      <c r="DAC133" s="531" t="e">
        <f t="shared" si="303"/>
        <v>#DIV/0!</v>
      </c>
      <c r="DAD133" s="531" t="e">
        <f t="shared" si="303"/>
        <v>#DIV/0!</v>
      </c>
      <c r="DAE133" s="531" t="e">
        <f t="shared" si="303"/>
        <v>#DIV/0!</v>
      </c>
      <c r="DAF133" s="531" t="e">
        <f t="shared" si="303"/>
        <v>#DIV/0!</v>
      </c>
      <c r="DAG133" s="531" t="e">
        <f t="shared" si="303"/>
        <v>#DIV/0!</v>
      </c>
      <c r="DAH133" s="531" t="e">
        <f t="shared" si="303"/>
        <v>#DIV/0!</v>
      </c>
      <c r="DAI133" s="531" t="e">
        <f t="shared" si="303"/>
        <v>#DIV/0!</v>
      </c>
      <c r="DAJ133" s="531" t="e">
        <f t="shared" si="303"/>
        <v>#DIV/0!</v>
      </c>
      <c r="DAK133" s="531" t="e">
        <f t="shared" si="303"/>
        <v>#DIV/0!</v>
      </c>
      <c r="DAL133" s="531" t="e">
        <f t="shared" si="303"/>
        <v>#DIV/0!</v>
      </c>
      <c r="DAM133" s="531" t="e">
        <f t="shared" si="303"/>
        <v>#DIV/0!</v>
      </c>
      <c r="DAN133" s="531" t="e">
        <f t="shared" si="303"/>
        <v>#DIV/0!</v>
      </c>
      <c r="DAO133" s="531" t="e">
        <f t="shared" si="303"/>
        <v>#DIV/0!</v>
      </c>
      <c r="DAP133" s="531" t="e">
        <f t="shared" si="303"/>
        <v>#DIV/0!</v>
      </c>
      <c r="DAQ133" s="531" t="e">
        <f t="shared" si="303"/>
        <v>#DIV/0!</v>
      </c>
      <c r="DAR133" s="531" t="e">
        <f t="shared" si="303"/>
        <v>#DIV/0!</v>
      </c>
      <c r="DAS133" s="531" t="e">
        <f t="shared" si="303"/>
        <v>#DIV/0!</v>
      </c>
      <c r="DAT133" s="531" t="e">
        <f t="shared" si="303"/>
        <v>#DIV/0!</v>
      </c>
      <c r="DAU133" s="531" t="e">
        <f t="shared" si="303"/>
        <v>#DIV/0!</v>
      </c>
      <c r="DAV133" s="531" t="e">
        <f t="shared" si="303"/>
        <v>#DIV/0!</v>
      </c>
      <c r="DAW133" s="531" t="e">
        <f t="shared" si="303"/>
        <v>#DIV/0!</v>
      </c>
      <c r="DAX133" s="531" t="e">
        <f t="shared" si="303"/>
        <v>#DIV/0!</v>
      </c>
      <c r="DAY133" s="531" t="e">
        <f t="shared" si="303"/>
        <v>#DIV/0!</v>
      </c>
      <c r="DAZ133" s="531" t="e">
        <f t="shared" si="303"/>
        <v>#DIV/0!</v>
      </c>
      <c r="DBA133" s="531" t="e">
        <f t="shared" si="303"/>
        <v>#DIV/0!</v>
      </c>
      <c r="DBB133" s="531" t="e">
        <f t="shared" si="303"/>
        <v>#DIV/0!</v>
      </c>
      <c r="DBC133" s="531" t="e">
        <f t="shared" ref="DBC133:DDN133" si="304">DBC116/(DBC52*10^5)</f>
        <v>#DIV/0!</v>
      </c>
      <c r="DBD133" s="531" t="e">
        <f t="shared" si="304"/>
        <v>#DIV/0!</v>
      </c>
      <c r="DBE133" s="531" t="e">
        <f t="shared" si="304"/>
        <v>#DIV/0!</v>
      </c>
      <c r="DBF133" s="531" t="e">
        <f t="shared" si="304"/>
        <v>#DIV/0!</v>
      </c>
      <c r="DBG133" s="531" t="e">
        <f t="shared" si="304"/>
        <v>#DIV/0!</v>
      </c>
      <c r="DBH133" s="531" t="e">
        <f t="shared" si="304"/>
        <v>#DIV/0!</v>
      </c>
      <c r="DBI133" s="531" t="e">
        <f t="shared" si="304"/>
        <v>#DIV/0!</v>
      </c>
      <c r="DBJ133" s="531" t="e">
        <f t="shared" si="304"/>
        <v>#DIV/0!</v>
      </c>
      <c r="DBK133" s="531" t="e">
        <f t="shared" si="304"/>
        <v>#DIV/0!</v>
      </c>
      <c r="DBL133" s="531" t="e">
        <f t="shared" si="304"/>
        <v>#DIV/0!</v>
      </c>
      <c r="DBM133" s="531" t="e">
        <f t="shared" si="304"/>
        <v>#DIV/0!</v>
      </c>
      <c r="DBN133" s="531" t="e">
        <f t="shared" si="304"/>
        <v>#DIV/0!</v>
      </c>
      <c r="DBO133" s="531" t="e">
        <f t="shared" si="304"/>
        <v>#DIV/0!</v>
      </c>
      <c r="DBP133" s="531" t="e">
        <f t="shared" si="304"/>
        <v>#DIV/0!</v>
      </c>
      <c r="DBQ133" s="531" t="e">
        <f t="shared" si="304"/>
        <v>#DIV/0!</v>
      </c>
      <c r="DBR133" s="531" t="e">
        <f t="shared" si="304"/>
        <v>#DIV/0!</v>
      </c>
      <c r="DBS133" s="531" t="e">
        <f t="shared" si="304"/>
        <v>#DIV/0!</v>
      </c>
      <c r="DBT133" s="531" t="e">
        <f t="shared" si="304"/>
        <v>#DIV/0!</v>
      </c>
      <c r="DBU133" s="531" t="e">
        <f t="shared" si="304"/>
        <v>#DIV/0!</v>
      </c>
      <c r="DBV133" s="531" t="e">
        <f t="shared" si="304"/>
        <v>#DIV/0!</v>
      </c>
      <c r="DBW133" s="531" t="e">
        <f t="shared" si="304"/>
        <v>#DIV/0!</v>
      </c>
      <c r="DBX133" s="531" t="e">
        <f t="shared" si="304"/>
        <v>#DIV/0!</v>
      </c>
      <c r="DBY133" s="531" t="e">
        <f t="shared" si="304"/>
        <v>#DIV/0!</v>
      </c>
      <c r="DBZ133" s="531" t="e">
        <f t="shared" si="304"/>
        <v>#DIV/0!</v>
      </c>
      <c r="DCA133" s="531" t="e">
        <f t="shared" si="304"/>
        <v>#DIV/0!</v>
      </c>
      <c r="DCB133" s="531" t="e">
        <f t="shared" si="304"/>
        <v>#DIV/0!</v>
      </c>
      <c r="DCC133" s="531" t="e">
        <f t="shared" si="304"/>
        <v>#DIV/0!</v>
      </c>
      <c r="DCD133" s="531" t="e">
        <f t="shared" si="304"/>
        <v>#DIV/0!</v>
      </c>
      <c r="DCE133" s="531" t="e">
        <f t="shared" si="304"/>
        <v>#DIV/0!</v>
      </c>
      <c r="DCF133" s="531" t="e">
        <f t="shared" si="304"/>
        <v>#DIV/0!</v>
      </c>
      <c r="DCG133" s="531" t="e">
        <f t="shared" si="304"/>
        <v>#DIV/0!</v>
      </c>
      <c r="DCH133" s="531" t="e">
        <f t="shared" si="304"/>
        <v>#DIV/0!</v>
      </c>
      <c r="DCI133" s="531" t="e">
        <f t="shared" si="304"/>
        <v>#DIV/0!</v>
      </c>
      <c r="DCJ133" s="531" t="e">
        <f t="shared" si="304"/>
        <v>#DIV/0!</v>
      </c>
      <c r="DCK133" s="531" t="e">
        <f t="shared" si="304"/>
        <v>#DIV/0!</v>
      </c>
      <c r="DCL133" s="531" t="e">
        <f t="shared" si="304"/>
        <v>#DIV/0!</v>
      </c>
      <c r="DCM133" s="531" t="e">
        <f t="shared" si="304"/>
        <v>#DIV/0!</v>
      </c>
      <c r="DCN133" s="531" t="e">
        <f t="shared" si="304"/>
        <v>#DIV/0!</v>
      </c>
      <c r="DCO133" s="531" t="e">
        <f t="shared" si="304"/>
        <v>#DIV/0!</v>
      </c>
      <c r="DCP133" s="531" t="e">
        <f t="shared" si="304"/>
        <v>#DIV/0!</v>
      </c>
      <c r="DCQ133" s="531" t="e">
        <f t="shared" si="304"/>
        <v>#DIV/0!</v>
      </c>
      <c r="DCR133" s="531" t="e">
        <f t="shared" si="304"/>
        <v>#DIV/0!</v>
      </c>
      <c r="DCS133" s="531" t="e">
        <f t="shared" si="304"/>
        <v>#DIV/0!</v>
      </c>
      <c r="DCT133" s="531" t="e">
        <f t="shared" si="304"/>
        <v>#DIV/0!</v>
      </c>
      <c r="DCU133" s="531" t="e">
        <f t="shared" si="304"/>
        <v>#DIV/0!</v>
      </c>
      <c r="DCV133" s="531" t="e">
        <f t="shared" si="304"/>
        <v>#DIV/0!</v>
      </c>
      <c r="DCW133" s="531" t="e">
        <f t="shared" si="304"/>
        <v>#DIV/0!</v>
      </c>
      <c r="DCX133" s="531" t="e">
        <f t="shared" si="304"/>
        <v>#DIV/0!</v>
      </c>
      <c r="DCY133" s="531" t="e">
        <f t="shared" si="304"/>
        <v>#DIV/0!</v>
      </c>
      <c r="DCZ133" s="531" t="e">
        <f t="shared" si="304"/>
        <v>#DIV/0!</v>
      </c>
      <c r="DDA133" s="531" t="e">
        <f t="shared" si="304"/>
        <v>#DIV/0!</v>
      </c>
      <c r="DDB133" s="531" t="e">
        <f t="shared" si="304"/>
        <v>#DIV/0!</v>
      </c>
      <c r="DDC133" s="531" t="e">
        <f t="shared" si="304"/>
        <v>#DIV/0!</v>
      </c>
      <c r="DDD133" s="531" t="e">
        <f t="shared" si="304"/>
        <v>#DIV/0!</v>
      </c>
      <c r="DDE133" s="531" t="e">
        <f t="shared" si="304"/>
        <v>#DIV/0!</v>
      </c>
      <c r="DDF133" s="531" t="e">
        <f t="shared" si="304"/>
        <v>#DIV/0!</v>
      </c>
      <c r="DDG133" s="531" t="e">
        <f t="shared" si="304"/>
        <v>#DIV/0!</v>
      </c>
      <c r="DDH133" s="531" t="e">
        <f t="shared" si="304"/>
        <v>#DIV/0!</v>
      </c>
      <c r="DDI133" s="531" t="e">
        <f t="shared" si="304"/>
        <v>#DIV/0!</v>
      </c>
      <c r="DDJ133" s="531" t="e">
        <f t="shared" si="304"/>
        <v>#DIV/0!</v>
      </c>
      <c r="DDK133" s="531" t="e">
        <f t="shared" si="304"/>
        <v>#DIV/0!</v>
      </c>
      <c r="DDL133" s="531" t="e">
        <f t="shared" si="304"/>
        <v>#DIV/0!</v>
      </c>
      <c r="DDM133" s="531" t="e">
        <f t="shared" si="304"/>
        <v>#DIV/0!</v>
      </c>
      <c r="DDN133" s="531" t="e">
        <f t="shared" si="304"/>
        <v>#DIV/0!</v>
      </c>
      <c r="DDO133" s="531" t="e">
        <f t="shared" ref="DDO133:DFZ133" si="305">DDO116/(DDO52*10^5)</f>
        <v>#DIV/0!</v>
      </c>
      <c r="DDP133" s="531" t="e">
        <f t="shared" si="305"/>
        <v>#DIV/0!</v>
      </c>
      <c r="DDQ133" s="531" t="e">
        <f t="shared" si="305"/>
        <v>#DIV/0!</v>
      </c>
      <c r="DDR133" s="531" t="e">
        <f t="shared" si="305"/>
        <v>#DIV/0!</v>
      </c>
      <c r="DDS133" s="531" t="e">
        <f t="shared" si="305"/>
        <v>#DIV/0!</v>
      </c>
      <c r="DDT133" s="531" t="e">
        <f t="shared" si="305"/>
        <v>#DIV/0!</v>
      </c>
      <c r="DDU133" s="531" t="e">
        <f t="shared" si="305"/>
        <v>#DIV/0!</v>
      </c>
      <c r="DDV133" s="531" t="e">
        <f t="shared" si="305"/>
        <v>#DIV/0!</v>
      </c>
      <c r="DDW133" s="531" t="e">
        <f t="shared" si="305"/>
        <v>#DIV/0!</v>
      </c>
      <c r="DDX133" s="531" t="e">
        <f t="shared" si="305"/>
        <v>#DIV/0!</v>
      </c>
      <c r="DDY133" s="531" t="e">
        <f t="shared" si="305"/>
        <v>#DIV/0!</v>
      </c>
      <c r="DDZ133" s="531" t="e">
        <f t="shared" si="305"/>
        <v>#DIV/0!</v>
      </c>
      <c r="DEA133" s="531" t="e">
        <f t="shared" si="305"/>
        <v>#DIV/0!</v>
      </c>
      <c r="DEB133" s="531" t="e">
        <f t="shared" si="305"/>
        <v>#DIV/0!</v>
      </c>
      <c r="DEC133" s="531" t="e">
        <f t="shared" si="305"/>
        <v>#DIV/0!</v>
      </c>
      <c r="DED133" s="531" t="e">
        <f t="shared" si="305"/>
        <v>#DIV/0!</v>
      </c>
      <c r="DEE133" s="531" t="e">
        <f t="shared" si="305"/>
        <v>#DIV/0!</v>
      </c>
      <c r="DEF133" s="531" t="e">
        <f t="shared" si="305"/>
        <v>#DIV/0!</v>
      </c>
      <c r="DEG133" s="531" t="e">
        <f t="shared" si="305"/>
        <v>#DIV/0!</v>
      </c>
      <c r="DEH133" s="531" t="e">
        <f t="shared" si="305"/>
        <v>#DIV/0!</v>
      </c>
      <c r="DEI133" s="531" t="e">
        <f t="shared" si="305"/>
        <v>#DIV/0!</v>
      </c>
      <c r="DEJ133" s="531" t="e">
        <f t="shared" si="305"/>
        <v>#DIV/0!</v>
      </c>
      <c r="DEK133" s="531" t="e">
        <f t="shared" si="305"/>
        <v>#DIV/0!</v>
      </c>
      <c r="DEL133" s="531" t="e">
        <f t="shared" si="305"/>
        <v>#DIV/0!</v>
      </c>
      <c r="DEM133" s="531" t="e">
        <f t="shared" si="305"/>
        <v>#DIV/0!</v>
      </c>
      <c r="DEN133" s="531" t="e">
        <f t="shared" si="305"/>
        <v>#DIV/0!</v>
      </c>
      <c r="DEO133" s="531" t="e">
        <f t="shared" si="305"/>
        <v>#DIV/0!</v>
      </c>
      <c r="DEP133" s="531" t="e">
        <f t="shared" si="305"/>
        <v>#DIV/0!</v>
      </c>
      <c r="DEQ133" s="531" t="e">
        <f t="shared" si="305"/>
        <v>#DIV/0!</v>
      </c>
      <c r="DER133" s="531" t="e">
        <f t="shared" si="305"/>
        <v>#DIV/0!</v>
      </c>
      <c r="DES133" s="531" t="e">
        <f t="shared" si="305"/>
        <v>#DIV/0!</v>
      </c>
      <c r="DET133" s="531" t="e">
        <f t="shared" si="305"/>
        <v>#DIV/0!</v>
      </c>
      <c r="DEU133" s="531" t="e">
        <f t="shared" si="305"/>
        <v>#DIV/0!</v>
      </c>
      <c r="DEV133" s="531" t="e">
        <f t="shared" si="305"/>
        <v>#DIV/0!</v>
      </c>
      <c r="DEW133" s="531" t="e">
        <f t="shared" si="305"/>
        <v>#DIV/0!</v>
      </c>
      <c r="DEX133" s="531" t="e">
        <f t="shared" si="305"/>
        <v>#DIV/0!</v>
      </c>
      <c r="DEY133" s="531" t="e">
        <f t="shared" si="305"/>
        <v>#DIV/0!</v>
      </c>
      <c r="DEZ133" s="531" t="e">
        <f t="shared" si="305"/>
        <v>#DIV/0!</v>
      </c>
      <c r="DFA133" s="531" t="e">
        <f t="shared" si="305"/>
        <v>#DIV/0!</v>
      </c>
      <c r="DFB133" s="531" t="e">
        <f t="shared" si="305"/>
        <v>#DIV/0!</v>
      </c>
      <c r="DFC133" s="531" t="e">
        <f t="shared" si="305"/>
        <v>#DIV/0!</v>
      </c>
      <c r="DFD133" s="531" t="e">
        <f t="shared" si="305"/>
        <v>#DIV/0!</v>
      </c>
      <c r="DFE133" s="531" t="e">
        <f t="shared" si="305"/>
        <v>#DIV/0!</v>
      </c>
      <c r="DFF133" s="531" t="e">
        <f t="shared" si="305"/>
        <v>#DIV/0!</v>
      </c>
      <c r="DFG133" s="531" t="e">
        <f t="shared" si="305"/>
        <v>#DIV/0!</v>
      </c>
      <c r="DFH133" s="531" t="e">
        <f t="shared" si="305"/>
        <v>#DIV/0!</v>
      </c>
      <c r="DFI133" s="531" t="e">
        <f t="shared" si="305"/>
        <v>#DIV/0!</v>
      </c>
      <c r="DFJ133" s="531" t="e">
        <f t="shared" si="305"/>
        <v>#DIV/0!</v>
      </c>
      <c r="DFK133" s="531" t="e">
        <f t="shared" si="305"/>
        <v>#DIV/0!</v>
      </c>
      <c r="DFL133" s="531" t="e">
        <f t="shared" si="305"/>
        <v>#DIV/0!</v>
      </c>
      <c r="DFM133" s="531" t="e">
        <f t="shared" si="305"/>
        <v>#DIV/0!</v>
      </c>
      <c r="DFN133" s="531" t="e">
        <f t="shared" si="305"/>
        <v>#DIV/0!</v>
      </c>
      <c r="DFO133" s="531" t="e">
        <f t="shared" si="305"/>
        <v>#DIV/0!</v>
      </c>
      <c r="DFP133" s="531" t="e">
        <f t="shared" si="305"/>
        <v>#DIV/0!</v>
      </c>
      <c r="DFQ133" s="531" t="e">
        <f t="shared" si="305"/>
        <v>#DIV/0!</v>
      </c>
      <c r="DFR133" s="531" t="e">
        <f t="shared" si="305"/>
        <v>#DIV/0!</v>
      </c>
      <c r="DFS133" s="531" t="e">
        <f t="shared" si="305"/>
        <v>#DIV/0!</v>
      </c>
      <c r="DFT133" s="531" t="e">
        <f t="shared" si="305"/>
        <v>#DIV/0!</v>
      </c>
      <c r="DFU133" s="531" t="e">
        <f t="shared" si="305"/>
        <v>#DIV/0!</v>
      </c>
      <c r="DFV133" s="531" t="e">
        <f t="shared" si="305"/>
        <v>#DIV/0!</v>
      </c>
      <c r="DFW133" s="531" t="e">
        <f t="shared" si="305"/>
        <v>#DIV/0!</v>
      </c>
      <c r="DFX133" s="531" t="e">
        <f t="shared" si="305"/>
        <v>#DIV/0!</v>
      </c>
      <c r="DFY133" s="531" t="e">
        <f t="shared" si="305"/>
        <v>#DIV/0!</v>
      </c>
      <c r="DFZ133" s="531" t="e">
        <f t="shared" si="305"/>
        <v>#DIV/0!</v>
      </c>
      <c r="DGA133" s="531" t="e">
        <f t="shared" ref="DGA133:DIL133" si="306">DGA116/(DGA52*10^5)</f>
        <v>#DIV/0!</v>
      </c>
      <c r="DGB133" s="531" t="e">
        <f t="shared" si="306"/>
        <v>#DIV/0!</v>
      </c>
      <c r="DGC133" s="531" t="e">
        <f t="shared" si="306"/>
        <v>#DIV/0!</v>
      </c>
      <c r="DGD133" s="531" t="e">
        <f t="shared" si="306"/>
        <v>#DIV/0!</v>
      </c>
      <c r="DGE133" s="531" t="e">
        <f t="shared" si="306"/>
        <v>#DIV/0!</v>
      </c>
      <c r="DGF133" s="531" t="e">
        <f t="shared" si="306"/>
        <v>#DIV/0!</v>
      </c>
      <c r="DGG133" s="531" t="e">
        <f t="shared" si="306"/>
        <v>#DIV/0!</v>
      </c>
      <c r="DGH133" s="531" t="e">
        <f t="shared" si="306"/>
        <v>#DIV/0!</v>
      </c>
      <c r="DGI133" s="531" t="e">
        <f t="shared" si="306"/>
        <v>#DIV/0!</v>
      </c>
      <c r="DGJ133" s="531" t="e">
        <f t="shared" si="306"/>
        <v>#DIV/0!</v>
      </c>
      <c r="DGK133" s="531" t="e">
        <f t="shared" si="306"/>
        <v>#DIV/0!</v>
      </c>
      <c r="DGL133" s="531" t="e">
        <f t="shared" si="306"/>
        <v>#DIV/0!</v>
      </c>
      <c r="DGM133" s="531" t="e">
        <f t="shared" si="306"/>
        <v>#DIV/0!</v>
      </c>
      <c r="DGN133" s="531" t="e">
        <f t="shared" si="306"/>
        <v>#DIV/0!</v>
      </c>
      <c r="DGO133" s="531" t="e">
        <f t="shared" si="306"/>
        <v>#DIV/0!</v>
      </c>
      <c r="DGP133" s="531" t="e">
        <f t="shared" si="306"/>
        <v>#DIV/0!</v>
      </c>
      <c r="DGQ133" s="531" t="e">
        <f t="shared" si="306"/>
        <v>#DIV/0!</v>
      </c>
      <c r="DGR133" s="531" t="e">
        <f t="shared" si="306"/>
        <v>#DIV/0!</v>
      </c>
      <c r="DGS133" s="531" t="e">
        <f t="shared" si="306"/>
        <v>#DIV/0!</v>
      </c>
      <c r="DGT133" s="531" t="e">
        <f t="shared" si="306"/>
        <v>#DIV/0!</v>
      </c>
      <c r="DGU133" s="531" t="e">
        <f t="shared" si="306"/>
        <v>#DIV/0!</v>
      </c>
      <c r="DGV133" s="531" t="e">
        <f t="shared" si="306"/>
        <v>#DIV/0!</v>
      </c>
      <c r="DGW133" s="531" t="e">
        <f t="shared" si="306"/>
        <v>#DIV/0!</v>
      </c>
      <c r="DGX133" s="531" t="e">
        <f t="shared" si="306"/>
        <v>#DIV/0!</v>
      </c>
      <c r="DGY133" s="531" t="e">
        <f t="shared" si="306"/>
        <v>#DIV/0!</v>
      </c>
      <c r="DGZ133" s="531" t="e">
        <f t="shared" si="306"/>
        <v>#DIV/0!</v>
      </c>
      <c r="DHA133" s="531" t="e">
        <f t="shared" si="306"/>
        <v>#DIV/0!</v>
      </c>
      <c r="DHB133" s="531" t="e">
        <f t="shared" si="306"/>
        <v>#DIV/0!</v>
      </c>
      <c r="DHC133" s="531" t="e">
        <f t="shared" si="306"/>
        <v>#DIV/0!</v>
      </c>
      <c r="DHD133" s="531" t="e">
        <f t="shared" si="306"/>
        <v>#DIV/0!</v>
      </c>
      <c r="DHE133" s="531" t="e">
        <f t="shared" si="306"/>
        <v>#DIV/0!</v>
      </c>
      <c r="DHF133" s="531" t="e">
        <f t="shared" si="306"/>
        <v>#DIV/0!</v>
      </c>
      <c r="DHG133" s="531" t="e">
        <f t="shared" si="306"/>
        <v>#DIV/0!</v>
      </c>
      <c r="DHH133" s="531" t="e">
        <f t="shared" si="306"/>
        <v>#DIV/0!</v>
      </c>
      <c r="DHI133" s="531" t="e">
        <f t="shared" si="306"/>
        <v>#DIV/0!</v>
      </c>
      <c r="DHJ133" s="531" t="e">
        <f t="shared" si="306"/>
        <v>#DIV/0!</v>
      </c>
      <c r="DHK133" s="531" t="e">
        <f t="shared" si="306"/>
        <v>#DIV/0!</v>
      </c>
      <c r="DHL133" s="531" t="e">
        <f t="shared" si="306"/>
        <v>#DIV/0!</v>
      </c>
      <c r="DHM133" s="531" t="e">
        <f t="shared" si="306"/>
        <v>#DIV/0!</v>
      </c>
      <c r="DHN133" s="531" t="e">
        <f t="shared" si="306"/>
        <v>#DIV/0!</v>
      </c>
      <c r="DHO133" s="531" t="e">
        <f t="shared" si="306"/>
        <v>#DIV/0!</v>
      </c>
      <c r="DHP133" s="531" t="e">
        <f t="shared" si="306"/>
        <v>#DIV/0!</v>
      </c>
      <c r="DHQ133" s="531" t="e">
        <f t="shared" si="306"/>
        <v>#DIV/0!</v>
      </c>
      <c r="DHR133" s="531" t="e">
        <f t="shared" si="306"/>
        <v>#DIV/0!</v>
      </c>
      <c r="DHS133" s="531" t="e">
        <f t="shared" si="306"/>
        <v>#DIV/0!</v>
      </c>
      <c r="DHT133" s="531" t="e">
        <f t="shared" si="306"/>
        <v>#DIV/0!</v>
      </c>
      <c r="DHU133" s="531" t="e">
        <f t="shared" si="306"/>
        <v>#DIV/0!</v>
      </c>
      <c r="DHV133" s="531" t="e">
        <f t="shared" si="306"/>
        <v>#DIV/0!</v>
      </c>
      <c r="DHW133" s="531" t="e">
        <f t="shared" si="306"/>
        <v>#DIV/0!</v>
      </c>
      <c r="DHX133" s="531" t="e">
        <f t="shared" si="306"/>
        <v>#DIV/0!</v>
      </c>
      <c r="DHY133" s="531" t="e">
        <f t="shared" si="306"/>
        <v>#DIV/0!</v>
      </c>
      <c r="DHZ133" s="531" t="e">
        <f t="shared" si="306"/>
        <v>#DIV/0!</v>
      </c>
      <c r="DIA133" s="531" t="e">
        <f t="shared" si="306"/>
        <v>#DIV/0!</v>
      </c>
      <c r="DIB133" s="531" t="e">
        <f t="shared" si="306"/>
        <v>#DIV/0!</v>
      </c>
      <c r="DIC133" s="531" t="e">
        <f t="shared" si="306"/>
        <v>#DIV/0!</v>
      </c>
      <c r="DID133" s="531" t="e">
        <f t="shared" si="306"/>
        <v>#DIV/0!</v>
      </c>
      <c r="DIE133" s="531" t="e">
        <f t="shared" si="306"/>
        <v>#DIV/0!</v>
      </c>
      <c r="DIF133" s="531" t="e">
        <f t="shared" si="306"/>
        <v>#DIV/0!</v>
      </c>
      <c r="DIG133" s="531" t="e">
        <f t="shared" si="306"/>
        <v>#DIV/0!</v>
      </c>
      <c r="DIH133" s="531" t="e">
        <f t="shared" si="306"/>
        <v>#DIV/0!</v>
      </c>
      <c r="DII133" s="531" t="e">
        <f t="shared" si="306"/>
        <v>#DIV/0!</v>
      </c>
      <c r="DIJ133" s="531" t="e">
        <f t="shared" si="306"/>
        <v>#DIV/0!</v>
      </c>
      <c r="DIK133" s="531" t="e">
        <f t="shared" si="306"/>
        <v>#DIV/0!</v>
      </c>
      <c r="DIL133" s="531" t="e">
        <f t="shared" si="306"/>
        <v>#DIV/0!</v>
      </c>
      <c r="DIM133" s="531" t="e">
        <f t="shared" ref="DIM133:DKX133" si="307">DIM116/(DIM52*10^5)</f>
        <v>#DIV/0!</v>
      </c>
      <c r="DIN133" s="531" t="e">
        <f t="shared" si="307"/>
        <v>#DIV/0!</v>
      </c>
      <c r="DIO133" s="531" t="e">
        <f t="shared" si="307"/>
        <v>#DIV/0!</v>
      </c>
      <c r="DIP133" s="531" t="e">
        <f t="shared" si="307"/>
        <v>#DIV/0!</v>
      </c>
      <c r="DIQ133" s="531" t="e">
        <f t="shared" si="307"/>
        <v>#DIV/0!</v>
      </c>
      <c r="DIR133" s="531" t="e">
        <f t="shared" si="307"/>
        <v>#DIV/0!</v>
      </c>
      <c r="DIS133" s="531" t="e">
        <f t="shared" si="307"/>
        <v>#DIV/0!</v>
      </c>
      <c r="DIT133" s="531" t="e">
        <f t="shared" si="307"/>
        <v>#DIV/0!</v>
      </c>
      <c r="DIU133" s="531" t="e">
        <f t="shared" si="307"/>
        <v>#DIV/0!</v>
      </c>
      <c r="DIV133" s="531" t="e">
        <f t="shared" si="307"/>
        <v>#DIV/0!</v>
      </c>
      <c r="DIW133" s="531" t="e">
        <f t="shared" si="307"/>
        <v>#DIV/0!</v>
      </c>
      <c r="DIX133" s="531" t="e">
        <f t="shared" si="307"/>
        <v>#DIV/0!</v>
      </c>
      <c r="DIY133" s="531" t="e">
        <f t="shared" si="307"/>
        <v>#DIV/0!</v>
      </c>
      <c r="DIZ133" s="531" t="e">
        <f t="shared" si="307"/>
        <v>#DIV/0!</v>
      </c>
      <c r="DJA133" s="531" t="e">
        <f t="shared" si="307"/>
        <v>#DIV/0!</v>
      </c>
      <c r="DJB133" s="531" t="e">
        <f t="shared" si="307"/>
        <v>#DIV/0!</v>
      </c>
      <c r="DJC133" s="531" t="e">
        <f t="shared" si="307"/>
        <v>#DIV/0!</v>
      </c>
      <c r="DJD133" s="531" t="e">
        <f t="shared" si="307"/>
        <v>#DIV/0!</v>
      </c>
      <c r="DJE133" s="531" t="e">
        <f t="shared" si="307"/>
        <v>#DIV/0!</v>
      </c>
      <c r="DJF133" s="531" t="e">
        <f t="shared" si="307"/>
        <v>#DIV/0!</v>
      </c>
      <c r="DJG133" s="531" t="e">
        <f t="shared" si="307"/>
        <v>#DIV/0!</v>
      </c>
      <c r="DJH133" s="531" t="e">
        <f t="shared" si="307"/>
        <v>#DIV/0!</v>
      </c>
      <c r="DJI133" s="531" t="e">
        <f t="shared" si="307"/>
        <v>#DIV/0!</v>
      </c>
      <c r="DJJ133" s="531" t="e">
        <f t="shared" si="307"/>
        <v>#DIV/0!</v>
      </c>
      <c r="DJK133" s="531" t="e">
        <f t="shared" si="307"/>
        <v>#DIV/0!</v>
      </c>
      <c r="DJL133" s="531" t="e">
        <f t="shared" si="307"/>
        <v>#DIV/0!</v>
      </c>
      <c r="DJM133" s="531" t="e">
        <f t="shared" si="307"/>
        <v>#DIV/0!</v>
      </c>
      <c r="DJN133" s="531" t="e">
        <f t="shared" si="307"/>
        <v>#DIV/0!</v>
      </c>
      <c r="DJO133" s="531" t="e">
        <f t="shared" si="307"/>
        <v>#DIV/0!</v>
      </c>
      <c r="DJP133" s="531" t="e">
        <f t="shared" si="307"/>
        <v>#DIV/0!</v>
      </c>
      <c r="DJQ133" s="531" t="e">
        <f t="shared" si="307"/>
        <v>#DIV/0!</v>
      </c>
      <c r="DJR133" s="531" t="e">
        <f t="shared" si="307"/>
        <v>#DIV/0!</v>
      </c>
      <c r="DJS133" s="531" t="e">
        <f t="shared" si="307"/>
        <v>#DIV/0!</v>
      </c>
      <c r="DJT133" s="531" t="e">
        <f t="shared" si="307"/>
        <v>#DIV/0!</v>
      </c>
      <c r="DJU133" s="531" t="e">
        <f t="shared" si="307"/>
        <v>#DIV/0!</v>
      </c>
      <c r="DJV133" s="531" t="e">
        <f t="shared" si="307"/>
        <v>#DIV/0!</v>
      </c>
      <c r="DJW133" s="531" t="e">
        <f t="shared" si="307"/>
        <v>#DIV/0!</v>
      </c>
      <c r="DJX133" s="531" t="e">
        <f t="shared" si="307"/>
        <v>#DIV/0!</v>
      </c>
      <c r="DJY133" s="531" t="e">
        <f t="shared" si="307"/>
        <v>#DIV/0!</v>
      </c>
      <c r="DJZ133" s="531" t="e">
        <f t="shared" si="307"/>
        <v>#DIV/0!</v>
      </c>
      <c r="DKA133" s="531" t="e">
        <f t="shared" si="307"/>
        <v>#DIV/0!</v>
      </c>
      <c r="DKB133" s="531" t="e">
        <f t="shared" si="307"/>
        <v>#DIV/0!</v>
      </c>
      <c r="DKC133" s="531" t="e">
        <f t="shared" si="307"/>
        <v>#DIV/0!</v>
      </c>
      <c r="DKD133" s="531" t="e">
        <f t="shared" si="307"/>
        <v>#DIV/0!</v>
      </c>
      <c r="DKE133" s="531" t="e">
        <f t="shared" si="307"/>
        <v>#DIV/0!</v>
      </c>
      <c r="DKF133" s="531" t="e">
        <f t="shared" si="307"/>
        <v>#DIV/0!</v>
      </c>
      <c r="DKG133" s="531" t="e">
        <f t="shared" si="307"/>
        <v>#DIV/0!</v>
      </c>
      <c r="DKH133" s="531" t="e">
        <f t="shared" si="307"/>
        <v>#DIV/0!</v>
      </c>
      <c r="DKI133" s="531" t="e">
        <f t="shared" si="307"/>
        <v>#DIV/0!</v>
      </c>
      <c r="DKJ133" s="531" t="e">
        <f t="shared" si="307"/>
        <v>#DIV/0!</v>
      </c>
      <c r="DKK133" s="531" t="e">
        <f t="shared" si="307"/>
        <v>#DIV/0!</v>
      </c>
      <c r="DKL133" s="531" t="e">
        <f t="shared" si="307"/>
        <v>#DIV/0!</v>
      </c>
      <c r="DKM133" s="531" t="e">
        <f t="shared" si="307"/>
        <v>#DIV/0!</v>
      </c>
      <c r="DKN133" s="531" t="e">
        <f t="shared" si="307"/>
        <v>#DIV/0!</v>
      </c>
      <c r="DKO133" s="531" t="e">
        <f t="shared" si="307"/>
        <v>#DIV/0!</v>
      </c>
      <c r="DKP133" s="531" t="e">
        <f t="shared" si="307"/>
        <v>#DIV/0!</v>
      </c>
      <c r="DKQ133" s="531" t="e">
        <f t="shared" si="307"/>
        <v>#DIV/0!</v>
      </c>
      <c r="DKR133" s="531" t="e">
        <f t="shared" si="307"/>
        <v>#DIV/0!</v>
      </c>
      <c r="DKS133" s="531" t="e">
        <f t="shared" si="307"/>
        <v>#DIV/0!</v>
      </c>
      <c r="DKT133" s="531" t="e">
        <f t="shared" si="307"/>
        <v>#DIV/0!</v>
      </c>
      <c r="DKU133" s="531" t="e">
        <f t="shared" si="307"/>
        <v>#DIV/0!</v>
      </c>
      <c r="DKV133" s="531" t="e">
        <f t="shared" si="307"/>
        <v>#DIV/0!</v>
      </c>
      <c r="DKW133" s="531" t="e">
        <f t="shared" si="307"/>
        <v>#DIV/0!</v>
      </c>
      <c r="DKX133" s="531" t="e">
        <f t="shared" si="307"/>
        <v>#DIV/0!</v>
      </c>
      <c r="DKY133" s="531" t="e">
        <f t="shared" ref="DKY133:DNJ133" si="308">DKY116/(DKY52*10^5)</f>
        <v>#DIV/0!</v>
      </c>
      <c r="DKZ133" s="531" t="e">
        <f t="shared" si="308"/>
        <v>#DIV/0!</v>
      </c>
      <c r="DLA133" s="531" t="e">
        <f t="shared" si="308"/>
        <v>#DIV/0!</v>
      </c>
      <c r="DLB133" s="531" t="e">
        <f t="shared" si="308"/>
        <v>#DIV/0!</v>
      </c>
      <c r="DLC133" s="531" t="e">
        <f t="shared" si="308"/>
        <v>#DIV/0!</v>
      </c>
      <c r="DLD133" s="531" t="e">
        <f t="shared" si="308"/>
        <v>#DIV/0!</v>
      </c>
      <c r="DLE133" s="531" t="e">
        <f t="shared" si="308"/>
        <v>#DIV/0!</v>
      </c>
      <c r="DLF133" s="531" t="e">
        <f t="shared" si="308"/>
        <v>#DIV/0!</v>
      </c>
      <c r="DLG133" s="531" t="e">
        <f t="shared" si="308"/>
        <v>#DIV/0!</v>
      </c>
      <c r="DLH133" s="531" t="e">
        <f t="shared" si="308"/>
        <v>#DIV/0!</v>
      </c>
      <c r="DLI133" s="531" t="e">
        <f t="shared" si="308"/>
        <v>#DIV/0!</v>
      </c>
      <c r="DLJ133" s="531" t="e">
        <f t="shared" si="308"/>
        <v>#DIV/0!</v>
      </c>
      <c r="DLK133" s="531" t="e">
        <f t="shared" si="308"/>
        <v>#DIV/0!</v>
      </c>
      <c r="DLL133" s="531" t="e">
        <f t="shared" si="308"/>
        <v>#DIV/0!</v>
      </c>
      <c r="DLM133" s="531" t="e">
        <f t="shared" si="308"/>
        <v>#DIV/0!</v>
      </c>
      <c r="DLN133" s="531" t="e">
        <f t="shared" si="308"/>
        <v>#DIV/0!</v>
      </c>
      <c r="DLO133" s="531" t="e">
        <f t="shared" si="308"/>
        <v>#DIV/0!</v>
      </c>
      <c r="DLP133" s="531" t="e">
        <f t="shared" si="308"/>
        <v>#DIV/0!</v>
      </c>
      <c r="DLQ133" s="531" t="e">
        <f t="shared" si="308"/>
        <v>#DIV/0!</v>
      </c>
      <c r="DLR133" s="531" t="e">
        <f t="shared" si="308"/>
        <v>#DIV/0!</v>
      </c>
      <c r="DLS133" s="531" t="e">
        <f t="shared" si="308"/>
        <v>#DIV/0!</v>
      </c>
      <c r="DLT133" s="531" t="e">
        <f t="shared" si="308"/>
        <v>#DIV/0!</v>
      </c>
      <c r="DLU133" s="531" t="e">
        <f t="shared" si="308"/>
        <v>#DIV/0!</v>
      </c>
      <c r="DLV133" s="531" t="e">
        <f t="shared" si="308"/>
        <v>#DIV/0!</v>
      </c>
      <c r="DLW133" s="531" t="e">
        <f t="shared" si="308"/>
        <v>#DIV/0!</v>
      </c>
      <c r="DLX133" s="531" t="e">
        <f t="shared" si="308"/>
        <v>#DIV/0!</v>
      </c>
      <c r="DLY133" s="531" t="e">
        <f t="shared" si="308"/>
        <v>#DIV/0!</v>
      </c>
      <c r="DLZ133" s="531" t="e">
        <f t="shared" si="308"/>
        <v>#DIV/0!</v>
      </c>
      <c r="DMA133" s="531" t="e">
        <f t="shared" si="308"/>
        <v>#DIV/0!</v>
      </c>
      <c r="DMB133" s="531" t="e">
        <f t="shared" si="308"/>
        <v>#DIV/0!</v>
      </c>
      <c r="DMC133" s="531" t="e">
        <f t="shared" si="308"/>
        <v>#DIV/0!</v>
      </c>
      <c r="DMD133" s="531" t="e">
        <f t="shared" si="308"/>
        <v>#DIV/0!</v>
      </c>
      <c r="DME133" s="531" t="e">
        <f t="shared" si="308"/>
        <v>#DIV/0!</v>
      </c>
      <c r="DMF133" s="531" t="e">
        <f t="shared" si="308"/>
        <v>#DIV/0!</v>
      </c>
      <c r="DMG133" s="531" t="e">
        <f t="shared" si="308"/>
        <v>#DIV/0!</v>
      </c>
      <c r="DMH133" s="531" t="e">
        <f t="shared" si="308"/>
        <v>#DIV/0!</v>
      </c>
      <c r="DMI133" s="531" t="e">
        <f t="shared" si="308"/>
        <v>#DIV/0!</v>
      </c>
      <c r="DMJ133" s="531" t="e">
        <f t="shared" si="308"/>
        <v>#DIV/0!</v>
      </c>
      <c r="DMK133" s="531" t="e">
        <f t="shared" si="308"/>
        <v>#DIV/0!</v>
      </c>
      <c r="DML133" s="531" t="e">
        <f t="shared" si="308"/>
        <v>#DIV/0!</v>
      </c>
      <c r="DMM133" s="531" t="e">
        <f t="shared" si="308"/>
        <v>#DIV/0!</v>
      </c>
      <c r="DMN133" s="531" t="e">
        <f t="shared" si="308"/>
        <v>#DIV/0!</v>
      </c>
      <c r="DMO133" s="531" t="e">
        <f t="shared" si="308"/>
        <v>#DIV/0!</v>
      </c>
      <c r="DMP133" s="531" t="e">
        <f t="shared" si="308"/>
        <v>#DIV/0!</v>
      </c>
      <c r="DMQ133" s="531" t="e">
        <f t="shared" si="308"/>
        <v>#DIV/0!</v>
      </c>
      <c r="DMR133" s="531" t="e">
        <f t="shared" si="308"/>
        <v>#DIV/0!</v>
      </c>
      <c r="DMS133" s="531" t="e">
        <f t="shared" si="308"/>
        <v>#DIV/0!</v>
      </c>
      <c r="DMT133" s="531" t="e">
        <f t="shared" si="308"/>
        <v>#DIV/0!</v>
      </c>
      <c r="DMU133" s="531" t="e">
        <f t="shared" si="308"/>
        <v>#DIV/0!</v>
      </c>
      <c r="DMV133" s="531" t="e">
        <f t="shared" si="308"/>
        <v>#DIV/0!</v>
      </c>
      <c r="DMW133" s="531" t="e">
        <f t="shared" si="308"/>
        <v>#DIV/0!</v>
      </c>
      <c r="DMX133" s="531" t="e">
        <f t="shared" si="308"/>
        <v>#DIV/0!</v>
      </c>
      <c r="DMY133" s="531" t="e">
        <f t="shared" si="308"/>
        <v>#DIV/0!</v>
      </c>
      <c r="DMZ133" s="531" t="e">
        <f t="shared" si="308"/>
        <v>#DIV/0!</v>
      </c>
      <c r="DNA133" s="531" t="e">
        <f t="shared" si="308"/>
        <v>#DIV/0!</v>
      </c>
      <c r="DNB133" s="531" t="e">
        <f t="shared" si="308"/>
        <v>#DIV/0!</v>
      </c>
      <c r="DNC133" s="531" t="e">
        <f t="shared" si="308"/>
        <v>#DIV/0!</v>
      </c>
      <c r="DND133" s="531" t="e">
        <f t="shared" si="308"/>
        <v>#DIV/0!</v>
      </c>
      <c r="DNE133" s="531" t="e">
        <f t="shared" si="308"/>
        <v>#DIV/0!</v>
      </c>
      <c r="DNF133" s="531" t="e">
        <f t="shared" si="308"/>
        <v>#DIV/0!</v>
      </c>
      <c r="DNG133" s="531" t="e">
        <f t="shared" si="308"/>
        <v>#DIV/0!</v>
      </c>
      <c r="DNH133" s="531" t="e">
        <f t="shared" si="308"/>
        <v>#DIV/0!</v>
      </c>
      <c r="DNI133" s="531" t="e">
        <f t="shared" si="308"/>
        <v>#DIV/0!</v>
      </c>
      <c r="DNJ133" s="531" t="e">
        <f t="shared" si="308"/>
        <v>#DIV/0!</v>
      </c>
      <c r="DNK133" s="531" t="e">
        <f t="shared" ref="DNK133:DPV133" si="309">DNK116/(DNK52*10^5)</f>
        <v>#DIV/0!</v>
      </c>
      <c r="DNL133" s="531" t="e">
        <f t="shared" si="309"/>
        <v>#DIV/0!</v>
      </c>
      <c r="DNM133" s="531" t="e">
        <f t="shared" si="309"/>
        <v>#DIV/0!</v>
      </c>
      <c r="DNN133" s="531" t="e">
        <f t="shared" si="309"/>
        <v>#DIV/0!</v>
      </c>
      <c r="DNO133" s="531" t="e">
        <f t="shared" si="309"/>
        <v>#DIV/0!</v>
      </c>
      <c r="DNP133" s="531" t="e">
        <f t="shared" si="309"/>
        <v>#DIV/0!</v>
      </c>
      <c r="DNQ133" s="531" t="e">
        <f t="shared" si="309"/>
        <v>#DIV/0!</v>
      </c>
      <c r="DNR133" s="531" t="e">
        <f t="shared" si="309"/>
        <v>#DIV/0!</v>
      </c>
      <c r="DNS133" s="531" t="e">
        <f t="shared" si="309"/>
        <v>#DIV/0!</v>
      </c>
      <c r="DNT133" s="531" t="e">
        <f t="shared" si="309"/>
        <v>#DIV/0!</v>
      </c>
      <c r="DNU133" s="531" t="e">
        <f t="shared" si="309"/>
        <v>#DIV/0!</v>
      </c>
      <c r="DNV133" s="531" t="e">
        <f t="shared" si="309"/>
        <v>#DIV/0!</v>
      </c>
      <c r="DNW133" s="531" t="e">
        <f t="shared" si="309"/>
        <v>#DIV/0!</v>
      </c>
      <c r="DNX133" s="531" t="e">
        <f t="shared" si="309"/>
        <v>#DIV/0!</v>
      </c>
      <c r="DNY133" s="531" t="e">
        <f t="shared" si="309"/>
        <v>#DIV/0!</v>
      </c>
      <c r="DNZ133" s="531" t="e">
        <f t="shared" si="309"/>
        <v>#DIV/0!</v>
      </c>
      <c r="DOA133" s="531" t="e">
        <f t="shared" si="309"/>
        <v>#DIV/0!</v>
      </c>
      <c r="DOB133" s="531" t="e">
        <f t="shared" si="309"/>
        <v>#DIV/0!</v>
      </c>
      <c r="DOC133" s="531" t="e">
        <f t="shared" si="309"/>
        <v>#DIV/0!</v>
      </c>
      <c r="DOD133" s="531" t="e">
        <f t="shared" si="309"/>
        <v>#DIV/0!</v>
      </c>
      <c r="DOE133" s="531" t="e">
        <f t="shared" si="309"/>
        <v>#DIV/0!</v>
      </c>
      <c r="DOF133" s="531" t="e">
        <f t="shared" si="309"/>
        <v>#DIV/0!</v>
      </c>
      <c r="DOG133" s="531" t="e">
        <f t="shared" si="309"/>
        <v>#DIV/0!</v>
      </c>
      <c r="DOH133" s="531" t="e">
        <f t="shared" si="309"/>
        <v>#DIV/0!</v>
      </c>
      <c r="DOI133" s="531" t="e">
        <f t="shared" si="309"/>
        <v>#DIV/0!</v>
      </c>
      <c r="DOJ133" s="531" t="e">
        <f t="shared" si="309"/>
        <v>#DIV/0!</v>
      </c>
      <c r="DOK133" s="531" t="e">
        <f t="shared" si="309"/>
        <v>#DIV/0!</v>
      </c>
      <c r="DOL133" s="531" t="e">
        <f t="shared" si="309"/>
        <v>#DIV/0!</v>
      </c>
      <c r="DOM133" s="531" t="e">
        <f t="shared" si="309"/>
        <v>#DIV/0!</v>
      </c>
      <c r="DON133" s="531" t="e">
        <f t="shared" si="309"/>
        <v>#DIV/0!</v>
      </c>
      <c r="DOO133" s="531" t="e">
        <f t="shared" si="309"/>
        <v>#DIV/0!</v>
      </c>
      <c r="DOP133" s="531" t="e">
        <f t="shared" si="309"/>
        <v>#DIV/0!</v>
      </c>
      <c r="DOQ133" s="531" t="e">
        <f t="shared" si="309"/>
        <v>#DIV/0!</v>
      </c>
      <c r="DOR133" s="531" t="e">
        <f t="shared" si="309"/>
        <v>#DIV/0!</v>
      </c>
      <c r="DOS133" s="531" t="e">
        <f t="shared" si="309"/>
        <v>#DIV/0!</v>
      </c>
      <c r="DOT133" s="531" t="e">
        <f t="shared" si="309"/>
        <v>#DIV/0!</v>
      </c>
      <c r="DOU133" s="531" t="e">
        <f t="shared" si="309"/>
        <v>#DIV/0!</v>
      </c>
      <c r="DOV133" s="531" t="e">
        <f t="shared" si="309"/>
        <v>#DIV/0!</v>
      </c>
      <c r="DOW133" s="531" t="e">
        <f t="shared" si="309"/>
        <v>#DIV/0!</v>
      </c>
      <c r="DOX133" s="531" t="e">
        <f t="shared" si="309"/>
        <v>#DIV/0!</v>
      </c>
      <c r="DOY133" s="531" t="e">
        <f t="shared" si="309"/>
        <v>#DIV/0!</v>
      </c>
      <c r="DOZ133" s="531" t="e">
        <f t="shared" si="309"/>
        <v>#DIV/0!</v>
      </c>
      <c r="DPA133" s="531" t="e">
        <f t="shared" si="309"/>
        <v>#DIV/0!</v>
      </c>
      <c r="DPB133" s="531" t="e">
        <f t="shared" si="309"/>
        <v>#DIV/0!</v>
      </c>
      <c r="DPC133" s="531" t="e">
        <f t="shared" si="309"/>
        <v>#DIV/0!</v>
      </c>
      <c r="DPD133" s="531" t="e">
        <f t="shared" si="309"/>
        <v>#DIV/0!</v>
      </c>
      <c r="DPE133" s="531" t="e">
        <f t="shared" si="309"/>
        <v>#DIV/0!</v>
      </c>
      <c r="DPF133" s="531" t="e">
        <f t="shared" si="309"/>
        <v>#DIV/0!</v>
      </c>
      <c r="DPG133" s="531" t="e">
        <f t="shared" si="309"/>
        <v>#DIV/0!</v>
      </c>
      <c r="DPH133" s="531" t="e">
        <f t="shared" si="309"/>
        <v>#DIV/0!</v>
      </c>
      <c r="DPI133" s="531" t="e">
        <f t="shared" si="309"/>
        <v>#DIV/0!</v>
      </c>
      <c r="DPJ133" s="531" t="e">
        <f t="shared" si="309"/>
        <v>#DIV/0!</v>
      </c>
      <c r="DPK133" s="531" t="e">
        <f t="shared" si="309"/>
        <v>#DIV/0!</v>
      </c>
      <c r="DPL133" s="531" t="e">
        <f t="shared" si="309"/>
        <v>#DIV/0!</v>
      </c>
      <c r="DPM133" s="531" t="e">
        <f t="shared" si="309"/>
        <v>#DIV/0!</v>
      </c>
      <c r="DPN133" s="531" t="e">
        <f t="shared" si="309"/>
        <v>#DIV/0!</v>
      </c>
      <c r="DPO133" s="531" t="e">
        <f t="shared" si="309"/>
        <v>#DIV/0!</v>
      </c>
      <c r="DPP133" s="531" t="e">
        <f t="shared" si="309"/>
        <v>#DIV/0!</v>
      </c>
      <c r="DPQ133" s="531" t="e">
        <f t="shared" si="309"/>
        <v>#DIV/0!</v>
      </c>
      <c r="DPR133" s="531" t="e">
        <f t="shared" si="309"/>
        <v>#DIV/0!</v>
      </c>
      <c r="DPS133" s="531" t="e">
        <f t="shared" si="309"/>
        <v>#DIV/0!</v>
      </c>
      <c r="DPT133" s="531" t="e">
        <f t="shared" si="309"/>
        <v>#DIV/0!</v>
      </c>
      <c r="DPU133" s="531" t="e">
        <f t="shared" si="309"/>
        <v>#DIV/0!</v>
      </c>
      <c r="DPV133" s="531" t="e">
        <f t="shared" si="309"/>
        <v>#DIV/0!</v>
      </c>
      <c r="DPW133" s="531" t="e">
        <f t="shared" ref="DPW133:DSH133" si="310">DPW116/(DPW52*10^5)</f>
        <v>#DIV/0!</v>
      </c>
      <c r="DPX133" s="531" t="e">
        <f t="shared" si="310"/>
        <v>#DIV/0!</v>
      </c>
      <c r="DPY133" s="531" t="e">
        <f t="shared" si="310"/>
        <v>#DIV/0!</v>
      </c>
      <c r="DPZ133" s="531" t="e">
        <f t="shared" si="310"/>
        <v>#DIV/0!</v>
      </c>
      <c r="DQA133" s="531" t="e">
        <f t="shared" si="310"/>
        <v>#DIV/0!</v>
      </c>
      <c r="DQB133" s="531" t="e">
        <f t="shared" si="310"/>
        <v>#DIV/0!</v>
      </c>
      <c r="DQC133" s="531" t="e">
        <f t="shared" si="310"/>
        <v>#DIV/0!</v>
      </c>
      <c r="DQD133" s="531" t="e">
        <f t="shared" si="310"/>
        <v>#DIV/0!</v>
      </c>
      <c r="DQE133" s="531" t="e">
        <f t="shared" si="310"/>
        <v>#DIV/0!</v>
      </c>
      <c r="DQF133" s="531" t="e">
        <f t="shared" si="310"/>
        <v>#DIV/0!</v>
      </c>
      <c r="DQG133" s="531" t="e">
        <f t="shared" si="310"/>
        <v>#DIV/0!</v>
      </c>
      <c r="DQH133" s="531" t="e">
        <f t="shared" si="310"/>
        <v>#DIV/0!</v>
      </c>
      <c r="DQI133" s="531" t="e">
        <f t="shared" si="310"/>
        <v>#DIV/0!</v>
      </c>
      <c r="DQJ133" s="531" t="e">
        <f t="shared" si="310"/>
        <v>#DIV/0!</v>
      </c>
      <c r="DQK133" s="531" t="e">
        <f t="shared" si="310"/>
        <v>#DIV/0!</v>
      </c>
      <c r="DQL133" s="531" t="e">
        <f t="shared" si="310"/>
        <v>#DIV/0!</v>
      </c>
      <c r="DQM133" s="531" t="e">
        <f t="shared" si="310"/>
        <v>#DIV/0!</v>
      </c>
      <c r="DQN133" s="531" t="e">
        <f t="shared" si="310"/>
        <v>#DIV/0!</v>
      </c>
      <c r="DQO133" s="531" t="e">
        <f t="shared" si="310"/>
        <v>#DIV/0!</v>
      </c>
      <c r="DQP133" s="531" t="e">
        <f t="shared" si="310"/>
        <v>#DIV/0!</v>
      </c>
      <c r="DQQ133" s="531" t="e">
        <f t="shared" si="310"/>
        <v>#DIV/0!</v>
      </c>
      <c r="DQR133" s="531" t="e">
        <f t="shared" si="310"/>
        <v>#DIV/0!</v>
      </c>
      <c r="DQS133" s="531" t="e">
        <f t="shared" si="310"/>
        <v>#DIV/0!</v>
      </c>
      <c r="DQT133" s="531" t="e">
        <f t="shared" si="310"/>
        <v>#DIV/0!</v>
      </c>
      <c r="DQU133" s="531" t="e">
        <f t="shared" si="310"/>
        <v>#DIV/0!</v>
      </c>
      <c r="DQV133" s="531" t="e">
        <f t="shared" si="310"/>
        <v>#DIV/0!</v>
      </c>
      <c r="DQW133" s="531" t="e">
        <f t="shared" si="310"/>
        <v>#DIV/0!</v>
      </c>
      <c r="DQX133" s="531" t="e">
        <f t="shared" si="310"/>
        <v>#DIV/0!</v>
      </c>
      <c r="DQY133" s="531" t="e">
        <f t="shared" si="310"/>
        <v>#DIV/0!</v>
      </c>
      <c r="DQZ133" s="531" t="e">
        <f t="shared" si="310"/>
        <v>#DIV/0!</v>
      </c>
      <c r="DRA133" s="531" t="e">
        <f t="shared" si="310"/>
        <v>#DIV/0!</v>
      </c>
      <c r="DRB133" s="531" t="e">
        <f t="shared" si="310"/>
        <v>#DIV/0!</v>
      </c>
      <c r="DRC133" s="531" t="e">
        <f t="shared" si="310"/>
        <v>#DIV/0!</v>
      </c>
      <c r="DRD133" s="531" t="e">
        <f t="shared" si="310"/>
        <v>#DIV/0!</v>
      </c>
      <c r="DRE133" s="531" t="e">
        <f t="shared" si="310"/>
        <v>#DIV/0!</v>
      </c>
      <c r="DRF133" s="531" t="e">
        <f t="shared" si="310"/>
        <v>#DIV/0!</v>
      </c>
      <c r="DRG133" s="531" t="e">
        <f t="shared" si="310"/>
        <v>#DIV/0!</v>
      </c>
      <c r="DRH133" s="531" t="e">
        <f t="shared" si="310"/>
        <v>#DIV/0!</v>
      </c>
      <c r="DRI133" s="531" t="e">
        <f t="shared" si="310"/>
        <v>#DIV/0!</v>
      </c>
      <c r="DRJ133" s="531" t="e">
        <f t="shared" si="310"/>
        <v>#DIV/0!</v>
      </c>
      <c r="DRK133" s="531" t="e">
        <f t="shared" si="310"/>
        <v>#DIV/0!</v>
      </c>
      <c r="DRL133" s="531" t="e">
        <f t="shared" si="310"/>
        <v>#DIV/0!</v>
      </c>
      <c r="DRM133" s="531" t="e">
        <f t="shared" si="310"/>
        <v>#DIV/0!</v>
      </c>
      <c r="DRN133" s="531" t="e">
        <f t="shared" si="310"/>
        <v>#DIV/0!</v>
      </c>
      <c r="DRO133" s="531" t="e">
        <f t="shared" si="310"/>
        <v>#DIV/0!</v>
      </c>
      <c r="DRP133" s="531" t="e">
        <f t="shared" si="310"/>
        <v>#DIV/0!</v>
      </c>
      <c r="DRQ133" s="531" t="e">
        <f t="shared" si="310"/>
        <v>#DIV/0!</v>
      </c>
      <c r="DRR133" s="531" t="e">
        <f t="shared" si="310"/>
        <v>#DIV/0!</v>
      </c>
      <c r="DRS133" s="531" t="e">
        <f t="shared" si="310"/>
        <v>#DIV/0!</v>
      </c>
      <c r="DRT133" s="531" t="e">
        <f t="shared" si="310"/>
        <v>#DIV/0!</v>
      </c>
      <c r="DRU133" s="531" t="e">
        <f t="shared" si="310"/>
        <v>#DIV/0!</v>
      </c>
      <c r="DRV133" s="531" t="e">
        <f t="shared" si="310"/>
        <v>#DIV/0!</v>
      </c>
      <c r="DRW133" s="531" t="e">
        <f t="shared" si="310"/>
        <v>#DIV/0!</v>
      </c>
      <c r="DRX133" s="531" t="e">
        <f t="shared" si="310"/>
        <v>#DIV/0!</v>
      </c>
      <c r="DRY133" s="531" t="e">
        <f t="shared" si="310"/>
        <v>#DIV/0!</v>
      </c>
      <c r="DRZ133" s="531" t="e">
        <f t="shared" si="310"/>
        <v>#DIV/0!</v>
      </c>
      <c r="DSA133" s="531" t="e">
        <f t="shared" si="310"/>
        <v>#DIV/0!</v>
      </c>
      <c r="DSB133" s="531" t="e">
        <f t="shared" si="310"/>
        <v>#DIV/0!</v>
      </c>
      <c r="DSC133" s="531" t="e">
        <f t="shared" si="310"/>
        <v>#DIV/0!</v>
      </c>
      <c r="DSD133" s="531" t="e">
        <f t="shared" si="310"/>
        <v>#DIV/0!</v>
      </c>
      <c r="DSE133" s="531" t="e">
        <f t="shared" si="310"/>
        <v>#DIV/0!</v>
      </c>
      <c r="DSF133" s="531" t="e">
        <f t="shared" si="310"/>
        <v>#DIV/0!</v>
      </c>
      <c r="DSG133" s="531" t="e">
        <f t="shared" si="310"/>
        <v>#DIV/0!</v>
      </c>
      <c r="DSH133" s="531" t="e">
        <f t="shared" si="310"/>
        <v>#DIV/0!</v>
      </c>
      <c r="DSI133" s="531" t="e">
        <f t="shared" ref="DSI133:DUT133" si="311">DSI116/(DSI52*10^5)</f>
        <v>#DIV/0!</v>
      </c>
      <c r="DSJ133" s="531" t="e">
        <f t="shared" si="311"/>
        <v>#DIV/0!</v>
      </c>
      <c r="DSK133" s="531" t="e">
        <f t="shared" si="311"/>
        <v>#DIV/0!</v>
      </c>
      <c r="DSL133" s="531" t="e">
        <f t="shared" si="311"/>
        <v>#DIV/0!</v>
      </c>
      <c r="DSM133" s="531" t="e">
        <f t="shared" si="311"/>
        <v>#DIV/0!</v>
      </c>
      <c r="DSN133" s="531" t="e">
        <f t="shared" si="311"/>
        <v>#DIV/0!</v>
      </c>
      <c r="DSO133" s="531" t="e">
        <f t="shared" si="311"/>
        <v>#DIV/0!</v>
      </c>
      <c r="DSP133" s="531" t="e">
        <f t="shared" si="311"/>
        <v>#DIV/0!</v>
      </c>
      <c r="DSQ133" s="531" t="e">
        <f t="shared" si="311"/>
        <v>#DIV/0!</v>
      </c>
      <c r="DSR133" s="531" t="e">
        <f t="shared" si="311"/>
        <v>#DIV/0!</v>
      </c>
      <c r="DSS133" s="531" t="e">
        <f t="shared" si="311"/>
        <v>#DIV/0!</v>
      </c>
      <c r="DST133" s="531" t="e">
        <f t="shared" si="311"/>
        <v>#DIV/0!</v>
      </c>
      <c r="DSU133" s="531" t="e">
        <f t="shared" si="311"/>
        <v>#DIV/0!</v>
      </c>
      <c r="DSV133" s="531" t="e">
        <f t="shared" si="311"/>
        <v>#DIV/0!</v>
      </c>
      <c r="DSW133" s="531" t="e">
        <f t="shared" si="311"/>
        <v>#DIV/0!</v>
      </c>
      <c r="DSX133" s="531" t="e">
        <f t="shared" si="311"/>
        <v>#DIV/0!</v>
      </c>
      <c r="DSY133" s="531" t="e">
        <f t="shared" si="311"/>
        <v>#DIV/0!</v>
      </c>
      <c r="DSZ133" s="531" t="e">
        <f t="shared" si="311"/>
        <v>#DIV/0!</v>
      </c>
      <c r="DTA133" s="531" t="e">
        <f t="shared" si="311"/>
        <v>#DIV/0!</v>
      </c>
      <c r="DTB133" s="531" t="e">
        <f t="shared" si="311"/>
        <v>#DIV/0!</v>
      </c>
      <c r="DTC133" s="531" t="e">
        <f t="shared" si="311"/>
        <v>#DIV/0!</v>
      </c>
      <c r="DTD133" s="531" t="e">
        <f t="shared" si="311"/>
        <v>#DIV/0!</v>
      </c>
      <c r="DTE133" s="531" t="e">
        <f t="shared" si="311"/>
        <v>#DIV/0!</v>
      </c>
      <c r="DTF133" s="531" t="e">
        <f t="shared" si="311"/>
        <v>#DIV/0!</v>
      </c>
      <c r="DTG133" s="531" t="e">
        <f t="shared" si="311"/>
        <v>#DIV/0!</v>
      </c>
      <c r="DTH133" s="531" t="e">
        <f t="shared" si="311"/>
        <v>#DIV/0!</v>
      </c>
      <c r="DTI133" s="531" t="e">
        <f t="shared" si="311"/>
        <v>#DIV/0!</v>
      </c>
      <c r="DTJ133" s="531" t="e">
        <f t="shared" si="311"/>
        <v>#DIV/0!</v>
      </c>
      <c r="DTK133" s="531" t="e">
        <f t="shared" si="311"/>
        <v>#DIV/0!</v>
      </c>
      <c r="DTL133" s="531" t="e">
        <f t="shared" si="311"/>
        <v>#DIV/0!</v>
      </c>
      <c r="DTM133" s="531" t="e">
        <f t="shared" si="311"/>
        <v>#DIV/0!</v>
      </c>
      <c r="DTN133" s="531" t="e">
        <f t="shared" si="311"/>
        <v>#DIV/0!</v>
      </c>
      <c r="DTO133" s="531" t="e">
        <f t="shared" si="311"/>
        <v>#DIV/0!</v>
      </c>
      <c r="DTP133" s="531" t="e">
        <f t="shared" si="311"/>
        <v>#DIV/0!</v>
      </c>
      <c r="DTQ133" s="531" t="e">
        <f t="shared" si="311"/>
        <v>#DIV/0!</v>
      </c>
      <c r="DTR133" s="531" t="e">
        <f t="shared" si="311"/>
        <v>#DIV/0!</v>
      </c>
      <c r="DTS133" s="531" t="e">
        <f t="shared" si="311"/>
        <v>#DIV/0!</v>
      </c>
      <c r="DTT133" s="531" t="e">
        <f t="shared" si="311"/>
        <v>#DIV/0!</v>
      </c>
      <c r="DTU133" s="531" t="e">
        <f t="shared" si="311"/>
        <v>#DIV/0!</v>
      </c>
      <c r="DTV133" s="531" t="e">
        <f t="shared" si="311"/>
        <v>#DIV/0!</v>
      </c>
      <c r="DTW133" s="531" t="e">
        <f t="shared" si="311"/>
        <v>#DIV/0!</v>
      </c>
      <c r="DTX133" s="531" t="e">
        <f t="shared" si="311"/>
        <v>#DIV/0!</v>
      </c>
      <c r="DTY133" s="531" t="e">
        <f t="shared" si="311"/>
        <v>#DIV/0!</v>
      </c>
      <c r="DTZ133" s="531" t="e">
        <f t="shared" si="311"/>
        <v>#DIV/0!</v>
      </c>
      <c r="DUA133" s="531" t="e">
        <f t="shared" si="311"/>
        <v>#DIV/0!</v>
      </c>
      <c r="DUB133" s="531" t="e">
        <f t="shared" si="311"/>
        <v>#DIV/0!</v>
      </c>
      <c r="DUC133" s="531" t="e">
        <f t="shared" si="311"/>
        <v>#DIV/0!</v>
      </c>
      <c r="DUD133" s="531" t="e">
        <f t="shared" si="311"/>
        <v>#DIV/0!</v>
      </c>
      <c r="DUE133" s="531" t="e">
        <f t="shared" si="311"/>
        <v>#DIV/0!</v>
      </c>
      <c r="DUF133" s="531" t="e">
        <f t="shared" si="311"/>
        <v>#DIV/0!</v>
      </c>
      <c r="DUG133" s="531" t="e">
        <f t="shared" si="311"/>
        <v>#DIV/0!</v>
      </c>
      <c r="DUH133" s="531" t="e">
        <f t="shared" si="311"/>
        <v>#DIV/0!</v>
      </c>
      <c r="DUI133" s="531" t="e">
        <f t="shared" si="311"/>
        <v>#DIV/0!</v>
      </c>
      <c r="DUJ133" s="531" t="e">
        <f t="shared" si="311"/>
        <v>#DIV/0!</v>
      </c>
      <c r="DUK133" s="531" t="e">
        <f t="shared" si="311"/>
        <v>#DIV/0!</v>
      </c>
      <c r="DUL133" s="531" t="e">
        <f t="shared" si="311"/>
        <v>#DIV/0!</v>
      </c>
      <c r="DUM133" s="531" t="e">
        <f t="shared" si="311"/>
        <v>#DIV/0!</v>
      </c>
      <c r="DUN133" s="531" t="e">
        <f t="shared" si="311"/>
        <v>#DIV/0!</v>
      </c>
      <c r="DUO133" s="531" t="e">
        <f t="shared" si="311"/>
        <v>#DIV/0!</v>
      </c>
      <c r="DUP133" s="531" t="e">
        <f t="shared" si="311"/>
        <v>#DIV/0!</v>
      </c>
      <c r="DUQ133" s="531" t="e">
        <f t="shared" si="311"/>
        <v>#DIV/0!</v>
      </c>
      <c r="DUR133" s="531" t="e">
        <f t="shared" si="311"/>
        <v>#DIV/0!</v>
      </c>
      <c r="DUS133" s="531" t="e">
        <f t="shared" si="311"/>
        <v>#DIV/0!</v>
      </c>
      <c r="DUT133" s="531" t="e">
        <f t="shared" si="311"/>
        <v>#DIV/0!</v>
      </c>
      <c r="DUU133" s="531" t="e">
        <f t="shared" ref="DUU133:DXF133" si="312">DUU116/(DUU52*10^5)</f>
        <v>#DIV/0!</v>
      </c>
      <c r="DUV133" s="531" t="e">
        <f t="shared" si="312"/>
        <v>#DIV/0!</v>
      </c>
      <c r="DUW133" s="531" t="e">
        <f t="shared" si="312"/>
        <v>#DIV/0!</v>
      </c>
      <c r="DUX133" s="531" t="e">
        <f t="shared" si="312"/>
        <v>#DIV/0!</v>
      </c>
      <c r="DUY133" s="531" t="e">
        <f t="shared" si="312"/>
        <v>#DIV/0!</v>
      </c>
      <c r="DUZ133" s="531" t="e">
        <f t="shared" si="312"/>
        <v>#DIV/0!</v>
      </c>
      <c r="DVA133" s="531" t="e">
        <f t="shared" si="312"/>
        <v>#DIV/0!</v>
      </c>
      <c r="DVB133" s="531" t="e">
        <f t="shared" si="312"/>
        <v>#DIV/0!</v>
      </c>
      <c r="DVC133" s="531" t="e">
        <f t="shared" si="312"/>
        <v>#DIV/0!</v>
      </c>
      <c r="DVD133" s="531" t="e">
        <f t="shared" si="312"/>
        <v>#DIV/0!</v>
      </c>
      <c r="DVE133" s="531" t="e">
        <f t="shared" si="312"/>
        <v>#DIV/0!</v>
      </c>
      <c r="DVF133" s="531" t="e">
        <f t="shared" si="312"/>
        <v>#DIV/0!</v>
      </c>
      <c r="DVG133" s="531" t="e">
        <f t="shared" si="312"/>
        <v>#DIV/0!</v>
      </c>
      <c r="DVH133" s="531" t="e">
        <f t="shared" si="312"/>
        <v>#DIV/0!</v>
      </c>
      <c r="DVI133" s="531" t="e">
        <f t="shared" si="312"/>
        <v>#DIV/0!</v>
      </c>
      <c r="DVJ133" s="531" t="e">
        <f t="shared" si="312"/>
        <v>#DIV/0!</v>
      </c>
      <c r="DVK133" s="531" t="e">
        <f t="shared" si="312"/>
        <v>#DIV/0!</v>
      </c>
      <c r="DVL133" s="531" t="e">
        <f t="shared" si="312"/>
        <v>#DIV/0!</v>
      </c>
      <c r="DVM133" s="531" t="e">
        <f t="shared" si="312"/>
        <v>#DIV/0!</v>
      </c>
      <c r="DVN133" s="531" t="e">
        <f t="shared" si="312"/>
        <v>#DIV/0!</v>
      </c>
      <c r="DVO133" s="531" t="e">
        <f t="shared" si="312"/>
        <v>#DIV/0!</v>
      </c>
      <c r="DVP133" s="531" t="e">
        <f t="shared" si="312"/>
        <v>#DIV/0!</v>
      </c>
      <c r="DVQ133" s="531" t="e">
        <f t="shared" si="312"/>
        <v>#DIV/0!</v>
      </c>
      <c r="DVR133" s="531" t="e">
        <f t="shared" si="312"/>
        <v>#DIV/0!</v>
      </c>
      <c r="DVS133" s="531" t="e">
        <f t="shared" si="312"/>
        <v>#DIV/0!</v>
      </c>
      <c r="DVT133" s="531" t="e">
        <f t="shared" si="312"/>
        <v>#DIV/0!</v>
      </c>
      <c r="DVU133" s="531" t="e">
        <f t="shared" si="312"/>
        <v>#DIV/0!</v>
      </c>
      <c r="DVV133" s="531" t="e">
        <f t="shared" si="312"/>
        <v>#DIV/0!</v>
      </c>
      <c r="DVW133" s="531" t="e">
        <f t="shared" si="312"/>
        <v>#DIV/0!</v>
      </c>
      <c r="DVX133" s="531" t="e">
        <f t="shared" si="312"/>
        <v>#DIV/0!</v>
      </c>
      <c r="DVY133" s="531" t="e">
        <f t="shared" si="312"/>
        <v>#DIV/0!</v>
      </c>
      <c r="DVZ133" s="531" t="e">
        <f t="shared" si="312"/>
        <v>#DIV/0!</v>
      </c>
      <c r="DWA133" s="531" t="e">
        <f t="shared" si="312"/>
        <v>#DIV/0!</v>
      </c>
      <c r="DWB133" s="531" t="e">
        <f t="shared" si="312"/>
        <v>#DIV/0!</v>
      </c>
      <c r="DWC133" s="531" t="e">
        <f t="shared" si="312"/>
        <v>#DIV/0!</v>
      </c>
      <c r="DWD133" s="531" t="e">
        <f t="shared" si="312"/>
        <v>#DIV/0!</v>
      </c>
      <c r="DWE133" s="531" t="e">
        <f t="shared" si="312"/>
        <v>#DIV/0!</v>
      </c>
      <c r="DWF133" s="531" t="e">
        <f t="shared" si="312"/>
        <v>#DIV/0!</v>
      </c>
      <c r="DWG133" s="531" t="e">
        <f t="shared" si="312"/>
        <v>#DIV/0!</v>
      </c>
      <c r="DWH133" s="531" t="e">
        <f t="shared" si="312"/>
        <v>#DIV/0!</v>
      </c>
      <c r="DWI133" s="531" t="e">
        <f t="shared" si="312"/>
        <v>#DIV/0!</v>
      </c>
      <c r="DWJ133" s="531" t="e">
        <f t="shared" si="312"/>
        <v>#DIV/0!</v>
      </c>
      <c r="DWK133" s="531" t="e">
        <f t="shared" si="312"/>
        <v>#DIV/0!</v>
      </c>
      <c r="DWL133" s="531" t="e">
        <f t="shared" si="312"/>
        <v>#DIV/0!</v>
      </c>
      <c r="DWM133" s="531" t="e">
        <f t="shared" si="312"/>
        <v>#DIV/0!</v>
      </c>
      <c r="DWN133" s="531" t="e">
        <f t="shared" si="312"/>
        <v>#DIV/0!</v>
      </c>
      <c r="DWO133" s="531" t="e">
        <f t="shared" si="312"/>
        <v>#DIV/0!</v>
      </c>
      <c r="DWP133" s="531" t="e">
        <f t="shared" si="312"/>
        <v>#DIV/0!</v>
      </c>
      <c r="DWQ133" s="531" t="e">
        <f t="shared" si="312"/>
        <v>#DIV/0!</v>
      </c>
      <c r="DWR133" s="531" t="e">
        <f t="shared" si="312"/>
        <v>#DIV/0!</v>
      </c>
      <c r="DWS133" s="531" t="e">
        <f t="shared" si="312"/>
        <v>#DIV/0!</v>
      </c>
      <c r="DWT133" s="531" t="e">
        <f t="shared" si="312"/>
        <v>#DIV/0!</v>
      </c>
      <c r="DWU133" s="531" t="e">
        <f t="shared" si="312"/>
        <v>#DIV/0!</v>
      </c>
      <c r="DWV133" s="531" t="e">
        <f t="shared" si="312"/>
        <v>#DIV/0!</v>
      </c>
      <c r="DWW133" s="531" t="e">
        <f t="shared" si="312"/>
        <v>#DIV/0!</v>
      </c>
      <c r="DWX133" s="531" t="e">
        <f t="shared" si="312"/>
        <v>#DIV/0!</v>
      </c>
      <c r="DWY133" s="531" t="e">
        <f t="shared" si="312"/>
        <v>#DIV/0!</v>
      </c>
      <c r="DWZ133" s="531" t="e">
        <f t="shared" si="312"/>
        <v>#DIV/0!</v>
      </c>
      <c r="DXA133" s="531" t="e">
        <f t="shared" si="312"/>
        <v>#DIV/0!</v>
      </c>
      <c r="DXB133" s="531" t="e">
        <f t="shared" si="312"/>
        <v>#DIV/0!</v>
      </c>
      <c r="DXC133" s="531" t="e">
        <f t="shared" si="312"/>
        <v>#DIV/0!</v>
      </c>
      <c r="DXD133" s="531" t="e">
        <f t="shared" si="312"/>
        <v>#DIV/0!</v>
      </c>
      <c r="DXE133" s="531" t="e">
        <f t="shared" si="312"/>
        <v>#DIV/0!</v>
      </c>
      <c r="DXF133" s="531" t="e">
        <f t="shared" si="312"/>
        <v>#DIV/0!</v>
      </c>
      <c r="DXG133" s="531" t="e">
        <f t="shared" ref="DXG133:DZR133" si="313">DXG116/(DXG52*10^5)</f>
        <v>#DIV/0!</v>
      </c>
      <c r="DXH133" s="531" t="e">
        <f t="shared" si="313"/>
        <v>#DIV/0!</v>
      </c>
      <c r="DXI133" s="531" t="e">
        <f t="shared" si="313"/>
        <v>#DIV/0!</v>
      </c>
      <c r="DXJ133" s="531" t="e">
        <f t="shared" si="313"/>
        <v>#DIV/0!</v>
      </c>
      <c r="DXK133" s="531" t="e">
        <f t="shared" si="313"/>
        <v>#DIV/0!</v>
      </c>
      <c r="DXL133" s="531" t="e">
        <f t="shared" si="313"/>
        <v>#DIV/0!</v>
      </c>
      <c r="DXM133" s="531" t="e">
        <f t="shared" si="313"/>
        <v>#DIV/0!</v>
      </c>
      <c r="DXN133" s="531" t="e">
        <f t="shared" si="313"/>
        <v>#DIV/0!</v>
      </c>
      <c r="DXO133" s="531" t="e">
        <f t="shared" si="313"/>
        <v>#DIV/0!</v>
      </c>
      <c r="DXP133" s="531" t="e">
        <f t="shared" si="313"/>
        <v>#DIV/0!</v>
      </c>
      <c r="DXQ133" s="531" t="e">
        <f t="shared" si="313"/>
        <v>#DIV/0!</v>
      </c>
      <c r="DXR133" s="531" t="e">
        <f t="shared" si="313"/>
        <v>#DIV/0!</v>
      </c>
      <c r="DXS133" s="531" t="e">
        <f t="shared" si="313"/>
        <v>#DIV/0!</v>
      </c>
      <c r="DXT133" s="531" t="e">
        <f t="shared" si="313"/>
        <v>#DIV/0!</v>
      </c>
      <c r="DXU133" s="531" t="e">
        <f t="shared" si="313"/>
        <v>#DIV/0!</v>
      </c>
      <c r="DXV133" s="531" t="e">
        <f t="shared" si="313"/>
        <v>#DIV/0!</v>
      </c>
      <c r="DXW133" s="531" t="e">
        <f t="shared" si="313"/>
        <v>#DIV/0!</v>
      </c>
      <c r="DXX133" s="531" t="e">
        <f t="shared" si="313"/>
        <v>#DIV/0!</v>
      </c>
      <c r="DXY133" s="531" t="e">
        <f t="shared" si="313"/>
        <v>#DIV/0!</v>
      </c>
      <c r="DXZ133" s="531" t="e">
        <f t="shared" si="313"/>
        <v>#DIV/0!</v>
      </c>
      <c r="DYA133" s="531" t="e">
        <f t="shared" si="313"/>
        <v>#DIV/0!</v>
      </c>
      <c r="DYB133" s="531" t="e">
        <f t="shared" si="313"/>
        <v>#DIV/0!</v>
      </c>
      <c r="DYC133" s="531" t="e">
        <f t="shared" si="313"/>
        <v>#DIV/0!</v>
      </c>
      <c r="DYD133" s="531" t="e">
        <f t="shared" si="313"/>
        <v>#DIV/0!</v>
      </c>
      <c r="DYE133" s="531" t="e">
        <f t="shared" si="313"/>
        <v>#DIV/0!</v>
      </c>
      <c r="DYF133" s="531" t="e">
        <f t="shared" si="313"/>
        <v>#DIV/0!</v>
      </c>
      <c r="DYG133" s="531" t="e">
        <f t="shared" si="313"/>
        <v>#DIV/0!</v>
      </c>
      <c r="DYH133" s="531" t="e">
        <f t="shared" si="313"/>
        <v>#DIV/0!</v>
      </c>
      <c r="DYI133" s="531" t="e">
        <f t="shared" si="313"/>
        <v>#DIV/0!</v>
      </c>
      <c r="DYJ133" s="531" t="e">
        <f t="shared" si="313"/>
        <v>#DIV/0!</v>
      </c>
      <c r="DYK133" s="531" t="e">
        <f t="shared" si="313"/>
        <v>#DIV/0!</v>
      </c>
      <c r="DYL133" s="531" t="e">
        <f t="shared" si="313"/>
        <v>#DIV/0!</v>
      </c>
      <c r="DYM133" s="531" t="e">
        <f t="shared" si="313"/>
        <v>#DIV/0!</v>
      </c>
      <c r="DYN133" s="531" t="e">
        <f t="shared" si="313"/>
        <v>#DIV/0!</v>
      </c>
      <c r="DYO133" s="531" t="e">
        <f t="shared" si="313"/>
        <v>#DIV/0!</v>
      </c>
      <c r="DYP133" s="531" t="e">
        <f t="shared" si="313"/>
        <v>#DIV/0!</v>
      </c>
      <c r="DYQ133" s="531" t="e">
        <f t="shared" si="313"/>
        <v>#DIV/0!</v>
      </c>
      <c r="DYR133" s="531" t="e">
        <f t="shared" si="313"/>
        <v>#DIV/0!</v>
      </c>
      <c r="DYS133" s="531" t="e">
        <f t="shared" si="313"/>
        <v>#DIV/0!</v>
      </c>
      <c r="DYT133" s="531" t="e">
        <f t="shared" si="313"/>
        <v>#DIV/0!</v>
      </c>
      <c r="DYU133" s="531" t="e">
        <f t="shared" si="313"/>
        <v>#DIV/0!</v>
      </c>
      <c r="DYV133" s="531" t="e">
        <f t="shared" si="313"/>
        <v>#DIV/0!</v>
      </c>
      <c r="DYW133" s="531" t="e">
        <f t="shared" si="313"/>
        <v>#DIV/0!</v>
      </c>
      <c r="DYX133" s="531" t="e">
        <f t="shared" si="313"/>
        <v>#DIV/0!</v>
      </c>
      <c r="DYY133" s="531" t="e">
        <f t="shared" si="313"/>
        <v>#DIV/0!</v>
      </c>
      <c r="DYZ133" s="531" t="e">
        <f t="shared" si="313"/>
        <v>#DIV/0!</v>
      </c>
      <c r="DZA133" s="531" t="e">
        <f t="shared" si="313"/>
        <v>#DIV/0!</v>
      </c>
      <c r="DZB133" s="531" t="e">
        <f t="shared" si="313"/>
        <v>#DIV/0!</v>
      </c>
      <c r="DZC133" s="531" t="e">
        <f t="shared" si="313"/>
        <v>#DIV/0!</v>
      </c>
      <c r="DZD133" s="531" t="e">
        <f t="shared" si="313"/>
        <v>#DIV/0!</v>
      </c>
      <c r="DZE133" s="531" t="e">
        <f t="shared" si="313"/>
        <v>#DIV/0!</v>
      </c>
      <c r="DZF133" s="531" t="e">
        <f t="shared" si="313"/>
        <v>#DIV/0!</v>
      </c>
      <c r="DZG133" s="531" t="e">
        <f t="shared" si="313"/>
        <v>#DIV/0!</v>
      </c>
      <c r="DZH133" s="531" t="e">
        <f t="shared" si="313"/>
        <v>#DIV/0!</v>
      </c>
      <c r="DZI133" s="531" t="e">
        <f t="shared" si="313"/>
        <v>#DIV/0!</v>
      </c>
      <c r="DZJ133" s="531" t="e">
        <f t="shared" si="313"/>
        <v>#DIV/0!</v>
      </c>
      <c r="DZK133" s="531" t="e">
        <f t="shared" si="313"/>
        <v>#DIV/0!</v>
      </c>
      <c r="DZL133" s="531" t="e">
        <f t="shared" si="313"/>
        <v>#DIV/0!</v>
      </c>
      <c r="DZM133" s="531" t="e">
        <f t="shared" si="313"/>
        <v>#DIV/0!</v>
      </c>
      <c r="DZN133" s="531" t="e">
        <f t="shared" si="313"/>
        <v>#DIV/0!</v>
      </c>
      <c r="DZO133" s="531" t="e">
        <f t="shared" si="313"/>
        <v>#DIV/0!</v>
      </c>
      <c r="DZP133" s="531" t="e">
        <f t="shared" si="313"/>
        <v>#DIV/0!</v>
      </c>
      <c r="DZQ133" s="531" t="e">
        <f t="shared" si="313"/>
        <v>#DIV/0!</v>
      </c>
      <c r="DZR133" s="531" t="e">
        <f t="shared" si="313"/>
        <v>#DIV/0!</v>
      </c>
      <c r="DZS133" s="531" t="e">
        <f t="shared" ref="DZS133:ECD133" si="314">DZS116/(DZS52*10^5)</f>
        <v>#DIV/0!</v>
      </c>
      <c r="DZT133" s="531" t="e">
        <f t="shared" si="314"/>
        <v>#DIV/0!</v>
      </c>
      <c r="DZU133" s="531" t="e">
        <f t="shared" si="314"/>
        <v>#DIV/0!</v>
      </c>
      <c r="DZV133" s="531" t="e">
        <f t="shared" si="314"/>
        <v>#DIV/0!</v>
      </c>
      <c r="DZW133" s="531" t="e">
        <f t="shared" si="314"/>
        <v>#DIV/0!</v>
      </c>
      <c r="DZX133" s="531" t="e">
        <f t="shared" si="314"/>
        <v>#DIV/0!</v>
      </c>
      <c r="DZY133" s="531" t="e">
        <f t="shared" si="314"/>
        <v>#DIV/0!</v>
      </c>
      <c r="DZZ133" s="531" t="e">
        <f t="shared" si="314"/>
        <v>#DIV/0!</v>
      </c>
      <c r="EAA133" s="531" t="e">
        <f t="shared" si="314"/>
        <v>#DIV/0!</v>
      </c>
      <c r="EAB133" s="531" t="e">
        <f t="shared" si="314"/>
        <v>#DIV/0!</v>
      </c>
      <c r="EAC133" s="531" t="e">
        <f t="shared" si="314"/>
        <v>#DIV/0!</v>
      </c>
      <c r="EAD133" s="531" t="e">
        <f t="shared" si="314"/>
        <v>#DIV/0!</v>
      </c>
      <c r="EAE133" s="531" t="e">
        <f t="shared" si="314"/>
        <v>#DIV/0!</v>
      </c>
      <c r="EAF133" s="531" t="e">
        <f t="shared" si="314"/>
        <v>#DIV/0!</v>
      </c>
      <c r="EAG133" s="531" t="e">
        <f t="shared" si="314"/>
        <v>#DIV/0!</v>
      </c>
      <c r="EAH133" s="531" t="e">
        <f t="shared" si="314"/>
        <v>#DIV/0!</v>
      </c>
      <c r="EAI133" s="531" t="e">
        <f t="shared" si="314"/>
        <v>#DIV/0!</v>
      </c>
      <c r="EAJ133" s="531" t="e">
        <f t="shared" si="314"/>
        <v>#DIV/0!</v>
      </c>
      <c r="EAK133" s="531" t="e">
        <f t="shared" si="314"/>
        <v>#DIV/0!</v>
      </c>
      <c r="EAL133" s="531" t="e">
        <f t="shared" si="314"/>
        <v>#DIV/0!</v>
      </c>
      <c r="EAM133" s="531" t="e">
        <f t="shared" si="314"/>
        <v>#DIV/0!</v>
      </c>
      <c r="EAN133" s="531" t="e">
        <f t="shared" si="314"/>
        <v>#DIV/0!</v>
      </c>
      <c r="EAO133" s="531" t="e">
        <f t="shared" si="314"/>
        <v>#DIV/0!</v>
      </c>
      <c r="EAP133" s="531" t="e">
        <f t="shared" si="314"/>
        <v>#DIV/0!</v>
      </c>
      <c r="EAQ133" s="531" t="e">
        <f t="shared" si="314"/>
        <v>#DIV/0!</v>
      </c>
      <c r="EAR133" s="531" t="e">
        <f t="shared" si="314"/>
        <v>#DIV/0!</v>
      </c>
      <c r="EAS133" s="531" t="e">
        <f t="shared" si="314"/>
        <v>#DIV/0!</v>
      </c>
      <c r="EAT133" s="531" t="e">
        <f t="shared" si="314"/>
        <v>#DIV/0!</v>
      </c>
      <c r="EAU133" s="531" t="e">
        <f t="shared" si="314"/>
        <v>#DIV/0!</v>
      </c>
      <c r="EAV133" s="531" t="e">
        <f t="shared" si="314"/>
        <v>#DIV/0!</v>
      </c>
      <c r="EAW133" s="531" t="e">
        <f t="shared" si="314"/>
        <v>#DIV/0!</v>
      </c>
      <c r="EAX133" s="531" t="e">
        <f t="shared" si="314"/>
        <v>#DIV/0!</v>
      </c>
      <c r="EAY133" s="531" t="e">
        <f t="shared" si="314"/>
        <v>#DIV/0!</v>
      </c>
      <c r="EAZ133" s="531" t="e">
        <f t="shared" si="314"/>
        <v>#DIV/0!</v>
      </c>
      <c r="EBA133" s="531" t="e">
        <f t="shared" si="314"/>
        <v>#DIV/0!</v>
      </c>
      <c r="EBB133" s="531" t="e">
        <f t="shared" si="314"/>
        <v>#DIV/0!</v>
      </c>
      <c r="EBC133" s="531" t="e">
        <f t="shared" si="314"/>
        <v>#DIV/0!</v>
      </c>
      <c r="EBD133" s="531" t="e">
        <f t="shared" si="314"/>
        <v>#DIV/0!</v>
      </c>
      <c r="EBE133" s="531" t="e">
        <f t="shared" si="314"/>
        <v>#DIV/0!</v>
      </c>
      <c r="EBF133" s="531" t="e">
        <f t="shared" si="314"/>
        <v>#DIV/0!</v>
      </c>
      <c r="EBG133" s="531" t="e">
        <f t="shared" si="314"/>
        <v>#DIV/0!</v>
      </c>
      <c r="EBH133" s="531" t="e">
        <f t="shared" si="314"/>
        <v>#DIV/0!</v>
      </c>
      <c r="EBI133" s="531" t="e">
        <f t="shared" si="314"/>
        <v>#DIV/0!</v>
      </c>
      <c r="EBJ133" s="531" t="e">
        <f t="shared" si="314"/>
        <v>#DIV/0!</v>
      </c>
      <c r="EBK133" s="531" t="e">
        <f t="shared" si="314"/>
        <v>#DIV/0!</v>
      </c>
      <c r="EBL133" s="531" t="e">
        <f t="shared" si="314"/>
        <v>#DIV/0!</v>
      </c>
      <c r="EBM133" s="531" t="e">
        <f t="shared" si="314"/>
        <v>#DIV/0!</v>
      </c>
      <c r="EBN133" s="531" t="e">
        <f t="shared" si="314"/>
        <v>#DIV/0!</v>
      </c>
      <c r="EBO133" s="531" t="e">
        <f t="shared" si="314"/>
        <v>#DIV/0!</v>
      </c>
      <c r="EBP133" s="531" t="e">
        <f t="shared" si="314"/>
        <v>#DIV/0!</v>
      </c>
      <c r="EBQ133" s="531" t="e">
        <f t="shared" si="314"/>
        <v>#DIV/0!</v>
      </c>
      <c r="EBR133" s="531" t="e">
        <f t="shared" si="314"/>
        <v>#DIV/0!</v>
      </c>
      <c r="EBS133" s="531" t="e">
        <f t="shared" si="314"/>
        <v>#DIV/0!</v>
      </c>
      <c r="EBT133" s="531" t="e">
        <f t="shared" si="314"/>
        <v>#DIV/0!</v>
      </c>
      <c r="EBU133" s="531" t="e">
        <f t="shared" si="314"/>
        <v>#DIV/0!</v>
      </c>
      <c r="EBV133" s="531" t="e">
        <f t="shared" si="314"/>
        <v>#DIV/0!</v>
      </c>
      <c r="EBW133" s="531" t="e">
        <f t="shared" si="314"/>
        <v>#DIV/0!</v>
      </c>
      <c r="EBX133" s="531" t="e">
        <f t="shared" si="314"/>
        <v>#DIV/0!</v>
      </c>
      <c r="EBY133" s="531" t="e">
        <f t="shared" si="314"/>
        <v>#DIV/0!</v>
      </c>
      <c r="EBZ133" s="531" t="e">
        <f t="shared" si="314"/>
        <v>#DIV/0!</v>
      </c>
      <c r="ECA133" s="531" t="e">
        <f t="shared" si="314"/>
        <v>#DIV/0!</v>
      </c>
      <c r="ECB133" s="531" t="e">
        <f t="shared" si="314"/>
        <v>#DIV/0!</v>
      </c>
      <c r="ECC133" s="531" t="e">
        <f t="shared" si="314"/>
        <v>#DIV/0!</v>
      </c>
      <c r="ECD133" s="531" t="e">
        <f t="shared" si="314"/>
        <v>#DIV/0!</v>
      </c>
      <c r="ECE133" s="531" t="e">
        <f t="shared" ref="ECE133:EEP133" si="315">ECE116/(ECE52*10^5)</f>
        <v>#DIV/0!</v>
      </c>
      <c r="ECF133" s="531" t="e">
        <f t="shared" si="315"/>
        <v>#DIV/0!</v>
      </c>
      <c r="ECG133" s="531" t="e">
        <f t="shared" si="315"/>
        <v>#DIV/0!</v>
      </c>
      <c r="ECH133" s="531" t="e">
        <f t="shared" si="315"/>
        <v>#DIV/0!</v>
      </c>
      <c r="ECI133" s="531" t="e">
        <f t="shared" si="315"/>
        <v>#DIV/0!</v>
      </c>
      <c r="ECJ133" s="531" t="e">
        <f t="shared" si="315"/>
        <v>#DIV/0!</v>
      </c>
      <c r="ECK133" s="531" t="e">
        <f t="shared" si="315"/>
        <v>#DIV/0!</v>
      </c>
      <c r="ECL133" s="531" t="e">
        <f t="shared" si="315"/>
        <v>#DIV/0!</v>
      </c>
      <c r="ECM133" s="531" t="e">
        <f t="shared" si="315"/>
        <v>#DIV/0!</v>
      </c>
      <c r="ECN133" s="531" t="e">
        <f t="shared" si="315"/>
        <v>#DIV/0!</v>
      </c>
      <c r="ECO133" s="531" t="e">
        <f t="shared" si="315"/>
        <v>#DIV/0!</v>
      </c>
      <c r="ECP133" s="531" t="e">
        <f t="shared" si="315"/>
        <v>#DIV/0!</v>
      </c>
      <c r="ECQ133" s="531" t="e">
        <f t="shared" si="315"/>
        <v>#DIV/0!</v>
      </c>
      <c r="ECR133" s="531" t="e">
        <f t="shared" si="315"/>
        <v>#DIV/0!</v>
      </c>
      <c r="ECS133" s="531" t="e">
        <f t="shared" si="315"/>
        <v>#DIV/0!</v>
      </c>
      <c r="ECT133" s="531" t="e">
        <f t="shared" si="315"/>
        <v>#DIV/0!</v>
      </c>
      <c r="ECU133" s="531" t="e">
        <f t="shared" si="315"/>
        <v>#DIV/0!</v>
      </c>
      <c r="ECV133" s="531" t="e">
        <f t="shared" si="315"/>
        <v>#DIV/0!</v>
      </c>
      <c r="ECW133" s="531" t="e">
        <f t="shared" si="315"/>
        <v>#DIV/0!</v>
      </c>
      <c r="ECX133" s="531" t="e">
        <f t="shared" si="315"/>
        <v>#DIV/0!</v>
      </c>
      <c r="ECY133" s="531" t="e">
        <f t="shared" si="315"/>
        <v>#DIV/0!</v>
      </c>
      <c r="ECZ133" s="531" t="e">
        <f t="shared" si="315"/>
        <v>#DIV/0!</v>
      </c>
      <c r="EDA133" s="531" t="e">
        <f t="shared" si="315"/>
        <v>#DIV/0!</v>
      </c>
      <c r="EDB133" s="531" t="e">
        <f t="shared" si="315"/>
        <v>#DIV/0!</v>
      </c>
      <c r="EDC133" s="531" t="e">
        <f t="shared" si="315"/>
        <v>#DIV/0!</v>
      </c>
      <c r="EDD133" s="531" t="e">
        <f t="shared" si="315"/>
        <v>#DIV/0!</v>
      </c>
      <c r="EDE133" s="531" t="e">
        <f t="shared" si="315"/>
        <v>#DIV/0!</v>
      </c>
      <c r="EDF133" s="531" t="e">
        <f t="shared" si="315"/>
        <v>#DIV/0!</v>
      </c>
      <c r="EDG133" s="531" t="e">
        <f t="shared" si="315"/>
        <v>#DIV/0!</v>
      </c>
      <c r="EDH133" s="531" t="e">
        <f t="shared" si="315"/>
        <v>#DIV/0!</v>
      </c>
      <c r="EDI133" s="531" t="e">
        <f t="shared" si="315"/>
        <v>#DIV/0!</v>
      </c>
      <c r="EDJ133" s="531" t="e">
        <f t="shared" si="315"/>
        <v>#DIV/0!</v>
      </c>
      <c r="EDK133" s="531" t="e">
        <f t="shared" si="315"/>
        <v>#DIV/0!</v>
      </c>
      <c r="EDL133" s="531" t="e">
        <f t="shared" si="315"/>
        <v>#DIV/0!</v>
      </c>
      <c r="EDM133" s="531" t="e">
        <f t="shared" si="315"/>
        <v>#DIV/0!</v>
      </c>
      <c r="EDN133" s="531" t="e">
        <f t="shared" si="315"/>
        <v>#DIV/0!</v>
      </c>
      <c r="EDO133" s="531" t="e">
        <f t="shared" si="315"/>
        <v>#DIV/0!</v>
      </c>
      <c r="EDP133" s="531" t="e">
        <f t="shared" si="315"/>
        <v>#DIV/0!</v>
      </c>
      <c r="EDQ133" s="531" t="e">
        <f t="shared" si="315"/>
        <v>#DIV/0!</v>
      </c>
      <c r="EDR133" s="531" t="e">
        <f t="shared" si="315"/>
        <v>#DIV/0!</v>
      </c>
      <c r="EDS133" s="531" t="e">
        <f t="shared" si="315"/>
        <v>#DIV/0!</v>
      </c>
      <c r="EDT133" s="531" t="e">
        <f t="shared" si="315"/>
        <v>#DIV/0!</v>
      </c>
      <c r="EDU133" s="531" t="e">
        <f t="shared" si="315"/>
        <v>#DIV/0!</v>
      </c>
      <c r="EDV133" s="531" t="e">
        <f t="shared" si="315"/>
        <v>#DIV/0!</v>
      </c>
      <c r="EDW133" s="531" t="e">
        <f t="shared" si="315"/>
        <v>#DIV/0!</v>
      </c>
      <c r="EDX133" s="531" t="e">
        <f t="shared" si="315"/>
        <v>#DIV/0!</v>
      </c>
      <c r="EDY133" s="531" t="e">
        <f t="shared" si="315"/>
        <v>#DIV/0!</v>
      </c>
      <c r="EDZ133" s="531" t="e">
        <f t="shared" si="315"/>
        <v>#DIV/0!</v>
      </c>
      <c r="EEA133" s="531" t="e">
        <f t="shared" si="315"/>
        <v>#DIV/0!</v>
      </c>
      <c r="EEB133" s="531" t="e">
        <f t="shared" si="315"/>
        <v>#DIV/0!</v>
      </c>
      <c r="EEC133" s="531" t="e">
        <f t="shared" si="315"/>
        <v>#DIV/0!</v>
      </c>
      <c r="EED133" s="531" t="e">
        <f t="shared" si="315"/>
        <v>#DIV/0!</v>
      </c>
      <c r="EEE133" s="531" t="e">
        <f t="shared" si="315"/>
        <v>#DIV/0!</v>
      </c>
      <c r="EEF133" s="531" t="e">
        <f t="shared" si="315"/>
        <v>#DIV/0!</v>
      </c>
      <c r="EEG133" s="531" t="e">
        <f t="shared" si="315"/>
        <v>#DIV/0!</v>
      </c>
      <c r="EEH133" s="531" t="e">
        <f t="shared" si="315"/>
        <v>#DIV/0!</v>
      </c>
      <c r="EEI133" s="531" t="e">
        <f t="shared" si="315"/>
        <v>#DIV/0!</v>
      </c>
      <c r="EEJ133" s="531" t="e">
        <f t="shared" si="315"/>
        <v>#DIV/0!</v>
      </c>
      <c r="EEK133" s="531" t="e">
        <f t="shared" si="315"/>
        <v>#DIV/0!</v>
      </c>
      <c r="EEL133" s="531" t="e">
        <f t="shared" si="315"/>
        <v>#DIV/0!</v>
      </c>
      <c r="EEM133" s="531" t="e">
        <f t="shared" si="315"/>
        <v>#DIV/0!</v>
      </c>
      <c r="EEN133" s="531" t="e">
        <f t="shared" si="315"/>
        <v>#DIV/0!</v>
      </c>
      <c r="EEO133" s="531" t="e">
        <f t="shared" si="315"/>
        <v>#DIV/0!</v>
      </c>
      <c r="EEP133" s="531" t="e">
        <f t="shared" si="315"/>
        <v>#DIV/0!</v>
      </c>
      <c r="EEQ133" s="531" t="e">
        <f t="shared" ref="EEQ133:EHB133" si="316">EEQ116/(EEQ52*10^5)</f>
        <v>#DIV/0!</v>
      </c>
      <c r="EER133" s="531" t="e">
        <f t="shared" si="316"/>
        <v>#DIV/0!</v>
      </c>
      <c r="EES133" s="531" t="e">
        <f t="shared" si="316"/>
        <v>#DIV/0!</v>
      </c>
      <c r="EET133" s="531" t="e">
        <f t="shared" si="316"/>
        <v>#DIV/0!</v>
      </c>
      <c r="EEU133" s="531" t="e">
        <f t="shared" si="316"/>
        <v>#DIV/0!</v>
      </c>
      <c r="EEV133" s="531" t="e">
        <f t="shared" si="316"/>
        <v>#DIV/0!</v>
      </c>
      <c r="EEW133" s="531" t="e">
        <f t="shared" si="316"/>
        <v>#DIV/0!</v>
      </c>
      <c r="EEX133" s="531" t="e">
        <f t="shared" si="316"/>
        <v>#DIV/0!</v>
      </c>
      <c r="EEY133" s="531" t="e">
        <f t="shared" si="316"/>
        <v>#DIV/0!</v>
      </c>
      <c r="EEZ133" s="531" t="e">
        <f t="shared" si="316"/>
        <v>#DIV/0!</v>
      </c>
      <c r="EFA133" s="531" t="e">
        <f t="shared" si="316"/>
        <v>#DIV/0!</v>
      </c>
      <c r="EFB133" s="531" t="e">
        <f t="shared" si="316"/>
        <v>#DIV/0!</v>
      </c>
      <c r="EFC133" s="531" t="e">
        <f t="shared" si="316"/>
        <v>#DIV/0!</v>
      </c>
      <c r="EFD133" s="531" t="e">
        <f t="shared" si="316"/>
        <v>#DIV/0!</v>
      </c>
      <c r="EFE133" s="531" t="e">
        <f t="shared" si="316"/>
        <v>#DIV/0!</v>
      </c>
      <c r="EFF133" s="531" t="e">
        <f t="shared" si="316"/>
        <v>#DIV/0!</v>
      </c>
      <c r="EFG133" s="531" t="e">
        <f t="shared" si="316"/>
        <v>#DIV/0!</v>
      </c>
      <c r="EFH133" s="531" t="e">
        <f t="shared" si="316"/>
        <v>#DIV/0!</v>
      </c>
      <c r="EFI133" s="531" t="e">
        <f t="shared" si="316"/>
        <v>#DIV/0!</v>
      </c>
      <c r="EFJ133" s="531" t="e">
        <f t="shared" si="316"/>
        <v>#DIV/0!</v>
      </c>
      <c r="EFK133" s="531" t="e">
        <f t="shared" si="316"/>
        <v>#DIV/0!</v>
      </c>
      <c r="EFL133" s="531" t="e">
        <f t="shared" si="316"/>
        <v>#DIV/0!</v>
      </c>
      <c r="EFM133" s="531" t="e">
        <f t="shared" si="316"/>
        <v>#DIV/0!</v>
      </c>
      <c r="EFN133" s="531" t="e">
        <f t="shared" si="316"/>
        <v>#DIV/0!</v>
      </c>
      <c r="EFO133" s="531" t="e">
        <f t="shared" si="316"/>
        <v>#DIV/0!</v>
      </c>
      <c r="EFP133" s="531" t="e">
        <f t="shared" si="316"/>
        <v>#DIV/0!</v>
      </c>
      <c r="EFQ133" s="531" t="e">
        <f t="shared" si="316"/>
        <v>#DIV/0!</v>
      </c>
      <c r="EFR133" s="531" t="e">
        <f t="shared" si="316"/>
        <v>#DIV/0!</v>
      </c>
      <c r="EFS133" s="531" t="e">
        <f t="shared" si="316"/>
        <v>#DIV/0!</v>
      </c>
      <c r="EFT133" s="531" t="e">
        <f t="shared" si="316"/>
        <v>#DIV/0!</v>
      </c>
      <c r="EFU133" s="531" t="e">
        <f t="shared" si="316"/>
        <v>#DIV/0!</v>
      </c>
      <c r="EFV133" s="531" t="e">
        <f t="shared" si="316"/>
        <v>#DIV/0!</v>
      </c>
      <c r="EFW133" s="531" t="e">
        <f t="shared" si="316"/>
        <v>#DIV/0!</v>
      </c>
      <c r="EFX133" s="531" t="e">
        <f t="shared" si="316"/>
        <v>#DIV/0!</v>
      </c>
      <c r="EFY133" s="531" t="e">
        <f t="shared" si="316"/>
        <v>#DIV/0!</v>
      </c>
      <c r="EFZ133" s="531" t="e">
        <f t="shared" si="316"/>
        <v>#DIV/0!</v>
      </c>
      <c r="EGA133" s="531" t="e">
        <f t="shared" si="316"/>
        <v>#DIV/0!</v>
      </c>
      <c r="EGB133" s="531" t="e">
        <f t="shared" si="316"/>
        <v>#DIV/0!</v>
      </c>
      <c r="EGC133" s="531" t="e">
        <f t="shared" si="316"/>
        <v>#DIV/0!</v>
      </c>
      <c r="EGD133" s="531" t="e">
        <f t="shared" si="316"/>
        <v>#DIV/0!</v>
      </c>
      <c r="EGE133" s="531" t="e">
        <f t="shared" si="316"/>
        <v>#DIV/0!</v>
      </c>
      <c r="EGF133" s="531" t="e">
        <f t="shared" si="316"/>
        <v>#DIV/0!</v>
      </c>
      <c r="EGG133" s="531" t="e">
        <f t="shared" si="316"/>
        <v>#DIV/0!</v>
      </c>
      <c r="EGH133" s="531" t="e">
        <f t="shared" si="316"/>
        <v>#DIV/0!</v>
      </c>
      <c r="EGI133" s="531" t="e">
        <f t="shared" si="316"/>
        <v>#DIV/0!</v>
      </c>
      <c r="EGJ133" s="531" t="e">
        <f t="shared" si="316"/>
        <v>#DIV/0!</v>
      </c>
      <c r="EGK133" s="531" t="e">
        <f t="shared" si="316"/>
        <v>#DIV/0!</v>
      </c>
      <c r="EGL133" s="531" t="e">
        <f t="shared" si="316"/>
        <v>#DIV/0!</v>
      </c>
      <c r="EGM133" s="531" t="e">
        <f t="shared" si="316"/>
        <v>#DIV/0!</v>
      </c>
      <c r="EGN133" s="531" t="e">
        <f t="shared" si="316"/>
        <v>#DIV/0!</v>
      </c>
      <c r="EGO133" s="531" t="e">
        <f t="shared" si="316"/>
        <v>#DIV/0!</v>
      </c>
      <c r="EGP133" s="531" t="e">
        <f t="shared" si="316"/>
        <v>#DIV/0!</v>
      </c>
      <c r="EGQ133" s="531" t="e">
        <f t="shared" si="316"/>
        <v>#DIV/0!</v>
      </c>
      <c r="EGR133" s="531" t="e">
        <f t="shared" si="316"/>
        <v>#DIV/0!</v>
      </c>
      <c r="EGS133" s="531" t="e">
        <f t="shared" si="316"/>
        <v>#DIV/0!</v>
      </c>
      <c r="EGT133" s="531" t="e">
        <f t="shared" si="316"/>
        <v>#DIV/0!</v>
      </c>
      <c r="EGU133" s="531" t="e">
        <f t="shared" si="316"/>
        <v>#DIV/0!</v>
      </c>
      <c r="EGV133" s="531" t="e">
        <f t="shared" si="316"/>
        <v>#DIV/0!</v>
      </c>
      <c r="EGW133" s="531" t="e">
        <f t="shared" si="316"/>
        <v>#DIV/0!</v>
      </c>
      <c r="EGX133" s="531" t="e">
        <f t="shared" si="316"/>
        <v>#DIV/0!</v>
      </c>
      <c r="EGY133" s="531" t="e">
        <f t="shared" si="316"/>
        <v>#DIV/0!</v>
      </c>
      <c r="EGZ133" s="531" t="e">
        <f t="shared" si="316"/>
        <v>#DIV/0!</v>
      </c>
      <c r="EHA133" s="531" t="e">
        <f t="shared" si="316"/>
        <v>#DIV/0!</v>
      </c>
      <c r="EHB133" s="531" t="e">
        <f t="shared" si="316"/>
        <v>#DIV/0!</v>
      </c>
      <c r="EHC133" s="531" t="e">
        <f t="shared" ref="EHC133:EJN133" si="317">EHC116/(EHC52*10^5)</f>
        <v>#DIV/0!</v>
      </c>
      <c r="EHD133" s="531" t="e">
        <f t="shared" si="317"/>
        <v>#DIV/0!</v>
      </c>
      <c r="EHE133" s="531" t="e">
        <f t="shared" si="317"/>
        <v>#DIV/0!</v>
      </c>
      <c r="EHF133" s="531" t="e">
        <f t="shared" si="317"/>
        <v>#DIV/0!</v>
      </c>
      <c r="EHG133" s="531" t="e">
        <f t="shared" si="317"/>
        <v>#DIV/0!</v>
      </c>
      <c r="EHH133" s="531" t="e">
        <f t="shared" si="317"/>
        <v>#DIV/0!</v>
      </c>
      <c r="EHI133" s="531" t="e">
        <f t="shared" si="317"/>
        <v>#DIV/0!</v>
      </c>
      <c r="EHJ133" s="531" t="e">
        <f t="shared" si="317"/>
        <v>#DIV/0!</v>
      </c>
      <c r="EHK133" s="531" t="e">
        <f t="shared" si="317"/>
        <v>#DIV/0!</v>
      </c>
      <c r="EHL133" s="531" t="e">
        <f t="shared" si="317"/>
        <v>#DIV/0!</v>
      </c>
      <c r="EHM133" s="531" t="e">
        <f t="shared" si="317"/>
        <v>#DIV/0!</v>
      </c>
      <c r="EHN133" s="531" t="e">
        <f t="shared" si="317"/>
        <v>#DIV/0!</v>
      </c>
      <c r="EHO133" s="531" t="e">
        <f t="shared" si="317"/>
        <v>#DIV/0!</v>
      </c>
      <c r="EHP133" s="531" t="e">
        <f t="shared" si="317"/>
        <v>#DIV/0!</v>
      </c>
      <c r="EHQ133" s="531" t="e">
        <f t="shared" si="317"/>
        <v>#DIV/0!</v>
      </c>
      <c r="EHR133" s="531" t="e">
        <f t="shared" si="317"/>
        <v>#DIV/0!</v>
      </c>
      <c r="EHS133" s="531" t="e">
        <f t="shared" si="317"/>
        <v>#DIV/0!</v>
      </c>
      <c r="EHT133" s="531" t="e">
        <f t="shared" si="317"/>
        <v>#DIV/0!</v>
      </c>
      <c r="EHU133" s="531" t="e">
        <f t="shared" si="317"/>
        <v>#DIV/0!</v>
      </c>
      <c r="EHV133" s="531" t="e">
        <f t="shared" si="317"/>
        <v>#DIV/0!</v>
      </c>
      <c r="EHW133" s="531" t="e">
        <f t="shared" si="317"/>
        <v>#DIV/0!</v>
      </c>
      <c r="EHX133" s="531" t="e">
        <f t="shared" si="317"/>
        <v>#DIV/0!</v>
      </c>
      <c r="EHY133" s="531" t="e">
        <f t="shared" si="317"/>
        <v>#DIV/0!</v>
      </c>
      <c r="EHZ133" s="531" t="e">
        <f t="shared" si="317"/>
        <v>#DIV/0!</v>
      </c>
      <c r="EIA133" s="531" t="e">
        <f t="shared" si="317"/>
        <v>#DIV/0!</v>
      </c>
      <c r="EIB133" s="531" t="e">
        <f t="shared" si="317"/>
        <v>#DIV/0!</v>
      </c>
      <c r="EIC133" s="531" t="e">
        <f t="shared" si="317"/>
        <v>#DIV/0!</v>
      </c>
      <c r="EID133" s="531" t="e">
        <f t="shared" si="317"/>
        <v>#DIV/0!</v>
      </c>
      <c r="EIE133" s="531" t="e">
        <f t="shared" si="317"/>
        <v>#DIV/0!</v>
      </c>
      <c r="EIF133" s="531" t="e">
        <f t="shared" si="317"/>
        <v>#DIV/0!</v>
      </c>
      <c r="EIG133" s="531" t="e">
        <f t="shared" si="317"/>
        <v>#DIV/0!</v>
      </c>
      <c r="EIH133" s="531" t="e">
        <f t="shared" si="317"/>
        <v>#DIV/0!</v>
      </c>
      <c r="EII133" s="531" t="e">
        <f t="shared" si="317"/>
        <v>#DIV/0!</v>
      </c>
      <c r="EIJ133" s="531" t="e">
        <f t="shared" si="317"/>
        <v>#DIV/0!</v>
      </c>
      <c r="EIK133" s="531" t="e">
        <f t="shared" si="317"/>
        <v>#DIV/0!</v>
      </c>
      <c r="EIL133" s="531" t="e">
        <f t="shared" si="317"/>
        <v>#DIV/0!</v>
      </c>
      <c r="EIM133" s="531" t="e">
        <f t="shared" si="317"/>
        <v>#DIV/0!</v>
      </c>
      <c r="EIN133" s="531" t="e">
        <f t="shared" si="317"/>
        <v>#DIV/0!</v>
      </c>
      <c r="EIO133" s="531" t="e">
        <f t="shared" si="317"/>
        <v>#DIV/0!</v>
      </c>
      <c r="EIP133" s="531" t="e">
        <f t="shared" si="317"/>
        <v>#DIV/0!</v>
      </c>
      <c r="EIQ133" s="531" t="e">
        <f t="shared" si="317"/>
        <v>#DIV/0!</v>
      </c>
      <c r="EIR133" s="531" t="e">
        <f t="shared" si="317"/>
        <v>#DIV/0!</v>
      </c>
      <c r="EIS133" s="531" t="e">
        <f t="shared" si="317"/>
        <v>#DIV/0!</v>
      </c>
      <c r="EIT133" s="531" t="e">
        <f t="shared" si="317"/>
        <v>#DIV/0!</v>
      </c>
      <c r="EIU133" s="531" t="e">
        <f t="shared" si="317"/>
        <v>#DIV/0!</v>
      </c>
      <c r="EIV133" s="531" t="e">
        <f t="shared" si="317"/>
        <v>#DIV/0!</v>
      </c>
      <c r="EIW133" s="531" t="e">
        <f t="shared" si="317"/>
        <v>#DIV/0!</v>
      </c>
      <c r="EIX133" s="531" t="e">
        <f t="shared" si="317"/>
        <v>#DIV/0!</v>
      </c>
      <c r="EIY133" s="531" t="e">
        <f t="shared" si="317"/>
        <v>#DIV/0!</v>
      </c>
      <c r="EIZ133" s="531" t="e">
        <f t="shared" si="317"/>
        <v>#DIV/0!</v>
      </c>
      <c r="EJA133" s="531" t="e">
        <f t="shared" si="317"/>
        <v>#DIV/0!</v>
      </c>
      <c r="EJB133" s="531" t="e">
        <f t="shared" si="317"/>
        <v>#DIV/0!</v>
      </c>
      <c r="EJC133" s="531" t="e">
        <f t="shared" si="317"/>
        <v>#DIV/0!</v>
      </c>
      <c r="EJD133" s="531" t="e">
        <f t="shared" si="317"/>
        <v>#DIV/0!</v>
      </c>
      <c r="EJE133" s="531" t="e">
        <f t="shared" si="317"/>
        <v>#DIV/0!</v>
      </c>
      <c r="EJF133" s="531" t="e">
        <f t="shared" si="317"/>
        <v>#DIV/0!</v>
      </c>
      <c r="EJG133" s="531" t="e">
        <f t="shared" si="317"/>
        <v>#DIV/0!</v>
      </c>
      <c r="EJH133" s="531" t="e">
        <f t="shared" si="317"/>
        <v>#DIV/0!</v>
      </c>
      <c r="EJI133" s="531" t="e">
        <f t="shared" si="317"/>
        <v>#DIV/0!</v>
      </c>
      <c r="EJJ133" s="531" t="e">
        <f t="shared" si="317"/>
        <v>#DIV/0!</v>
      </c>
      <c r="EJK133" s="531" t="e">
        <f t="shared" si="317"/>
        <v>#DIV/0!</v>
      </c>
      <c r="EJL133" s="531" t="e">
        <f t="shared" si="317"/>
        <v>#DIV/0!</v>
      </c>
      <c r="EJM133" s="531" t="e">
        <f t="shared" si="317"/>
        <v>#DIV/0!</v>
      </c>
      <c r="EJN133" s="531" t="e">
        <f t="shared" si="317"/>
        <v>#DIV/0!</v>
      </c>
      <c r="EJO133" s="531" t="e">
        <f t="shared" ref="EJO133:ELZ133" si="318">EJO116/(EJO52*10^5)</f>
        <v>#DIV/0!</v>
      </c>
      <c r="EJP133" s="531" t="e">
        <f t="shared" si="318"/>
        <v>#DIV/0!</v>
      </c>
      <c r="EJQ133" s="531" t="e">
        <f t="shared" si="318"/>
        <v>#DIV/0!</v>
      </c>
      <c r="EJR133" s="531" t="e">
        <f t="shared" si="318"/>
        <v>#DIV/0!</v>
      </c>
      <c r="EJS133" s="531" t="e">
        <f t="shared" si="318"/>
        <v>#DIV/0!</v>
      </c>
      <c r="EJT133" s="531" t="e">
        <f t="shared" si="318"/>
        <v>#DIV/0!</v>
      </c>
      <c r="EJU133" s="531" t="e">
        <f t="shared" si="318"/>
        <v>#DIV/0!</v>
      </c>
      <c r="EJV133" s="531" t="e">
        <f t="shared" si="318"/>
        <v>#DIV/0!</v>
      </c>
      <c r="EJW133" s="531" t="e">
        <f t="shared" si="318"/>
        <v>#DIV/0!</v>
      </c>
      <c r="EJX133" s="531" t="e">
        <f t="shared" si="318"/>
        <v>#DIV/0!</v>
      </c>
      <c r="EJY133" s="531" t="e">
        <f t="shared" si="318"/>
        <v>#DIV/0!</v>
      </c>
      <c r="EJZ133" s="531" t="e">
        <f t="shared" si="318"/>
        <v>#DIV/0!</v>
      </c>
      <c r="EKA133" s="531" t="e">
        <f t="shared" si="318"/>
        <v>#DIV/0!</v>
      </c>
      <c r="EKB133" s="531" t="e">
        <f t="shared" si="318"/>
        <v>#DIV/0!</v>
      </c>
      <c r="EKC133" s="531" t="e">
        <f t="shared" si="318"/>
        <v>#DIV/0!</v>
      </c>
      <c r="EKD133" s="531" t="e">
        <f t="shared" si="318"/>
        <v>#DIV/0!</v>
      </c>
      <c r="EKE133" s="531" t="e">
        <f t="shared" si="318"/>
        <v>#DIV/0!</v>
      </c>
      <c r="EKF133" s="531" t="e">
        <f t="shared" si="318"/>
        <v>#DIV/0!</v>
      </c>
      <c r="EKG133" s="531" t="e">
        <f t="shared" si="318"/>
        <v>#DIV/0!</v>
      </c>
      <c r="EKH133" s="531" t="e">
        <f t="shared" si="318"/>
        <v>#DIV/0!</v>
      </c>
      <c r="EKI133" s="531" t="e">
        <f t="shared" si="318"/>
        <v>#DIV/0!</v>
      </c>
      <c r="EKJ133" s="531" t="e">
        <f t="shared" si="318"/>
        <v>#DIV/0!</v>
      </c>
      <c r="EKK133" s="531" t="e">
        <f t="shared" si="318"/>
        <v>#DIV/0!</v>
      </c>
      <c r="EKL133" s="531" t="e">
        <f t="shared" si="318"/>
        <v>#DIV/0!</v>
      </c>
      <c r="EKM133" s="531" t="e">
        <f t="shared" si="318"/>
        <v>#DIV/0!</v>
      </c>
      <c r="EKN133" s="531" t="e">
        <f t="shared" si="318"/>
        <v>#DIV/0!</v>
      </c>
      <c r="EKO133" s="531" t="e">
        <f t="shared" si="318"/>
        <v>#DIV/0!</v>
      </c>
      <c r="EKP133" s="531" t="e">
        <f t="shared" si="318"/>
        <v>#DIV/0!</v>
      </c>
      <c r="EKQ133" s="531" t="e">
        <f t="shared" si="318"/>
        <v>#DIV/0!</v>
      </c>
      <c r="EKR133" s="531" t="e">
        <f t="shared" si="318"/>
        <v>#DIV/0!</v>
      </c>
      <c r="EKS133" s="531" t="e">
        <f t="shared" si="318"/>
        <v>#DIV/0!</v>
      </c>
      <c r="EKT133" s="531" t="e">
        <f t="shared" si="318"/>
        <v>#DIV/0!</v>
      </c>
      <c r="EKU133" s="531" t="e">
        <f t="shared" si="318"/>
        <v>#DIV/0!</v>
      </c>
      <c r="EKV133" s="531" t="e">
        <f t="shared" si="318"/>
        <v>#DIV/0!</v>
      </c>
      <c r="EKW133" s="531" t="e">
        <f t="shared" si="318"/>
        <v>#DIV/0!</v>
      </c>
      <c r="EKX133" s="531" t="e">
        <f t="shared" si="318"/>
        <v>#DIV/0!</v>
      </c>
      <c r="EKY133" s="531" t="e">
        <f t="shared" si="318"/>
        <v>#DIV/0!</v>
      </c>
      <c r="EKZ133" s="531" t="e">
        <f t="shared" si="318"/>
        <v>#DIV/0!</v>
      </c>
      <c r="ELA133" s="531" t="e">
        <f t="shared" si="318"/>
        <v>#DIV/0!</v>
      </c>
      <c r="ELB133" s="531" t="e">
        <f t="shared" si="318"/>
        <v>#DIV/0!</v>
      </c>
      <c r="ELC133" s="531" t="e">
        <f t="shared" si="318"/>
        <v>#DIV/0!</v>
      </c>
      <c r="ELD133" s="531" t="e">
        <f t="shared" si="318"/>
        <v>#DIV/0!</v>
      </c>
      <c r="ELE133" s="531" t="e">
        <f t="shared" si="318"/>
        <v>#DIV/0!</v>
      </c>
      <c r="ELF133" s="531" t="e">
        <f t="shared" si="318"/>
        <v>#DIV/0!</v>
      </c>
      <c r="ELG133" s="531" t="e">
        <f t="shared" si="318"/>
        <v>#DIV/0!</v>
      </c>
      <c r="ELH133" s="531" t="e">
        <f t="shared" si="318"/>
        <v>#DIV/0!</v>
      </c>
      <c r="ELI133" s="531" t="e">
        <f t="shared" si="318"/>
        <v>#DIV/0!</v>
      </c>
      <c r="ELJ133" s="531" t="e">
        <f t="shared" si="318"/>
        <v>#DIV/0!</v>
      </c>
      <c r="ELK133" s="531" t="e">
        <f t="shared" si="318"/>
        <v>#DIV/0!</v>
      </c>
      <c r="ELL133" s="531" t="e">
        <f t="shared" si="318"/>
        <v>#DIV/0!</v>
      </c>
      <c r="ELM133" s="531" t="e">
        <f t="shared" si="318"/>
        <v>#DIV/0!</v>
      </c>
      <c r="ELN133" s="531" t="e">
        <f t="shared" si="318"/>
        <v>#DIV/0!</v>
      </c>
      <c r="ELO133" s="531" t="e">
        <f t="shared" si="318"/>
        <v>#DIV/0!</v>
      </c>
      <c r="ELP133" s="531" t="e">
        <f t="shared" si="318"/>
        <v>#DIV/0!</v>
      </c>
      <c r="ELQ133" s="531" t="e">
        <f t="shared" si="318"/>
        <v>#DIV/0!</v>
      </c>
      <c r="ELR133" s="531" t="e">
        <f t="shared" si="318"/>
        <v>#DIV/0!</v>
      </c>
      <c r="ELS133" s="531" t="e">
        <f t="shared" si="318"/>
        <v>#DIV/0!</v>
      </c>
      <c r="ELT133" s="531" t="e">
        <f t="shared" si="318"/>
        <v>#DIV/0!</v>
      </c>
      <c r="ELU133" s="531" t="e">
        <f t="shared" si="318"/>
        <v>#DIV/0!</v>
      </c>
      <c r="ELV133" s="531" t="e">
        <f t="shared" si="318"/>
        <v>#DIV/0!</v>
      </c>
      <c r="ELW133" s="531" t="e">
        <f t="shared" si="318"/>
        <v>#DIV/0!</v>
      </c>
      <c r="ELX133" s="531" t="e">
        <f t="shared" si="318"/>
        <v>#DIV/0!</v>
      </c>
      <c r="ELY133" s="531" t="e">
        <f t="shared" si="318"/>
        <v>#DIV/0!</v>
      </c>
      <c r="ELZ133" s="531" t="e">
        <f t="shared" si="318"/>
        <v>#DIV/0!</v>
      </c>
      <c r="EMA133" s="531" t="e">
        <f t="shared" ref="EMA133:EOL133" si="319">EMA116/(EMA52*10^5)</f>
        <v>#DIV/0!</v>
      </c>
      <c r="EMB133" s="531" t="e">
        <f t="shared" si="319"/>
        <v>#DIV/0!</v>
      </c>
      <c r="EMC133" s="531" t="e">
        <f t="shared" si="319"/>
        <v>#DIV/0!</v>
      </c>
      <c r="EMD133" s="531" t="e">
        <f t="shared" si="319"/>
        <v>#DIV/0!</v>
      </c>
      <c r="EME133" s="531" t="e">
        <f t="shared" si="319"/>
        <v>#DIV/0!</v>
      </c>
      <c r="EMF133" s="531" t="e">
        <f t="shared" si="319"/>
        <v>#DIV/0!</v>
      </c>
      <c r="EMG133" s="531" t="e">
        <f t="shared" si="319"/>
        <v>#DIV/0!</v>
      </c>
      <c r="EMH133" s="531" t="e">
        <f t="shared" si="319"/>
        <v>#DIV/0!</v>
      </c>
      <c r="EMI133" s="531" t="e">
        <f t="shared" si="319"/>
        <v>#DIV/0!</v>
      </c>
      <c r="EMJ133" s="531" t="e">
        <f t="shared" si="319"/>
        <v>#DIV/0!</v>
      </c>
      <c r="EMK133" s="531" t="e">
        <f t="shared" si="319"/>
        <v>#DIV/0!</v>
      </c>
      <c r="EML133" s="531" t="e">
        <f t="shared" si="319"/>
        <v>#DIV/0!</v>
      </c>
      <c r="EMM133" s="531" t="e">
        <f t="shared" si="319"/>
        <v>#DIV/0!</v>
      </c>
      <c r="EMN133" s="531" t="e">
        <f t="shared" si="319"/>
        <v>#DIV/0!</v>
      </c>
      <c r="EMO133" s="531" t="e">
        <f t="shared" si="319"/>
        <v>#DIV/0!</v>
      </c>
      <c r="EMP133" s="531" t="e">
        <f t="shared" si="319"/>
        <v>#DIV/0!</v>
      </c>
      <c r="EMQ133" s="531" t="e">
        <f t="shared" si="319"/>
        <v>#DIV/0!</v>
      </c>
      <c r="EMR133" s="531" t="e">
        <f t="shared" si="319"/>
        <v>#DIV/0!</v>
      </c>
      <c r="EMS133" s="531" t="e">
        <f t="shared" si="319"/>
        <v>#DIV/0!</v>
      </c>
      <c r="EMT133" s="531" t="e">
        <f t="shared" si="319"/>
        <v>#DIV/0!</v>
      </c>
      <c r="EMU133" s="531" t="e">
        <f t="shared" si="319"/>
        <v>#DIV/0!</v>
      </c>
      <c r="EMV133" s="531" t="e">
        <f t="shared" si="319"/>
        <v>#DIV/0!</v>
      </c>
      <c r="EMW133" s="531" t="e">
        <f t="shared" si="319"/>
        <v>#DIV/0!</v>
      </c>
      <c r="EMX133" s="531" t="e">
        <f t="shared" si="319"/>
        <v>#DIV/0!</v>
      </c>
      <c r="EMY133" s="531" t="e">
        <f t="shared" si="319"/>
        <v>#DIV/0!</v>
      </c>
      <c r="EMZ133" s="531" t="e">
        <f t="shared" si="319"/>
        <v>#DIV/0!</v>
      </c>
      <c r="ENA133" s="531" t="e">
        <f t="shared" si="319"/>
        <v>#DIV/0!</v>
      </c>
      <c r="ENB133" s="531" t="e">
        <f t="shared" si="319"/>
        <v>#DIV/0!</v>
      </c>
      <c r="ENC133" s="531" t="e">
        <f t="shared" si="319"/>
        <v>#DIV/0!</v>
      </c>
      <c r="END133" s="531" t="e">
        <f t="shared" si="319"/>
        <v>#DIV/0!</v>
      </c>
      <c r="ENE133" s="531" t="e">
        <f t="shared" si="319"/>
        <v>#DIV/0!</v>
      </c>
      <c r="ENF133" s="531" t="e">
        <f t="shared" si="319"/>
        <v>#DIV/0!</v>
      </c>
      <c r="ENG133" s="531" t="e">
        <f t="shared" si="319"/>
        <v>#DIV/0!</v>
      </c>
      <c r="ENH133" s="531" t="e">
        <f t="shared" si="319"/>
        <v>#DIV/0!</v>
      </c>
      <c r="ENI133" s="531" t="e">
        <f t="shared" si="319"/>
        <v>#DIV/0!</v>
      </c>
      <c r="ENJ133" s="531" t="e">
        <f t="shared" si="319"/>
        <v>#DIV/0!</v>
      </c>
      <c r="ENK133" s="531" t="e">
        <f t="shared" si="319"/>
        <v>#DIV/0!</v>
      </c>
      <c r="ENL133" s="531" t="e">
        <f t="shared" si="319"/>
        <v>#DIV/0!</v>
      </c>
      <c r="ENM133" s="531" t="e">
        <f t="shared" si="319"/>
        <v>#DIV/0!</v>
      </c>
      <c r="ENN133" s="531" t="e">
        <f t="shared" si="319"/>
        <v>#DIV/0!</v>
      </c>
      <c r="ENO133" s="531" t="e">
        <f t="shared" si="319"/>
        <v>#DIV/0!</v>
      </c>
      <c r="ENP133" s="531" t="e">
        <f t="shared" si="319"/>
        <v>#DIV/0!</v>
      </c>
      <c r="ENQ133" s="531" t="e">
        <f t="shared" si="319"/>
        <v>#DIV/0!</v>
      </c>
      <c r="ENR133" s="531" t="e">
        <f t="shared" si="319"/>
        <v>#DIV/0!</v>
      </c>
      <c r="ENS133" s="531" t="e">
        <f t="shared" si="319"/>
        <v>#DIV/0!</v>
      </c>
      <c r="ENT133" s="531" t="e">
        <f t="shared" si="319"/>
        <v>#DIV/0!</v>
      </c>
      <c r="ENU133" s="531" t="e">
        <f t="shared" si="319"/>
        <v>#DIV/0!</v>
      </c>
      <c r="ENV133" s="531" t="e">
        <f t="shared" si="319"/>
        <v>#DIV/0!</v>
      </c>
      <c r="ENW133" s="531" t="e">
        <f t="shared" si="319"/>
        <v>#DIV/0!</v>
      </c>
      <c r="ENX133" s="531" t="e">
        <f t="shared" si="319"/>
        <v>#DIV/0!</v>
      </c>
      <c r="ENY133" s="531" t="e">
        <f t="shared" si="319"/>
        <v>#DIV/0!</v>
      </c>
      <c r="ENZ133" s="531" t="e">
        <f t="shared" si="319"/>
        <v>#DIV/0!</v>
      </c>
      <c r="EOA133" s="531" t="e">
        <f t="shared" si="319"/>
        <v>#DIV/0!</v>
      </c>
      <c r="EOB133" s="531" t="e">
        <f t="shared" si="319"/>
        <v>#DIV/0!</v>
      </c>
      <c r="EOC133" s="531" t="e">
        <f t="shared" si="319"/>
        <v>#DIV/0!</v>
      </c>
      <c r="EOD133" s="531" t="e">
        <f t="shared" si="319"/>
        <v>#DIV/0!</v>
      </c>
      <c r="EOE133" s="531" t="e">
        <f t="shared" si="319"/>
        <v>#DIV/0!</v>
      </c>
      <c r="EOF133" s="531" t="e">
        <f t="shared" si="319"/>
        <v>#DIV/0!</v>
      </c>
      <c r="EOG133" s="531" t="e">
        <f t="shared" si="319"/>
        <v>#DIV/0!</v>
      </c>
      <c r="EOH133" s="531" t="e">
        <f t="shared" si="319"/>
        <v>#DIV/0!</v>
      </c>
      <c r="EOI133" s="531" t="e">
        <f t="shared" si="319"/>
        <v>#DIV/0!</v>
      </c>
      <c r="EOJ133" s="531" t="e">
        <f t="shared" si="319"/>
        <v>#DIV/0!</v>
      </c>
      <c r="EOK133" s="531" t="e">
        <f t="shared" si="319"/>
        <v>#DIV/0!</v>
      </c>
      <c r="EOL133" s="531" t="e">
        <f t="shared" si="319"/>
        <v>#DIV/0!</v>
      </c>
      <c r="EOM133" s="531" t="e">
        <f t="shared" ref="EOM133:EQX133" si="320">EOM116/(EOM52*10^5)</f>
        <v>#DIV/0!</v>
      </c>
      <c r="EON133" s="531" t="e">
        <f t="shared" si="320"/>
        <v>#DIV/0!</v>
      </c>
      <c r="EOO133" s="531" t="e">
        <f t="shared" si="320"/>
        <v>#DIV/0!</v>
      </c>
      <c r="EOP133" s="531" t="e">
        <f t="shared" si="320"/>
        <v>#DIV/0!</v>
      </c>
      <c r="EOQ133" s="531" t="e">
        <f t="shared" si="320"/>
        <v>#DIV/0!</v>
      </c>
      <c r="EOR133" s="531" t="e">
        <f t="shared" si="320"/>
        <v>#DIV/0!</v>
      </c>
      <c r="EOS133" s="531" t="e">
        <f t="shared" si="320"/>
        <v>#DIV/0!</v>
      </c>
      <c r="EOT133" s="531" t="e">
        <f t="shared" si="320"/>
        <v>#DIV/0!</v>
      </c>
      <c r="EOU133" s="531" t="e">
        <f t="shared" si="320"/>
        <v>#DIV/0!</v>
      </c>
      <c r="EOV133" s="531" t="e">
        <f t="shared" si="320"/>
        <v>#DIV/0!</v>
      </c>
      <c r="EOW133" s="531" t="e">
        <f t="shared" si="320"/>
        <v>#DIV/0!</v>
      </c>
      <c r="EOX133" s="531" t="e">
        <f t="shared" si="320"/>
        <v>#DIV/0!</v>
      </c>
      <c r="EOY133" s="531" t="e">
        <f t="shared" si="320"/>
        <v>#DIV/0!</v>
      </c>
      <c r="EOZ133" s="531" t="e">
        <f t="shared" si="320"/>
        <v>#DIV/0!</v>
      </c>
      <c r="EPA133" s="531" t="e">
        <f t="shared" si="320"/>
        <v>#DIV/0!</v>
      </c>
      <c r="EPB133" s="531" t="e">
        <f t="shared" si="320"/>
        <v>#DIV/0!</v>
      </c>
      <c r="EPC133" s="531" t="e">
        <f t="shared" si="320"/>
        <v>#DIV/0!</v>
      </c>
      <c r="EPD133" s="531" t="e">
        <f t="shared" si="320"/>
        <v>#DIV/0!</v>
      </c>
      <c r="EPE133" s="531" t="e">
        <f t="shared" si="320"/>
        <v>#DIV/0!</v>
      </c>
      <c r="EPF133" s="531" t="e">
        <f t="shared" si="320"/>
        <v>#DIV/0!</v>
      </c>
      <c r="EPG133" s="531" t="e">
        <f t="shared" si="320"/>
        <v>#DIV/0!</v>
      </c>
      <c r="EPH133" s="531" t="e">
        <f t="shared" si="320"/>
        <v>#DIV/0!</v>
      </c>
      <c r="EPI133" s="531" t="e">
        <f t="shared" si="320"/>
        <v>#DIV/0!</v>
      </c>
      <c r="EPJ133" s="531" t="e">
        <f t="shared" si="320"/>
        <v>#DIV/0!</v>
      </c>
      <c r="EPK133" s="531" t="e">
        <f t="shared" si="320"/>
        <v>#DIV/0!</v>
      </c>
      <c r="EPL133" s="531" t="e">
        <f t="shared" si="320"/>
        <v>#DIV/0!</v>
      </c>
      <c r="EPM133" s="531" t="e">
        <f t="shared" si="320"/>
        <v>#DIV/0!</v>
      </c>
      <c r="EPN133" s="531" t="e">
        <f t="shared" si="320"/>
        <v>#DIV/0!</v>
      </c>
      <c r="EPO133" s="531" t="e">
        <f t="shared" si="320"/>
        <v>#DIV/0!</v>
      </c>
      <c r="EPP133" s="531" t="e">
        <f t="shared" si="320"/>
        <v>#DIV/0!</v>
      </c>
      <c r="EPQ133" s="531" t="e">
        <f t="shared" si="320"/>
        <v>#DIV/0!</v>
      </c>
      <c r="EPR133" s="531" t="e">
        <f t="shared" si="320"/>
        <v>#DIV/0!</v>
      </c>
      <c r="EPS133" s="531" t="e">
        <f t="shared" si="320"/>
        <v>#DIV/0!</v>
      </c>
      <c r="EPT133" s="531" t="e">
        <f t="shared" si="320"/>
        <v>#DIV/0!</v>
      </c>
      <c r="EPU133" s="531" t="e">
        <f t="shared" si="320"/>
        <v>#DIV/0!</v>
      </c>
      <c r="EPV133" s="531" t="e">
        <f t="shared" si="320"/>
        <v>#DIV/0!</v>
      </c>
      <c r="EPW133" s="531" t="e">
        <f t="shared" si="320"/>
        <v>#DIV/0!</v>
      </c>
      <c r="EPX133" s="531" t="e">
        <f t="shared" si="320"/>
        <v>#DIV/0!</v>
      </c>
      <c r="EPY133" s="531" t="e">
        <f t="shared" si="320"/>
        <v>#DIV/0!</v>
      </c>
      <c r="EPZ133" s="531" t="e">
        <f t="shared" si="320"/>
        <v>#DIV/0!</v>
      </c>
      <c r="EQA133" s="531" t="e">
        <f t="shared" si="320"/>
        <v>#DIV/0!</v>
      </c>
      <c r="EQB133" s="531" t="e">
        <f t="shared" si="320"/>
        <v>#DIV/0!</v>
      </c>
      <c r="EQC133" s="531" t="e">
        <f t="shared" si="320"/>
        <v>#DIV/0!</v>
      </c>
      <c r="EQD133" s="531" t="e">
        <f t="shared" si="320"/>
        <v>#DIV/0!</v>
      </c>
      <c r="EQE133" s="531" t="e">
        <f t="shared" si="320"/>
        <v>#DIV/0!</v>
      </c>
      <c r="EQF133" s="531" t="e">
        <f t="shared" si="320"/>
        <v>#DIV/0!</v>
      </c>
      <c r="EQG133" s="531" t="e">
        <f t="shared" si="320"/>
        <v>#DIV/0!</v>
      </c>
      <c r="EQH133" s="531" t="e">
        <f t="shared" si="320"/>
        <v>#DIV/0!</v>
      </c>
      <c r="EQI133" s="531" t="e">
        <f t="shared" si="320"/>
        <v>#DIV/0!</v>
      </c>
      <c r="EQJ133" s="531" t="e">
        <f t="shared" si="320"/>
        <v>#DIV/0!</v>
      </c>
      <c r="EQK133" s="531" t="e">
        <f t="shared" si="320"/>
        <v>#DIV/0!</v>
      </c>
      <c r="EQL133" s="531" t="e">
        <f t="shared" si="320"/>
        <v>#DIV/0!</v>
      </c>
      <c r="EQM133" s="531" t="e">
        <f t="shared" si="320"/>
        <v>#DIV/0!</v>
      </c>
      <c r="EQN133" s="531" t="e">
        <f t="shared" si="320"/>
        <v>#DIV/0!</v>
      </c>
      <c r="EQO133" s="531" t="e">
        <f t="shared" si="320"/>
        <v>#DIV/0!</v>
      </c>
      <c r="EQP133" s="531" t="e">
        <f t="shared" si="320"/>
        <v>#DIV/0!</v>
      </c>
      <c r="EQQ133" s="531" t="e">
        <f t="shared" si="320"/>
        <v>#DIV/0!</v>
      </c>
      <c r="EQR133" s="531" t="e">
        <f t="shared" si="320"/>
        <v>#DIV/0!</v>
      </c>
      <c r="EQS133" s="531" t="e">
        <f t="shared" si="320"/>
        <v>#DIV/0!</v>
      </c>
      <c r="EQT133" s="531" t="e">
        <f t="shared" si="320"/>
        <v>#DIV/0!</v>
      </c>
      <c r="EQU133" s="531" t="e">
        <f t="shared" si="320"/>
        <v>#DIV/0!</v>
      </c>
      <c r="EQV133" s="531" t="e">
        <f t="shared" si="320"/>
        <v>#DIV/0!</v>
      </c>
      <c r="EQW133" s="531" t="e">
        <f t="shared" si="320"/>
        <v>#DIV/0!</v>
      </c>
      <c r="EQX133" s="531" t="e">
        <f t="shared" si="320"/>
        <v>#DIV/0!</v>
      </c>
      <c r="EQY133" s="531" t="e">
        <f t="shared" ref="EQY133:ETJ133" si="321">EQY116/(EQY52*10^5)</f>
        <v>#DIV/0!</v>
      </c>
      <c r="EQZ133" s="531" t="e">
        <f t="shared" si="321"/>
        <v>#DIV/0!</v>
      </c>
      <c r="ERA133" s="531" t="e">
        <f t="shared" si="321"/>
        <v>#DIV/0!</v>
      </c>
      <c r="ERB133" s="531" t="e">
        <f t="shared" si="321"/>
        <v>#DIV/0!</v>
      </c>
      <c r="ERC133" s="531" t="e">
        <f t="shared" si="321"/>
        <v>#DIV/0!</v>
      </c>
      <c r="ERD133" s="531" t="e">
        <f t="shared" si="321"/>
        <v>#DIV/0!</v>
      </c>
      <c r="ERE133" s="531" t="e">
        <f t="shared" si="321"/>
        <v>#DIV/0!</v>
      </c>
      <c r="ERF133" s="531" t="e">
        <f t="shared" si="321"/>
        <v>#DIV/0!</v>
      </c>
      <c r="ERG133" s="531" t="e">
        <f t="shared" si="321"/>
        <v>#DIV/0!</v>
      </c>
      <c r="ERH133" s="531" t="e">
        <f t="shared" si="321"/>
        <v>#DIV/0!</v>
      </c>
      <c r="ERI133" s="531" t="e">
        <f t="shared" si="321"/>
        <v>#DIV/0!</v>
      </c>
      <c r="ERJ133" s="531" t="e">
        <f t="shared" si="321"/>
        <v>#DIV/0!</v>
      </c>
      <c r="ERK133" s="531" t="e">
        <f t="shared" si="321"/>
        <v>#DIV/0!</v>
      </c>
      <c r="ERL133" s="531" t="e">
        <f t="shared" si="321"/>
        <v>#DIV/0!</v>
      </c>
      <c r="ERM133" s="531" t="e">
        <f t="shared" si="321"/>
        <v>#DIV/0!</v>
      </c>
      <c r="ERN133" s="531" t="e">
        <f t="shared" si="321"/>
        <v>#DIV/0!</v>
      </c>
      <c r="ERO133" s="531" t="e">
        <f t="shared" si="321"/>
        <v>#DIV/0!</v>
      </c>
      <c r="ERP133" s="531" t="e">
        <f t="shared" si="321"/>
        <v>#DIV/0!</v>
      </c>
      <c r="ERQ133" s="531" t="e">
        <f t="shared" si="321"/>
        <v>#DIV/0!</v>
      </c>
      <c r="ERR133" s="531" t="e">
        <f t="shared" si="321"/>
        <v>#DIV/0!</v>
      </c>
      <c r="ERS133" s="531" t="e">
        <f t="shared" si="321"/>
        <v>#DIV/0!</v>
      </c>
      <c r="ERT133" s="531" t="e">
        <f t="shared" si="321"/>
        <v>#DIV/0!</v>
      </c>
      <c r="ERU133" s="531" t="e">
        <f t="shared" si="321"/>
        <v>#DIV/0!</v>
      </c>
      <c r="ERV133" s="531" t="e">
        <f t="shared" si="321"/>
        <v>#DIV/0!</v>
      </c>
      <c r="ERW133" s="531" t="e">
        <f t="shared" si="321"/>
        <v>#DIV/0!</v>
      </c>
      <c r="ERX133" s="531" t="e">
        <f t="shared" si="321"/>
        <v>#DIV/0!</v>
      </c>
      <c r="ERY133" s="531" t="e">
        <f t="shared" si="321"/>
        <v>#DIV/0!</v>
      </c>
      <c r="ERZ133" s="531" t="e">
        <f t="shared" si="321"/>
        <v>#DIV/0!</v>
      </c>
      <c r="ESA133" s="531" t="e">
        <f t="shared" si="321"/>
        <v>#DIV/0!</v>
      </c>
      <c r="ESB133" s="531" t="e">
        <f t="shared" si="321"/>
        <v>#DIV/0!</v>
      </c>
      <c r="ESC133" s="531" t="e">
        <f t="shared" si="321"/>
        <v>#DIV/0!</v>
      </c>
      <c r="ESD133" s="531" t="e">
        <f t="shared" si="321"/>
        <v>#DIV/0!</v>
      </c>
      <c r="ESE133" s="531" t="e">
        <f t="shared" si="321"/>
        <v>#DIV/0!</v>
      </c>
      <c r="ESF133" s="531" t="e">
        <f t="shared" si="321"/>
        <v>#DIV/0!</v>
      </c>
      <c r="ESG133" s="531" t="e">
        <f t="shared" si="321"/>
        <v>#DIV/0!</v>
      </c>
      <c r="ESH133" s="531" t="e">
        <f t="shared" si="321"/>
        <v>#DIV/0!</v>
      </c>
      <c r="ESI133" s="531" t="e">
        <f t="shared" si="321"/>
        <v>#DIV/0!</v>
      </c>
      <c r="ESJ133" s="531" t="e">
        <f t="shared" si="321"/>
        <v>#DIV/0!</v>
      </c>
      <c r="ESK133" s="531" t="e">
        <f t="shared" si="321"/>
        <v>#DIV/0!</v>
      </c>
      <c r="ESL133" s="531" t="e">
        <f t="shared" si="321"/>
        <v>#DIV/0!</v>
      </c>
      <c r="ESM133" s="531" t="e">
        <f t="shared" si="321"/>
        <v>#DIV/0!</v>
      </c>
      <c r="ESN133" s="531" t="e">
        <f t="shared" si="321"/>
        <v>#DIV/0!</v>
      </c>
      <c r="ESO133" s="531" t="e">
        <f t="shared" si="321"/>
        <v>#DIV/0!</v>
      </c>
      <c r="ESP133" s="531" t="e">
        <f t="shared" si="321"/>
        <v>#DIV/0!</v>
      </c>
      <c r="ESQ133" s="531" t="e">
        <f t="shared" si="321"/>
        <v>#DIV/0!</v>
      </c>
      <c r="ESR133" s="531" t="e">
        <f t="shared" si="321"/>
        <v>#DIV/0!</v>
      </c>
      <c r="ESS133" s="531" t="e">
        <f t="shared" si="321"/>
        <v>#DIV/0!</v>
      </c>
      <c r="EST133" s="531" t="e">
        <f t="shared" si="321"/>
        <v>#DIV/0!</v>
      </c>
      <c r="ESU133" s="531" t="e">
        <f t="shared" si="321"/>
        <v>#DIV/0!</v>
      </c>
      <c r="ESV133" s="531" t="e">
        <f t="shared" si="321"/>
        <v>#DIV/0!</v>
      </c>
      <c r="ESW133" s="531" t="e">
        <f t="shared" si="321"/>
        <v>#DIV/0!</v>
      </c>
      <c r="ESX133" s="531" t="e">
        <f t="shared" si="321"/>
        <v>#DIV/0!</v>
      </c>
      <c r="ESY133" s="531" t="e">
        <f t="shared" si="321"/>
        <v>#DIV/0!</v>
      </c>
      <c r="ESZ133" s="531" t="e">
        <f t="shared" si="321"/>
        <v>#DIV/0!</v>
      </c>
      <c r="ETA133" s="531" t="e">
        <f t="shared" si="321"/>
        <v>#DIV/0!</v>
      </c>
      <c r="ETB133" s="531" t="e">
        <f t="shared" si="321"/>
        <v>#DIV/0!</v>
      </c>
      <c r="ETC133" s="531" t="e">
        <f t="shared" si="321"/>
        <v>#DIV/0!</v>
      </c>
      <c r="ETD133" s="531" t="e">
        <f t="shared" si="321"/>
        <v>#DIV/0!</v>
      </c>
      <c r="ETE133" s="531" t="e">
        <f t="shared" si="321"/>
        <v>#DIV/0!</v>
      </c>
      <c r="ETF133" s="531" t="e">
        <f t="shared" si="321"/>
        <v>#DIV/0!</v>
      </c>
      <c r="ETG133" s="531" t="e">
        <f t="shared" si="321"/>
        <v>#DIV/0!</v>
      </c>
      <c r="ETH133" s="531" t="e">
        <f t="shared" si="321"/>
        <v>#DIV/0!</v>
      </c>
      <c r="ETI133" s="531" t="e">
        <f t="shared" si="321"/>
        <v>#DIV/0!</v>
      </c>
      <c r="ETJ133" s="531" t="e">
        <f t="shared" si="321"/>
        <v>#DIV/0!</v>
      </c>
      <c r="ETK133" s="531" t="e">
        <f t="shared" ref="ETK133:EVV133" si="322">ETK116/(ETK52*10^5)</f>
        <v>#DIV/0!</v>
      </c>
      <c r="ETL133" s="531" t="e">
        <f t="shared" si="322"/>
        <v>#DIV/0!</v>
      </c>
      <c r="ETM133" s="531" t="e">
        <f t="shared" si="322"/>
        <v>#DIV/0!</v>
      </c>
      <c r="ETN133" s="531" t="e">
        <f t="shared" si="322"/>
        <v>#DIV/0!</v>
      </c>
      <c r="ETO133" s="531" t="e">
        <f t="shared" si="322"/>
        <v>#DIV/0!</v>
      </c>
      <c r="ETP133" s="531" t="e">
        <f t="shared" si="322"/>
        <v>#DIV/0!</v>
      </c>
      <c r="ETQ133" s="531" t="e">
        <f t="shared" si="322"/>
        <v>#DIV/0!</v>
      </c>
      <c r="ETR133" s="531" t="e">
        <f t="shared" si="322"/>
        <v>#DIV/0!</v>
      </c>
      <c r="ETS133" s="531" t="e">
        <f t="shared" si="322"/>
        <v>#DIV/0!</v>
      </c>
      <c r="ETT133" s="531" t="e">
        <f t="shared" si="322"/>
        <v>#DIV/0!</v>
      </c>
      <c r="ETU133" s="531" t="e">
        <f t="shared" si="322"/>
        <v>#DIV/0!</v>
      </c>
      <c r="ETV133" s="531" t="e">
        <f t="shared" si="322"/>
        <v>#DIV/0!</v>
      </c>
      <c r="ETW133" s="531" t="e">
        <f t="shared" si="322"/>
        <v>#DIV/0!</v>
      </c>
      <c r="ETX133" s="531" t="e">
        <f t="shared" si="322"/>
        <v>#DIV/0!</v>
      </c>
      <c r="ETY133" s="531" t="e">
        <f t="shared" si="322"/>
        <v>#DIV/0!</v>
      </c>
      <c r="ETZ133" s="531" t="e">
        <f t="shared" si="322"/>
        <v>#DIV/0!</v>
      </c>
      <c r="EUA133" s="531" t="e">
        <f t="shared" si="322"/>
        <v>#DIV/0!</v>
      </c>
      <c r="EUB133" s="531" t="e">
        <f t="shared" si="322"/>
        <v>#DIV/0!</v>
      </c>
      <c r="EUC133" s="531" t="e">
        <f t="shared" si="322"/>
        <v>#DIV/0!</v>
      </c>
      <c r="EUD133" s="531" t="e">
        <f t="shared" si="322"/>
        <v>#DIV/0!</v>
      </c>
      <c r="EUE133" s="531" t="e">
        <f t="shared" si="322"/>
        <v>#DIV/0!</v>
      </c>
      <c r="EUF133" s="531" t="e">
        <f t="shared" si="322"/>
        <v>#DIV/0!</v>
      </c>
      <c r="EUG133" s="531" t="e">
        <f t="shared" si="322"/>
        <v>#DIV/0!</v>
      </c>
      <c r="EUH133" s="531" t="e">
        <f t="shared" si="322"/>
        <v>#DIV/0!</v>
      </c>
      <c r="EUI133" s="531" t="e">
        <f t="shared" si="322"/>
        <v>#DIV/0!</v>
      </c>
      <c r="EUJ133" s="531" t="e">
        <f t="shared" si="322"/>
        <v>#DIV/0!</v>
      </c>
      <c r="EUK133" s="531" t="e">
        <f t="shared" si="322"/>
        <v>#DIV/0!</v>
      </c>
      <c r="EUL133" s="531" t="e">
        <f t="shared" si="322"/>
        <v>#DIV/0!</v>
      </c>
      <c r="EUM133" s="531" t="e">
        <f t="shared" si="322"/>
        <v>#DIV/0!</v>
      </c>
      <c r="EUN133" s="531" t="e">
        <f t="shared" si="322"/>
        <v>#DIV/0!</v>
      </c>
      <c r="EUO133" s="531" t="e">
        <f t="shared" si="322"/>
        <v>#DIV/0!</v>
      </c>
      <c r="EUP133" s="531" t="e">
        <f t="shared" si="322"/>
        <v>#DIV/0!</v>
      </c>
      <c r="EUQ133" s="531" t="e">
        <f t="shared" si="322"/>
        <v>#DIV/0!</v>
      </c>
      <c r="EUR133" s="531" t="e">
        <f t="shared" si="322"/>
        <v>#DIV/0!</v>
      </c>
      <c r="EUS133" s="531" t="e">
        <f t="shared" si="322"/>
        <v>#DIV/0!</v>
      </c>
      <c r="EUT133" s="531" t="e">
        <f t="shared" si="322"/>
        <v>#DIV/0!</v>
      </c>
      <c r="EUU133" s="531" t="e">
        <f t="shared" si="322"/>
        <v>#DIV/0!</v>
      </c>
      <c r="EUV133" s="531" t="e">
        <f t="shared" si="322"/>
        <v>#DIV/0!</v>
      </c>
      <c r="EUW133" s="531" t="e">
        <f t="shared" si="322"/>
        <v>#DIV/0!</v>
      </c>
      <c r="EUX133" s="531" t="e">
        <f t="shared" si="322"/>
        <v>#DIV/0!</v>
      </c>
      <c r="EUY133" s="531" t="e">
        <f t="shared" si="322"/>
        <v>#DIV/0!</v>
      </c>
      <c r="EUZ133" s="531" t="e">
        <f t="shared" si="322"/>
        <v>#DIV/0!</v>
      </c>
      <c r="EVA133" s="531" t="e">
        <f t="shared" si="322"/>
        <v>#DIV/0!</v>
      </c>
      <c r="EVB133" s="531" t="e">
        <f t="shared" si="322"/>
        <v>#DIV/0!</v>
      </c>
      <c r="EVC133" s="531" t="e">
        <f t="shared" si="322"/>
        <v>#DIV/0!</v>
      </c>
      <c r="EVD133" s="531" t="e">
        <f t="shared" si="322"/>
        <v>#DIV/0!</v>
      </c>
      <c r="EVE133" s="531" t="e">
        <f t="shared" si="322"/>
        <v>#DIV/0!</v>
      </c>
      <c r="EVF133" s="531" t="e">
        <f t="shared" si="322"/>
        <v>#DIV/0!</v>
      </c>
      <c r="EVG133" s="531" t="e">
        <f t="shared" si="322"/>
        <v>#DIV/0!</v>
      </c>
      <c r="EVH133" s="531" t="e">
        <f t="shared" si="322"/>
        <v>#DIV/0!</v>
      </c>
      <c r="EVI133" s="531" t="e">
        <f t="shared" si="322"/>
        <v>#DIV/0!</v>
      </c>
      <c r="EVJ133" s="531" t="e">
        <f t="shared" si="322"/>
        <v>#DIV/0!</v>
      </c>
      <c r="EVK133" s="531" t="e">
        <f t="shared" si="322"/>
        <v>#DIV/0!</v>
      </c>
      <c r="EVL133" s="531" t="e">
        <f t="shared" si="322"/>
        <v>#DIV/0!</v>
      </c>
      <c r="EVM133" s="531" t="e">
        <f t="shared" si="322"/>
        <v>#DIV/0!</v>
      </c>
      <c r="EVN133" s="531" t="e">
        <f t="shared" si="322"/>
        <v>#DIV/0!</v>
      </c>
      <c r="EVO133" s="531" t="e">
        <f t="shared" si="322"/>
        <v>#DIV/0!</v>
      </c>
      <c r="EVP133" s="531" t="e">
        <f t="shared" si="322"/>
        <v>#DIV/0!</v>
      </c>
      <c r="EVQ133" s="531" t="e">
        <f t="shared" si="322"/>
        <v>#DIV/0!</v>
      </c>
      <c r="EVR133" s="531" t="e">
        <f t="shared" si="322"/>
        <v>#DIV/0!</v>
      </c>
      <c r="EVS133" s="531" t="e">
        <f t="shared" si="322"/>
        <v>#DIV/0!</v>
      </c>
      <c r="EVT133" s="531" t="e">
        <f t="shared" si="322"/>
        <v>#DIV/0!</v>
      </c>
      <c r="EVU133" s="531" t="e">
        <f t="shared" si="322"/>
        <v>#DIV/0!</v>
      </c>
      <c r="EVV133" s="531" t="e">
        <f t="shared" si="322"/>
        <v>#DIV/0!</v>
      </c>
      <c r="EVW133" s="531" t="e">
        <f t="shared" ref="EVW133:EYH133" si="323">EVW116/(EVW52*10^5)</f>
        <v>#DIV/0!</v>
      </c>
      <c r="EVX133" s="531" t="e">
        <f t="shared" si="323"/>
        <v>#DIV/0!</v>
      </c>
      <c r="EVY133" s="531" t="e">
        <f t="shared" si="323"/>
        <v>#DIV/0!</v>
      </c>
      <c r="EVZ133" s="531" t="e">
        <f t="shared" si="323"/>
        <v>#DIV/0!</v>
      </c>
      <c r="EWA133" s="531" t="e">
        <f t="shared" si="323"/>
        <v>#DIV/0!</v>
      </c>
      <c r="EWB133" s="531" t="e">
        <f t="shared" si="323"/>
        <v>#DIV/0!</v>
      </c>
      <c r="EWC133" s="531" t="e">
        <f t="shared" si="323"/>
        <v>#DIV/0!</v>
      </c>
      <c r="EWD133" s="531" t="e">
        <f t="shared" si="323"/>
        <v>#DIV/0!</v>
      </c>
      <c r="EWE133" s="531" t="e">
        <f t="shared" si="323"/>
        <v>#DIV/0!</v>
      </c>
      <c r="EWF133" s="531" t="e">
        <f t="shared" si="323"/>
        <v>#DIV/0!</v>
      </c>
      <c r="EWG133" s="531" t="e">
        <f t="shared" si="323"/>
        <v>#DIV/0!</v>
      </c>
      <c r="EWH133" s="531" t="e">
        <f t="shared" si="323"/>
        <v>#DIV/0!</v>
      </c>
      <c r="EWI133" s="531" t="e">
        <f t="shared" si="323"/>
        <v>#DIV/0!</v>
      </c>
      <c r="EWJ133" s="531" t="e">
        <f t="shared" si="323"/>
        <v>#DIV/0!</v>
      </c>
      <c r="EWK133" s="531" t="e">
        <f t="shared" si="323"/>
        <v>#DIV/0!</v>
      </c>
      <c r="EWL133" s="531" t="e">
        <f t="shared" si="323"/>
        <v>#DIV/0!</v>
      </c>
      <c r="EWM133" s="531" t="e">
        <f t="shared" si="323"/>
        <v>#DIV/0!</v>
      </c>
      <c r="EWN133" s="531" t="e">
        <f t="shared" si="323"/>
        <v>#DIV/0!</v>
      </c>
      <c r="EWO133" s="531" t="e">
        <f t="shared" si="323"/>
        <v>#DIV/0!</v>
      </c>
      <c r="EWP133" s="531" t="e">
        <f t="shared" si="323"/>
        <v>#DIV/0!</v>
      </c>
      <c r="EWQ133" s="531" t="e">
        <f t="shared" si="323"/>
        <v>#DIV/0!</v>
      </c>
      <c r="EWR133" s="531" t="e">
        <f t="shared" si="323"/>
        <v>#DIV/0!</v>
      </c>
      <c r="EWS133" s="531" t="e">
        <f t="shared" si="323"/>
        <v>#DIV/0!</v>
      </c>
      <c r="EWT133" s="531" t="e">
        <f t="shared" si="323"/>
        <v>#DIV/0!</v>
      </c>
      <c r="EWU133" s="531" t="e">
        <f t="shared" si="323"/>
        <v>#DIV/0!</v>
      </c>
      <c r="EWV133" s="531" t="e">
        <f t="shared" si="323"/>
        <v>#DIV/0!</v>
      </c>
      <c r="EWW133" s="531" t="e">
        <f t="shared" si="323"/>
        <v>#DIV/0!</v>
      </c>
      <c r="EWX133" s="531" t="e">
        <f t="shared" si="323"/>
        <v>#DIV/0!</v>
      </c>
      <c r="EWY133" s="531" t="e">
        <f t="shared" si="323"/>
        <v>#DIV/0!</v>
      </c>
      <c r="EWZ133" s="531" t="e">
        <f t="shared" si="323"/>
        <v>#DIV/0!</v>
      </c>
      <c r="EXA133" s="531" t="e">
        <f t="shared" si="323"/>
        <v>#DIV/0!</v>
      </c>
      <c r="EXB133" s="531" t="e">
        <f t="shared" si="323"/>
        <v>#DIV/0!</v>
      </c>
      <c r="EXC133" s="531" t="e">
        <f t="shared" si="323"/>
        <v>#DIV/0!</v>
      </c>
      <c r="EXD133" s="531" t="e">
        <f t="shared" si="323"/>
        <v>#DIV/0!</v>
      </c>
      <c r="EXE133" s="531" t="e">
        <f t="shared" si="323"/>
        <v>#DIV/0!</v>
      </c>
      <c r="EXF133" s="531" t="e">
        <f t="shared" si="323"/>
        <v>#DIV/0!</v>
      </c>
      <c r="EXG133" s="531" t="e">
        <f t="shared" si="323"/>
        <v>#DIV/0!</v>
      </c>
      <c r="EXH133" s="531" t="e">
        <f t="shared" si="323"/>
        <v>#DIV/0!</v>
      </c>
      <c r="EXI133" s="531" t="e">
        <f t="shared" si="323"/>
        <v>#DIV/0!</v>
      </c>
      <c r="EXJ133" s="531" t="e">
        <f t="shared" si="323"/>
        <v>#DIV/0!</v>
      </c>
      <c r="EXK133" s="531" t="e">
        <f t="shared" si="323"/>
        <v>#DIV/0!</v>
      </c>
      <c r="EXL133" s="531" t="e">
        <f t="shared" si="323"/>
        <v>#DIV/0!</v>
      </c>
      <c r="EXM133" s="531" t="e">
        <f t="shared" si="323"/>
        <v>#DIV/0!</v>
      </c>
      <c r="EXN133" s="531" t="e">
        <f t="shared" si="323"/>
        <v>#DIV/0!</v>
      </c>
      <c r="EXO133" s="531" t="e">
        <f t="shared" si="323"/>
        <v>#DIV/0!</v>
      </c>
      <c r="EXP133" s="531" t="e">
        <f t="shared" si="323"/>
        <v>#DIV/0!</v>
      </c>
      <c r="EXQ133" s="531" t="e">
        <f t="shared" si="323"/>
        <v>#DIV/0!</v>
      </c>
      <c r="EXR133" s="531" t="e">
        <f t="shared" si="323"/>
        <v>#DIV/0!</v>
      </c>
      <c r="EXS133" s="531" t="e">
        <f t="shared" si="323"/>
        <v>#DIV/0!</v>
      </c>
      <c r="EXT133" s="531" t="e">
        <f t="shared" si="323"/>
        <v>#DIV/0!</v>
      </c>
      <c r="EXU133" s="531" t="e">
        <f t="shared" si="323"/>
        <v>#DIV/0!</v>
      </c>
      <c r="EXV133" s="531" t="e">
        <f t="shared" si="323"/>
        <v>#DIV/0!</v>
      </c>
      <c r="EXW133" s="531" t="e">
        <f t="shared" si="323"/>
        <v>#DIV/0!</v>
      </c>
      <c r="EXX133" s="531" t="e">
        <f t="shared" si="323"/>
        <v>#DIV/0!</v>
      </c>
      <c r="EXY133" s="531" t="e">
        <f t="shared" si="323"/>
        <v>#DIV/0!</v>
      </c>
      <c r="EXZ133" s="531" t="e">
        <f t="shared" si="323"/>
        <v>#DIV/0!</v>
      </c>
      <c r="EYA133" s="531" t="e">
        <f t="shared" si="323"/>
        <v>#DIV/0!</v>
      </c>
      <c r="EYB133" s="531" t="e">
        <f t="shared" si="323"/>
        <v>#DIV/0!</v>
      </c>
      <c r="EYC133" s="531" t="e">
        <f t="shared" si="323"/>
        <v>#DIV/0!</v>
      </c>
      <c r="EYD133" s="531" t="e">
        <f t="shared" si="323"/>
        <v>#DIV/0!</v>
      </c>
      <c r="EYE133" s="531" t="e">
        <f t="shared" si="323"/>
        <v>#DIV/0!</v>
      </c>
      <c r="EYF133" s="531" t="e">
        <f t="shared" si="323"/>
        <v>#DIV/0!</v>
      </c>
      <c r="EYG133" s="531" t="e">
        <f t="shared" si="323"/>
        <v>#DIV/0!</v>
      </c>
      <c r="EYH133" s="531" t="e">
        <f t="shared" si="323"/>
        <v>#DIV/0!</v>
      </c>
      <c r="EYI133" s="531" t="e">
        <f t="shared" ref="EYI133:FAT133" si="324">EYI116/(EYI52*10^5)</f>
        <v>#DIV/0!</v>
      </c>
      <c r="EYJ133" s="531" t="e">
        <f t="shared" si="324"/>
        <v>#DIV/0!</v>
      </c>
      <c r="EYK133" s="531" t="e">
        <f t="shared" si="324"/>
        <v>#DIV/0!</v>
      </c>
      <c r="EYL133" s="531" t="e">
        <f t="shared" si="324"/>
        <v>#DIV/0!</v>
      </c>
      <c r="EYM133" s="531" t="e">
        <f t="shared" si="324"/>
        <v>#DIV/0!</v>
      </c>
      <c r="EYN133" s="531" t="e">
        <f t="shared" si="324"/>
        <v>#DIV/0!</v>
      </c>
      <c r="EYO133" s="531" t="e">
        <f t="shared" si="324"/>
        <v>#DIV/0!</v>
      </c>
      <c r="EYP133" s="531" t="e">
        <f t="shared" si="324"/>
        <v>#DIV/0!</v>
      </c>
      <c r="EYQ133" s="531" t="e">
        <f t="shared" si="324"/>
        <v>#DIV/0!</v>
      </c>
      <c r="EYR133" s="531" t="e">
        <f t="shared" si="324"/>
        <v>#DIV/0!</v>
      </c>
      <c r="EYS133" s="531" t="e">
        <f t="shared" si="324"/>
        <v>#DIV/0!</v>
      </c>
      <c r="EYT133" s="531" t="e">
        <f t="shared" si="324"/>
        <v>#DIV/0!</v>
      </c>
      <c r="EYU133" s="531" t="e">
        <f t="shared" si="324"/>
        <v>#DIV/0!</v>
      </c>
      <c r="EYV133" s="531" t="e">
        <f t="shared" si="324"/>
        <v>#DIV/0!</v>
      </c>
      <c r="EYW133" s="531" t="e">
        <f t="shared" si="324"/>
        <v>#DIV/0!</v>
      </c>
      <c r="EYX133" s="531" t="e">
        <f t="shared" si="324"/>
        <v>#DIV/0!</v>
      </c>
      <c r="EYY133" s="531" t="e">
        <f t="shared" si="324"/>
        <v>#DIV/0!</v>
      </c>
      <c r="EYZ133" s="531" t="e">
        <f t="shared" si="324"/>
        <v>#DIV/0!</v>
      </c>
      <c r="EZA133" s="531" t="e">
        <f t="shared" si="324"/>
        <v>#DIV/0!</v>
      </c>
      <c r="EZB133" s="531" t="e">
        <f t="shared" si="324"/>
        <v>#DIV/0!</v>
      </c>
      <c r="EZC133" s="531" t="e">
        <f t="shared" si="324"/>
        <v>#DIV/0!</v>
      </c>
      <c r="EZD133" s="531" t="e">
        <f t="shared" si="324"/>
        <v>#DIV/0!</v>
      </c>
      <c r="EZE133" s="531" t="e">
        <f t="shared" si="324"/>
        <v>#DIV/0!</v>
      </c>
      <c r="EZF133" s="531" t="e">
        <f t="shared" si="324"/>
        <v>#DIV/0!</v>
      </c>
      <c r="EZG133" s="531" t="e">
        <f t="shared" si="324"/>
        <v>#DIV/0!</v>
      </c>
      <c r="EZH133" s="531" t="e">
        <f t="shared" si="324"/>
        <v>#DIV/0!</v>
      </c>
      <c r="EZI133" s="531" t="e">
        <f t="shared" si="324"/>
        <v>#DIV/0!</v>
      </c>
      <c r="EZJ133" s="531" t="e">
        <f t="shared" si="324"/>
        <v>#DIV/0!</v>
      </c>
      <c r="EZK133" s="531" t="e">
        <f t="shared" si="324"/>
        <v>#DIV/0!</v>
      </c>
      <c r="EZL133" s="531" t="e">
        <f t="shared" si="324"/>
        <v>#DIV/0!</v>
      </c>
      <c r="EZM133" s="531" t="e">
        <f t="shared" si="324"/>
        <v>#DIV/0!</v>
      </c>
      <c r="EZN133" s="531" t="e">
        <f t="shared" si="324"/>
        <v>#DIV/0!</v>
      </c>
      <c r="EZO133" s="531" t="e">
        <f t="shared" si="324"/>
        <v>#DIV/0!</v>
      </c>
      <c r="EZP133" s="531" t="e">
        <f t="shared" si="324"/>
        <v>#DIV/0!</v>
      </c>
      <c r="EZQ133" s="531" t="e">
        <f t="shared" si="324"/>
        <v>#DIV/0!</v>
      </c>
      <c r="EZR133" s="531" t="e">
        <f t="shared" si="324"/>
        <v>#DIV/0!</v>
      </c>
      <c r="EZS133" s="531" t="e">
        <f t="shared" si="324"/>
        <v>#DIV/0!</v>
      </c>
      <c r="EZT133" s="531" t="e">
        <f t="shared" si="324"/>
        <v>#DIV/0!</v>
      </c>
      <c r="EZU133" s="531" t="e">
        <f t="shared" si="324"/>
        <v>#DIV/0!</v>
      </c>
      <c r="EZV133" s="531" t="e">
        <f t="shared" si="324"/>
        <v>#DIV/0!</v>
      </c>
      <c r="EZW133" s="531" t="e">
        <f t="shared" si="324"/>
        <v>#DIV/0!</v>
      </c>
      <c r="EZX133" s="531" t="e">
        <f t="shared" si="324"/>
        <v>#DIV/0!</v>
      </c>
      <c r="EZY133" s="531" t="e">
        <f t="shared" si="324"/>
        <v>#DIV/0!</v>
      </c>
      <c r="EZZ133" s="531" t="e">
        <f t="shared" si="324"/>
        <v>#DIV/0!</v>
      </c>
      <c r="FAA133" s="531" t="e">
        <f t="shared" si="324"/>
        <v>#DIV/0!</v>
      </c>
      <c r="FAB133" s="531" t="e">
        <f t="shared" si="324"/>
        <v>#DIV/0!</v>
      </c>
      <c r="FAC133" s="531" t="e">
        <f t="shared" si="324"/>
        <v>#DIV/0!</v>
      </c>
      <c r="FAD133" s="531" t="e">
        <f t="shared" si="324"/>
        <v>#DIV/0!</v>
      </c>
      <c r="FAE133" s="531" t="e">
        <f t="shared" si="324"/>
        <v>#DIV/0!</v>
      </c>
      <c r="FAF133" s="531" t="e">
        <f t="shared" si="324"/>
        <v>#DIV/0!</v>
      </c>
      <c r="FAG133" s="531" t="e">
        <f t="shared" si="324"/>
        <v>#DIV/0!</v>
      </c>
      <c r="FAH133" s="531" t="e">
        <f t="shared" si="324"/>
        <v>#DIV/0!</v>
      </c>
      <c r="FAI133" s="531" t="e">
        <f t="shared" si="324"/>
        <v>#DIV/0!</v>
      </c>
      <c r="FAJ133" s="531" t="e">
        <f t="shared" si="324"/>
        <v>#DIV/0!</v>
      </c>
      <c r="FAK133" s="531" t="e">
        <f t="shared" si="324"/>
        <v>#DIV/0!</v>
      </c>
      <c r="FAL133" s="531" t="e">
        <f t="shared" si="324"/>
        <v>#DIV/0!</v>
      </c>
      <c r="FAM133" s="531" t="e">
        <f t="shared" si="324"/>
        <v>#DIV/0!</v>
      </c>
      <c r="FAN133" s="531" t="e">
        <f t="shared" si="324"/>
        <v>#DIV/0!</v>
      </c>
      <c r="FAO133" s="531" t="e">
        <f t="shared" si="324"/>
        <v>#DIV/0!</v>
      </c>
      <c r="FAP133" s="531" t="e">
        <f t="shared" si="324"/>
        <v>#DIV/0!</v>
      </c>
      <c r="FAQ133" s="531" t="e">
        <f t="shared" si="324"/>
        <v>#DIV/0!</v>
      </c>
      <c r="FAR133" s="531" t="e">
        <f t="shared" si="324"/>
        <v>#DIV/0!</v>
      </c>
      <c r="FAS133" s="531" t="e">
        <f t="shared" si="324"/>
        <v>#DIV/0!</v>
      </c>
      <c r="FAT133" s="531" t="e">
        <f t="shared" si="324"/>
        <v>#DIV/0!</v>
      </c>
      <c r="FAU133" s="531" t="e">
        <f t="shared" ref="FAU133:FDF133" si="325">FAU116/(FAU52*10^5)</f>
        <v>#DIV/0!</v>
      </c>
      <c r="FAV133" s="531" t="e">
        <f t="shared" si="325"/>
        <v>#DIV/0!</v>
      </c>
      <c r="FAW133" s="531" t="e">
        <f t="shared" si="325"/>
        <v>#DIV/0!</v>
      </c>
      <c r="FAX133" s="531" t="e">
        <f t="shared" si="325"/>
        <v>#DIV/0!</v>
      </c>
      <c r="FAY133" s="531" t="e">
        <f t="shared" si="325"/>
        <v>#DIV/0!</v>
      </c>
      <c r="FAZ133" s="531" t="e">
        <f t="shared" si="325"/>
        <v>#DIV/0!</v>
      </c>
      <c r="FBA133" s="531" t="e">
        <f t="shared" si="325"/>
        <v>#DIV/0!</v>
      </c>
      <c r="FBB133" s="531" t="e">
        <f t="shared" si="325"/>
        <v>#DIV/0!</v>
      </c>
      <c r="FBC133" s="531" t="e">
        <f t="shared" si="325"/>
        <v>#DIV/0!</v>
      </c>
      <c r="FBD133" s="531" t="e">
        <f t="shared" si="325"/>
        <v>#DIV/0!</v>
      </c>
      <c r="FBE133" s="531" t="e">
        <f t="shared" si="325"/>
        <v>#DIV/0!</v>
      </c>
      <c r="FBF133" s="531" t="e">
        <f t="shared" si="325"/>
        <v>#DIV/0!</v>
      </c>
      <c r="FBG133" s="531" t="e">
        <f t="shared" si="325"/>
        <v>#DIV/0!</v>
      </c>
      <c r="FBH133" s="531" t="e">
        <f t="shared" si="325"/>
        <v>#DIV/0!</v>
      </c>
      <c r="FBI133" s="531" t="e">
        <f t="shared" si="325"/>
        <v>#DIV/0!</v>
      </c>
      <c r="FBJ133" s="531" t="e">
        <f t="shared" si="325"/>
        <v>#DIV/0!</v>
      </c>
      <c r="FBK133" s="531" t="e">
        <f t="shared" si="325"/>
        <v>#DIV/0!</v>
      </c>
      <c r="FBL133" s="531" t="e">
        <f t="shared" si="325"/>
        <v>#DIV/0!</v>
      </c>
      <c r="FBM133" s="531" t="e">
        <f t="shared" si="325"/>
        <v>#DIV/0!</v>
      </c>
      <c r="FBN133" s="531" t="e">
        <f t="shared" si="325"/>
        <v>#DIV/0!</v>
      </c>
      <c r="FBO133" s="531" t="e">
        <f t="shared" si="325"/>
        <v>#DIV/0!</v>
      </c>
      <c r="FBP133" s="531" t="e">
        <f t="shared" si="325"/>
        <v>#DIV/0!</v>
      </c>
      <c r="FBQ133" s="531" t="e">
        <f t="shared" si="325"/>
        <v>#DIV/0!</v>
      </c>
      <c r="FBR133" s="531" t="e">
        <f t="shared" si="325"/>
        <v>#DIV/0!</v>
      </c>
      <c r="FBS133" s="531" t="e">
        <f t="shared" si="325"/>
        <v>#DIV/0!</v>
      </c>
      <c r="FBT133" s="531" t="e">
        <f t="shared" si="325"/>
        <v>#DIV/0!</v>
      </c>
      <c r="FBU133" s="531" t="e">
        <f t="shared" si="325"/>
        <v>#DIV/0!</v>
      </c>
      <c r="FBV133" s="531" t="e">
        <f t="shared" si="325"/>
        <v>#DIV/0!</v>
      </c>
      <c r="FBW133" s="531" t="e">
        <f t="shared" si="325"/>
        <v>#DIV/0!</v>
      </c>
      <c r="FBX133" s="531" t="e">
        <f t="shared" si="325"/>
        <v>#DIV/0!</v>
      </c>
      <c r="FBY133" s="531" t="e">
        <f t="shared" si="325"/>
        <v>#DIV/0!</v>
      </c>
      <c r="FBZ133" s="531" t="e">
        <f t="shared" si="325"/>
        <v>#DIV/0!</v>
      </c>
      <c r="FCA133" s="531" t="e">
        <f t="shared" si="325"/>
        <v>#DIV/0!</v>
      </c>
      <c r="FCB133" s="531" t="e">
        <f t="shared" si="325"/>
        <v>#DIV/0!</v>
      </c>
      <c r="FCC133" s="531" t="e">
        <f t="shared" si="325"/>
        <v>#DIV/0!</v>
      </c>
      <c r="FCD133" s="531" t="e">
        <f t="shared" si="325"/>
        <v>#DIV/0!</v>
      </c>
      <c r="FCE133" s="531" t="e">
        <f t="shared" si="325"/>
        <v>#DIV/0!</v>
      </c>
      <c r="FCF133" s="531" t="e">
        <f t="shared" si="325"/>
        <v>#DIV/0!</v>
      </c>
      <c r="FCG133" s="531" t="e">
        <f t="shared" si="325"/>
        <v>#DIV/0!</v>
      </c>
      <c r="FCH133" s="531" t="e">
        <f t="shared" si="325"/>
        <v>#DIV/0!</v>
      </c>
      <c r="FCI133" s="531" t="e">
        <f t="shared" si="325"/>
        <v>#DIV/0!</v>
      </c>
      <c r="FCJ133" s="531" t="e">
        <f t="shared" si="325"/>
        <v>#DIV/0!</v>
      </c>
      <c r="FCK133" s="531" t="e">
        <f t="shared" si="325"/>
        <v>#DIV/0!</v>
      </c>
      <c r="FCL133" s="531" t="e">
        <f t="shared" si="325"/>
        <v>#DIV/0!</v>
      </c>
      <c r="FCM133" s="531" t="e">
        <f t="shared" si="325"/>
        <v>#DIV/0!</v>
      </c>
      <c r="FCN133" s="531" t="e">
        <f t="shared" si="325"/>
        <v>#DIV/0!</v>
      </c>
      <c r="FCO133" s="531" t="e">
        <f t="shared" si="325"/>
        <v>#DIV/0!</v>
      </c>
      <c r="FCP133" s="531" t="e">
        <f t="shared" si="325"/>
        <v>#DIV/0!</v>
      </c>
      <c r="FCQ133" s="531" t="e">
        <f t="shared" si="325"/>
        <v>#DIV/0!</v>
      </c>
      <c r="FCR133" s="531" t="e">
        <f t="shared" si="325"/>
        <v>#DIV/0!</v>
      </c>
      <c r="FCS133" s="531" t="e">
        <f t="shared" si="325"/>
        <v>#DIV/0!</v>
      </c>
      <c r="FCT133" s="531" t="e">
        <f t="shared" si="325"/>
        <v>#DIV/0!</v>
      </c>
      <c r="FCU133" s="531" t="e">
        <f t="shared" si="325"/>
        <v>#DIV/0!</v>
      </c>
      <c r="FCV133" s="531" t="e">
        <f t="shared" si="325"/>
        <v>#DIV/0!</v>
      </c>
      <c r="FCW133" s="531" t="e">
        <f t="shared" si="325"/>
        <v>#DIV/0!</v>
      </c>
      <c r="FCX133" s="531" t="e">
        <f t="shared" si="325"/>
        <v>#DIV/0!</v>
      </c>
      <c r="FCY133" s="531" t="e">
        <f t="shared" si="325"/>
        <v>#DIV/0!</v>
      </c>
      <c r="FCZ133" s="531" t="e">
        <f t="shared" si="325"/>
        <v>#DIV/0!</v>
      </c>
      <c r="FDA133" s="531" t="e">
        <f t="shared" si="325"/>
        <v>#DIV/0!</v>
      </c>
      <c r="FDB133" s="531" t="e">
        <f t="shared" si="325"/>
        <v>#DIV/0!</v>
      </c>
      <c r="FDC133" s="531" t="e">
        <f t="shared" si="325"/>
        <v>#DIV/0!</v>
      </c>
      <c r="FDD133" s="531" t="e">
        <f t="shared" si="325"/>
        <v>#DIV/0!</v>
      </c>
      <c r="FDE133" s="531" t="e">
        <f t="shared" si="325"/>
        <v>#DIV/0!</v>
      </c>
      <c r="FDF133" s="531" t="e">
        <f t="shared" si="325"/>
        <v>#DIV/0!</v>
      </c>
      <c r="FDG133" s="531" t="e">
        <f t="shared" ref="FDG133:FFR133" si="326">FDG116/(FDG52*10^5)</f>
        <v>#DIV/0!</v>
      </c>
      <c r="FDH133" s="531" t="e">
        <f t="shared" si="326"/>
        <v>#DIV/0!</v>
      </c>
      <c r="FDI133" s="531" t="e">
        <f t="shared" si="326"/>
        <v>#DIV/0!</v>
      </c>
      <c r="FDJ133" s="531" t="e">
        <f t="shared" si="326"/>
        <v>#DIV/0!</v>
      </c>
      <c r="FDK133" s="531" t="e">
        <f t="shared" si="326"/>
        <v>#DIV/0!</v>
      </c>
      <c r="FDL133" s="531" t="e">
        <f t="shared" si="326"/>
        <v>#DIV/0!</v>
      </c>
      <c r="FDM133" s="531" t="e">
        <f t="shared" si="326"/>
        <v>#DIV/0!</v>
      </c>
      <c r="FDN133" s="531" t="e">
        <f t="shared" si="326"/>
        <v>#DIV/0!</v>
      </c>
      <c r="FDO133" s="531" t="e">
        <f t="shared" si="326"/>
        <v>#DIV/0!</v>
      </c>
      <c r="FDP133" s="531" t="e">
        <f t="shared" si="326"/>
        <v>#DIV/0!</v>
      </c>
      <c r="FDQ133" s="531" t="e">
        <f t="shared" si="326"/>
        <v>#DIV/0!</v>
      </c>
      <c r="FDR133" s="531" t="e">
        <f t="shared" si="326"/>
        <v>#DIV/0!</v>
      </c>
      <c r="FDS133" s="531" t="e">
        <f t="shared" si="326"/>
        <v>#DIV/0!</v>
      </c>
      <c r="FDT133" s="531" t="e">
        <f t="shared" si="326"/>
        <v>#DIV/0!</v>
      </c>
      <c r="FDU133" s="531" t="e">
        <f t="shared" si="326"/>
        <v>#DIV/0!</v>
      </c>
      <c r="FDV133" s="531" t="e">
        <f t="shared" si="326"/>
        <v>#DIV/0!</v>
      </c>
      <c r="FDW133" s="531" t="e">
        <f t="shared" si="326"/>
        <v>#DIV/0!</v>
      </c>
      <c r="FDX133" s="531" t="e">
        <f t="shared" si="326"/>
        <v>#DIV/0!</v>
      </c>
      <c r="FDY133" s="531" t="e">
        <f t="shared" si="326"/>
        <v>#DIV/0!</v>
      </c>
      <c r="FDZ133" s="531" t="e">
        <f t="shared" si="326"/>
        <v>#DIV/0!</v>
      </c>
      <c r="FEA133" s="531" t="e">
        <f t="shared" si="326"/>
        <v>#DIV/0!</v>
      </c>
      <c r="FEB133" s="531" t="e">
        <f t="shared" si="326"/>
        <v>#DIV/0!</v>
      </c>
      <c r="FEC133" s="531" t="e">
        <f t="shared" si="326"/>
        <v>#DIV/0!</v>
      </c>
      <c r="FED133" s="531" t="e">
        <f t="shared" si="326"/>
        <v>#DIV/0!</v>
      </c>
      <c r="FEE133" s="531" t="e">
        <f t="shared" si="326"/>
        <v>#DIV/0!</v>
      </c>
      <c r="FEF133" s="531" t="e">
        <f t="shared" si="326"/>
        <v>#DIV/0!</v>
      </c>
      <c r="FEG133" s="531" t="e">
        <f t="shared" si="326"/>
        <v>#DIV/0!</v>
      </c>
      <c r="FEH133" s="531" t="e">
        <f t="shared" si="326"/>
        <v>#DIV/0!</v>
      </c>
      <c r="FEI133" s="531" t="e">
        <f t="shared" si="326"/>
        <v>#DIV/0!</v>
      </c>
      <c r="FEJ133" s="531" t="e">
        <f t="shared" si="326"/>
        <v>#DIV/0!</v>
      </c>
      <c r="FEK133" s="531" t="e">
        <f t="shared" si="326"/>
        <v>#DIV/0!</v>
      </c>
      <c r="FEL133" s="531" t="e">
        <f t="shared" si="326"/>
        <v>#DIV/0!</v>
      </c>
      <c r="FEM133" s="531" t="e">
        <f t="shared" si="326"/>
        <v>#DIV/0!</v>
      </c>
      <c r="FEN133" s="531" t="e">
        <f t="shared" si="326"/>
        <v>#DIV/0!</v>
      </c>
      <c r="FEO133" s="531" t="e">
        <f t="shared" si="326"/>
        <v>#DIV/0!</v>
      </c>
      <c r="FEP133" s="531" t="e">
        <f t="shared" si="326"/>
        <v>#DIV/0!</v>
      </c>
      <c r="FEQ133" s="531" t="e">
        <f t="shared" si="326"/>
        <v>#DIV/0!</v>
      </c>
      <c r="FER133" s="531" t="e">
        <f t="shared" si="326"/>
        <v>#DIV/0!</v>
      </c>
      <c r="FES133" s="531" t="e">
        <f t="shared" si="326"/>
        <v>#DIV/0!</v>
      </c>
      <c r="FET133" s="531" t="e">
        <f t="shared" si="326"/>
        <v>#DIV/0!</v>
      </c>
      <c r="FEU133" s="531" t="e">
        <f t="shared" si="326"/>
        <v>#DIV/0!</v>
      </c>
      <c r="FEV133" s="531" t="e">
        <f t="shared" si="326"/>
        <v>#DIV/0!</v>
      </c>
      <c r="FEW133" s="531" t="e">
        <f t="shared" si="326"/>
        <v>#DIV/0!</v>
      </c>
      <c r="FEX133" s="531" t="e">
        <f t="shared" si="326"/>
        <v>#DIV/0!</v>
      </c>
      <c r="FEY133" s="531" t="e">
        <f t="shared" si="326"/>
        <v>#DIV/0!</v>
      </c>
      <c r="FEZ133" s="531" t="e">
        <f t="shared" si="326"/>
        <v>#DIV/0!</v>
      </c>
      <c r="FFA133" s="531" t="e">
        <f t="shared" si="326"/>
        <v>#DIV/0!</v>
      </c>
      <c r="FFB133" s="531" t="e">
        <f t="shared" si="326"/>
        <v>#DIV/0!</v>
      </c>
      <c r="FFC133" s="531" t="e">
        <f t="shared" si="326"/>
        <v>#DIV/0!</v>
      </c>
      <c r="FFD133" s="531" t="e">
        <f t="shared" si="326"/>
        <v>#DIV/0!</v>
      </c>
      <c r="FFE133" s="531" t="e">
        <f t="shared" si="326"/>
        <v>#DIV/0!</v>
      </c>
      <c r="FFF133" s="531" t="e">
        <f t="shared" si="326"/>
        <v>#DIV/0!</v>
      </c>
      <c r="FFG133" s="531" t="e">
        <f t="shared" si="326"/>
        <v>#DIV/0!</v>
      </c>
      <c r="FFH133" s="531" t="e">
        <f t="shared" si="326"/>
        <v>#DIV/0!</v>
      </c>
      <c r="FFI133" s="531" t="e">
        <f t="shared" si="326"/>
        <v>#DIV/0!</v>
      </c>
      <c r="FFJ133" s="531" t="e">
        <f t="shared" si="326"/>
        <v>#DIV/0!</v>
      </c>
      <c r="FFK133" s="531" t="e">
        <f t="shared" si="326"/>
        <v>#DIV/0!</v>
      </c>
      <c r="FFL133" s="531" t="e">
        <f t="shared" si="326"/>
        <v>#DIV/0!</v>
      </c>
      <c r="FFM133" s="531" t="e">
        <f t="shared" si="326"/>
        <v>#DIV/0!</v>
      </c>
      <c r="FFN133" s="531" t="e">
        <f t="shared" si="326"/>
        <v>#DIV/0!</v>
      </c>
      <c r="FFO133" s="531" t="e">
        <f t="shared" si="326"/>
        <v>#DIV/0!</v>
      </c>
      <c r="FFP133" s="531" t="e">
        <f t="shared" si="326"/>
        <v>#DIV/0!</v>
      </c>
      <c r="FFQ133" s="531" t="e">
        <f t="shared" si="326"/>
        <v>#DIV/0!</v>
      </c>
      <c r="FFR133" s="531" t="e">
        <f t="shared" si="326"/>
        <v>#DIV/0!</v>
      </c>
      <c r="FFS133" s="531" t="e">
        <f t="shared" ref="FFS133:FID133" si="327">FFS116/(FFS52*10^5)</f>
        <v>#DIV/0!</v>
      </c>
      <c r="FFT133" s="531" t="e">
        <f t="shared" si="327"/>
        <v>#DIV/0!</v>
      </c>
      <c r="FFU133" s="531" t="e">
        <f t="shared" si="327"/>
        <v>#DIV/0!</v>
      </c>
      <c r="FFV133" s="531" t="e">
        <f t="shared" si="327"/>
        <v>#DIV/0!</v>
      </c>
      <c r="FFW133" s="531" t="e">
        <f t="shared" si="327"/>
        <v>#DIV/0!</v>
      </c>
      <c r="FFX133" s="531" t="e">
        <f t="shared" si="327"/>
        <v>#DIV/0!</v>
      </c>
      <c r="FFY133" s="531" t="e">
        <f t="shared" si="327"/>
        <v>#DIV/0!</v>
      </c>
      <c r="FFZ133" s="531" t="e">
        <f t="shared" si="327"/>
        <v>#DIV/0!</v>
      </c>
      <c r="FGA133" s="531" t="e">
        <f t="shared" si="327"/>
        <v>#DIV/0!</v>
      </c>
      <c r="FGB133" s="531" t="e">
        <f t="shared" si="327"/>
        <v>#DIV/0!</v>
      </c>
      <c r="FGC133" s="531" t="e">
        <f t="shared" si="327"/>
        <v>#DIV/0!</v>
      </c>
      <c r="FGD133" s="531" t="e">
        <f t="shared" si="327"/>
        <v>#DIV/0!</v>
      </c>
      <c r="FGE133" s="531" t="e">
        <f t="shared" si="327"/>
        <v>#DIV/0!</v>
      </c>
      <c r="FGF133" s="531" t="e">
        <f t="shared" si="327"/>
        <v>#DIV/0!</v>
      </c>
      <c r="FGG133" s="531" t="e">
        <f t="shared" si="327"/>
        <v>#DIV/0!</v>
      </c>
      <c r="FGH133" s="531" t="e">
        <f t="shared" si="327"/>
        <v>#DIV/0!</v>
      </c>
      <c r="FGI133" s="531" t="e">
        <f t="shared" si="327"/>
        <v>#DIV/0!</v>
      </c>
      <c r="FGJ133" s="531" t="e">
        <f t="shared" si="327"/>
        <v>#DIV/0!</v>
      </c>
      <c r="FGK133" s="531" t="e">
        <f t="shared" si="327"/>
        <v>#DIV/0!</v>
      </c>
      <c r="FGL133" s="531" t="e">
        <f t="shared" si="327"/>
        <v>#DIV/0!</v>
      </c>
      <c r="FGM133" s="531" t="e">
        <f t="shared" si="327"/>
        <v>#DIV/0!</v>
      </c>
      <c r="FGN133" s="531" t="e">
        <f t="shared" si="327"/>
        <v>#DIV/0!</v>
      </c>
      <c r="FGO133" s="531" t="e">
        <f t="shared" si="327"/>
        <v>#DIV/0!</v>
      </c>
      <c r="FGP133" s="531" t="e">
        <f t="shared" si="327"/>
        <v>#DIV/0!</v>
      </c>
      <c r="FGQ133" s="531" t="e">
        <f t="shared" si="327"/>
        <v>#DIV/0!</v>
      </c>
      <c r="FGR133" s="531" t="e">
        <f t="shared" si="327"/>
        <v>#DIV/0!</v>
      </c>
      <c r="FGS133" s="531" t="e">
        <f t="shared" si="327"/>
        <v>#DIV/0!</v>
      </c>
      <c r="FGT133" s="531" t="e">
        <f t="shared" si="327"/>
        <v>#DIV/0!</v>
      </c>
      <c r="FGU133" s="531" t="e">
        <f t="shared" si="327"/>
        <v>#DIV/0!</v>
      </c>
      <c r="FGV133" s="531" t="e">
        <f t="shared" si="327"/>
        <v>#DIV/0!</v>
      </c>
      <c r="FGW133" s="531" t="e">
        <f t="shared" si="327"/>
        <v>#DIV/0!</v>
      </c>
      <c r="FGX133" s="531" t="e">
        <f t="shared" si="327"/>
        <v>#DIV/0!</v>
      </c>
      <c r="FGY133" s="531" t="e">
        <f t="shared" si="327"/>
        <v>#DIV/0!</v>
      </c>
      <c r="FGZ133" s="531" t="e">
        <f t="shared" si="327"/>
        <v>#DIV/0!</v>
      </c>
      <c r="FHA133" s="531" t="e">
        <f t="shared" si="327"/>
        <v>#DIV/0!</v>
      </c>
      <c r="FHB133" s="531" t="e">
        <f t="shared" si="327"/>
        <v>#DIV/0!</v>
      </c>
      <c r="FHC133" s="531" t="e">
        <f t="shared" si="327"/>
        <v>#DIV/0!</v>
      </c>
      <c r="FHD133" s="531" t="e">
        <f t="shared" si="327"/>
        <v>#DIV/0!</v>
      </c>
      <c r="FHE133" s="531" t="e">
        <f t="shared" si="327"/>
        <v>#DIV/0!</v>
      </c>
      <c r="FHF133" s="531" t="e">
        <f t="shared" si="327"/>
        <v>#DIV/0!</v>
      </c>
      <c r="FHG133" s="531" t="e">
        <f t="shared" si="327"/>
        <v>#DIV/0!</v>
      </c>
      <c r="FHH133" s="531" t="e">
        <f t="shared" si="327"/>
        <v>#DIV/0!</v>
      </c>
      <c r="FHI133" s="531" t="e">
        <f t="shared" si="327"/>
        <v>#DIV/0!</v>
      </c>
      <c r="FHJ133" s="531" t="e">
        <f t="shared" si="327"/>
        <v>#DIV/0!</v>
      </c>
      <c r="FHK133" s="531" t="e">
        <f t="shared" si="327"/>
        <v>#DIV/0!</v>
      </c>
      <c r="FHL133" s="531" t="e">
        <f t="shared" si="327"/>
        <v>#DIV/0!</v>
      </c>
      <c r="FHM133" s="531" t="e">
        <f t="shared" si="327"/>
        <v>#DIV/0!</v>
      </c>
      <c r="FHN133" s="531" t="e">
        <f t="shared" si="327"/>
        <v>#DIV/0!</v>
      </c>
      <c r="FHO133" s="531" t="e">
        <f t="shared" si="327"/>
        <v>#DIV/0!</v>
      </c>
      <c r="FHP133" s="531" t="e">
        <f t="shared" si="327"/>
        <v>#DIV/0!</v>
      </c>
      <c r="FHQ133" s="531" t="e">
        <f t="shared" si="327"/>
        <v>#DIV/0!</v>
      </c>
      <c r="FHR133" s="531" t="e">
        <f t="shared" si="327"/>
        <v>#DIV/0!</v>
      </c>
      <c r="FHS133" s="531" t="e">
        <f t="shared" si="327"/>
        <v>#DIV/0!</v>
      </c>
      <c r="FHT133" s="531" t="e">
        <f t="shared" si="327"/>
        <v>#DIV/0!</v>
      </c>
      <c r="FHU133" s="531" t="e">
        <f t="shared" si="327"/>
        <v>#DIV/0!</v>
      </c>
      <c r="FHV133" s="531" t="e">
        <f t="shared" si="327"/>
        <v>#DIV/0!</v>
      </c>
      <c r="FHW133" s="531" t="e">
        <f t="shared" si="327"/>
        <v>#DIV/0!</v>
      </c>
      <c r="FHX133" s="531" t="e">
        <f t="shared" si="327"/>
        <v>#DIV/0!</v>
      </c>
      <c r="FHY133" s="531" t="e">
        <f t="shared" si="327"/>
        <v>#DIV/0!</v>
      </c>
      <c r="FHZ133" s="531" t="e">
        <f t="shared" si="327"/>
        <v>#DIV/0!</v>
      </c>
      <c r="FIA133" s="531" t="e">
        <f t="shared" si="327"/>
        <v>#DIV/0!</v>
      </c>
      <c r="FIB133" s="531" t="e">
        <f t="shared" si="327"/>
        <v>#DIV/0!</v>
      </c>
      <c r="FIC133" s="531" t="e">
        <f t="shared" si="327"/>
        <v>#DIV/0!</v>
      </c>
      <c r="FID133" s="531" t="e">
        <f t="shared" si="327"/>
        <v>#DIV/0!</v>
      </c>
      <c r="FIE133" s="531" t="e">
        <f t="shared" ref="FIE133:FKP133" si="328">FIE116/(FIE52*10^5)</f>
        <v>#DIV/0!</v>
      </c>
      <c r="FIF133" s="531" t="e">
        <f t="shared" si="328"/>
        <v>#DIV/0!</v>
      </c>
      <c r="FIG133" s="531" t="e">
        <f t="shared" si="328"/>
        <v>#DIV/0!</v>
      </c>
      <c r="FIH133" s="531" t="e">
        <f t="shared" si="328"/>
        <v>#DIV/0!</v>
      </c>
      <c r="FII133" s="531" t="e">
        <f t="shared" si="328"/>
        <v>#DIV/0!</v>
      </c>
      <c r="FIJ133" s="531" t="e">
        <f t="shared" si="328"/>
        <v>#DIV/0!</v>
      </c>
      <c r="FIK133" s="531" t="e">
        <f t="shared" si="328"/>
        <v>#DIV/0!</v>
      </c>
      <c r="FIL133" s="531" t="e">
        <f t="shared" si="328"/>
        <v>#DIV/0!</v>
      </c>
      <c r="FIM133" s="531" t="e">
        <f t="shared" si="328"/>
        <v>#DIV/0!</v>
      </c>
      <c r="FIN133" s="531" t="e">
        <f t="shared" si="328"/>
        <v>#DIV/0!</v>
      </c>
      <c r="FIO133" s="531" t="e">
        <f t="shared" si="328"/>
        <v>#DIV/0!</v>
      </c>
      <c r="FIP133" s="531" t="e">
        <f t="shared" si="328"/>
        <v>#DIV/0!</v>
      </c>
      <c r="FIQ133" s="531" t="e">
        <f t="shared" si="328"/>
        <v>#DIV/0!</v>
      </c>
      <c r="FIR133" s="531" t="e">
        <f t="shared" si="328"/>
        <v>#DIV/0!</v>
      </c>
      <c r="FIS133" s="531" t="e">
        <f t="shared" si="328"/>
        <v>#DIV/0!</v>
      </c>
      <c r="FIT133" s="531" t="e">
        <f t="shared" si="328"/>
        <v>#DIV/0!</v>
      </c>
      <c r="FIU133" s="531" t="e">
        <f t="shared" si="328"/>
        <v>#DIV/0!</v>
      </c>
      <c r="FIV133" s="531" t="e">
        <f t="shared" si="328"/>
        <v>#DIV/0!</v>
      </c>
      <c r="FIW133" s="531" t="e">
        <f t="shared" si="328"/>
        <v>#DIV/0!</v>
      </c>
      <c r="FIX133" s="531" t="e">
        <f t="shared" si="328"/>
        <v>#DIV/0!</v>
      </c>
      <c r="FIY133" s="531" t="e">
        <f t="shared" si="328"/>
        <v>#DIV/0!</v>
      </c>
      <c r="FIZ133" s="531" t="e">
        <f t="shared" si="328"/>
        <v>#DIV/0!</v>
      </c>
      <c r="FJA133" s="531" t="e">
        <f t="shared" si="328"/>
        <v>#DIV/0!</v>
      </c>
      <c r="FJB133" s="531" t="e">
        <f t="shared" si="328"/>
        <v>#DIV/0!</v>
      </c>
      <c r="FJC133" s="531" t="e">
        <f t="shared" si="328"/>
        <v>#DIV/0!</v>
      </c>
      <c r="FJD133" s="531" t="e">
        <f t="shared" si="328"/>
        <v>#DIV/0!</v>
      </c>
      <c r="FJE133" s="531" t="e">
        <f t="shared" si="328"/>
        <v>#DIV/0!</v>
      </c>
      <c r="FJF133" s="531" t="e">
        <f t="shared" si="328"/>
        <v>#DIV/0!</v>
      </c>
      <c r="FJG133" s="531" t="e">
        <f t="shared" si="328"/>
        <v>#DIV/0!</v>
      </c>
      <c r="FJH133" s="531" t="e">
        <f t="shared" si="328"/>
        <v>#DIV/0!</v>
      </c>
      <c r="FJI133" s="531" t="e">
        <f t="shared" si="328"/>
        <v>#DIV/0!</v>
      </c>
      <c r="FJJ133" s="531" t="e">
        <f t="shared" si="328"/>
        <v>#DIV/0!</v>
      </c>
      <c r="FJK133" s="531" t="e">
        <f t="shared" si="328"/>
        <v>#DIV/0!</v>
      </c>
      <c r="FJL133" s="531" t="e">
        <f t="shared" si="328"/>
        <v>#DIV/0!</v>
      </c>
      <c r="FJM133" s="531" t="e">
        <f t="shared" si="328"/>
        <v>#DIV/0!</v>
      </c>
      <c r="FJN133" s="531" t="e">
        <f t="shared" si="328"/>
        <v>#DIV/0!</v>
      </c>
      <c r="FJO133" s="531" t="e">
        <f t="shared" si="328"/>
        <v>#DIV/0!</v>
      </c>
      <c r="FJP133" s="531" t="e">
        <f t="shared" si="328"/>
        <v>#DIV/0!</v>
      </c>
      <c r="FJQ133" s="531" t="e">
        <f t="shared" si="328"/>
        <v>#DIV/0!</v>
      </c>
      <c r="FJR133" s="531" t="e">
        <f t="shared" si="328"/>
        <v>#DIV/0!</v>
      </c>
      <c r="FJS133" s="531" t="e">
        <f t="shared" si="328"/>
        <v>#DIV/0!</v>
      </c>
      <c r="FJT133" s="531" t="e">
        <f t="shared" si="328"/>
        <v>#DIV/0!</v>
      </c>
      <c r="FJU133" s="531" t="e">
        <f t="shared" si="328"/>
        <v>#DIV/0!</v>
      </c>
      <c r="FJV133" s="531" t="e">
        <f t="shared" si="328"/>
        <v>#DIV/0!</v>
      </c>
      <c r="FJW133" s="531" t="e">
        <f t="shared" si="328"/>
        <v>#DIV/0!</v>
      </c>
      <c r="FJX133" s="531" t="e">
        <f t="shared" si="328"/>
        <v>#DIV/0!</v>
      </c>
      <c r="FJY133" s="531" t="e">
        <f t="shared" si="328"/>
        <v>#DIV/0!</v>
      </c>
      <c r="FJZ133" s="531" t="e">
        <f t="shared" si="328"/>
        <v>#DIV/0!</v>
      </c>
      <c r="FKA133" s="531" t="e">
        <f t="shared" si="328"/>
        <v>#DIV/0!</v>
      </c>
      <c r="FKB133" s="531" t="e">
        <f t="shared" si="328"/>
        <v>#DIV/0!</v>
      </c>
      <c r="FKC133" s="531" t="e">
        <f t="shared" si="328"/>
        <v>#DIV/0!</v>
      </c>
      <c r="FKD133" s="531" t="e">
        <f t="shared" si="328"/>
        <v>#DIV/0!</v>
      </c>
      <c r="FKE133" s="531" t="e">
        <f t="shared" si="328"/>
        <v>#DIV/0!</v>
      </c>
      <c r="FKF133" s="531" t="e">
        <f t="shared" si="328"/>
        <v>#DIV/0!</v>
      </c>
      <c r="FKG133" s="531" t="e">
        <f t="shared" si="328"/>
        <v>#DIV/0!</v>
      </c>
      <c r="FKH133" s="531" t="e">
        <f t="shared" si="328"/>
        <v>#DIV/0!</v>
      </c>
      <c r="FKI133" s="531" t="e">
        <f t="shared" si="328"/>
        <v>#DIV/0!</v>
      </c>
      <c r="FKJ133" s="531" t="e">
        <f t="shared" si="328"/>
        <v>#DIV/0!</v>
      </c>
      <c r="FKK133" s="531" t="e">
        <f t="shared" si="328"/>
        <v>#DIV/0!</v>
      </c>
      <c r="FKL133" s="531" t="e">
        <f t="shared" si="328"/>
        <v>#DIV/0!</v>
      </c>
      <c r="FKM133" s="531" t="e">
        <f t="shared" si="328"/>
        <v>#DIV/0!</v>
      </c>
      <c r="FKN133" s="531" t="e">
        <f t="shared" si="328"/>
        <v>#DIV/0!</v>
      </c>
      <c r="FKO133" s="531" t="e">
        <f t="shared" si="328"/>
        <v>#DIV/0!</v>
      </c>
      <c r="FKP133" s="531" t="e">
        <f t="shared" si="328"/>
        <v>#DIV/0!</v>
      </c>
      <c r="FKQ133" s="531" t="e">
        <f t="shared" ref="FKQ133:FNB133" si="329">FKQ116/(FKQ52*10^5)</f>
        <v>#DIV/0!</v>
      </c>
      <c r="FKR133" s="531" t="e">
        <f t="shared" si="329"/>
        <v>#DIV/0!</v>
      </c>
      <c r="FKS133" s="531" t="e">
        <f t="shared" si="329"/>
        <v>#DIV/0!</v>
      </c>
      <c r="FKT133" s="531" t="e">
        <f t="shared" si="329"/>
        <v>#DIV/0!</v>
      </c>
      <c r="FKU133" s="531" t="e">
        <f t="shared" si="329"/>
        <v>#DIV/0!</v>
      </c>
      <c r="FKV133" s="531" t="e">
        <f t="shared" si="329"/>
        <v>#DIV/0!</v>
      </c>
      <c r="FKW133" s="531" t="e">
        <f t="shared" si="329"/>
        <v>#DIV/0!</v>
      </c>
      <c r="FKX133" s="531" t="e">
        <f t="shared" si="329"/>
        <v>#DIV/0!</v>
      </c>
      <c r="FKY133" s="531" t="e">
        <f t="shared" si="329"/>
        <v>#DIV/0!</v>
      </c>
      <c r="FKZ133" s="531" t="e">
        <f t="shared" si="329"/>
        <v>#DIV/0!</v>
      </c>
      <c r="FLA133" s="531" t="e">
        <f t="shared" si="329"/>
        <v>#DIV/0!</v>
      </c>
      <c r="FLB133" s="531" t="e">
        <f t="shared" si="329"/>
        <v>#DIV/0!</v>
      </c>
      <c r="FLC133" s="531" t="e">
        <f t="shared" si="329"/>
        <v>#DIV/0!</v>
      </c>
      <c r="FLD133" s="531" t="e">
        <f t="shared" si="329"/>
        <v>#DIV/0!</v>
      </c>
      <c r="FLE133" s="531" t="e">
        <f t="shared" si="329"/>
        <v>#DIV/0!</v>
      </c>
      <c r="FLF133" s="531" t="e">
        <f t="shared" si="329"/>
        <v>#DIV/0!</v>
      </c>
      <c r="FLG133" s="531" t="e">
        <f t="shared" si="329"/>
        <v>#DIV/0!</v>
      </c>
      <c r="FLH133" s="531" t="e">
        <f t="shared" si="329"/>
        <v>#DIV/0!</v>
      </c>
      <c r="FLI133" s="531" t="e">
        <f t="shared" si="329"/>
        <v>#DIV/0!</v>
      </c>
      <c r="FLJ133" s="531" t="e">
        <f t="shared" si="329"/>
        <v>#DIV/0!</v>
      </c>
      <c r="FLK133" s="531" t="e">
        <f t="shared" si="329"/>
        <v>#DIV/0!</v>
      </c>
      <c r="FLL133" s="531" t="e">
        <f t="shared" si="329"/>
        <v>#DIV/0!</v>
      </c>
      <c r="FLM133" s="531" t="e">
        <f t="shared" si="329"/>
        <v>#DIV/0!</v>
      </c>
      <c r="FLN133" s="531" t="e">
        <f t="shared" si="329"/>
        <v>#DIV/0!</v>
      </c>
      <c r="FLO133" s="531" t="e">
        <f t="shared" si="329"/>
        <v>#DIV/0!</v>
      </c>
      <c r="FLP133" s="531" t="e">
        <f t="shared" si="329"/>
        <v>#DIV/0!</v>
      </c>
      <c r="FLQ133" s="531" t="e">
        <f t="shared" si="329"/>
        <v>#DIV/0!</v>
      </c>
      <c r="FLR133" s="531" t="e">
        <f t="shared" si="329"/>
        <v>#DIV/0!</v>
      </c>
      <c r="FLS133" s="531" t="e">
        <f t="shared" si="329"/>
        <v>#DIV/0!</v>
      </c>
      <c r="FLT133" s="531" t="e">
        <f t="shared" si="329"/>
        <v>#DIV/0!</v>
      </c>
      <c r="FLU133" s="531" t="e">
        <f t="shared" si="329"/>
        <v>#DIV/0!</v>
      </c>
      <c r="FLV133" s="531" t="e">
        <f t="shared" si="329"/>
        <v>#DIV/0!</v>
      </c>
      <c r="FLW133" s="531" t="e">
        <f t="shared" si="329"/>
        <v>#DIV/0!</v>
      </c>
      <c r="FLX133" s="531" t="e">
        <f t="shared" si="329"/>
        <v>#DIV/0!</v>
      </c>
      <c r="FLY133" s="531" t="e">
        <f t="shared" si="329"/>
        <v>#DIV/0!</v>
      </c>
      <c r="FLZ133" s="531" t="e">
        <f t="shared" si="329"/>
        <v>#DIV/0!</v>
      </c>
      <c r="FMA133" s="531" t="e">
        <f t="shared" si="329"/>
        <v>#DIV/0!</v>
      </c>
      <c r="FMB133" s="531" t="e">
        <f t="shared" si="329"/>
        <v>#DIV/0!</v>
      </c>
      <c r="FMC133" s="531" t="e">
        <f t="shared" si="329"/>
        <v>#DIV/0!</v>
      </c>
      <c r="FMD133" s="531" t="e">
        <f t="shared" si="329"/>
        <v>#DIV/0!</v>
      </c>
      <c r="FME133" s="531" t="e">
        <f t="shared" si="329"/>
        <v>#DIV/0!</v>
      </c>
      <c r="FMF133" s="531" t="e">
        <f t="shared" si="329"/>
        <v>#DIV/0!</v>
      </c>
      <c r="FMG133" s="531" t="e">
        <f t="shared" si="329"/>
        <v>#DIV/0!</v>
      </c>
      <c r="FMH133" s="531" t="e">
        <f t="shared" si="329"/>
        <v>#DIV/0!</v>
      </c>
      <c r="FMI133" s="531" t="e">
        <f t="shared" si="329"/>
        <v>#DIV/0!</v>
      </c>
      <c r="FMJ133" s="531" t="e">
        <f t="shared" si="329"/>
        <v>#DIV/0!</v>
      </c>
      <c r="FMK133" s="531" t="e">
        <f t="shared" si="329"/>
        <v>#DIV/0!</v>
      </c>
      <c r="FML133" s="531" t="e">
        <f t="shared" si="329"/>
        <v>#DIV/0!</v>
      </c>
      <c r="FMM133" s="531" t="e">
        <f t="shared" si="329"/>
        <v>#DIV/0!</v>
      </c>
      <c r="FMN133" s="531" t="e">
        <f t="shared" si="329"/>
        <v>#DIV/0!</v>
      </c>
      <c r="FMO133" s="531" t="e">
        <f t="shared" si="329"/>
        <v>#DIV/0!</v>
      </c>
      <c r="FMP133" s="531" t="e">
        <f t="shared" si="329"/>
        <v>#DIV/0!</v>
      </c>
      <c r="FMQ133" s="531" t="e">
        <f t="shared" si="329"/>
        <v>#DIV/0!</v>
      </c>
      <c r="FMR133" s="531" t="e">
        <f t="shared" si="329"/>
        <v>#DIV/0!</v>
      </c>
      <c r="FMS133" s="531" t="e">
        <f t="shared" si="329"/>
        <v>#DIV/0!</v>
      </c>
      <c r="FMT133" s="531" t="e">
        <f t="shared" si="329"/>
        <v>#DIV/0!</v>
      </c>
      <c r="FMU133" s="531" t="e">
        <f t="shared" si="329"/>
        <v>#DIV/0!</v>
      </c>
      <c r="FMV133" s="531" t="e">
        <f t="shared" si="329"/>
        <v>#DIV/0!</v>
      </c>
      <c r="FMW133" s="531" t="e">
        <f t="shared" si="329"/>
        <v>#DIV/0!</v>
      </c>
      <c r="FMX133" s="531" t="e">
        <f t="shared" si="329"/>
        <v>#DIV/0!</v>
      </c>
      <c r="FMY133" s="531" t="e">
        <f t="shared" si="329"/>
        <v>#DIV/0!</v>
      </c>
      <c r="FMZ133" s="531" t="e">
        <f t="shared" si="329"/>
        <v>#DIV/0!</v>
      </c>
      <c r="FNA133" s="531" t="e">
        <f t="shared" si="329"/>
        <v>#DIV/0!</v>
      </c>
      <c r="FNB133" s="531" t="e">
        <f t="shared" si="329"/>
        <v>#DIV/0!</v>
      </c>
      <c r="FNC133" s="531" t="e">
        <f t="shared" ref="FNC133:FPN133" si="330">FNC116/(FNC52*10^5)</f>
        <v>#DIV/0!</v>
      </c>
      <c r="FND133" s="531" t="e">
        <f t="shared" si="330"/>
        <v>#DIV/0!</v>
      </c>
      <c r="FNE133" s="531" t="e">
        <f t="shared" si="330"/>
        <v>#DIV/0!</v>
      </c>
      <c r="FNF133" s="531" t="e">
        <f t="shared" si="330"/>
        <v>#DIV/0!</v>
      </c>
      <c r="FNG133" s="531" t="e">
        <f t="shared" si="330"/>
        <v>#DIV/0!</v>
      </c>
      <c r="FNH133" s="531" t="e">
        <f t="shared" si="330"/>
        <v>#DIV/0!</v>
      </c>
      <c r="FNI133" s="531" t="e">
        <f t="shared" si="330"/>
        <v>#DIV/0!</v>
      </c>
      <c r="FNJ133" s="531" t="e">
        <f t="shared" si="330"/>
        <v>#DIV/0!</v>
      </c>
      <c r="FNK133" s="531" t="e">
        <f t="shared" si="330"/>
        <v>#DIV/0!</v>
      </c>
      <c r="FNL133" s="531" t="e">
        <f t="shared" si="330"/>
        <v>#DIV/0!</v>
      </c>
      <c r="FNM133" s="531" t="e">
        <f t="shared" si="330"/>
        <v>#DIV/0!</v>
      </c>
      <c r="FNN133" s="531" t="e">
        <f t="shared" si="330"/>
        <v>#DIV/0!</v>
      </c>
      <c r="FNO133" s="531" t="e">
        <f t="shared" si="330"/>
        <v>#DIV/0!</v>
      </c>
      <c r="FNP133" s="531" t="e">
        <f t="shared" si="330"/>
        <v>#DIV/0!</v>
      </c>
      <c r="FNQ133" s="531" t="e">
        <f t="shared" si="330"/>
        <v>#DIV/0!</v>
      </c>
      <c r="FNR133" s="531" t="e">
        <f t="shared" si="330"/>
        <v>#DIV/0!</v>
      </c>
      <c r="FNS133" s="531" t="e">
        <f t="shared" si="330"/>
        <v>#DIV/0!</v>
      </c>
      <c r="FNT133" s="531" t="e">
        <f t="shared" si="330"/>
        <v>#DIV/0!</v>
      </c>
      <c r="FNU133" s="531" t="e">
        <f t="shared" si="330"/>
        <v>#DIV/0!</v>
      </c>
      <c r="FNV133" s="531" t="e">
        <f t="shared" si="330"/>
        <v>#DIV/0!</v>
      </c>
      <c r="FNW133" s="531" t="e">
        <f t="shared" si="330"/>
        <v>#DIV/0!</v>
      </c>
      <c r="FNX133" s="531" t="e">
        <f t="shared" si="330"/>
        <v>#DIV/0!</v>
      </c>
      <c r="FNY133" s="531" t="e">
        <f t="shared" si="330"/>
        <v>#DIV/0!</v>
      </c>
      <c r="FNZ133" s="531" t="e">
        <f t="shared" si="330"/>
        <v>#DIV/0!</v>
      </c>
      <c r="FOA133" s="531" t="e">
        <f t="shared" si="330"/>
        <v>#DIV/0!</v>
      </c>
      <c r="FOB133" s="531" t="e">
        <f t="shared" si="330"/>
        <v>#DIV/0!</v>
      </c>
      <c r="FOC133" s="531" t="e">
        <f t="shared" si="330"/>
        <v>#DIV/0!</v>
      </c>
      <c r="FOD133" s="531" t="e">
        <f t="shared" si="330"/>
        <v>#DIV/0!</v>
      </c>
      <c r="FOE133" s="531" t="e">
        <f t="shared" si="330"/>
        <v>#DIV/0!</v>
      </c>
      <c r="FOF133" s="531" t="e">
        <f t="shared" si="330"/>
        <v>#DIV/0!</v>
      </c>
      <c r="FOG133" s="531" t="e">
        <f t="shared" si="330"/>
        <v>#DIV/0!</v>
      </c>
      <c r="FOH133" s="531" t="e">
        <f t="shared" si="330"/>
        <v>#DIV/0!</v>
      </c>
      <c r="FOI133" s="531" t="e">
        <f t="shared" si="330"/>
        <v>#DIV/0!</v>
      </c>
      <c r="FOJ133" s="531" t="e">
        <f t="shared" si="330"/>
        <v>#DIV/0!</v>
      </c>
      <c r="FOK133" s="531" t="e">
        <f t="shared" si="330"/>
        <v>#DIV/0!</v>
      </c>
      <c r="FOL133" s="531" t="e">
        <f t="shared" si="330"/>
        <v>#DIV/0!</v>
      </c>
      <c r="FOM133" s="531" t="e">
        <f t="shared" si="330"/>
        <v>#DIV/0!</v>
      </c>
      <c r="FON133" s="531" t="e">
        <f t="shared" si="330"/>
        <v>#DIV/0!</v>
      </c>
      <c r="FOO133" s="531" t="e">
        <f t="shared" si="330"/>
        <v>#DIV/0!</v>
      </c>
      <c r="FOP133" s="531" t="e">
        <f t="shared" si="330"/>
        <v>#DIV/0!</v>
      </c>
      <c r="FOQ133" s="531" t="e">
        <f t="shared" si="330"/>
        <v>#DIV/0!</v>
      </c>
      <c r="FOR133" s="531" t="e">
        <f t="shared" si="330"/>
        <v>#DIV/0!</v>
      </c>
      <c r="FOS133" s="531" t="e">
        <f t="shared" si="330"/>
        <v>#DIV/0!</v>
      </c>
      <c r="FOT133" s="531" t="e">
        <f t="shared" si="330"/>
        <v>#DIV/0!</v>
      </c>
      <c r="FOU133" s="531" t="e">
        <f t="shared" si="330"/>
        <v>#DIV/0!</v>
      </c>
      <c r="FOV133" s="531" t="e">
        <f t="shared" si="330"/>
        <v>#DIV/0!</v>
      </c>
      <c r="FOW133" s="531" t="e">
        <f t="shared" si="330"/>
        <v>#DIV/0!</v>
      </c>
      <c r="FOX133" s="531" t="e">
        <f t="shared" si="330"/>
        <v>#DIV/0!</v>
      </c>
      <c r="FOY133" s="531" t="e">
        <f t="shared" si="330"/>
        <v>#DIV/0!</v>
      </c>
      <c r="FOZ133" s="531" t="e">
        <f t="shared" si="330"/>
        <v>#DIV/0!</v>
      </c>
      <c r="FPA133" s="531" t="e">
        <f t="shared" si="330"/>
        <v>#DIV/0!</v>
      </c>
      <c r="FPB133" s="531" t="e">
        <f t="shared" si="330"/>
        <v>#DIV/0!</v>
      </c>
      <c r="FPC133" s="531" t="e">
        <f t="shared" si="330"/>
        <v>#DIV/0!</v>
      </c>
      <c r="FPD133" s="531" t="e">
        <f t="shared" si="330"/>
        <v>#DIV/0!</v>
      </c>
      <c r="FPE133" s="531" t="e">
        <f t="shared" si="330"/>
        <v>#DIV/0!</v>
      </c>
      <c r="FPF133" s="531" t="e">
        <f t="shared" si="330"/>
        <v>#DIV/0!</v>
      </c>
      <c r="FPG133" s="531" t="e">
        <f t="shared" si="330"/>
        <v>#DIV/0!</v>
      </c>
      <c r="FPH133" s="531" t="e">
        <f t="shared" si="330"/>
        <v>#DIV/0!</v>
      </c>
      <c r="FPI133" s="531" t="e">
        <f t="shared" si="330"/>
        <v>#DIV/0!</v>
      </c>
      <c r="FPJ133" s="531" t="e">
        <f t="shared" si="330"/>
        <v>#DIV/0!</v>
      </c>
      <c r="FPK133" s="531" t="e">
        <f t="shared" si="330"/>
        <v>#DIV/0!</v>
      </c>
      <c r="FPL133" s="531" t="e">
        <f t="shared" si="330"/>
        <v>#DIV/0!</v>
      </c>
      <c r="FPM133" s="531" t="e">
        <f t="shared" si="330"/>
        <v>#DIV/0!</v>
      </c>
      <c r="FPN133" s="531" t="e">
        <f t="shared" si="330"/>
        <v>#DIV/0!</v>
      </c>
      <c r="FPO133" s="531" t="e">
        <f t="shared" ref="FPO133:FRZ133" si="331">FPO116/(FPO52*10^5)</f>
        <v>#DIV/0!</v>
      </c>
      <c r="FPP133" s="531" t="e">
        <f t="shared" si="331"/>
        <v>#DIV/0!</v>
      </c>
      <c r="FPQ133" s="531" t="e">
        <f t="shared" si="331"/>
        <v>#DIV/0!</v>
      </c>
      <c r="FPR133" s="531" t="e">
        <f t="shared" si="331"/>
        <v>#DIV/0!</v>
      </c>
      <c r="FPS133" s="531" t="e">
        <f t="shared" si="331"/>
        <v>#DIV/0!</v>
      </c>
      <c r="FPT133" s="531" t="e">
        <f t="shared" si="331"/>
        <v>#DIV/0!</v>
      </c>
      <c r="FPU133" s="531" t="e">
        <f t="shared" si="331"/>
        <v>#DIV/0!</v>
      </c>
      <c r="FPV133" s="531" t="e">
        <f t="shared" si="331"/>
        <v>#DIV/0!</v>
      </c>
      <c r="FPW133" s="531" t="e">
        <f t="shared" si="331"/>
        <v>#DIV/0!</v>
      </c>
      <c r="FPX133" s="531" t="e">
        <f t="shared" si="331"/>
        <v>#DIV/0!</v>
      </c>
      <c r="FPY133" s="531" t="e">
        <f t="shared" si="331"/>
        <v>#DIV/0!</v>
      </c>
      <c r="FPZ133" s="531" t="e">
        <f t="shared" si="331"/>
        <v>#DIV/0!</v>
      </c>
      <c r="FQA133" s="531" t="e">
        <f t="shared" si="331"/>
        <v>#DIV/0!</v>
      </c>
      <c r="FQB133" s="531" t="e">
        <f t="shared" si="331"/>
        <v>#DIV/0!</v>
      </c>
      <c r="FQC133" s="531" t="e">
        <f t="shared" si="331"/>
        <v>#DIV/0!</v>
      </c>
      <c r="FQD133" s="531" t="e">
        <f t="shared" si="331"/>
        <v>#DIV/0!</v>
      </c>
      <c r="FQE133" s="531" t="e">
        <f t="shared" si="331"/>
        <v>#DIV/0!</v>
      </c>
      <c r="FQF133" s="531" t="e">
        <f t="shared" si="331"/>
        <v>#DIV/0!</v>
      </c>
      <c r="FQG133" s="531" t="e">
        <f t="shared" si="331"/>
        <v>#DIV/0!</v>
      </c>
      <c r="FQH133" s="531" t="e">
        <f t="shared" si="331"/>
        <v>#DIV/0!</v>
      </c>
      <c r="FQI133" s="531" t="e">
        <f t="shared" si="331"/>
        <v>#DIV/0!</v>
      </c>
      <c r="FQJ133" s="531" t="e">
        <f t="shared" si="331"/>
        <v>#DIV/0!</v>
      </c>
      <c r="FQK133" s="531" t="e">
        <f t="shared" si="331"/>
        <v>#DIV/0!</v>
      </c>
      <c r="FQL133" s="531" t="e">
        <f t="shared" si="331"/>
        <v>#DIV/0!</v>
      </c>
      <c r="FQM133" s="531" t="e">
        <f t="shared" si="331"/>
        <v>#DIV/0!</v>
      </c>
      <c r="FQN133" s="531" t="e">
        <f t="shared" si="331"/>
        <v>#DIV/0!</v>
      </c>
      <c r="FQO133" s="531" t="e">
        <f t="shared" si="331"/>
        <v>#DIV/0!</v>
      </c>
      <c r="FQP133" s="531" t="e">
        <f t="shared" si="331"/>
        <v>#DIV/0!</v>
      </c>
      <c r="FQQ133" s="531" t="e">
        <f t="shared" si="331"/>
        <v>#DIV/0!</v>
      </c>
      <c r="FQR133" s="531" t="e">
        <f t="shared" si="331"/>
        <v>#DIV/0!</v>
      </c>
      <c r="FQS133" s="531" t="e">
        <f t="shared" si="331"/>
        <v>#DIV/0!</v>
      </c>
      <c r="FQT133" s="531" t="e">
        <f t="shared" si="331"/>
        <v>#DIV/0!</v>
      </c>
      <c r="FQU133" s="531" t="e">
        <f t="shared" si="331"/>
        <v>#DIV/0!</v>
      </c>
      <c r="FQV133" s="531" t="e">
        <f t="shared" si="331"/>
        <v>#DIV/0!</v>
      </c>
      <c r="FQW133" s="531" t="e">
        <f t="shared" si="331"/>
        <v>#DIV/0!</v>
      </c>
      <c r="FQX133" s="531" t="e">
        <f t="shared" si="331"/>
        <v>#DIV/0!</v>
      </c>
      <c r="FQY133" s="531" t="e">
        <f t="shared" si="331"/>
        <v>#DIV/0!</v>
      </c>
      <c r="FQZ133" s="531" t="e">
        <f t="shared" si="331"/>
        <v>#DIV/0!</v>
      </c>
      <c r="FRA133" s="531" t="e">
        <f t="shared" si="331"/>
        <v>#DIV/0!</v>
      </c>
      <c r="FRB133" s="531" t="e">
        <f t="shared" si="331"/>
        <v>#DIV/0!</v>
      </c>
      <c r="FRC133" s="531" t="e">
        <f t="shared" si="331"/>
        <v>#DIV/0!</v>
      </c>
      <c r="FRD133" s="531" t="e">
        <f t="shared" si="331"/>
        <v>#DIV/0!</v>
      </c>
      <c r="FRE133" s="531" t="e">
        <f t="shared" si="331"/>
        <v>#DIV/0!</v>
      </c>
      <c r="FRF133" s="531" t="e">
        <f t="shared" si="331"/>
        <v>#DIV/0!</v>
      </c>
      <c r="FRG133" s="531" t="e">
        <f t="shared" si="331"/>
        <v>#DIV/0!</v>
      </c>
      <c r="FRH133" s="531" t="e">
        <f t="shared" si="331"/>
        <v>#DIV/0!</v>
      </c>
      <c r="FRI133" s="531" t="e">
        <f t="shared" si="331"/>
        <v>#DIV/0!</v>
      </c>
      <c r="FRJ133" s="531" t="e">
        <f t="shared" si="331"/>
        <v>#DIV/0!</v>
      </c>
      <c r="FRK133" s="531" t="e">
        <f t="shared" si="331"/>
        <v>#DIV/0!</v>
      </c>
      <c r="FRL133" s="531" t="e">
        <f t="shared" si="331"/>
        <v>#DIV/0!</v>
      </c>
      <c r="FRM133" s="531" t="e">
        <f t="shared" si="331"/>
        <v>#DIV/0!</v>
      </c>
      <c r="FRN133" s="531" t="e">
        <f t="shared" si="331"/>
        <v>#DIV/0!</v>
      </c>
      <c r="FRO133" s="531" t="e">
        <f t="shared" si="331"/>
        <v>#DIV/0!</v>
      </c>
      <c r="FRP133" s="531" t="e">
        <f t="shared" si="331"/>
        <v>#DIV/0!</v>
      </c>
      <c r="FRQ133" s="531" t="e">
        <f t="shared" si="331"/>
        <v>#DIV/0!</v>
      </c>
      <c r="FRR133" s="531" t="e">
        <f t="shared" si="331"/>
        <v>#DIV/0!</v>
      </c>
      <c r="FRS133" s="531" t="e">
        <f t="shared" si="331"/>
        <v>#DIV/0!</v>
      </c>
      <c r="FRT133" s="531" t="e">
        <f t="shared" si="331"/>
        <v>#DIV/0!</v>
      </c>
      <c r="FRU133" s="531" t="e">
        <f t="shared" si="331"/>
        <v>#DIV/0!</v>
      </c>
      <c r="FRV133" s="531" t="e">
        <f t="shared" si="331"/>
        <v>#DIV/0!</v>
      </c>
      <c r="FRW133" s="531" t="e">
        <f t="shared" si="331"/>
        <v>#DIV/0!</v>
      </c>
      <c r="FRX133" s="531" t="e">
        <f t="shared" si="331"/>
        <v>#DIV/0!</v>
      </c>
      <c r="FRY133" s="531" t="e">
        <f t="shared" si="331"/>
        <v>#DIV/0!</v>
      </c>
      <c r="FRZ133" s="531" t="e">
        <f t="shared" si="331"/>
        <v>#DIV/0!</v>
      </c>
      <c r="FSA133" s="531" t="e">
        <f t="shared" ref="FSA133:FUL133" si="332">FSA116/(FSA52*10^5)</f>
        <v>#DIV/0!</v>
      </c>
      <c r="FSB133" s="531" t="e">
        <f t="shared" si="332"/>
        <v>#DIV/0!</v>
      </c>
      <c r="FSC133" s="531" t="e">
        <f t="shared" si="332"/>
        <v>#DIV/0!</v>
      </c>
      <c r="FSD133" s="531" t="e">
        <f t="shared" si="332"/>
        <v>#DIV/0!</v>
      </c>
      <c r="FSE133" s="531" t="e">
        <f t="shared" si="332"/>
        <v>#DIV/0!</v>
      </c>
      <c r="FSF133" s="531" t="e">
        <f t="shared" si="332"/>
        <v>#DIV/0!</v>
      </c>
      <c r="FSG133" s="531" t="e">
        <f t="shared" si="332"/>
        <v>#DIV/0!</v>
      </c>
      <c r="FSH133" s="531" t="e">
        <f t="shared" si="332"/>
        <v>#DIV/0!</v>
      </c>
      <c r="FSI133" s="531" t="e">
        <f t="shared" si="332"/>
        <v>#DIV/0!</v>
      </c>
      <c r="FSJ133" s="531" t="e">
        <f t="shared" si="332"/>
        <v>#DIV/0!</v>
      </c>
      <c r="FSK133" s="531" t="e">
        <f t="shared" si="332"/>
        <v>#DIV/0!</v>
      </c>
      <c r="FSL133" s="531" t="e">
        <f t="shared" si="332"/>
        <v>#DIV/0!</v>
      </c>
      <c r="FSM133" s="531" t="e">
        <f t="shared" si="332"/>
        <v>#DIV/0!</v>
      </c>
      <c r="FSN133" s="531" t="e">
        <f t="shared" si="332"/>
        <v>#DIV/0!</v>
      </c>
      <c r="FSO133" s="531" t="e">
        <f t="shared" si="332"/>
        <v>#DIV/0!</v>
      </c>
      <c r="FSP133" s="531" t="e">
        <f t="shared" si="332"/>
        <v>#DIV/0!</v>
      </c>
      <c r="FSQ133" s="531" t="e">
        <f t="shared" si="332"/>
        <v>#DIV/0!</v>
      </c>
      <c r="FSR133" s="531" t="e">
        <f t="shared" si="332"/>
        <v>#DIV/0!</v>
      </c>
      <c r="FSS133" s="531" t="e">
        <f t="shared" si="332"/>
        <v>#DIV/0!</v>
      </c>
      <c r="FST133" s="531" t="e">
        <f t="shared" si="332"/>
        <v>#DIV/0!</v>
      </c>
      <c r="FSU133" s="531" t="e">
        <f t="shared" si="332"/>
        <v>#DIV/0!</v>
      </c>
      <c r="FSV133" s="531" t="e">
        <f t="shared" si="332"/>
        <v>#DIV/0!</v>
      </c>
      <c r="FSW133" s="531" t="e">
        <f t="shared" si="332"/>
        <v>#DIV/0!</v>
      </c>
      <c r="FSX133" s="531" t="e">
        <f t="shared" si="332"/>
        <v>#DIV/0!</v>
      </c>
      <c r="FSY133" s="531" t="e">
        <f t="shared" si="332"/>
        <v>#DIV/0!</v>
      </c>
      <c r="FSZ133" s="531" t="e">
        <f t="shared" si="332"/>
        <v>#DIV/0!</v>
      </c>
      <c r="FTA133" s="531" t="e">
        <f t="shared" si="332"/>
        <v>#DIV/0!</v>
      </c>
      <c r="FTB133" s="531" t="e">
        <f t="shared" si="332"/>
        <v>#DIV/0!</v>
      </c>
      <c r="FTC133" s="531" t="e">
        <f t="shared" si="332"/>
        <v>#DIV/0!</v>
      </c>
      <c r="FTD133" s="531" t="e">
        <f t="shared" si="332"/>
        <v>#DIV/0!</v>
      </c>
      <c r="FTE133" s="531" t="e">
        <f t="shared" si="332"/>
        <v>#DIV/0!</v>
      </c>
      <c r="FTF133" s="531" t="e">
        <f t="shared" si="332"/>
        <v>#DIV/0!</v>
      </c>
      <c r="FTG133" s="531" t="e">
        <f t="shared" si="332"/>
        <v>#DIV/0!</v>
      </c>
      <c r="FTH133" s="531" t="e">
        <f t="shared" si="332"/>
        <v>#DIV/0!</v>
      </c>
      <c r="FTI133" s="531" t="e">
        <f t="shared" si="332"/>
        <v>#DIV/0!</v>
      </c>
      <c r="FTJ133" s="531" t="e">
        <f t="shared" si="332"/>
        <v>#DIV/0!</v>
      </c>
      <c r="FTK133" s="531" t="e">
        <f t="shared" si="332"/>
        <v>#DIV/0!</v>
      </c>
      <c r="FTL133" s="531" t="e">
        <f t="shared" si="332"/>
        <v>#DIV/0!</v>
      </c>
      <c r="FTM133" s="531" t="e">
        <f t="shared" si="332"/>
        <v>#DIV/0!</v>
      </c>
      <c r="FTN133" s="531" t="e">
        <f t="shared" si="332"/>
        <v>#DIV/0!</v>
      </c>
      <c r="FTO133" s="531" t="e">
        <f t="shared" si="332"/>
        <v>#DIV/0!</v>
      </c>
      <c r="FTP133" s="531" t="e">
        <f t="shared" si="332"/>
        <v>#DIV/0!</v>
      </c>
      <c r="FTQ133" s="531" t="e">
        <f t="shared" si="332"/>
        <v>#DIV/0!</v>
      </c>
      <c r="FTR133" s="531" t="e">
        <f t="shared" si="332"/>
        <v>#DIV/0!</v>
      </c>
      <c r="FTS133" s="531" t="e">
        <f t="shared" si="332"/>
        <v>#DIV/0!</v>
      </c>
      <c r="FTT133" s="531" t="e">
        <f t="shared" si="332"/>
        <v>#DIV/0!</v>
      </c>
      <c r="FTU133" s="531" t="e">
        <f t="shared" si="332"/>
        <v>#DIV/0!</v>
      </c>
      <c r="FTV133" s="531" t="e">
        <f t="shared" si="332"/>
        <v>#DIV/0!</v>
      </c>
      <c r="FTW133" s="531" t="e">
        <f t="shared" si="332"/>
        <v>#DIV/0!</v>
      </c>
      <c r="FTX133" s="531" t="e">
        <f t="shared" si="332"/>
        <v>#DIV/0!</v>
      </c>
      <c r="FTY133" s="531" t="e">
        <f t="shared" si="332"/>
        <v>#DIV/0!</v>
      </c>
      <c r="FTZ133" s="531" t="e">
        <f t="shared" si="332"/>
        <v>#DIV/0!</v>
      </c>
      <c r="FUA133" s="531" t="e">
        <f t="shared" si="332"/>
        <v>#DIV/0!</v>
      </c>
      <c r="FUB133" s="531" t="e">
        <f t="shared" si="332"/>
        <v>#DIV/0!</v>
      </c>
      <c r="FUC133" s="531" t="e">
        <f t="shared" si="332"/>
        <v>#DIV/0!</v>
      </c>
      <c r="FUD133" s="531" t="e">
        <f t="shared" si="332"/>
        <v>#DIV/0!</v>
      </c>
      <c r="FUE133" s="531" t="e">
        <f t="shared" si="332"/>
        <v>#DIV/0!</v>
      </c>
      <c r="FUF133" s="531" t="e">
        <f t="shared" si="332"/>
        <v>#DIV/0!</v>
      </c>
      <c r="FUG133" s="531" t="e">
        <f t="shared" si="332"/>
        <v>#DIV/0!</v>
      </c>
      <c r="FUH133" s="531" t="e">
        <f t="shared" si="332"/>
        <v>#DIV/0!</v>
      </c>
      <c r="FUI133" s="531" t="e">
        <f t="shared" si="332"/>
        <v>#DIV/0!</v>
      </c>
      <c r="FUJ133" s="531" t="e">
        <f t="shared" si="332"/>
        <v>#DIV/0!</v>
      </c>
      <c r="FUK133" s="531" t="e">
        <f t="shared" si="332"/>
        <v>#DIV/0!</v>
      </c>
      <c r="FUL133" s="531" t="e">
        <f t="shared" si="332"/>
        <v>#DIV/0!</v>
      </c>
      <c r="FUM133" s="531" t="e">
        <f t="shared" ref="FUM133:FWX133" si="333">FUM116/(FUM52*10^5)</f>
        <v>#DIV/0!</v>
      </c>
      <c r="FUN133" s="531" t="e">
        <f t="shared" si="333"/>
        <v>#DIV/0!</v>
      </c>
      <c r="FUO133" s="531" t="e">
        <f t="shared" si="333"/>
        <v>#DIV/0!</v>
      </c>
      <c r="FUP133" s="531" t="e">
        <f t="shared" si="333"/>
        <v>#DIV/0!</v>
      </c>
      <c r="FUQ133" s="531" t="e">
        <f t="shared" si="333"/>
        <v>#DIV/0!</v>
      </c>
      <c r="FUR133" s="531" t="e">
        <f t="shared" si="333"/>
        <v>#DIV/0!</v>
      </c>
      <c r="FUS133" s="531" t="e">
        <f t="shared" si="333"/>
        <v>#DIV/0!</v>
      </c>
      <c r="FUT133" s="531" t="e">
        <f t="shared" si="333"/>
        <v>#DIV/0!</v>
      </c>
      <c r="FUU133" s="531" t="e">
        <f t="shared" si="333"/>
        <v>#DIV/0!</v>
      </c>
      <c r="FUV133" s="531" t="e">
        <f t="shared" si="333"/>
        <v>#DIV/0!</v>
      </c>
      <c r="FUW133" s="531" t="e">
        <f t="shared" si="333"/>
        <v>#DIV/0!</v>
      </c>
      <c r="FUX133" s="531" t="e">
        <f t="shared" si="333"/>
        <v>#DIV/0!</v>
      </c>
      <c r="FUY133" s="531" t="e">
        <f t="shared" si="333"/>
        <v>#DIV/0!</v>
      </c>
      <c r="FUZ133" s="531" t="e">
        <f t="shared" si="333"/>
        <v>#DIV/0!</v>
      </c>
      <c r="FVA133" s="531" t="e">
        <f t="shared" si="333"/>
        <v>#DIV/0!</v>
      </c>
      <c r="FVB133" s="531" t="e">
        <f t="shared" si="333"/>
        <v>#DIV/0!</v>
      </c>
      <c r="FVC133" s="531" t="e">
        <f t="shared" si="333"/>
        <v>#DIV/0!</v>
      </c>
      <c r="FVD133" s="531" t="e">
        <f t="shared" si="333"/>
        <v>#DIV/0!</v>
      </c>
      <c r="FVE133" s="531" t="e">
        <f t="shared" si="333"/>
        <v>#DIV/0!</v>
      </c>
      <c r="FVF133" s="531" t="e">
        <f t="shared" si="333"/>
        <v>#DIV/0!</v>
      </c>
      <c r="FVG133" s="531" t="e">
        <f t="shared" si="333"/>
        <v>#DIV/0!</v>
      </c>
      <c r="FVH133" s="531" t="e">
        <f t="shared" si="333"/>
        <v>#DIV/0!</v>
      </c>
      <c r="FVI133" s="531" t="e">
        <f t="shared" si="333"/>
        <v>#DIV/0!</v>
      </c>
      <c r="FVJ133" s="531" t="e">
        <f t="shared" si="333"/>
        <v>#DIV/0!</v>
      </c>
      <c r="FVK133" s="531" t="e">
        <f t="shared" si="333"/>
        <v>#DIV/0!</v>
      </c>
      <c r="FVL133" s="531" t="e">
        <f t="shared" si="333"/>
        <v>#DIV/0!</v>
      </c>
      <c r="FVM133" s="531" t="e">
        <f t="shared" si="333"/>
        <v>#DIV/0!</v>
      </c>
      <c r="FVN133" s="531" t="e">
        <f t="shared" si="333"/>
        <v>#DIV/0!</v>
      </c>
      <c r="FVO133" s="531" t="e">
        <f t="shared" si="333"/>
        <v>#DIV/0!</v>
      </c>
      <c r="FVP133" s="531" t="e">
        <f t="shared" si="333"/>
        <v>#DIV/0!</v>
      </c>
      <c r="FVQ133" s="531" t="e">
        <f t="shared" si="333"/>
        <v>#DIV/0!</v>
      </c>
      <c r="FVR133" s="531" t="e">
        <f t="shared" si="333"/>
        <v>#DIV/0!</v>
      </c>
      <c r="FVS133" s="531" t="e">
        <f t="shared" si="333"/>
        <v>#DIV/0!</v>
      </c>
      <c r="FVT133" s="531" t="e">
        <f t="shared" si="333"/>
        <v>#DIV/0!</v>
      </c>
      <c r="FVU133" s="531" t="e">
        <f t="shared" si="333"/>
        <v>#DIV/0!</v>
      </c>
      <c r="FVV133" s="531" t="e">
        <f t="shared" si="333"/>
        <v>#DIV/0!</v>
      </c>
      <c r="FVW133" s="531" t="e">
        <f t="shared" si="333"/>
        <v>#DIV/0!</v>
      </c>
      <c r="FVX133" s="531" t="e">
        <f t="shared" si="333"/>
        <v>#DIV/0!</v>
      </c>
      <c r="FVY133" s="531" t="e">
        <f t="shared" si="333"/>
        <v>#DIV/0!</v>
      </c>
      <c r="FVZ133" s="531" t="e">
        <f t="shared" si="333"/>
        <v>#DIV/0!</v>
      </c>
      <c r="FWA133" s="531" t="e">
        <f t="shared" si="333"/>
        <v>#DIV/0!</v>
      </c>
      <c r="FWB133" s="531" t="e">
        <f t="shared" si="333"/>
        <v>#DIV/0!</v>
      </c>
      <c r="FWC133" s="531" t="e">
        <f t="shared" si="333"/>
        <v>#DIV/0!</v>
      </c>
      <c r="FWD133" s="531" t="e">
        <f t="shared" si="333"/>
        <v>#DIV/0!</v>
      </c>
      <c r="FWE133" s="531" t="e">
        <f t="shared" si="333"/>
        <v>#DIV/0!</v>
      </c>
      <c r="FWF133" s="531" t="e">
        <f t="shared" si="333"/>
        <v>#DIV/0!</v>
      </c>
      <c r="FWG133" s="531" t="e">
        <f t="shared" si="333"/>
        <v>#DIV/0!</v>
      </c>
      <c r="FWH133" s="531" t="e">
        <f t="shared" si="333"/>
        <v>#DIV/0!</v>
      </c>
      <c r="FWI133" s="531" t="e">
        <f t="shared" si="333"/>
        <v>#DIV/0!</v>
      </c>
      <c r="FWJ133" s="531" t="e">
        <f t="shared" si="333"/>
        <v>#DIV/0!</v>
      </c>
      <c r="FWK133" s="531" t="e">
        <f t="shared" si="333"/>
        <v>#DIV/0!</v>
      </c>
      <c r="FWL133" s="531" t="e">
        <f t="shared" si="333"/>
        <v>#DIV/0!</v>
      </c>
      <c r="FWM133" s="531" t="e">
        <f t="shared" si="333"/>
        <v>#DIV/0!</v>
      </c>
      <c r="FWN133" s="531" t="e">
        <f t="shared" si="333"/>
        <v>#DIV/0!</v>
      </c>
      <c r="FWO133" s="531" t="e">
        <f t="shared" si="333"/>
        <v>#DIV/0!</v>
      </c>
      <c r="FWP133" s="531" t="e">
        <f t="shared" si="333"/>
        <v>#DIV/0!</v>
      </c>
      <c r="FWQ133" s="531" t="e">
        <f t="shared" si="333"/>
        <v>#DIV/0!</v>
      </c>
      <c r="FWR133" s="531" t="e">
        <f t="shared" si="333"/>
        <v>#DIV/0!</v>
      </c>
      <c r="FWS133" s="531" t="e">
        <f t="shared" si="333"/>
        <v>#DIV/0!</v>
      </c>
      <c r="FWT133" s="531" t="e">
        <f t="shared" si="333"/>
        <v>#DIV/0!</v>
      </c>
      <c r="FWU133" s="531" t="e">
        <f t="shared" si="333"/>
        <v>#DIV/0!</v>
      </c>
      <c r="FWV133" s="531" t="e">
        <f t="shared" si="333"/>
        <v>#DIV/0!</v>
      </c>
      <c r="FWW133" s="531" t="e">
        <f t="shared" si="333"/>
        <v>#DIV/0!</v>
      </c>
      <c r="FWX133" s="531" t="e">
        <f t="shared" si="333"/>
        <v>#DIV/0!</v>
      </c>
      <c r="FWY133" s="531" t="e">
        <f t="shared" ref="FWY133:FZJ133" si="334">FWY116/(FWY52*10^5)</f>
        <v>#DIV/0!</v>
      </c>
      <c r="FWZ133" s="531" t="e">
        <f t="shared" si="334"/>
        <v>#DIV/0!</v>
      </c>
      <c r="FXA133" s="531" t="e">
        <f t="shared" si="334"/>
        <v>#DIV/0!</v>
      </c>
      <c r="FXB133" s="531" t="e">
        <f t="shared" si="334"/>
        <v>#DIV/0!</v>
      </c>
      <c r="FXC133" s="531" t="e">
        <f t="shared" si="334"/>
        <v>#DIV/0!</v>
      </c>
      <c r="FXD133" s="531" t="e">
        <f t="shared" si="334"/>
        <v>#DIV/0!</v>
      </c>
      <c r="FXE133" s="531" t="e">
        <f t="shared" si="334"/>
        <v>#DIV/0!</v>
      </c>
      <c r="FXF133" s="531" t="e">
        <f t="shared" si="334"/>
        <v>#DIV/0!</v>
      </c>
      <c r="FXG133" s="531" t="e">
        <f t="shared" si="334"/>
        <v>#DIV/0!</v>
      </c>
      <c r="FXH133" s="531" t="e">
        <f t="shared" si="334"/>
        <v>#DIV/0!</v>
      </c>
      <c r="FXI133" s="531" t="e">
        <f t="shared" si="334"/>
        <v>#DIV/0!</v>
      </c>
      <c r="FXJ133" s="531" t="e">
        <f t="shared" si="334"/>
        <v>#DIV/0!</v>
      </c>
      <c r="FXK133" s="531" t="e">
        <f t="shared" si="334"/>
        <v>#DIV/0!</v>
      </c>
      <c r="FXL133" s="531" t="e">
        <f t="shared" si="334"/>
        <v>#DIV/0!</v>
      </c>
      <c r="FXM133" s="531" t="e">
        <f t="shared" si="334"/>
        <v>#DIV/0!</v>
      </c>
      <c r="FXN133" s="531" t="e">
        <f t="shared" si="334"/>
        <v>#DIV/0!</v>
      </c>
      <c r="FXO133" s="531" t="e">
        <f t="shared" si="334"/>
        <v>#DIV/0!</v>
      </c>
      <c r="FXP133" s="531" t="e">
        <f t="shared" si="334"/>
        <v>#DIV/0!</v>
      </c>
      <c r="FXQ133" s="531" t="e">
        <f t="shared" si="334"/>
        <v>#DIV/0!</v>
      </c>
      <c r="FXR133" s="531" t="e">
        <f t="shared" si="334"/>
        <v>#DIV/0!</v>
      </c>
      <c r="FXS133" s="531" t="e">
        <f t="shared" si="334"/>
        <v>#DIV/0!</v>
      </c>
      <c r="FXT133" s="531" t="e">
        <f t="shared" si="334"/>
        <v>#DIV/0!</v>
      </c>
      <c r="FXU133" s="531" t="e">
        <f t="shared" si="334"/>
        <v>#DIV/0!</v>
      </c>
      <c r="FXV133" s="531" t="e">
        <f t="shared" si="334"/>
        <v>#DIV/0!</v>
      </c>
      <c r="FXW133" s="531" t="e">
        <f t="shared" si="334"/>
        <v>#DIV/0!</v>
      </c>
      <c r="FXX133" s="531" t="e">
        <f t="shared" si="334"/>
        <v>#DIV/0!</v>
      </c>
      <c r="FXY133" s="531" t="e">
        <f t="shared" si="334"/>
        <v>#DIV/0!</v>
      </c>
      <c r="FXZ133" s="531" t="e">
        <f t="shared" si="334"/>
        <v>#DIV/0!</v>
      </c>
      <c r="FYA133" s="531" t="e">
        <f t="shared" si="334"/>
        <v>#DIV/0!</v>
      </c>
      <c r="FYB133" s="531" t="e">
        <f t="shared" si="334"/>
        <v>#DIV/0!</v>
      </c>
      <c r="FYC133" s="531" t="e">
        <f t="shared" si="334"/>
        <v>#DIV/0!</v>
      </c>
      <c r="FYD133" s="531" t="e">
        <f t="shared" si="334"/>
        <v>#DIV/0!</v>
      </c>
      <c r="FYE133" s="531" t="e">
        <f t="shared" si="334"/>
        <v>#DIV/0!</v>
      </c>
      <c r="FYF133" s="531" t="e">
        <f t="shared" si="334"/>
        <v>#DIV/0!</v>
      </c>
      <c r="FYG133" s="531" t="e">
        <f t="shared" si="334"/>
        <v>#DIV/0!</v>
      </c>
      <c r="FYH133" s="531" t="e">
        <f t="shared" si="334"/>
        <v>#DIV/0!</v>
      </c>
      <c r="FYI133" s="531" t="e">
        <f t="shared" si="334"/>
        <v>#DIV/0!</v>
      </c>
      <c r="FYJ133" s="531" t="e">
        <f t="shared" si="334"/>
        <v>#DIV/0!</v>
      </c>
      <c r="FYK133" s="531" t="e">
        <f t="shared" si="334"/>
        <v>#DIV/0!</v>
      </c>
      <c r="FYL133" s="531" t="e">
        <f t="shared" si="334"/>
        <v>#DIV/0!</v>
      </c>
      <c r="FYM133" s="531" t="e">
        <f t="shared" si="334"/>
        <v>#DIV/0!</v>
      </c>
      <c r="FYN133" s="531" t="e">
        <f t="shared" si="334"/>
        <v>#DIV/0!</v>
      </c>
      <c r="FYO133" s="531" t="e">
        <f t="shared" si="334"/>
        <v>#DIV/0!</v>
      </c>
      <c r="FYP133" s="531" t="e">
        <f t="shared" si="334"/>
        <v>#DIV/0!</v>
      </c>
      <c r="FYQ133" s="531" t="e">
        <f t="shared" si="334"/>
        <v>#DIV/0!</v>
      </c>
      <c r="FYR133" s="531" t="e">
        <f t="shared" si="334"/>
        <v>#DIV/0!</v>
      </c>
      <c r="FYS133" s="531" t="e">
        <f t="shared" si="334"/>
        <v>#DIV/0!</v>
      </c>
      <c r="FYT133" s="531" t="e">
        <f t="shared" si="334"/>
        <v>#DIV/0!</v>
      </c>
      <c r="FYU133" s="531" t="e">
        <f t="shared" si="334"/>
        <v>#DIV/0!</v>
      </c>
      <c r="FYV133" s="531" t="e">
        <f t="shared" si="334"/>
        <v>#DIV/0!</v>
      </c>
      <c r="FYW133" s="531" t="e">
        <f t="shared" si="334"/>
        <v>#DIV/0!</v>
      </c>
      <c r="FYX133" s="531" t="e">
        <f t="shared" si="334"/>
        <v>#DIV/0!</v>
      </c>
      <c r="FYY133" s="531" t="e">
        <f t="shared" si="334"/>
        <v>#DIV/0!</v>
      </c>
      <c r="FYZ133" s="531" t="e">
        <f t="shared" si="334"/>
        <v>#DIV/0!</v>
      </c>
      <c r="FZA133" s="531" t="e">
        <f t="shared" si="334"/>
        <v>#DIV/0!</v>
      </c>
      <c r="FZB133" s="531" t="e">
        <f t="shared" si="334"/>
        <v>#DIV/0!</v>
      </c>
      <c r="FZC133" s="531" t="e">
        <f t="shared" si="334"/>
        <v>#DIV/0!</v>
      </c>
      <c r="FZD133" s="531" t="e">
        <f t="shared" si="334"/>
        <v>#DIV/0!</v>
      </c>
      <c r="FZE133" s="531" t="e">
        <f t="shared" si="334"/>
        <v>#DIV/0!</v>
      </c>
      <c r="FZF133" s="531" t="e">
        <f t="shared" si="334"/>
        <v>#DIV/0!</v>
      </c>
      <c r="FZG133" s="531" t="e">
        <f t="shared" si="334"/>
        <v>#DIV/0!</v>
      </c>
      <c r="FZH133" s="531" t="e">
        <f t="shared" si="334"/>
        <v>#DIV/0!</v>
      </c>
      <c r="FZI133" s="531" t="e">
        <f t="shared" si="334"/>
        <v>#DIV/0!</v>
      </c>
      <c r="FZJ133" s="531" t="e">
        <f t="shared" si="334"/>
        <v>#DIV/0!</v>
      </c>
      <c r="FZK133" s="531" t="e">
        <f t="shared" ref="FZK133:GBV133" si="335">FZK116/(FZK52*10^5)</f>
        <v>#DIV/0!</v>
      </c>
      <c r="FZL133" s="531" t="e">
        <f t="shared" si="335"/>
        <v>#DIV/0!</v>
      </c>
      <c r="FZM133" s="531" t="e">
        <f t="shared" si="335"/>
        <v>#DIV/0!</v>
      </c>
      <c r="FZN133" s="531" t="e">
        <f t="shared" si="335"/>
        <v>#DIV/0!</v>
      </c>
      <c r="FZO133" s="531" t="e">
        <f t="shared" si="335"/>
        <v>#DIV/0!</v>
      </c>
      <c r="FZP133" s="531" t="e">
        <f t="shared" si="335"/>
        <v>#DIV/0!</v>
      </c>
      <c r="FZQ133" s="531" t="e">
        <f t="shared" si="335"/>
        <v>#DIV/0!</v>
      </c>
      <c r="FZR133" s="531" t="e">
        <f t="shared" si="335"/>
        <v>#DIV/0!</v>
      </c>
      <c r="FZS133" s="531" t="e">
        <f t="shared" si="335"/>
        <v>#DIV/0!</v>
      </c>
      <c r="FZT133" s="531" t="e">
        <f t="shared" si="335"/>
        <v>#DIV/0!</v>
      </c>
      <c r="FZU133" s="531" t="e">
        <f t="shared" si="335"/>
        <v>#DIV/0!</v>
      </c>
      <c r="FZV133" s="531" t="e">
        <f t="shared" si="335"/>
        <v>#DIV/0!</v>
      </c>
      <c r="FZW133" s="531" t="e">
        <f t="shared" si="335"/>
        <v>#DIV/0!</v>
      </c>
      <c r="FZX133" s="531" t="e">
        <f t="shared" si="335"/>
        <v>#DIV/0!</v>
      </c>
      <c r="FZY133" s="531" t="e">
        <f t="shared" si="335"/>
        <v>#DIV/0!</v>
      </c>
      <c r="FZZ133" s="531" t="e">
        <f t="shared" si="335"/>
        <v>#DIV/0!</v>
      </c>
      <c r="GAA133" s="531" t="e">
        <f t="shared" si="335"/>
        <v>#DIV/0!</v>
      </c>
      <c r="GAB133" s="531" t="e">
        <f t="shared" si="335"/>
        <v>#DIV/0!</v>
      </c>
      <c r="GAC133" s="531" t="e">
        <f t="shared" si="335"/>
        <v>#DIV/0!</v>
      </c>
      <c r="GAD133" s="531" t="e">
        <f t="shared" si="335"/>
        <v>#DIV/0!</v>
      </c>
      <c r="GAE133" s="531" t="e">
        <f t="shared" si="335"/>
        <v>#DIV/0!</v>
      </c>
      <c r="GAF133" s="531" t="e">
        <f t="shared" si="335"/>
        <v>#DIV/0!</v>
      </c>
      <c r="GAG133" s="531" t="e">
        <f t="shared" si="335"/>
        <v>#DIV/0!</v>
      </c>
      <c r="GAH133" s="531" t="e">
        <f t="shared" si="335"/>
        <v>#DIV/0!</v>
      </c>
      <c r="GAI133" s="531" t="e">
        <f t="shared" si="335"/>
        <v>#DIV/0!</v>
      </c>
      <c r="GAJ133" s="531" t="e">
        <f t="shared" si="335"/>
        <v>#DIV/0!</v>
      </c>
      <c r="GAK133" s="531" t="e">
        <f t="shared" si="335"/>
        <v>#DIV/0!</v>
      </c>
      <c r="GAL133" s="531" t="e">
        <f t="shared" si="335"/>
        <v>#DIV/0!</v>
      </c>
      <c r="GAM133" s="531" t="e">
        <f t="shared" si="335"/>
        <v>#DIV/0!</v>
      </c>
      <c r="GAN133" s="531" t="e">
        <f t="shared" si="335"/>
        <v>#DIV/0!</v>
      </c>
      <c r="GAO133" s="531" t="e">
        <f t="shared" si="335"/>
        <v>#DIV/0!</v>
      </c>
      <c r="GAP133" s="531" t="e">
        <f t="shared" si="335"/>
        <v>#DIV/0!</v>
      </c>
      <c r="GAQ133" s="531" t="e">
        <f t="shared" si="335"/>
        <v>#DIV/0!</v>
      </c>
      <c r="GAR133" s="531" t="e">
        <f t="shared" si="335"/>
        <v>#DIV/0!</v>
      </c>
      <c r="GAS133" s="531" t="e">
        <f t="shared" si="335"/>
        <v>#DIV/0!</v>
      </c>
      <c r="GAT133" s="531" t="e">
        <f t="shared" si="335"/>
        <v>#DIV/0!</v>
      </c>
      <c r="GAU133" s="531" t="e">
        <f t="shared" si="335"/>
        <v>#DIV/0!</v>
      </c>
      <c r="GAV133" s="531" t="e">
        <f t="shared" si="335"/>
        <v>#DIV/0!</v>
      </c>
      <c r="GAW133" s="531" t="e">
        <f t="shared" si="335"/>
        <v>#DIV/0!</v>
      </c>
      <c r="GAX133" s="531" t="e">
        <f t="shared" si="335"/>
        <v>#DIV/0!</v>
      </c>
      <c r="GAY133" s="531" t="e">
        <f t="shared" si="335"/>
        <v>#DIV/0!</v>
      </c>
      <c r="GAZ133" s="531" t="e">
        <f t="shared" si="335"/>
        <v>#DIV/0!</v>
      </c>
      <c r="GBA133" s="531" t="e">
        <f t="shared" si="335"/>
        <v>#DIV/0!</v>
      </c>
      <c r="GBB133" s="531" t="e">
        <f t="shared" si="335"/>
        <v>#DIV/0!</v>
      </c>
      <c r="GBC133" s="531" t="e">
        <f t="shared" si="335"/>
        <v>#DIV/0!</v>
      </c>
      <c r="GBD133" s="531" t="e">
        <f t="shared" si="335"/>
        <v>#DIV/0!</v>
      </c>
      <c r="GBE133" s="531" t="e">
        <f t="shared" si="335"/>
        <v>#DIV/0!</v>
      </c>
      <c r="GBF133" s="531" t="e">
        <f t="shared" si="335"/>
        <v>#DIV/0!</v>
      </c>
      <c r="GBG133" s="531" t="e">
        <f t="shared" si="335"/>
        <v>#DIV/0!</v>
      </c>
      <c r="GBH133" s="531" t="e">
        <f t="shared" si="335"/>
        <v>#DIV/0!</v>
      </c>
      <c r="GBI133" s="531" t="e">
        <f t="shared" si="335"/>
        <v>#DIV/0!</v>
      </c>
      <c r="GBJ133" s="531" t="e">
        <f t="shared" si="335"/>
        <v>#DIV/0!</v>
      </c>
      <c r="GBK133" s="531" t="e">
        <f t="shared" si="335"/>
        <v>#DIV/0!</v>
      </c>
      <c r="GBL133" s="531" t="e">
        <f t="shared" si="335"/>
        <v>#DIV/0!</v>
      </c>
      <c r="GBM133" s="531" t="e">
        <f t="shared" si="335"/>
        <v>#DIV/0!</v>
      </c>
      <c r="GBN133" s="531" t="e">
        <f t="shared" si="335"/>
        <v>#DIV/0!</v>
      </c>
      <c r="GBO133" s="531" t="e">
        <f t="shared" si="335"/>
        <v>#DIV/0!</v>
      </c>
      <c r="GBP133" s="531" t="e">
        <f t="shared" si="335"/>
        <v>#DIV/0!</v>
      </c>
      <c r="GBQ133" s="531" t="e">
        <f t="shared" si="335"/>
        <v>#DIV/0!</v>
      </c>
      <c r="GBR133" s="531" t="e">
        <f t="shared" si="335"/>
        <v>#DIV/0!</v>
      </c>
      <c r="GBS133" s="531" t="e">
        <f t="shared" si="335"/>
        <v>#DIV/0!</v>
      </c>
      <c r="GBT133" s="531" t="e">
        <f t="shared" si="335"/>
        <v>#DIV/0!</v>
      </c>
      <c r="GBU133" s="531" t="e">
        <f t="shared" si="335"/>
        <v>#DIV/0!</v>
      </c>
      <c r="GBV133" s="531" t="e">
        <f t="shared" si="335"/>
        <v>#DIV/0!</v>
      </c>
      <c r="GBW133" s="531" t="e">
        <f t="shared" ref="GBW133:GEH133" si="336">GBW116/(GBW52*10^5)</f>
        <v>#DIV/0!</v>
      </c>
      <c r="GBX133" s="531" t="e">
        <f t="shared" si="336"/>
        <v>#DIV/0!</v>
      </c>
      <c r="GBY133" s="531" t="e">
        <f t="shared" si="336"/>
        <v>#DIV/0!</v>
      </c>
      <c r="GBZ133" s="531" t="e">
        <f t="shared" si="336"/>
        <v>#DIV/0!</v>
      </c>
      <c r="GCA133" s="531" t="e">
        <f t="shared" si="336"/>
        <v>#DIV/0!</v>
      </c>
      <c r="GCB133" s="531" t="e">
        <f t="shared" si="336"/>
        <v>#DIV/0!</v>
      </c>
      <c r="GCC133" s="531" t="e">
        <f t="shared" si="336"/>
        <v>#DIV/0!</v>
      </c>
      <c r="GCD133" s="531" t="e">
        <f t="shared" si="336"/>
        <v>#DIV/0!</v>
      </c>
      <c r="GCE133" s="531" t="e">
        <f t="shared" si="336"/>
        <v>#DIV/0!</v>
      </c>
      <c r="GCF133" s="531" t="e">
        <f t="shared" si="336"/>
        <v>#DIV/0!</v>
      </c>
      <c r="GCG133" s="531" t="e">
        <f t="shared" si="336"/>
        <v>#DIV/0!</v>
      </c>
      <c r="GCH133" s="531" t="e">
        <f t="shared" si="336"/>
        <v>#DIV/0!</v>
      </c>
      <c r="GCI133" s="531" t="e">
        <f t="shared" si="336"/>
        <v>#DIV/0!</v>
      </c>
      <c r="GCJ133" s="531" t="e">
        <f t="shared" si="336"/>
        <v>#DIV/0!</v>
      </c>
      <c r="GCK133" s="531" t="e">
        <f t="shared" si="336"/>
        <v>#DIV/0!</v>
      </c>
      <c r="GCL133" s="531" t="e">
        <f t="shared" si="336"/>
        <v>#DIV/0!</v>
      </c>
      <c r="GCM133" s="531" t="e">
        <f t="shared" si="336"/>
        <v>#DIV/0!</v>
      </c>
      <c r="GCN133" s="531" t="e">
        <f t="shared" si="336"/>
        <v>#DIV/0!</v>
      </c>
      <c r="GCO133" s="531" t="e">
        <f t="shared" si="336"/>
        <v>#DIV/0!</v>
      </c>
      <c r="GCP133" s="531" t="e">
        <f t="shared" si="336"/>
        <v>#DIV/0!</v>
      </c>
      <c r="GCQ133" s="531" t="e">
        <f t="shared" si="336"/>
        <v>#DIV/0!</v>
      </c>
      <c r="GCR133" s="531" t="e">
        <f t="shared" si="336"/>
        <v>#DIV/0!</v>
      </c>
      <c r="GCS133" s="531" t="e">
        <f t="shared" si="336"/>
        <v>#DIV/0!</v>
      </c>
      <c r="GCT133" s="531" t="e">
        <f t="shared" si="336"/>
        <v>#DIV/0!</v>
      </c>
      <c r="GCU133" s="531" t="e">
        <f t="shared" si="336"/>
        <v>#DIV/0!</v>
      </c>
      <c r="GCV133" s="531" t="e">
        <f t="shared" si="336"/>
        <v>#DIV/0!</v>
      </c>
      <c r="GCW133" s="531" t="e">
        <f t="shared" si="336"/>
        <v>#DIV/0!</v>
      </c>
      <c r="GCX133" s="531" t="e">
        <f t="shared" si="336"/>
        <v>#DIV/0!</v>
      </c>
      <c r="GCY133" s="531" t="e">
        <f t="shared" si="336"/>
        <v>#DIV/0!</v>
      </c>
      <c r="GCZ133" s="531" t="e">
        <f t="shared" si="336"/>
        <v>#DIV/0!</v>
      </c>
      <c r="GDA133" s="531" t="e">
        <f t="shared" si="336"/>
        <v>#DIV/0!</v>
      </c>
      <c r="GDB133" s="531" t="e">
        <f t="shared" si="336"/>
        <v>#DIV/0!</v>
      </c>
      <c r="GDC133" s="531" t="e">
        <f t="shared" si="336"/>
        <v>#DIV/0!</v>
      </c>
      <c r="GDD133" s="531" t="e">
        <f t="shared" si="336"/>
        <v>#DIV/0!</v>
      </c>
      <c r="GDE133" s="531" t="e">
        <f t="shared" si="336"/>
        <v>#DIV/0!</v>
      </c>
      <c r="GDF133" s="531" t="e">
        <f t="shared" si="336"/>
        <v>#DIV/0!</v>
      </c>
      <c r="GDG133" s="531" t="e">
        <f t="shared" si="336"/>
        <v>#DIV/0!</v>
      </c>
      <c r="GDH133" s="531" t="e">
        <f t="shared" si="336"/>
        <v>#DIV/0!</v>
      </c>
      <c r="GDI133" s="531" t="e">
        <f t="shared" si="336"/>
        <v>#DIV/0!</v>
      </c>
      <c r="GDJ133" s="531" t="e">
        <f t="shared" si="336"/>
        <v>#DIV/0!</v>
      </c>
      <c r="GDK133" s="531" t="e">
        <f t="shared" si="336"/>
        <v>#DIV/0!</v>
      </c>
      <c r="GDL133" s="531" t="e">
        <f t="shared" si="336"/>
        <v>#DIV/0!</v>
      </c>
      <c r="GDM133" s="531" t="e">
        <f t="shared" si="336"/>
        <v>#DIV/0!</v>
      </c>
      <c r="GDN133" s="531" t="e">
        <f t="shared" si="336"/>
        <v>#DIV/0!</v>
      </c>
      <c r="GDO133" s="531" t="e">
        <f t="shared" si="336"/>
        <v>#DIV/0!</v>
      </c>
      <c r="GDP133" s="531" t="e">
        <f t="shared" si="336"/>
        <v>#DIV/0!</v>
      </c>
      <c r="GDQ133" s="531" t="e">
        <f t="shared" si="336"/>
        <v>#DIV/0!</v>
      </c>
      <c r="GDR133" s="531" t="e">
        <f t="shared" si="336"/>
        <v>#DIV/0!</v>
      </c>
      <c r="GDS133" s="531" t="e">
        <f t="shared" si="336"/>
        <v>#DIV/0!</v>
      </c>
      <c r="GDT133" s="531" t="e">
        <f t="shared" si="336"/>
        <v>#DIV/0!</v>
      </c>
      <c r="GDU133" s="531" t="e">
        <f t="shared" si="336"/>
        <v>#DIV/0!</v>
      </c>
      <c r="GDV133" s="531" t="e">
        <f t="shared" si="336"/>
        <v>#DIV/0!</v>
      </c>
      <c r="GDW133" s="531" t="e">
        <f t="shared" si="336"/>
        <v>#DIV/0!</v>
      </c>
      <c r="GDX133" s="531" t="e">
        <f t="shared" si="336"/>
        <v>#DIV/0!</v>
      </c>
      <c r="GDY133" s="531" t="e">
        <f t="shared" si="336"/>
        <v>#DIV/0!</v>
      </c>
      <c r="GDZ133" s="531" t="e">
        <f t="shared" si="336"/>
        <v>#DIV/0!</v>
      </c>
      <c r="GEA133" s="531" t="e">
        <f t="shared" si="336"/>
        <v>#DIV/0!</v>
      </c>
      <c r="GEB133" s="531" t="e">
        <f t="shared" si="336"/>
        <v>#DIV/0!</v>
      </c>
      <c r="GEC133" s="531" t="e">
        <f t="shared" si="336"/>
        <v>#DIV/0!</v>
      </c>
      <c r="GED133" s="531" t="e">
        <f t="shared" si="336"/>
        <v>#DIV/0!</v>
      </c>
      <c r="GEE133" s="531" t="e">
        <f t="shared" si="336"/>
        <v>#DIV/0!</v>
      </c>
      <c r="GEF133" s="531" t="e">
        <f t="shared" si="336"/>
        <v>#DIV/0!</v>
      </c>
      <c r="GEG133" s="531" t="e">
        <f t="shared" si="336"/>
        <v>#DIV/0!</v>
      </c>
      <c r="GEH133" s="531" t="e">
        <f t="shared" si="336"/>
        <v>#DIV/0!</v>
      </c>
      <c r="GEI133" s="531" t="e">
        <f t="shared" ref="GEI133:GGT133" si="337">GEI116/(GEI52*10^5)</f>
        <v>#DIV/0!</v>
      </c>
      <c r="GEJ133" s="531" t="e">
        <f t="shared" si="337"/>
        <v>#DIV/0!</v>
      </c>
      <c r="GEK133" s="531" t="e">
        <f t="shared" si="337"/>
        <v>#DIV/0!</v>
      </c>
      <c r="GEL133" s="531" t="e">
        <f t="shared" si="337"/>
        <v>#DIV/0!</v>
      </c>
      <c r="GEM133" s="531" t="e">
        <f t="shared" si="337"/>
        <v>#DIV/0!</v>
      </c>
      <c r="GEN133" s="531" t="e">
        <f t="shared" si="337"/>
        <v>#DIV/0!</v>
      </c>
      <c r="GEO133" s="531" t="e">
        <f t="shared" si="337"/>
        <v>#DIV/0!</v>
      </c>
      <c r="GEP133" s="531" t="e">
        <f t="shared" si="337"/>
        <v>#DIV/0!</v>
      </c>
      <c r="GEQ133" s="531" t="e">
        <f t="shared" si="337"/>
        <v>#DIV/0!</v>
      </c>
      <c r="GER133" s="531" t="e">
        <f t="shared" si="337"/>
        <v>#DIV/0!</v>
      </c>
      <c r="GES133" s="531" t="e">
        <f t="shared" si="337"/>
        <v>#DIV/0!</v>
      </c>
      <c r="GET133" s="531" t="e">
        <f t="shared" si="337"/>
        <v>#DIV/0!</v>
      </c>
      <c r="GEU133" s="531" t="e">
        <f t="shared" si="337"/>
        <v>#DIV/0!</v>
      </c>
      <c r="GEV133" s="531" t="e">
        <f t="shared" si="337"/>
        <v>#DIV/0!</v>
      </c>
      <c r="GEW133" s="531" t="e">
        <f t="shared" si="337"/>
        <v>#DIV/0!</v>
      </c>
      <c r="GEX133" s="531" t="e">
        <f t="shared" si="337"/>
        <v>#DIV/0!</v>
      </c>
      <c r="GEY133" s="531" t="e">
        <f t="shared" si="337"/>
        <v>#DIV/0!</v>
      </c>
      <c r="GEZ133" s="531" t="e">
        <f t="shared" si="337"/>
        <v>#DIV/0!</v>
      </c>
      <c r="GFA133" s="531" t="e">
        <f t="shared" si="337"/>
        <v>#DIV/0!</v>
      </c>
      <c r="GFB133" s="531" t="e">
        <f t="shared" si="337"/>
        <v>#DIV/0!</v>
      </c>
      <c r="GFC133" s="531" t="e">
        <f t="shared" si="337"/>
        <v>#DIV/0!</v>
      </c>
      <c r="GFD133" s="531" t="e">
        <f t="shared" si="337"/>
        <v>#DIV/0!</v>
      </c>
      <c r="GFE133" s="531" t="e">
        <f t="shared" si="337"/>
        <v>#DIV/0!</v>
      </c>
      <c r="GFF133" s="531" t="e">
        <f t="shared" si="337"/>
        <v>#DIV/0!</v>
      </c>
      <c r="GFG133" s="531" t="e">
        <f t="shared" si="337"/>
        <v>#DIV/0!</v>
      </c>
      <c r="GFH133" s="531" t="e">
        <f t="shared" si="337"/>
        <v>#DIV/0!</v>
      </c>
      <c r="GFI133" s="531" t="e">
        <f t="shared" si="337"/>
        <v>#DIV/0!</v>
      </c>
      <c r="GFJ133" s="531" t="e">
        <f t="shared" si="337"/>
        <v>#DIV/0!</v>
      </c>
      <c r="GFK133" s="531" t="e">
        <f t="shared" si="337"/>
        <v>#DIV/0!</v>
      </c>
      <c r="GFL133" s="531" t="e">
        <f t="shared" si="337"/>
        <v>#DIV/0!</v>
      </c>
      <c r="GFM133" s="531" t="e">
        <f t="shared" si="337"/>
        <v>#DIV/0!</v>
      </c>
      <c r="GFN133" s="531" t="e">
        <f t="shared" si="337"/>
        <v>#DIV/0!</v>
      </c>
      <c r="GFO133" s="531" t="e">
        <f t="shared" si="337"/>
        <v>#DIV/0!</v>
      </c>
      <c r="GFP133" s="531" t="e">
        <f t="shared" si="337"/>
        <v>#DIV/0!</v>
      </c>
      <c r="GFQ133" s="531" t="e">
        <f t="shared" si="337"/>
        <v>#DIV/0!</v>
      </c>
      <c r="GFR133" s="531" t="e">
        <f t="shared" si="337"/>
        <v>#DIV/0!</v>
      </c>
      <c r="GFS133" s="531" t="e">
        <f t="shared" si="337"/>
        <v>#DIV/0!</v>
      </c>
      <c r="GFT133" s="531" t="e">
        <f t="shared" si="337"/>
        <v>#DIV/0!</v>
      </c>
      <c r="GFU133" s="531" t="e">
        <f t="shared" si="337"/>
        <v>#DIV/0!</v>
      </c>
      <c r="GFV133" s="531" t="e">
        <f t="shared" si="337"/>
        <v>#DIV/0!</v>
      </c>
      <c r="GFW133" s="531" t="e">
        <f t="shared" si="337"/>
        <v>#DIV/0!</v>
      </c>
      <c r="GFX133" s="531" t="e">
        <f t="shared" si="337"/>
        <v>#DIV/0!</v>
      </c>
      <c r="GFY133" s="531" t="e">
        <f t="shared" si="337"/>
        <v>#DIV/0!</v>
      </c>
      <c r="GFZ133" s="531" t="e">
        <f t="shared" si="337"/>
        <v>#DIV/0!</v>
      </c>
      <c r="GGA133" s="531" t="e">
        <f t="shared" si="337"/>
        <v>#DIV/0!</v>
      </c>
      <c r="GGB133" s="531" t="e">
        <f t="shared" si="337"/>
        <v>#DIV/0!</v>
      </c>
      <c r="GGC133" s="531" t="e">
        <f t="shared" si="337"/>
        <v>#DIV/0!</v>
      </c>
      <c r="GGD133" s="531" t="e">
        <f t="shared" si="337"/>
        <v>#DIV/0!</v>
      </c>
      <c r="GGE133" s="531" t="e">
        <f t="shared" si="337"/>
        <v>#DIV/0!</v>
      </c>
      <c r="GGF133" s="531" t="e">
        <f t="shared" si="337"/>
        <v>#DIV/0!</v>
      </c>
      <c r="GGG133" s="531" t="e">
        <f t="shared" si="337"/>
        <v>#DIV/0!</v>
      </c>
      <c r="GGH133" s="531" t="e">
        <f t="shared" si="337"/>
        <v>#DIV/0!</v>
      </c>
      <c r="GGI133" s="531" t="e">
        <f t="shared" si="337"/>
        <v>#DIV/0!</v>
      </c>
      <c r="GGJ133" s="531" t="e">
        <f t="shared" si="337"/>
        <v>#DIV/0!</v>
      </c>
      <c r="GGK133" s="531" t="e">
        <f t="shared" si="337"/>
        <v>#DIV/0!</v>
      </c>
      <c r="GGL133" s="531" t="e">
        <f t="shared" si="337"/>
        <v>#DIV/0!</v>
      </c>
      <c r="GGM133" s="531" t="e">
        <f t="shared" si="337"/>
        <v>#DIV/0!</v>
      </c>
      <c r="GGN133" s="531" t="e">
        <f t="shared" si="337"/>
        <v>#DIV/0!</v>
      </c>
      <c r="GGO133" s="531" t="e">
        <f t="shared" si="337"/>
        <v>#DIV/0!</v>
      </c>
      <c r="GGP133" s="531" t="e">
        <f t="shared" si="337"/>
        <v>#DIV/0!</v>
      </c>
      <c r="GGQ133" s="531" t="e">
        <f t="shared" si="337"/>
        <v>#DIV/0!</v>
      </c>
      <c r="GGR133" s="531" t="e">
        <f t="shared" si="337"/>
        <v>#DIV/0!</v>
      </c>
      <c r="GGS133" s="531" t="e">
        <f t="shared" si="337"/>
        <v>#DIV/0!</v>
      </c>
      <c r="GGT133" s="531" t="e">
        <f t="shared" si="337"/>
        <v>#DIV/0!</v>
      </c>
      <c r="GGU133" s="531" t="e">
        <f t="shared" ref="GGU133:GJF133" si="338">GGU116/(GGU52*10^5)</f>
        <v>#DIV/0!</v>
      </c>
      <c r="GGV133" s="531" t="e">
        <f t="shared" si="338"/>
        <v>#DIV/0!</v>
      </c>
      <c r="GGW133" s="531" t="e">
        <f t="shared" si="338"/>
        <v>#DIV/0!</v>
      </c>
      <c r="GGX133" s="531" t="e">
        <f t="shared" si="338"/>
        <v>#DIV/0!</v>
      </c>
      <c r="GGY133" s="531" t="e">
        <f t="shared" si="338"/>
        <v>#DIV/0!</v>
      </c>
      <c r="GGZ133" s="531" t="e">
        <f t="shared" si="338"/>
        <v>#DIV/0!</v>
      </c>
      <c r="GHA133" s="531" t="e">
        <f t="shared" si="338"/>
        <v>#DIV/0!</v>
      </c>
      <c r="GHB133" s="531" t="e">
        <f t="shared" si="338"/>
        <v>#DIV/0!</v>
      </c>
      <c r="GHC133" s="531" t="e">
        <f t="shared" si="338"/>
        <v>#DIV/0!</v>
      </c>
      <c r="GHD133" s="531" t="e">
        <f t="shared" si="338"/>
        <v>#DIV/0!</v>
      </c>
      <c r="GHE133" s="531" t="e">
        <f t="shared" si="338"/>
        <v>#DIV/0!</v>
      </c>
      <c r="GHF133" s="531" t="e">
        <f t="shared" si="338"/>
        <v>#DIV/0!</v>
      </c>
      <c r="GHG133" s="531" t="e">
        <f t="shared" si="338"/>
        <v>#DIV/0!</v>
      </c>
      <c r="GHH133" s="531" t="e">
        <f t="shared" si="338"/>
        <v>#DIV/0!</v>
      </c>
      <c r="GHI133" s="531" t="e">
        <f t="shared" si="338"/>
        <v>#DIV/0!</v>
      </c>
      <c r="GHJ133" s="531" t="e">
        <f t="shared" si="338"/>
        <v>#DIV/0!</v>
      </c>
      <c r="GHK133" s="531" t="e">
        <f t="shared" si="338"/>
        <v>#DIV/0!</v>
      </c>
      <c r="GHL133" s="531" t="e">
        <f t="shared" si="338"/>
        <v>#DIV/0!</v>
      </c>
      <c r="GHM133" s="531" t="e">
        <f t="shared" si="338"/>
        <v>#DIV/0!</v>
      </c>
      <c r="GHN133" s="531" t="e">
        <f t="shared" si="338"/>
        <v>#DIV/0!</v>
      </c>
      <c r="GHO133" s="531" t="e">
        <f t="shared" si="338"/>
        <v>#DIV/0!</v>
      </c>
      <c r="GHP133" s="531" t="e">
        <f t="shared" si="338"/>
        <v>#DIV/0!</v>
      </c>
      <c r="GHQ133" s="531" t="e">
        <f t="shared" si="338"/>
        <v>#DIV/0!</v>
      </c>
      <c r="GHR133" s="531" t="e">
        <f t="shared" si="338"/>
        <v>#DIV/0!</v>
      </c>
      <c r="GHS133" s="531" t="e">
        <f t="shared" si="338"/>
        <v>#DIV/0!</v>
      </c>
      <c r="GHT133" s="531" t="e">
        <f t="shared" si="338"/>
        <v>#DIV/0!</v>
      </c>
      <c r="GHU133" s="531" t="e">
        <f t="shared" si="338"/>
        <v>#DIV/0!</v>
      </c>
      <c r="GHV133" s="531" t="e">
        <f t="shared" si="338"/>
        <v>#DIV/0!</v>
      </c>
      <c r="GHW133" s="531" t="e">
        <f t="shared" si="338"/>
        <v>#DIV/0!</v>
      </c>
      <c r="GHX133" s="531" t="e">
        <f t="shared" si="338"/>
        <v>#DIV/0!</v>
      </c>
      <c r="GHY133" s="531" t="e">
        <f t="shared" si="338"/>
        <v>#DIV/0!</v>
      </c>
      <c r="GHZ133" s="531" t="e">
        <f t="shared" si="338"/>
        <v>#DIV/0!</v>
      </c>
      <c r="GIA133" s="531" t="e">
        <f t="shared" si="338"/>
        <v>#DIV/0!</v>
      </c>
      <c r="GIB133" s="531" t="e">
        <f t="shared" si="338"/>
        <v>#DIV/0!</v>
      </c>
      <c r="GIC133" s="531" t="e">
        <f t="shared" si="338"/>
        <v>#DIV/0!</v>
      </c>
      <c r="GID133" s="531" t="e">
        <f t="shared" si="338"/>
        <v>#DIV/0!</v>
      </c>
      <c r="GIE133" s="531" t="e">
        <f t="shared" si="338"/>
        <v>#DIV/0!</v>
      </c>
      <c r="GIF133" s="531" t="e">
        <f t="shared" si="338"/>
        <v>#DIV/0!</v>
      </c>
      <c r="GIG133" s="531" t="e">
        <f t="shared" si="338"/>
        <v>#DIV/0!</v>
      </c>
      <c r="GIH133" s="531" t="e">
        <f t="shared" si="338"/>
        <v>#DIV/0!</v>
      </c>
      <c r="GII133" s="531" t="e">
        <f t="shared" si="338"/>
        <v>#DIV/0!</v>
      </c>
      <c r="GIJ133" s="531" t="e">
        <f t="shared" si="338"/>
        <v>#DIV/0!</v>
      </c>
      <c r="GIK133" s="531" t="e">
        <f t="shared" si="338"/>
        <v>#DIV/0!</v>
      </c>
      <c r="GIL133" s="531" t="e">
        <f t="shared" si="338"/>
        <v>#DIV/0!</v>
      </c>
      <c r="GIM133" s="531" t="e">
        <f t="shared" si="338"/>
        <v>#DIV/0!</v>
      </c>
      <c r="GIN133" s="531" t="e">
        <f t="shared" si="338"/>
        <v>#DIV/0!</v>
      </c>
      <c r="GIO133" s="531" t="e">
        <f t="shared" si="338"/>
        <v>#DIV/0!</v>
      </c>
      <c r="GIP133" s="531" t="e">
        <f t="shared" si="338"/>
        <v>#DIV/0!</v>
      </c>
      <c r="GIQ133" s="531" t="e">
        <f t="shared" si="338"/>
        <v>#DIV/0!</v>
      </c>
      <c r="GIR133" s="531" t="e">
        <f t="shared" si="338"/>
        <v>#DIV/0!</v>
      </c>
      <c r="GIS133" s="531" t="e">
        <f t="shared" si="338"/>
        <v>#DIV/0!</v>
      </c>
      <c r="GIT133" s="531" t="e">
        <f t="shared" si="338"/>
        <v>#DIV/0!</v>
      </c>
      <c r="GIU133" s="531" t="e">
        <f t="shared" si="338"/>
        <v>#DIV/0!</v>
      </c>
      <c r="GIV133" s="531" t="e">
        <f t="shared" si="338"/>
        <v>#DIV/0!</v>
      </c>
      <c r="GIW133" s="531" t="e">
        <f t="shared" si="338"/>
        <v>#DIV/0!</v>
      </c>
      <c r="GIX133" s="531" t="e">
        <f t="shared" si="338"/>
        <v>#DIV/0!</v>
      </c>
      <c r="GIY133" s="531" t="e">
        <f t="shared" si="338"/>
        <v>#DIV/0!</v>
      </c>
      <c r="GIZ133" s="531" t="e">
        <f t="shared" si="338"/>
        <v>#DIV/0!</v>
      </c>
      <c r="GJA133" s="531" t="e">
        <f t="shared" si="338"/>
        <v>#DIV/0!</v>
      </c>
      <c r="GJB133" s="531" t="e">
        <f t="shared" si="338"/>
        <v>#DIV/0!</v>
      </c>
      <c r="GJC133" s="531" t="e">
        <f t="shared" si="338"/>
        <v>#DIV/0!</v>
      </c>
      <c r="GJD133" s="531" t="e">
        <f t="shared" si="338"/>
        <v>#DIV/0!</v>
      </c>
      <c r="GJE133" s="531" t="e">
        <f t="shared" si="338"/>
        <v>#DIV/0!</v>
      </c>
      <c r="GJF133" s="531" t="e">
        <f t="shared" si="338"/>
        <v>#DIV/0!</v>
      </c>
      <c r="GJG133" s="531" t="e">
        <f t="shared" ref="GJG133:GLR133" si="339">GJG116/(GJG52*10^5)</f>
        <v>#DIV/0!</v>
      </c>
      <c r="GJH133" s="531" t="e">
        <f t="shared" si="339"/>
        <v>#DIV/0!</v>
      </c>
      <c r="GJI133" s="531" t="e">
        <f t="shared" si="339"/>
        <v>#DIV/0!</v>
      </c>
      <c r="GJJ133" s="531" t="e">
        <f t="shared" si="339"/>
        <v>#DIV/0!</v>
      </c>
      <c r="GJK133" s="531" t="e">
        <f t="shared" si="339"/>
        <v>#DIV/0!</v>
      </c>
      <c r="GJL133" s="531" t="e">
        <f t="shared" si="339"/>
        <v>#DIV/0!</v>
      </c>
      <c r="GJM133" s="531" t="e">
        <f t="shared" si="339"/>
        <v>#DIV/0!</v>
      </c>
      <c r="GJN133" s="531" t="e">
        <f t="shared" si="339"/>
        <v>#DIV/0!</v>
      </c>
      <c r="GJO133" s="531" t="e">
        <f t="shared" si="339"/>
        <v>#DIV/0!</v>
      </c>
      <c r="GJP133" s="531" t="e">
        <f t="shared" si="339"/>
        <v>#DIV/0!</v>
      </c>
      <c r="GJQ133" s="531" t="e">
        <f t="shared" si="339"/>
        <v>#DIV/0!</v>
      </c>
      <c r="GJR133" s="531" t="e">
        <f t="shared" si="339"/>
        <v>#DIV/0!</v>
      </c>
      <c r="GJS133" s="531" t="e">
        <f t="shared" si="339"/>
        <v>#DIV/0!</v>
      </c>
      <c r="GJT133" s="531" t="e">
        <f t="shared" si="339"/>
        <v>#DIV/0!</v>
      </c>
      <c r="GJU133" s="531" t="e">
        <f t="shared" si="339"/>
        <v>#DIV/0!</v>
      </c>
      <c r="GJV133" s="531" t="e">
        <f t="shared" si="339"/>
        <v>#DIV/0!</v>
      </c>
      <c r="GJW133" s="531" t="e">
        <f t="shared" si="339"/>
        <v>#DIV/0!</v>
      </c>
      <c r="GJX133" s="531" t="e">
        <f t="shared" si="339"/>
        <v>#DIV/0!</v>
      </c>
      <c r="GJY133" s="531" t="e">
        <f t="shared" si="339"/>
        <v>#DIV/0!</v>
      </c>
      <c r="GJZ133" s="531" t="e">
        <f t="shared" si="339"/>
        <v>#DIV/0!</v>
      </c>
      <c r="GKA133" s="531" t="e">
        <f t="shared" si="339"/>
        <v>#DIV/0!</v>
      </c>
      <c r="GKB133" s="531" t="e">
        <f t="shared" si="339"/>
        <v>#DIV/0!</v>
      </c>
      <c r="GKC133" s="531" t="e">
        <f t="shared" si="339"/>
        <v>#DIV/0!</v>
      </c>
      <c r="GKD133" s="531" t="e">
        <f t="shared" si="339"/>
        <v>#DIV/0!</v>
      </c>
      <c r="GKE133" s="531" t="e">
        <f t="shared" si="339"/>
        <v>#DIV/0!</v>
      </c>
      <c r="GKF133" s="531" t="e">
        <f t="shared" si="339"/>
        <v>#DIV/0!</v>
      </c>
      <c r="GKG133" s="531" t="e">
        <f t="shared" si="339"/>
        <v>#DIV/0!</v>
      </c>
      <c r="GKH133" s="531" t="e">
        <f t="shared" si="339"/>
        <v>#DIV/0!</v>
      </c>
      <c r="GKI133" s="531" t="e">
        <f t="shared" si="339"/>
        <v>#DIV/0!</v>
      </c>
      <c r="GKJ133" s="531" t="e">
        <f t="shared" si="339"/>
        <v>#DIV/0!</v>
      </c>
      <c r="GKK133" s="531" t="e">
        <f t="shared" si="339"/>
        <v>#DIV/0!</v>
      </c>
      <c r="GKL133" s="531" t="e">
        <f t="shared" si="339"/>
        <v>#DIV/0!</v>
      </c>
      <c r="GKM133" s="531" t="e">
        <f t="shared" si="339"/>
        <v>#DIV/0!</v>
      </c>
      <c r="GKN133" s="531" t="e">
        <f t="shared" si="339"/>
        <v>#DIV/0!</v>
      </c>
      <c r="GKO133" s="531" t="e">
        <f t="shared" si="339"/>
        <v>#DIV/0!</v>
      </c>
      <c r="GKP133" s="531" t="e">
        <f t="shared" si="339"/>
        <v>#DIV/0!</v>
      </c>
      <c r="GKQ133" s="531" t="e">
        <f t="shared" si="339"/>
        <v>#DIV/0!</v>
      </c>
      <c r="GKR133" s="531" t="e">
        <f t="shared" si="339"/>
        <v>#DIV/0!</v>
      </c>
      <c r="GKS133" s="531" t="e">
        <f t="shared" si="339"/>
        <v>#DIV/0!</v>
      </c>
      <c r="GKT133" s="531" t="e">
        <f t="shared" si="339"/>
        <v>#DIV/0!</v>
      </c>
      <c r="GKU133" s="531" t="e">
        <f t="shared" si="339"/>
        <v>#DIV/0!</v>
      </c>
      <c r="GKV133" s="531" t="e">
        <f t="shared" si="339"/>
        <v>#DIV/0!</v>
      </c>
      <c r="GKW133" s="531" t="e">
        <f t="shared" si="339"/>
        <v>#DIV/0!</v>
      </c>
      <c r="GKX133" s="531" t="e">
        <f t="shared" si="339"/>
        <v>#DIV/0!</v>
      </c>
      <c r="GKY133" s="531" t="e">
        <f t="shared" si="339"/>
        <v>#DIV/0!</v>
      </c>
      <c r="GKZ133" s="531" t="e">
        <f t="shared" si="339"/>
        <v>#DIV/0!</v>
      </c>
      <c r="GLA133" s="531" t="e">
        <f t="shared" si="339"/>
        <v>#DIV/0!</v>
      </c>
      <c r="GLB133" s="531" t="e">
        <f t="shared" si="339"/>
        <v>#DIV/0!</v>
      </c>
      <c r="GLC133" s="531" t="e">
        <f t="shared" si="339"/>
        <v>#DIV/0!</v>
      </c>
      <c r="GLD133" s="531" t="e">
        <f t="shared" si="339"/>
        <v>#DIV/0!</v>
      </c>
      <c r="GLE133" s="531" t="e">
        <f t="shared" si="339"/>
        <v>#DIV/0!</v>
      </c>
      <c r="GLF133" s="531" t="e">
        <f t="shared" si="339"/>
        <v>#DIV/0!</v>
      </c>
      <c r="GLG133" s="531" t="e">
        <f t="shared" si="339"/>
        <v>#DIV/0!</v>
      </c>
      <c r="GLH133" s="531" t="e">
        <f t="shared" si="339"/>
        <v>#DIV/0!</v>
      </c>
      <c r="GLI133" s="531" t="e">
        <f t="shared" si="339"/>
        <v>#DIV/0!</v>
      </c>
      <c r="GLJ133" s="531" t="e">
        <f t="shared" si="339"/>
        <v>#DIV/0!</v>
      </c>
      <c r="GLK133" s="531" t="e">
        <f t="shared" si="339"/>
        <v>#DIV/0!</v>
      </c>
      <c r="GLL133" s="531" t="e">
        <f t="shared" si="339"/>
        <v>#DIV/0!</v>
      </c>
      <c r="GLM133" s="531" t="e">
        <f t="shared" si="339"/>
        <v>#DIV/0!</v>
      </c>
      <c r="GLN133" s="531" t="e">
        <f t="shared" si="339"/>
        <v>#DIV/0!</v>
      </c>
      <c r="GLO133" s="531" t="e">
        <f t="shared" si="339"/>
        <v>#DIV/0!</v>
      </c>
      <c r="GLP133" s="531" t="e">
        <f t="shared" si="339"/>
        <v>#DIV/0!</v>
      </c>
      <c r="GLQ133" s="531" t="e">
        <f t="shared" si="339"/>
        <v>#DIV/0!</v>
      </c>
      <c r="GLR133" s="531" t="e">
        <f t="shared" si="339"/>
        <v>#DIV/0!</v>
      </c>
      <c r="GLS133" s="531" t="e">
        <f t="shared" ref="GLS133:GOD133" si="340">GLS116/(GLS52*10^5)</f>
        <v>#DIV/0!</v>
      </c>
      <c r="GLT133" s="531" t="e">
        <f t="shared" si="340"/>
        <v>#DIV/0!</v>
      </c>
      <c r="GLU133" s="531" t="e">
        <f t="shared" si="340"/>
        <v>#DIV/0!</v>
      </c>
      <c r="GLV133" s="531" t="e">
        <f t="shared" si="340"/>
        <v>#DIV/0!</v>
      </c>
      <c r="GLW133" s="531" t="e">
        <f t="shared" si="340"/>
        <v>#DIV/0!</v>
      </c>
      <c r="GLX133" s="531" t="e">
        <f t="shared" si="340"/>
        <v>#DIV/0!</v>
      </c>
      <c r="GLY133" s="531" t="e">
        <f t="shared" si="340"/>
        <v>#DIV/0!</v>
      </c>
      <c r="GLZ133" s="531" t="e">
        <f t="shared" si="340"/>
        <v>#DIV/0!</v>
      </c>
      <c r="GMA133" s="531" t="e">
        <f t="shared" si="340"/>
        <v>#DIV/0!</v>
      </c>
      <c r="GMB133" s="531" t="e">
        <f t="shared" si="340"/>
        <v>#DIV/0!</v>
      </c>
      <c r="GMC133" s="531" t="e">
        <f t="shared" si="340"/>
        <v>#DIV/0!</v>
      </c>
      <c r="GMD133" s="531" t="e">
        <f t="shared" si="340"/>
        <v>#DIV/0!</v>
      </c>
      <c r="GME133" s="531" t="e">
        <f t="shared" si="340"/>
        <v>#DIV/0!</v>
      </c>
      <c r="GMF133" s="531" t="e">
        <f t="shared" si="340"/>
        <v>#DIV/0!</v>
      </c>
      <c r="GMG133" s="531" t="e">
        <f t="shared" si="340"/>
        <v>#DIV/0!</v>
      </c>
      <c r="GMH133" s="531" t="e">
        <f t="shared" si="340"/>
        <v>#DIV/0!</v>
      </c>
      <c r="GMI133" s="531" t="e">
        <f t="shared" si="340"/>
        <v>#DIV/0!</v>
      </c>
      <c r="GMJ133" s="531" t="e">
        <f t="shared" si="340"/>
        <v>#DIV/0!</v>
      </c>
      <c r="GMK133" s="531" t="e">
        <f t="shared" si="340"/>
        <v>#DIV/0!</v>
      </c>
      <c r="GML133" s="531" t="e">
        <f t="shared" si="340"/>
        <v>#DIV/0!</v>
      </c>
      <c r="GMM133" s="531" t="e">
        <f t="shared" si="340"/>
        <v>#DIV/0!</v>
      </c>
      <c r="GMN133" s="531" t="e">
        <f t="shared" si="340"/>
        <v>#DIV/0!</v>
      </c>
      <c r="GMO133" s="531" t="e">
        <f t="shared" si="340"/>
        <v>#DIV/0!</v>
      </c>
      <c r="GMP133" s="531" t="e">
        <f t="shared" si="340"/>
        <v>#DIV/0!</v>
      </c>
      <c r="GMQ133" s="531" t="e">
        <f t="shared" si="340"/>
        <v>#DIV/0!</v>
      </c>
      <c r="GMR133" s="531" t="e">
        <f t="shared" si="340"/>
        <v>#DIV/0!</v>
      </c>
      <c r="GMS133" s="531" t="e">
        <f t="shared" si="340"/>
        <v>#DIV/0!</v>
      </c>
      <c r="GMT133" s="531" t="e">
        <f t="shared" si="340"/>
        <v>#DIV/0!</v>
      </c>
      <c r="GMU133" s="531" t="e">
        <f t="shared" si="340"/>
        <v>#DIV/0!</v>
      </c>
      <c r="GMV133" s="531" t="e">
        <f t="shared" si="340"/>
        <v>#DIV/0!</v>
      </c>
      <c r="GMW133" s="531" t="e">
        <f t="shared" si="340"/>
        <v>#DIV/0!</v>
      </c>
      <c r="GMX133" s="531" t="e">
        <f t="shared" si="340"/>
        <v>#DIV/0!</v>
      </c>
      <c r="GMY133" s="531" t="e">
        <f t="shared" si="340"/>
        <v>#DIV/0!</v>
      </c>
      <c r="GMZ133" s="531" t="e">
        <f t="shared" si="340"/>
        <v>#DIV/0!</v>
      </c>
      <c r="GNA133" s="531" t="e">
        <f t="shared" si="340"/>
        <v>#DIV/0!</v>
      </c>
      <c r="GNB133" s="531" t="e">
        <f t="shared" si="340"/>
        <v>#DIV/0!</v>
      </c>
      <c r="GNC133" s="531" t="e">
        <f t="shared" si="340"/>
        <v>#DIV/0!</v>
      </c>
      <c r="GND133" s="531" t="e">
        <f t="shared" si="340"/>
        <v>#DIV/0!</v>
      </c>
      <c r="GNE133" s="531" t="e">
        <f t="shared" si="340"/>
        <v>#DIV/0!</v>
      </c>
      <c r="GNF133" s="531" t="e">
        <f t="shared" si="340"/>
        <v>#DIV/0!</v>
      </c>
      <c r="GNG133" s="531" t="e">
        <f t="shared" si="340"/>
        <v>#DIV/0!</v>
      </c>
      <c r="GNH133" s="531" t="e">
        <f t="shared" si="340"/>
        <v>#DIV/0!</v>
      </c>
      <c r="GNI133" s="531" t="e">
        <f t="shared" si="340"/>
        <v>#DIV/0!</v>
      </c>
      <c r="GNJ133" s="531" t="e">
        <f t="shared" si="340"/>
        <v>#DIV/0!</v>
      </c>
      <c r="GNK133" s="531" t="e">
        <f t="shared" si="340"/>
        <v>#DIV/0!</v>
      </c>
      <c r="GNL133" s="531" t="e">
        <f t="shared" si="340"/>
        <v>#DIV/0!</v>
      </c>
      <c r="GNM133" s="531" t="e">
        <f t="shared" si="340"/>
        <v>#DIV/0!</v>
      </c>
      <c r="GNN133" s="531" t="e">
        <f t="shared" si="340"/>
        <v>#DIV/0!</v>
      </c>
      <c r="GNO133" s="531" t="e">
        <f t="shared" si="340"/>
        <v>#DIV/0!</v>
      </c>
      <c r="GNP133" s="531" t="e">
        <f t="shared" si="340"/>
        <v>#DIV/0!</v>
      </c>
      <c r="GNQ133" s="531" t="e">
        <f t="shared" si="340"/>
        <v>#DIV/0!</v>
      </c>
      <c r="GNR133" s="531" t="e">
        <f t="shared" si="340"/>
        <v>#DIV/0!</v>
      </c>
      <c r="GNS133" s="531" t="e">
        <f t="shared" si="340"/>
        <v>#DIV/0!</v>
      </c>
      <c r="GNT133" s="531" t="e">
        <f t="shared" si="340"/>
        <v>#DIV/0!</v>
      </c>
      <c r="GNU133" s="531" t="e">
        <f t="shared" si="340"/>
        <v>#DIV/0!</v>
      </c>
      <c r="GNV133" s="531" t="e">
        <f t="shared" si="340"/>
        <v>#DIV/0!</v>
      </c>
      <c r="GNW133" s="531" t="e">
        <f t="shared" si="340"/>
        <v>#DIV/0!</v>
      </c>
      <c r="GNX133" s="531" t="e">
        <f t="shared" si="340"/>
        <v>#DIV/0!</v>
      </c>
      <c r="GNY133" s="531" t="e">
        <f t="shared" si="340"/>
        <v>#DIV/0!</v>
      </c>
      <c r="GNZ133" s="531" t="e">
        <f t="shared" si="340"/>
        <v>#DIV/0!</v>
      </c>
      <c r="GOA133" s="531" t="e">
        <f t="shared" si="340"/>
        <v>#DIV/0!</v>
      </c>
      <c r="GOB133" s="531" t="e">
        <f t="shared" si="340"/>
        <v>#DIV/0!</v>
      </c>
      <c r="GOC133" s="531" t="e">
        <f t="shared" si="340"/>
        <v>#DIV/0!</v>
      </c>
      <c r="GOD133" s="531" t="e">
        <f t="shared" si="340"/>
        <v>#DIV/0!</v>
      </c>
      <c r="GOE133" s="531" t="e">
        <f t="shared" ref="GOE133:GQP133" si="341">GOE116/(GOE52*10^5)</f>
        <v>#DIV/0!</v>
      </c>
      <c r="GOF133" s="531" t="e">
        <f t="shared" si="341"/>
        <v>#DIV/0!</v>
      </c>
      <c r="GOG133" s="531" t="e">
        <f t="shared" si="341"/>
        <v>#DIV/0!</v>
      </c>
      <c r="GOH133" s="531" t="e">
        <f t="shared" si="341"/>
        <v>#DIV/0!</v>
      </c>
      <c r="GOI133" s="531" t="e">
        <f t="shared" si="341"/>
        <v>#DIV/0!</v>
      </c>
      <c r="GOJ133" s="531" t="e">
        <f t="shared" si="341"/>
        <v>#DIV/0!</v>
      </c>
      <c r="GOK133" s="531" t="e">
        <f t="shared" si="341"/>
        <v>#DIV/0!</v>
      </c>
      <c r="GOL133" s="531" t="e">
        <f t="shared" si="341"/>
        <v>#DIV/0!</v>
      </c>
      <c r="GOM133" s="531" t="e">
        <f t="shared" si="341"/>
        <v>#DIV/0!</v>
      </c>
      <c r="GON133" s="531" t="e">
        <f t="shared" si="341"/>
        <v>#DIV/0!</v>
      </c>
      <c r="GOO133" s="531" t="e">
        <f t="shared" si="341"/>
        <v>#DIV/0!</v>
      </c>
      <c r="GOP133" s="531" t="e">
        <f t="shared" si="341"/>
        <v>#DIV/0!</v>
      </c>
      <c r="GOQ133" s="531" t="e">
        <f t="shared" si="341"/>
        <v>#DIV/0!</v>
      </c>
      <c r="GOR133" s="531" t="e">
        <f t="shared" si="341"/>
        <v>#DIV/0!</v>
      </c>
      <c r="GOS133" s="531" t="e">
        <f t="shared" si="341"/>
        <v>#DIV/0!</v>
      </c>
      <c r="GOT133" s="531" t="e">
        <f t="shared" si="341"/>
        <v>#DIV/0!</v>
      </c>
      <c r="GOU133" s="531" t="e">
        <f t="shared" si="341"/>
        <v>#DIV/0!</v>
      </c>
      <c r="GOV133" s="531" t="e">
        <f t="shared" si="341"/>
        <v>#DIV/0!</v>
      </c>
      <c r="GOW133" s="531" t="e">
        <f t="shared" si="341"/>
        <v>#DIV/0!</v>
      </c>
      <c r="GOX133" s="531" t="e">
        <f t="shared" si="341"/>
        <v>#DIV/0!</v>
      </c>
      <c r="GOY133" s="531" t="e">
        <f t="shared" si="341"/>
        <v>#DIV/0!</v>
      </c>
      <c r="GOZ133" s="531" t="e">
        <f t="shared" si="341"/>
        <v>#DIV/0!</v>
      </c>
      <c r="GPA133" s="531" t="e">
        <f t="shared" si="341"/>
        <v>#DIV/0!</v>
      </c>
      <c r="GPB133" s="531" t="e">
        <f t="shared" si="341"/>
        <v>#DIV/0!</v>
      </c>
      <c r="GPC133" s="531" t="e">
        <f t="shared" si="341"/>
        <v>#DIV/0!</v>
      </c>
      <c r="GPD133" s="531" t="e">
        <f t="shared" si="341"/>
        <v>#DIV/0!</v>
      </c>
      <c r="GPE133" s="531" t="e">
        <f t="shared" si="341"/>
        <v>#DIV/0!</v>
      </c>
      <c r="GPF133" s="531" t="e">
        <f t="shared" si="341"/>
        <v>#DIV/0!</v>
      </c>
      <c r="GPG133" s="531" t="e">
        <f t="shared" si="341"/>
        <v>#DIV/0!</v>
      </c>
      <c r="GPH133" s="531" t="e">
        <f t="shared" si="341"/>
        <v>#DIV/0!</v>
      </c>
      <c r="GPI133" s="531" t="e">
        <f t="shared" si="341"/>
        <v>#DIV/0!</v>
      </c>
      <c r="GPJ133" s="531" t="e">
        <f t="shared" si="341"/>
        <v>#DIV/0!</v>
      </c>
      <c r="GPK133" s="531" t="e">
        <f t="shared" si="341"/>
        <v>#DIV/0!</v>
      </c>
      <c r="GPL133" s="531" t="e">
        <f t="shared" si="341"/>
        <v>#DIV/0!</v>
      </c>
      <c r="GPM133" s="531" t="e">
        <f t="shared" si="341"/>
        <v>#DIV/0!</v>
      </c>
      <c r="GPN133" s="531" t="e">
        <f t="shared" si="341"/>
        <v>#DIV/0!</v>
      </c>
      <c r="GPO133" s="531" t="e">
        <f t="shared" si="341"/>
        <v>#DIV/0!</v>
      </c>
      <c r="GPP133" s="531" t="e">
        <f t="shared" si="341"/>
        <v>#DIV/0!</v>
      </c>
      <c r="GPQ133" s="531" t="e">
        <f t="shared" si="341"/>
        <v>#DIV/0!</v>
      </c>
      <c r="GPR133" s="531" t="e">
        <f t="shared" si="341"/>
        <v>#DIV/0!</v>
      </c>
      <c r="GPS133" s="531" t="e">
        <f t="shared" si="341"/>
        <v>#DIV/0!</v>
      </c>
      <c r="GPT133" s="531" t="e">
        <f t="shared" si="341"/>
        <v>#DIV/0!</v>
      </c>
      <c r="GPU133" s="531" t="e">
        <f t="shared" si="341"/>
        <v>#DIV/0!</v>
      </c>
      <c r="GPV133" s="531" t="e">
        <f t="shared" si="341"/>
        <v>#DIV/0!</v>
      </c>
      <c r="GPW133" s="531" t="e">
        <f t="shared" si="341"/>
        <v>#DIV/0!</v>
      </c>
      <c r="GPX133" s="531" t="e">
        <f t="shared" si="341"/>
        <v>#DIV/0!</v>
      </c>
      <c r="GPY133" s="531" t="e">
        <f t="shared" si="341"/>
        <v>#DIV/0!</v>
      </c>
      <c r="GPZ133" s="531" t="e">
        <f t="shared" si="341"/>
        <v>#DIV/0!</v>
      </c>
      <c r="GQA133" s="531" t="e">
        <f t="shared" si="341"/>
        <v>#DIV/0!</v>
      </c>
      <c r="GQB133" s="531" t="e">
        <f t="shared" si="341"/>
        <v>#DIV/0!</v>
      </c>
      <c r="GQC133" s="531" t="e">
        <f t="shared" si="341"/>
        <v>#DIV/0!</v>
      </c>
      <c r="GQD133" s="531" t="e">
        <f t="shared" si="341"/>
        <v>#DIV/0!</v>
      </c>
      <c r="GQE133" s="531" t="e">
        <f t="shared" si="341"/>
        <v>#DIV/0!</v>
      </c>
      <c r="GQF133" s="531" t="e">
        <f t="shared" si="341"/>
        <v>#DIV/0!</v>
      </c>
      <c r="GQG133" s="531" t="e">
        <f t="shared" si="341"/>
        <v>#DIV/0!</v>
      </c>
      <c r="GQH133" s="531" t="e">
        <f t="shared" si="341"/>
        <v>#DIV/0!</v>
      </c>
      <c r="GQI133" s="531" t="e">
        <f t="shared" si="341"/>
        <v>#DIV/0!</v>
      </c>
      <c r="GQJ133" s="531" t="e">
        <f t="shared" si="341"/>
        <v>#DIV/0!</v>
      </c>
      <c r="GQK133" s="531" t="e">
        <f t="shared" si="341"/>
        <v>#DIV/0!</v>
      </c>
      <c r="GQL133" s="531" t="e">
        <f t="shared" si="341"/>
        <v>#DIV/0!</v>
      </c>
      <c r="GQM133" s="531" t="e">
        <f t="shared" si="341"/>
        <v>#DIV/0!</v>
      </c>
      <c r="GQN133" s="531" t="e">
        <f t="shared" si="341"/>
        <v>#DIV/0!</v>
      </c>
      <c r="GQO133" s="531" t="e">
        <f t="shared" si="341"/>
        <v>#DIV/0!</v>
      </c>
      <c r="GQP133" s="531" t="e">
        <f t="shared" si="341"/>
        <v>#DIV/0!</v>
      </c>
      <c r="GQQ133" s="531" t="e">
        <f t="shared" ref="GQQ133:GTB133" si="342">GQQ116/(GQQ52*10^5)</f>
        <v>#DIV/0!</v>
      </c>
      <c r="GQR133" s="531" t="e">
        <f t="shared" si="342"/>
        <v>#DIV/0!</v>
      </c>
      <c r="GQS133" s="531" t="e">
        <f t="shared" si="342"/>
        <v>#DIV/0!</v>
      </c>
      <c r="GQT133" s="531" t="e">
        <f t="shared" si="342"/>
        <v>#DIV/0!</v>
      </c>
      <c r="GQU133" s="531" t="e">
        <f t="shared" si="342"/>
        <v>#DIV/0!</v>
      </c>
      <c r="GQV133" s="531" t="e">
        <f t="shared" si="342"/>
        <v>#DIV/0!</v>
      </c>
      <c r="GQW133" s="531" t="e">
        <f t="shared" si="342"/>
        <v>#DIV/0!</v>
      </c>
      <c r="GQX133" s="531" t="e">
        <f t="shared" si="342"/>
        <v>#DIV/0!</v>
      </c>
      <c r="GQY133" s="531" t="e">
        <f t="shared" si="342"/>
        <v>#DIV/0!</v>
      </c>
      <c r="GQZ133" s="531" t="e">
        <f t="shared" si="342"/>
        <v>#DIV/0!</v>
      </c>
      <c r="GRA133" s="531" t="e">
        <f t="shared" si="342"/>
        <v>#DIV/0!</v>
      </c>
      <c r="GRB133" s="531" t="e">
        <f t="shared" si="342"/>
        <v>#DIV/0!</v>
      </c>
      <c r="GRC133" s="531" t="e">
        <f t="shared" si="342"/>
        <v>#DIV/0!</v>
      </c>
      <c r="GRD133" s="531" t="e">
        <f t="shared" si="342"/>
        <v>#DIV/0!</v>
      </c>
      <c r="GRE133" s="531" t="e">
        <f t="shared" si="342"/>
        <v>#DIV/0!</v>
      </c>
      <c r="GRF133" s="531" t="e">
        <f t="shared" si="342"/>
        <v>#DIV/0!</v>
      </c>
      <c r="GRG133" s="531" t="e">
        <f t="shared" si="342"/>
        <v>#DIV/0!</v>
      </c>
      <c r="GRH133" s="531" t="e">
        <f t="shared" si="342"/>
        <v>#DIV/0!</v>
      </c>
      <c r="GRI133" s="531" t="e">
        <f t="shared" si="342"/>
        <v>#DIV/0!</v>
      </c>
      <c r="GRJ133" s="531" t="e">
        <f t="shared" si="342"/>
        <v>#DIV/0!</v>
      </c>
      <c r="GRK133" s="531" t="e">
        <f t="shared" si="342"/>
        <v>#DIV/0!</v>
      </c>
      <c r="GRL133" s="531" t="e">
        <f t="shared" si="342"/>
        <v>#DIV/0!</v>
      </c>
      <c r="GRM133" s="531" t="e">
        <f t="shared" si="342"/>
        <v>#DIV/0!</v>
      </c>
      <c r="GRN133" s="531" t="e">
        <f t="shared" si="342"/>
        <v>#DIV/0!</v>
      </c>
      <c r="GRO133" s="531" t="e">
        <f t="shared" si="342"/>
        <v>#DIV/0!</v>
      </c>
      <c r="GRP133" s="531" t="e">
        <f t="shared" si="342"/>
        <v>#DIV/0!</v>
      </c>
      <c r="GRQ133" s="531" t="e">
        <f t="shared" si="342"/>
        <v>#DIV/0!</v>
      </c>
      <c r="GRR133" s="531" t="e">
        <f t="shared" si="342"/>
        <v>#DIV/0!</v>
      </c>
      <c r="GRS133" s="531" t="e">
        <f t="shared" si="342"/>
        <v>#DIV/0!</v>
      </c>
      <c r="GRT133" s="531" t="e">
        <f t="shared" si="342"/>
        <v>#DIV/0!</v>
      </c>
      <c r="GRU133" s="531" t="e">
        <f t="shared" si="342"/>
        <v>#DIV/0!</v>
      </c>
      <c r="GRV133" s="531" t="e">
        <f t="shared" si="342"/>
        <v>#DIV/0!</v>
      </c>
      <c r="GRW133" s="531" t="e">
        <f t="shared" si="342"/>
        <v>#DIV/0!</v>
      </c>
      <c r="GRX133" s="531" t="e">
        <f t="shared" si="342"/>
        <v>#DIV/0!</v>
      </c>
      <c r="GRY133" s="531" t="e">
        <f t="shared" si="342"/>
        <v>#DIV/0!</v>
      </c>
      <c r="GRZ133" s="531" t="e">
        <f t="shared" si="342"/>
        <v>#DIV/0!</v>
      </c>
      <c r="GSA133" s="531" t="e">
        <f t="shared" si="342"/>
        <v>#DIV/0!</v>
      </c>
      <c r="GSB133" s="531" t="e">
        <f t="shared" si="342"/>
        <v>#DIV/0!</v>
      </c>
      <c r="GSC133" s="531" t="e">
        <f t="shared" si="342"/>
        <v>#DIV/0!</v>
      </c>
      <c r="GSD133" s="531" t="e">
        <f t="shared" si="342"/>
        <v>#DIV/0!</v>
      </c>
      <c r="GSE133" s="531" t="e">
        <f t="shared" si="342"/>
        <v>#DIV/0!</v>
      </c>
      <c r="GSF133" s="531" t="e">
        <f t="shared" si="342"/>
        <v>#DIV/0!</v>
      </c>
      <c r="GSG133" s="531" t="e">
        <f t="shared" si="342"/>
        <v>#DIV/0!</v>
      </c>
      <c r="GSH133" s="531" t="e">
        <f t="shared" si="342"/>
        <v>#DIV/0!</v>
      </c>
      <c r="GSI133" s="531" t="e">
        <f t="shared" si="342"/>
        <v>#DIV/0!</v>
      </c>
      <c r="GSJ133" s="531" t="e">
        <f t="shared" si="342"/>
        <v>#DIV/0!</v>
      </c>
      <c r="GSK133" s="531" t="e">
        <f t="shared" si="342"/>
        <v>#DIV/0!</v>
      </c>
      <c r="GSL133" s="531" t="e">
        <f t="shared" si="342"/>
        <v>#DIV/0!</v>
      </c>
      <c r="GSM133" s="531" t="e">
        <f t="shared" si="342"/>
        <v>#DIV/0!</v>
      </c>
      <c r="GSN133" s="531" t="e">
        <f t="shared" si="342"/>
        <v>#DIV/0!</v>
      </c>
      <c r="GSO133" s="531" t="e">
        <f t="shared" si="342"/>
        <v>#DIV/0!</v>
      </c>
      <c r="GSP133" s="531" t="e">
        <f t="shared" si="342"/>
        <v>#DIV/0!</v>
      </c>
      <c r="GSQ133" s="531" t="e">
        <f t="shared" si="342"/>
        <v>#DIV/0!</v>
      </c>
      <c r="GSR133" s="531" t="e">
        <f t="shared" si="342"/>
        <v>#DIV/0!</v>
      </c>
      <c r="GSS133" s="531" t="e">
        <f t="shared" si="342"/>
        <v>#DIV/0!</v>
      </c>
      <c r="GST133" s="531" t="e">
        <f t="shared" si="342"/>
        <v>#DIV/0!</v>
      </c>
      <c r="GSU133" s="531" t="e">
        <f t="shared" si="342"/>
        <v>#DIV/0!</v>
      </c>
      <c r="GSV133" s="531" t="e">
        <f t="shared" si="342"/>
        <v>#DIV/0!</v>
      </c>
      <c r="GSW133" s="531" t="e">
        <f t="shared" si="342"/>
        <v>#DIV/0!</v>
      </c>
      <c r="GSX133" s="531" t="e">
        <f t="shared" si="342"/>
        <v>#DIV/0!</v>
      </c>
      <c r="GSY133" s="531" t="e">
        <f t="shared" si="342"/>
        <v>#DIV/0!</v>
      </c>
      <c r="GSZ133" s="531" t="e">
        <f t="shared" si="342"/>
        <v>#DIV/0!</v>
      </c>
      <c r="GTA133" s="531" t="e">
        <f t="shared" si="342"/>
        <v>#DIV/0!</v>
      </c>
      <c r="GTB133" s="531" t="e">
        <f t="shared" si="342"/>
        <v>#DIV/0!</v>
      </c>
      <c r="GTC133" s="531" t="e">
        <f t="shared" ref="GTC133:GVN133" si="343">GTC116/(GTC52*10^5)</f>
        <v>#DIV/0!</v>
      </c>
      <c r="GTD133" s="531" t="e">
        <f t="shared" si="343"/>
        <v>#DIV/0!</v>
      </c>
      <c r="GTE133" s="531" t="e">
        <f t="shared" si="343"/>
        <v>#DIV/0!</v>
      </c>
      <c r="GTF133" s="531" t="e">
        <f t="shared" si="343"/>
        <v>#DIV/0!</v>
      </c>
      <c r="GTG133" s="531" t="e">
        <f t="shared" si="343"/>
        <v>#DIV/0!</v>
      </c>
      <c r="GTH133" s="531" t="e">
        <f t="shared" si="343"/>
        <v>#DIV/0!</v>
      </c>
      <c r="GTI133" s="531" t="e">
        <f t="shared" si="343"/>
        <v>#DIV/0!</v>
      </c>
      <c r="GTJ133" s="531" t="e">
        <f t="shared" si="343"/>
        <v>#DIV/0!</v>
      </c>
      <c r="GTK133" s="531" t="e">
        <f t="shared" si="343"/>
        <v>#DIV/0!</v>
      </c>
      <c r="GTL133" s="531" t="e">
        <f t="shared" si="343"/>
        <v>#DIV/0!</v>
      </c>
      <c r="GTM133" s="531" t="e">
        <f t="shared" si="343"/>
        <v>#DIV/0!</v>
      </c>
      <c r="GTN133" s="531" t="e">
        <f t="shared" si="343"/>
        <v>#DIV/0!</v>
      </c>
      <c r="GTO133" s="531" t="e">
        <f t="shared" si="343"/>
        <v>#DIV/0!</v>
      </c>
      <c r="GTP133" s="531" t="e">
        <f t="shared" si="343"/>
        <v>#DIV/0!</v>
      </c>
      <c r="GTQ133" s="531" t="e">
        <f t="shared" si="343"/>
        <v>#DIV/0!</v>
      </c>
      <c r="GTR133" s="531" t="e">
        <f t="shared" si="343"/>
        <v>#DIV/0!</v>
      </c>
      <c r="GTS133" s="531" t="e">
        <f t="shared" si="343"/>
        <v>#DIV/0!</v>
      </c>
      <c r="GTT133" s="531" t="e">
        <f t="shared" si="343"/>
        <v>#DIV/0!</v>
      </c>
      <c r="GTU133" s="531" t="e">
        <f t="shared" si="343"/>
        <v>#DIV/0!</v>
      </c>
      <c r="GTV133" s="531" t="e">
        <f t="shared" si="343"/>
        <v>#DIV/0!</v>
      </c>
      <c r="GTW133" s="531" t="e">
        <f t="shared" si="343"/>
        <v>#DIV/0!</v>
      </c>
      <c r="GTX133" s="531" t="e">
        <f t="shared" si="343"/>
        <v>#DIV/0!</v>
      </c>
      <c r="GTY133" s="531" t="e">
        <f t="shared" si="343"/>
        <v>#DIV/0!</v>
      </c>
      <c r="GTZ133" s="531" t="e">
        <f t="shared" si="343"/>
        <v>#DIV/0!</v>
      </c>
      <c r="GUA133" s="531" t="e">
        <f t="shared" si="343"/>
        <v>#DIV/0!</v>
      </c>
      <c r="GUB133" s="531" t="e">
        <f t="shared" si="343"/>
        <v>#DIV/0!</v>
      </c>
      <c r="GUC133" s="531" t="e">
        <f t="shared" si="343"/>
        <v>#DIV/0!</v>
      </c>
      <c r="GUD133" s="531" t="e">
        <f t="shared" si="343"/>
        <v>#DIV/0!</v>
      </c>
      <c r="GUE133" s="531" t="e">
        <f t="shared" si="343"/>
        <v>#DIV/0!</v>
      </c>
      <c r="GUF133" s="531" t="e">
        <f t="shared" si="343"/>
        <v>#DIV/0!</v>
      </c>
      <c r="GUG133" s="531" t="e">
        <f t="shared" si="343"/>
        <v>#DIV/0!</v>
      </c>
      <c r="GUH133" s="531" t="e">
        <f t="shared" si="343"/>
        <v>#DIV/0!</v>
      </c>
      <c r="GUI133" s="531" t="e">
        <f t="shared" si="343"/>
        <v>#DIV/0!</v>
      </c>
      <c r="GUJ133" s="531" t="e">
        <f t="shared" si="343"/>
        <v>#DIV/0!</v>
      </c>
      <c r="GUK133" s="531" t="e">
        <f t="shared" si="343"/>
        <v>#DIV/0!</v>
      </c>
      <c r="GUL133" s="531" t="e">
        <f t="shared" si="343"/>
        <v>#DIV/0!</v>
      </c>
      <c r="GUM133" s="531" t="e">
        <f t="shared" si="343"/>
        <v>#DIV/0!</v>
      </c>
      <c r="GUN133" s="531" t="e">
        <f t="shared" si="343"/>
        <v>#DIV/0!</v>
      </c>
      <c r="GUO133" s="531" t="e">
        <f t="shared" si="343"/>
        <v>#DIV/0!</v>
      </c>
      <c r="GUP133" s="531" t="e">
        <f t="shared" si="343"/>
        <v>#DIV/0!</v>
      </c>
      <c r="GUQ133" s="531" t="e">
        <f t="shared" si="343"/>
        <v>#DIV/0!</v>
      </c>
      <c r="GUR133" s="531" t="e">
        <f t="shared" si="343"/>
        <v>#DIV/0!</v>
      </c>
      <c r="GUS133" s="531" t="e">
        <f t="shared" si="343"/>
        <v>#DIV/0!</v>
      </c>
      <c r="GUT133" s="531" t="e">
        <f t="shared" si="343"/>
        <v>#DIV/0!</v>
      </c>
      <c r="GUU133" s="531" t="e">
        <f t="shared" si="343"/>
        <v>#DIV/0!</v>
      </c>
      <c r="GUV133" s="531" t="e">
        <f t="shared" si="343"/>
        <v>#DIV/0!</v>
      </c>
      <c r="GUW133" s="531" t="e">
        <f t="shared" si="343"/>
        <v>#DIV/0!</v>
      </c>
      <c r="GUX133" s="531" t="e">
        <f t="shared" si="343"/>
        <v>#DIV/0!</v>
      </c>
      <c r="GUY133" s="531" t="e">
        <f t="shared" si="343"/>
        <v>#DIV/0!</v>
      </c>
      <c r="GUZ133" s="531" t="e">
        <f t="shared" si="343"/>
        <v>#DIV/0!</v>
      </c>
      <c r="GVA133" s="531" t="e">
        <f t="shared" si="343"/>
        <v>#DIV/0!</v>
      </c>
      <c r="GVB133" s="531" t="e">
        <f t="shared" si="343"/>
        <v>#DIV/0!</v>
      </c>
      <c r="GVC133" s="531" t="e">
        <f t="shared" si="343"/>
        <v>#DIV/0!</v>
      </c>
      <c r="GVD133" s="531" t="e">
        <f t="shared" si="343"/>
        <v>#DIV/0!</v>
      </c>
      <c r="GVE133" s="531" t="e">
        <f t="shared" si="343"/>
        <v>#DIV/0!</v>
      </c>
      <c r="GVF133" s="531" t="e">
        <f t="shared" si="343"/>
        <v>#DIV/0!</v>
      </c>
      <c r="GVG133" s="531" t="e">
        <f t="shared" si="343"/>
        <v>#DIV/0!</v>
      </c>
      <c r="GVH133" s="531" t="e">
        <f t="shared" si="343"/>
        <v>#DIV/0!</v>
      </c>
      <c r="GVI133" s="531" t="e">
        <f t="shared" si="343"/>
        <v>#DIV/0!</v>
      </c>
      <c r="GVJ133" s="531" t="e">
        <f t="shared" si="343"/>
        <v>#DIV/0!</v>
      </c>
      <c r="GVK133" s="531" t="e">
        <f t="shared" si="343"/>
        <v>#DIV/0!</v>
      </c>
      <c r="GVL133" s="531" t="e">
        <f t="shared" si="343"/>
        <v>#DIV/0!</v>
      </c>
      <c r="GVM133" s="531" t="e">
        <f t="shared" si="343"/>
        <v>#DIV/0!</v>
      </c>
      <c r="GVN133" s="531" t="e">
        <f t="shared" si="343"/>
        <v>#DIV/0!</v>
      </c>
      <c r="GVO133" s="531" t="e">
        <f t="shared" ref="GVO133:GXZ133" si="344">GVO116/(GVO52*10^5)</f>
        <v>#DIV/0!</v>
      </c>
      <c r="GVP133" s="531" t="e">
        <f t="shared" si="344"/>
        <v>#DIV/0!</v>
      </c>
      <c r="GVQ133" s="531" t="e">
        <f t="shared" si="344"/>
        <v>#DIV/0!</v>
      </c>
      <c r="GVR133" s="531" t="e">
        <f t="shared" si="344"/>
        <v>#DIV/0!</v>
      </c>
      <c r="GVS133" s="531" t="e">
        <f t="shared" si="344"/>
        <v>#DIV/0!</v>
      </c>
      <c r="GVT133" s="531" t="e">
        <f t="shared" si="344"/>
        <v>#DIV/0!</v>
      </c>
      <c r="GVU133" s="531" t="e">
        <f t="shared" si="344"/>
        <v>#DIV/0!</v>
      </c>
      <c r="GVV133" s="531" t="e">
        <f t="shared" si="344"/>
        <v>#DIV/0!</v>
      </c>
      <c r="GVW133" s="531" t="e">
        <f t="shared" si="344"/>
        <v>#DIV/0!</v>
      </c>
      <c r="GVX133" s="531" t="e">
        <f t="shared" si="344"/>
        <v>#DIV/0!</v>
      </c>
      <c r="GVY133" s="531" t="e">
        <f t="shared" si="344"/>
        <v>#DIV/0!</v>
      </c>
      <c r="GVZ133" s="531" t="e">
        <f t="shared" si="344"/>
        <v>#DIV/0!</v>
      </c>
      <c r="GWA133" s="531" t="e">
        <f t="shared" si="344"/>
        <v>#DIV/0!</v>
      </c>
      <c r="GWB133" s="531" t="e">
        <f t="shared" si="344"/>
        <v>#DIV/0!</v>
      </c>
      <c r="GWC133" s="531" t="e">
        <f t="shared" si="344"/>
        <v>#DIV/0!</v>
      </c>
      <c r="GWD133" s="531" t="e">
        <f t="shared" si="344"/>
        <v>#DIV/0!</v>
      </c>
      <c r="GWE133" s="531" t="e">
        <f t="shared" si="344"/>
        <v>#DIV/0!</v>
      </c>
      <c r="GWF133" s="531" t="e">
        <f t="shared" si="344"/>
        <v>#DIV/0!</v>
      </c>
      <c r="GWG133" s="531" t="e">
        <f t="shared" si="344"/>
        <v>#DIV/0!</v>
      </c>
      <c r="GWH133" s="531" t="e">
        <f t="shared" si="344"/>
        <v>#DIV/0!</v>
      </c>
      <c r="GWI133" s="531" t="e">
        <f t="shared" si="344"/>
        <v>#DIV/0!</v>
      </c>
      <c r="GWJ133" s="531" t="e">
        <f t="shared" si="344"/>
        <v>#DIV/0!</v>
      </c>
      <c r="GWK133" s="531" t="e">
        <f t="shared" si="344"/>
        <v>#DIV/0!</v>
      </c>
      <c r="GWL133" s="531" t="e">
        <f t="shared" si="344"/>
        <v>#DIV/0!</v>
      </c>
      <c r="GWM133" s="531" t="e">
        <f t="shared" si="344"/>
        <v>#DIV/0!</v>
      </c>
      <c r="GWN133" s="531" t="e">
        <f t="shared" si="344"/>
        <v>#DIV/0!</v>
      </c>
      <c r="GWO133" s="531" t="e">
        <f t="shared" si="344"/>
        <v>#DIV/0!</v>
      </c>
      <c r="GWP133" s="531" t="e">
        <f t="shared" si="344"/>
        <v>#DIV/0!</v>
      </c>
      <c r="GWQ133" s="531" t="e">
        <f t="shared" si="344"/>
        <v>#DIV/0!</v>
      </c>
      <c r="GWR133" s="531" t="e">
        <f t="shared" si="344"/>
        <v>#DIV/0!</v>
      </c>
      <c r="GWS133" s="531" t="e">
        <f t="shared" si="344"/>
        <v>#DIV/0!</v>
      </c>
      <c r="GWT133" s="531" t="e">
        <f t="shared" si="344"/>
        <v>#DIV/0!</v>
      </c>
      <c r="GWU133" s="531" t="e">
        <f t="shared" si="344"/>
        <v>#DIV/0!</v>
      </c>
      <c r="GWV133" s="531" t="e">
        <f t="shared" si="344"/>
        <v>#DIV/0!</v>
      </c>
      <c r="GWW133" s="531" t="e">
        <f t="shared" si="344"/>
        <v>#DIV/0!</v>
      </c>
      <c r="GWX133" s="531" t="e">
        <f t="shared" si="344"/>
        <v>#DIV/0!</v>
      </c>
      <c r="GWY133" s="531" t="e">
        <f t="shared" si="344"/>
        <v>#DIV/0!</v>
      </c>
      <c r="GWZ133" s="531" t="e">
        <f t="shared" si="344"/>
        <v>#DIV/0!</v>
      </c>
      <c r="GXA133" s="531" t="e">
        <f t="shared" si="344"/>
        <v>#DIV/0!</v>
      </c>
      <c r="GXB133" s="531" t="e">
        <f t="shared" si="344"/>
        <v>#DIV/0!</v>
      </c>
      <c r="GXC133" s="531" t="e">
        <f t="shared" si="344"/>
        <v>#DIV/0!</v>
      </c>
      <c r="GXD133" s="531" t="e">
        <f t="shared" si="344"/>
        <v>#DIV/0!</v>
      </c>
      <c r="GXE133" s="531" t="e">
        <f t="shared" si="344"/>
        <v>#DIV/0!</v>
      </c>
      <c r="GXF133" s="531" t="e">
        <f t="shared" si="344"/>
        <v>#DIV/0!</v>
      </c>
      <c r="GXG133" s="531" t="e">
        <f t="shared" si="344"/>
        <v>#DIV/0!</v>
      </c>
      <c r="GXH133" s="531" t="e">
        <f t="shared" si="344"/>
        <v>#DIV/0!</v>
      </c>
      <c r="GXI133" s="531" t="e">
        <f t="shared" si="344"/>
        <v>#DIV/0!</v>
      </c>
      <c r="GXJ133" s="531" t="e">
        <f t="shared" si="344"/>
        <v>#DIV/0!</v>
      </c>
      <c r="GXK133" s="531" t="e">
        <f t="shared" si="344"/>
        <v>#DIV/0!</v>
      </c>
      <c r="GXL133" s="531" t="e">
        <f t="shared" si="344"/>
        <v>#DIV/0!</v>
      </c>
      <c r="GXM133" s="531" t="e">
        <f t="shared" si="344"/>
        <v>#DIV/0!</v>
      </c>
      <c r="GXN133" s="531" t="e">
        <f t="shared" si="344"/>
        <v>#DIV/0!</v>
      </c>
      <c r="GXO133" s="531" t="e">
        <f t="shared" si="344"/>
        <v>#DIV/0!</v>
      </c>
      <c r="GXP133" s="531" t="e">
        <f t="shared" si="344"/>
        <v>#DIV/0!</v>
      </c>
      <c r="GXQ133" s="531" t="e">
        <f t="shared" si="344"/>
        <v>#DIV/0!</v>
      </c>
      <c r="GXR133" s="531" t="e">
        <f t="shared" si="344"/>
        <v>#DIV/0!</v>
      </c>
      <c r="GXS133" s="531" t="e">
        <f t="shared" si="344"/>
        <v>#DIV/0!</v>
      </c>
      <c r="GXT133" s="531" t="e">
        <f t="shared" si="344"/>
        <v>#DIV/0!</v>
      </c>
      <c r="GXU133" s="531" t="e">
        <f t="shared" si="344"/>
        <v>#DIV/0!</v>
      </c>
      <c r="GXV133" s="531" t="e">
        <f t="shared" si="344"/>
        <v>#DIV/0!</v>
      </c>
      <c r="GXW133" s="531" t="e">
        <f t="shared" si="344"/>
        <v>#DIV/0!</v>
      </c>
      <c r="GXX133" s="531" t="e">
        <f t="shared" si="344"/>
        <v>#DIV/0!</v>
      </c>
      <c r="GXY133" s="531" t="e">
        <f t="shared" si="344"/>
        <v>#DIV/0!</v>
      </c>
      <c r="GXZ133" s="531" t="e">
        <f t="shared" si="344"/>
        <v>#DIV/0!</v>
      </c>
      <c r="GYA133" s="531" t="e">
        <f t="shared" ref="GYA133:HAL133" si="345">GYA116/(GYA52*10^5)</f>
        <v>#DIV/0!</v>
      </c>
      <c r="GYB133" s="531" t="e">
        <f t="shared" si="345"/>
        <v>#DIV/0!</v>
      </c>
      <c r="GYC133" s="531" t="e">
        <f t="shared" si="345"/>
        <v>#DIV/0!</v>
      </c>
      <c r="GYD133" s="531" t="e">
        <f t="shared" si="345"/>
        <v>#DIV/0!</v>
      </c>
      <c r="GYE133" s="531" t="e">
        <f t="shared" si="345"/>
        <v>#DIV/0!</v>
      </c>
      <c r="GYF133" s="531" t="e">
        <f t="shared" si="345"/>
        <v>#DIV/0!</v>
      </c>
      <c r="GYG133" s="531" t="e">
        <f t="shared" si="345"/>
        <v>#DIV/0!</v>
      </c>
      <c r="GYH133" s="531" t="e">
        <f t="shared" si="345"/>
        <v>#DIV/0!</v>
      </c>
      <c r="GYI133" s="531" t="e">
        <f t="shared" si="345"/>
        <v>#DIV/0!</v>
      </c>
      <c r="GYJ133" s="531" t="e">
        <f t="shared" si="345"/>
        <v>#DIV/0!</v>
      </c>
      <c r="GYK133" s="531" t="e">
        <f t="shared" si="345"/>
        <v>#DIV/0!</v>
      </c>
      <c r="GYL133" s="531" t="e">
        <f t="shared" si="345"/>
        <v>#DIV/0!</v>
      </c>
      <c r="GYM133" s="531" t="e">
        <f t="shared" si="345"/>
        <v>#DIV/0!</v>
      </c>
      <c r="GYN133" s="531" t="e">
        <f t="shared" si="345"/>
        <v>#DIV/0!</v>
      </c>
      <c r="GYO133" s="531" t="e">
        <f t="shared" si="345"/>
        <v>#DIV/0!</v>
      </c>
      <c r="GYP133" s="531" t="e">
        <f t="shared" si="345"/>
        <v>#DIV/0!</v>
      </c>
      <c r="GYQ133" s="531" t="e">
        <f t="shared" si="345"/>
        <v>#DIV/0!</v>
      </c>
      <c r="GYR133" s="531" t="e">
        <f t="shared" si="345"/>
        <v>#DIV/0!</v>
      </c>
      <c r="GYS133" s="531" t="e">
        <f t="shared" si="345"/>
        <v>#DIV/0!</v>
      </c>
      <c r="GYT133" s="531" t="e">
        <f t="shared" si="345"/>
        <v>#DIV/0!</v>
      </c>
      <c r="GYU133" s="531" t="e">
        <f t="shared" si="345"/>
        <v>#DIV/0!</v>
      </c>
      <c r="GYV133" s="531" t="e">
        <f t="shared" si="345"/>
        <v>#DIV/0!</v>
      </c>
      <c r="GYW133" s="531" t="e">
        <f t="shared" si="345"/>
        <v>#DIV/0!</v>
      </c>
      <c r="GYX133" s="531" t="e">
        <f t="shared" si="345"/>
        <v>#DIV/0!</v>
      </c>
      <c r="GYY133" s="531" t="e">
        <f t="shared" si="345"/>
        <v>#DIV/0!</v>
      </c>
      <c r="GYZ133" s="531" t="e">
        <f t="shared" si="345"/>
        <v>#DIV/0!</v>
      </c>
      <c r="GZA133" s="531" t="e">
        <f t="shared" si="345"/>
        <v>#DIV/0!</v>
      </c>
      <c r="GZB133" s="531" t="e">
        <f t="shared" si="345"/>
        <v>#DIV/0!</v>
      </c>
      <c r="GZC133" s="531" t="e">
        <f t="shared" si="345"/>
        <v>#DIV/0!</v>
      </c>
      <c r="GZD133" s="531" t="e">
        <f t="shared" si="345"/>
        <v>#DIV/0!</v>
      </c>
      <c r="GZE133" s="531" t="e">
        <f t="shared" si="345"/>
        <v>#DIV/0!</v>
      </c>
      <c r="GZF133" s="531" t="e">
        <f t="shared" si="345"/>
        <v>#DIV/0!</v>
      </c>
      <c r="GZG133" s="531" t="e">
        <f t="shared" si="345"/>
        <v>#DIV/0!</v>
      </c>
      <c r="GZH133" s="531" t="e">
        <f t="shared" si="345"/>
        <v>#DIV/0!</v>
      </c>
      <c r="GZI133" s="531" t="e">
        <f t="shared" si="345"/>
        <v>#DIV/0!</v>
      </c>
      <c r="GZJ133" s="531" t="e">
        <f t="shared" si="345"/>
        <v>#DIV/0!</v>
      </c>
      <c r="GZK133" s="531" t="e">
        <f t="shared" si="345"/>
        <v>#DIV/0!</v>
      </c>
      <c r="GZL133" s="531" t="e">
        <f t="shared" si="345"/>
        <v>#DIV/0!</v>
      </c>
      <c r="GZM133" s="531" t="e">
        <f t="shared" si="345"/>
        <v>#DIV/0!</v>
      </c>
      <c r="GZN133" s="531" t="e">
        <f t="shared" si="345"/>
        <v>#DIV/0!</v>
      </c>
      <c r="GZO133" s="531" t="e">
        <f t="shared" si="345"/>
        <v>#DIV/0!</v>
      </c>
      <c r="GZP133" s="531" t="e">
        <f t="shared" si="345"/>
        <v>#DIV/0!</v>
      </c>
      <c r="GZQ133" s="531" t="e">
        <f t="shared" si="345"/>
        <v>#DIV/0!</v>
      </c>
      <c r="GZR133" s="531" t="e">
        <f t="shared" si="345"/>
        <v>#DIV/0!</v>
      </c>
      <c r="GZS133" s="531" t="e">
        <f t="shared" si="345"/>
        <v>#DIV/0!</v>
      </c>
      <c r="GZT133" s="531" t="e">
        <f t="shared" si="345"/>
        <v>#DIV/0!</v>
      </c>
      <c r="GZU133" s="531" t="e">
        <f t="shared" si="345"/>
        <v>#DIV/0!</v>
      </c>
      <c r="GZV133" s="531" t="e">
        <f t="shared" si="345"/>
        <v>#DIV/0!</v>
      </c>
      <c r="GZW133" s="531" t="e">
        <f t="shared" si="345"/>
        <v>#DIV/0!</v>
      </c>
      <c r="GZX133" s="531" t="e">
        <f t="shared" si="345"/>
        <v>#DIV/0!</v>
      </c>
      <c r="GZY133" s="531" t="e">
        <f t="shared" si="345"/>
        <v>#DIV/0!</v>
      </c>
      <c r="GZZ133" s="531" t="e">
        <f t="shared" si="345"/>
        <v>#DIV/0!</v>
      </c>
      <c r="HAA133" s="531" t="e">
        <f t="shared" si="345"/>
        <v>#DIV/0!</v>
      </c>
      <c r="HAB133" s="531" t="e">
        <f t="shared" si="345"/>
        <v>#DIV/0!</v>
      </c>
      <c r="HAC133" s="531" t="e">
        <f t="shared" si="345"/>
        <v>#DIV/0!</v>
      </c>
      <c r="HAD133" s="531" t="e">
        <f t="shared" si="345"/>
        <v>#DIV/0!</v>
      </c>
      <c r="HAE133" s="531" t="e">
        <f t="shared" si="345"/>
        <v>#DIV/0!</v>
      </c>
      <c r="HAF133" s="531" t="e">
        <f t="shared" si="345"/>
        <v>#DIV/0!</v>
      </c>
      <c r="HAG133" s="531" t="e">
        <f t="shared" si="345"/>
        <v>#DIV/0!</v>
      </c>
      <c r="HAH133" s="531" t="e">
        <f t="shared" si="345"/>
        <v>#DIV/0!</v>
      </c>
      <c r="HAI133" s="531" t="e">
        <f t="shared" si="345"/>
        <v>#DIV/0!</v>
      </c>
      <c r="HAJ133" s="531" t="e">
        <f t="shared" si="345"/>
        <v>#DIV/0!</v>
      </c>
      <c r="HAK133" s="531" t="e">
        <f t="shared" si="345"/>
        <v>#DIV/0!</v>
      </c>
      <c r="HAL133" s="531" t="e">
        <f t="shared" si="345"/>
        <v>#DIV/0!</v>
      </c>
      <c r="HAM133" s="531" t="e">
        <f t="shared" ref="HAM133:HCX133" si="346">HAM116/(HAM52*10^5)</f>
        <v>#DIV/0!</v>
      </c>
      <c r="HAN133" s="531" t="e">
        <f t="shared" si="346"/>
        <v>#DIV/0!</v>
      </c>
      <c r="HAO133" s="531" t="e">
        <f t="shared" si="346"/>
        <v>#DIV/0!</v>
      </c>
      <c r="HAP133" s="531" t="e">
        <f t="shared" si="346"/>
        <v>#DIV/0!</v>
      </c>
      <c r="HAQ133" s="531" t="e">
        <f t="shared" si="346"/>
        <v>#DIV/0!</v>
      </c>
      <c r="HAR133" s="531" t="e">
        <f t="shared" si="346"/>
        <v>#DIV/0!</v>
      </c>
      <c r="HAS133" s="531" t="e">
        <f t="shared" si="346"/>
        <v>#DIV/0!</v>
      </c>
      <c r="HAT133" s="531" t="e">
        <f t="shared" si="346"/>
        <v>#DIV/0!</v>
      </c>
      <c r="HAU133" s="531" t="e">
        <f t="shared" si="346"/>
        <v>#DIV/0!</v>
      </c>
      <c r="HAV133" s="531" t="e">
        <f t="shared" si="346"/>
        <v>#DIV/0!</v>
      </c>
      <c r="HAW133" s="531" t="e">
        <f t="shared" si="346"/>
        <v>#DIV/0!</v>
      </c>
      <c r="HAX133" s="531" t="e">
        <f t="shared" si="346"/>
        <v>#DIV/0!</v>
      </c>
      <c r="HAY133" s="531" t="e">
        <f t="shared" si="346"/>
        <v>#DIV/0!</v>
      </c>
      <c r="HAZ133" s="531" t="e">
        <f t="shared" si="346"/>
        <v>#DIV/0!</v>
      </c>
      <c r="HBA133" s="531" t="e">
        <f t="shared" si="346"/>
        <v>#DIV/0!</v>
      </c>
      <c r="HBB133" s="531" t="e">
        <f t="shared" si="346"/>
        <v>#DIV/0!</v>
      </c>
      <c r="HBC133" s="531" t="e">
        <f t="shared" si="346"/>
        <v>#DIV/0!</v>
      </c>
      <c r="HBD133" s="531" t="e">
        <f t="shared" si="346"/>
        <v>#DIV/0!</v>
      </c>
      <c r="HBE133" s="531" t="e">
        <f t="shared" si="346"/>
        <v>#DIV/0!</v>
      </c>
      <c r="HBF133" s="531" t="e">
        <f t="shared" si="346"/>
        <v>#DIV/0!</v>
      </c>
      <c r="HBG133" s="531" t="e">
        <f t="shared" si="346"/>
        <v>#DIV/0!</v>
      </c>
      <c r="HBH133" s="531" t="e">
        <f t="shared" si="346"/>
        <v>#DIV/0!</v>
      </c>
      <c r="HBI133" s="531" t="e">
        <f t="shared" si="346"/>
        <v>#DIV/0!</v>
      </c>
      <c r="HBJ133" s="531" t="e">
        <f t="shared" si="346"/>
        <v>#DIV/0!</v>
      </c>
      <c r="HBK133" s="531" t="e">
        <f t="shared" si="346"/>
        <v>#DIV/0!</v>
      </c>
      <c r="HBL133" s="531" t="e">
        <f t="shared" si="346"/>
        <v>#DIV/0!</v>
      </c>
      <c r="HBM133" s="531" t="e">
        <f t="shared" si="346"/>
        <v>#DIV/0!</v>
      </c>
      <c r="HBN133" s="531" t="e">
        <f t="shared" si="346"/>
        <v>#DIV/0!</v>
      </c>
      <c r="HBO133" s="531" t="e">
        <f t="shared" si="346"/>
        <v>#DIV/0!</v>
      </c>
      <c r="HBP133" s="531" t="e">
        <f t="shared" si="346"/>
        <v>#DIV/0!</v>
      </c>
      <c r="HBQ133" s="531" t="e">
        <f t="shared" si="346"/>
        <v>#DIV/0!</v>
      </c>
      <c r="HBR133" s="531" t="e">
        <f t="shared" si="346"/>
        <v>#DIV/0!</v>
      </c>
      <c r="HBS133" s="531" t="e">
        <f t="shared" si="346"/>
        <v>#DIV/0!</v>
      </c>
      <c r="HBT133" s="531" t="e">
        <f t="shared" si="346"/>
        <v>#DIV/0!</v>
      </c>
      <c r="HBU133" s="531" t="e">
        <f t="shared" si="346"/>
        <v>#DIV/0!</v>
      </c>
      <c r="HBV133" s="531" t="e">
        <f t="shared" si="346"/>
        <v>#DIV/0!</v>
      </c>
      <c r="HBW133" s="531" t="e">
        <f t="shared" si="346"/>
        <v>#DIV/0!</v>
      </c>
      <c r="HBX133" s="531" t="e">
        <f t="shared" si="346"/>
        <v>#DIV/0!</v>
      </c>
      <c r="HBY133" s="531" t="e">
        <f t="shared" si="346"/>
        <v>#DIV/0!</v>
      </c>
      <c r="HBZ133" s="531" t="e">
        <f t="shared" si="346"/>
        <v>#DIV/0!</v>
      </c>
      <c r="HCA133" s="531" t="e">
        <f t="shared" si="346"/>
        <v>#DIV/0!</v>
      </c>
      <c r="HCB133" s="531" t="e">
        <f t="shared" si="346"/>
        <v>#DIV/0!</v>
      </c>
      <c r="HCC133" s="531" t="e">
        <f t="shared" si="346"/>
        <v>#DIV/0!</v>
      </c>
      <c r="HCD133" s="531" t="e">
        <f t="shared" si="346"/>
        <v>#DIV/0!</v>
      </c>
      <c r="HCE133" s="531" t="e">
        <f t="shared" si="346"/>
        <v>#DIV/0!</v>
      </c>
      <c r="HCF133" s="531" t="e">
        <f t="shared" si="346"/>
        <v>#DIV/0!</v>
      </c>
      <c r="HCG133" s="531" t="e">
        <f t="shared" si="346"/>
        <v>#DIV/0!</v>
      </c>
      <c r="HCH133" s="531" t="e">
        <f t="shared" si="346"/>
        <v>#DIV/0!</v>
      </c>
      <c r="HCI133" s="531" t="e">
        <f t="shared" si="346"/>
        <v>#DIV/0!</v>
      </c>
      <c r="HCJ133" s="531" t="e">
        <f t="shared" si="346"/>
        <v>#DIV/0!</v>
      </c>
      <c r="HCK133" s="531" t="e">
        <f t="shared" si="346"/>
        <v>#DIV/0!</v>
      </c>
      <c r="HCL133" s="531" t="e">
        <f t="shared" si="346"/>
        <v>#DIV/0!</v>
      </c>
      <c r="HCM133" s="531" t="e">
        <f t="shared" si="346"/>
        <v>#DIV/0!</v>
      </c>
      <c r="HCN133" s="531" t="e">
        <f t="shared" si="346"/>
        <v>#DIV/0!</v>
      </c>
      <c r="HCO133" s="531" t="e">
        <f t="shared" si="346"/>
        <v>#DIV/0!</v>
      </c>
      <c r="HCP133" s="531" t="e">
        <f t="shared" si="346"/>
        <v>#DIV/0!</v>
      </c>
      <c r="HCQ133" s="531" t="e">
        <f t="shared" si="346"/>
        <v>#DIV/0!</v>
      </c>
      <c r="HCR133" s="531" t="e">
        <f t="shared" si="346"/>
        <v>#DIV/0!</v>
      </c>
      <c r="HCS133" s="531" t="e">
        <f t="shared" si="346"/>
        <v>#DIV/0!</v>
      </c>
      <c r="HCT133" s="531" t="e">
        <f t="shared" si="346"/>
        <v>#DIV/0!</v>
      </c>
      <c r="HCU133" s="531" t="e">
        <f t="shared" si="346"/>
        <v>#DIV/0!</v>
      </c>
      <c r="HCV133" s="531" t="e">
        <f t="shared" si="346"/>
        <v>#DIV/0!</v>
      </c>
      <c r="HCW133" s="531" t="e">
        <f t="shared" si="346"/>
        <v>#DIV/0!</v>
      </c>
      <c r="HCX133" s="531" t="e">
        <f t="shared" si="346"/>
        <v>#DIV/0!</v>
      </c>
      <c r="HCY133" s="531" t="e">
        <f t="shared" ref="HCY133:HFJ133" si="347">HCY116/(HCY52*10^5)</f>
        <v>#DIV/0!</v>
      </c>
      <c r="HCZ133" s="531" t="e">
        <f t="shared" si="347"/>
        <v>#DIV/0!</v>
      </c>
      <c r="HDA133" s="531" t="e">
        <f t="shared" si="347"/>
        <v>#DIV/0!</v>
      </c>
      <c r="HDB133" s="531" t="e">
        <f t="shared" si="347"/>
        <v>#DIV/0!</v>
      </c>
      <c r="HDC133" s="531" t="e">
        <f t="shared" si="347"/>
        <v>#DIV/0!</v>
      </c>
      <c r="HDD133" s="531" t="e">
        <f t="shared" si="347"/>
        <v>#DIV/0!</v>
      </c>
      <c r="HDE133" s="531" t="e">
        <f t="shared" si="347"/>
        <v>#DIV/0!</v>
      </c>
      <c r="HDF133" s="531" t="e">
        <f t="shared" si="347"/>
        <v>#DIV/0!</v>
      </c>
      <c r="HDG133" s="531" t="e">
        <f t="shared" si="347"/>
        <v>#DIV/0!</v>
      </c>
      <c r="HDH133" s="531" t="e">
        <f t="shared" si="347"/>
        <v>#DIV/0!</v>
      </c>
      <c r="HDI133" s="531" t="e">
        <f t="shared" si="347"/>
        <v>#DIV/0!</v>
      </c>
      <c r="HDJ133" s="531" t="e">
        <f t="shared" si="347"/>
        <v>#DIV/0!</v>
      </c>
      <c r="HDK133" s="531" t="e">
        <f t="shared" si="347"/>
        <v>#DIV/0!</v>
      </c>
      <c r="HDL133" s="531" t="e">
        <f t="shared" si="347"/>
        <v>#DIV/0!</v>
      </c>
      <c r="HDM133" s="531" t="e">
        <f t="shared" si="347"/>
        <v>#DIV/0!</v>
      </c>
      <c r="HDN133" s="531" t="e">
        <f t="shared" si="347"/>
        <v>#DIV/0!</v>
      </c>
      <c r="HDO133" s="531" t="e">
        <f t="shared" si="347"/>
        <v>#DIV/0!</v>
      </c>
      <c r="HDP133" s="531" t="e">
        <f t="shared" si="347"/>
        <v>#DIV/0!</v>
      </c>
      <c r="HDQ133" s="531" t="e">
        <f t="shared" si="347"/>
        <v>#DIV/0!</v>
      </c>
      <c r="HDR133" s="531" t="e">
        <f t="shared" si="347"/>
        <v>#DIV/0!</v>
      </c>
      <c r="HDS133" s="531" t="e">
        <f t="shared" si="347"/>
        <v>#DIV/0!</v>
      </c>
      <c r="HDT133" s="531" t="e">
        <f t="shared" si="347"/>
        <v>#DIV/0!</v>
      </c>
      <c r="HDU133" s="531" t="e">
        <f t="shared" si="347"/>
        <v>#DIV/0!</v>
      </c>
      <c r="HDV133" s="531" t="e">
        <f t="shared" si="347"/>
        <v>#DIV/0!</v>
      </c>
      <c r="HDW133" s="531" t="e">
        <f t="shared" si="347"/>
        <v>#DIV/0!</v>
      </c>
      <c r="HDX133" s="531" t="e">
        <f t="shared" si="347"/>
        <v>#DIV/0!</v>
      </c>
      <c r="HDY133" s="531" t="e">
        <f t="shared" si="347"/>
        <v>#DIV/0!</v>
      </c>
      <c r="HDZ133" s="531" t="e">
        <f t="shared" si="347"/>
        <v>#DIV/0!</v>
      </c>
      <c r="HEA133" s="531" t="e">
        <f t="shared" si="347"/>
        <v>#DIV/0!</v>
      </c>
      <c r="HEB133" s="531" t="e">
        <f t="shared" si="347"/>
        <v>#DIV/0!</v>
      </c>
      <c r="HEC133" s="531" t="e">
        <f t="shared" si="347"/>
        <v>#DIV/0!</v>
      </c>
      <c r="HED133" s="531" t="e">
        <f t="shared" si="347"/>
        <v>#DIV/0!</v>
      </c>
      <c r="HEE133" s="531" t="e">
        <f t="shared" si="347"/>
        <v>#DIV/0!</v>
      </c>
      <c r="HEF133" s="531" t="e">
        <f t="shared" si="347"/>
        <v>#DIV/0!</v>
      </c>
      <c r="HEG133" s="531" t="e">
        <f t="shared" si="347"/>
        <v>#DIV/0!</v>
      </c>
      <c r="HEH133" s="531" t="e">
        <f t="shared" si="347"/>
        <v>#DIV/0!</v>
      </c>
      <c r="HEI133" s="531" t="e">
        <f t="shared" si="347"/>
        <v>#DIV/0!</v>
      </c>
      <c r="HEJ133" s="531" t="e">
        <f t="shared" si="347"/>
        <v>#DIV/0!</v>
      </c>
      <c r="HEK133" s="531" t="e">
        <f t="shared" si="347"/>
        <v>#DIV/0!</v>
      </c>
      <c r="HEL133" s="531" t="e">
        <f t="shared" si="347"/>
        <v>#DIV/0!</v>
      </c>
      <c r="HEM133" s="531" t="e">
        <f t="shared" si="347"/>
        <v>#DIV/0!</v>
      </c>
      <c r="HEN133" s="531" t="e">
        <f t="shared" si="347"/>
        <v>#DIV/0!</v>
      </c>
      <c r="HEO133" s="531" t="e">
        <f t="shared" si="347"/>
        <v>#DIV/0!</v>
      </c>
      <c r="HEP133" s="531" t="e">
        <f t="shared" si="347"/>
        <v>#DIV/0!</v>
      </c>
      <c r="HEQ133" s="531" t="e">
        <f t="shared" si="347"/>
        <v>#DIV/0!</v>
      </c>
      <c r="HER133" s="531" t="e">
        <f t="shared" si="347"/>
        <v>#DIV/0!</v>
      </c>
      <c r="HES133" s="531" t="e">
        <f t="shared" si="347"/>
        <v>#DIV/0!</v>
      </c>
      <c r="HET133" s="531" t="e">
        <f t="shared" si="347"/>
        <v>#DIV/0!</v>
      </c>
      <c r="HEU133" s="531" t="e">
        <f t="shared" si="347"/>
        <v>#DIV/0!</v>
      </c>
      <c r="HEV133" s="531" t="e">
        <f t="shared" si="347"/>
        <v>#DIV/0!</v>
      </c>
      <c r="HEW133" s="531" t="e">
        <f t="shared" si="347"/>
        <v>#DIV/0!</v>
      </c>
      <c r="HEX133" s="531" t="e">
        <f t="shared" si="347"/>
        <v>#DIV/0!</v>
      </c>
      <c r="HEY133" s="531" t="e">
        <f t="shared" si="347"/>
        <v>#DIV/0!</v>
      </c>
      <c r="HEZ133" s="531" t="e">
        <f t="shared" si="347"/>
        <v>#DIV/0!</v>
      </c>
      <c r="HFA133" s="531" t="e">
        <f t="shared" si="347"/>
        <v>#DIV/0!</v>
      </c>
      <c r="HFB133" s="531" t="e">
        <f t="shared" si="347"/>
        <v>#DIV/0!</v>
      </c>
      <c r="HFC133" s="531" t="e">
        <f t="shared" si="347"/>
        <v>#DIV/0!</v>
      </c>
      <c r="HFD133" s="531" t="e">
        <f t="shared" si="347"/>
        <v>#DIV/0!</v>
      </c>
      <c r="HFE133" s="531" t="e">
        <f t="shared" si="347"/>
        <v>#DIV/0!</v>
      </c>
      <c r="HFF133" s="531" t="e">
        <f t="shared" si="347"/>
        <v>#DIV/0!</v>
      </c>
      <c r="HFG133" s="531" t="e">
        <f t="shared" si="347"/>
        <v>#DIV/0!</v>
      </c>
      <c r="HFH133" s="531" t="e">
        <f t="shared" si="347"/>
        <v>#DIV/0!</v>
      </c>
      <c r="HFI133" s="531" t="e">
        <f t="shared" si="347"/>
        <v>#DIV/0!</v>
      </c>
      <c r="HFJ133" s="531" t="e">
        <f t="shared" si="347"/>
        <v>#DIV/0!</v>
      </c>
      <c r="HFK133" s="531" t="e">
        <f t="shared" ref="HFK133:HHV133" si="348">HFK116/(HFK52*10^5)</f>
        <v>#DIV/0!</v>
      </c>
      <c r="HFL133" s="531" t="e">
        <f t="shared" si="348"/>
        <v>#DIV/0!</v>
      </c>
      <c r="HFM133" s="531" t="e">
        <f t="shared" si="348"/>
        <v>#DIV/0!</v>
      </c>
      <c r="HFN133" s="531" t="e">
        <f t="shared" si="348"/>
        <v>#DIV/0!</v>
      </c>
      <c r="HFO133" s="531" t="e">
        <f t="shared" si="348"/>
        <v>#DIV/0!</v>
      </c>
      <c r="HFP133" s="531" t="e">
        <f t="shared" si="348"/>
        <v>#DIV/0!</v>
      </c>
      <c r="HFQ133" s="531" t="e">
        <f t="shared" si="348"/>
        <v>#DIV/0!</v>
      </c>
      <c r="HFR133" s="531" t="e">
        <f t="shared" si="348"/>
        <v>#DIV/0!</v>
      </c>
      <c r="HFS133" s="531" t="e">
        <f t="shared" si="348"/>
        <v>#DIV/0!</v>
      </c>
      <c r="HFT133" s="531" t="e">
        <f t="shared" si="348"/>
        <v>#DIV/0!</v>
      </c>
      <c r="HFU133" s="531" t="e">
        <f t="shared" si="348"/>
        <v>#DIV/0!</v>
      </c>
      <c r="HFV133" s="531" t="e">
        <f t="shared" si="348"/>
        <v>#DIV/0!</v>
      </c>
      <c r="HFW133" s="531" t="e">
        <f t="shared" si="348"/>
        <v>#DIV/0!</v>
      </c>
      <c r="HFX133" s="531" t="e">
        <f t="shared" si="348"/>
        <v>#DIV/0!</v>
      </c>
      <c r="HFY133" s="531" t="e">
        <f t="shared" si="348"/>
        <v>#DIV/0!</v>
      </c>
      <c r="HFZ133" s="531" t="e">
        <f t="shared" si="348"/>
        <v>#DIV/0!</v>
      </c>
      <c r="HGA133" s="531" t="e">
        <f t="shared" si="348"/>
        <v>#DIV/0!</v>
      </c>
      <c r="HGB133" s="531" t="e">
        <f t="shared" si="348"/>
        <v>#DIV/0!</v>
      </c>
      <c r="HGC133" s="531" t="e">
        <f t="shared" si="348"/>
        <v>#DIV/0!</v>
      </c>
      <c r="HGD133" s="531" t="e">
        <f t="shared" si="348"/>
        <v>#DIV/0!</v>
      </c>
      <c r="HGE133" s="531" t="e">
        <f t="shared" si="348"/>
        <v>#DIV/0!</v>
      </c>
      <c r="HGF133" s="531" t="e">
        <f t="shared" si="348"/>
        <v>#DIV/0!</v>
      </c>
      <c r="HGG133" s="531" t="e">
        <f t="shared" si="348"/>
        <v>#DIV/0!</v>
      </c>
      <c r="HGH133" s="531" t="e">
        <f t="shared" si="348"/>
        <v>#DIV/0!</v>
      </c>
      <c r="HGI133" s="531" t="e">
        <f t="shared" si="348"/>
        <v>#DIV/0!</v>
      </c>
      <c r="HGJ133" s="531" t="e">
        <f t="shared" si="348"/>
        <v>#DIV/0!</v>
      </c>
      <c r="HGK133" s="531" t="e">
        <f t="shared" si="348"/>
        <v>#DIV/0!</v>
      </c>
      <c r="HGL133" s="531" t="e">
        <f t="shared" si="348"/>
        <v>#DIV/0!</v>
      </c>
      <c r="HGM133" s="531" t="e">
        <f t="shared" si="348"/>
        <v>#DIV/0!</v>
      </c>
      <c r="HGN133" s="531" t="e">
        <f t="shared" si="348"/>
        <v>#DIV/0!</v>
      </c>
      <c r="HGO133" s="531" t="e">
        <f t="shared" si="348"/>
        <v>#DIV/0!</v>
      </c>
      <c r="HGP133" s="531" t="e">
        <f t="shared" si="348"/>
        <v>#DIV/0!</v>
      </c>
      <c r="HGQ133" s="531" t="e">
        <f t="shared" si="348"/>
        <v>#DIV/0!</v>
      </c>
      <c r="HGR133" s="531" t="e">
        <f t="shared" si="348"/>
        <v>#DIV/0!</v>
      </c>
      <c r="HGS133" s="531" t="e">
        <f t="shared" si="348"/>
        <v>#DIV/0!</v>
      </c>
      <c r="HGT133" s="531" t="e">
        <f t="shared" si="348"/>
        <v>#DIV/0!</v>
      </c>
      <c r="HGU133" s="531" t="e">
        <f t="shared" si="348"/>
        <v>#DIV/0!</v>
      </c>
      <c r="HGV133" s="531" t="e">
        <f t="shared" si="348"/>
        <v>#DIV/0!</v>
      </c>
      <c r="HGW133" s="531" t="e">
        <f t="shared" si="348"/>
        <v>#DIV/0!</v>
      </c>
      <c r="HGX133" s="531" t="e">
        <f t="shared" si="348"/>
        <v>#DIV/0!</v>
      </c>
      <c r="HGY133" s="531" t="e">
        <f t="shared" si="348"/>
        <v>#DIV/0!</v>
      </c>
      <c r="HGZ133" s="531" t="e">
        <f t="shared" si="348"/>
        <v>#DIV/0!</v>
      </c>
      <c r="HHA133" s="531" t="e">
        <f t="shared" si="348"/>
        <v>#DIV/0!</v>
      </c>
      <c r="HHB133" s="531" t="e">
        <f t="shared" si="348"/>
        <v>#DIV/0!</v>
      </c>
      <c r="HHC133" s="531" t="e">
        <f t="shared" si="348"/>
        <v>#DIV/0!</v>
      </c>
      <c r="HHD133" s="531" t="e">
        <f t="shared" si="348"/>
        <v>#DIV/0!</v>
      </c>
      <c r="HHE133" s="531" t="e">
        <f t="shared" si="348"/>
        <v>#DIV/0!</v>
      </c>
      <c r="HHF133" s="531" t="e">
        <f t="shared" si="348"/>
        <v>#DIV/0!</v>
      </c>
      <c r="HHG133" s="531" t="e">
        <f t="shared" si="348"/>
        <v>#DIV/0!</v>
      </c>
      <c r="HHH133" s="531" t="e">
        <f t="shared" si="348"/>
        <v>#DIV/0!</v>
      </c>
      <c r="HHI133" s="531" t="e">
        <f t="shared" si="348"/>
        <v>#DIV/0!</v>
      </c>
      <c r="HHJ133" s="531" t="e">
        <f t="shared" si="348"/>
        <v>#DIV/0!</v>
      </c>
      <c r="HHK133" s="531" t="e">
        <f t="shared" si="348"/>
        <v>#DIV/0!</v>
      </c>
      <c r="HHL133" s="531" t="e">
        <f t="shared" si="348"/>
        <v>#DIV/0!</v>
      </c>
      <c r="HHM133" s="531" t="e">
        <f t="shared" si="348"/>
        <v>#DIV/0!</v>
      </c>
      <c r="HHN133" s="531" t="e">
        <f t="shared" si="348"/>
        <v>#DIV/0!</v>
      </c>
      <c r="HHO133" s="531" t="e">
        <f t="shared" si="348"/>
        <v>#DIV/0!</v>
      </c>
      <c r="HHP133" s="531" t="e">
        <f t="shared" si="348"/>
        <v>#DIV/0!</v>
      </c>
      <c r="HHQ133" s="531" t="e">
        <f t="shared" si="348"/>
        <v>#DIV/0!</v>
      </c>
      <c r="HHR133" s="531" t="e">
        <f t="shared" si="348"/>
        <v>#DIV/0!</v>
      </c>
      <c r="HHS133" s="531" t="e">
        <f t="shared" si="348"/>
        <v>#DIV/0!</v>
      </c>
      <c r="HHT133" s="531" t="e">
        <f t="shared" si="348"/>
        <v>#DIV/0!</v>
      </c>
      <c r="HHU133" s="531" t="e">
        <f t="shared" si="348"/>
        <v>#DIV/0!</v>
      </c>
      <c r="HHV133" s="531" t="e">
        <f t="shared" si="348"/>
        <v>#DIV/0!</v>
      </c>
      <c r="HHW133" s="531" t="e">
        <f t="shared" ref="HHW133:HKH133" si="349">HHW116/(HHW52*10^5)</f>
        <v>#DIV/0!</v>
      </c>
      <c r="HHX133" s="531" t="e">
        <f t="shared" si="349"/>
        <v>#DIV/0!</v>
      </c>
      <c r="HHY133" s="531" t="e">
        <f t="shared" si="349"/>
        <v>#DIV/0!</v>
      </c>
      <c r="HHZ133" s="531" t="e">
        <f t="shared" si="349"/>
        <v>#DIV/0!</v>
      </c>
      <c r="HIA133" s="531" t="e">
        <f t="shared" si="349"/>
        <v>#DIV/0!</v>
      </c>
      <c r="HIB133" s="531" t="e">
        <f t="shared" si="349"/>
        <v>#DIV/0!</v>
      </c>
      <c r="HIC133" s="531" t="e">
        <f t="shared" si="349"/>
        <v>#DIV/0!</v>
      </c>
      <c r="HID133" s="531" t="e">
        <f t="shared" si="349"/>
        <v>#DIV/0!</v>
      </c>
      <c r="HIE133" s="531" t="e">
        <f t="shared" si="349"/>
        <v>#DIV/0!</v>
      </c>
      <c r="HIF133" s="531" t="e">
        <f t="shared" si="349"/>
        <v>#DIV/0!</v>
      </c>
      <c r="HIG133" s="531" t="e">
        <f t="shared" si="349"/>
        <v>#DIV/0!</v>
      </c>
      <c r="HIH133" s="531" t="e">
        <f t="shared" si="349"/>
        <v>#DIV/0!</v>
      </c>
      <c r="HII133" s="531" t="e">
        <f t="shared" si="349"/>
        <v>#DIV/0!</v>
      </c>
      <c r="HIJ133" s="531" t="e">
        <f t="shared" si="349"/>
        <v>#DIV/0!</v>
      </c>
      <c r="HIK133" s="531" t="e">
        <f t="shared" si="349"/>
        <v>#DIV/0!</v>
      </c>
      <c r="HIL133" s="531" t="e">
        <f t="shared" si="349"/>
        <v>#DIV/0!</v>
      </c>
      <c r="HIM133" s="531" t="e">
        <f t="shared" si="349"/>
        <v>#DIV/0!</v>
      </c>
      <c r="HIN133" s="531" t="e">
        <f t="shared" si="349"/>
        <v>#DIV/0!</v>
      </c>
      <c r="HIO133" s="531" t="e">
        <f t="shared" si="349"/>
        <v>#DIV/0!</v>
      </c>
      <c r="HIP133" s="531" t="e">
        <f t="shared" si="349"/>
        <v>#DIV/0!</v>
      </c>
      <c r="HIQ133" s="531" t="e">
        <f t="shared" si="349"/>
        <v>#DIV/0!</v>
      </c>
      <c r="HIR133" s="531" t="e">
        <f t="shared" si="349"/>
        <v>#DIV/0!</v>
      </c>
      <c r="HIS133" s="531" t="e">
        <f t="shared" si="349"/>
        <v>#DIV/0!</v>
      </c>
      <c r="HIT133" s="531" t="e">
        <f t="shared" si="349"/>
        <v>#DIV/0!</v>
      </c>
      <c r="HIU133" s="531" t="e">
        <f t="shared" si="349"/>
        <v>#DIV/0!</v>
      </c>
      <c r="HIV133" s="531" t="e">
        <f t="shared" si="349"/>
        <v>#DIV/0!</v>
      </c>
      <c r="HIW133" s="531" t="e">
        <f t="shared" si="349"/>
        <v>#DIV/0!</v>
      </c>
      <c r="HIX133" s="531" t="e">
        <f t="shared" si="349"/>
        <v>#DIV/0!</v>
      </c>
      <c r="HIY133" s="531" t="e">
        <f t="shared" si="349"/>
        <v>#DIV/0!</v>
      </c>
      <c r="HIZ133" s="531" t="e">
        <f t="shared" si="349"/>
        <v>#DIV/0!</v>
      </c>
      <c r="HJA133" s="531" t="e">
        <f t="shared" si="349"/>
        <v>#DIV/0!</v>
      </c>
      <c r="HJB133" s="531" t="e">
        <f t="shared" si="349"/>
        <v>#DIV/0!</v>
      </c>
      <c r="HJC133" s="531" t="e">
        <f t="shared" si="349"/>
        <v>#DIV/0!</v>
      </c>
      <c r="HJD133" s="531" t="e">
        <f t="shared" si="349"/>
        <v>#DIV/0!</v>
      </c>
      <c r="HJE133" s="531" t="e">
        <f t="shared" si="349"/>
        <v>#DIV/0!</v>
      </c>
      <c r="HJF133" s="531" t="e">
        <f t="shared" si="349"/>
        <v>#DIV/0!</v>
      </c>
      <c r="HJG133" s="531" t="e">
        <f t="shared" si="349"/>
        <v>#DIV/0!</v>
      </c>
      <c r="HJH133" s="531" t="e">
        <f t="shared" si="349"/>
        <v>#DIV/0!</v>
      </c>
      <c r="HJI133" s="531" t="e">
        <f t="shared" si="349"/>
        <v>#DIV/0!</v>
      </c>
      <c r="HJJ133" s="531" t="e">
        <f t="shared" si="349"/>
        <v>#DIV/0!</v>
      </c>
      <c r="HJK133" s="531" t="e">
        <f t="shared" si="349"/>
        <v>#DIV/0!</v>
      </c>
      <c r="HJL133" s="531" t="e">
        <f t="shared" si="349"/>
        <v>#DIV/0!</v>
      </c>
      <c r="HJM133" s="531" t="e">
        <f t="shared" si="349"/>
        <v>#DIV/0!</v>
      </c>
      <c r="HJN133" s="531" t="e">
        <f t="shared" si="349"/>
        <v>#DIV/0!</v>
      </c>
      <c r="HJO133" s="531" t="e">
        <f t="shared" si="349"/>
        <v>#DIV/0!</v>
      </c>
      <c r="HJP133" s="531" t="e">
        <f t="shared" si="349"/>
        <v>#DIV/0!</v>
      </c>
      <c r="HJQ133" s="531" t="e">
        <f t="shared" si="349"/>
        <v>#DIV/0!</v>
      </c>
      <c r="HJR133" s="531" t="e">
        <f t="shared" si="349"/>
        <v>#DIV/0!</v>
      </c>
      <c r="HJS133" s="531" t="e">
        <f t="shared" si="349"/>
        <v>#DIV/0!</v>
      </c>
      <c r="HJT133" s="531" t="e">
        <f t="shared" si="349"/>
        <v>#DIV/0!</v>
      </c>
      <c r="HJU133" s="531" t="e">
        <f t="shared" si="349"/>
        <v>#DIV/0!</v>
      </c>
      <c r="HJV133" s="531" t="e">
        <f t="shared" si="349"/>
        <v>#DIV/0!</v>
      </c>
      <c r="HJW133" s="531" t="e">
        <f t="shared" si="349"/>
        <v>#DIV/0!</v>
      </c>
      <c r="HJX133" s="531" t="e">
        <f t="shared" si="349"/>
        <v>#DIV/0!</v>
      </c>
      <c r="HJY133" s="531" t="e">
        <f t="shared" si="349"/>
        <v>#DIV/0!</v>
      </c>
      <c r="HJZ133" s="531" t="e">
        <f t="shared" si="349"/>
        <v>#DIV/0!</v>
      </c>
      <c r="HKA133" s="531" t="e">
        <f t="shared" si="349"/>
        <v>#DIV/0!</v>
      </c>
      <c r="HKB133" s="531" t="e">
        <f t="shared" si="349"/>
        <v>#DIV/0!</v>
      </c>
      <c r="HKC133" s="531" t="e">
        <f t="shared" si="349"/>
        <v>#DIV/0!</v>
      </c>
      <c r="HKD133" s="531" t="e">
        <f t="shared" si="349"/>
        <v>#DIV/0!</v>
      </c>
      <c r="HKE133" s="531" t="e">
        <f t="shared" si="349"/>
        <v>#DIV/0!</v>
      </c>
      <c r="HKF133" s="531" t="e">
        <f t="shared" si="349"/>
        <v>#DIV/0!</v>
      </c>
      <c r="HKG133" s="531" t="e">
        <f t="shared" si="349"/>
        <v>#DIV/0!</v>
      </c>
      <c r="HKH133" s="531" t="e">
        <f t="shared" si="349"/>
        <v>#DIV/0!</v>
      </c>
      <c r="HKI133" s="531" t="e">
        <f t="shared" ref="HKI133:HMT133" si="350">HKI116/(HKI52*10^5)</f>
        <v>#DIV/0!</v>
      </c>
      <c r="HKJ133" s="531" t="e">
        <f t="shared" si="350"/>
        <v>#DIV/0!</v>
      </c>
      <c r="HKK133" s="531" t="e">
        <f t="shared" si="350"/>
        <v>#DIV/0!</v>
      </c>
      <c r="HKL133" s="531" t="e">
        <f t="shared" si="350"/>
        <v>#DIV/0!</v>
      </c>
      <c r="HKM133" s="531" t="e">
        <f t="shared" si="350"/>
        <v>#DIV/0!</v>
      </c>
      <c r="HKN133" s="531" t="e">
        <f t="shared" si="350"/>
        <v>#DIV/0!</v>
      </c>
      <c r="HKO133" s="531" t="e">
        <f t="shared" si="350"/>
        <v>#DIV/0!</v>
      </c>
      <c r="HKP133" s="531" t="e">
        <f t="shared" si="350"/>
        <v>#DIV/0!</v>
      </c>
      <c r="HKQ133" s="531" t="e">
        <f t="shared" si="350"/>
        <v>#DIV/0!</v>
      </c>
      <c r="HKR133" s="531" t="e">
        <f t="shared" si="350"/>
        <v>#DIV/0!</v>
      </c>
      <c r="HKS133" s="531" t="e">
        <f t="shared" si="350"/>
        <v>#DIV/0!</v>
      </c>
      <c r="HKT133" s="531" t="e">
        <f t="shared" si="350"/>
        <v>#DIV/0!</v>
      </c>
      <c r="HKU133" s="531" t="e">
        <f t="shared" si="350"/>
        <v>#DIV/0!</v>
      </c>
      <c r="HKV133" s="531" t="e">
        <f t="shared" si="350"/>
        <v>#DIV/0!</v>
      </c>
      <c r="HKW133" s="531" t="e">
        <f t="shared" si="350"/>
        <v>#DIV/0!</v>
      </c>
      <c r="HKX133" s="531" t="e">
        <f t="shared" si="350"/>
        <v>#DIV/0!</v>
      </c>
      <c r="HKY133" s="531" t="e">
        <f t="shared" si="350"/>
        <v>#DIV/0!</v>
      </c>
      <c r="HKZ133" s="531" t="e">
        <f t="shared" si="350"/>
        <v>#DIV/0!</v>
      </c>
      <c r="HLA133" s="531" t="e">
        <f t="shared" si="350"/>
        <v>#DIV/0!</v>
      </c>
      <c r="HLB133" s="531" t="e">
        <f t="shared" si="350"/>
        <v>#DIV/0!</v>
      </c>
      <c r="HLC133" s="531" t="e">
        <f t="shared" si="350"/>
        <v>#DIV/0!</v>
      </c>
      <c r="HLD133" s="531" t="e">
        <f t="shared" si="350"/>
        <v>#DIV/0!</v>
      </c>
      <c r="HLE133" s="531" t="e">
        <f t="shared" si="350"/>
        <v>#DIV/0!</v>
      </c>
      <c r="HLF133" s="531" t="e">
        <f t="shared" si="350"/>
        <v>#DIV/0!</v>
      </c>
      <c r="HLG133" s="531" t="e">
        <f t="shared" si="350"/>
        <v>#DIV/0!</v>
      </c>
      <c r="HLH133" s="531" t="e">
        <f t="shared" si="350"/>
        <v>#DIV/0!</v>
      </c>
      <c r="HLI133" s="531" t="e">
        <f t="shared" si="350"/>
        <v>#DIV/0!</v>
      </c>
      <c r="HLJ133" s="531" t="e">
        <f t="shared" si="350"/>
        <v>#DIV/0!</v>
      </c>
      <c r="HLK133" s="531" t="e">
        <f t="shared" si="350"/>
        <v>#DIV/0!</v>
      </c>
      <c r="HLL133" s="531" t="e">
        <f t="shared" si="350"/>
        <v>#DIV/0!</v>
      </c>
      <c r="HLM133" s="531" t="e">
        <f t="shared" si="350"/>
        <v>#DIV/0!</v>
      </c>
      <c r="HLN133" s="531" t="e">
        <f t="shared" si="350"/>
        <v>#DIV/0!</v>
      </c>
      <c r="HLO133" s="531" t="e">
        <f t="shared" si="350"/>
        <v>#DIV/0!</v>
      </c>
      <c r="HLP133" s="531" t="e">
        <f t="shared" si="350"/>
        <v>#DIV/0!</v>
      </c>
      <c r="HLQ133" s="531" t="e">
        <f t="shared" si="350"/>
        <v>#DIV/0!</v>
      </c>
      <c r="HLR133" s="531" t="e">
        <f t="shared" si="350"/>
        <v>#DIV/0!</v>
      </c>
      <c r="HLS133" s="531" t="e">
        <f t="shared" si="350"/>
        <v>#DIV/0!</v>
      </c>
      <c r="HLT133" s="531" t="e">
        <f t="shared" si="350"/>
        <v>#DIV/0!</v>
      </c>
      <c r="HLU133" s="531" t="e">
        <f t="shared" si="350"/>
        <v>#DIV/0!</v>
      </c>
      <c r="HLV133" s="531" t="e">
        <f t="shared" si="350"/>
        <v>#DIV/0!</v>
      </c>
      <c r="HLW133" s="531" t="e">
        <f t="shared" si="350"/>
        <v>#DIV/0!</v>
      </c>
      <c r="HLX133" s="531" t="e">
        <f t="shared" si="350"/>
        <v>#DIV/0!</v>
      </c>
      <c r="HLY133" s="531" t="e">
        <f t="shared" si="350"/>
        <v>#DIV/0!</v>
      </c>
      <c r="HLZ133" s="531" t="e">
        <f t="shared" si="350"/>
        <v>#DIV/0!</v>
      </c>
      <c r="HMA133" s="531" t="e">
        <f t="shared" si="350"/>
        <v>#DIV/0!</v>
      </c>
      <c r="HMB133" s="531" t="e">
        <f t="shared" si="350"/>
        <v>#DIV/0!</v>
      </c>
      <c r="HMC133" s="531" t="e">
        <f t="shared" si="350"/>
        <v>#DIV/0!</v>
      </c>
      <c r="HMD133" s="531" t="e">
        <f t="shared" si="350"/>
        <v>#DIV/0!</v>
      </c>
      <c r="HME133" s="531" t="e">
        <f t="shared" si="350"/>
        <v>#DIV/0!</v>
      </c>
      <c r="HMF133" s="531" t="e">
        <f t="shared" si="350"/>
        <v>#DIV/0!</v>
      </c>
      <c r="HMG133" s="531" t="e">
        <f t="shared" si="350"/>
        <v>#DIV/0!</v>
      </c>
      <c r="HMH133" s="531" t="e">
        <f t="shared" si="350"/>
        <v>#DIV/0!</v>
      </c>
      <c r="HMI133" s="531" t="e">
        <f t="shared" si="350"/>
        <v>#DIV/0!</v>
      </c>
      <c r="HMJ133" s="531" t="e">
        <f t="shared" si="350"/>
        <v>#DIV/0!</v>
      </c>
      <c r="HMK133" s="531" t="e">
        <f t="shared" si="350"/>
        <v>#DIV/0!</v>
      </c>
      <c r="HML133" s="531" t="e">
        <f t="shared" si="350"/>
        <v>#DIV/0!</v>
      </c>
      <c r="HMM133" s="531" t="e">
        <f t="shared" si="350"/>
        <v>#DIV/0!</v>
      </c>
      <c r="HMN133" s="531" t="e">
        <f t="shared" si="350"/>
        <v>#DIV/0!</v>
      </c>
      <c r="HMO133" s="531" t="e">
        <f t="shared" si="350"/>
        <v>#DIV/0!</v>
      </c>
      <c r="HMP133" s="531" t="e">
        <f t="shared" si="350"/>
        <v>#DIV/0!</v>
      </c>
      <c r="HMQ133" s="531" t="e">
        <f t="shared" si="350"/>
        <v>#DIV/0!</v>
      </c>
      <c r="HMR133" s="531" t="e">
        <f t="shared" si="350"/>
        <v>#DIV/0!</v>
      </c>
      <c r="HMS133" s="531" t="e">
        <f t="shared" si="350"/>
        <v>#DIV/0!</v>
      </c>
      <c r="HMT133" s="531" t="e">
        <f t="shared" si="350"/>
        <v>#DIV/0!</v>
      </c>
      <c r="HMU133" s="531" t="e">
        <f t="shared" ref="HMU133:HPF133" si="351">HMU116/(HMU52*10^5)</f>
        <v>#DIV/0!</v>
      </c>
      <c r="HMV133" s="531" t="e">
        <f t="shared" si="351"/>
        <v>#DIV/0!</v>
      </c>
      <c r="HMW133" s="531" t="e">
        <f t="shared" si="351"/>
        <v>#DIV/0!</v>
      </c>
      <c r="HMX133" s="531" t="e">
        <f t="shared" si="351"/>
        <v>#DIV/0!</v>
      </c>
      <c r="HMY133" s="531" t="e">
        <f t="shared" si="351"/>
        <v>#DIV/0!</v>
      </c>
      <c r="HMZ133" s="531" t="e">
        <f t="shared" si="351"/>
        <v>#DIV/0!</v>
      </c>
      <c r="HNA133" s="531" t="e">
        <f t="shared" si="351"/>
        <v>#DIV/0!</v>
      </c>
      <c r="HNB133" s="531" t="e">
        <f t="shared" si="351"/>
        <v>#DIV/0!</v>
      </c>
      <c r="HNC133" s="531" t="e">
        <f t="shared" si="351"/>
        <v>#DIV/0!</v>
      </c>
      <c r="HND133" s="531" t="e">
        <f t="shared" si="351"/>
        <v>#DIV/0!</v>
      </c>
      <c r="HNE133" s="531" t="e">
        <f t="shared" si="351"/>
        <v>#DIV/0!</v>
      </c>
      <c r="HNF133" s="531" t="e">
        <f t="shared" si="351"/>
        <v>#DIV/0!</v>
      </c>
      <c r="HNG133" s="531" t="e">
        <f t="shared" si="351"/>
        <v>#DIV/0!</v>
      </c>
      <c r="HNH133" s="531" t="e">
        <f t="shared" si="351"/>
        <v>#DIV/0!</v>
      </c>
      <c r="HNI133" s="531" t="e">
        <f t="shared" si="351"/>
        <v>#DIV/0!</v>
      </c>
      <c r="HNJ133" s="531" t="e">
        <f t="shared" si="351"/>
        <v>#DIV/0!</v>
      </c>
      <c r="HNK133" s="531" t="e">
        <f t="shared" si="351"/>
        <v>#DIV/0!</v>
      </c>
      <c r="HNL133" s="531" t="e">
        <f t="shared" si="351"/>
        <v>#DIV/0!</v>
      </c>
      <c r="HNM133" s="531" t="e">
        <f t="shared" si="351"/>
        <v>#DIV/0!</v>
      </c>
      <c r="HNN133" s="531" t="e">
        <f t="shared" si="351"/>
        <v>#DIV/0!</v>
      </c>
      <c r="HNO133" s="531" t="e">
        <f t="shared" si="351"/>
        <v>#DIV/0!</v>
      </c>
      <c r="HNP133" s="531" t="e">
        <f t="shared" si="351"/>
        <v>#DIV/0!</v>
      </c>
      <c r="HNQ133" s="531" t="e">
        <f t="shared" si="351"/>
        <v>#DIV/0!</v>
      </c>
      <c r="HNR133" s="531" t="e">
        <f t="shared" si="351"/>
        <v>#DIV/0!</v>
      </c>
      <c r="HNS133" s="531" t="e">
        <f t="shared" si="351"/>
        <v>#DIV/0!</v>
      </c>
      <c r="HNT133" s="531" t="e">
        <f t="shared" si="351"/>
        <v>#DIV/0!</v>
      </c>
      <c r="HNU133" s="531" t="e">
        <f t="shared" si="351"/>
        <v>#DIV/0!</v>
      </c>
      <c r="HNV133" s="531" t="e">
        <f t="shared" si="351"/>
        <v>#DIV/0!</v>
      </c>
      <c r="HNW133" s="531" t="e">
        <f t="shared" si="351"/>
        <v>#DIV/0!</v>
      </c>
      <c r="HNX133" s="531" t="e">
        <f t="shared" si="351"/>
        <v>#DIV/0!</v>
      </c>
      <c r="HNY133" s="531" t="e">
        <f t="shared" si="351"/>
        <v>#DIV/0!</v>
      </c>
      <c r="HNZ133" s="531" t="e">
        <f t="shared" si="351"/>
        <v>#DIV/0!</v>
      </c>
      <c r="HOA133" s="531" t="e">
        <f t="shared" si="351"/>
        <v>#DIV/0!</v>
      </c>
      <c r="HOB133" s="531" t="e">
        <f t="shared" si="351"/>
        <v>#DIV/0!</v>
      </c>
      <c r="HOC133" s="531" t="e">
        <f t="shared" si="351"/>
        <v>#DIV/0!</v>
      </c>
      <c r="HOD133" s="531" t="e">
        <f t="shared" si="351"/>
        <v>#DIV/0!</v>
      </c>
      <c r="HOE133" s="531" t="e">
        <f t="shared" si="351"/>
        <v>#DIV/0!</v>
      </c>
      <c r="HOF133" s="531" t="e">
        <f t="shared" si="351"/>
        <v>#DIV/0!</v>
      </c>
      <c r="HOG133" s="531" t="e">
        <f t="shared" si="351"/>
        <v>#DIV/0!</v>
      </c>
      <c r="HOH133" s="531" t="e">
        <f t="shared" si="351"/>
        <v>#DIV/0!</v>
      </c>
      <c r="HOI133" s="531" t="e">
        <f t="shared" si="351"/>
        <v>#DIV/0!</v>
      </c>
      <c r="HOJ133" s="531" t="e">
        <f t="shared" si="351"/>
        <v>#DIV/0!</v>
      </c>
      <c r="HOK133" s="531" t="e">
        <f t="shared" si="351"/>
        <v>#DIV/0!</v>
      </c>
      <c r="HOL133" s="531" t="e">
        <f t="shared" si="351"/>
        <v>#DIV/0!</v>
      </c>
      <c r="HOM133" s="531" t="e">
        <f t="shared" si="351"/>
        <v>#DIV/0!</v>
      </c>
      <c r="HON133" s="531" t="e">
        <f t="shared" si="351"/>
        <v>#DIV/0!</v>
      </c>
      <c r="HOO133" s="531" t="e">
        <f t="shared" si="351"/>
        <v>#DIV/0!</v>
      </c>
      <c r="HOP133" s="531" t="e">
        <f t="shared" si="351"/>
        <v>#DIV/0!</v>
      </c>
      <c r="HOQ133" s="531" t="e">
        <f t="shared" si="351"/>
        <v>#DIV/0!</v>
      </c>
      <c r="HOR133" s="531" t="e">
        <f t="shared" si="351"/>
        <v>#DIV/0!</v>
      </c>
      <c r="HOS133" s="531" t="e">
        <f t="shared" si="351"/>
        <v>#DIV/0!</v>
      </c>
      <c r="HOT133" s="531" t="e">
        <f t="shared" si="351"/>
        <v>#DIV/0!</v>
      </c>
      <c r="HOU133" s="531" t="e">
        <f t="shared" si="351"/>
        <v>#DIV/0!</v>
      </c>
      <c r="HOV133" s="531" t="e">
        <f t="shared" si="351"/>
        <v>#DIV/0!</v>
      </c>
      <c r="HOW133" s="531" t="e">
        <f t="shared" si="351"/>
        <v>#DIV/0!</v>
      </c>
      <c r="HOX133" s="531" t="e">
        <f t="shared" si="351"/>
        <v>#DIV/0!</v>
      </c>
      <c r="HOY133" s="531" t="e">
        <f t="shared" si="351"/>
        <v>#DIV/0!</v>
      </c>
      <c r="HOZ133" s="531" t="e">
        <f t="shared" si="351"/>
        <v>#DIV/0!</v>
      </c>
      <c r="HPA133" s="531" t="e">
        <f t="shared" si="351"/>
        <v>#DIV/0!</v>
      </c>
      <c r="HPB133" s="531" t="e">
        <f t="shared" si="351"/>
        <v>#DIV/0!</v>
      </c>
      <c r="HPC133" s="531" t="e">
        <f t="shared" si="351"/>
        <v>#DIV/0!</v>
      </c>
      <c r="HPD133" s="531" t="e">
        <f t="shared" si="351"/>
        <v>#DIV/0!</v>
      </c>
      <c r="HPE133" s="531" t="e">
        <f t="shared" si="351"/>
        <v>#DIV/0!</v>
      </c>
      <c r="HPF133" s="531" t="e">
        <f t="shared" si="351"/>
        <v>#DIV/0!</v>
      </c>
      <c r="HPG133" s="531" t="e">
        <f t="shared" ref="HPG133:HRR133" si="352">HPG116/(HPG52*10^5)</f>
        <v>#DIV/0!</v>
      </c>
      <c r="HPH133" s="531" t="e">
        <f t="shared" si="352"/>
        <v>#DIV/0!</v>
      </c>
      <c r="HPI133" s="531" t="e">
        <f t="shared" si="352"/>
        <v>#DIV/0!</v>
      </c>
      <c r="HPJ133" s="531" t="e">
        <f t="shared" si="352"/>
        <v>#DIV/0!</v>
      </c>
      <c r="HPK133" s="531" t="e">
        <f t="shared" si="352"/>
        <v>#DIV/0!</v>
      </c>
      <c r="HPL133" s="531" t="e">
        <f t="shared" si="352"/>
        <v>#DIV/0!</v>
      </c>
      <c r="HPM133" s="531" t="e">
        <f t="shared" si="352"/>
        <v>#DIV/0!</v>
      </c>
      <c r="HPN133" s="531" t="e">
        <f t="shared" si="352"/>
        <v>#DIV/0!</v>
      </c>
      <c r="HPO133" s="531" t="e">
        <f t="shared" si="352"/>
        <v>#DIV/0!</v>
      </c>
      <c r="HPP133" s="531" t="e">
        <f t="shared" si="352"/>
        <v>#DIV/0!</v>
      </c>
      <c r="HPQ133" s="531" t="e">
        <f t="shared" si="352"/>
        <v>#DIV/0!</v>
      </c>
      <c r="HPR133" s="531" t="e">
        <f t="shared" si="352"/>
        <v>#DIV/0!</v>
      </c>
      <c r="HPS133" s="531" t="e">
        <f t="shared" si="352"/>
        <v>#DIV/0!</v>
      </c>
      <c r="HPT133" s="531" t="e">
        <f t="shared" si="352"/>
        <v>#DIV/0!</v>
      </c>
      <c r="HPU133" s="531" t="e">
        <f t="shared" si="352"/>
        <v>#DIV/0!</v>
      </c>
      <c r="HPV133" s="531" t="e">
        <f t="shared" si="352"/>
        <v>#DIV/0!</v>
      </c>
      <c r="HPW133" s="531" t="e">
        <f t="shared" si="352"/>
        <v>#DIV/0!</v>
      </c>
      <c r="HPX133" s="531" t="e">
        <f t="shared" si="352"/>
        <v>#DIV/0!</v>
      </c>
      <c r="HPY133" s="531" t="e">
        <f t="shared" si="352"/>
        <v>#DIV/0!</v>
      </c>
      <c r="HPZ133" s="531" t="e">
        <f t="shared" si="352"/>
        <v>#DIV/0!</v>
      </c>
      <c r="HQA133" s="531" t="e">
        <f t="shared" si="352"/>
        <v>#DIV/0!</v>
      </c>
      <c r="HQB133" s="531" t="e">
        <f t="shared" si="352"/>
        <v>#DIV/0!</v>
      </c>
      <c r="HQC133" s="531" t="e">
        <f t="shared" si="352"/>
        <v>#DIV/0!</v>
      </c>
      <c r="HQD133" s="531" t="e">
        <f t="shared" si="352"/>
        <v>#DIV/0!</v>
      </c>
      <c r="HQE133" s="531" t="e">
        <f t="shared" si="352"/>
        <v>#DIV/0!</v>
      </c>
      <c r="HQF133" s="531" t="e">
        <f t="shared" si="352"/>
        <v>#DIV/0!</v>
      </c>
      <c r="HQG133" s="531" t="e">
        <f t="shared" si="352"/>
        <v>#DIV/0!</v>
      </c>
      <c r="HQH133" s="531" t="e">
        <f t="shared" si="352"/>
        <v>#DIV/0!</v>
      </c>
      <c r="HQI133" s="531" t="e">
        <f t="shared" si="352"/>
        <v>#DIV/0!</v>
      </c>
      <c r="HQJ133" s="531" t="e">
        <f t="shared" si="352"/>
        <v>#DIV/0!</v>
      </c>
      <c r="HQK133" s="531" t="e">
        <f t="shared" si="352"/>
        <v>#DIV/0!</v>
      </c>
      <c r="HQL133" s="531" t="e">
        <f t="shared" si="352"/>
        <v>#DIV/0!</v>
      </c>
      <c r="HQM133" s="531" t="e">
        <f t="shared" si="352"/>
        <v>#DIV/0!</v>
      </c>
      <c r="HQN133" s="531" t="e">
        <f t="shared" si="352"/>
        <v>#DIV/0!</v>
      </c>
      <c r="HQO133" s="531" t="e">
        <f t="shared" si="352"/>
        <v>#DIV/0!</v>
      </c>
      <c r="HQP133" s="531" t="e">
        <f t="shared" si="352"/>
        <v>#DIV/0!</v>
      </c>
      <c r="HQQ133" s="531" t="e">
        <f t="shared" si="352"/>
        <v>#DIV/0!</v>
      </c>
      <c r="HQR133" s="531" t="e">
        <f t="shared" si="352"/>
        <v>#DIV/0!</v>
      </c>
      <c r="HQS133" s="531" t="e">
        <f t="shared" si="352"/>
        <v>#DIV/0!</v>
      </c>
      <c r="HQT133" s="531" t="e">
        <f t="shared" si="352"/>
        <v>#DIV/0!</v>
      </c>
      <c r="HQU133" s="531" t="e">
        <f t="shared" si="352"/>
        <v>#DIV/0!</v>
      </c>
      <c r="HQV133" s="531" t="e">
        <f t="shared" si="352"/>
        <v>#DIV/0!</v>
      </c>
      <c r="HQW133" s="531" t="e">
        <f t="shared" si="352"/>
        <v>#DIV/0!</v>
      </c>
      <c r="HQX133" s="531" t="e">
        <f t="shared" si="352"/>
        <v>#DIV/0!</v>
      </c>
      <c r="HQY133" s="531" t="e">
        <f t="shared" si="352"/>
        <v>#DIV/0!</v>
      </c>
      <c r="HQZ133" s="531" t="e">
        <f t="shared" si="352"/>
        <v>#DIV/0!</v>
      </c>
      <c r="HRA133" s="531" t="e">
        <f t="shared" si="352"/>
        <v>#DIV/0!</v>
      </c>
      <c r="HRB133" s="531" t="e">
        <f t="shared" si="352"/>
        <v>#DIV/0!</v>
      </c>
      <c r="HRC133" s="531" t="e">
        <f t="shared" si="352"/>
        <v>#DIV/0!</v>
      </c>
      <c r="HRD133" s="531" t="e">
        <f t="shared" si="352"/>
        <v>#DIV/0!</v>
      </c>
      <c r="HRE133" s="531" t="e">
        <f t="shared" si="352"/>
        <v>#DIV/0!</v>
      </c>
      <c r="HRF133" s="531" t="e">
        <f t="shared" si="352"/>
        <v>#DIV/0!</v>
      </c>
      <c r="HRG133" s="531" t="e">
        <f t="shared" si="352"/>
        <v>#DIV/0!</v>
      </c>
      <c r="HRH133" s="531" t="e">
        <f t="shared" si="352"/>
        <v>#DIV/0!</v>
      </c>
      <c r="HRI133" s="531" t="e">
        <f t="shared" si="352"/>
        <v>#DIV/0!</v>
      </c>
      <c r="HRJ133" s="531" t="e">
        <f t="shared" si="352"/>
        <v>#DIV/0!</v>
      </c>
      <c r="HRK133" s="531" t="e">
        <f t="shared" si="352"/>
        <v>#DIV/0!</v>
      </c>
      <c r="HRL133" s="531" t="e">
        <f t="shared" si="352"/>
        <v>#DIV/0!</v>
      </c>
      <c r="HRM133" s="531" t="e">
        <f t="shared" si="352"/>
        <v>#DIV/0!</v>
      </c>
      <c r="HRN133" s="531" t="e">
        <f t="shared" si="352"/>
        <v>#DIV/0!</v>
      </c>
      <c r="HRO133" s="531" t="e">
        <f t="shared" si="352"/>
        <v>#DIV/0!</v>
      </c>
      <c r="HRP133" s="531" t="e">
        <f t="shared" si="352"/>
        <v>#DIV/0!</v>
      </c>
      <c r="HRQ133" s="531" t="e">
        <f t="shared" si="352"/>
        <v>#DIV/0!</v>
      </c>
      <c r="HRR133" s="531" t="e">
        <f t="shared" si="352"/>
        <v>#DIV/0!</v>
      </c>
      <c r="HRS133" s="531" t="e">
        <f t="shared" ref="HRS133:HUD133" si="353">HRS116/(HRS52*10^5)</f>
        <v>#DIV/0!</v>
      </c>
      <c r="HRT133" s="531" t="e">
        <f t="shared" si="353"/>
        <v>#DIV/0!</v>
      </c>
      <c r="HRU133" s="531" t="e">
        <f t="shared" si="353"/>
        <v>#DIV/0!</v>
      </c>
      <c r="HRV133" s="531" t="e">
        <f t="shared" si="353"/>
        <v>#DIV/0!</v>
      </c>
      <c r="HRW133" s="531" t="e">
        <f t="shared" si="353"/>
        <v>#DIV/0!</v>
      </c>
      <c r="HRX133" s="531" t="e">
        <f t="shared" si="353"/>
        <v>#DIV/0!</v>
      </c>
      <c r="HRY133" s="531" t="e">
        <f t="shared" si="353"/>
        <v>#DIV/0!</v>
      </c>
      <c r="HRZ133" s="531" t="e">
        <f t="shared" si="353"/>
        <v>#DIV/0!</v>
      </c>
      <c r="HSA133" s="531" t="e">
        <f t="shared" si="353"/>
        <v>#DIV/0!</v>
      </c>
      <c r="HSB133" s="531" t="e">
        <f t="shared" si="353"/>
        <v>#DIV/0!</v>
      </c>
      <c r="HSC133" s="531" t="e">
        <f t="shared" si="353"/>
        <v>#DIV/0!</v>
      </c>
      <c r="HSD133" s="531" t="e">
        <f t="shared" si="353"/>
        <v>#DIV/0!</v>
      </c>
      <c r="HSE133" s="531" t="e">
        <f t="shared" si="353"/>
        <v>#DIV/0!</v>
      </c>
      <c r="HSF133" s="531" t="e">
        <f t="shared" si="353"/>
        <v>#DIV/0!</v>
      </c>
      <c r="HSG133" s="531" t="e">
        <f t="shared" si="353"/>
        <v>#DIV/0!</v>
      </c>
      <c r="HSH133" s="531" t="e">
        <f t="shared" si="353"/>
        <v>#DIV/0!</v>
      </c>
      <c r="HSI133" s="531" t="e">
        <f t="shared" si="353"/>
        <v>#DIV/0!</v>
      </c>
      <c r="HSJ133" s="531" t="e">
        <f t="shared" si="353"/>
        <v>#DIV/0!</v>
      </c>
      <c r="HSK133" s="531" t="e">
        <f t="shared" si="353"/>
        <v>#DIV/0!</v>
      </c>
      <c r="HSL133" s="531" t="e">
        <f t="shared" si="353"/>
        <v>#DIV/0!</v>
      </c>
      <c r="HSM133" s="531" t="e">
        <f t="shared" si="353"/>
        <v>#DIV/0!</v>
      </c>
      <c r="HSN133" s="531" t="e">
        <f t="shared" si="353"/>
        <v>#DIV/0!</v>
      </c>
      <c r="HSO133" s="531" t="e">
        <f t="shared" si="353"/>
        <v>#DIV/0!</v>
      </c>
      <c r="HSP133" s="531" t="e">
        <f t="shared" si="353"/>
        <v>#DIV/0!</v>
      </c>
      <c r="HSQ133" s="531" t="e">
        <f t="shared" si="353"/>
        <v>#DIV/0!</v>
      </c>
      <c r="HSR133" s="531" t="e">
        <f t="shared" si="353"/>
        <v>#DIV/0!</v>
      </c>
      <c r="HSS133" s="531" t="e">
        <f t="shared" si="353"/>
        <v>#DIV/0!</v>
      </c>
      <c r="HST133" s="531" t="e">
        <f t="shared" si="353"/>
        <v>#DIV/0!</v>
      </c>
      <c r="HSU133" s="531" t="e">
        <f t="shared" si="353"/>
        <v>#DIV/0!</v>
      </c>
      <c r="HSV133" s="531" t="e">
        <f t="shared" si="353"/>
        <v>#DIV/0!</v>
      </c>
      <c r="HSW133" s="531" t="e">
        <f t="shared" si="353"/>
        <v>#DIV/0!</v>
      </c>
      <c r="HSX133" s="531" t="e">
        <f t="shared" si="353"/>
        <v>#DIV/0!</v>
      </c>
      <c r="HSY133" s="531" t="e">
        <f t="shared" si="353"/>
        <v>#DIV/0!</v>
      </c>
      <c r="HSZ133" s="531" t="e">
        <f t="shared" si="353"/>
        <v>#DIV/0!</v>
      </c>
      <c r="HTA133" s="531" t="e">
        <f t="shared" si="353"/>
        <v>#DIV/0!</v>
      </c>
      <c r="HTB133" s="531" t="e">
        <f t="shared" si="353"/>
        <v>#DIV/0!</v>
      </c>
      <c r="HTC133" s="531" t="e">
        <f t="shared" si="353"/>
        <v>#DIV/0!</v>
      </c>
      <c r="HTD133" s="531" t="e">
        <f t="shared" si="353"/>
        <v>#DIV/0!</v>
      </c>
      <c r="HTE133" s="531" t="e">
        <f t="shared" si="353"/>
        <v>#DIV/0!</v>
      </c>
      <c r="HTF133" s="531" t="e">
        <f t="shared" si="353"/>
        <v>#DIV/0!</v>
      </c>
      <c r="HTG133" s="531" t="e">
        <f t="shared" si="353"/>
        <v>#DIV/0!</v>
      </c>
      <c r="HTH133" s="531" t="e">
        <f t="shared" si="353"/>
        <v>#DIV/0!</v>
      </c>
      <c r="HTI133" s="531" t="e">
        <f t="shared" si="353"/>
        <v>#DIV/0!</v>
      </c>
      <c r="HTJ133" s="531" t="e">
        <f t="shared" si="353"/>
        <v>#DIV/0!</v>
      </c>
      <c r="HTK133" s="531" t="e">
        <f t="shared" si="353"/>
        <v>#DIV/0!</v>
      </c>
      <c r="HTL133" s="531" t="e">
        <f t="shared" si="353"/>
        <v>#DIV/0!</v>
      </c>
      <c r="HTM133" s="531" t="e">
        <f t="shared" si="353"/>
        <v>#DIV/0!</v>
      </c>
      <c r="HTN133" s="531" t="e">
        <f t="shared" si="353"/>
        <v>#DIV/0!</v>
      </c>
      <c r="HTO133" s="531" t="e">
        <f t="shared" si="353"/>
        <v>#DIV/0!</v>
      </c>
      <c r="HTP133" s="531" t="e">
        <f t="shared" si="353"/>
        <v>#DIV/0!</v>
      </c>
      <c r="HTQ133" s="531" t="e">
        <f t="shared" si="353"/>
        <v>#DIV/0!</v>
      </c>
      <c r="HTR133" s="531" t="e">
        <f t="shared" si="353"/>
        <v>#DIV/0!</v>
      </c>
      <c r="HTS133" s="531" t="e">
        <f t="shared" si="353"/>
        <v>#DIV/0!</v>
      </c>
      <c r="HTT133" s="531" t="e">
        <f t="shared" si="353"/>
        <v>#DIV/0!</v>
      </c>
      <c r="HTU133" s="531" t="e">
        <f t="shared" si="353"/>
        <v>#DIV/0!</v>
      </c>
      <c r="HTV133" s="531" t="e">
        <f t="shared" si="353"/>
        <v>#DIV/0!</v>
      </c>
      <c r="HTW133" s="531" t="e">
        <f t="shared" si="353"/>
        <v>#DIV/0!</v>
      </c>
      <c r="HTX133" s="531" t="e">
        <f t="shared" si="353"/>
        <v>#DIV/0!</v>
      </c>
      <c r="HTY133" s="531" t="e">
        <f t="shared" si="353"/>
        <v>#DIV/0!</v>
      </c>
      <c r="HTZ133" s="531" t="e">
        <f t="shared" si="353"/>
        <v>#DIV/0!</v>
      </c>
      <c r="HUA133" s="531" t="e">
        <f t="shared" si="353"/>
        <v>#DIV/0!</v>
      </c>
      <c r="HUB133" s="531" t="e">
        <f t="shared" si="353"/>
        <v>#DIV/0!</v>
      </c>
      <c r="HUC133" s="531" t="e">
        <f t="shared" si="353"/>
        <v>#DIV/0!</v>
      </c>
      <c r="HUD133" s="531" t="e">
        <f t="shared" si="353"/>
        <v>#DIV/0!</v>
      </c>
      <c r="HUE133" s="531" t="e">
        <f t="shared" ref="HUE133:HWP133" si="354">HUE116/(HUE52*10^5)</f>
        <v>#DIV/0!</v>
      </c>
      <c r="HUF133" s="531" t="e">
        <f t="shared" si="354"/>
        <v>#DIV/0!</v>
      </c>
      <c r="HUG133" s="531" t="e">
        <f t="shared" si="354"/>
        <v>#DIV/0!</v>
      </c>
      <c r="HUH133" s="531" t="e">
        <f t="shared" si="354"/>
        <v>#DIV/0!</v>
      </c>
      <c r="HUI133" s="531" t="e">
        <f t="shared" si="354"/>
        <v>#DIV/0!</v>
      </c>
      <c r="HUJ133" s="531" t="e">
        <f t="shared" si="354"/>
        <v>#DIV/0!</v>
      </c>
      <c r="HUK133" s="531" t="e">
        <f t="shared" si="354"/>
        <v>#DIV/0!</v>
      </c>
      <c r="HUL133" s="531" t="e">
        <f t="shared" si="354"/>
        <v>#DIV/0!</v>
      </c>
      <c r="HUM133" s="531" t="e">
        <f t="shared" si="354"/>
        <v>#DIV/0!</v>
      </c>
      <c r="HUN133" s="531" t="e">
        <f t="shared" si="354"/>
        <v>#DIV/0!</v>
      </c>
      <c r="HUO133" s="531" t="e">
        <f t="shared" si="354"/>
        <v>#DIV/0!</v>
      </c>
      <c r="HUP133" s="531" t="e">
        <f t="shared" si="354"/>
        <v>#DIV/0!</v>
      </c>
      <c r="HUQ133" s="531" t="e">
        <f t="shared" si="354"/>
        <v>#DIV/0!</v>
      </c>
      <c r="HUR133" s="531" t="e">
        <f t="shared" si="354"/>
        <v>#DIV/0!</v>
      </c>
      <c r="HUS133" s="531" t="e">
        <f t="shared" si="354"/>
        <v>#DIV/0!</v>
      </c>
      <c r="HUT133" s="531" t="e">
        <f t="shared" si="354"/>
        <v>#DIV/0!</v>
      </c>
      <c r="HUU133" s="531" t="e">
        <f t="shared" si="354"/>
        <v>#DIV/0!</v>
      </c>
      <c r="HUV133" s="531" t="e">
        <f t="shared" si="354"/>
        <v>#DIV/0!</v>
      </c>
      <c r="HUW133" s="531" t="e">
        <f t="shared" si="354"/>
        <v>#DIV/0!</v>
      </c>
      <c r="HUX133" s="531" t="e">
        <f t="shared" si="354"/>
        <v>#DIV/0!</v>
      </c>
      <c r="HUY133" s="531" t="e">
        <f t="shared" si="354"/>
        <v>#DIV/0!</v>
      </c>
      <c r="HUZ133" s="531" t="e">
        <f t="shared" si="354"/>
        <v>#DIV/0!</v>
      </c>
      <c r="HVA133" s="531" t="e">
        <f t="shared" si="354"/>
        <v>#DIV/0!</v>
      </c>
      <c r="HVB133" s="531" t="e">
        <f t="shared" si="354"/>
        <v>#DIV/0!</v>
      </c>
      <c r="HVC133" s="531" t="e">
        <f t="shared" si="354"/>
        <v>#DIV/0!</v>
      </c>
      <c r="HVD133" s="531" t="e">
        <f t="shared" si="354"/>
        <v>#DIV/0!</v>
      </c>
      <c r="HVE133" s="531" t="e">
        <f t="shared" si="354"/>
        <v>#DIV/0!</v>
      </c>
      <c r="HVF133" s="531" t="e">
        <f t="shared" si="354"/>
        <v>#DIV/0!</v>
      </c>
      <c r="HVG133" s="531" t="e">
        <f t="shared" si="354"/>
        <v>#DIV/0!</v>
      </c>
      <c r="HVH133" s="531" t="e">
        <f t="shared" si="354"/>
        <v>#DIV/0!</v>
      </c>
      <c r="HVI133" s="531" t="e">
        <f t="shared" si="354"/>
        <v>#DIV/0!</v>
      </c>
      <c r="HVJ133" s="531" t="e">
        <f t="shared" si="354"/>
        <v>#DIV/0!</v>
      </c>
      <c r="HVK133" s="531" t="e">
        <f t="shared" si="354"/>
        <v>#DIV/0!</v>
      </c>
      <c r="HVL133" s="531" t="e">
        <f t="shared" si="354"/>
        <v>#DIV/0!</v>
      </c>
      <c r="HVM133" s="531" t="e">
        <f t="shared" si="354"/>
        <v>#DIV/0!</v>
      </c>
      <c r="HVN133" s="531" t="e">
        <f t="shared" si="354"/>
        <v>#DIV/0!</v>
      </c>
      <c r="HVO133" s="531" t="e">
        <f t="shared" si="354"/>
        <v>#DIV/0!</v>
      </c>
      <c r="HVP133" s="531" t="e">
        <f t="shared" si="354"/>
        <v>#DIV/0!</v>
      </c>
      <c r="HVQ133" s="531" t="e">
        <f t="shared" si="354"/>
        <v>#DIV/0!</v>
      </c>
      <c r="HVR133" s="531" t="e">
        <f t="shared" si="354"/>
        <v>#DIV/0!</v>
      </c>
      <c r="HVS133" s="531" t="e">
        <f t="shared" si="354"/>
        <v>#DIV/0!</v>
      </c>
      <c r="HVT133" s="531" t="e">
        <f t="shared" si="354"/>
        <v>#DIV/0!</v>
      </c>
      <c r="HVU133" s="531" t="e">
        <f t="shared" si="354"/>
        <v>#DIV/0!</v>
      </c>
      <c r="HVV133" s="531" t="e">
        <f t="shared" si="354"/>
        <v>#DIV/0!</v>
      </c>
      <c r="HVW133" s="531" t="e">
        <f t="shared" si="354"/>
        <v>#DIV/0!</v>
      </c>
      <c r="HVX133" s="531" t="e">
        <f t="shared" si="354"/>
        <v>#DIV/0!</v>
      </c>
      <c r="HVY133" s="531" t="e">
        <f t="shared" si="354"/>
        <v>#DIV/0!</v>
      </c>
      <c r="HVZ133" s="531" t="e">
        <f t="shared" si="354"/>
        <v>#DIV/0!</v>
      </c>
      <c r="HWA133" s="531" t="e">
        <f t="shared" si="354"/>
        <v>#DIV/0!</v>
      </c>
      <c r="HWB133" s="531" t="e">
        <f t="shared" si="354"/>
        <v>#DIV/0!</v>
      </c>
      <c r="HWC133" s="531" t="e">
        <f t="shared" si="354"/>
        <v>#DIV/0!</v>
      </c>
      <c r="HWD133" s="531" t="e">
        <f t="shared" si="354"/>
        <v>#DIV/0!</v>
      </c>
      <c r="HWE133" s="531" t="e">
        <f t="shared" si="354"/>
        <v>#DIV/0!</v>
      </c>
      <c r="HWF133" s="531" t="e">
        <f t="shared" si="354"/>
        <v>#DIV/0!</v>
      </c>
      <c r="HWG133" s="531" t="e">
        <f t="shared" si="354"/>
        <v>#DIV/0!</v>
      </c>
      <c r="HWH133" s="531" t="e">
        <f t="shared" si="354"/>
        <v>#DIV/0!</v>
      </c>
      <c r="HWI133" s="531" t="e">
        <f t="shared" si="354"/>
        <v>#DIV/0!</v>
      </c>
      <c r="HWJ133" s="531" t="e">
        <f t="shared" si="354"/>
        <v>#DIV/0!</v>
      </c>
      <c r="HWK133" s="531" t="e">
        <f t="shared" si="354"/>
        <v>#DIV/0!</v>
      </c>
      <c r="HWL133" s="531" t="e">
        <f t="shared" si="354"/>
        <v>#DIV/0!</v>
      </c>
      <c r="HWM133" s="531" t="e">
        <f t="shared" si="354"/>
        <v>#DIV/0!</v>
      </c>
      <c r="HWN133" s="531" t="e">
        <f t="shared" si="354"/>
        <v>#DIV/0!</v>
      </c>
      <c r="HWO133" s="531" t="e">
        <f t="shared" si="354"/>
        <v>#DIV/0!</v>
      </c>
      <c r="HWP133" s="531" t="e">
        <f t="shared" si="354"/>
        <v>#DIV/0!</v>
      </c>
      <c r="HWQ133" s="531" t="e">
        <f t="shared" ref="HWQ133:HZB133" si="355">HWQ116/(HWQ52*10^5)</f>
        <v>#DIV/0!</v>
      </c>
      <c r="HWR133" s="531" t="e">
        <f t="shared" si="355"/>
        <v>#DIV/0!</v>
      </c>
      <c r="HWS133" s="531" t="e">
        <f t="shared" si="355"/>
        <v>#DIV/0!</v>
      </c>
      <c r="HWT133" s="531" t="e">
        <f t="shared" si="355"/>
        <v>#DIV/0!</v>
      </c>
      <c r="HWU133" s="531" t="e">
        <f t="shared" si="355"/>
        <v>#DIV/0!</v>
      </c>
      <c r="HWV133" s="531" t="e">
        <f t="shared" si="355"/>
        <v>#DIV/0!</v>
      </c>
      <c r="HWW133" s="531" t="e">
        <f t="shared" si="355"/>
        <v>#DIV/0!</v>
      </c>
      <c r="HWX133" s="531" t="e">
        <f t="shared" si="355"/>
        <v>#DIV/0!</v>
      </c>
      <c r="HWY133" s="531" t="e">
        <f t="shared" si="355"/>
        <v>#DIV/0!</v>
      </c>
      <c r="HWZ133" s="531" t="e">
        <f t="shared" si="355"/>
        <v>#DIV/0!</v>
      </c>
      <c r="HXA133" s="531" t="e">
        <f t="shared" si="355"/>
        <v>#DIV/0!</v>
      </c>
      <c r="HXB133" s="531" t="e">
        <f t="shared" si="355"/>
        <v>#DIV/0!</v>
      </c>
      <c r="HXC133" s="531" t="e">
        <f t="shared" si="355"/>
        <v>#DIV/0!</v>
      </c>
      <c r="HXD133" s="531" t="e">
        <f t="shared" si="355"/>
        <v>#DIV/0!</v>
      </c>
      <c r="HXE133" s="531" t="e">
        <f t="shared" si="355"/>
        <v>#DIV/0!</v>
      </c>
      <c r="HXF133" s="531" t="e">
        <f t="shared" si="355"/>
        <v>#DIV/0!</v>
      </c>
      <c r="HXG133" s="531" t="e">
        <f t="shared" si="355"/>
        <v>#DIV/0!</v>
      </c>
      <c r="HXH133" s="531" t="e">
        <f t="shared" si="355"/>
        <v>#DIV/0!</v>
      </c>
      <c r="HXI133" s="531" t="e">
        <f t="shared" si="355"/>
        <v>#DIV/0!</v>
      </c>
      <c r="HXJ133" s="531" t="e">
        <f t="shared" si="355"/>
        <v>#DIV/0!</v>
      </c>
      <c r="HXK133" s="531" t="e">
        <f t="shared" si="355"/>
        <v>#DIV/0!</v>
      </c>
      <c r="HXL133" s="531" t="e">
        <f t="shared" si="355"/>
        <v>#DIV/0!</v>
      </c>
      <c r="HXM133" s="531" t="e">
        <f t="shared" si="355"/>
        <v>#DIV/0!</v>
      </c>
      <c r="HXN133" s="531" t="e">
        <f t="shared" si="355"/>
        <v>#DIV/0!</v>
      </c>
      <c r="HXO133" s="531" t="e">
        <f t="shared" si="355"/>
        <v>#DIV/0!</v>
      </c>
      <c r="HXP133" s="531" t="e">
        <f t="shared" si="355"/>
        <v>#DIV/0!</v>
      </c>
      <c r="HXQ133" s="531" t="e">
        <f t="shared" si="355"/>
        <v>#DIV/0!</v>
      </c>
      <c r="HXR133" s="531" t="e">
        <f t="shared" si="355"/>
        <v>#DIV/0!</v>
      </c>
      <c r="HXS133" s="531" t="e">
        <f t="shared" si="355"/>
        <v>#DIV/0!</v>
      </c>
      <c r="HXT133" s="531" t="e">
        <f t="shared" si="355"/>
        <v>#DIV/0!</v>
      </c>
      <c r="HXU133" s="531" t="e">
        <f t="shared" si="355"/>
        <v>#DIV/0!</v>
      </c>
      <c r="HXV133" s="531" t="e">
        <f t="shared" si="355"/>
        <v>#DIV/0!</v>
      </c>
      <c r="HXW133" s="531" t="e">
        <f t="shared" si="355"/>
        <v>#DIV/0!</v>
      </c>
      <c r="HXX133" s="531" t="e">
        <f t="shared" si="355"/>
        <v>#DIV/0!</v>
      </c>
      <c r="HXY133" s="531" t="e">
        <f t="shared" si="355"/>
        <v>#DIV/0!</v>
      </c>
      <c r="HXZ133" s="531" t="e">
        <f t="shared" si="355"/>
        <v>#DIV/0!</v>
      </c>
      <c r="HYA133" s="531" t="e">
        <f t="shared" si="355"/>
        <v>#DIV/0!</v>
      </c>
      <c r="HYB133" s="531" t="e">
        <f t="shared" si="355"/>
        <v>#DIV/0!</v>
      </c>
      <c r="HYC133" s="531" t="e">
        <f t="shared" si="355"/>
        <v>#DIV/0!</v>
      </c>
      <c r="HYD133" s="531" t="e">
        <f t="shared" si="355"/>
        <v>#DIV/0!</v>
      </c>
      <c r="HYE133" s="531" t="e">
        <f t="shared" si="355"/>
        <v>#DIV/0!</v>
      </c>
      <c r="HYF133" s="531" t="e">
        <f t="shared" si="355"/>
        <v>#DIV/0!</v>
      </c>
      <c r="HYG133" s="531" t="e">
        <f t="shared" si="355"/>
        <v>#DIV/0!</v>
      </c>
      <c r="HYH133" s="531" t="e">
        <f t="shared" si="355"/>
        <v>#DIV/0!</v>
      </c>
      <c r="HYI133" s="531" t="e">
        <f t="shared" si="355"/>
        <v>#DIV/0!</v>
      </c>
      <c r="HYJ133" s="531" t="e">
        <f t="shared" si="355"/>
        <v>#DIV/0!</v>
      </c>
      <c r="HYK133" s="531" t="e">
        <f t="shared" si="355"/>
        <v>#DIV/0!</v>
      </c>
      <c r="HYL133" s="531" t="e">
        <f t="shared" si="355"/>
        <v>#DIV/0!</v>
      </c>
      <c r="HYM133" s="531" t="e">
        <f t="shared" si="355"/>
        <v>#DIV/0!</v>
      </c>
      <c r="HYN133" s="531" t="e">
        <f t="shared" si="355"/>
        <v>#DIV/0!</v>
      </c>
      <c r="HYO133" s="531" t="e">
        <f t="shared" si="355"/>
        <v>#DIV/0!</v>
      </c>
      <c r="HYP133" s="531" t="e">
        <f t="shared" si="355"/>
        <v>#DIV/0!</v>
      </c>
      <c r="HYQ133" s="531" t="e">
        <f t="shared" si="355"/>
        <v>#DIV/0!</v>
      </c>
      <c r="HYR133" s="531" t="e">
        <f t="shared" si="355"/>
        <v>#DIV/0!</v>
      </c>
      <c r="HYS133" s="531" t="e">
        <f t="shared" si="355"/>
        <v>#DIV/0!</v>
      </c>
      <c r="HYT133" s="531" t="e">
        <f t="shared" si="355"/>
        <v>#DIV/0!</v>
      </c>
      <c r="HYU133" s="531" t="e">
        <f t="shared" si="355"/>
        <v>#DIV/0!</v>
      </c>
      <c r="HYV133" s="531" t="e">
        <f t="shared" si="355"/>
        <v>#DIV/0!</v>
      </c>
      <c r="HYW133" s="531" t="e">
        <f t="shared" si="355"/>
        <v>#DIV/0!</v>
      </c>
      <c r="HYX133" s="531" t="e">
        <f t="shared" si="355"/>
        <v>#DIV/0!</v>
      </c>
      <c r="HYY133" s="531" t="e">
        <f t="shared" si="355"/>
        <v>#DIV/0!</v>
      </c>
      <c r="HYZ133" s="531" t="e">
        <f t="shared" si="355"/>
        <v>#DIV/0!</v>
      </c>
      <c r="HZA133" s="531" t="e">
        <f t="shared" si="355"/>
        <v>#DIV/0!</v>
      </c>
      <c r="HZB133" s="531" t="e">
        <f t="shared" si="355"/>
        <v>#DIV/0!</v>
      </c>
      <c r="HZC133" s="531" t="e">
        <f t="shared" ref="HZC133:IBN133" si="356">HZC116/(HZC52*10^5)</f>
        <v>#DIV/0!</v>
      </c>
      <c r="HZD133" s="531" t="e">
        <f t="shared" si="356"/>
        <v>#DIV/0!</v>
      </c>
      <c r="HZE133" s="531" t="e">
        <f t="shared" si="356"/>
        <v>#DIV/0!</v>
      </c>
      <c r="HZF133" s="531" t="e">
        <f t="shared" si="356"/>
        <v>#DIV/0!</v>
      </c>
      <c r="HZG133" s="531" t="e">
        <f t="shared" si="356"/>
        <v>#DIV/0!</v>
      </c>
      <c r="HZH133" s="531" t="e">
        <f t="shared" si="356"/>
        <v>#DIV/0!</v>
      </c>
      <c r="HZI133" s="531" t="e">
        <f t="shared" si="356"/>
        <v>#DIV/0!</v>
      </c>
      <c r="HZJ133" s="531" t="e">
        <f t="shared" si="356"/>
        <v>#DIV/0!</v>
      </c>
      <c r="HZK133" s="531" t="e">
        <f t="shared" si="356"/>
        <v>#DIV/0!</v>
      </c>
      <c r="HZL133" s="531" t="e">
        <f t="shared" si="356"/>
        <v>#DIV/0!</v>
      </c>
      <c r="HZM133" s="531" t="e">
        <f t="shared" si="356"/>
        <v>#DIV/0!</v>
      </c>
      <c r="HZN133" s="531" t="e">
        <f t="shared" si="356"/>
        <v>#DIV/0!</v>
      </c>
      <c r="HZO133" s="531" t="e">
        <f t="shared" si="356"/>
        <v>#DIV/0!</v>
      </c>
      <c r="HZP133" s="531" t="e">
        <f t="shared" si="356"/>
        <v>#DIV/0!</v>
      </c>
      <c r="HZQ133" s="531" t="e">
        <f t="shared" si="356"/>
        <v>#DIV/0!</v>
      </c>
      <c r="HZR133" s="531" t="e">
        <f t="shared" si="356"/>
        <v>#DIV/0!</v>
      </c>
      <c r="HZS133" s="531" t="e">
        <f t="shared" si="356"/>
        <v>#DIV/0!</v>
      </c>
      <c r="HZT133" s="531" t="e">
        <f t="shared" si="356"/>
        <v>#DIV/0!</v>
      </c>
      <c r="HZU133" s="531" t="e">
        <f t="shared" si="356"/>
        <v>#DIV/0!</v>
      </c>
      <c r="HZV133" s="531" t="e">
        <f t="shared" si="356"/>
        <v>#DIV/0!</v>
      </c>
      <c r="HZW133" s="531" t="e">
        <f t="shared" si="356"/>
        <v>#DIV/0!</v>
      </c>
      <c r="HZX133" s="531" t="e">
        <f t="shared" si="356"/>
        <v>#DIV/0!</v>
      </c>
      <c r="HZY133" s="531" t="e">
        <f t="shared" si="356"/>
        <v>#DIV/0!</v>
      </c>
      <c r="HZZ133" s="531" t="e">
        <f t="shared" si="356"/>
        <v>#DIV/0!</v>
      </c>
      <c r="IAA133" s="531" t="e">
        <f t="shared" si="356"/>
        <v>#DIV/0!</v>
      </c>
      <c r="IAB133" s="531" t="e">
        <f t="shared" si="356"/>
        <v>#DIV/0!</v>
      </c>
      <c r="IAC133" s="531" t="e">
        <f t="shared" si="356"/>
        <v>#DIV/0!</v>
      </c>
      <c r="IAD133" s="531" t="e">
        <f t="shared" si="356"/>
        <v>#DIV/0!</v>
      </c>
      <c r="IAE133" s="531" t="e">
        <f t="shared" si="356"/>
        <v>#DIV/0!</v>
      </c>
      <c r="IAF133" s="531" t="e">
        <f t="shared" si="356"/>
        <v>#DIV/0!</v>
      </c>
      <c r="IAG133" s="531" t="e">
        <f t="shared" si="356"/>
        <v>#DIV/0!</v>
      </c>
      <c r="IAH133" s="531" t="e">
        <f t="shared" si="356"/>
        <v>#DIV/0!</v>
      </c>
      <c r="IAI133" s="531" t="e">
        <f t="shared" si="356"/>
        <v>#DIV/0!</v>
      </c>
      <c r="IAJ133" s="531" t="e">
        <f t="shared" si="356"/>
        <v>#DIV/0!</v>
      </c>
      <c r="IAK133" s="531" t="e">
        <f t="shared" si="356"/>
        <v>#DIV/0!</v>
      </c>
      <c r="IAL133" s="531" t="e">
        <f t="shared" si="356"/>
        <v>#DIV/0!</v>
      </c>
      <c r="IAM133" s="531" t="e">
        <f t="shared" si="356"/>
        <v>#DIV/0!</v>
      </c>
      <c r="IAN133" s="531" t="e">
        <f t="shared" si="356"/>
        <v>#DIV/0!</v>
      </c>
      <c r="IAO133" s="531" t="e">
        <f t="shared" si="356"/>
        <v>#DIV/0!</v>
      </c>
      <c r="IAP133" s="531" t="e">
        <f t="shared" si="356"/>
        <v>#DIV/0!</v>
      </c>
      <c r="IAQ133" s="531" t="e">
        <f t="shared" si="356"/>
        <v>#DIV/0!</v>
      </c>
      <c r="IAR133" s="531" t="e">
        <f t="shared" si="356"/>
        <v>#DIV/0!</v>
      </c>
      <c r="IAS133" s="531" t="e">
        <f t="shared" si="356"/>
        <v>#DIV/0!</v>
      </c>
      <c r="IAT133" s="531" t="e">
        <f t="shared" si="356"/>
        <v>#DIV/0!</v>
      </c>
      <c r="IAU133" s="531" t="e">
        <f t="shared" si="356"/>
        <v>#DIV/0!</v>
      </c>
      <c r="IAV133" s="531" t="e">
        <f t="shared" si="356"/>
        <v>#DIV/0!</v>
      </c>
      <c r="IAW133" s="531" t="e">
        <f t="shared" si="356"/>
        <v>#DIV/0!</v>
      </c>
      <c r="IAX133" s="531" t="e">
        <f t="shared" si="356"/>
        <v>#DIV/0!</v>
      </c>
      <c r="IAY133" s="531" t="e">
        <f t="shared" si="356"/>
        <v>#DIV/0!</v>
      </c>
      <c r="IAZ133" s="531" t="e">
        <f t="shared" si="356"/>
        <v>#DIV/0!</v>
      </c>
      <c r="IBA133" s="531" t="e">
        <f t="shared" si="356"/>
        <v>#DIV/0!</v>
      </c>
      <c r="IBB133" s="531" t="e">
        <f t="shared" si="356"/>
        <v>#DIV/0!</v>
      </c>
      <c r="IBC133" s="531" t="e">
        <f t="shared" si="356"/>
        <v>#DIV/0!</v>
      </c>
      <c r="IBD133" s="531" t="e">
        <f t="shared" si="356"/>
        <v>#DIV/0!</v>
      </c>
      <c r="IBE133" s="531" t="e">
        <f t="shared" si="356"/>
        <v>#DIV/0!</v>
      </c>
      <c r="IBF133" s="531" t="e">
        <f t="shared" si="356"/>
        <v>#DIV/0!</v>
      </c>
      <c r="IBG133" s="531" t="e">
        <f t="shared" si="356"/>
        <v>#DIV/0!</v>
      </c>
      <c r="IBH133" s="531" t="e">
        <f t="shared" si="356"/>
        <v>#DIV/0!</v>
      </c>
      <c r="IBI133" s="531" t="e">
        <f t="shared" si="356"/>
        <v>#DIV/0!</v>
      </c>
      <c r="IBJ133" s="531" t="e">
        <f t="shared" si="356"/>
        <v>#DIV/0!</v>
      </c>
      <c r="IBK133" s="531" t="e">
        <f t="shared" si="356"/>
        <v>#DIV/0!</v>
      </c>
      <c r="IBL133" s="531" t="e">
        <f t="shared" si="356"/>
        <v>#DIV/0!</v>
      </c>
      <c r="IBM133" s="531" t="e">
        <f t="shared" si="356"/>
        <v>#DIV/0!</v>
      </c>
      <c r="IBN133" s="531" t="e">
        <f t="shared" si="356"/>
        <v>#DIV/0!</v>
      </c>
      <c r="IBO133" s="531" t="e">
        <f t="shared" ref="IBO133:IDZ133" si="357">IBO116/(IBO52*10^5)</f>
        <v>#DIV/0!</v>
      </c>
      <c r="IBP133" s="531" t="e">
        <f t="shared" si="357"/>
        <v>#DIV/0!</v>
      </c>
      <c r="IBQ133" s="531" t="e">
        <f t="shared" si="357"/>
        <v>#DIV/0!</v>
      </c>
      <c r="IBR133" s="531" t="e">
        <f t="shared" si="357"/>
        <v>#DIV/0!</v>
      </c>
      <c r="IBS133" s="531" t="e">
        <f t="shared" si="357"/>
        <v>#DIV/0!</v>
      </c>
      <c r="IBT133" s="531" t="e">
        <f t="shared" si="357"/>
        <v>#DIV/0!</v>
      </c>
      <c r="IBU133" s="531" t="e">
        <f t="shared" si="357"/>
        <v>#DIV/0!</v>
      </c>
      <c r="IBV133" s="531" t="e">
        <f t="shared" si="357"/>
        <v>#DIV/0!</v>
      </c>
      <c r="IBW133" s="531" t="e">
        <f t="shared" si="357"/>
        <v>#DIV/0!</v>
      </c>
      <c r="IBX133" s="531" t="e">
        <f t="shared" si="357"/>
        <v>#DIV/0!</v>
      </c>
      <c r="IBY133" s="531" t="e">
        <f t="shared" si="357"/>
        <v>#DIV/0!</v>
      </c>
      <c r="IBZ133" s="531" t="e">
        <f t="shared" si="357"/>
        <v>#DIV/0!</v>
      </c>
      <c r="ICA133" s="531" t="e">
        <f t="shared" si="357"/>
        <v>#DIV/0!</v>
      </c>
      <c r="ICB133" s="531" t="e">
        <f t="shared" si="357"/>
        <v>#DIV/0!</v>
      </c>
      <c r="ICC133" s="531" t="e">
        <f t="shared" si="357"/>
        <v>#DIV/0!</v>
      </c>
      <c r="ICD133" s="531" t="e">
        <f t="shared" si="357"/>
        <v>#DIV/0!</v>
      </c>
      <c r="ICE133" s="531" t="e">
        <f t="shared" si="357"/>
        <v>#DIV/0!</v>
      </c>
      <c r="ICF133" s="531" t="e">
        <f t="shared" si="357"/>
        <v>#DIV/0!</v>
      </c>
      <c r="ICG133" s="531" t="e">
        <f t="shared" si="357"/>
        <v>#DIV/0!</v>
      </c>
      <c r="ICH133" s="531" t="e">
        <f t="shared" si="357"/>
        <v>#DIV/0!</v>
      </c>
      <c r="ICI133" s="531" t="e">
        <f t="shared" si="357"/>
        <v>#DIV/0!</v>
      </c>
      <c r="ICJ133" s="531" t="e">
        <f t="shared" si="357"/>
        <v>#DIV/0!</v>
      </c>
      <c r="ICK133" s="531" t="e">
        <f t="shared" si="357"/>
        <v>#DIV/0!</v>
      </c>
      <c r="ICL133" s="531" t="e">
        <f t="shared" si="357"/>
        <v>#DIV/0!</v>
      </c>
      <c r="ICM133" s="531" t="e">
        <f t="shared" si="357"/>
        <v>#DIV/0!</v>
      </c>
      <c r="ICN133" s="531" t="e">
        <f t="shared" si="357"/>
        <v>#DIV/0!</v>
      </c>
      <c r="ICO133" s="531" t="e">
        <f t="shared" si="357"/>
        <v>#DIV/0!</v>
      </c>
      <c r="ICP133" s="531" t="e">
        <f t="shared" si="357"/>
        <v>#DIV/0!</v>
      </c>
      <c r="ICQ133" s="531" t="e">
        <f t="shared" si="357"/>
        <v>#DIV/0!</v>
      </c>
      <c r="ICR133" s="531" t="e">
        <f t="shared" si="357"/>
        <v>#DIV/0!</v>
      </c>
      <c r="ICS133" s="531" t="e">
        <f t="shared" si="357"/>
        <v>#DIV/0!</v>
      </c>
      <c r="ICT133" s="531" t="e">
        <f t="shared" si="357"/>
        <v>#DIV/0!</v>
      </c>
      <c r="ICU133" s="531" t="e">
        <f t="shared" si="357"/>
        <v>#DIV/0!</v>
      </c>
      <c r="ICV133" s="531" t="e">
        <f t="shared" si="357"/>
        <v>#DIV/0!</v>
      </c>
      <c r="ICW133" s="531" t="e">
        <f t="shared" si="357"/>
        <v>#DIV/0!</v>
      </c>
      <c r="ICX133" s="531" t="e">
        <f t="shared" si="357"/>
        <v>#DIV/0!</v>
      </c>
      <c r="ICY133" s="531" t="e">
        <f t="shared" si="357"/>
        <v>#DIV/0!</v>
      </c>
      <c r="ICZ133" s="531" t="e">
        <f t="shared" si="357"/>
        <v>#DIV/0!</v>
      </c>
      <c r="IDA133" s="531" t="e">
        <f t="shared" si="357"/>
        <v>#DIV/0!</v>
      </c>
      <c r="IDB133" s="531" t="e">
        <f t="shared" si="357"/>
        <v>#DIV/0!</v>
      </c>
      <c r="IDC133" s="531" t="e">
        <f t="shared" si="357"/>
        <v>#DIV/0!</v>
      </c>
      <c r="IDD133" s="531" t="e">
        <f t="shared" si="357"/>
        <v>#DIV/0!</v>
      </c>
      <c r="IDE133" s="531" t="e">
        <f t="shared" si="357"/>
        <v>#DIV/0!</v>
      </c>
      <c r="IDF133" s="531" t="e">
        <f t="shared" si="357"/>
        <v>#DIV/0!</v>
      </c>
      <c r="IDG133" s="531" t="e">
        <f t="shared" si="357"/>
        <v>#DIV/0!</v>
      </c>
      <c r="IDH133" s="531" t="e">
        <f t="shared" si="357"/>
        <v>#DIV/0!</v>
      </c>
      <c r="IDI133" s="531" t="e">
        <f t="shared" si="357"/>
        <v>#DIV/0!</v>
      </c>
      <c r="IDJ133" s="531" t="e">
        <f t="shared" si="357"/>
        <v>#DIV/0!</v>
      </c>
      <c r="IDK133" s="531" t="e">
        <f t="shared" si="357"/>
        <v>#DIV/0!</v>
      </c>
      <c r="IDL133" s="531" t="e">
        <f t="shared" si="357"/>
        <v>#DIV/0!</v>
      </c>
      <c r="IDM133" s="531" t="e">
        <f t="shared" si="357"/>
        <v>#DIV/0!</v>
      </c>
      <c r="IDN133" s="531" t="e">
        <f t="shared" si="357"/>
        <v>#DIV/0!</v>
      </c>
      <c r="IDO133" s="531" t="e">
        <f t="shared" si="357"/>
        <v>#DIV/0!</v>
      </c>
      <c r="IDP133" s="531" t="e">
        <f t="shared" si="357"/>
        <v>#DIV/0!</v>
      </c>
      <c r="IDQ133" s="531" t="e">
        <f t="shared" si="357"/>
        <v>#DIV/0!</v>
      </c>
      <c r="IDR133" s="531" t="e">
        <f t="shared" si="357"/>
        <v>#DIV/0!</v>
      </c>
      <c r="IDS133" s="531" t="e">
        <f t="shared" si="357"/>
        <v>#DIV/0!</v>
      </c>
      <c r="IDT133" s="531" t="e">
        <f t="shared" si="357"/>
        <v>#DIV/0!</v>
      </c>
      <c r="IDU133" s="531" t="e">
        <f t="shared" si="357"/>
        <v>#DIV/0!</v>
      </c>
      <c r="IDV133" s="531" t="e">
        <f t="shared" si="357"/>
        <v>#DIV/0!</v>
      </c>
      <c r="IDW133" s="531" t="e">
        <f t="shared" si="357"/>
        <v>#DIV/0!</v>
      </c>
      <c r="IDX133" s="531" t="e">
        <f t="shared" si="357"/>
        <v>#DIV/0!</v>
      </c>
      <c r="IDY133" s="531" t="e">
        <f t="shared" si="357"/>
        <v>#DIV/0!</v>
      </c>
      <c r="IDZ133" s="531" t="e">
        <f t="shared" si="357"/>
        <v>#DIV/0!</v>
      </c>
      <c r="IEA133" s="531" t="e">
        <f t="shared" ref="IEA133:IGL133" si="358">IEA116/(IEA52*10^5)</f>
        <v>#DIV/0!</v>
      </c>
      <c r="IEB133" s="531" t="e">
        <f t="shared" si="358"/>
        <v>#DIV/0!</v>
      </c>
      <c r="IEC133" s="531" t="e">
        <f t="shared" si="358"/>
        <v>#DIV/0!</v>
      </c>
      <c r="IED133" s="531" t="e">
        <f t="shared" si="358"/>
        <v>#DIV/0!</v>
      </c>
      <c r="IEE133" s="531" t="e">
        <f t="shared" si="358"/>
        <v>#DIV/0!</v>
      </c>
      <c r="IEF133" s="531" t="e">
        <f t="shared" si="358"/>
        <v>#DIV/0!</v>
      </c>
      <c r="IEG133" s="531" t="e">
        <f t="shared" si="358"/>
        <v>#DIV/0!</v>
      </c>
      <c r="IEH133" s="531" t="e">
        <f t="shared" si="358"/>
        <v>#DIV/0!</v>
      </c>
      <c r="IEI133" s="531" t="e">
        <f t="shared" si="358"/>
        <v>#DIV/0!</v>
      </c>
      <c r="IEJ133" s="531" t="e">
        <f t="shared" si="358"/>
        <v>#DIV/0!</v>
      </c>
      <c r="IEK133" s="531" t="e">
        <f t="shared" si="358"/>
        <v>#DIV/0!</v>
      </c>
      <c r="IEL133" s="531" t="e">
        <f t="shared" si="358"/>
        <v>#DIV/0!</v>
      </c>
      <c r="IEM133" s="531" t="e">
        <f t="shared" si="358"/>
        <v>#DIV/0!</v>
      </c>
      <c r="IEN133" s="531" t="e">
        <f t="shared" si="358"/>
        <v>#DIV/0!</v>
      </c>
      <c r="IEO133" s="531" t="e">
        <f t="shared" si="358"/>
        <v>#DIV/0!</v>
      </c>
      <c r="IEP133" s="531" t="e">
        <f t="shared" si="358"/>
        <v>#DIV/0!</v>
      </c>
      <c r="IEQ133" s="531" t="e">
        <f t="shared" si="358"/>
        <v>#DIV/0!</v>
      </c>
      <c r="IER133" s="531" t="e">
        <f t="shared" si="358"/>
        <v>#DIV/0!</v>
      </c>
      <c r="IES133" s="531" t="e">
        <f t="shared" si="358"/>
        <v>#DIV/0!</v>
      </c>
      <c r="IET133" s="531" t="e">
        <f t="shared" si="358"/>
        <v>#DIV/0!</v>
      </c>
      <c r="IEU133" s="531" t="e">
        <f t="shared" si="358"/>
        <v>#DIV/0!</v>
      </c>
      <c r="IEV133" s="531" t="e">
        <f t="shared" si="358"/>
        <v>#DIV/0!</v>
      </c>
      <c r="IEW133" s="531" t="e">
        <f t="shared" si="358"/>
        <v>#DIV/0!</v>
      </c>
      <c r="IEX133" s="531" t="e">
        <f t="shared" si="358"/>
        <v>#DIV/0!</v>
      </c>
      <c r="IEY133" s="531" t="e">
        <f t="shared" si="358"/>
        <v>#DIV/0!</v>
      </c>
      <c r="IEZ133" s="531" t="e">
        <f t="shared" si="358"/>
        <v>#DIV/0!</v>
      </c>
      <c r="IFA133" s="531" t="e">
        <f t="shared" si="358"/>
        <v>#DIV/0!</v>
      </c>
      <c r="IFB133" s="531" t="e">
        <f t="shared" si="358"/>
        <v>#DIV/0!</v>
      </c>
      <c r="IFC133" s="531" t="e">
        <f t="shared" si="358"/>
        <v>#DIV/0!</v>
      </c>
      <c r="IFD133" s="531" t="e">
        <f t="shared" si="358"/>
        <v>#DIV/0!</v>
      </c>
      <c r="IFE133" s="531" t="e">
        <f t="shared" si="358"/>
        <v>#DIV/0!</v>
      </c>
      <c r="IFF133" s="531" t="e">
        <f t="shared" si="358"/>
        <v>#DIV/0!</v>
      </c>
      <c r="IFG133" s="531" t="e">
        <f t="shared" si="358"/>
        <v>#DIV/0!</v>
      </c>
      <c r="IFH133" s="531" t="e">
        <f t="shared" si="358"/>
        <v>#DIV/0!</v>
      </c>
      <c r="IFI133" s="531" t="e">
        <f t="shared" si="358"/>
        <v>#DIV/0!</v>
      </c>
      <c r="IFJ133" s="531" t="e">
        <f t="shared" si="358"/>
        <v>#DIV/0!</v>
      </c>
      <c r="IFK133" s="531" t="e">
        <f t="shared" si="358"/>
        <v>#DIV/0!</v>
      </c>
      <c r="IFL133" s="531" t="e">
        <f t="shared" si="358"/>
        <v>#DIV/0!</v>
      </c>
      <c r="IFM133" s="531" t="e">
        <f t="shared" si="358"/>
        <v>#DIV/0!</v>
      </c>
      <c r="IFN133" s="531" t="e">
        <f t="shared" si="358"/>
        <v>#DIV/0!</v>
      </c>
      <c r="IFO133" s="531" t="e">
        <f t="shared" si="358"/>
        <v>#DIV/0!</v>
      </c>
      <c r="IFP133" s="531" t="e">
        <f t="shared" si="358"/>
        <v>#DIV/0!</v>
      </c>
      <c r="IFQ133" s="531" t="e">
        <f t="shared" si="358"/>
        <v>#DIV/0!</v>
      </c>
      <c r="IFR133" s="531" t="e">
        <f t="shared" si="358"/>
        <v>#DIV/0!</v>
      </c>
      <c r="IFS133" s="531" t="e">
        <f t="shared" si="358"/>
        <v>#DIV/0!</v>
      </c>
      <c r="IFT133" s="531" t="e">
        <f t="shared" si="358"/>
        <v>#DIV/0!</v>
      </c>
      <c r="IFU133" s="531" t="e">
        <f t="shared" si="358"/>
        <v>#DIV/0!</v>
      </c>
      <c r="IFV133" s="531" t="e">
        <f t="shared" si="358"/>
        <v>#DIV/0!</v>
      </c>
      <c r="IFW133" s="531" t="e">
        <f t="shared" si="358"/>
        <v>#DIV/0!</v>
      </c>
      <c r="IFX133" s="531" t="e">
        <f t="shared" si="358"/>
        <v>#DIV/0!</v>
      </c>
      <c r="IFY133" s="531" t="e">
        <f t="shared" si="358"/>
        <v>#DIV/0!</v>
      </c>
      <c r="IFZ133" s="531" t="e">
        <f t="shared" si="358"/>
        <v>#DIV/0!</v>
      </c>
      <c r="IGA133" s="531" t="e">
        <f t="shared" si="358"/>
        <v>#DIV/0!</v>
      </c>
      <c r="IGB133" s="531" t="e">
        <f t="shared" si="358"/>
        <v>#DIV/0!</v>
      </c>
      <c r="IGC133" s="531" t="e">
        <f t="shared" si="358"/>
        <v>#DIV/0!</v>
      </c>
      <c r="IGD133" s="531" t="e">
        <f t="shared" si="358"/>
        <v>#DIV/0!</v>
      </c>
      <c r="IGE133" s="531" t="e">
        <f t="shared" si="358"/>
        <v>#DIV/0!</v>
      </c>
      <c r="IGF133" s="531" t="e">
        <f t="shared" si="358"/>
        <v>#DIV/0!</v>
      </c>
      <c r="IGG133" s="531" t="e">
        <f t="shared" si="358"/>
        <v>#DIV/0!</v>
      </c>
      <c r="IGH133" s="531" t="e">
        <f t="shared" si="358"/>
        <v>#DIV/0!</v>
      </c>
      <c r="IGI133" s="531" t="e">
        <f t="shared" si="358"/>
        <v>#DIV/0!</v>
      </c>
      <c r="IGJ133" s="531" t="e">
        <f t="shared" si="358"/>
        <v>#DIV/0!</v>
      </c>
      <c r="IGK133" s="531" t="e">
        <f t="shared" si="358"/>
        <v>#DIV/0!</v>
      </c>
      <c r="IGL133" s="531" t="e">
        <f t="shared" si="358"/>
        <v>#DIV/0!</v>
      </c>
      <c r="IGM133" s="531" t="e">
        <f t="shared" ref="IGM133:IIX133" si="359">IGM116/(IGM52*10^5)</f>
        <v>#DIV/0!</v>
      </c>
      <c r="IGN133" s="531" t="e">
        <f t="shared" si="359"/>
        <v>#DIV/0!</v>
      </c>
      <c r="IGO133" s="531" t="e">
        <f t="shared" si="359"/>
        <v>#DIV/0!</v>
      </c>
      <c r="IGP133" s="531" t="e">
        <f t="shared" si="359"/>
        <v>#DIV/0!</v>
      </c>
      <c r="IGQ133" s="531" t="e">
        <f t="shared" si="359"/>
        <v>#DIV/0!</v>
      </c>
      <c r="IGR133" s="531" t="e">
        <f t="shared" si="359"/>
        <v>#DIV/0!</v>
      </c>
      <c r="IGS133" s="531" t="e">
        <f t="shared" si="359"/>
        <v>#DIV/0!</v>
      </c>
      <c r="IGT133" s="531" t="e">
        <f t="shared" si="359"/>
        <v>#DIV/0!</v>
      </c>
      <c r="IGU133" s="531" t="e">
        <f t="shared" si="359"/>
        <v>#DIV/0!</v>
      </c>
      <c r="IGV133" s="531" t="e">
        <f t="shared" si="359"/>
        <v>#DIV/0!</v>
      </c>
      <c r="IGW133" s="531" t="e">
        <f t="shared" si="359"/>
        <v>#DIV/0!</v>
      </c>
      <c r="IGX133" s="531" t="e">
        <f t="shared" si="359"/>
        <v>#DIV/0!</v>
      </c>
      <c r="IGY133" s="531" t="e">
        <f t="shared" si="359"/>
        <v>#DIV/0!</v>
      </c>
      <c r="IGZ133" s="531" t="e">
        <f t="shared" si="359"/>
        <v>#DIV/0!</v>
      </c>
      <c r="IHA133" s="531" t="e">
        <f t="shared" si="359"/>
        <v>#DIV/0!</v>
      </c>
      <c r="IHB133" s="531" t="e">
        <f t="shared" si="359"/>
        <v>#DIV/0!</v>
      </c>
      <c r="IHC133" s="531" t="e">
        <f t="shared" si="359"/>
        <v>#DIV/0!</v>
      </c>
      <c r="IHD133" s="531" t="e">
        <f t="shared" si="359"/>
        <v>#DIV/0!</v>
      </c>
      <c r="IHE133" s="531" t="e">
        <f t="shared" si="359"/>
        <v>#DIV/0!</v>
      </c>
      <c r="IHF133" s="531" t="e">
        <f t="shared" si="359"/>
        <v>#DIV/0!</v>
      </c>
      <c r="IHG133" s="531" t="e">
        <f t="shared" si="359"/>
        <v>#DIV/0!</v>
      </c>
      <c r="IHH133" s="531" t="e">
        <f t="shared" si="359"/>
        <v>#DIV/0!</v>
      </c>
      <c r="IHI133" s="531" t="e">
        <f t="shared" si="359"/>
        <v>#DIV/0!</v>
      </c>
      <c r="IHJ133" s="531" t="e">
        <f t="shared" si="359"/>
        <v>#DIV/0!</v>
      </c>
      <c r="IHK133" s="531" t="e">
        <f t="shared" si="359"/>
        <v>#DIV/0!</v>
      </c>
      <c r="IHL133" s="531" t="e">
        <f t="shared" si="359"/>
        <v>#DIV/0!</v>
      </c>
      <c r="IHM133" s="531" t="e">
        <f t="shared" si="359"/>
        <v>#DIV/0!</v>
      </c>
      <c r="IHN133" s="531" t="e">
        <f t="shared" si="359"/>
        <v>#DIV/0!</v>
      </c>
      <c r="IHO133" s="531" t="e">
        <f t="shared" si="359"/>
        <v>#DIV/0!</v>
      </c>
      <c r="IHP133" s="531" t="e">
        <f t="shared" si="359"/>
        <v>#DIV/0!</v>
      </c>
      <c r="IHQ133" s="531" t="e">
        <f t="shared" si="359"/>
        <v>#DIV/0!</v>
      </c>
      <c r="IHR133" s="531" t="e">
        <f t="shared" si="359"/>
        <v>#DIV/0!</v>
      </c>
      <c r="IHS133" s="531" t="e">
        <f t="shared" si="359"/>
        <v>#DIV/0!</v>
      </c>
      <c r="IHT133" s="531" t="e">
        <f t="shared" si="359"/>
        <v>#DIV/0!</v>
      </c>
      <c r="IHU133" s="531" t="e">
        <f t="shared" si="359"/>
        <v>#DIV/0!</v>
      </c>
      <c r="IHV133" s="531" t="e">
        <f t="shared" si="359"/>
        <v>#DIV/0!</v>
      </c>
      <c r="IHW133" s="531" t="e">
        <f t="shared" si="359"/>
        <v>#DIV/0!</v>
      </c>
      <c r="IHX133" s="531" t="e">
        <f t="shared" si="359"/>
        <v>#DIV/0!</v>
      </c>
      <c r="IHY133" s="531" t="e">
        <f t="shared" si="359"/>
        <v>#DIV/0!</v>
      </c>
      <c r="IHZ133" s="531" t="e">
        <f t="shared" si="359"/>
        <v>#DIV/0!</v>
      </c>
      <c r="IIA133" s="531" t="e">
        <f t="shared" si="359"/>
        <v>#DIV/0!</v>
      </c>
      <c r="IIB133" s="531" t="e">
        <f t="shared" si="359"/>
        <v>#DIV/0!</v>
      </c>
      <c r="IIC133" s="531" t="e">
        <f t="shared" si="359"/>
        <v>#DIV/0!</v>
      </c>
      <c r="IID133" s="531" t="e">
        <f t="shared" si="359"/>
        <v>#DIV/0!</v>
      </c>
      <c r="IIE133" s="531" t="e">
        <f t="shared" si="359"/>
        <v>#DIV/0!</v>
      </c>
      <c r="IIF133" s="531" t="e">
        <f t="shared" si="359"/>
        <v>#DIV/0!</v>
      </c>
      <c r="IIG133" s="531" t="e">
        <f t="shared" si="359"/>
        <v>#DIV/0!</v>
      </c>
      <c r="IIH133" s="531" t="e">
        <f t="shared" si="359"/>
        <v>#DIV/0!</v>
      </c>
      <c r="III133" s="531" t="e">
        <f t="shared" si="359"/>
        <v>#DIV/0!</v>
      </c>
      <c r="IIJ133" s="531" t="e">
        <f t="shared" si="359"/>
        <v>#DIV/0!</v>
      </c>
      <c r="IIK133" s="531" t="e">
        <f t="shared" si="359"/>
        <v>#DIV/0!</v>
      </c>
      <c r="IIL133" s="531" t="e">
        <f t="shared" si="359"/>
        <v>#DIV/0!</v>
      </c>
      <c r="IIM133" s="531" t="e">
        <f t="shared" si="359"/>
        <v>#DIV/0!</v>
      </c>
      <c r="IIN133" s="531" t="e">
        <f t="shared" si="359"/>
        <v>#DIV/0!</v>
      </c>
      <c r="IIO133" s="531" t="e">
        <f t="shared" si="359"/>
        <v>#DIV/0!</v>
      </c>
      <c r="IIP133" s="531" t="e">
        <f t="shared" si="359"/>
        <v>#DIV/0!</v>
      </c>
      <c r="IIQ133" s="531" t="e">
        <f t="shared" si="359"/>
        <v>#DIV/0!</v>
      </c>
      <c r="IIR133" s="531" t="e">
        <f t="shared" si="359"/>
        <v>#DIV/0!</v>
      </c>
      <c r="IIS133" s="531" t="e">
        <f t="shared" si="359"/>
        <v>#DIV/0!</v>
      </c>
      <c r="IIT133" s="531" t="e">
        <f t="shared" si="359"/>
        <v>#DIV/0!</v>
      </c>
      <c r="IIU133" s="531" t="e">
        <f t="shared" si="359"/>
        <v>#DIV/0!</v>
      </c>
      <c r="IIV133" s="531" t="e">
        <f t="shared" si="359"/>
        <v>#DIV/0!</v>
      </c>
      <c r="IIW133" s="531" t="e">
        <f t="shared" si="359"/>
        <v>#DIV/0!</v>
      </c>
      <c r="IIX133" s="531" t="e">
        <f t="shared" si="359"/>
        <v>#DIV/0!</v>
      </c>
      <c r="IIY133" s="531" t="e">
        <f t="shared" ref="IIY133:ILJ133" si="360">IIY116/(IIY52*10^5)</f>
        <v>#DIV/0!</v>
      </c>
      <c r="IIZ133" s="531" t="e">
        <f t="shared" si="360"/>
        <v>#DIV/0!</v>
      </c>
      <c r="IJA133" s="531" t="e">
        <f t="shared" si="360"/>
        <v>#DIV/0!</v>
      </c>
      <c r="IJB133" s="531" t="e">
        <f t="shared" si="360"/>
        <v>#DIV/0!</v>
      </c>
      <c r="IJC133" s="531" t="e">
        <f t="shared" si="360"/>
        <v>#DIV/0!</v>
      </c>
      <c r="IJD133" s="531" t="e">
        <f t="shared" si="360"/>
        <v>#DIV/0!</v>
      </c>
      <c r="IJE133" s="531" t="e">
        <f t="shared" si="360"/>
        <v>#DIV/0!</v>
      </c>
      <c r="IJF133" s="531" t="e">
        <f t="shared" si="360"/>
        <v>#DIV/0!</v>
      </c>
      <c r="IJG133" s="531" t="e">
        <f t="shared" si="360"/>
        <v>#DIV/0!</v>
      </c>
      <c r="IJH133" s="531" t="e">
        <f t="shared" si="360"/>
        <v>#DIV/0!</v>
      </c>
      <c r="IJI133" s="531" t="e">
        <f t="shared" si="360"/>
        <v>#DIV/0!</v>
      </c>
      <c r="IJJ133" s="531" t="e">
        <f t="shared" si="360"/>
        <v>#DIV/0!</v>
      </c>
      <c r="IJK133" s="531" t="e">
        <f t="shared" si="360"/>
        <v>#DIV/0!</v>
      </c>
      <c r="IJL133" s="531" t="e">
        <f t="shared" si="360"/>
        <v>#DIV/0!</v>
      </c>
      <c r="IJM133" s="531" t="e">
        <f t="shared" si="360"/>
        <v>#DIV/0!</v>
      </c>
      <c r="IJN133" s="531" t="e">
        <f t="shared" si="360"/>
        <v>#DIV/0!</v>
      </c>
      <c r="IJO133" s="531" t="e">
        <f t="shared" si="360"/>
        <v>#DIV/0!</v>
      </c>
      <c r="IJP133" s="531" t="e">
        <f t="shared" si="360"/>
        <v>#DIV/0!</v>
      </c>
      <c r="IJQ133" s="531" t="e">
        <f t="shared" si="360"/>
        <v>#DIV/0!</v>
      </c>
      <c r="IJR133" s="531" t="e">
        <f t="shared" si="360"/>
        <v>#DIV/0!</v>
      </c>
      <c r="IJS133" s="531" t="e">
        <f t="shared" si="360"/>
        <v>#DIV/0!</v>
      </c>
      <c r="IJT133" s="531" t="e">
        <f t="shared" si="360"/>
        <v>#DIV/0!</v>
      </c>
      <c r="IJU133" s="531" t="e">
        <f t="shared" si="360"/>
        <v>#DIV/0!</v>
      </c>
      <c r="IJV133" s="531" t="e">
        <f t="shared" si="360"/>
        <v>#DIV/0!</v>
      </c>
      <c r="IJW133" s="531" t="e">
        <f t="shared" si="360"/>
        <v>#DIV/0!</v>
      </c>
      <c r="IJX133" s="531" t="e">
        <f t="shared" si="360"/>
        <v>#DIV/0!</v>
      </c>
      <c r="IJY133" s="531" t="e">
        <f t="shared" si="360"/>
        <v>#DIV/0!</v>
      </c>
      <c r="IJZ133" s="531" t="e">
        <f t="shared" si="360"/>
        <v>#DIV/0!</v>
      </c>
      <c r="IKA133" s="531" t="e">
        <f t="shared" si="360"/>
        <v>#DIV/0!</v>
      </c>
      <c r="IKB133" s="531" t="e">
        <f t="shared" si="360"/>
        <v>#DIV/0!</v>
      </c>
      <c r="IKC133" s="531" t="e">
        <f t="shared" si="360"/>
        <v>#DIV/0!</v>
      </c>
      <c r="IKD133" s="531" t="e">
        <f t="shared" si="360"/>
        <v>#DIV/0!</v>
      </c>
      <c r="IKE133" s="531" t="e">
        <f t="shared" si="360"/>
        <v>#DIV/0!</v>
      </c>
      <c r="IKF133" s="531" t="e">
        <f t="shared" si="360"/>
        <v>#DIV/0!</v>
      </c>
      <c r="IKG133" s="531" t="e">
        <f t="shared" si="360"/>
        <v>#DIV/0!</v>
      </c>
      <c r="IKH133" s="531" t="e">
        <f t="shared" si="360"/>
        <v>#DIV/0!</v>
      </c>
      <c r="IKI133" s="531" t="e">
        <f t="shared" si="360"/>
        <v>#DIV/0!</v>
      </c>
      <c r="IKJ133" s="531" t="e">
        <f t="shared" si="360"/>
        <v>#DIV/0!</v>
      </c>
      <c r="IKK133" s="531" t="e">
        <f t="shared" si="360"/>
        <v>#DIV/0!</v>
      </c>
      <c r="IKL133" s="531" t="e">
        <f t="shared" si="360"/>
        <v>#DIV/0!</v>
      </c>
      <c r="IKM133" s="531" t="e">
        <f t="shared" si="360"/>
        <v>#DIV/0!</v>
      </c>
      <c r="IKN133" s="531" t="e">
        <f t="shared" si="360"/>
        <v>#DIV/0!</v>
      </c>
      <c r="IKO133" s="531" t="e">
        <f t="shared" si="360"/>
        <v>#DIV/0!</v>
      </c>
      <c r="IKP133" s="531" t="e">
        <f t="shared" si="360"/>
        <v>#DIV/0!</v>
      </c>
      <c r="IKQ133" s="531" t="e">
        <f t="shared" si="360"/>
        <v>#DIV/0!</v>
      </c>
      <c r="IKR133" s="531" t="e">
        <f t="shared" si="360"/>
        <v>#DIV/0!</v>
      </c>
      <c r="IKS133" s="531" t="e">
        <f t="shared" si="360"/>
        <v>#DIV/0!</v>
      </c>
      <c r="IKT133" s="531" t="e">
        <f t="shared" si="360"/>
        <v>#DIV/0!</v>
      </c>
      <c r="IKU133" s="531" t="e">
        <f t="shared" si="360"/>
        <v>#DIV/0!</v>
      </c>
      <c r="IKV133" s="531" t="e">
        <f t="shared" si="360"/>
        <v>#DIV/0!</v>
      </c>
      <c r="IKW133" s="531" t="e">
        <f t="shared" si="360"/>
        <v>#DIV/0!</v>
      </c>
      <c r="IKX133" s="531" t="e">
        <f t="shared" si="360"/>
        <v>#DIV/0!</v>
      </c>
      <c r="IKY133" s="531" t="e">
        <f t="shared" si="360"/>
        <v>#DIV/0!</v>
      </c>
      <c r="IKZ133" s="531" t="e">
        <f t="shared" si="360"/>
        <v>#DIV/0!</v>
      </c>
      <c r="ILA133" s="531" t="e">
        <f t="shared" si="360"/>
        <v>#DIV/0!</v>
      </c>
      <c r="ILB133" s="531" t="e">
        <f t="shared" si="360"/>
        <v>#DIV/0!</v>
      </c>
      <c r="ILC133" s="531" t="e">
        <f t="shared" si="360"/>
        <v>#DIV/0!</v>
      </c>
      <c r="ILD133" s="531" t="e">
        <f t="shared" si="360"/>
        <v>#DIV/0!</v>
      </c>
      <c r="ILE133" s="531" t="e">
        <f t="shared" si="360"/>
        <v>#DIV/0!</v>
      </c>
      <c r="ILF133" s="531" t="e">
        <f t="shared" si="360"/>
        <v>#DIV/0!</v>
      </c>
      <c r="ILG133" s="531" t="e">
        <f t="shared" si="360"/>
        <v>#DIV/0!</v>
      </c>
      <c r="ILH133" s="531" t="e">
        <f t="shared" si="360"/>
        <v>#DIV/0!</v>
      </c>
      <c r="ILI133" s="531" t="e">
        <f t="shared" si="360"/>
        <v>#DIV/0!</v>
      </c>
      <c r="ILJ133" s="531" t="e">
        <f t="shared" si="360"/>
        <v>#DIV/0!</v>
      </c>
      <c r="ILK133" s="531" t="e">
        <f t="shared" ref="ILK133:INV133" si="361">ILK116/(ILK52*10^5)</f>
        <v>#DIV/0!</v>
      </c>
      <c r="ILL133" s="531" t="e">
        <f t="shared" si="361"/>
        <v>#DIV/0!</v>
      </c>
      <c r="ILM133" s="531" t="e">
        <f t="shared" si="361"/>
        <v>#DIV/0!</v>
      </c>
      <c r="ILN133" s="531" t="e">
        <f t="shared" si="361"/>
        <v>#DIV/0!</v>
      </c>
      <c r="ILO133" s="531" t="e">
        <f t="shared" si="361"/>
        <v>#DIV/0!</v>
      </c>
      <c r="ILP133" s="531" t="e">
        <f t="shared" si="361"/>
        <v>#DIV/0!</v>
      </c>
      <c r="ILQ133" s="531" t="e">
        <f t="shared" si="361"/>
        <v>#DIV/0!</v>
      </c>
      <c r="ILR133" s="531" t="e">
        <f t="shared" si="361"/>
        <v>#DIV/0!</v>
      </c>
      <c r="ILS133" s="531" t="e">
        <f t="shared" si="361"/>
        <v>#DIV/0!</v>
      </c>
      <c r="ILT133" s="531" t="e">
        <f t="shared" si="361"/>
        <v>#DIV/0!</v>
      </c>
      <c r="ILU133" s="531" t="e">
        <f t="shared" si="361"/>
        <v>#DIV/0!</v>
      </c>
      <c r="ILV133" s="531" t="e">
        <f t="shared" si="361"/>
        <v>#DIV/0!</v>
      </c>
      <c r="ILW133" s="531" t="e">
        <f t="shared" si="361"/>
        <v>#DIV/0!</v>
      </c>
      <c r="ILX133" s="531" t="e">
        <f t="shared" si="361"/>
        <v>#DIV/0!</v>
      </c>
      <c r="ILY133" s="531" t="e">
        <f t="shared" si="361"/>
        <v>#DIV/0!</v>
      </c>
      <c r="ILZ133" s="531" t="e">
        <f t="shared" si="361"/>
        <v>#DIV/0!</v>
      </c>
      <c r="IMA133" s="531" t="e">
        <f t="shared" si="361"/>
        <v>#DIV/0!</v>
      </c>
      <c r="IMB133" s="531" t="e">
        <f t="shared" si="361"/>
        <v>#DIV/0!</v>
      </c>
      <c r="IMC133" s="531" t="e">
        <f t="shared" si="361"/>
        <v>#DIV/0!</v>
      </c>
      <c r="IMD133" s="531" t="e">
        <f t="shared" si="361"/>
        <v>#DIV/0!</v>
      </c>
      <c r="IME133" s="531" t="e">
        <f t="shared" si="361"/>
        <v>#DIV/0!</v>
      </c>
      <c r="IMF133" s="531" t="e">
        <f t="shared" si="361"/>
        <v>#DIV/0!</v>
      </c>
      <c r="IMG133" s="531" t="e">
        <f t="shared" si="361"/>
        <v>#DIV/0!</v>
      </c>
      <c r="IMH133" s="531" t="e">
        <f t="shared" si="361"/>
        <v>#DIV/0!</v>
      </c>
      <c r="IMI133" s="531" t="e">
        <f t="shared" si="361"/>
        <v>#DIV/0!</v>
      </c>
      <c r="IMJ133" s="531" t="e">
        <f t="shared" si="361"/>
        <v>#DIV/0!</v>
      </c>
      <c r="IMK133" s="531" t="e">
        <f t="shared" si="361"/>
        <v>#DIV/0!</v>
      </c>
      <c r="IML133" s="531" t="e">
        <f t="shared" si="361"/>
        <v>#DIV/0!</v>
      </c>
      <c r="IMM133" s="531" t="e">
        <f t="shared" si="361"/>
        <v>#DIV/0!</v>
      </c>
      <c r="IMN133" s="531" t="e">
        <f t="shared" si="361"/>
        <v>#DIV/0!</v>
      </c>
      <c r="IMO133" s="531" t="e">
        <f t="shared" si="361"/>
        <v>#DIV/0!</v>
      </c>
      <c r="IMP133" s="531" t="e">
        <f t="shared" si="361"/>
        <v>#DIV/0!</v>
      </c>
      <c r="IMQ133" s="531" t="e">
        <f t="shared" si="361"/>
        <v>#DIV/0!</v>
      </c>
      <c r="IMR133" s="531" t="e">
        <f t="shared" si="361"/>
        <v>#DIV/0!</v>
      </c>
      <c r="IMS133" s="531" t="e">
        <f t="shared" si="361"/>
        <v>#DIV/0!</v>
      </c>
      <c r="IMT133" s="531" t="e">
        <f t="shared" si="361"/>
        <v>#DIV/0!</v>
      </c>
      <c r="IMU133" s="531" t="e">
        <f t="shared" si="361"/>
        <v>#DIV/0!</v>
      </c>
      <c r="IMV133" s="531" t="e">
        <f t="shared" si="361"/>
        <v>#DIV/0!</v>
      </c>
      <c r="IMW133" s="531" t="e">
        <f t="shared" si="361"/>
        <v>#DIV/0!</v>
      </c>
      <c r="IMX133" s="531" t="e">
        <f t="shared" si="361"/>
        <v>#DIV/0!</v>
      </c>
      <c r="IMY133" s="531" t="e">
        <f t="shared" si="361"/>
        <v>#DIV/0!</v>
      </c>
      <c r="IMZ133" s="531" t="e">
        <f t="shared" si="361"/>
        <v>#DIV/0!</v>
      </c>
      <c r="INA133" s="531" t="e">
        <f t="shared" si="361"/>
        <v>#DIV/0!</v>
      </c>
      <c r="INB133" s="531" t="e">
        <f t="shared" si="361"/>
        <v>#DIV/0!</v>
      </c>
      <c r="INC133" s="531" t="e">
        <f t="shared" si="361"/>
        <v>#DIV/0!</v>
      </c>
      <c r="IND133" s="531" t="e">
        <f t="shared" si="361"/>
        <v>#DIV/0!</v>
      </c>
      <c r="INE133" s="531" t="e">
        <f t="shared" si="361"/>
        <v>#DIV/0!</v>
      </c>
      <c r="INF133" s="531" t="e">
        <f t="shared" si="361"/>
        <v>#DIV/0!</v>
      </c>
      <c r="ING133" s="531" t="e">
        <f t="shared" si="361"/>
        <v>#DIV/0!</v>
      </c>
      <c r="INH133" s="531" t="e">
        <f t="shared" si="361"/>
        <v>#DIV/0!</v>
      </c>
      <c r="INI133" s="531" t="e">
        <f t="shared" si="361"/>
        <v>#DIV/0!</v>
      </c>
      <c r="INJ133" s="531" t="e">
        <f t="shared" si="361"/>
        <v>#DIV/0!</v>
      </c>
      <c r="INK133" s="531" t="e">
        <f t="shared" si="361"/>
        <v>#DIV/0!</v>
      </c>
      <c r="INL133" s="531" t="e">
        <f t="shared" si="361"/>
        <v>#DIV/0!</v>
      </c>
      <c r="INM133" s="531" t="e">
        <f t="shared" si="361"/>
        <v>#DIV/0!</v>
      </c>
      <c r="INN133" s="531" t="e">
        <f t="shared" si="361"/>
        <v>#DIV/0!</v>
      </c>
      <c r="INO133" s="531" t="e">
        <f t="shared" si="361"/>
        <v>#DIV/0!</v>
      </c>
      <c r="INP133" s="531" t="e">
        <f t="shared" si="361"/>
        <v>#DIV/0!</v>
      </c>
      <c r="INQ133" s="531" t="e">
        <f t="shared" si="361"/>
        <v>#DIV/0!</v>
      </c>
      <c r="INR133" s="531" t="e">
        <f t="shared" si="361"/>
        <v>#DIV/0!</v>
      </c>
      <c r="INS133" s="531" t="e">
        <f t="shared" si="361"/>
        <v>#DIV/0!</v>
      </c>
      <c r="INT133" s="531" t="e">
        <f t="shared" si="361"/>
        <v>#DIV/0!</v>
      </c>
      <c r="INU133" s="531" t="e">
        <f t="shared" si="361"/>
        <v>#DIV/0!</v>
      </c>
      <c r="INV133" s="531" t="e">
        <f t="shared" si="361"/>
        <v>#DIV/0!</v>
      </c>
      <c r="INW133" s="531" t="e">
        <f t="shared" ref="INW133:IQH133" si="362">INW116/(INW52*10^5)</f>
        <v>#DIV/0!</v>
      </c>
      <c r="INX133" s="531" t="e">
        <f t="shared" si="362"/>
        <v>#DIV/0!</v>
      </c>
      <c r="INY133" s="531" t="e">
        <f t="shared" si="362"/>
        <v>#DIV/0!</v>
      </c>
      <c r="INZ133" s="531" t="e">
        <f t="shared" si="362"/>
        <v>#DIV/0!</v>
      </c>
      <c r="IOA133" s="531" t="e">
        <f t="shared" si="362"/>
        <v>#DIV/0!</v>
      </c>
      <c r="IOB133" s="531" t="e">
        <f t="shared" si="362"/>
        <v>#DIV/0!</v>
      </c>
      <c r="IOC133" s="531" t="e">
        <f t="shared" si="362"/>
        <v>#DIV/0!</v>
      </c>
      <c r="IOD133" s="531" t="e">
        <f t="shared" si="362"/>
        <v>#DIV/0!</v>
      </c>
      <c r="IOE133" s="531" t="e">
        <f t="shared" si="362"/>
        <v>#DIV/0!</v>
      </c>
      <c r="IOF133" s="531" t="e">
        <f t="shared" si="362"/>
        <v>#DIV/0!</v>
      </c>
      <c r="IOG133" s="531" t="e">
        <f t="shared" si="362"/>
        <v>#DIV/0!</v>
      </c>
      <c r="IOH133" s="531" t="e">
        <f t="shared" si="362"/>
        <v>#DIV/0!</v>
      </c>
      <c r="IOI133" s="531" t="e">
        <f t="shared" si="362"/>
        <v>#DIV/0!</v>
      </c>
      <c r="IOJ133" s="531" t="e">
        <f t="shared" si="362"/>
        <v>#DIV/0!</v>
      </c>
      <c r="IOK133" s="531" t="e">
        <f t="shared" si="362"/>
        <v>#DIV/0!</v>
      </c>
      <c r="IOL133" s="531" t="e">
        <f t="shared" si="362"/>
        <v>#DIV/0!</v>
      </c>
      <c r="IOM133" s="531" t="e">
        <f t="shared" si="362"/>
        <v>#DIV/0!</v>
      </c>
      <c r="ION133" s="531" t="e">
        <f t="shared" si="362"/>
        <v>#DIV/0!</v>
      </c>
      <c r="IOO133" s="531" t="e">
        <f t="shared" si="362"/>
        <v>#DIV/0!</v>
      </c>
      <c r="IOP133" s="531" t="e">
        <f t="shared" si="362"/>
        <v>#DIV/0!</v>
      </c>
      <c r="IOQ133" s="531" t="e">
        <f t="shared" si="362"/>
        <v>#DIV/0!</v>
      </c>
      <c r="IOR133" s="531" t="e">
        <f t="shared" si="362"/>
        <v>#DIV/0!</v>
      </c>
      <c r="IOS133" s="531" t="e">
        <f t="shared" si="362"/>
        <v>#DIV/0!</v>
      </c>
      <c r="IOT133" s="531" t="e">
        <f t="shared" si="362"/>
        <v>#DIV/0!</v>
      </c>
      <c r="IOU133" s="531" t="e">
        <f t="shared" si="362"/>
        <v>#DIV/0!</v>
      </c>
      <c r="IOV133" s="531" t="e">
        <f t="shared" si="362"/>
        <v>#DIV/0!</v>
      </c>
      <c r="IOW133" s="531" t="e">
        <f t="shared" si="362"/>
        <v>#DIV/0!</v>
      </c>
      <c r="IOX133" s="531" t="e">
        <f t="shared" si="362"/>
        <v>#DIV/0!</v>
      </c>
      <c r="IOY133" s="531" t="e">
        <f t="shared" si="362"/>
        <v>#DIV/0!</v>
      </c>
      <c r="IOZ133" s="531" t="e">
        <f t="shared" si="362"/>
        <v>#DIV/0!</v>
      </c>
      <c r="IPA133" s="531" t="e">
        <f t="shared" si="362"/>
        <v>#DIV/0!</v>
      </c>
      <c r="IPB133" s="531" t="e">
        <f t="shared" si="362"/>
        <v>#DIV/0!</v>
      </c>
      <c r="IPC133" s="531" t="e">
        <f t="shared" si="362"/>
        <v>#DIV/0!</v>
      </c>
      <c r="IPD133" s="531" t="e">
        <f t="shared" si="362"/>
        <v>#DIV/0!</v>
      </c>
      <c r="IPE133" s="531" t="e">
        <f t="shared" si="362"/>
        <v>#DIV/0!</v>
      </c>
      <c r="IPF133" s="531" t="e">
        <f t="shared" si="362"/>
        <v>#DIV/0!</v>
      </c>
      <c r="IPG133" s="531" t="e">
        <f t="shared" si="362"/>
        <v>#DIV/0!</v>
      </c>
      <c r="IPH133" s="531" t="e">
        <f t="shared" si="362"/>
        <v>#DIV/0!</v>
      </c>
      <c r="IPI133" s="531" t="e">
        <f t="shared" si="362"/>
        <v>#DIV/0!</v>
      </c>
      <c r="IPJ133" s="531" t="e">
        <f t="shared" si="362"/>
        <v>#DIV/0!</v>
      </c>
      <c r="IPK133" s="531" t="e">
        <f t="shared" si="362"/>
        <v>#DIV/0!</v>
      </c>
      <c r="IPL133" s="531" t="e">
        <f t="shared" si="362"/>
        <v>#DIV/0!</v>
      </c>
      <c r="IPM133" s="531" t="e">
        <f t="shared" si="362"/>
        <v>#DIV/0!</v>
      </c>
      <c r="IPN133" s="531" t="e">
        <f t="shared" si="362"/>
        <v>#DIV/0!</v>
      </c>
      <c r="IPO133" s="531" t="e">
        <f t="shared" si="362"/>
        <v>#DIV/0!</v>
      </c>
      <c r="IPP133" s="531" t="e">
        <f t="shared" si="362"/>
        <v>#DIV/0!</v>
      </c>
      <c r="IPQ133" s="531" t="e">
        <f t="shared" si="362"/>
        <v>#DIV/0!</v>
      </c>
      <c r="IPR133" s="531" t="e">
        <f t="shared" si="362"/>
        <v>#DIV/0!</v>
      </c>
      <c r="IPS133" s="531" t="e">
        <f t="shared" si="362"/>
        <v>#DIV/0!</v>
      </c>
      <c r="IPT133" s="531" t="e">
        <f t="shared" si="362"/>
        <v>#DIV/0!</v>
      </c>
      <c r="IPU133" s="531" t="e">
        <f t="shared" si="362"/>
        <v>#DIV/0!</v>
      </c>
      <c r="IPV133" s="531" t="e">
        <f t="shared" si="362"/>
        <v>#DIV/0!</v>
      </c>
      <c r="IPW133" s="531" t="e">
        <f t="shared" si="362"/>
        <v>#DIV/0!</v>
      </c>
      <c r="IPX133" s="531" t="e">
        <f t="shared" si="362"/>
        <v>#DIV/0!</v>
      </c>
      <c r="IPY133" s="531" t="e">
        <f t="shared" si="362"/>
        <v>#DIV/0!</v>
      </c>
      <c r="IPZ133" s="531" t="e">
        <f t="shared" si="362"/>
        <v>#DIV/0!</v>
      </c>
      <c r="IQA133" s="531" t="e">
        <f t="shared" si="362"/>
        <v>#DIV/0!</v>
      </c>
      <c r="IQB133" s="531" t="e">
        <f t="shared" si="362"/>
        <v>#DIV/0!</v>
      </c>
      <c r="IQC133" s="531" t="e">
        <f t="shared" si="362"/>
        <v>#DIV/0!</v>
      </c>
      <c r="IQD133" s="531" t="e">
        <f t="shared" si="362"/>
        <v>#DIV/0!</v>
      </c>
      <c r="IQE133" s="531" t="e">
        <f t="shared" si="362"/>
        <v>#DIV/0!</v>
      </c>
      <c r="IQF133" s="531" t="e">
        <f t="shared" si="362"/>
        <v>#DIV/0!</v>
      </c>
      <c r="IQG133" s="531" t="e">
        <f t="shared" si="362"/>
        <v>#DIV/0!</v>
      </c>
      <c r="IQH133" s="531" t="e">
        <f t="shared" si="362"/>
        <v>#DIV/0!</v>
      </c>
      <c r="IQI133" s="531" t="e">
        <f t="shared" ref="IQI133:IST133" si="363">IQI116/(IQI52*10^5)</f>
        <v>#DIV/0!</v>
      </c>
      <c r="IQJ133" s="531" t="e">
        <f t="shared" si="363"/>
        <v>#DIV/0!</v>
      </c>
      <c r="IQK133" s="531" t="e">
        <f t="shared" si="363"/>
        <v>#DIV/0!</v>
      </c>
      <c r="IQL133" s="531" t="e">
        <f t="shared" si="363"/>
        <v>#DIV/0!</v>
      </c>
      <c r="IQM133" s="531" t="e">
        <f t="shared" si="363"/>
        <v>#DIV/0!</v>
      </c>
      <c r="IQN133" s="531" t="e">
        <f t="shared" si="363"/>
        <v>#DIV/0!</v>
      </c>
      <c r="IQO133" s="531" t="e">
        <f t="shared" si="363"/>
        <v>#DIV/0!</v>
      </c>
      <c r="IQP133" s="531" t="e">
        <f t="shared" si="363"/>
        <v>#DIV/0!</v>
      </c>
      <c r="IQQ133" s="531" t="e">
        <f t="shared" si="363"/>
        <v>#DIV/0!</v>
      </c>
      <c r="IQR133" s="531" t="e">
        <f t="shared" si="363"/>
        <v>#DIV/0!</v>
      </c>
      <c r="IQS133" s="531" t="e">
        <f t="shared" si="363"/>
        <v>#DIV/0!</v>
      </c>
      <c r="IQT133" s="531" t="e">
        <f t="shared" si="363"/>
        <v>#DIV/0!</v>
      </c>
      <c r="IQU133" s="531" t="e">
        <f t="shared" si="363"/>
        <v>#DIV/0!</v>
      </c>
      <c r="IQV133" s="531" t="e">
        <f t="shared" si="363"/>
        <v>#DIV/0!</v>
      </c>
      <c r="IQW133" s="531" t="e">
        <f t="shared" si="363"/>
        <v>#DIV/0!</v>
      </c>
      <c r="IQX133" s="531" t="e">
        <f t="shared" si="363"/>
        <v>#DIV/0!</v>
      </c>
      <c r="IQY133" s="531" t="e">
        <f t="shared" si="363"/>
        <v>#DIV/0!</v>
      </c>
      <c r="IQZ133" s="531" t="e">
        <f t="shared" si="363"/>
        <v>#DIV/0!</v>
      </c>
      <c r="IRA133" s="531" t="e">
        <f t="shared" si="363"/>
        <v>#DIV/0!</v>
      </c>
      <c r="IRB133" s="531" t="e">
        <f t="shared" si="363"/>
        <v>#DIV/0!</v>
      </c>
      <c r="IRC133" s="531" t="e">
        <f t="shared" si="363"/>
        <v>#DIV/0!</v>
      </c>
      <c r="IRD133" s="531" t="e">
        <f t="shared" si="363"/>
        <v>#DIV/0!</v>
      </c>
      <c r="IRE133" s="531" t="e">
        <f t="shared" si="363"/>
        <v>#DIV/0!</v>
      </c>
      <c r="IRF133" s="531" t="e">
        <f t="shared" si="363"/>
        <v>#DIV/0!</v>
      </c>
      <c r="IRG133" s="531" t="e">
        <f t="shared" si="363"/>
        <v>#DIV/0!</v>
      </c>
      <c r="IRH133" s="531" t="e">
        <f t="shared" si="363"/>
        <v>#DIV/0!</v>
      </c>
      <c r="IRI133" s="531" t="e">
        <f t="shared" si="363"/>
        <v>#DIV/0!</v>
      </c>
      <c r="IRJ133" s="531" t="e">
        <f t="shared" si="363"/>
        <v>#DIV/0!</v>
      </c>
      <c r="IRK133" s="531" t="e">
        <f t="shared" si="363"/>
        <v>#DIV/0!</v>
      </c>
      <c r="IRL133" s="531" t="e">
        <f t="shared" si="363"/>
        <v>#DIV/0!</v>
      </c>
      <c r="IRM133" s="531" t="e">
        <f t="shared" si="363"/>
        <v>#DIV/0!</v>
      </c>
      <c r="IRN133" s="531" t="e">
        <f t="shared" si="363"/>
        <v>#DIV/0!</v>
      </c>
      <c r="IRO133" s="531" t="e">
        <f t="shared" si="363"/>
        <v>#DIV/0!</v>
      </c>
      <c r="IRP133" s="531" t="e">
        <f t="shared" si="363"/>
        <v>#DIV/0!</v>
      </c>
      <c r="IRQ133" s="531" t="e">
        <f t="shared" si="363"/>
        <v>#DIV/0!</v>
      </c>
      <c r="IRR133" s="531" t="e">
        <f t="shared" si="363"/>
        <v>#DIV/0!</v>
      </c>
      <c r="IRS133" s="531" t="e">
        <f t="shared" si="363"/>
        <v>#DIV/0!</v>
      </c>
      <c r="IRT133" s="531" t="e">
        <f t="shared" si="363"/>
        <v>#DIV/0!</v>
      </c>
      <c r="IRU133" s="531" t="e">
        <f t="shared" si="363"/>
        <v>#DIV/0!</v>
      </c>
      <c r="IRV133" s="531" t="e">
        <f t="shared" si="363"/>
        <v>#DIV/0!</v>
      </c>
      <c r="IRW133" s="531" t="e">
        <f t="shared" si="363"/>
        <v>#DIV/0!</v>
      </c>
      <c r="IRX133" s="531" t="e">
        <f t="shared" si="363"/>
        <v>#DIV/0!</v>
      </c>
      <c r="IRY133" s="531" t="e">
        <f t="shared" si="363"/>
        <v>#DIV/0!</v>
      </c>
      <c r="IRZ133" s="531" t="e">
        <f t="shared" si="363"/>
        <v>#DIV/0!</v>
      </c>
      <c r="ISA133" s="531" t="e">
        <f t="shared" si="363"/>
        <v>#DIV/0!</v>
      </c>
      <c r="ISB133" s="531" t="e">
        <f t="shared" si="363"/>
        <v>#DIV/0!</v>
      </c>
      <c r="ISC133" s="531" t="e">
        <f t="shared" si="363"/>
        <v>#DIV/0!</v>
      </c>
      <c r="ISD133" s="531" t="e">
        <f t="shared" si="363"/>
        <v>#DIV/0!</v>
      </c>
      <c r="ISE133" s="531" t="e">
        <f t="shared" si="363"/>
        <v>#DIV/0!</v>
      </c>
      <c r="ISF133" s="531" t="e">
        <f t="shared" si="363"/>
        <v>#DIV/0!</v>
      </c>
      <c r="ISG133" s="531" t="e">
        <f t="shared" si="363"/>
        <v>#DIV/0!</v>
      </c>
      <c r="ISH133" s="531" t="e">
        <f t="shared" si="363"/>
        <v>#DIV/0!</v>
      </c>
      <c r="ISI133" s="531" t="e">
        <f t="shared" si="363"/>
        <v>#DIV/0!</v>
      </c>
      <c r="ISJ133" s="531" t="e">
        <f t="shared" si="363"/>
        <v>#DIV/0!</v>
      </c>
      <c r="ISK133" s="531" t="e">
        <f t="shared" si="363"/>
        <v>#DIV/0!</v>
      </c>
      <c r="ISL133" s="531" t="e">
        <f t="shared" si="363"/>
        <v>#DIV/0!</v>
      </c>
      <c r="ISM133" s="531" t="e">
        <f t="shared" si="363"/>
        <v>#DIV/0!</v>
      </c>
      <c r="ISN133" s="531" t="e">
        <f t="shared" si="363"/>
        <v>#DIV/0!</v>
      </c>
      <c r="ISO133" s="531" t="e">
        <f t="shared" si="363"/>
        <v>#DIV/0!</v>
      </c>
      <c r="ISP133" s="531" t="e">
        <f t="shared" si="363"/>
        <v>#DIV/0!</v>
      </c>
      <c r="ISQ133" s="531" t="e">
        <f t="shared" si="363"/>
        <v>#DIV/0!</v>
      </c>
      <c r="ISR133" s="531" t="e">
        <f t="shared" si="363"/>
        <v>#DIV/0!</v>
      </c>
      <c r="ISS133" s="531" t="e">
        <f t="shared" si="363"/>
        <v>#DIV/0!</v>
      </c>
      <c r="IST133" s="531" t="e">
        <f t="shared" si="363"/>
        <v>#DIV/0!</v>
      </c>
      <c r="ISU133" s="531" t="e">
        <f t="shared" ref="ISU133:IVF133" si="364">ISU116/(ISU52*10^5)</f>
        <v>#DIV/0!</v>
      </c>
      <c r="ISV133" s="531" t="e">
        <f t="shared" si="364"/>
        <v>#DIV/0!</v>
      </c>
      <c r="ISW133" s="531" t="e">
        <f t="shared" si="364"/>
        <v>#DIV/0!</v>
      </c>
      <c r="ISX133" s="531" t="e">
        <f t="shared" si="364"/>
        <v>#DIV/0!</v>
      </c>
      <c r="ISY133" s="531" t="e">
        <f t="shared" si="364"/>
        <v>#DIV/0!</v>
      </c>
      <c r="ISZ133" s="531" t="e">
        <f t="shared" si="364"/>
        <v>#DIV/0!</v>
      </c>
      <c r="ITA133" s="531" t="e">
        <f t="shared" si="364"/>
        <v>#DIV/0!</v>
      </c>
      <c r="ITB133" s="531" t="e">
        <f t="shared" si="364"/>
        <v>#DIV/0!</v>
      </c>
      <c r="ITC133" s="531" t="e">
        <f t="shared" si="364"/>
        <v>#DIV/0!</v>
      </c>
      <c r="ITD133" s="531" t="e">
        <f t="shared" si="364"/>
        <v>#DIV/0!</v>
      </c>
      <c r="ITE133" s="531" t="e">
        <f t="shared" si="364"/>
        <v>#DIV/0!</v>
      </c>
      <c r="ITF133" s="531" t="e">
        <f t="shared" si="364"/>
        <v>#DIV/0!</v>
      </c>
      <c r="ITG133" s="531" t="e">
        <f t="shared" si="364"/>
        <v>#DIV/0!</v>
      </c>
      <c r="ITH133" s="531" t="e">
        <f t="shared" si="364"/>
        <v>#DIV/0!</v>
      </c>
      <c r="ITI133" s="531" t="e">
        <f t="shared" si="364"/>
        <v>#DIV/0!</v>
      </c>
      <c r="ITJ133" s="531" t="e">
        <f t="shared" si="364"/>
        <v>#DIV/0!</v>
      </c>
      <c r="ITK133" s="531" t="e">
        <f t="shared" si="364"/>
        <v>#DIV/0!</v>
      </c>
      <c r="ITL133" s="531" t="e">
        <f t="shared" si="364"/>
        <v>#DIV/0!</v>
      </c>
      <c r="ITM133" s="531" t="e">
        <f t="shared" si="364"/>
        <v>#DIV/0!</v>
      </c>
      <c r="ITN133" s="531" t="e">
        <f t="shared" si="364"/>
        <v>#DIV/0!</v>
      </c>
      <c r="ITO133" s="531" t="e">
        <f t="shared" si="364"/>
        <v>#DIV/0!</v>
      </c>
      <c r="ITP133" s="531" t="e">
        <f t="shared" si="364"/>
        <v>#DIV/0!</v>
      </c>
      <c r="ITQ133" s="531" t="e">
        <f t="shared" si="364"/>
        <v>#DIV/0!</v>
      </c>
      <c r="ITR133" s="531" t="e">
        <f t="shared" si="364"/>
        <v>#DIV/0!</v>
      </c>
      <c r="ITS133" s="531" t="e">
        <f t="shared" si="364"/>
        <v>#DIV/0!</v>
      </c>
      <c r="ITT133" s="531" t="e">
        <f t="shared" si="364"/>
        <v>#DIV/0!</v>
      </c>
      <c r="ITU133" s="531" t="e">
        <f t="shared" si="364"/>
        <v>#DIV/0!</v>
      </c>
      <c r="ITV133" s="531" t="e">
        <f t="shared" si="364"/>
        <v>#DIV/0!</v>
      </c>
      <c r="ITW133" s="531" t="e">
        <f t="shared" si="364"/>
        <v>#DIV/0!</v>
      </c>
      <c r="ITX133" s="531" t="e">
        <f t="shared" si="364"/>
        <v>#DIV/0!</v>
      </c>
      <c r="ITY133" s="531" t="e">
        <f t="shared" si="364"/>
        <v>#DIV/0!</v>
      </c>
      <c r="ITZ133" s="531" t="e">
        <f t="shared" si="364"/>
        <v>#DIV/0!</v>
      </c>
      <c r="IUA133" s="531" t="e">
        <f t="shared" si="364"/>
        <v>#DIV/0!</v>
      </c>
      <c r="IUB133" s="531" t="e">
        <f t="shared" si="364"/>
        <v>#DIV/0!</v>
      </c>
      <c r="IUC133" s="531" t="e">
        <f t="shared" si="364"/>
        <v>#DIV/0!</v>
      </c>
      <c r="IUD133" s="531" t="e">
        <f t="shared" si="364"/>
        <v>#DIV/0!</v>
      </c>
      <c r="IUE133" s="531" t="e">
        <f t="shared" si="364"/>
        <v>#DIV/0!</v>
      </c>
      <c r="IUF133" s="531" t="e">
        <f t="shared" si="364"/>
        <v>#DIV/0!</v>
      </c>
      <c r="IUG133" s="531" t="e">
        <f t="shared" si="364"/>
        <v>#DIV/0!</v>
      </c>
      <c r="IUH133" s="531" t="e">
        <f t="shared" si="364"/>
        <v>#DIV/0!</v>
      </c>
      <c r="IUI133" s="531" t="e">
        <f t="shared" si="364"/>
        <v>#DIV/0!</v>
      </c>
      <c r="IUJ133" s="531" t="e">
        <f t="shared" si="364"/>
        <v>#DIV/0!</v>
      </c>
      <c r="IUK133" s="531" t="e">
        <f t="shared" si="364"/>
        <v>#DIV/0!</v>
      </c>
      <c r="IUL133" s="531" t="e">
        <f t="shared" si="364"/>
        <v>#DIV/0!</v>
      </c>
      <c r="IUM133" s="531" t="e">
        <f t="shared" si="364"/>
        <v>#DIV/0!</v>
      </c>
      <c r="IUN133" s="531" t="e">
        <f t="shared" si="364"/>
        <v>#DIV/0!</v>
      </c>
      <c r="IUO133" s="531" t="e">
        <f t="shared" si="364"/>
        <v>#DIV/0!</v>
      </c>
      <c r="IUP133" s="531" t="e">
        <f t="shared" si="364"/>
        <v>#DIV/0!</v>
      </c>
      <c r="IUQ133" s="531" t="e">
        <f t="shared" si="364"/>
        <v>#DIV/0!</v>
      </c>
      <c r="IUR133" s="531" t="e">
        <f t="shared" si="364"/>
        <v>#DIV/0!</v>
      </c>
      <c r="IUS133" s="531" t="e">
        <f t="shared" si="364"/>
        <v>#DIV/0!</v>
      </c>
      <c r="IUT133" s="531" t="e">
        <f t="shared" si="364"/>
        <v>#DIV/0!</v>
      </c>
      <c r="IUU133" s="531" t="e">
        <f t="shared" si="364"/>
        <v>#DIV/0!</v>
      </c>
      <c r="IUV133" s="531" t="e">
        <f t="shared" si="364"/>
        <v>#DIV/0!</v>
      </c>
      <c r="IUW133" s="531" t="e">
        <f t="shared" si="364"/>
        <v>#DIV/0!</v>
      </c>
      <c r="IUX133" s="531" t="e">
        <f t="shared" si="364"/>
        <v>#DIV/0!</v>
      </c>
      <c r="IUY133" s="531" t="e">
        <f t="shared" si="364"/>
        <v>#DIV/0!</v>
      </c>
      <c r="IUZ133" s="531" t="e">
        <f t="shared" si="364"/>
        <v>#DIV/0!</v>
      </c>
      <c r="IVA133" s="531" t="e">
        <f t="shared" si="364"/>
        <v>#DIV/0!</v>
      </c>
      <c r="IVB133" s="531" t="e">
        <f t="shared" si="364"/>
        <v>#DIV/0!</v>
      </c>
      <c r="IVC133" s="531" t="e">
        <f t="shared" si="364"/>
        <v>#DIV/0!</v>
      </c>
      <c r="IVD133" s="531" t="e">
        <f t="shared" si="364"/>
        <v>#DIV/0!</v>
      </c>
      <c r="IVE133" s="531" t="e">
        <f t="shared" si="364"/>
        <v>#DIV/0!</v>
      </c>
      <c r="IVF133" s="531" t="e">
        <f t="shared" si="364"/>
        <v>#DIV/0!</v>
      </c>
      <c r="IVG133" s="531" t="e">
        <f t="shared" ref="IVG133:IXR133" si="365">IVG116/(IVG52*10^5)</f>
        <v>#DIV/0!</v>
      </c>
      <c r="IVH133" s="531" t="e">
        <f t="shared" si="365"/>
        <v>#DIV/0!</v>
      </c>
      <c r="IVI133" s="531" t="e">
        <f t="shared" si="365"/>
        <v>#DIV/0!</v>
      </c>
      <c r="IVJ133" s="531" t="e">
        <f t="shared" si="365"/>
        <v>#DIV/0!</v>
      </c>
      <c r="IVK133" s="531" t="e">
        <f t="shared" si="365"/>
        <v>#DIV/0!</v>
      </c>
      <c r="IVL133" s="531" t="e">
        <f t="shared" si="365"/>
        <v>#DIV/0!</v>
      </c>
      <c r="IVM133" s="531" t="e">
        <f t="shared" si="365"/>
        <v>#DIV/0!</v>
      </c>
      <c r="IVN133" s="531" t="e">
        <f t="shared" si="365"/>
        <v>#DIV/0!</v>
      </c>
      <c r="IVO133" s="531" t="e">
        <f t="shared" si="365"/>
        <v>#DIV/0!</v>
      </c>
      <c r="IVP133" s="531" t="e">
        <f t="shared" si="365"/>
        <v>#DIV/0!</v>
      </c>
      <c r="IVQ133" s="531" t="e">
        <f t="shared" si="365"/>
        <v>#DIV/0!</v>
      </c>
      <c r="IVR133" s="531" t="e">
        <f t="shared" si="365"/>
        <v>#DIV/0!</v>
      </c>
      <c r="IVS133" s="531" t="e">
        <f t="shared" si="365"/>
        <v>#DIV/0!</v>
      </c>
      <c r="IVT133" s="531" t="e">
        <f t="shared" si="365"/>
        <v>#DIV/0!</v>
      </c>
      <c r="IVU133" s="531" t="e">
        <f t="shared" si="365"/>
        <v>#DIV/0!</v>
      </c>
      <c r="IVV133" s="531" t="e">
        <f t="shared" si="365"/>
        <v>#DIV/0!</v>
      </c>
      <c r="IVW133" s="531" t="e">
        <f t="shared" si="365"/>
        <v>#DIV/0!</v>
      </c>
      <c r="IVX133" s="531" t="e">
        <f t="shared" si="365"/>
        <v>#DIV/0!</v>
      </c>
      <c r="IVY133" s="531" t="e">
        <f t="shared" si="365"/>
        <v>#DIV/0!</v>
      </c>
      <c r="IVZ133" s="531" t="e">
        <f t="shared" si="365"/>
        <v>#DIV/0!</v>
      </c>
      <c r="IWA133" s="531" t="e">
        <f t="shared" si="365"/>
        <v>#DIV/0!</v>
      </c>
      <c r="IWB133" s="531" t="e">
        <f t="shared" si="365"/>
        <v>#DIV/0!</v>
      </c>
      <c r="IWC133" s="531" t="e">
        <f t="shared" si="365"/>
        <v>#DIV/0!</v>
      </c>
      <c r="IWD133" s="531" t="e">
        <f t="shared" si="365"/>
        <v>#DIV/0!</v>
      </c>
      <c r="IWE133" s="531" t="e">
        <f t="shared" si="365"/>
        <v>#DIV/0!</v>
      </c>
      <c r="IWF133" s="531" t="e">
        <f t="shared" si="365"/>
        <v>#DIV/0!</v>
      </c>
      <c r="IWG133" s="531" t="e">
        <f t="shared" si="365"/>
        <v>#DIV/0!</v>
      </c>
      <c r="IWH133" s="531" t="e">
        <f t="shared" si="365"/>
        <v>#DIV/0!</v>
      </c>
      <c r="IWI133" s="531" t="e">
        <f t="shared" si="365"/>
        <v>#DIV/0!</v>
      </c>
      <c r="IWJ133" s="531" t="e">
        <f t="shared" si="365"/>
        <v>#DIV/0!</v>
      </c>
      <c r="IWK133" s="531" t="e">
        <f t="shared" si="365"/>
        <v>#DIV/0!</v>
      </c>
      <c r="IWL133" s="531" t="e">
        <f t="shared" si="365"/>
        <v>#DIV/0!</v>
      </c>
      <c r="IWM133" s="531" t="e">
        <f t="shared" si="365"/>
        <v>#DIV/0!</v>
      </c>
      <c r="IWN133" s="531" t="e">
        <f t="shared" si="365"/>
        <v>#DIV/0!</v>
      </c>
      <c r="IWO133" s="531" t="e">
        <f t="shared" si="365"/>
        <v>#DIV/0!</v>
      </c>
      <c r="IWP133" s="531" t="e">
        <f t="shared" si="365"/>
        <v>#DIV/0!</v>
      </c>
      <c r="IWQ133" s="531" t="e">
        <f t="shared" si="365"/>
        <v>#DIV/0!</v>
      </c>
      <c r="IWR133" s="531" t="e">
        <f t="shared" si="365"/>
        <v>#DIV/0!</v>
      </c>
      <c r="IWS133" s="531" t="e">
        <f t="shared" si="365"/>
        <v>#DIV/0!</v>
      </c>
      <c r="IWT133" s="531" t="e">
        <f t="shared" si="365"/>
        <v>#DIV/0!</v>
      </c>
      <c r="IWU133" s="531" t="e">
        <f t="shared" si="365"/>
        <v>#DIV/0!</v>
      </c>
      <c r="IWV133" s="531" t="e">
        <f t="shared" si="365"/>
        <v>#DIV/0!</v>
      </c>
      <c r="IWW133" s="531" t="e">
        <f t="shared" si="365"/>
        <v>#DIV/0!</v>
      </c>
      <c r="IWX133" s="531" t="e">
        <f t="shared" si="365"/>
        <v>#DIV/0!</v>
      </c>
      <c r="IWY133" s="531" t="e">
        <f t="shared" si="365"/>
        <v>#DIV/0!</v>
      </c>
      <c r="IWZ133" s="531" t="e">
        <f t="shared" si="365"/>
        <v>#DIV/0!</v>
      </c>
      <c r="IXA133" s="531" t="e">
        <f t="shared" si="365"/>
        <v>#DIV/0!</v>
      </c>
      <c r="IXB133" s="531" t="e">
        <f t="shared" si="365"/>
        <v>#DIV/0!</v>
      </c>
      <c r="IXC133" s="531" t="e">
        <f t="shared" si="365"/>
        <v>#DIV/0!</v>
      </c>
      <c r="IXD133" s="531" t="e">
        <f t="shared" si="365"/>
        <v>#DIV/0!</v>
      </c>
      <c r="IXE133" s="531" t="e">
        <f t="shared" si="365"/>
        <v>#DIV/0!</v>
      </c>
      <c r="IXF133" s="531" t="e">
        <f t="shared" si="365"/>
        <v>#DIV/0!</v>
      </c>
      <c r="IXG133" s="531" t="e">
        <f t="shared" si="365"/>
        <v>#DIV/0!</v>
      </c>
      <c r="IXH133" s="531" t="e">
        <f t="shared" si="365"/>
        <v>#DIV/0!</v>
      </c>
      <c r="IXI133" s="531" t="e">
        <f t="shared" si="365"/>
        <v>#DIV/0!</v>
      </c>
      <c r="IXJ133" s="531" t="e">
        <f t="shared" si="365"/>
        <v>#DIV/0!</v>
      </c>
      <c r="IXK133" s="531" t="e">
        <f t="shared" si="365"/>
        <v>#DIV/0!</v>
      </c>
      <c r="IXL133" s="531" t="e">
        <f t="shared" si="365"/>
        <v>#DIV/0!</v>
      </c>
      <c r="IXM133" s="531" t="e">
        <f t="shared" si="365"/>
        <v>#DIV/0!</v>
      </c>
      <c r="IXN133" s="531" t="e">
        <f t="shared" si="365"/>
        <v>#DIV/0!</v>
      </c>
      <c r="IXO133" s="531" t="e">
        <f t="shared" si="365"/>
        <v>#DIV/0!</v>
      </c>
      <c r="IXP133" s="531" t="e">
        <f t="shared" si="365"/>
        <v>#DIV/0!</v>
      </c>
      <c r="IXQ133" s="531" t="e">
        <f t="shared" si="365"/>
        <v>#DIV/0!</v>
      </c>
      <c r="IXR133" s="531" t="e">
        <f t="shared" si="365"/>
        <v>#DIV/0!</v>
      </c>
      <c r="IXS133" s="531" t="e">
        <f t="shared" ref="IXS133:JAD133" si="366">IXS116/(IXS52*10^5)</f>
        <v>#DIV/0!</v>
      </c>
      <c r="IXT133" s="531" t="e">
        <f t="shared" si="366"/>
        <v>#DIV/0!</v>
      </c>
      <c r="IXU133" s="531" t="e">
        <f t="shared" si="366"/>
        <v>#DIV/0!</v>
      </c>
      <c r="IXV133" s="531" t="e">
        <f t="shared" si="366"/>
        <v>#DIV/0!</v>
      </c>
      <c r="IXW133" s="531" t="e">
        <f t="shared" si="366"/>
        <v>#DIV/0!</v>
      </c>
      <c r="IXX133" s="531" t="e">
        <f t="shared" si="366"/>
        <v>#DIV/0!</v>
      </c>
      <c r="IXY133" s="531" t="e">
        <f t="shared" si="366"/>
        <v>#DIV/0!</v>
      </c>
      <c r="IXZ133" s="531" t="e">
        <f t="shared" si="366"/>
        <v>#DIV/0!</v>
      </c>
      <c r="IYA133" s="531" t="e">
        <f t="shared" si="366"/>
        <v>#DIV/0!</v>
      </c>
      <c r="IYB133" s="531" t="e">
        <f t="shared" si="366"/>
        <v>#DIV/0!</v>
      </c>
      <c r="IYC133" s="531" t="e">
        <f t="shared" si="366"/>
        <v>#DIV/0!</v>
      </c>
      <c r="IYD133" s="531" t="e">
        <f t="shared" si="366"/>
        <v>#DIV/0!</v>
      </c>
      <c r="IYE133" s="531" t="e">
        <f t="shared" si="366"/>
        <v>#DIV/0!</v>
      </c>
      <c r="IYF133" s="531" t="e">
        <f t="shared" si="366"/>
        <v>#DIV/0!</v>
      </c>
      <c r="IYG133" s="531" t="e">
        <f t="shared" si="366"/>
        <v>#DIV/0!</v>
      </c>
      <c r="IYH133" s="531" t="e">
        <f t="shared" si="366"/>
        <v>#DIV/0!</v>
      </c>
      <c r="IYI133" s="531" t="e">
        <f t="shared" si="366"/>
        <v>#DIV/0!</v>
      </c>
      <c r="IYJ133" s="531" t="e">
        <f t="shared" si="366"/>
        <v>#DIV/0!</v>
      </c>
      <c r="IYK133" s="531" t="e">
        <f t="shared" si="366"/>
        <v>#DIV/0!</v>
      </c>
      <c r="IYL133" s="531" t="e">
        <f t="shared" si="366"/>
        <v>#DIV/0!</v>
      </c>
      <c r="IYM133" s="531" t="e">
        <f t="shared" si="366"/>
        <v>#DIV/0!</v>
      </c>
      <c r="IYN133" s="531" t="e">
        <f t="shared" si="366"/>
        <v>#DIV/0!</v>
      </c>
      <c r="IYO133" s="531" t="e">
        <f t="shared" si="366"/>
        <v>#DIV/0!</v>
      </c>
      <c r="IYP133" s="531" t="e">
        <f t="shared" si="366"/>
        <v>#DIV/0!</v>
      </c>
      <c r="IYQ133" s="531" t="e">
        <f t="shared" si="366"/>
        <v>#DIV/0!</v>
      </c>
      <c r="IYR133" s="531" t="e">
        <f t="shared" si="366"/>
        <v>#DIV/0!</v>
      </c>
      <c r="IYS133" s="531" t="e">
        <f t="shared" si="366"/>
        <v>#DIV/0!</v>
      </c>
      <c r="IYT133" s="531" t="e">
        <f t="shared" si="366"/>
        <v>#DIV/0!</v>
      </c>
      <c r="IYU133" s="531" t="e">
        <f t="shared" si="366"/>
        <v>#DIV/0!</v>
      </c>
      <c r="IYV133" s="531" t="e">
        <f t="shared" si="366"/>
        <v>#DIV/0!</v>
      </c>
      <c r="IYW133" s="531" t="e">
        <f t="shared" si="366"/>
        <v>#DIV/0!</v>
      </c>
      <c r="IYX133" s="531" t="e">
        <f t="shared" si="366"/>
        <v>#DIV/0!</v>
      </c>
      <c r="IYY133" s="531" t="e">
        <f t="shared" si="366"/>
        <v>#DIV/0!</v>
      </c>
      <c r="IYZ133" s="531" t="e">
        <f t="shared" si="366"/>
        <v>#DIV/0!</v>
      </c>
      <c r="IZA133" s="531" t="e">
        <f t="shared" si="366"/>
        <v>#DIV/0!</v>
      </c>
      <c r="IZB133" s="531" t="e">
        <f t="shared" si="366"/>
        <v>#DIV/0!</v>
      </c>
      <c r="IZC133" s="531" t="e">
        <f t="shared" si="366"/>
        <v>#DIV/0!</v>
      </c>
      <c r="IZD133" s="531" t="e">
        <f t="shared" si="366"/>
        <v>#DIV/0!</v>
      </c>
      <c r="IZE133" s="531" t="e">
        <f t="shared" si="366"/>
        <v>#DIV/0!</v>
      </c>
      <c r="IZF133" s="531" t="e">
        <f t="shared" si="366"/>
        <v>#DIV/0!</v>
      </c>
      <c r="IZG133" s="531" t="e">
        <f t="shared" si="366"/>
        <v>#DIV/0!</v>
      </c>
      <c r="IZH133" s="531" t="e">
        <f t="shared" si="366"/>
        <v>#DIV/0!</v>
      </c>
      <c r="IZI133" s="531" t="e">
        <f t="shared" si="366"/>
        <v>#DIV/0!</v>
      </c>
      <c r="IZJ133" s="531" t="e">
        <f t="shared" si="366"/>
        <v>#DIV/0!</v>
      </c>
      <c r="IZK133" s="531" t="e">
        <f t="shared" si="366"/>
        <v>#DIV/0!</v>
      </c>
      <c r="IZL133" s="531" t="e">
        <f t="shared" si="366"/>
        <v>#DIV/0!</v>
      </c>
      <c r="IZM133" s="531" t="e">
        <f t="shared" si="366"/>
        <v>#DIV/0!</v>
      </c>
      <c r="IZN133" s="531" t="e">
        <f t="shared" si="366"/>
        <v>#DIV/0!</v>
      </c>
      <c r="IZO133" s="531" t="e">
        <f t="shared" si="366"/>
        <v>#DIV/0!</v>
      </c>
      <c r="IZP133" s="531" t="e">
        <f t="shared" si="366"/>
        <v>#DIV/0!</v>
      </c>
      <c r="IZQ133" s="531" t="e">
        <f t="shared" si="366"/>
        <v>#DIV/0!</v>
      </c>
      <c r="IZR133" s="531" t="e">
        <f t="shared" si="366"/>
        <v>#DIV/0!</v>
      </c>
      <c r="IZS133" s="531" t="e">
        <f t="shared" si="366"/>
        <v>#DIV/0!</v>
      </c>
      <c r="IZT133" s="531" t="e">
        <f t="shared" si="366"/>
        <v>#DIV/0!</v>
      </c>
      <c r="IZU133" s="531" t="e">
        <f t="shared" si="366"/>
        <v>#DIV/0!</v>
      </c>
      <c r="IZV133" s="531" t="e">
        <f t="shared" si="366"/>
        <v>#DIV/0!</v>
      </c>
      <c r="IZW133" s="531" t="e">
        <f t="shared" si="366"/>
        <v>#DIV/0!</v>
      </c>
      <c r="IZX133" s="531" t="e">
        <f t="shared" si="366"/>
        <v>#DIV/0!</v>
      </c>
      <c r="IZY133" s="531" t="e">
        <f t="shared" si="366"/>
        <v>#DIV/0!</v>
      </c>
      <c r="IZZ133" s="531" t="e">
        <f t="shared" si="366"/>
        <v>#DIV/0!</v>
      </c>
      <c r="JAA133" s="531" t="e">
        <f t="shared" si="366"/>
        <v>#DIV/0!</v>
      </c>
      <c r="JAB133" s="531" t="e">
        <f t="shared" si="366"/>
        <v>#DIV/0!</v>
      </c>
      <c r="JAC133" s="531" t="e">
        <f t="shared" si="366"/>
        <v>#DIV/0!</v>
      </c>
      <c r="JAD133" s="531" t="e">
        <f t="shared" si="366"/>
        <v>#DIV/0!</v>
      </c>
      <c r="JAE133" s="531" t="e">
        <f t="shared" ref="JAE133:JCP133" si="367">JAE116/(JAE52*10^5)</f>
        <v>#DIV/0!</v>
      </c>
      <c r="JAF133" s="531" t="e">
        <f t="shared" si="367"/>
        <v>#DIV/0!</v>
      </c>
      <c r="JAG133" s="531" t="e">
        <f t="shared" si="367"/>
        <v>#DIV/0!</v>
      </c>
      <c r="JAH133" s="531" t="e">
        <f t="shared" si="367"/>
        <v>#DIV/0!</v>
      </c>
      <c r="JAI133" s="531" t="e">
        <f t="shared" si="367"/>
        <v>#DIV/0!</v>
      </c>
      <c r="JAJ133" s="531" t="e">
        <f t="shared" si="367"/>
        <v>#DIV/0!</v>
      </c>
      <c r="JAK133" s="531" t="e">
        <f t="shared" si="367"/>
        <v>#DIV/0!</v>
      </c>
      <c r="JAL133" s="531" t="e">
        <f t="shared" si="367"/>
        <v>#DIV/0!</v>
      </c>
      <c r="JAM133" s="531" t="e">
        <f t="shared" si="367"/>
        <v>#DIV/0!</v>
      </c>
      <c r="JAN133" s="531" t="e">
        <f t="shared" si="367"/>
        <v>#DIV/0!</v>
      </c>
      <c r="JAO133" s="531" t="e">
        <f t="shared" si="367"/>
        <v>#DIV/0!</v>
      </c>
      <c r="JAP133" s="531" t="e">
        <f t="shared" si="367"/>
        <v>#DIV/0!</v>
      </c>
      <c r="JAQ133" s="531" t="e">
        <f t="shared" si="367"/>
        <v>#DIV/0!</v>
      </c>
      <c r="JAR133" s="531" t="e">
        <f t="shared" si="367"/>
        <v>#DIV/0!</v>
      </c>
      <c r="JAS133" s="531" t="e">
        <f t="shared" si="367"/>
        <v>#DIV/0!</v>
      </c>
      <c r="JAT133" s="531" t="e">
        <f t="shared" si="367"/>
        <v>#DIV/0!</v>
      </c>
      <c r="JAU133" s="531" t="e">
        <f t="shared" si="367"/>
        <v>#DIV/0!</v>
      </c>
      <c r="JAV133" s="531" t="e">
        <f t="shared" si="367"/>
        <v>#DIV/0!</v>
      </c>
      <c r="JAW133" s="531" t="e">
        <f t="shared" si="367"/>
        <v>#DIV/0!</v>
      </c>
      <c r="JAX133" s="531" t="e">
        <f t="shared" si="367"/>
        <v>#DIV/0!</v>
      </c>
      <c r="JAY133" s="531" t="e">
        <f t="shared" si="367"/>
        <v>#DIV/0!</v>
      </c>
      <c r="JAZ133" s="531" t="e">
        <f t="shared" si="367"/>
        <v>#DIV/0!</v>
      </c>
      <c r="JBA133" s="531" t="e">
        <f t="shared" si="367"/>
        <v>#DIV/0!</v>
      </c>
      <c r="JBB133" s="531" t="e">
        <f t="shared" si="367"/>
        <v>#DIV/0!</v>
      </c>
      <c r="JBC133" s="531" t="e">
        <f t="shared" si="367"/>
        <v>#DIV/0!</v>
      </c>
      <c r="JBD133" s="531" t="e">
        <f t="shared" si="367"/>
        <v>#DIV/0!</v>
      </c>
      <c r="JBE133" s="531" t="e">
        <f t="shared" si="367"/>
        <v>#DIV/0!</v>
      </c>
      <c r="JBF133" s="531" t="e">
        <f t="shared" si="367"/>
        <v>#DIV/0!</v>
      </c>
      <c r="JBG133" s="531" t="e">
        <f t="shared" si="367"/>
        <v>#DIV/0!</v>
      </c>
      <c r="JBH133" s="531" t="e">
        <f t="shared" si="367"/>
        <v>#DIV/0!</v>
      </c>
      <c r="JBI133" s="531" t="e">
        <f t="shared" si="367"/>
        <v>#DIV/0!</v>
      </c>
      <c r="JBJ133" s="531" t="e">
        <f t="shared" si="367"/>
        <v>#DIV/0!</v>
      </c>
      <c r="JBK133" s="531" t="e">
        <f t="shared" si="367"/>
        <v>#DIV/0!</v>
      </c>
      <c r="JBL133" s="531" t="e">
        <f t="shared" si="367"/>
        <v>#DIV/0!</v>
      </c>
      <c r="JBM133" s="531" t="e">
        <f t="shared" si="367"/>
        <v>#DIV/0!</v>
      </c>
      <c r="JBN133" s="531" t="e">
        <f t="shared" si="367"/>
        <v>#DIV/0!</v>
      </c>
      <c r="JBO133" s="531" t="e">
        <f t="shared" si="367"/>
        <v>#DIV/0!</v>
      </c>
      <c r="JBP133" s="531" t="e">
        <f t="shared" si="367"/>
        <v>#DIV/0!</v>
      </c>
      <c r="JBQ133" s="531" t="e">
        <f t="shared" si="367"/>
        <v>#DIV/0!</v>
      </c>
      <c r="JBR133" s="531" t="e">
        <f t="shared" si="367"/>
        <v>#DIV/0!</v>
      </c>
      <c r="JBS133" s="531" t="e">
        <f t="shared" si="367"/>
        <v>#DIV/0!</v>
      </c>
      <c r="JBT133" s="531" t="e">
        <f t="shared" si="367"/>
        <v>#DIV/0!</v>
      </c>
      <c r="JBU133" s="531" t="e">
        <f t="shared" si="367"/>
        <v>#DIV/0!</v>
      </c>
      <c r="JBV133" s="531" t="e">
        <f t="shared" si="367"/>
        <v>#DIV/0!</v>
      </c>
      <c r="JBW133" s="531" t="e">
        <f t="shared" si="367"/>
        <v>#DIV/0!</v>
      </c>
      <c r="JBX133" s="531" t="e">
        <f t="shared" si="367"/>
        <v>#DIV/0!</v>
      </c>
      <c r="JBY133" s="531" t="e">
        <f t="shared" si="367"/>
        <v>#DIV/0!</v>
      </c>
      <c r="JBZ133" s="531" t="e">
        <f t="shared" si="367"/>
        <v>#DIV/0!</v>
      </c>
      <c r="JCA133" s="531" t="e">
        <f t="shared" si="367"/>
        <v>#DIV/0!</v>
      </c>
      <c r="JCB133" s="531" t="e">
        <f t="shared" si="367"/>
        <v>#DIV/0!</v>
      </c>
      <c r="JCC133" s="531" t="e">
        <f t="shared" si="367"/>
        <v>#DIV/0!</v>
      </c>
      <c r="JCD133" s="531" t="e">
        <f t="shared" si="367"/>
        <v>#DIV/0!</v>
      </c>
      <c r="JCE133" s="531" t="e">
        <f t="shared" si="367"/>
        <v>#DIV/0!</v>
      </c>
      <c r="JCF133" s="531" t="e">
        <f t="shared" si="367"/>
        <v>#DIV/0!</v>
      </c>
      <c r="JCG133" s="531" t="e">
        <f t="shared" si="367"/>
        <v>#DIV/0!</v>
      </c>
      <c r="JCH133" s="531" t="e">
        <f t="shared" si="367"/>
        <v>#DIV/0!</v>
      </c>
      <c r="JCI133" s="531" t="e">
        <f t="shared" si="367"/>
        <v>#DIV/0!</v>
      </c>
      <c r="JCJ133" s="531" t="e">
        <f t="shared" si="367"/>
        <v>#DIV/0!</v>
      </c>
      <c r="JCK133" s="531" t="e">
        <f t="shared" si="367"/>
        <v>#DIV/0!</v>
      </c>
      <c r="JCL133" s="531" t="e">
        <f t="shared" si="367"/>
        <v>#DIV/0!</v>
      </c>
      <c r="JCM133" s="531" t="e">
        <f t="shared" si="367"/>
        <v>#DIV/0!</v>
      </c>
      <c r="JCN133" s="531" t="e">
        <f t="shared" si="367"/>
        <v>#DIV/0!</v>
      </c>
      <c r="JCO133" s="531" t="e">
        <f t="shared" si="367"/>
        <v>#DIV/0!</v>
      </c>
      <c r="JCP133" s="531" t="e">
        <f t="shared" si="367"/>
        <v>#DIV/0!</v>
      </c>
      <c r="JCQ133" s="531" t="e">
        <f t="shared" ref="JCQ133:JFB133" si="368">JCQ116/(JCQ52*10^5)</f>
        <v>#DIV/0!</v>
      </c>
      <c r="JCR133" s="531" t="e">
        <f t="shared" si="368"/>
        <v>#DIV/0!</v>
      </c>
      <c r="JCS133" s="531" t="e">
        <f t="shared" si="368"/>
        <v>#DIV/0!</v>
      </c>
      <c r="JCT133" s="531" t="e">
        <f t="shared" si="368"/>
        <v>#DIV/0!</v>
      </c>
      <c r="JCU133" s="531" t="e">
        <f t="shared" si="368"/>
        <v>#DIV/0!</v>
      </c>
      <c r="JCV133" s="531" t="e">
        <f t="shared" si="368"/>
        <v>#DIV/0!</v>
      </c>
      <c r="JCW133" s="531" t="e">
        <f t="shared" si="368"/>
        <v>#DIV/0!</v>
      </c>
      <c r="JCX133" s="531" t="e">
        <f t="shared" si="368"/>
        <v>#DIV/0!</v>
      </c>
      <c r="JCY133" s="531" t="e">
        <f t="shared" si="368"/>
        <v>#DIV/0!</v>
      </c>
      <c r="JCZ133" s="531" t="e">
        <f t="shared" si="368"/>
        <v>#DIV/0!</v>
      </c>
      <c r="JDA133" s="531" t="e">
        <f t="shared" si="368"/>
        <v>#DIV/0!</v>
      </c>
      <c r="JDB133" s="531" t="e">
        <f t="shared" si="368"/>
        <v>#DIV/0!</v>
      </c>
      <c r="JDC133" s="531" t="e">
        <f t="shared" si="368"/>
        <v>#DIV/0!</v>
      </c>
      <c r="JDD133" s="531" t="e">
        <f t="shared" si="368"/>
        <v>#DIV/0!</v>
      </c>
      <c r="JDE133" s="531" t="e">
        <f t="shared" si="368"/>
        <v>#DIV/0!</v>
      </c>
      <c r="JDF133" s="531" t="e">
        <f t="shared" si="368"/>
        <v>#DIV/0!</v>
      </c>
      <c r="JDG133" s="531" t="e">
        <f t="shared" si="368"/>
        <v>#DIV/0!</v>
      </c>
      <c r="JDH133" s="531" t="e">
        <f t="shared" si="368"/>
        <v>#DIV/0!</v>
      </c>
      <c r="JDI133" s="531" t="e">
        <f t="shared" si="368"/>
        <v>#DIV/0!</v>
      </c>
      <c r="JDJ133" s="531" t="e">
        <f t="shared" si="368"/>
        <v>#DIV/0!</v>
      </c>
      <c r="JDK133" s="531" t="e">
        <f t="shared" si="368"/>
        <v>#DIV/0!</v>
      </c>
      <c r="JDL133" s="531" t="e">
        <f t="shared" si="368"/>
        <v>#DIV/0!</v>
      </c>
      <c r="JDM133" s="531" t="e">
        <f t="shared" si="368"/>
        <v>#DIV/0!</v>
      </c>
      <c r="JDN133" s="531" t="e">
        <f t="shared" si="368"/>
        <v>#DIV/0!</v>
      </c>
      <c r="JDO133" s="531" t="e">
        <f t="shared" si="368"/>
        <v>#DIV/0!</v>
      </c>
      <c r="JDP133" s="531" t="e">
        <f t="shared" si="368"/>
        <v>#DIV/0!</v>
      </c>
      <c r="JDQ133" s="531" t="e">
        <f t="shared" si="368"/>
        <v>#DIV/0!</v>
      </c>
      <c r="JDR133" s="531" t="e">
        <f t="shared" si="368"/>
        <v>#DIV/0!</v>
      </c>
      <c r="JDS133" s="531" t="e">
        <f t="shared" si="368"/>
        <v>#DIV/0!</v>
      </c>
      <c r="JDT133" s="531" t="e">
        <f t="shared" si="368"/>
        <v>#DIV/0!</v>
      </c>
      <c r="JDU133" s="531" t="e">
        <f t="shared" si="368"/>
        <v>#DIV/0!</v>
      </c>
      <c r="JDV133" s="531" t="e">
        <f t="shared" si="368"/>
        <v>#DIV/0!</v>
      </c>
      <c r="JDW133" s="531" t="e">
        <f t="shared" si="368"/>
        <v>#DIV/0!</v>
      </c>
      <c r="JDX133" s="531" t="e">
        <f t="shared" si="368"/>
        <v>#DIV/0!</v>
      </c>
      <c r="JDY133" s="531" t="e">
        <f t="shared" si="368"/>
        <v>#DIV/0!</v>
      </c>
      <c r="JDZ133" s="531" t="e">
        <f t="shared" si="368"/>
        <v>#DIV/0!</v>
      </c>
      <c r="JEA133" s="531" t="e">
        <f t="shared" si="368"/>
        <v>#DIV/0!</v>
      </c>
      <c r="JEB133" s="531" t="e">
        <f t="shared" si="368"/>
        <v>#DIV/0!</v>
      </c>
      <c r="JEC133" s="531" t="e">
        <f t="shared" si="368"/>
        <v>#DIV/0!</v>
      </c>
      <c r="JED133" s="531" t="e">
        <f t="shared" si="368"/>
        <v>#DIV/0!</v>
      </c>
      <c r="JEE133" s="531" t="e">
        <f t="shared" si="368"/>
        <v>#DIV/0!</v>
      </c>
      <c r="JEF133" s="531" t="e">
        <f t="shared" si="368"/>
        <v>#DIV/0!</v>
      </c>
      <c r="JEG133" s="531" t="e">
        <f t="shared" si="368"/>
        <v>#DIV/0!</v>
      </c>
      <c r="JEH133" s="531" t="e">
        <f t="shared" si="368"/>
        <v>#DIV/0!</v>
      </c>
      <c r="JEI133" s="531" t="e">
        <f t="shared" si="368"/>
        <v>#DIV/0!</v>
      </c>
      <c r="JEJ133" s="531" t="e">
        <f t="shared" si="368"/>
        <v>#DIV/0!</v>
      </c>
      <c r="JEK133" s="531" t="e">
        <f t="shared" si="368"/>
        <v>#DIV/0!</v>
      </c>
      <c r="JEL133" s="531" t="e">
        <f t="shared" si="368"/>
        <v>#DIV/0!</v>
      </c>
      <c r="JEM133" s="531" t="e">
        <f t="shared" si="368"/>
        <v>#DIV/0!</v>
      </c>
      <c r="JEN133" s="531" t="e">
        <f t="shared" si="368"/>
        <v>#DIV/0!</v>
      </c>
      <c r="JEO133" s="531" t="e">
        <f t="shared" si="368"/>
        <v>#DIV/0!</v>
      </c>
      <c r="JEP133" s="531" t="e">
        <f t="shared" si="368"/>
        <v>#DIV/0!</v>
      </c>
      <c r="JEQ133" s="531" t="e">
        <f t="shared" si="368"/>
        <v>#DIV/0!</v>
      </c>
      <c r="JER133" s="531" t="e">
        <f t="shared" si="368"/>
        <v>#DIV/0!</v>
      </c>
      <c r="JES133" s="531" t="e">
        <f t="shared" si="368"/>
        <v>#DIV/0!</v>
      </c>
      <c r="JET133" s="531" t="e">
        <f t="shared" si="368"/>
        <v>#DIV/0!</v>
      </c>
      <c r="JEU133" s="531" t="e">
        <f t="shared" si="368"/>
        <v>#DIV/0!</v>
      </c>
      <c r="JEV133" s="531" t="e">
        <f t="shared" si="368"/>
        <v>#DIV/0!</v>
      </c>
      <c r="JEW133" s="531" t="e">
        <f t="shared" si="368"/>
        <v>#DIV/0!</v>
      </c>
      <c r="JEX133" s="531" t="e">
        <f t="shared" si="368"/>
        <v>#DIV/0!</v>
      </c>
      <c r="JEY133" s="531" t="e">
        <f t="shared" si="368"/>
        <v>#DIV/0!</v>
      </c>
      <c r="JEZ133" s="531" t="e">
        <f t="shared" si="368"/>
        <v>#DIV/0!</v>
      </c>
      <c r="JFA133" s="531" t="e">
        <f t="shared" si="368"/>
        <v>#DIV/0!</v>
      </c>
      <c r="JFB133" s="531" t="e">
        <f t="shared" si="368"/>
        <v>#DIV/0!</v>
      </c>
      <c r="JFC133" s="531" t="e">
        <f t="shared" ref="JFC133:JHN133" si="369">JFC116/(JFC52*10^5)</f>
        <v>#DIV/0!</v>
      </c>
      <c r="JFD133" s="531" t="e">
        <f t="shared" si="369"/>
        <v>#DIV/0!</v>
      </c>
      <c r="JFE133" s="531" t="e">
        <f t="shared" si="369"/>
        <v>#DIV/0!</v>
      </c>
      <c r="JFF133" s="531" t="e">
        <f t="shared" si="369"/>
        <v>#DIV/0!</v>
      </c>
      <c r="JFG133" s="531" t="e">
        <f t="shared" si="369"/>
        <v>#DIV/0!</v>
      </c>
      <c r="JFH133" s="531" t="e">
        <f t="shared" si="369"/>
        <v>#DIV/0!</v>
      </c>
      <c r="JFI133" s="531" t="e">
        <f t="shared" si="369"/>
        <v>#DIV/0!</v>
      </c>
      <c r="JFJ133" s="531" t="e">
        <f t="shared" si="369"/>
        <v>#DIV/0!</v>
      </c>
      <c r="JFK133" s="531" t="e">
        <f t="shared" si="369"/>
        <v>#DIV/0!</v>
      </c>
      <c r="JFL133" s="531" t="e">
        <f t="shared" si="369"/>
        <v>#DIV/0!</v>
      </c>
      <c r="JFM133" s="531" t="e">
        <f t="shared" si="369"/>
        <v>#DIV/0!</v>
      </c>
      <c r="JFN133" s="531" t="e">
        <f t="shared" si="369"/>
        <v>#DIV/0!</v>
      </c>
      <c r="JFO133" s="531" t="e">
        <f t="shared" si="369"/>
        <v>#DIV/0!</v>
      </c>
      <c r="JFP133" s="531" t="e">
        <f t="shared" si="369"/>
        <v>#DIV/0!</v>
      </c>
      <c r="JFQ133" s="531" t="e">
        <f t="shared" si="369"/>
        <v>#DIV/0!</v>
      </c>
      <c r="JFR133" s="531" t="e">
        <f t="shared" si="369"/>
        <v>#DIV/0!</v>
      </c>
      <c r="JFS133" s="531" t="e">
        <f t="shared" si="369"/>
        <v>#DIV/0!</v>
      </c>
      <c r="JFT133" s="531" t="e">
        <f t="shared" si="369"/>
        <v>#DIV/0!</v>
      </c>
      <c r="JFU133" s="531" t="e">
        <f t="shared" si="369"/>
        <v>#DIV/0!</v>
      </c>
      <c r="JFV133" s="531" t="e">
        <f t="shared" si="369"/>
        <v>#DIV/0!</v>
      </c>
      <c r="JFW133" s="531" t="e">
        <f t="shared" si="369"/>
        <v>#DIV/0!</v>
      </c>
      <c r="JFX133" s="531" t="e">
        <f t="shared" si="369"/>
        <v>#DIV/0!</v>
      </c>
      <c r="JFY133" s="531" t="e">
        <f t="shared" si="369"/>
        <v>#DIV/0!</v>
      </c>
      <c r="JFZ133" s="531" t="e">
        <f t="shared" si="369"/>
        <v>#DIV/0!</v>
      </c>
      <c r="JGA133" s="531" t="e">
        <f t="shared" si="369"/>
        <v>#DIV/0!</v>
      </c>
      <c r="JGB133" s="531" t="e">
        <f t="shared" si="369"/>
        <v>#DIV/0!</v>
      </c>
      <c r="JGC133" s="531" t="e">
        <f t="shared" si="369"/>
        <v>#DIV/0!</v>
      </c>
      <c r="JGD133" s="531" t="e">
        <f t="shared" si="369"/>
        <v>#DIV/0!</v>
      </c>
      <c r="JGE133" s="531" t="e">
        <f t="shared" si="369"/>
        <v>#DIV/0!</v>
      </c>
      <c r="JGF133" s="531" t="e">
        <f t="shared" si="369"/>
        <v>#DIV/0!</v>
      </c>
      <c r="JGG133" s="531" t="e">
        <f t="shared" si="369"/>
        <v>#DIV/0!</v>
      </c>
      <c r="JGH133" s="531" t="e">
        <f t="shared" si="369"/>
        <v>#DIV/0!</v>
      </c>
      <c r="JGI133" s="531" t="e">
        <f t="shared" si="369"/>
        <v>#DIV/0!</v>
      </c>
      <c r="JGJ133" s="531" t="e">
        <f t="shared" si="369"/>
        <v>#DIV/0!</v>
      </c>
      <c r="JGK133" s="531" t="e">
        <f t="shared" si="369"/>
        <v>#DIV/0!</v>
      </c>
      <c r="JGL133" s="531" t="e">
        <f t="shared" si="369"/>
        <v>#DIV/0!</v>
      </c>
      <c r="JGM133" s="531" t="e">
        <f t="shared" si="369"/>
        <v>#DIV/0!</v>
      </c>
      <c r="JGN133" s="531" t="e">
        <f t="shared" si="369"/>
        <v>#DIV/0!</v>
      </c>
      <c r="JGO133" s="531" t="e">
        <f t="shared" si="369"/>
        <v>#DIV/0!</v>
      </c>
      <c r="JGP133" s="531" t="e">
        <f t="shared" si="369"/>
        <v>#DIV/0!</v>
      </c>
      <c r="JGQ133" s="531" t="e">
        <f t="shared" si="369"/>
        <v>#DIV/0!</v>
      </c>
      <c r="JGR133" s="531" t="e">
        <f t="shared" si="369"/>
        <v>#DIV/0!</v>
      </c>
      <c r="JGS133" s="531" t="e">
        <f t="shared" si="369"/>
        <v>#DIV/0!</v>
      </c>
      <c r="JGT133" s="531" t="e">
        <f t="shared" si="369"/>
        <v>#DIV/0!</v>
      </c>
      <c r="JGU133" s="531" t="e">
        <f t="shared" si="369"/>
        <v>#DIV/0!</v>
      </c>
      <c r="JGV133" s="531" t="e">
        <f t="shared" si="369"/>
        <v>#DIV/0!</v>
      </c>
      <c r="JGW133" s="531" t="e">
        <f t="shared" si="369"/>
        <v>#DIV/0!</v>
      </c>
      <c r="JGX133" s="531" t="e">
        <f t="shared" si="369"/>
        <v>#DIV/0!</v>
      </c>
      <c r="JGY133" s="531" t="e">
        <f t="shared" si="369"/>
        <v>#DIV/0!</v>
      </c>
      <c r="JGZ133" s="531" t="e">
        <f t="shared" si="369"/>
        <v>#DIV/0!</v>
      </c>
      <c r="JHA133" s="531" t="e">
        <f t="shared" si="369"/>
        <v>#DIV/0!</v>
      </c>
      <c r="JHB133" s="531" t="e">
        <f t="shared" si="369"/>
        <v>#DIV/0!</v>
      </c>
      <c r="JHC133" s="531" t="e">
        <f t="shared" si="369"/>
        <v>#DIV/0!</v>
      </c>
      <c r="JHD133" s="531" t="e">
        <f t="shared" si="369"/>
        <v>#DIV/0!</v>
      </c>
      <c r="JHE133" s="531" t="e">
        <f t="shared" si="369"/>
        <v>#DIV/0!</v>
      </c>
      <c r="JHF133" s="531" t="e">
        <f t="shared" si="369"/>
        <v>#DIV/0!</v>
      </c>
      <c r="JHG133" s="531" t="e">
        <f t="shared" si="369"/>
        <v>#DIV/0!</v>
      </c>
      <c r="JHH133" s="531" t="e">
        <f t="shared" si="369"/>
        <v>#DIV/0!</v>
      </c>
      <c r="JHI133" s="531" t="e">
        <f t="shared" si="369"/>
        <v>#DIV/0!</v>
      </c>
      <c r="JHJ133" s="531" t="e">
        <f t="shared" si="369"/>
        <v>#DIV/0!</v>
      </c>
      <c r="JHK133" s="531" t="e">
        <f t="shared" si="369"/>
        <v>#DIV/0!</v>
      </c>
      <c r="JHL133" s="531" t="e">
        <f t="shared" si="369"/>
        <v>#DIV/0!</v>
      </c>
      <c r="JHM133" s="531" t="e">
        <f t="shared" si="369"/>
        <v>#DIV/0!</v>
      </c>
      <c r="JHN133" s="531" t="e">
        <f t="shared" si="369"/>
        <v>#DIV/0!</v>
      </c>
      <c r="JHO133" s="531" t="e">
        <f t="shared" ref="JHO133:JJZ133" si="370">JHO116/(JHO52*10^5)</f>
        <v>#DIV/0!</v>
      </c>
      <c r="JHP133" s="531" t="e">
        <f t="shared" si="370"/>
        <v>#DIV/0!</v>
      </c>
      <c r="JHQ133" s="531" t="e">
        <f t="shared" si="370"/>
        <v>#DIV/0!</v>
      </c>
      <c r="JHR133" s="531" t="e">
        <f t="shared" si="370"/>
        <v>#DIV/0!</v>
      </c>
      <c r="JHS133" s="531" t="e">
        <f t="shared" si="370"/>
        <v>#DIV/0!</v>
      </c>
      <c r="JHT133" s="531" t="e">
        <f t="shared" si="370"/>
        <v>#DIV/0!</v>
      </c>
      <c r="JHU133" s="531" t="e">
        <f t="shared" si="370"/>
        <v>#DIV/0!</v>
      </c>
      <c r="JHV133" s="531" t="e">
        <f t="shared" si="370"/>
        <v>#DIV/0!</v>
      </c>
      <c r="JHW133" s="531" t="e">
        <f t="shared" si="370"/>
        <v>#DIV/0!</v>
      </c>
      <c r="JHX133" s="531" t="e">
        <f t="shared" si="370"/>
        <v>#DIV/0!</v>
      </c>
      <c r="JHY133" s="531" t="e">
        <f t="shared" si="370"/>
        <v>#DIV/0!</v>
      </c>
      <c r="JHZ133" s="531" t="e">
        <f t="shared" si="370"/>
        <v>#DIV/0!</v>
      </c>
      <c r="JIA133" s="531" t="e">
        <f t="shared" si="370"/>
        <v>#DIV/0!</v>
      </c>
      <c r="JIB133" s="531" t="e">
        <f t="shared" si="370"/>
        <v>#DIV/0!</v>
      </c>
      <c r="JIC133" s="531" t="e">
        <f t="shared" si="370"/>
        <v>#DIV/0!</v>
      </c>
      <c r="JID133" s="531" t="e">
        <f t="shared" si="370"/>
        <v>#DIV/0!</v>
      </c>
      <c r="JIE133" s="531" t="e">
        <f t="shared" si="370"/>
        <v>#DIV/0!</v>
      </c>
      <c r="JIF133" s="531" t="e">
        <f t="shared" si="370"/>
        <v>#DIV/0!</v>
      </c>
      <c r="JIG133" s="531" t="e">
        <f t="shared" si="370"/>
        <v>#DIV/0!</v>
      </c>
      <c r="JIH133" s="531" t="e">
        <f t="shared" si="370"/>
        <v>#DIV/0!</v>
      </c>
      <c r="JII133" s="531" t="e">
        <f t="shared" si="370"/>
        <v>#DIV/0!</v>
      </c>
      <c r="JIJ133" s="531" t="e">
        <f t="shared" si="370"/>
        <v>#DIV/0!</v>
      </c>
      <c r="JIK133" s="531" t="e">
        <f t="shared" si="370"/>
        <v>#DIV/0!</v>
      </c>
      <c r="JIL133" s="531" t="e">
        <f t="shared" si="370"/>
        <v>#DIV/0!</v>
      </c>
      <c r="JIM133" s="531" t="e">
        <f t="shared" si="370"/>
        <v>#DIV/0!</v>
      </c>
      <c r="JIN133" s="531" t="e">
        <f t="shared" si="370"/>
        <v>#DIV/0!</v>
      </c>
      <c r="JIO133" s="531" t="e">
        <f t="shared" si="370"/>
        <v>#DIV/0!</v>
      </c>
      <c r="JIP133" s="531" t="e">
        <f t="shared" si="370"/>
        <v>#DIV/0!</v>
      </c>
      <c r="JIQ133" s="531" t="e">
        <f t="shared" si="370"/>
        <v>#DIV/0!</v>
      </c>
      <c r="JIR133" s="531" t="e">
        <f t="shared" si="370"/>
        <v>#DIV/0!</v>
      </c>
      <c r="JIS133" s="531" t="e">
        <f t="shared" si="370"/>
        <v>#DIV/0!</v>
      </c>
      <c r="JIT133" s="531" t="e">
        <f t="shared" si="370"/>
        <v>#DIV/0!</v>
      </c>
      <c r="JIU133" s="531" t="e">
        <f t="shared" si="370"/>
        <v>#DIV/0!</v>
      </c>
      <c r="JIV133" s="531" t="e">
        <f t="shared" si="370"/>
        <v>#DIV/0!</v>
      </c>
      <c r="JIW133" s="531" t="e">
        <f t="shared" si="370"/>
        <v>#DIV/0!</v>
      </c>
      <c r="JIX133" s="531" t="e">
        <f t="shared" si="370"/>
        <v>#DIV/0!</v>
      </c>
      <c r="JIY133" s="531" t="e">
        <f t="shared" si="370"/>
        <v>#DIV/0!</v>
      </c>
      <c r="JIZ133" s="531" t="e">
        <f t="shared" si="370"/>
        <v>#DIV/0!</v>
      </c>
      <c r="JJA133" s="531" t="e">
        <f t="shared" si="370"/>
        <v>#DIV/0!</v>
      </c>
      <c r="JJB133" s="531" t="e">
        <f t="shared" si="370"/>
        <v>#DIV/0!</v>
      </c>
      <c r="JJC133" s="531" t="e">
        <f t="shared" si="370"/>
        <v>#DIV/0!</v>
      </c>
      <c r="JJD133" s="531" t="e">
        <f t="shared" si="370"/>
        <v>#DIV/0!</v>
      </c>
      <c r="JJE133" s="531" t="e">
        <f t="shared" si="370"/>
        <v>#DIV/0!</v>
      </c>
      <c r="JJF133" s="531" t="e">
        <f t="shared" si="370"/>
        <v>#DIV/0!</v>
      </c>
      <c r="JJG133" s="531" t="e">
        <f t="shared" si="370"/>
        <v>#DIV/0!</v>
      </c>
      <c r="JJH133" s="531" t="e">
        <f t="shared" si="370"/>
        <v>#DIV/0!</v>
      </c>
      <c r="JJI133" s="531" t="e">
        <f t="shared" si="370"/>
        <v>#DIV/0!</v>
      </c>
      <c r="JJJ133" s="531" t="e">
        <f t="shared" si="370"/>
        <v>#DIV/0!</v>
      </c>
      <c r="JJK133" s="531" t="e">
        <f t="shared" si="370"/>
        <v>#DIV/0!</v>
      </c>
      <c r="JJL133" s="531" t="e">
        <f t="shared" si="370"/>
        <v>#DIV/0!</v>
      </c>
      <c r="JJM133" s="531" t="e">
        <f t="shared" si="370"/>
        <v>#DIV/0!</v>
      </c>
      <c r="JJN133" s="531" t="e">
        <f t="shared" si="370"/>
        <v>#DIV/0!</v>
      </c>
      <c r="JJO133" s="531" t="e">
        <f t="shared" si="370"/>
        <v>#DIV/0!</v>
      </c>
      <c r="JJP133" s="531" t="e">
        <f t="shared" si="370"/>
        <v>#DIV/0!</v>
      </c>
      <c r="JJQ133" s="531" t="e">
        <f t="shared" si="370"/>
        <v>#DIV/0!</v>
      </c>
      <c r="JJR133" s="531" t="e">
        <f t="shared" si="370"/>
        <v>#DIV/0!</v>
      </c>
      <c r="JJS133" s="531" t="e">
        <f t="shared" si="370"/>
        <v>#DIV/0!</v>
      </c>
      <c r="JJT133" s="531" t="e">
        <f t="shared" si="370"/>
        <v>#DIV/0!</v>
      </c>
      <c r="JJU133" s="531" t="e">
        <f t="shared" si="370"/>
        <v>#DIV/0!</v>
      </c>
      <c r="JJV133" s="531" t="e">
        <f t="shared" si="370"/>
        <v>#DIV/0!</v>
      </c>
      <c r="JJW133" s="531" t="e">
        <f t="shared" si="370"/>
        <v>#DIV/0!</v>
      </c>
      <c r="JJX133" s="531" t="e">
        <f t="shared" si="370"/>
        <v>#DIV/0!</v>
      </c>
      <c r="JJY133" s="531" t="e">
        <f t="shared" si="370"/>
        <v>#DIV/0!</v>
      </c>
      <c r="JJZ133" s="531" t="e">
        <f t="shared" si="370"/>
        <v>#DIV/0!</v>
      </c>
      <c r="JKA133" s="531" t="e">
        <f t="shared" ref="JKA133:JML133" si="371">JKA116/(JKA52*10^5)</f>
        <v>#DIV/0!</v>
      </c>
      <c r="JKB133" s="531" t="e">
        <f t="shared" si="371"/>
        <v>#DIV/0!</v>
      </c>
      <c r="JKC133" s="531" t="e">
        <f t="shared" si="371"/>
        <v>#DIV/0!</v>
      </c>
      <c r="JKD133" s="531" t="e">
        <f t="shared" si="371"/>
        <v>#DIV/0!</v>
      </c>
      <c r="JKE133" s="531" t="e">
        <f t="shared" si="371"/>
        <v>#DIV/0!</v>
      </c>
      <c r="JKF133" s="531" t="e">
        <f t="shared" si="371"/>
        <v>#DIV/0!</v>
      </c>
      <c r="JKG133" s="531" t="e">
        <f t="shared" si="371"/>
        <v>#DIV/0!</v>
      </c>
      <c r="JKH133" s="531" t="e">
        <f t="shared" si="371"/>
        <v>#DIV/0!</v>
      </c>
      <c r="JKI133" s="531" t="e">
        <f t="shared" si="371"/>
        <v>#DIV/0!</v>
      </c>
      <c r="JKJ133" s="531" t="e">
        <f t="shared" si="371"/>
        <v>#DIV/0!</v>
      </c>
      <c r="JKK133" s="531" t="e">
        <f t="shared" si="371"/>
        <v>#DIV/0!</v>
      </c>
      <c r="JKL133" s="531" t="e">
        <f t="shared" si="371"/>
        <v>#DIV/0!</v>
      </c>
      <c r="JKM133" s="531" t="e">
        <f t="shared" si="371"/>
        <v>#DIV/0!</v>
      </c>
      <c r="JKN133" s="531" t="e">
        <f t="shared" si="371"/>
        <v>#DIV/0!</v>
      </c>
      <c r="JKO133" s="531" t="e">
        <f t="shared" si="371"/>
        <v>#DIV/0!</v>
      </c>
      <c r="JKP133" s="531" t="e">
        <f t="shared" si="371"/>
        <v>#DIV/0!</v>
      </c>
      <c r="JKQ133" s="531" t="e">
        <f t="shared" si="371"/>
        <v>#DIV/0!</v>
      </c>
      <c r="JKR133" s="531" t="e">
        <f t="shared" si="371"/>
        <v>#DIV/0!</v>
      </c>
      <c r="JKS133" s="531" t="e">
        <f t="shared" si="371"/>
        <v>#DIV/0!</v>
      </c>
      <c r="JKT133" s="531" t="e">
        <f t="shared" si="371"/>
        <v>#DIV/0!</v>
      </c>
      <c r="JKU133" s="531" t="e">
        <f t="shared" si="371"/>
        <v>#DIV/0!</v>
      </c>
      <c r="JKV133" s="531" t="e">
        <f t="shared" si="371"/>
        <v>#DIV/0!</v>
      </c>
      <c r="JKW133" s="531" t="e">
        <f t="shared" si="371"/>
        <v>#DIV/0!</v>
      </c>
      <c r="JKX133" s="531" t="e">
        <f t="shared" si="371"/>
        <v>#DIV/0!</v>
      </c>
      <c r="JKY133" s="531" t="e">
        <f t="shared" si="371"/>
        <v>#DIV/0!</v>
      </c>
      <c r="JKZ133" s="531" t="e">
        <f t="shared" si="371"/>
        <v>#DIV/0!</v>
      </c>
      <c r="JLA133" s="531" t="e">
        <f t="shared" si="371"/>
        <v>#DIV/0!</v>
      </c>
      <c r="JLB133" s="531" t="e">
        <f t="shared" si="371"/>
        <v>#DIV/0!</v>
      </c>
      <c r="JLC133" s="531" t="e">
        <f t="shared" si="371"/>
        <v>#DIV/0!</v>
      </c>
      <c r="JLD133" s="531" t="e">
        <f t="shared" si="371"/>
        <v>#DIV/0!</v>
      </c>
      <c r="JLE133" s="531" t="e">
        <f t="shared" si="371"/>
        <v>#DIV/0!</v>
      </c>
      <c r="JLF133" s="531" t="e">
        <f t="shared" si="371"/>
        <v>#DIV/0!</v>
      </c>
      <c r="JLG133" s="531" t="e">
        <f t="shared" si="371"/>
        <v>#DIV/0!</v>
      </c>
      <c r="JLH133" s="531" t="e">
        <f t="shared" si="371"/>
        <v>#DIV/0!</v>
      </c>
      <c r="JLI133" s="531" t="e">
        <f t="shared" si="371"/>
        <v>#DIV/0!</v>
      </c>
      <c r="JLJ133" s="531" t="e">
        <f t="shared" si="371"/>
        <v>#DIV/0!</v>
      </c>
      <c r="JLK133" s="531" t="e">
        <f t="shared" si="371"/>
        <v>#DIV/0!</v>
      </c>
      <c r="JLL133" s="531" t="e">
        <f t="shared" si="371"/>
        <v>#DIV/0!</v>
      </c>
      <c r="JLM133" s="531" t="e">
        <f t="shared" si="371"/>
        <v>#DIV/0!</v>
      </c>
      <c r="JLN133" s="531" t="e">
        <f t="shared" si="371"/>
        <v>#DIV/0!</v>
      </c>
      <c r="JLO133" s="531" t="e">
        <f t="shared" si="371"/>
        <v>#DIV/0!</v>
      </c>
      <c r="JLP133" s="531" t="e">
        <f t="shared" si="371"/>
        <v>#DIV/0!</v>
      </c>
      <c r="JLQ133" s="531" t="e">
        <f t="shared" si="371"/>
        <v>#DIV/0!</v>
      </c>
      <c r="JLR133" s="531" t="e">
        <f t="shared" si="371"/>
        <v>#DIV/0!</v>
      </c>
      <c r="JLS133" s="531" t="e">
        <f t="shared" si="371"/>
        <v>#DIV/0!</v>
      </c>
      <c r="JLT133" s="531" t="e">
        <f t="shared" si="371"/>
        <v>#DIV/0!</v>
      </c>
      <c r="JLU133" s="531" t="e">
        <f t="shared" si="371"/>
        <v>#DIV/0!</v>
      </c>
      <c r="JLV133" s="531" t="e">
        <f t="shared" si="371"/>
        <v>#DIV/0!</v>
      </c>
      <c r="JLW133" s="531" t="e">
        <f t="shared" si="371"/>
        <v>#DIV/0!</v>
      </c>
      <c r="JLX133" s="531" t="e">
        <f t="shared" si="371"/>
        <v>#DIV/0!</v>
      </c>
      <c r="JLY133" s="531" t="e">
        <f t="shared" si="371"/>
        <v>#DIV/0!</v>
      </c>
      <c r="JLZ133" s="531" t="e">
        <f t="shared" si="371"/>
        <v>#DIV/0!</v>
      </c>
      <c r="JMA133" s="531" t="e">
        <f t="shared" si="371"/>
        <v>#DIV/0!</v>
      </c>
      <c r="JMB133" s="531" t="e">
        <f t="shared" si="371"/>
        <v>#DIV/0!</v>
      </c>
      <c r="JMC133" s="531" t="e">
        <f t="shared" si="371"/>
        <v>#DIV/0!</v>
      </c>
      <c r="JMD133" s="531" t="e">
        <f t="shared" si="371"/>
        <v>#DIV/0!</v>
      </c>
      <c r="JME133" s="531" t="e">
        <f t="shared" si="371"/>
        <v>#DIV/0!</v>
      </c>
      <c r="JMF133" s="531" t="e">
        <f t="shared" si="371"/>
        <v>#DIV/0!</v>
      </c>
      <c r="JMG133" s="531" t="e">
        <f t="shared" si="371"/>
        <v>#DIV/0!</v>
      </c>
      <c r="JMH133" s="531" t="e">
        <f t="shared" si="371"/>
        <v>#DIV/0!</v>
      </c>
      <c r="JMI133" s="531" t="e">
        <f t="shared" si="371"/>
        <v>#DIV/0!</v>
      </c>
      <c r="JMJ133" s="531" t="e">
        <f t="shared" si="371"/>
        <v>#DIV/0!</v>
      </c>
      <c r="JMK133" s="531" t="e">
        <f t="shared" si="371"/>
        <v>#DIV/0!</v>
      </c>
      <c r="JML133" s="531" t="e">
        <f t="shared" si="371"/>
        <v>#DIV/0!</v>
      </c>
      <c r="JMM133" s="531" t="e">
        <f t="shared" ref="JMM133:JOX133" si="372">JMM116/(JMM52*10^5)</f>
        <v>#DIV/0!</v>
      </c>
      <c r="JMN133" s="531" t="e">
        <f t="shared" si="372"/>
        <v>#DIV/0!</v>
      </c>
      <c r="JMO133" s="531" t="e">
        <f t="shared" si="372"/>
        <v>#DIV/0!</v>
      </c>
      <c r="JMP133" s="531" t="e">
        <f t="shared" si="372"/>
        <v>#DIV/0!</v>
      </c>
      <c r="JMQ133" s="531" t="e">
        <f t="shared" si="372"/>
        <v>#DIV/0!</v>
      </c>
      <c r="JMR133" s="531" t="e">
        <f t="shared" si="372"/>
        <v>#DIV/0!</v>
      </c>
      <c r="JMS133" s="531" t="e">
        <f t="shared" si="372"/>
        <v>#DIV/0!</v>
      </c>
      <c r="JMT133" s="531" t="e">
        <f t="shared" si="372"/>
        <v>#DIV/0!</v>
      </c>
      <c r="JMU133" s="531" t="e">
        <f t="shared" si="372"/>
        <v>#DIV/0!</v>
      </c>
      <c r="JMV133" s="531" t="e">
        <f t="shared" si="372"/>
        <v>#DIV/0!</v>
      </c>
      <c r="JMW133" s="531" t="e">
        <f t="shared" si="372"/>
        <v>#DIV/0!</v>
      </c>
      <c r="JMX133" s="531" t="e">
        <f t="shared" si="372"/>
        <v>#DIV/0!</v>
      </c>
      <c r="JMY133" s="531" t="e">
        <f t="shared" si="372"/>
        <v>#DIV/0!</v>
      </c>
      <c r="JMZ133" s="531" t="e">
        <f t="shared" si="372"/>
        <v>#DIV/0!</v>
      </c>
      <c r="JNA133" s="531" t="e">
        <f t="shared" si="372"/>
        <v>#DIV/0!</v>
      </c>
      <c r="JNB133" s="531" t="e">
        <f t="shared" si="372"/>
        <v>#DIV/0!</v>
      </c>
      <c r="JNC133" s="531" t="e">
        <f t="shared" si="372"/>
        <v>#DIV/0!</v>
      </c>
      <c r="JND133" s="531" t="e">
        <f t="shared" si="372"/>
        <v>#DIV/0!</v>
      </c>
      <c r="JNE133" s="531" t="e">
        <f t="shared" si="372"/>
        <v>#DIV/0!</v>
      </c>
      <c r="JNF133" s="531" t="e">
        <f t="shared" si="372"/>
        <v>#DIV/0!</v>
      </c>
      <c r="JNG133" s="531" t="e">
        <f t="shared" si="372"/>
        <v>#DIV/0!</v>
      </c>
      <c r="JNH133" s="531" t="e">
        <f t="shared" si="372"/>
        <v>#DIV/0!</v>
      </c>
      <c r="JNI133" s="531" t="e">
        <f t="shared" si="372"/>
        <v>#DIV/0!</v>
      </c>
      <c r="JNJ133" s="531" t="e">
        <f t="shared" si="372"/>
        <v>#DIV/0!</v>
      </c>
      <c r="JNK133" s="531" t="e">
        <f t="shared" si="372"/>
        <v>#DIV/0!</v>
      </c>
      <c r="JNL133" s="531" t="e">
        <f t="shared" si="372"/>
        <v>#DIV/0!</v>
      </c>
      <c r="JNM133" s="531" t="e">
        <f t="shared" si="372"/>
        <v>#DIV/0!</v>
      </c>
      <c r="JNN133" s="531" t="e">
        <f t="shared" si="372"/>
        <v>#DIV/0!</v>
      </c>
      <c r="JNO133" s="531" t="e">
        <f t="shared" si="372"/>
        <v>#DIV/0!</v>
      </c>
      <c r="JNP133" s="531" t="e">
        <f t="shared" si="372"/>
        <v>#DIV/0!</v>
      </c>
      <c r="JNQ133" s="531" t="e">
        <f t="shared" si="372"/>
        <v>#DIV/0!</v>
      </c>
      <c r="JNR133" s="531" t="e">
        <f t="shared" si="372"/>
        <v>#DIV/0!</v>
      </c>
      <c r="JNS133" s="531" t="e">
        <f t="shared" si="372"/>
        <v>#DIV/0!</v>
      </c>
      <c r="JNT133" s="531" t="e">
        <f t="shared" si="372"/>
        <v>#DIV/0!</v>
      </c>
      <c r="JNU133" s="531" t="e">
        <f t="shared" si="372"/>
        <v>#DIV/0!</v>
      </c>
      <c r="JNV133" s="531" t="e">
        <f t="shared" si="372"/>
        <v>#DIV/0!</v>
      </c>
      <c r="JNW133" s="531" t="e">
        <f t="shared" si="372"/>
        <v>#DIV/0!</v>
      </c>
      <c r="JNX133" s="531" t="e">
        <f t="shared" si="372"/>
        <v>#DIV/0!</v>
      </c>
      <c r="JNY133" s="531" t="e">
        <f t="shared" si="372"/>
        <v>#DIV/0!</v>
      </c>
      <c r="JNZ133" s="531" t="e">
        <f t="shared" si="372"/>
        <v>#DIV/0!</v>
      </c>
      <c r="JOA133" s="531" t="e">
        <f t="shared" si="372"/>
        <v>#DIV/0!</v>
      </c>
      <c r="JOB133" s="531" t="e">
        <f t="shared" si="372"/>
        <v>#DIV/0!</v>
      </c>
      <c r="JOC133" s="531" t="e">
        <f t="shared" si="372"/>
        <v>#DIV/0!</v>
      </c>
      <c r="JOD133" s="531" t="e">
        <f t="shared" si="372"/>
        <v>#DIV/0!</v>
      </c>
      <c r="JOE133" s="531" t="e">
        <f t="shared" si="372"/>
        <v>#DIV/0!</v>
      </c>
      <c r="JOF133" s="531" t="e">
        <f t="shared" si="372"/>
        <v>#DIV/0!</v>
      </c>
      <c r="JOG133" s="531" t="e">
        <f t="shared" si="372"/>
        <v>#DIV/0!</v>
      </c>
      <c r="JOH133" s="531" t="e">
        <f t="shared" si="372"/>
        <v>#DIV/0!</v>
      </c>
      <c r="JOI133" s="531" t="e">
        <f t="shared" si="372"/>
        <v>#DIV/0!</v>
      </c>
      <c r="JOJ133" s="531" t="e">
        <f t="shared" si="372"/>
        <v>#DIV/0!</v>
      </c>
      <c r="JOK133" s="531" t="e">
        <f t="shared" si="372"/>
        <v>#DIV/0!</v>
      </c>
      <c r="JOL133" s="531" t="e">
        <f t="shared" si="372"/>
        <v>#DIV/0!</v>
      </c>
      <c r="JOM133" s="531" t="e">
        <f t="shared" si="372"/>
        <v>#DIV/0!</v>
      </c>
      <c r="JON133" s="531" t="e">
        <f t="shared" si="372"/>
        <v>#DIV/0!</v>
      </c>
      <c r="JOO133" s="531" t="e">
        <f t="shared" si="372"/>
        <v>#DIV/0!</v>
      </c>
      <c r="JOP133" s="531" t="e">
        <f t="shared" si="372"/>
        <v>#DIV/0!</v>
      </c>
      <c r="JOQ133" s="531" t="e">
        <f t="shared" si="372"/>
        <v>#DIV/0!</v>
      </c>
      <c r="JOR133" s="531" t="e">
        <f t="shared" si="372"/>
        <v>#DIV/0!</v>
      </c>
      <c r="JOS133" s="531" t="e">
        <f t="shared" si="372"/>
        <v>#DIV/0!</v>
      </c>
      <c r="JOT133" s="531" t="e">
        <f t="shared" si="372"/>
        <v>#DIV/0!</v>
      </c>
      <c r="JOU133" s="531" t="e">
        <f t="shared" si="372"/>
        <v>#DIV/0!</v>
      </c>
      <c r="JOV133" s="531" t="e">
        <f t="shared" si="372"/>
        <v>#DIV/0!</v>
      </c>
      <c r="JOW133" s="531" t="e">
        <f t="shared" si="372"/>
        <v>#DIV/0!</v>
      </c>
      <c r="JOX133" s="531" t="e">
        <f t="shared" si="372"/>
        <v>#DIV/0!</v>
      </c>
      <c r="JOY133" s="531" t="e">
        <f t="shared" ref="JOY133:JRJ133" si="373">JOY116/(JOY52*10^5)</f>
        <v>#DIV/0!</v>
      </c>
      <c r="JOZ133" s="531" t="e">
        <f t="shared" si="373"/>
        <v>#DIV/0!</v>
      </c>
      <c r="JPA133" s="531" t="e">
        <f t="shared" si="373"/>
        <v>#DIV/0!</v>
      </c>
      <c r="JPB133" s="531" t="e">
        <f t="shared" si="373"/>
        <v>#DIV/0!</v>
      </c>
      <c r="JPC133" s="531" t="e">
        <f t="shared" si="373"/>
        <v>#DIV/0!</v>
      </c>
      <c r="JPD133" s="531" t="e">
        <f t="shared" si="373"/>
        <v>#DIV/0!</v>
      </c>
      <c r="JPE133" s="531" t="e">
        <f t="shared" si="373"/>
        <v>#DIV/0!</v>
      </c>
      <c r="JPF133" s="531" t="e">
        <f t="shared" si="373"/>
        <v>#DIV/0!</v>
      </c>
      <c r="JPG133" s="531" t="e">
        <f t="shared" si="373"/>
        <v>#DIV/0!</v>
      </c>
      <c r="JPH133" s="531" t="e">
        <f t="shared" si="373"/>
        <v>#DIV/0!</v>
      </c>
      <c r="JPI133" s="531" t="e">
        <f t="shared" si="373"/>
        <v>#DIV/0!</v>
      </c>
      <c r="JPJ133" s="531" t="e">
        <f t="shared" si="373"/>
        <v>#DIV/0!</v>
      </c>
      <c r="JPK133" s="531" t="e">
        <f t="shared" si="373"/>
        <v>#DIV/0!</v>
      </c>
      <c r="JPL133" s="531" t="e">
        <f t="shared" si="373"/>
        <v>#DIV/0!</v>
      </c>
      <c r="JPM133" s="531" t="e">
        <f t="shared" si="373"/>
        <v>#DIV/0!</v>
      </c>
      <c r="JPN133" s="531" t="e">
        <f t="shared" si="373"/>
        <v>#DIV/0!</v>
      </c>
      <c r="JPO133" s="531" t="e">
        <f t="shared" si="373"/>
        <v>#DIV/0!</v>
      </c>
      <c r="JPP133" s="531" t="e">
        <f t="shared" si="373"/>
        <v>#DIV/0!</v>
      </c>
      <c r="JPQ133" s="531" t="e">
        <f t="shared" si="373"/>
        <v>#DIV/0!</v>
      </c>
      <c r="JPR133" s="531" t="e">
        <f t="shared" si="373"/>
        <v>#DIV/0!</v>
      </c>
      <c r="JPS133" s="531" t="e">
        <f t="shared" si="373"/>
        <v>#DIV/0!</v>
      </c>
      <c r="JPT133" s="531" t="e">
        <f t="shared" si="373"/>
        <v>#DIV/0!</v>
      </c>
      <c r="JPU133" s="531" t="e">
        <f t="shared" si="373"/>
        <v>#DIV/0!</v>
      </c>
      <c r="JPV133" s="531" t="e">
        <f t="shared" si="373"/>
        <v>#DIV/0!</v>
      </c>
      <c r="JPW133" s="531" t="e">
        <f t="shared" si="373"/>
        <v>#DIV/0!</v>
      </c>
      <c r="JPX133" s="531" t="e">
        <f t="shared" si="373"/>
        <v>#DIV/0!</v>
      </c>
      <c r="JPY133" s="531" t="e">
        <f t="shared" si="373"/>
        <v>#DIV/0!</v>
      </c>
      <c r="JPZ133" s="531" t="e">
        <f t="shared" si="373"/>
        <v>#DIV/0!</v>
      </c>
      <c r="JQA133" s="531" t="e">
        <f t="shared" si="373"/>
        <v>#DIV/0!</v>
      </c>
      <c r="JQB133" s="531" t="e">
        <f t="shared" si="373"/>
        <v>#DIV/0!</v>
      </c>
      <c r="JQC133" s="531" t="e">
        <f t="shared" si="373"/>
        <v>#DIV/0!</v>
      </c>
      <c r="JQD133" s="531" t="e">
        <f t="shared" si="373"/>
        <v>#DIV/0!</v>
      </c>
      <c r="JQE133" s="531" t="e">
        <f t="shared" si="373"/>
        <v>#DIV/0!</v>
      </c>
      <c r="JQF133" s="531" t="e">
        <f t="shared" si="373"/>
        <v>#DIV/0!</v>
      </c>
      <c r="JQG133" s="531" t="e">
        <f t="shared" si="373"/>
        <v>#DIV/0!</v>
      </c>
      <c r="JQH133" s="531" t="e">
        <f t="shared" si="373"/>
        <v>#DIV/0!</v>
      </c>
      <c r="JQI133" s="531" t="e">
        <f t="shared" si="373"/>
        <v>#DIV/0!</v>
      </c>
      <c r="JQJ133" s="531" t="e">
        <f t="shared" si="373"/>
        <v>#DIV/0!</v>
      </c>
      <c r="JQK133" s="531" t="e">
        <f t="shared" si="373"/>
        <v>#DIV/0!</v>
      </c>
      <c r="JQL133" s="531" t="e">
        <f t="shared" si="373"/>
        <v>#DIV/0!</v>
      </c>
      <c r="JQM133" s="531" t="e">
        <f t="shared" si="373"/>
        <v>#DIV/0!</v>
      </c>
      <c r="JQN133" s="531" t="e">
        <f t="shared" si="373"/>
        <v>#DIV/0!</v>
      </c>
      <c r="JQO133" s="531" t="e">
        <f t="shared" si="373"/>
        <v>#DIV/0!</v>
      </c>
      <c r="JQP133" s="531" t="e">
        <f t="shared" si="373"/>
        <v>#DIV/0!</v>
      </c>
      <c r="JQQ133" s="531" t="e">
        <f t="shared" si="373"/>
        <v>#DIV/0!</v>
      </c>
      <c r="JQR133" s="531" t="e">
        <f t="shared" si="373"/>
        <v>#DIV/0!</v>
      </c>
      <c r="JQS133" s="531" t="e">
        <f t="shared" si="373"/>
        <v>#DIV/0!</v>
      </c>
      <c r="JQT133" s="531" t="e">
        <f t="shared" si="373"/>
        <v>#DIV/0!</v>
      </c>
      <c r="JQU133" s="531" t="e">
        <f t="shared" si="373"/>
        <v>#DIV/0!</v>
      </c>
      <c r="JQV133" s="531" t="e">
        <f t="shared" si="373"/>
        <v>#DIV/0!</v>
      </c>
      <c r="JQW133" s="531" t="e">
        <f t="shared" si="373"/>
        <v>#DIV/0!</v>
      </c>
      <c r="JQX133" s="531" t="e">
        <f t="shared" si="373"/>
        <v>#DIV/0!</v>
      </c>
      <c r="JQY133" s="531" t="e">
        <f t="shared" si="373"/>
        <v>#DIV/0!</v>
      </c>
      <c r="JQZ133" s="531" t="e">
        <f t="shared" si="373"/>
        <v>#DIV/0!</v>
      </c>
      <c r="JRA133" s="531" t="e">
        <f t="shared" si="373"/>
        <v>#DIV/0!</v>
      </c>
      <c r="JRB133" s="531" t="e">
        <f t="shared" si="373"/>
        <v>#DIV/0!</v>
      </c>
      <c r="JRC133" s="531" t="e">
        <f t="shared" si="373"/>
        <v>#DIV/0!</v>
      </c>
      <c r="JRD133" s="531" t="e">
        <f t="shared" si="373"/>
        <v>#DIV/0!</v>
      </c>
      <c r="JRE133" s="531" t="e">
        <f t="shared" si="373"/>
        <v>#DIV/0!</v>
      </c>
      <c r="JRF133" s="531" t="e">
        <f t="shared" si="373"/>
        <v>#DIV/0!</v>
      </c>
      <c r="JRG133" s="531" t="e">
        <f t="shared" si="373"/>
        <v>#DIV/0!</v>
      </c>
      <c r="JRH133" s="531" t="e">
        <f t="shared" si="373"/>
        <v>#DIV/0!</v>
      </c>
      <c r="JRI133" s="531" t="e">
        <f t="shared" si="373"/>
        <v>#DIV/0!</v>
      </c>
      <c r="JRJ133" s="531" t="e">
        <f t="shared" si="373"/>
        <v>#DIV/0!</v>
      </c>
      <c r="JRK133" s="531" t="e">
        <f t="shared" ref="JRK133:JTV133" si="374">JRK116/(JRK52*10^5)</f>
        <v>#DIV/0!</v>
      </c>
      <c r="JRL133" s="531" t="e">
        <f t="shared" si="374"/>
        <v>#DIV/0!</v>
      </c>
      <c r="JRM133" s="531" t="e">
        <f t="shared" si="374"/>
        <v>#DIV/0!</v>
      </c>
      <c r="JRN133" s="531" t="e">
        <f t="shared" si="374"/>
        <v>#DIV/0!</v>
      </c>
      <c r="JRO133" s="531" t="e">
        <f t="shared" si="374"/>
        <v>#DIV/0!</v>
      </c>
      <c r="JRP133" s="531" t="e">
        <f t="shared" si="374"/>
        <v>#DIV/0!</v>
      </c>
      <c r="JRQ133" s="531" t="e">
        <f t="shared" si="374"/>
        <v>#DIV/0!</v>
      </c>
      <c r="JRR133" s="531" t="e">
        <f t="shared" si="374"/>
        <v>#DIV/0!</v>
      </c>
      <c r="JRS133" s="531" t="e">
        <f t="shared" si="374"/>
        <v>#DIV/0!</v>
      </c>
      <c r="JRT133" s="531" t="e">
        <f t="shared" si="374"/>
        <v>#DIV/0!</v>
      </c>
      <c r="JRU133" s="531" t="e">
        <f t="shared" si="374"/>
        <v>#DIV/0!</v>
      </c>
      <c r="JRV133" s="531" t="e">
        <f t="shared" si="374"/>
        <v>#DIV/0!</v>
      </c>
      <c r="JRW133" s="531" t="e">
        <f t="shared" si="374"/>
        <v>#DIV/0!</v>
      </c>
      <c r="JRX133" s="531" t="e">
        <f t="shared" si="374"/>
        <v>#DIV/0!</v>
      </c>
      <c r="JRY133" s="531" t="e">
        <f t="shared" si="374"/>
        <v>#DIV/0!</v>
      </c>
      <c r="JRZ133" s="531" t="e">
        <f t="shared" si="374"/>
        <v>#DIV/0!</v>
      </c>
      <c r="JSA133" s="531" t="e">
        <f t="shared" si="374"/>
        <v>#DIV/0!</v>
      </c>
      <c r="JSB133" s="531" t="e">
        <f t="shared" si="374"/>
        <v>#DIV/0!</v>
      </c>
      <c r="JSC133" s="531" t="e">
        <f t="shared" si="374"/>
        <v>#DIV/0!</v>
      </c>
      <c r="JSD133" s="531" t="e">
        <f t="shared" si="374"/>
        <v>#DIV/0!</v>
      </c>
      <c r="JSE133" s="531" t="e">
        <f t="shared" si="374"/>
        <v>#DIV/0!</v>
      </c>
      <c r="JSF133" s="531" t="e">
        <f t="shared" si="374"/>
        <v>#DIV/0!</v>
      </c>
      <c r="JSG133" s="531" t="e">
        <f t="shared" si="374"/>
        <v>#DIV/0!</v>
      </c>
      <c r="JSH133" s="531" t="e">
        <f t="shared" si="374"/>
        <v>#DIV/0!</v>
      </c>
      <c r="JSI133" s="531" t="e">
        <f t="shared" si="374"/>
        <v>#DIV/0!</v>
      </c>
      <c r="JSJ133" s="531" t="e">
        <f t="shared" si="374"/>
        <v>#DIV/0!</v>
      </c>
      <c r="JSK133" s="531" t="e">
        <f t="shared" si="374"/>
        <v>#DIV/0!</v>
      </c>
      <c r="JSL133" s="531" t="e">
        <f t="shared" si="374"/>
        <v>#DIV/0!</v>
      </c>
      <c r="JSM133" s="531" t="e">
        <f t="shared" si="374"/>
        <v>#DIV/0!</v>
      </c>
      <c r="JSN133" s="531" t="e">
        <f t="shared" si="374"/>
        <v>#DIV/0!</v>
      </c>
      <c r="JSO133" s="531" t="e">
        <f t="shared" si="374"/>
        <v>#DIV/0!</v>
      </c>
      <c r="JSP133" s="531" t="e">
        <f t="shared" si="374"/>
        <v>#DIV/0!</v>
      </c>
      <c r="JSQ133" s="531" t="e">
        <f t="shared" si="374"/>
        <v>#DIV/0!</v>
      </c>
      <c r="JSR133" s="531" t="e">
        <f t="shared" si="374"/>
        <v>#DIV/0!</v>
      </c>
      <c r="JSS133" s="531" t="e">
        <f t="shared" si="374"/>
        <v>#DIV/0!</v>
      </c>
      <c r="JST133" s="531" t="e">
        <f t="shared" si="374"/>
        <v>#DIV/0!</v>
      </c>
      <c r="JSU133" s="531" t="e">
        <f t="shared" si="374"/>
        <v>#DIV/0!</v>
      </c>
      <c r="JSV133" s="531" t="e">
        <f t="shared" si="374"/>
        <v>#DIV/0!</v>
      </c>
      <c r="JSW133" s="531" t="e">
        <f t="shared" si="374"/>
        <v>#DIV/0!</v>
      </c>
      <c r="JSX133" s="531" t="e">
        <f t="shared" si="374"/>
        <v>#DIV/0!</v>
      </c>
      <c r="JSY133" s="531" t="e">
        <f t="shared" si="374"/>
        <v>#DIV/0!</v>
      </c>
      <c r="JSZ133" s="531" t="e">
        <f t="shared" si="374"/>
        <v>#DIV/0!</v>
      </c>
      <c r="JTA133" s="531" t="e">
        <f t="shared" si="374"/>
        <v>#DIV/0!</v>
      </c>
      <c r="JTB133" s="531" t="e">
        <f t="shared" si="374"/>
        <v>#DIV/0!</v>
      </c>
      <c r="JTC133" s="531" t="e">
        <f t="shared" si="374"/>
        <v>#DIV/0!</v>
      </c>
      <c r="JTD133" s="531" t="e">
        <f t="shared" si="374"/>
        <v>#DIV/0!</v>
      </c>
      <c r="JTE133" s="531" t="e">
        <f t="shared" si="374"/>
        <v>#DIV/0!</v>
      </c>
      <c r="JTF133" s="531" t="e">
        <f t="shared" si="374"/>
        <v>#DIV/0!</v>
      </c>
      <c r="JTG133" s="531" t="e">
        <f t="shared" si="374"/>
        <v>#DIV/0!</v>
      </c>
      <c r="JTH133" s="531" t="e">
        <f t="shared" si="374"/>
        <v>#DIV/0!</v>
      </c>
      <c r="JTI133" s="531" t="e">
        <f t="shared" si="374"/>
        <v>#DIV/0!</v>
      </c>
      <c r="JTJ133" s="531" t="e">
        <f t="shared" si="374"/>
        <v>#DIV/0!</v>
      </c>
      <c r="JTK133" s="531" t="e">
        <f t="shared" si="374"/>
        <v>#DIV/0!</v>
      </c>
      <c r="JTL133" s="531" t="e">
        <f t="shared" si="374"/>
        <v>#DIV/0!</v>
      </c>
      <c r="JTM133" s="531" t="e">
        <f t="shared" si="374"/>
        <v>#DIV/0!</v>
      </c>
      <c r="JTN133" s="531" t="e">
        <f t="shared" si="374"/>
        <v>#DIV/0!</v>
      </c>
      <c r="JTO133" s="531" t="e">
        <f t="shared" si="374"/>
        <v>#DIV/0!</v>
      </c>
      <c r="JTP133" s="531" t="e">
        <f t="shared" si="374"/>
        <v>#DIV/0!</v>
      </c>
      <c r="JTQ133" s="531" t="e">
        <f t="shared" si="374"/>
        <v>#DIV/0!</v>
      </c>
      <c r="JTR133" s="531" t="e">
        <f t="shared" si="374"/>
        <v>#DIV/0!</v>
      </c>
      <c r="JTS133" s="531" t="e">
        <f t="shared" si="374"/>
        <v>#DIV/0!</v>
      </c>
      <c r="JTT133" s="531" t="e">
        <f t="shared" si="374"/>
        <v>#DIV/0!</v>
      </c>
      <c r="JTU133" s="531" t="e">
        <f t="shared" si="374"/>
        <v>#DIV/0!</v>
      </c>
      <c r="JTV133" s="531" t="e">
        <f t="shared" si="374"/>
        <v>#DIV/0!</v>
      </c>
      <c r="JTW133" s="531" t="e">
        <f t="shared" ref="JTW133:JWH133" si="375">JTW116/(JTW52*10^5)</f>
        <v>#DIV/0!</v>
      </c>
      <c r="JTX133" s="531" t="e">
        <f t="shared" si="375"/>
        <v>#DIV/0!</v>
      </c>
      <c r="JTY133" s="531" t="e">
        <f t="shared" si="375"/>
        <v>#DIV/0!</v>
      </c>
      <c r="JTZ133" s="531" t="e">
        <f t="shared" si="375"/>
        <v>#DIV/0!</v>
      </c>
      <c r="JUA133" s="531" t="e">
        <f t="shared" si="375"/>
        <v>#DIV/0!</v>
      </c>
      <c r="JUB133" s="531" t="e">
        <f t="shared" si="375"/>
        <v>#DIV/0!</v>
      </c>
      <c r="JUC133" s="531" t="e">
        <f t="shared" si="375"/>
        <v>#DIV/0!</v>
      </c>
      <c r="JUD133" s="531" t="e">
        <f t="shared" si="375"/>
        <v>#DIV/0!</v>
      </c>
      <c r="JUE133" s="531" t="e">
        <f t="shared" si="375"/>
        <v>#DIV/0!</v>
      </c>
      <c r="JUF133" s="531" t="e">
        <f t="shared" si="375"/>
        <v>#DIV/0!</v>
      </c>
      <c r="JUG133" s="531" t="e">
        <f t="shared" si="375"/>
        <v>#DIV/0!</v>
      </c>
      <c r="JUH133" s="531" t="e">
        <f t="shared" si="375"/>
        <v>#DIV/0!</v>
      </c>
      <c r="JUI133" s="531" t="e">
        <f t="shared" si="375"/>
        <v>#DIV/0!</v>
      </c>
      <c r="JUJ133" s="531" t="e">
        <f t="shared" si="375"/>
        <v>#DIV/0!</v>
      </c>
      <c r="JUK133" s="531" t="e">
        <f t="shared" si="375"/>
        <v>#DIV/0!</v>
      </c>
      <c r="JUL133" s="531" t="e">
        <f t="shared" si="375"/>
        <v>#DIV/0!</v>
      </c>
      <c r="JUM133" s="531" t="e">
        <f t="shared" si="375"/>
        <v>#DIV/0!</v>
      </c>
      <c r="JUN133" s="531" t="e">
        <f t="shared" si="375"/>
        <v>#DIV/0!</v>
      </c>
      <c r="JUO133" s="531" t="e">
        <f t="shared" si="375"/>
        <v>#DIV/0!</v>
      </c>
      <c r="JUP133" s="531" t="e">
        <f t="shared" si="375"/>
        <v>#DIV/0!</v>
      </c>
      <c r="JUQ133" s="531" t="e">
        <f t="shared" si="375"/>
        <v>#DIV/0!</v>
      </c>
      <c r="JUR133" s="531" t="e">
        <f t="shared" si="375"/>
        <v>#DIV/0!</v>
      </c>
      <c r="JUS133" s="531" t="e">
        <f t="shared" si="375"/>
        <v>#DIV/0!</v>
      </c>
      <c r="JUT133" s="531" t="e">
        <f t="shared" si="375"/>
        <v>#DIV/0!</v>
      </c>
      <c r="JUU133" s="531" t="e">
        <f t="shared" si="375"/>
        <v>#DIV/0!</v>
      </c>
      <c r="JUV133" s="531" t="e">
        <f t="shared" si="375"/>
        <v>#DIV/0!</v>
      </c>
      <c r="JUW133" s="531" t="e">
        <f t="shared" si="375"/>
        <v>#DIV/0!</v>
      </c>
      <c r="JUX133" s="531" t="e">
        <f t="shared" si="375"/>
        <v>#DIV/0!</v>
      </c>
      <c r="JUY133" s="531" t="e">
        <f t="shared" si="375"/>
        <v>#DIV/0!</v>
      </c>
      <c r="JUZ133" s="531" t="e">
        <f t="shared" si="375"/>
        <v>#DIV/0!</v>
      </c>
      <c r="JVA133" s="531" t="e">
        <f t="shared" si="375"/>
        <v>#DIV/0!</v>
      </c>
      <c r="JVB133" s="531" t="e">
        <f t="shared" si="375"/>
        <v>#DIV/0!</v>
      </c>
      <c r="JVC133" s="531" t="e">
        <f t="shared" si="375"/>
        <v>#DIV/0!</v>
      </c>
      <c r="JVD133" s="531" t="e">
        <f t="shared" si="375"/>
        <v>#DIV/0!</v>
      </c>
      <c r="JVE133" s="531" t="e">
        <f t="shared" si="375"/>
        <v>#DIV/0!</v>
      </c>
      <c r="JVF133" s="531" t="e">
        <f t="shared" si="375"/>
        <v>#DIV/0!</v>
      </c>
      <c r="JVG133" s="531" t="e">
        <f t="shared" si="375"/>
        <v>#DIV/0!</v>
      </c>
      <c r="JVH133" s="531" t="e">
        <f t="shared" si="375"/>
        <v>#DIV/0!</v>
      </c>
      <c r="JVI133" s="531" t="e">
        <f t="shared" si="375"/>
        <v>#DIV/0!</v>
      </c>
      <c r="JVJ133" s="531" t="e">
        <f t="shared" si="375"/>
        <v>#DIV/0!</v>
      </c>
      <c r="JVK133" s="531" t="e">
        <f t="shared" si="375"/>
        <v>#DIV/0!</v>
      </c>
      <c r="JVL133" s="531" t="e">
        <f t="shared" si="375"/>
        <v>#DIV/0!</v>
      </c>
      <c r="JVM133" s="531" t="e">
        <f t="shared" si="375"/>
        <v>#DIV/0!</v>
      </c>
      <c r="JVN133" s="531" t="e">
        <f t="shared" si="375"/>
        <v>#DIV/0!</v>
      </c>
      <c r="JVO133" s="531" t="e">
        <f t="shared" si="375"/>
        <v>#DIV/0!</v>
      </c>
      <c r="JVP133" s="531" t="e">
        <f t="shared" si="375"/>
        <v>#DIV/0!</v>
      </c>
      <c r="JVQ133" s="531" t="e">
        <f t="shared" si="375"/>
        <v>#DIV/0!</v>
      </c>
      <c r="JVR133" s="531" t="e">
        <f t="shared" si="375"/>
        <v>#DIV/0!</v>
      </c>
      <c r="JVS133" s="531" t="e">
        <f t="shared" si="375"/>
        <v>#DIV/0!</v>
      </c>
      <c r="JVT133" s="531" t="e">
        <f t="shared" si="375"/>
        <v>#DIV/0!</v>
      </c>
      <c r="JVU133" s="531" t="e">
        <f t="shared" si="375"/>
        <v>#DIV/0!</v>
      </c>
      <c r="JVV133" s="531" t="e">
        <f t="shared" si="375"/>
        <v>#DIV/0!</v>
      </c>
      <c r="JVW133" s="531" t="e">
        <f t="shared" si="375"/>
        <v>#DIV/0!</v>
      </c>
      <c r="JVX133" s="531" t="e">
        <f t="shared" si="375"/>
        <v>#DIV/0!</v>
      </c>
      <c r="JVY133" s="531" t="e">
        <f t="shared" si="375"/>
        <v>#DIV/0!</v>
      </c>
      <c r="JVZ133" s="531" t="e">
        <f t="shared" si="375"/>
        <v>#DIV/0!</v>
      </c>
      <c r="JWA133" s="531" t="e">
        <f t="shared" si="375"/>
        <v>#DIV/0!</v>
      </c>
      <c r="JWB133" s="531" t="e">
        <f t="shared" si="375"/>
        <v>#DIV/0!</v>
      </c>
      <c r="JWC133" s="531" t="e">
        <f t="shared" si="375"/>
        <v>#DIV/0!</v>
      </c>
      <c r="JWD133" s="531" t="e">
        <f t="shared" si="375"/>
        <v>#DIV/0!</v>
      </c>
      <c r="JWE133" s="531" t="e">
        <f t="shared" si="375"/>
        <v>#DIV/0!</v>
      </c>
      <c r="JWF133" s="531" t="e">
        <f t="shared" si="375"/>
        <v>#DIV/0!</v>
      </c>
      <c r="JWG133" s="531" t="e">
        <f t="shared" si="375"/>
        <v>#DIV/0!</v>
      </c>
      <c r="JWH133" s="531" t="e">
        <f t="shared" si="375"/>
        <v>#DIV/0!</v>
      </c>
      <c r="JWI133" s="531" t="e">
        <f t="shared" ref="JWI133:JYT133" si="376">JWI116/(JWI52*10^5)</f>
        <v>#DIV/0!</v>
      </c>
      <c r="JWJ133" s="531" t="e">
        <f t="shared" si="376"/>
        <v>#DIV/0!</v>
      </c>
      <c r="JWK133" s="531" t="e">
        <f t="shared" si="376"/>
        <v>#DIV/0!</v>
      </c>
      <c r="JWL133" s="531" t="e">
        <f t="shared" si="376"/>
        <v>#DIV/0!</v>
      </c>
      <c r="JWM133" s="531" t="e">
        <f t="shared" si="376"/>
        <v>#DIV/0!</v>
      </c>
      <c r="JWN133" s="531" t="e">
        <f t="shared" si="376"/>
        <v>#DIV/0!</v>
      </c>
      <c r="JWO133" s="531" t="e">
        <f t="shared" si="376"/>
        <v>#DIV/0!</v>
      </c>
      <c r="JWP133" s="531" t="e">
        <f t="shared" si="376"/>
        <v>#DIV/0!</v>
      </c>
      <c r="JWQ133" s="531" t="e">
        <f t="shared" si="376"/>
        <v>#DIV/0!</v>
      </c>
      <c r="JWR133" s="531" t="e">
        <f t="shared" si="376"/>
        <v>#DIV/0!</v>
      </c>
      <c r="JWS133" s="531" t="e">
        <f t="shared" si="376"/>
        <v>#DIV/0!</v>
      </c>
      <c r="JWT133" s="531" t="e">
        <f t="shared" si="376"/>
        <v>#DIV/0!</v>
      </c>
      <c r="JWU133" s="531" t="e">
        <f t="shared" si="376"/>
        <v>#DIV/0!</v>
      </c>
      <c r="JWV133" s="531" t="e">
        <f t="shared" si="376"/>
        <v>#DIV/0!</v>
      </c>
      <c r="JWW133" s="531" t="e">
        <f t="shared" si="376"/>
        <v>#DIV/0!</v>
      </c>
      <c r="JWX133" s="531" t="e">
        <f t="shared" si="376"/>
        <v>#DIV/0!</v>
      </c>
      <c r="JWY133" s="531" t="e">
        <f t="shared" si="376"/>
        <v>#DIV/0!</v>
      </c>
      <c r="JWZ133" s="531" t="e">
        <f t="shared" si="376"/>
        <v>#DIV/0!</v>
      </c>
      <c r="JXA133" s="531" t="e">
        <f t="shared" si="376"/>
        <v>#DIV/0!</v>
      </c>
      <c r="JXB133" s="531" t="e">
        <f t="shared" si="376"/>
        <v>#DIV/0!</v>
      </c>
      <c r="JXC133" s="531" t="e">
        <f t="shared" si="376"/>
        <v>#DIV/0!</v>
      </c>
      <c r="JXD133" s="531" t="e">
        <f t="shared" si="376"/>
        <v>#DIV/0!</v>
      </c>
      <c r="JXE133" s="531" t="e">
        <f t="shared" si="376"/>
        <v>#DIV/0!</v>
      </c>
      <c r="JXF133" s="531" t="e">
        <f t="shared" si="376"/>
        <v>#DIV/0!</v>
      </c>
      <c r="JXG133" s="531" t="e">
        <f t="shared" si="376"/>
        <v>#DIV/0!</v>
      </c>
      <c r="JXH133" s="531" t="e">
        <f t="shared" si="376"/>
        <v>#DIV/0!</v>
      </c>
      <c r="JXI133" s="531" t="e">
        <f t="shared" si="376"/>
        <v>#DIV/0!</v>
      </c>
      <c r="JXJ133" s="531" t="e">
        <f t="shared" si="376"/>
        <v>#DIV/0!</v>
      </c>
      <c r="JXK133" s="531" t="e">
        <f t="shared" si="376"/>
        <v>#DIV/0!</v>
      </c>
      <c r="JXL133" s="531" t="e">
        <f t="shared" si="376"/>
        <v>#DIV/0!</v>
      </c>
      <c r="JXM133" s="531" t="e">
        <f t="shared" si="376"/>
        <v>#DIV/0!</v>
      </c>
      <c r="JXN133" s="531" t="e">
        <f t="shared" si="376"/>
        <v>#DIV/0!</v>
      </c>
      <c r="JXO133" s="531" t="e">
        <f t="shared" si="376"/>
        <v>#DIV/0!</v>
      </c>
      <c r="JXP133" s="531" t="e">
        <f t="shared" si="376"/>
        <v>#DIV/0!</v>
      </c>
      <c r="JXQ133" s="531" t="e">
        <f t="shared" si="376"/>
        <v>#DIV/0!</v>
      </c>
      <c r="JXR133" s="531" t="e">
        <f t="shared" si="376"/>
        <v>#DIV/0!</v>
      </c>
      <c r="JXS133" s="531" t="e">
        <f t="shared" si="376"/>
        <v>#DIV/0!</v>
      </c>
      <c r="JXT133" s="531" t="e">
        <f t="shared" si="376"/>
        <v>#DIV/0!</v>
      </c>
      <c r="JXU133" s="531" t="e">
        <f t="shared" si="376"/>
        <v>#DIV/0!</v>
      </c>
      <c r="JXV133" s="531" t="e">
        <f t="shared" si="376"/>
        <v>#DIV/0!</v>
      </c>
      <c r="JXW133" s="531" t="e">
        <f t="shared" si="376"/>
        <v>#DIV/0!</v>
      </c>
      <c r="JXX133" s="531" t="e">
        <f t="shared" si="376"/>
        <v>#DIV/0!</v>
      </c>
      <c r="JXY133" s="531" t="e">
        <f t="shared" si="376"/>
        <v>#DIV/0!</v>
      </c>
      <c r="JXZ133" s="531" t="e">
        <f t="shared" si="376"/>
        <v>#DIV/0!</v>
      </c>
      <c r="JYA133" s="531" t="e">
        <f t="shared" si="376"/>
        <v>#DIV/0!</v>
      </c>
      <c r="JYB133" s="531" t="e">
        <f t="shared" si="376"/>
        <v>#DIV/0!</v>
      </c>
      <c r="JYC133" s="531" t="e">
        <f t="shared" si="376"/>
        <v>#DIV/0!</v>
      </c>
      <c r="JYD133" s="531" t="e">
        <f t="shared" si="376"/>
        <v>#DIV/0!</v>
      </c>
      <c r="JYE133" s="531" t="e">
        <f t="shared" si="376"/>
        <v>#DIV/0!</v>
      </c>
      <c r="JYF133" s="531" t="e">
        <f t="shared" si="376"/>
        <v>#DIV/0!</v>
      </c>
      <c r="JYG133" s="531" t="e">
        <f t="shared" si="376"/>
        <v>#DIV/0!</v>
      </c>
      <c r="JYH133" s="531" t="e">
        <f t="shared" si="376"/>
        <v>#DIV/0!</v>
      </c>
      <c r="JYI133" s="531" t="e">
        <f t="shared" si="376"/>
        <v>#DIV/0!</v>
      </c>
      <c r="JYJ133" s="531" t="e">
        <f t="shared" si="376"/>
        <v>#DIV/0!</v>
      </c>
      <c r="JYK133" s="531" t="e">
        <f t="shared" si="376"/>
        <v>#DIV/0!</v>
      </c>
      <c r="JYL133" s="531" t="e">
        <f t="shared" si="376"/>
        <v>#DIV/0!</v>
      </c>
      <c r="JYM133" s="531" t="e">
        <f t="shared" si="376"/>
        <v>#DIV/0!</v>
      </c>
      <c r="JYN133" s="531" t="e">
        <f t="shared" si="376"/>
        <v>#DIV/0!</v>
      </c>
      <c r="JYO133" s="531" t="e">
        <f t="shared" si="376"/>
        <v>#DIV/0!</v>
      </c>
      <c r="JYP133" s="531" t="e">
        <f t="shared" si="376"/>
        <v>#DIV/0!</v>
      </c>
      <c r="JYQ133" s="531" t="e">
        <f t="shared" si="376"/>
        <v>#DIV/0!</v>
      </c>
      <c r="JYR133" s="531" t="e">
        <f t="shared" si="376"/>
        <v>#DIV/0!</v>
      </c>
      <c r="JYS133" s="531" t="e">
        <f t="shared" si="376"/>
        <v>#DIV/0!</v>
      </c>
      <c r="JYT133" s="531" t="e">
        <f t="shared" si="376"/>
        <v>#DIV/0!</v>
      </c>
      <c r="JYU133" s="531" t="e">
        <f t="shared" ref="JYU133:KBF133" si="377">JYU116/(JYU52*10^5)</f>
        <v>#DIV/0!</v>
      </c>
      <c r="JYV133" s="531" t="e">
        <f t="shared" si="377"/>
        <v>#DIV/0!</v>
      </c>
      <c r="JYW133" s="531" t="e">
        <f t="shared" si="377"/>
        <v>#DIV/0!</v>
      </c>
      <c r="JYX133" s="531" t="e">
        <f t="shared" si="377"/>
        <v>#DIV/0!</v>
      </c>
      <c r="JYY133" s="531" t="e">
        <f t="shared" si="377"/>
        <v>#DIV/0!</v>
      </c>
      <c r="JYZ133" s="531" t="e">
        <f t="shared" si="377"/>
        <v>#DIV/0!</v>
      </c>
      <c r="JZA133" s="531" t="e">
        <f t="shared" si="377"/>
        <v>#DIV/0!</v>
      </c>
      <c r="JZB133" s="531" t="e">
        <f t="shared" si="377"/>
        <v>#DIV/0!</v>
      </c>
      <c r="JZC133" s="531" t="e">
        <f t="shared" si="377"/>
        <v>#DIV/0!</v>
      </c>
      <c r="JZD133" s="531" t="e">
        <f t="shared" si="377"/>
        <v>#DIV/0!</v>
      </c>
      <c r="JZE133" s="531" t="e">
        <f t="shared" si="377"/>
        <v>#DIV/0!</v>
      </c>
      <c r="JZF133" s="531" t="e">
        <f t="shared" si="377"/>
        <v>#DIV/0!</v>
      </c>
      <c r="JZG133" s="531" t="e">
        <f t="shared" si="377"/>
        <v>#DIV/0!</v>
      </c>
      <c r="JZH133" s="531" t="e">
        <f t="shared" si="377"/>
        <v>#DIV/0!</v>
      </c>
      <c r="JZI133" s="531" t="e">
        <f t="shared" si="377"/>
        <v>#DIV/0!</v>
      </c>
      <c r="JZJ133" s="531" t="e">
        <f t="shared" si="377"/>
        <v>#DIV/0!</v>
      </c>
      <c r="JZK133" s="531" t="e">
        <f t="shared" si="377"/>
        <v>#DIV/0!</v>
      </c>
      <c r="JZL133" s="531" t="e">
        <f t="shared" si="377"/>
        <v>#DIV/0!</v>
      </c>
      <c r="JZM133" s="531" t="e">
        <f t="shared" si="377"/>
        <v>#DIV/0!</v>
      </c>
      <c r="JZN133" s="531" t="e">
        <f t="shared" si="377"/>
        <v>#DIV/0!</v>
      </c>
      <c r="JZO133" s="531" t="e">
        <f t="shared" si="377"/>
        <v>#DIV/0!</v>
      </c>
      <c r="JZP133" s="531" t="e">
        <f t="shared" si="377"/>
        <v>#DIV/0!</v>
      </c>
      <c r="JZQ133" s="531" t="e">
        <f t="shared" si="377"/>
        <v>#DIV/0!</v>
      </c>
      <c r="JZR133" s="531" t="e">
        <f t="shared" si="377"/>
        <v>#DIV/0!</v>
      </c>
      <c r="JZS133" s="531" t="e">
        <f t="shared" si="377"/>
        <v>#DIV/0!</v>
      </c>
      <c r="JZT133" s="531" t="e">
        <f t="shared" si="377"/>
        <v>#DIV/0!</v>
      </c>
      <c r="JZU133" s="531" t="e">
        <f t="shared" si="377"/>
        <v>#DIV/0!</v>
      </c>
      <c r="JZV133" s="531" t="e">
        <f t="shared" si="377"/>
        <v>#DIV/0!</v>
      </c>
      <c r="JZW133" s="531" t="e">
        <f t="shared" si="377"/>
        <v>#DIV/0!</v>
      </c>
      <c r="JZX133" s="531" t="e">
        <f t="shared" si="377"/>
        <v>#DIV/0!</v>
      </c>
      <c r="JZY133" s="531" t="e">
        <f t="shared" si="377"/>
        <v>#DIV/0!</v>
      </c>
      <c r="JZZ133" s="531" t="e">
        <f t="shared" si="377"/>
        <v>#DIV/0!</v>
      </c>
      <c r="KAA133" s="531" t="e">
        <f t="shared" si="377"/>
        <v>#DIV/0!</v>
      </c>
      <c r="KAB133" s="531" t="e">
        <f t="shared" si="377"/>
        <v>#DIV/0!</v>
      </c>
      <c r="KAC133" s="531" t="e">
        <f t="shared" si="377"/>
        <v>#DIV/0!</v>
      </c>
      <c r="KAD133" s="531" t="e">
        <f t="shared" si="377"/>
        <v>#DIV/0!</v>
      </c>
      <c r="KAE133" s="531" t="e">
        <f t="shared" si="377"/>
        <v>#DIV/0!</v>
      </c>
      <c r="KAF133" s="531" t="e">
        <f t="shared" si="377"/>
        <v>#DIV/0!</v>
      </c>
      <c r="KAG133" s="531" t="e">
        <f t="shared" si="377"/>
        <v>#DIV/0!</v>
      </c>
      <c r="KAH133" s="531" t="e">
        <f t="shared" si="377"/>
        <v>#DIV/0!</v>
      </c>
      <c r="KAI133" s="531" t="e">
        <f t="shared" si="377"/>
        <v>#DIV/0!</v>
      </c>
      <c r="KAJ133" s="531" t="e">
        <f t="shared" si="377"/>
        <v>#DIV/0!</v>
      </c>
      <c r="KAK133" s="531" t="e">
        <f t="shared" si="377"/>
        <v>#DIV/0!</v>
      </c>
      <c r="KAL133" s="531" t="e">
        <f t="shared" si="377"/>
        <v>#DIV/0!</v>
      </c>
      <c r="KAM133" s="531" t="e">
        <f t="shared" si="377"/>
        <v>#DIV/0!</v>
      </c>
      <c r="KAN133" s="531" t="e">
        <f t="shared" si="377"/>
        <v>#DIV/0!</v>
      </c>
      <c r="KAO133" s="531" t="e">
        <f t="shared" si="377"/>
        <v>#DIV/0!</v>
      </c>
      <c r="KAP133" s="531" t="e">
        <f t="shared" si="377"/>
        <v>#DIV/0!</v>
      </c>
      <c r="KAQ133" s="531" t="e">
        <f t="shared" si="377"/>
        <v>#DIV/0!</v>
      </c>
      <c r="KAR133" s="531" t="e">
        <f t="shared" si="377"/>
        <v>#DIV/0!</v>
      </c>
      <c r="KAS133" s="531" t="e">
        <f t="shared" si="377"/>
        <v>#DIV/0!</v>
      </c>
      <c r="KAT133" s="531" t="e">
        <f t="shared" si="377"/>
        <v>#DIV/0!</v>
      </c>
      <c r="KAU133" s="531" t="e">
        <f t="shared" si="377"/>
        <v>#DIV/0!</v>
      </c>
      <c r="KAV133" s="531" t="e">
        <f t="shared" si="377"/>
        <v>#DIV/0!</v>
      </c>
      <c r="KAW133" s="531" t="e">
        <f t="shared" si="377"/>
        <v>#DIV/0!</v>
      </c>
      <c r="KAX133" s="531" t="e">
        <f t="shared" si="377"/>
        <v>#DIV/0!</v>
      </c>
      <c r="KAY133" s="531" t="e">
        <f t="shared" si="377"/>
        <v>#DIV/0!</v>
      </c>
      <c r="KAZ133" s="531" t="e">
        <f t="shared" si="377"/>
        <v>#DIV/0!</v>
      </c>
      <c r="KBA133" s="531" t="e">
        <f t="shared" si="377"/>
        <v>#DIV/0!</v>
      </c>
      <c r="KBB133" s="531" t="e">
        <f t="shared" si="377"/>
        <v>#DIV/0!</v>
      </c>
      <c r="KBC133" s="531" t="e">
        <f t="shared" si="377"/>
        <v>#DIV/0!</v>
      </c>
      <c r="KBD133" s="531" t="e">
        <f t="shared" si="377"/>
        <v>#DIV/0!</v>
      </c>
      <c r="KBE133" s="531" t="e">
        <f t="shared" si="377"/>
        <v>#DIV/0!</v>
      </c>
      <c r="KBF133" s="531" t="e">
        <f t="shared" si="377"/>
        <v>#DIV/0!</v>
      </c>
      <c r="KBG133" s="531" t="e">
        <f t="shared" ref="KBG133:KDR133" si="378">KBG116/(KBG52*10^5)</f>
        <v>#DIV/0!</v>
      </c>
      <c r="KBH133" s="531" t="e">
        <f t="shared" si="378"/>
        <v>#DIV/0!</v>
      </c>
      <c r="KBI133" s="531" t="e">
        <f t="shared" si="378"/>
        <v>#DIV/0!</v>
      </c>
      <c r="KBJ133" s="531" t="e">
        <f t="shared" si="378"/>
        <v>#DIV/0!</v>
      </c>
      <c r="KBK133" s="531" t="e">
        <f t="shared" si="378"/>
        <v>#DIV/0!</v>
      </c>
      <c r="KBL133" s="531" t="e">
        <f t="shared" si="378"/>
        <v>#DIV/0!</v>
      </c>
      <c r="KBM133" s="531" t="e">
        <f t="shared" si="378"/>
        <v>#DIV/0!</v>
      </c>
      <c r="KBN133" s="531" t="e">
        <f t="shared" si="378"/>
        <v>#DIV/0!</v>
      </c>
      <c r="KBO133" s="531" t="e">
        <f t="shared" si="378"/>
        <v>#DIV/0!</v>
      </c>
      <c r="KBP133" s="531" t="e">
        <f t="shared" si="378"/>
        <v>#DIV/0!</v>
      </c>
      <c r="KBQ133" s="531" t="e">
        <f t="shared" si="378"/>
        <v>#DIV/0!</v>
      </c>
      <c r="KBR133" s="531" t="e">
        <f t="shared" si="378"/>
        <v>#DIV/0!</v>
      </c>
      <c r="KBS133" s="531" t="e">
        <f t="shared" si="378"/>
        <v>#DIV/0!</v>
      </c>
      <c r="KBT133" s="531" t="e">
        <f t="shared" si="378"/>
        <v>#DIV/0!</v>
      </c>
      <c r="KBU133" s="531" t="e">
        <f t="shared" si="378"/>
        <v>#DIV/0!</v>
      </c>
      <c r="KBV133" s="531" t="e">
        <f t="shared" si="378"/>
        <v>#DIV/0!</v>
      </c>
      <c r="KBW133" s="531" t="e">
        <f t="shared" si="378"/>
        <v>#DIV/0!</v>
      </c>
      <c r="KBX133" s="531" t="e">
        <f t="shared" si="378"/>
        <v>#DIV/0!</v>
      </c>
      <c r="KBY133" s="531" t="e">
        <f t="shared" si="378"/>
        <v>#DIV/0!</v>
      </c>
      <c r="KBZ133" s="531" t="e">
        <f t="shared" si="378"/>
        <v>#DIV/0!</v>
      </c>
      <c r="KCA133" s="531" t="e">
        <f t="shared" si="378"/>
        <v>#DIV/0!</v>
      </c>
      <c r="KCB133" s="531" t="e">
        <f t="shared" si="378"/>
        <v>#DIV/0!</v>
      </c>
      <c r="KCC133" s="531" t="e">
        <f t="shared" si="378"/>
        <v>#DIV/0!</v>
      </c>
      <c r="KCD133" s="531" t="e">
        <f t="shared" si="378"/>
        <v>#DIV/0!</v>
      </c>
      <c r="KCE133" s="531" t="e">
        <f t="shared" si="378"/>
        <v>#DIV/0!</v>
      </c>
      <c r="KCF133" s="531" t="e">
        <f t="shared" si="378"/>
        <v>#DIV/0!</v>
      </c>
      <c r="KCG133" s="531" t="e">
        <f t="shared" si="378"/>
        <v>#DIV/0!</v>
      </c>
      <c r="KCH133" s="531" t="e">
        <f t="shared" si="378"/>
        <v>#DIV/0!</v>
      </c>
      <c r="KCI133" s="531" t="e">
        <f t="shared" si="378"/>
        <v>#DIV/0!</v>
      </c>
      <c r="KCJ133" s="531" t="e">
        <f t="shared" si="378"/>
        <v>#DIV/0!</v>
      </c>
      <c r="KCK133" s="531" t="e">
        <f t="shared" si="378"/>
        <v>#DIV/0!</v>
      </c>
      <c r="KCL133" s="531" t="e">
        <f t="shared" si="378"/>
        <v>#DIV/0!</v>
      </c>
      <c r="KCM133" s="531" t="e">
        <f t="shared" si="378"/>
        <v>#DIV/0!</v>
      </c>
      <c r="KCN133" s="531" t="e">
        <f t="shared" si="378"/>
        <v>#DIV/0!</v>
      </c>
      <c r="KCO133" s="531" t="e">
        <f t="shared" si="378"/>
        <v>#DIV/0!</v>
      </c>
      <c r="KCP133" s="531" t="e">
        <f t="shared" si="378"/>
        <v>#DIV/0!</v>
      </c>
      <c r="KCQ133" s="531" t="e">
        <f t="shared" si="378"/>
        <v>#DIV/0!</v>
      </c>
      <c r="KCR133" s="531" t="e">
        <f t="shared" si="378"/>
        <v>#DIV/0!</v>
      </c>
      <c r="KCS133" s="531" t="e">
        <f t="shared" si="378"/>
        <v>#DIV/0!</v>
      </c>
      <c r="KCT133" s="531" t="e">
        <f t="shared" si="378"/>
        <v>#DIV/0!</v>
      </c>
      <c r="KCU133" s="531" t="e">
        <f t="shared" si="378"/>
        <v>#DIV/0!</v>
      </c>
      <c r="KCV133" s="531" t="e">
        <f t="shared" si="378"/>
        <v>#DIV/0!</v>
      </c>
      <c r="KCW133" s="531" t="e">
        <f t="shared" si="378"/>
        <v>#DIV/0!</v>
      </c>
      <c r="KCX133" s="531" t="e">
        <f t="shared" si="378"/>
        <v>#DIV/0!</v>
      </c>
      <c r="KCY133" s="531" t="e">
        <f t="shared" si="378"/>
        <v>#DIV/0!</v>
      </c>
      <c r="KCZ133" s="531" t="e">
        <f t="shared" si="378"/>
        <v>#DIV/0!</v>
      </c>
      <c r="KDA133" s="531" t="e">
        <f t="shared" si="378"/>
        <v>#DIV/0!</v>
      </c>
      <c r="KDB133" s="531" t="e">
        <f t="shared" si="378"/>
        <v>#DIV/0!</v>
      </c>
      <c r="KDC133" s="531" t="e">
        <f t="shared" si="378"/>
        <v>#DIV/0!</v>
      </c>
      <c r="KDD133" s="531" t="e">
        <f t="shared" si="378"/>
        <v>#DIV/0!</v>
      </c>
      <c r="KDE133" s="531" t="e">
        <f t="shared" si="378"/>
        <v>#DIV/0!</v>
      </c>
      <c r="KDF133" s="531" t="e">
        <f t="shared" si="378"/>
        <v>#DIV/0!</v>
      </c>
      <c r="KDG133" s="531" t="e">
        <f t="shared" si="378"/>
        <v>#DIV/0!</v>
      </c>
      <c r="KDH133" s="531" t="e">
        <f t="shared" si="378"/>
        <v>#DIV/0!</v>
      </c>
      <c r="KDI133" s="531" t="e">
        <f t="shared" si="378"/>
        <v>#DIV/0!</v>
      </c>
      <c r="KDJ133" s="531" t="e">
        <f t="shared" si="378"/>
        <v>#DIV/0!</v>
      </c>
      <c r="KDK133" s="531" t="e">
        <f t="shared" si="378"/>
        <v>#DIV/0!</v>
      </c>
      <c r="KDL133" s="531" t="e">
        <f t="shared" si="378"/>
        <v>#DIV/0!</v>
      </c>
      <c r="KDM133" s="531" t="e">
        <f t="shared" si="378"/>
        <v>#DIV/0!</v>
      </c>
      <c r="KDN133" s="531" t="e">
        <f t="shared" si="378"/>
        <v>#DIV/0!</v>
      </c>
      <c r="KDO133" s="531" t="e">
        <f t="shared" si="378"/>
        <v>#DIV/0!</v>
      </c>
      <c r="KDP133" s="531" t="e">
        <f t="shared" si="378"/>
        <v>#DIV/0!</v>
      </c>
      <c r="KDQ133" s="531" t="e">
        <f t="shared" si="378"/>
        <v>#DIV/0!</v>
      </c>
      <c r="KDR133" s="531" t="e">
        <f t="shared" si="378"/>
        <v>#DIV/0!</v>
      </c>
      <c r="KDS133" s="531" t="e">
        <f t="shared" ref="KDS133:KGD133" si="379">KDS116/(KDS52*10^5)</f>
        <v>#DIV/0!</v>
      </c>
      <c r="KDT133" s="531" t="e">
        <f t="shared" si="379"/>
        <v>#DIV/0!</v>
      </c>
      <c r="KDU133" s="531" t="e">
        <f t="shared" si="379"/>
        <v>#DIV/0!</v>
      </c>
      <c r="KDV133" s="531" t="e">
        <f t="shared" si="379"/>
        <v>#DIV/0!</v>
      </c>
      <c r="KDW133" s="531" t="e">
        <f t="shared" si="379"/>
        <v>#DIV/0!</v>
      </c>
      <c r="KDX133" s="531" t="e">
        <f t="shared" si="379"/>
        <v>#DIV/0!</v>
      </c>
      <c r="KDY133" s="531" t="e">
        <f t="shared" si="379"/>
        <v>#DIV/0!</v>
      </c>
      <c r="KDZ133" s="531" t="e">
        <f t="shared" si="379"/>
        <v>#DIV/0!</v>
      </c>
      <c r="KEA133" s="531" t="e">
        <f t="shared" si="379"/>
        <v>#DIV/0!</v>
      </c>
      <c r="KEB133" s="531" t="e">
        <f t="shared" si="379"/>
        <v>#DIV/0!</v>
      </c>
      <c r="KEC133" s="531" t="e">
        <f t="shared" si="379"/>
        <v>#DIV/0!</v>
      </c>
      <c r="KED133" s="531" t="e">
        <f t="shared" si="379"/>
        <v>#DIV/0!</v>
      </c>
      <c r="KEE133" s="531" t="e">
        <f t="shared" si="379"/>
        <v>#DIV/0!</v>
      </c>
      <c r="KEF133" s="531" t="e">
        <f t="shared" si="379"/>
        <v>#DIV/0!</v>
      </c>
      <c r="KEG133" s="531" t="e">
        <f t="shared" si="379"/>
        <v>#DIV/0!</v>
      </c>
      <c r="KEH133" s="531" t="e">
        <f t="shared" si="379"/>
        <v>#DIV/0!</v>
      </c>
      <c r="KEI133" s="531" t="e">
        <f t="shared" si="379"/>
        <v>#DIV/0!</v>
      </c>
      <c r="KEJ133" s="531" t="e">
        <f t="shared" si="379"/>
        <v>#DIV/0!</v>
      </c>
      <c r="KEK133" s="531" t="e">
        <f t="shared" si="379"/>
        <v>#DIV/0!</v>
      </c>
      <c r="KEL133" s="531" t="e">
        <f t="shared" si="379"/>
        <v>#DIV/0!</v>
      </c>
      <c r="KEM133" s="531" t="e">
        <f t="shared" si="379"/>
        <v>#DIV/0!</v>
      </c>
      <c r="KEN133" s="531" t="e">
        <f t="shared" si="379"/>
        <v>#DIV/0!</v>
      </c>
      <c r="KEO133" s="531" t="e">
        <f t="shared" si="379"/>
        <v>#DIV/0!</v>
      </c>
      <c r="KEP133" s="531" t="e">
        <f t="shared" si="379"/>
        <v>#DIV/0!</v>
      </c>
      <c r="KEQ133" s="531" t="e">
        <f t="shared" si="379"/>
        <v>#DIV/0!</v>
      </c>
      <c r="KER133" s="531" t="e">
        <f t="shared" si="379"/>
        <v>#DIV/0!</v>
      </c>
      <c r="KES133" s="531" t="e">
        <f t="shared" si="379"/>
        <v>#DIV/0!</v>
      </c>
      <c r="KET133" s="531" t="e">
        <f t="shared" si="379"/>
        <v>#DIV/0!</v>
      </c>
      <c r="KEU133" s="531" t="e">
        <f t="shared" si="379"/>
        <v>#DIV/0!</v>
      </c>
      <c r="KEV133" s="531" t="e">
        <f t="shared" si="379"/>
        <v>#DIV/0!</v>
      </c>
      <c r="KEW133" s="531" t="e">
        <f t="shared" si="379"/>
        <v>#DIV/0!</v>
      </c>
      <c r="KEX133" s="531" t="e">
        <f t="shared" si="379"/>
        <v>#DIV/0!</v>
      </c>
      <c r="KEY133" s="531" t="e">
        <f t="shared" si="379"/>
        <v>#DIV/0!</v>
      </c>
      <c r="KEZ133" s="531" t="e">
        <f t="shared" si="379"/>
        <v>#DIV/0!</v>
      </c>
      <c r="KFA133" s="531" t="e">
        <f t="shared" si="379"/>
        <v>#DIV/0!</v>
      </c>
      <c r="KFB133" s="531" t="e">
        <f t="shared" si="379"/>
        <v>#DIV/0!</v>
      </c>
      <c r="KFC133" s="531" t="e">
        <f t="shared" si="379"/>
        <v>#DIV/0!</v>
      </c>
      <c r="KFD133" s="531" t="e">
        <f t="shared" si="379"/>
        <v>#DIV/0!</v>
      </c>
      <c r="KFE133" s="531" t="e">
        <f t="shared" si="379"/>
        <v>#DIV/0!</v>
      </c>
      <c r="KFF133" s="531" t="e">
        <f t="shared" si="379"/>
        <v>#DIV/0!</v>
      </c>
      <c r="KFG133" s="531" t="e">
        <f t="shared" si="379"/>
        <v>#DIV/0!</v>
      </c>
      <c r="KFH133" s="531" t="e">
        <f t="shared" si="379"/>
        <v>#DIV/0!</v>
      </c>
      <c r="KFI133" s="531" t="e">
        <f t="shared" si="379"/>
        <v>#DIV/0!</v>
      </c>
      <c r="KFJ133" s="531" t="e">
        <f t="shared" si="379"/>
        <v>#DIV/0!</v>
      </c>
      <c r="KFK133" s="531" t="e">
        <f t="shared" si="379"/>
        <v>#DIV/0!</v>
      </c>
      <c r="KFL133" s="531" t="e">
        <f t="shared" si="379"/>
        <v>#DIV/0!</v>
      </c>
      <c r="KFM133" s="531" t="e">
        <f t="shared" si="379"/>
        <v>#DIV/0!</v>
      </c>
      <c r="KFN133" s="531" t="e">
        <f t="shared" si="379"/>
        <v>#DIV/0!</v>
      </c>
      <c r="KFO133" s="531" t="e">
        <f t="shared" si="379"/>
        <v>#DIV/0!</v>
      </c>
      <c r="KFP133" s="531" t="e">
        <f t="shared" si="379"/>
        <v>#DIV/0!</v>
      </c>
      <c r="KFQ133" s="531" t="e">
        <f t="shared" si="379"/>
        <v>#DIV/0!</v>
      </c>
      <c r="KFR133" s="531" t="e">
        <f t="shared" si="379"/>
        <v>#DIV/0!</v>
      </c>
      <c r="KFS133" s="531" t="e">
        <f t="shared" si="379"/>
        <v>#DIV/0!</v>
      </c>
      <c r="KFT133" s="531" t="e">
        <f t="shared" si="379"/>
        <v>#DIV/0!</v>
      </c>
      <c r="KFU133" s="531" t="e">
        <f t="shared" si="379"/>
        <v>#DIV/0!</v>
      </c>
      <c r="KFV133" s="531" t="e">
        <f t="shared" si="379"/>
        <v>#DIV/0!</v>
      </c>
      <c r="KFW133" s="531" t="e">
        <f t="shared" si="379"/>
        <v>#DIV/0!</v>
      </c>
      <c r="KFX133" s="531" t="e">
        <f t="shared" si="379"/>
        <v>#DIV/0!</v>
      </c>
      <c r="KFY133" s="531" t="e">
        <f t="shared" si="379"/>
        <v>#DIV/0!</v>
      </c>
      <c r="KFZ133" s="531" t="e">
        <f t="shared" si="379"/>
        <v>#DIV/0!</v>
      </c>
      <c r="KGA133" s="531" t="e">
        <f t="shared" si="379"/>
        <v>#DIV/0!</v>
      </c>
      <c r="KGB133" s="531" t="e">
        <f t="shared" si="379"/>
        <v>#DIV/0!</v>
      </c>
      <c r="KGC133" s="531" t="e">
        <f t="shared" si="379"/>
        <v>#DIV/0!</v>
      </c>
      <c r="KGD133" s="531" t="e">
        <f t="shared" si="379"/>
        <v>#DIV/0!</v>
      </c>
      <c r="KGE133" s="531" t="e">
        <f t="shared" ref="KGE133:KIP133" si="380">KGE116/(KGE52*10^5)</f>
        <v>#DIV/0!</v>
      </c>
      <c r="KGF133" s="531" t="e">
        <f t="shared" si="380"/>
        <v>#DIV/0!</v>
      </c>
      <c r="KGG133" s="531" t="e">
        <f t="shared" si="380"/>
        <v>#DIV/0!</v>
      </c>
      <c r="KGH133" s="531" t="e">
        <f t="shared" si="380"/>
        <v>#DIV/0!</v>
      </c>
      <c r="KGI133" s="531" t="e">
        <f t="shared" si="380"/>
        <v>#DIV/0!</v>
      </c>
      <c r="KGJ133" s="531" t="e">
        <f t="shared" si="380"/>
        <v>#DIV/0!</v>
      </c>
      <c r="KGK133" s="531" t="e">
        <f t="shared" si="380"/>
        <v>#DIV/0!</v>
      </c>
      <c r="KGL133" s="531" t="e">
        <f t="shared" si="380"/>
        <v>#DIV/0!</v>
      </c>
      <c r="KGM133" s="531" t="e">
        <f t="shared" si="380"/>
        <v>#DIV/0!</v>
      </c>
      <c r="KGN133" s="531" t="e">
        <f t="shared" si="380"/>
        <v>#DIV/0!</v>
      </c>
      <c r="KGO133" s="531" t="e">
        <f t="shared" si="380"/>
        <v>#DIV/0!</v>
      </c>
      <c r="KGP133" s="531" t="e">
        <f t="shared" si="380"/>
        <v>#DIV/0!</v>
      </c>
      <c r="KGQ133" s="531" t="e">
        <f t="shared" si="380"/>
        <v>#DIV/0!</v>
      </c>
      <c r="KGR133" s="531" t="e">
        <f t="shared" si="380"/>
        <v>#DIV/0!</v>
      </c>
      <c r="KGS133" s="531" t="e">
        <f t="shared" si="380"/>
        <v>#DIV/0!</v>
      </c>
      <c r="KGT133" s="531" t="e">
        <f t="shared" si="380"/>
        <v>#DIV/0!</v>
      </c>
      <c r="KGU133" s="531" t="e">
        <f t="shared" si="380"/>
        <v>#DIV/0!</v>
      </c>
      <c r="KGV133" s="531" t="e">
        <f t="shared" si="380"/>
        <v>#DIV/0!</v>
      </c>
      <c r="KGW133" s="531" t="e">
        <f t="shared" si="380"/>
        <v>#DIV/0!</v>
      </c>
      <c r="KGX133" s="531" t="e">
        <f t="shared" si="380"/>
        <v>#DIV/0!</v>
      </c>
      <c r="KGY133" s="531" t="e">
        <f t="shared" si="380"/>
        <v>#DIV/0!</v>
      </c>
      <c r="KGZ133" s="531" t="e">
        <f t="shared" si="380"/>
        <v>#DIV/0!</v>
      </c>
      <c r="KHA133" s="531" t="e">
        <f t="shared" si="380"/>
        <v>#DIV/0!</v>
      </c>
      <c r="KHB133" s="531" t="e">
        <f t="shared" si="380"/>
        <v>#DIV/0!</v>
      </c>
      <c r="KHC133" s="531" t="e">
        <f t="shared" si="380"/>
        <v>#DIV/0!</v>
      </c>
      <c r="KHD133" s="531" t="e">
        <f t="shared" si="380"/>
        <v>#DIV/0!</v>
      </c>
      <c r="KHE133" s="531" t="e">
        <f t="shared" si="380"/>
        <v>#DIV/0!</v>
      </c>
      <c r="KHF133" s="531" t="e">
        <f t="shared" si="380"/>
        <v>#DIV/0!</v>
      </c>
      <c r="KHG133" s="531" t="e">
        <f t="shared" si="380"/>
        <v>#DIV/0!</v>
      </c>
      <c r="KHH133" s="531" t="e">
        <f t="shared" si="380"/>
        <v>#DIV/0!</v>
      </c>
      <c r="KHI133" s="531" t="e">
        <f t="shared" si="380"/>
        <v>#DIV/0!</v>
      </c>
      <c r="KHJ133" s="531" t="e">
        <f t="shared" si="380"/>
        <v>#DIV/0!</v>
      </c>
      <c r="KHK133" s="531" t="e">
        <f t="shared" si="380"/>
        <v>#DIV/0!</v>
      </c>
      <c r="KHL133" s="531" t="e">
        <f t="shared" si="380"/>
        <v>#DIV/0!</v>
      </c>
      <c r="KHM133" s="531" t="e">
        <f t="shared" si="380"/>
        <v>#DIV/0!</v>
      </c>
      <c r="KHN133" s="531" t="e">
        <f t="shared" si="380"/>
        <v>#DIV/0!</v>
      </c>
      <c r="KHO133" s="531" t="e">
        <f t="shared" si="380"/>
        <v>#DIV/0!</v>
      </c>
      <c r="KHP133" s="531" t="e">
        <f t="shared" si="380"/>
        <v>#DIV/0!</v>
      </c>
      <c r="KHQ133" s="531" t="e">
        <f t="shared" si="380"/>
        <v>#DIV/0!</v>
      </c>
      <c r="KHR133" s="531" t="e">
        <f t="shared" si="380"/>
        <v>#DIV/0!</v>
      </c>
      <c r="KHS133" s="531" t="e">
        <f t="shared" si="380"/>
        <v>#DIV/0!</v>
      </c>
      <c r="KHT133" s="531" t="e">
        <f t="shared" si="380"/>
        <v>#DIV/0!</v>
      </c>
      <c r="KHU133" s="531" t="e">
        <f t="shared" si="380"/>
        <v>#DIV/0!</v>
      </c>
      <c r="KHV133" s="531" t="e">
        <f t="shared" si="380"/>
        <v>#DIV/0!</v>
      </c>
      <c r="KHW133" s="531" t="e">
        <f t="shared" si="380"/>
        <v>#DIV/0!</v>
      </c>
      <c r="KHX133" s="531" t="e">
        <f t="shared" si="380"/>
        <v>#DIV/0!</v>
      </c>
      <c r="KHY133" s="531" t="e">
        <f t="shared" si="380"/>
        <v>#DIV/0!</v>
      </c>
      <c r="KHZ133" s="531" t="e">
        <f t="shared" si="380"/>
        <v>#DIV/0!</v>
      </c>
      <c r="KIA133" s="531" t="e">
        <f t="shared" si="380"/>
        <v>#DIV/0!</v>
      </c>
      <c r="KIB133" s="531" t="e">
        <f t="shared" si="380"/>
        <v>#DIV/0!</v>
      </c>
      <c r="KIC133" s="531" t="e">
        <f t="shared" si="380"/>
        <v>#DIV/0!</v>
      </c>
      <c r="KID133" s="531" t="e">
        <f t="shared" si="380"/>
        <v>#DIV/0!</v>
      </c>
      <c r="KIE133" s="531" t="e">
        <f t="shared" si="380"/>
        <v>#DIV/0!</v>
      </c>
      <c r="KIF133" s="531" t="e">
        <f t="shared" si="380"/>
        <v>#DIV/0!</v>
      </c>
      <c r="KIG133" s="531" t="e">
        <f t="shared" si="380"/>
        <v>#DIV/0!</v>
      </c>
      <c r="KIH133" s="531" t="e">
        <f t="shared" si="380"/>
        <v>#DIV/0!</v>
      </c>
      <c r="KII133" s="531" t="e">
        <f t="shared" si="380"/>
        <v>#DIV/0!</v>
      </c>
      <c r="KIJ133" s="531" t="e">
        <f t="shared" si="380"/>
        <v>#DIV/0!</v>
      </c>
      <c r="KIK133" s="531" t="e">
        <f t="shared" si="380"/>
        <v>#DIV/0!</v>
      </c>
      <c r="KIL133" s="531" t="e">
        <f t="shared" si="380"/>
        <v>#DIV/0!</v>
      </c>
      <c r="KIM133" s="531" t="e">
        <f t="shared" si="380"/>
        <v>#DIV/0!</v>
      </c>
      <c r="KIN133" s="531" t="e">
        <f t="shared" si="380"/>
        <v>#DIV/0!</v>
      </c>
      <c r="KIO133" s="531" t="e">
        <f t="shared" si="380"/>
        <v>#DIV/0!</v>
      </c>
      <c r="KIP133" s="531" t="e">
        <f t="shared" si="380"/>
        <v>#DIV/0!</v>
      </c>
      <c r="KIQ133" s="531" t="e">
        <f t="shared" ref="KIQ133:KLB133" si="381">KIQ116/(KIQ52*10^5)</f>
        <v>#DIV/0!</v>
      </c>
      <c r="KIR133" s="531" t="e">
        <f t="shared" si="381"/>
        <v>#DIV/0!</v>
      </c>
      <c r="KIS133" s="531" t="e">
        <f t="shared" si="381"/>
        <v>#DIV/0!</v>
      </c>
      <c r="KIT133" s="531" t="e">
        <f t="shared" si="381"/>
        <v>#DIV/0!</v>
      </c>
      <c r="KIU133" s="531" t="e">
        <f t="shared" si="381"/>
        <v>#DIV/0!</v>
      </c>
      <c r="KIV133" s="531" t="e">
        <f t="shared" si="381"/>
        <v>#DIV/0!</v>
      </c>
      <c r="KIW133" s="531" t="e">
        <f t="shared" si="381"/>
        <v>#DIV/0!</v>
      </c>
      <c r="KIX133" s="531" t="e">
        <f t="shared" si="381"/>
        <v>#DIV/0!</v>
      </c>
      <c r="KIY133" s="531" t="e">
        <f t="shared" si="381"/>
        <v>#DIV/0!</v>
      </c>
      <c r="KIZ133" s="531" t="e">
        <f t="shared" si="381"/>
        <v>#DIV/0!</v>
      </c>
      <c r="KJA133" s="531" t="e">
        <f t="shared" si="381"/>
        <v>#DIV/0!</v>
      </c>
      <c r="KJB133" s="531" t="e">
        <f t="shared" si="381"/>
        <v>#DIV/0!</v>
      </c>
      <c r="KJC133" s="531" t="e">
        <f t="shared" si="381"/>
        <v>#DIV/0!</v>
      </c>
      <c r="KJD133" s="531" t="e">
        <f t="shared" si="381"/>
        <v>#DIV/0!</v>
      </c>
      <c r="KJE133" s="531" t="e">
        <f t="shared" si="381"/>
        <v>#DIV/0!</v>
      </c>
      <c r="KJF133" s="531" t="e">
        <f t="shared" si="381"/>
        <v>#DIV/0!</v>
      </c>
      <c r="KJG133" s="531" t="e">
        <f t="shared" si="381"/>
        <v>#DIV/0!</v>
      </c>
      <c r="KJH133" s="531" t="e">
        <f t="shared" si="381"/>
        <v>#DIV/0!</v>
      </c>
      <c r="KJI133" s="531" t="e">
        <f t="shared" si="381"/>
        <v>#DIV/0!</v>
      </c>
      <c r="KJJ133" s="531" t="e">
        <f t="shared" si="381"/>
        <v>#DIV/0!</v>
      </c>
      <c r="KJK133" s="531" t="e">
        <f t="shared" si="381"/>
        <v>#DIV/0!</v>
      </c>
      <c r="KJL133" s="531" t="e">
        <f t="shared" si="381"/>
        <v>#DIV/0!</v>
      </c>
      <c r="KJM133" s="531" t="e">
        <f t="shared" si="381"/>
        <v>#DIV/0!</v>
      </c>
      <c r="KJN133" s="531" t="e">
        <f t="shared" si="381"/>
        <v>#DIV/0!</v>
      </c>
      <c r="KJO133" s="531" t="e">
        <f t="shared" si="381"/>
        <v>#DIV/0!</v>
      </c>
      <c r="KJP133" s="531" t="e">
        <f t="shared" si="381"/>
        <v>#DIV/0!</v>
      </c>
      <c r="KJQ133" s="531" t="e">
        <f t="shared" si="381"/>
        <v>#DIV/0!</v>
      </c>
      <c r="KJR133" s="531" t="e">
        <f t="shared" si="381"/>
        <v>#DIV/0!</v>
      </c>
      <c r="KJS133" s="531" t="e">
        <f t="shared" si="381"/>
        <v>#DIV/0!</v>
      </c>
      <c r="KJT133" s="531" t="e">
        <f t="shared" si="381"/>
        <v>#DIV/0!</v>
      </c>
      <c r="KJU133" s="531" t="e">
        <f t="shared" si="381"/>
        <v>#DIV/0!</v>
      </c>
      <c r="KJV133" s="531" t="e">
        <f t="shared" si="381"/>
        <v>#DIV/0!</v>
      </c>
      <c r="KJW133" s="531" t="e">
        <f t="shared" si="381"/>
        <v>#DIV/0!</v>
      </c>
      <c r="KJX133" s="531" t="e">
        <f t="shared" si="381"/>
        <v>#DIV/0!</v>
      </c>
      <c r="KJY133" s="531" t="e">
        <f t="shared" si="381"/>
        <v>#DIV/0!</v>
      </c>
      <c r="KJZ133" s="531" t="e">
        <f t="shared" si="381"/>
        <v>#DIV/0!</v>
      </c>
      <c r="KKA133" s="531" t="e">
        <f t="shared" si="381"/>
        <v>#DIV/0!</v>
      </c>
      <c r="KKB133" s="531" t="e">
        <f t="shared" si="381"/>
        <v>#DIV/0!</v>
      </c>
      <c r="KKC133" s="531" t="e">
        <f t="shared" si="381"/>
        <v>#DIV/0!</v>
      </c>
      <c r="KKD133" s="531" t="e">
        <f t="shared" si="381"/>
        <v>#DIV/0!</v>
      </c>
      <c r="KKE133" s="531" t="e">
        <f t="shared" si="381"/>
        <v>#DIV/0!</v>
      </c>
      <c r="KKF133" s="531" t="e">
        <f t="shared" si="381"/>
        <v>#DIV/0!</v>
      </c>
      <c r="KKG133" s="531" t="e">
        <f t="shared" si="381"/>
        <v>#DIV/0!</v>
      </c>
      <c r="KKH133" s="531" t="e">
        <f t="shared" si="381"/>
        <v>#DIV/0!</v>
      </c>
      <c r="KKI133" s="531" t="e">
        <f t="shared" si="381"/>
        <v>#DIV/0!</v>
      </c>
      <c r="KKJ133" s="531" t="e">
        <f t="shared" si="381"/>
        <v>#DIV/0!</v>
      </c>
      <c r="KKK133" s="531" t="e">
        <f t="shared" si="381"/>
        <v>#DIV/0!</v>
      </c>
      <c r="KKL133" s="531" t="e">
        <f t="shared" si="381"/>
        <v>#DIV/0!</v>
      </c>
      <c r="KKM133" s="531" t="e">
        <f t="shared" si="381"/>
        <v>#DIV/0!</v>
      </c>
      <c r="KKN133" s="531" t="e">
        <f t="shared" si="381"/>
        <v>#DIV/0!</v>
      </c>
      <c r="KKO133" s="531" t="e">
        <f t="shared" si="381"/>
        <v>#DIV/0!</v>
      </c>
      <c r="KKP133" s="531" t="e">
        <f t="shared" si="381"/>
        <v>#DIV/0!</v>
      </c>
      <c r="KKQ133" s="531" t="e">
        <f t="shared" si="381"/>
        <v>#DIV/0!</v>
      </c>
      <c r="KKR133" s="531" t="e">
        <f t="shared" si="381"/>
        <v>#DIV/0!</v>
      </c>
      <c r="KKS133" s="531" t="e">
        <f t="shared" si="381"/>
        <v>#DIV/0!</v>
      </c>
      <c r="KKT133" s="531" t="e">
        <f t="shared" si="381"/>
        <v>#DIV/0!</v>
      </c>
      <c r="KKU133" s="531" t="e">
        <f t="shared" si="381"/>
        <v>#DIV/0!</v>
      </c>
      <c r="KKV133" s="531" t="e">
        <f t="shared" si="381"/>
        <v>#DIV/0!</v>
      </c>
      <c r="KKW133" s="531" t="e">
        <f t="shared" si="381"/>
        <v>#DIV/0!</v>
      </c>
      <c r="KKX133" s="531" t="e">
        <f t="shared" si="381"/>
        <v>#DIV/0!</v>
      </c>
      <c r="KKY133" s="531" t="e">
        <f t="shared" si="381"/>
        <v>#DIV/0!</v>
      </c>
      <c r="KKZ133" s="531" t="e">
        <f t="shared" si="381"/>
        <v>#DIV/0!</v>
      </c>
      <c r="KLA133" s="531" t="e">
        <f t="shared" si="381"/>
        <v>#DIV/0!</v>
      </c>
      <c r="KLB133" s="531" t="e">
        <f t="shared" si="381"/>
        <v>#DIV/0!</v>
      </c>
      <c r="KLC133" s="531" t="e">
        <f t="shared" ref="KLC133:KNN133" si="382">KLC116/(KLC52*10^5)</f>
        <v>#DIV/0!</v>
      </c>
      <c r="KLD133" s="531" t="e">
        <f t="shared" si="382"/>
        <v>#DIV/0!</v>
      </c>
      <c r="KLE133" s="531" t="e">
        <f t="shared" si="382"/>
        <v>#DIV/0!</v>
      </c>
      <c r="KLF133" s="531" t="e">
        <f t="shared" si="382"/>
        <v>#DIV/0!</v>
      </c>
      <c r="KLG133" s="531" t="e">
        <f t="shared" si="382"/>
        <v>#DIV/0!</v>
      </c>
      <c r="KLH133" s="531" t="e">
        <f t="shared" si="382"/>
        <v>#DIV/0!</v>
      </c>
      <c r="KLI133" s="531" t="e">
        <f t="shared" si="382"/>
        <v>#DIV/0!</v>
      </c>
      <c r="KLJ133" s="531" t="e">
        <f t="shared" si="382"/>
        <v>#DIV/0!</v>
      </c>
      <c r="KLK133" s="531" t="e">
        <f t="shared" si="382"/>
        <v>#DIV/0!</v>
      </c>
      <c r="KLL133" s="531" t="e">
        <f t="shared" si="382"/>
        <v>#DIV/0!</v>
      </c>
      <c r="KLM133" s="531" t="e">
        <f t="shared" si="382"/>
        <v>#DIV/0!</v>
      </c>
      <c r="KLN133" s="531" t="e">
        <f t="shared" si="382"/>
        <v>#DIV/0!</v>
      </c>
      <c r="KLO133" s="531" t="e">
        <f t="shared" si="382"/>
        <v>#DIV/0!</v>
      </c>
      <c r="KLP133" s="531" t="e">
        <f t="shared" si="382"/>
        <v>#DIV/0!</v>
      </c>
      <c r="KLQ133" s="531" t="e">
        <f t="shared" si="382"/>
        <v>#DIV/0!</v>
      </c>
      <c r="KLR133" s="531" t="e">
        <f t="shared" si="382"/>
        <v>#DIV/0!</v>
      </c>
      <c r="KLS133" s="531" t="e">
        <f t="shared" si="382"/>
        <v>#DIV/0!</v>
      </c>
      <c r="KLT133" s="531" t="e">
        <f t="shared" si="382"/>
        <v>#DIV/0!</v>
      </c>
      <c r="KLU133" s="531" t="e">
        <f t="shared" si="382"/>
        <v>#DIV/0!</v>
      </c>
      <c r="KLV133" s="531" t="e">
        <f t="shared" si="382"/>
        <v>#DIV/0!</v>
      </c>
      <c r="KLW133" s="531" t="e">
        <f t="shared" si="382"/>
        <v>#DIV/0!</v>
      </c>
      <c r="KLX133" s="531" t="e">
        <f t="shared" si="382"/>
        <v>#DIV/0!</v>
      </c>
      <c r="KLY133" s="531" t="e">
        <f t="shared" si="382"/>
        <v>#DIV/0!</v>
      </c>
      <c r="KLZ133" s="531" t="e">
        <f t="shared" si="382"/>
        <v>#DIV/0!</v>
      </c>
      <c r="KMA133" s="531" t="e">
        <f t="shared" si="382"/>
        <v>#DIV/0!</v>
      </c>
      <c r="KMB133" s="531" t="e">
        <f t="shared" si="382"/>
        <v>#DIV/0!</v>
      </c>
      <c r="KMC133" s="531" t="e">
        <f t="shared" si="382"/>
        <v>#DIV/0!</v>
      </c>
      <c r="KMD133" s="531" t="e">
        <f t="shared" si="382"/>
        <v>#DIV/0!</v>
      </c>
      <c r="KME133" s="531" t="e">
        <f t="shared" si="382"/>
        <v>#DIV/0!</v>
      </c>
      <c r="KMF133" s="531" t="e">
        <f t="shared" si="382"/>
        <v>#DIV/0!</v>
      </c>
      <c r="KMG133" s="531" t="e">
        <f t="shared" si="382"/>
        <v>#DIV/0!</v>
      </c>
      <c r="KMH133" s="531" t="e">
        <f t="shared" si="382"/>
        <v>#DIV/0!</v>
      </c>
      <c r="KMI133" s="531" t="e">
        <f t="shared" si="382"/>
        <v>#DIV/0!</v>
      </c>
      <c r="KMJ133" s="531" t="e">
        <f t="shared" si="382"/>
        <v>#DIV/0!</v>
      </c>
      <c r="KMK133" s="531" t="e">
        <f t="shared" si="382"/>
        <v>#DIV/0!</v>
      </c>
      <c r="KML133" s="531" t="e">
        <f t="shared" si="382"/>
        <v>#DIV/0!</v>
      </c>
      <c r="KMM133" s="531" t="e">
        <f t="shared" si="382"/>
        <v>#DIV/0!</v>
      </c>
      <c r="KMN133" s="531" t="e">
        <f t="shared" si="382"/>
        <v>#DIV/0!</v>
      </c>
      <c r="KMO133" s="531" t="e">
        <f t="shared" si="382"/>
        <v>#DIV/0!</v>
      </c>
      <c r="KMP133" s="531" t="e">
        <f t="shared" si="382"/>
        <v>#DIV/0!</v>
      </c>
      <c r="KMQ133" s="531" t="e">
        <f t="shared" si="382"/>
        <v>#DIV/0!</v>
      </c>
      <c r="KMR133" s="531" t="e">
        <f t="shared" si="382"/>
        <v>#DIV/0!</v>
      </c>
      <c r="KMS133" s="531" t="e">
        <f t="shared" si="382"/>
        <v>#DIV/0!</v>
      </c>
      <c r="KMT133" s="531" t="e">
        <f t="shared" si="382"/>
        <v>#DIV/0!</v>
      </c>
      <c r="KMU133" s="531" t="e">
        <f t="shared" si="382"/>
        <v>#DIV/0!</v>
      </c>
      <c r="KMV133" s="531" t="e">
        <f t="shared" si="382"/>
        <v>#DIV/0!</v>
      </c>
      <c r="KMW133" s="531" t="e">
        <f t="shared" si="382"/>
        <v>#DIV/0!</v>
      </c>
      <c r="KMX133" s="531" t="e">
        <f t="shared" si="382"/>
        <v>#DIV/0!</v>
      </c>
      <c r="KMY133" s="531" t="e">
        <f t="shared" si="382"/>
        <v>#DIV/0!</v>
      </c>
      <c r="KMZ133" s="531" t="e">
        <f t="shared" si="382"/>
        <v>#DIV/0!</v>
      </c>
      <c r="KNA133" s="531" t="e">
        <f t="shared" si="382"/>
        <v>#DIV/0!</v>
      </c>
      <c r="KNB133" s="531" t="e">
        <f t="shared" si="382"/>
        <v>#DIV/0!</v>
      </c>
      <c r="KNC133" s="531" t="e">
        <f t="shared" si="382"/>
        <v>#DIV/0!</v>
      </c>
      <c r="KND133" s="531" t="e">
        <f t="shared" si="382"/>
        <v>#DIV/0!</v>
      </c>
      <c r="KNE133" s="531" t="e">
        <f t="shared" si="382"/>
        <v>#DIV/0!</v>
      </c>
      <c r="KNF133" s="531" t="e">
        <f t="shared" si="382"/>
        <v>#DIV/0!</v>
      </c>
      <c r="KNG133" s="531" t="e">
        <f t="shared" si="382"/>
        <v>#DIV/0!</v>
      </c>
      <c r="KNH133" s="531" t="e">
        <f t="shared" si="382"/>
        <v>#DIV/0!</v>
      </c>
      <c r="KNI133" s="531" t="e">
        <f t="shared" si="382"/>
        <v>#DIV/0!</v>
      </c>
      <c r="KNJ133" s="531" t="e">
        <f t="shared" si="382"/>
        <v>#DIV/0!</v>
      </c>
      <c r="KNK133" s="531" t="e">
        <f t="shared" si="382"/>
        <v>#DIV/0!</v>
      </c>
      <c r="KNL133" s="531" t="e">
        <f t="shared" si="382"/>
        <v>#DIV/0!</v>
      </c>
      <c r="KNM133" s="531" t="e">
        <f t="shared" si="382"/>
        <v>#DIV/0!</v>
      </c>
      <c r="KNN133" s="531" t="e">
        <f t="shared" si="382"/>
        <v>#DIV/0!</v>
      </c>
      <c r="KNO133" s="531" t="e">
        <f t="shared" ref="KNO133:KPZ133" si="383">KNO116/(KNO52*10^5)</f>
        <v>#DIV/0!</v>
      </c>
      <c r="KNP133" s="531" t="e">
        <f t="shared" si="383"/>
        <v>#DIV/0!</v>
      </c>
      <c r="KNQ133" s="531" t="e">
        <f t="shared" si="383"/>
        <v>#DIV/0!</v>
      </c>
      <c r="KNR133" s="531" t="e">
        <f t="shared" si="383"/>
        <v>#DIV/0!</v>
      </c>
      <c r="KNS133" s="531" t="e">
        <f t="shared" si="383"/>
        <v>#DIV/0!</v>
      </c>
      <c r="KNT133" s="531" t="e">
        <f t="shared" si="383"/>
        <v>#DIV/0!</v>
      </c>
      <c r="KNU133" s="531" t="e">
        <f t="shared" si="383"/>
        <v>#DIV/0!</v>
      </c>
      <c r="KNV133" s="531" t="e">
        <f t="shared" si="383"/>
        <v>#DIV/0!</v>
      </c>
      <c r="KNW133" s="531" t="e">
        <f t="shared" si="383"/>
        <v>#DIV/0!</v>
      </c>
      <c r="KNX133" s="531" t="e">
        <f t="shared" si="383"/>
        <v>#DIV/0!</v>
      </c>
      <c r="KNY133" s="531" t="e">
        <f t="shared" si="383"/>
        <v>#DIV/0!</v>
      </c>
      <c r="KNZ133" s="531" t="e">
        <f t="shared" si="383"/>
        <v>#DIV/0!</v>
      </c>
      <c r="KOA133" s="531" t="e">
        <f t="shared" si="383"/>
        <v>#DIV/0!</v>
      </c>
      <c r="KOB133" s="531" t="e">
        <f t="shared" si="383"/>
        <v>#DIV/0!</v>
      </c>
      <c r="KOC133" s="531" t="e">
        <f t="shared" si="383"/>
        <v>#DIV/0!</v>
      </c>
      <c r="KOD133" s="531" t="e">
        <f t="shared" si="383"/>
        <v>#DIV/0!</v>
      </c>
      <c r="KOE133" s="531" t="e">
        <f t="shared" si="383"/>
        <v>#DIV/0!</v>
      </c>
      <c r="KOF133" s="531" t="e">
        <f t="shared" si="383"/>
        <v>#DIV/0!</v>
      </c>
      <c r="KOG133" s="531" t="e">
        <f t="shared" si="383"/>
        <v>#DIV/0!</v>
      </c>
      <c r="KOH133" s="531" t="e">
        <f t="shared" si="383"/>
        <v>#DIV/0!</v>
      </c>
      <c r="KOI133" s="531" t="e">
        <f t="shared" si="383"/>
        <v>#DIV/0!</v>
      </c>
      <c r="KOJ133" s="531" t="e">
        <f t="shared" si="383"/>
        <v>#DIV/0!</v>
      </c>
      <c r="KOK133" s="531" t="e">
        <f t="shared" si="383"/>
        <v>#DIV/0!</v>
      </c>
      <c r="KOL133" s="531" t="e">
        <f t="shared" si="383"/>
        <v>#DIV/0!</v>
      </c>
      <c r="KOM133" s="531" t="e">
        <f t="shared" si="383"/>
        <v>#DIV/0!</v>
      </c>
      <c r="KON133" s="531" t="e">
        <f t="shared" si="383"/>
        <v>#DIV/0!</v>
      </c>
      <c r="KOO133" s="531" t="e">
        <f t="shared" si="383"/>
        <v>#DIV/0!</v>
      </c>
      <c r="KOP133" s="531" t="e">
        <f t="shared" si="383"/>
        <v>#DIV/0!</v>
      </c>
      <c r="KOQ133" s="531" t="e">
        <f t="shared" si="383"/>
        <v>#DIV/0!</v>
      </c>
      <c r="KOR133" s="531" t="e">
        <f t="shared" si="383"/>
        <v>#DIV/0!</v>
      </c>
      <c r="KOS133" s="531" t="e">
        <f t="shared" si="383"/>
        <v>#DIV/0!</v>
      </c>
      <c r="KOT133" s="531" t="e">
        <f t="shared" si="383"/>
        <v>#DIV/0!</v>
      </c>
      <c r="KOU133" s="531" t="e">
        <f t="shared" si="383"/>
        <v>#DIV/0!</v>
      </c>
      <c r="KOV133" s="531" t="e">
        <f t="shared" si="383"/>
        <v>#DIV/0!</v>
      </c>
      <c r="KOW133" s="531" t="e">
        <f t="shared" si="383"/>
        <v>#DIV/0!</v>
      </c>
      <c r="KOX133" s="531" t="e">
        <f t="shared" si="383"/>
        <v>#DIV/0!</v>
      </c>
      <c r="KOY133" s="531" t="e">
        <f t="shared" si="383"/>
        <v>#DIV/0!</v>
      </c>
      <c r="KOZ133" s="531" t="e">
        <f t="shared" si="383"/>
        <v>#DIV/0!</v>
      </c>
      <c r="KPA133" s="531" t="e">
        <f t="shared" si="383"/>
        <v>#DIV/0!</v>
      </c>
      <c r="KPB133" s="531" t="e">
        <f t="shared" si="383"/>
        <v>#DIV/0!</v>
      </c>
      <c r="KPC133" s="531" t="e">
        <f t="shared" si="383"/>
        <v>#DIV/0!</v>
      </c>
      <c r="KPD133" s="531" t="e">
        <f t="shared" si="383"/>
        <v>#DIV/0!</v>
      </c>
      <c r="KPE133" s="531" t="e">
        <f t="shared" si="383"/>
        <v>#DIV/0!</v>
      </c>
      <c r="KPF133" s="531" t="e">
        <f t="shared" si="383"/>
        <v>#DIV/0!</v>
      </c>
      <c r="KPG133" s="531" t="e">
        <f t="shared" si="383"/>
        <v>#DIV/0!</v>
      </c>
      <c r="KPH133" s="531" t="e">
        <f t="shared" si="383"/>
        <v>#DIV/0!</v>
      </c>
      <c r="KPI133" s="531" t="e">
        <f t="shared" si="383"/>
        <v>#DIV/0!</v>
      </c>
      <c r="KPJ133" s="531" t="e">
        <f t="shared" si="383"/>
        <v>#DIV/0!</v>
      </c>
      <c r="KPK133" s="531" t="e">
        <f t="shared" si="383"/>
        <v>#DIV/0!</v>
      </c>
      <c r="KPL133" s="531" t="e">
        <f t="shared" si="383"/>
        <v>#DIV/0!</v>
      </c>
      <c r="KPM133" s="531" t="e">
        <f t="shared" si="383"/>
        <v>#DIV/0!</v>
      </c>
      <c r="KPN133" s="531" t="e">
        <f t="shared" si="383"/>
        <v>#DIV/0!</v>
      </c>
      <c r="KPO133" s="531" t="e">
        <f t="shared" si="383"/>
        <v>#DIV/0!</v>
      </c>
      <c r="KPP133" s="531" t="e">
        <f t="shared" si="383"/>
        <v>#DIV/0!</v>
      </c>
      <c r="KPQ133" s="531" t="e">
        <f t="shared" si="383"/>
        <v>#DIV/0!</v>
      </c>
      <c r="KPR133" s="531" t="e">
        <f t="shared" si="383"/>
        <v>#DIV/0!</v>
      </c>
      <c r="KPS133" s="531" t="e">
        <f t="shared" si="383"/>
        <v>#DIV/0!</v>
      </c>
      <c r="KPT133" s="531" t="e">
        <f t="shared" si="383"/>
        <v>#DIV/0!</v>
      </c>
      <c r="KPU133" s="531" t="e">
        <f t="shared" si="383"/>
        <v>#DIV/0!</v>
      </c>
      <c r="KPV133" s="531" t="e">
        <f t="shared" si="383"/>
        <v>#DIV/0!</v>
      </c>
      <c r="KPW133" s="531" t="e">
        <f t="shared" si="383"/>
        <v>#DIV/0!</v>
      </c>
      <c r="KPX133" s="531" t="e">
        <f t="shared" si="383"/>
        <v>#DIV/0!</v>
      </c>
      <c r="KPY133" s="531" t="e">
        <f t="shared" si="383"/>
        <v>#DIV/0!</v>
      </c>
      <c r="KPZ133" s="531" t="e">
        <f t="shared" si="383"/>
        <v>#DIV/0!</v>
      </c>
      <c r="KQA133" s="531" t="e">
        <f t="shared" ref="KQA133:KSL133" si="384">KQA116/(KQA52*10^5)</f>
        <v>#DIV/0!</v>
      </c>
      <c r="KQB133" s="531" t="e">
        <f t="shared" si="384"/>
        <v>#DIV/0!</v>
      </c>
      <c r="KQC133" s="531" t="e">
        <f t="shared" si="384"/>
        <v>#DIV/0!</v>
      </c>
      <c r="KQD133" s="531" t="e">
        <f t="shared" si="384"/>
        <v>#DIV/0!</v>
      </c>
      <c r="KQE133" s="531" t="e">
        <f t="shared" si="384"/>
        <v>#DIV/0!</v>
      </c>
      <c r="KQF133" s="531" t="e">
        <f t="shared" si="384"/>
        <v>#DIV/0!</v>
      </c>
      <c r="KQG133" s="531" t="e">
        <f t="shared" si="384"/>
        <v>#DIV/0!</v>
      </c>
      <c r="KQH133" s="531" t="e">
        <f t="shared" si="384"/>
        <v>#DIV/0!</v>
      </c>
      <c r="KQI133" s="531" t="e">
        <f t="shared" si="384"/>
        <v>#DIV/0!</v>
      </c>
      <c r="KQJ133" s="531" t="e">
        <f t="shared" si="384"/>
        <v>#DIV/0!</v>
      </c>
      <c r="KQK133" s="531" t="e">
        <f t="shared" si="384"/>
        <v>#DIV/0!</v>
      </c>
      <c r="KQL133" s="531" t="e">
        <f t="shared" si="384"/>
        <v>#DIV/0!</v>
      </c>
      <c r="KQM133" s="531" t="e">
        <f t="shared" si="384"/>
        <v>#DIV/0!</v>
      </c>
      <c r="KQN133" s="531" t="e">
        <f t="shared" si="384"/>
        <v>#DIV/0!</v>
      </c>
      <c r="KQO133" s="531" t="e">
        <f t="shared" si="384"/>
        <v>#DIV/0!</v>
      </c>
      <c r="KQP133" s="531" t="e">
        <f t="shared" si="384"/>
        <v>#DIV/0!</v>
      </c>
      <c r="KQQ133" s="531" t="e">
        <f t="shared" si="384"/>
        <v>#DIV/0!</v>
      </c>
      <c r="KQR133" s="531" t="e">
        <f t="shared" si="384"/>
        <v>#DIV/0!</v>
      </c>
      <c r="KQS133" s="531" t="e">
        <f t="shared" si="384"/>
        <v>#DIV/0!</v>
      </c>
      <c r="KQT133" s="531" t="e">
        <f t="shared" si="384"/>
        <v>#DIV/0!</v>
      </c>
      <c r="KQU133" s="531" t="e">
        <f t="shared" si="384"/>
        <v>#DIV/0!</v>
      </c>
      <c r="KQV133" s="531" t="e">
        <f t="shared" si="384"/>
        <v>#DIV/0!</v>
      </c>
      <c r="KQW133" s="531" t="e">
        <f t="shared" si="384"/>
        <v>#DIV/0!</v>
      </c>
      <c r="KQX133" s="531" t="e">
        <f t="shared" si="384"/>
        <v>#DIV/0!</v>
      </c>
      <c r="KQY133" s="531" t="e">
        <f t="shared" si="384"/>
        <v>#DIV/0!</v>
      </c>
      <c r="KQZ133" s="531" t="e">
        <f t="shared" si="384"/>
        <v>#DIV/0!</v>
      </c>
      <c r="KRA133" s="531" t="e">
        <f t="shared" si="384"/>
        <v>#DIV/0!</v>
      </c>
      <c r="KRB133" s="531" t="e">
        <f t="shared" si="384"/>
        <v>#DIV/0!</v>
      </c>
      <c r="KRC133" s="531" t="e">
        <f t="shared" si="384"/>
        <v>#DIV/0!</v>
      </c>
      <c r="KRD133" s="531" t="e">
        <f t="shared" si="384"/>
        <v>#DIV/0!</v>
      </c>
      <c r="KRE133" s="531" t="e">
        <f t="shared" si="384"/>
        <v>#DIV/0!</v>
      </c>
      <c r="KRF133" s="531" t="e">
        <f t="shared" si="384"/>
        <v>#DIV/0!</v>
      </c>
      <c r="KRG133" s="531" t="e">
        <f t="shared" si="384"/>
        <v>#DIV/0!</v>
      </c>
      <c r="KRH133" s="531" t="e">
        <f t="shared" si="384"/>
        <v>#DIV/0!</v>
      </c>
      <c r="KRI133" s="531" t="e">
        <f t="shared" si="384"/>
        <v>#DIV/0!</v>
      </c>
      <c r="KRJ133" s="531" t="e">
        <f t="shared" si="384"/>
        <v>#DIV/0!</v>
      </c>
      <c r="KRK133" s="531" t="e">
        <f t="shared" si="384"/>
        <v>#DIV/0!</v>
      </c>
      <c r="KRL133" s="531" t="e">
        <f t="shared" si="384"/>
        <v>#DIV/0!</v>
      </c>
      <c r="KRM133" s="531" t="e">
        <f t="shared" si="384"/>
        <v>#DIV/0!</v>
      </c>
      <c r="KRN133" s="531" t="e">
        <f t="shared" si="384"/>
        <v>#DIV/0!</v>
      </c>
      <c r="KRO133" s="531" t="e">
        <f t="shared" si="384"/>
        <v>#DIV/0!</v>
      </c>
      <c r="KRP133" s="531" t="e">
        <f t="shared" si="384"/>
        <v>#DIV/0!</v>
      </c>
      <c r="KRQ133" s="531" t="e">
        <f t="shared" si="384"/>
        <v>#DIV/0!</v>
      </c>
      <c r="KRR133" s="531" t="e">
        <f t="shared" si="384"/>
        <v>#DIV/0!</v>
      </c>
      <c r="KRS133" s="531" t="e">
        <f t="shared" si="384"/>
        <v>#DIV/0!</v>
      </c>
      <c r="KRT133" s="531" t="e">
        <f t="shared" si="384"/>
        <v>#DIV/0!</v>
      </c>
      <c r="KRU133" s="531" t="e">
        <f t="shared" si="384"/>
        <v>#DIV/0!</v>
      </c>
      <c r="KRV133" s="531" t="e">
        <f t="shared" si="384"/>
        <v>#DIV/0!</v>
      </c>
      <c r="KRW133" s="531" t="e">
        <f t="shared" si="384"/>
        <v>#DIV/0!</v>
      </c>
      <c r="KRX133" s="531" t="e">
        <f t="shared" si="384"/>
        <v>#DIV/0!</v>
      </c>
      <c r="KRY133" s="531" t="e">
        <f t="shared" si="384"/>
        <v>#DIV/0!</v>
      </c>
      <c r="KRZ133" s="531" t="e">
        <f t="shared" si="384"/>
        <v>#DIV/0!</v>
      </c>
      <c r="KSA133" s="531" t="e">
        <f t="shared" si="384"/>
        <v>#DIV/0!</v>
      </c>
      <c r="KSB133" s="531" t="e">
        <f t="shared" si="384"/>
        <v>#DIV/0!</v>
      </c>
      <c r="KSC133" s="531" t="e">
        <f t="shared" si="384"/>
        <v>#DIV/0!</v>
      </c>
      <c r="KSD133" s="531" t="e">
        <f t="shared" si="384"/>
        <v>#DIV/0!</v>
      </c>
      <c r="KSE133" s="531" t="e">
        <f t="shared" si="384"/>
        <v>#DIV/0!</v>
      </c>
      <c r="KSF133" s="531" t="e">
        <f t="shared" si="384"/>
        <v>#DIV/0!</v>
      </c>
      <c r="KSG133" s="531" t="e">
        <f t="shared" si="384"/>
        <v>#DIV/0!</v>
      </c>
      <c r="KSH133" s="531" t="e">
        <f t="shared" si="384"/>
        <v>#DIV/0!</v>
      </c>
      <c r="KSI133" s="531" t="e">
        <f t="shared" si="384"/>
        <v>#DIV/0!</v>
      </c>
      <c r="KSJ133" s="531" t="e">
        <f t="shared" si="384"/>
        <v>#DIV/0!</v>
      </c>
      <c r="KSK133" s="531" t="e">
        <f t="shared" si="384"/>
        <v>#DIV/0!</v>
      </c>
      <c r="KSL133" s="531" t="e">
        <f t="shared" si="384"/>
        <v>#DIV/0!</v>
      </c>
      <c r="KSM133" s="531" t="e">
        <f t="shared" ref="KSM133:KUX133" si="385">KSM116/(KSM52*10^5)</f>
        <v>#DIV/0!</v>
      </c>
      <c r="KSN133" s="531" t="e">
        <f t="shared" si="385"/>
        <v>#DIV/0!</v>
      </c>
      <c r="KSO133" s="531" t="e">
        <f t="shared" si="385"/>
        <v>#DIV/0!</v>
      </c>
      <c r="KSP133" s="531" t="e">
        <f t="shared" si="385"/>
        <v>#DIV/0!</v>
      </c>
      <c r="KSQ133" s="531" t="e">
        <f t="shared" si="385"/>
        <v>#DIV/0!</v>
      </c>
      <c r="KSR133" s="531" t="e">
        <f t="shared" si="385"/>
        <v>#DIV/0!</v>
      </c>
      <c r="KSS133" s="531" t="e">
        <f t="shared" si="385"/>
        <v>#DIV/0!</v>
      </c>
      <c r="KST133" s="531" t="e">
        <f t="shared" si="385"/>
        <v>#DIV/0!</v>
      </c>
      <c r="KSU133" s="531" t="e">
        <f t="shared" si="385"/>
        <v>#DIV/0!</v>
      </c>
      <c r="KSV133" s="531" t="e">
        <f t="shared" si="385"/>
        <v>#DIV/0!</v>
      </c>
      <c r="KSW133" s="531" t="e">
        <f t="shared" si="385"/>
        <v>#DIV/0!</v>
      </c>
      <c r="KSX133" s="531" t="e">
        <f t="shared" si="385"/>
        <v>#DIV/0!</v>
      </c>
      <c r="KSY133" s="531" t="e">
        <f t="shared" si="385"/>
        <v>#DIV/0!</v>
      </c>
      <c r="KSZ133" s="531" t="e">
        <f t="shared" si="385"/>
        <v>#DIV/0!</v>
      </c>
      <c r="KTA133" s="531" t="e">
        <f t="shared" si="385"/>
        <v>#DIV/0!</v>
      </c>
      <c r="KTB133" s="531" t="e">
        <f t="shared" si="385"/>
        <v>#DIV/0!</v>
      </c>
      <c r="KTC133" s="531" t="e">
        <f t="shared" si="385"/>
        <v>#DIV/0!</v>
      </c>
      <c r="KTD133" s="531" t="e">
        <f t="shared" si="385"/>
        <v>#DIV/0!</v>
      </c>
      <c r="KTE133" s="531" t="e">
        <f t="shared" si="385"/>
        <v>#DIV/0!</v>
      </c>
      <c r="KTF133" s="531" t="e">
        <f t="shared" si="385"/>
        <v>#DIV/0!</v>
      </c>
      <c r="KTG133" s="531" t="e">
        <f t="shared" si="385"/>
        <v>#DIV/0!</v>
      </c>
      <c r="KTH133" s="531" t="e">
        <f t="shared" si="385"/>
        <v>#DIV/0!</v>
      </c>
      <c r="KTI133" s="531" t="e">
        <f t="shared" si="385"/>
        <v>#DIV/0!</v>
      </c>
      <c r="KTJ133" s="531" t="e">
        <f t="shared" si="385"/>
        <v>#DIV/0!</v>
      </c>
      <c r="KTK133" s="531" t="e">
        <f t="shared" si="385"/>
        <v>#DIV/0!</v>
      </c>
      <c r="KTL133" s="531" t="e">
        <f t="shared" si="385"/>
        <v>#DIV/0!</v>
      </c>
      <c r="KTM133" s="531" t="e">
        <f t="shared" si="385"/>
        <v>#DIV/0!</v>
      </c>
      <c r="KTN133" s="531" t="e">
        <f t="shared" si="385"/>
        <v>#DIV/0!</v>
      </c>
      <c r="KTO133" s="531" t="e">
        <f t="shared" si="385"/>
        <v>#DIV/0!</v>
      </c>
      <c r="KTP133" s="531" t="e">
        <f t="shared" si="385"/>
        <v>#DIV/0!</v>
      </c>
      <c r="KTQ133" s="531" t="e">
        <f t="shared" si="385"/>
        <v>#DIV/0!</v>
      </c>
      <c r="KTR133" s="531" t="e">
        <f t="shared" si="385"/>
        <v>#DIV/0!</v>
      </c>
      <c r="KTS133" s="531" t="e">
        <f t="shared" si="385"/>
        <v>#DIV/0!</v>
      </c>
      <c r="KTT133" s="531" t="e">
        <f t="shared" si="385"/>
        <v>#DIV/0!</v>
      </c>
      <c r="KTU133" s="531" t="e">
        <f t="shared" si="385"/>
        <v>#DIV/0!</v>
      </c>
      <c r="KTV133" s="531" t="e">
        <f t="shared" si="385"/>
        <v>#DIV/0!</v>
      </c>
      <c r="KTW133" s="531" t="e">
        <f t="shared" si="385"/>
        <v>#DIV/0!</v>
      </c>
      <c r="KTX133" s="531" t="e">
        <f t="shared" si="385"/>
        <v>#DIV/0!</v>
      </c>
      <c r="KTY133" s="531" t="e">
        <f t="shared" si="385"/>
        <v>#DIV/0!</v>
      </c>
      <c r="KTZ133" s="531" t="e">
        <f t="shared" si="385"/>
        <v>#DIV/0!</v>
      </c>
      <c r="KUA133" s="531" t="e">
        <f t="shared" si="385"/>
        <v>#DIV/0!</v>
      </c>
      <c r="KUB133" s="531" t="e">
        <f t="shared" si="385"/>
        <v>#DIV/0!</v>
      </c>
      <c r="KUC133" s="531" t="e">
        <f t="shared" si="385"/>
        <v>#DIV/0!</v>
      </c>
      <c r="KUD133" s="531" t="e">
        <f t="shared" si="385"/>
        <v>#DIV/0!</v>
      </c>
      <c r="KUE133" s="531" t="e">
        <f t="shared" si="385"/>
        <v>#DIV/0!</v>
      </c>
      <c r="KUF133" s="531" t="e">
        <f t="shared" si="385"/>
        <v>#DIV/0!</v>
      </c>
      <c r="KUG133" s="531" t="e">
        <f t="shared" si="385"/>
        <v>#DIV/0!</v>
      </c>
      <c r="KUH133" s="531" t="e">
        <f t="shared" si="385"/>
        <v>#DIV/0!</v>
      </c>
      <c r="KUI133" s="531" t="e">
        <f t="shared" si="385"/>
        <v>#DIV/0!</v>
      </c>
      <c r="KUJ133" s="531" t="e">
        <f t="shared" si="385"/>
        <v>#DIV/0!</v>
      </c>
      <c r="KUK133" s="531" t="e">
        <f t="shared" si="385"/>
        <v>#DIV/0!</v>
      </c>
      <c r="KUL133" s="531" t="e">
        <f t="shared" si="385"/>
        <v>#DIV/0!</v>
      </c>
      <c r="KUM133" s="531" t="e">
        <f t="shared" si="385"/>
        <v>#DIV/0!</v>
      </c>
      <c r="KUN133" s="531" t="e">
        <f t="shared" si="385"/>
        <v>#DIV/0!</v>
      </c>
      <c r="KUO133" s="531" t="e">
        <f t="shared" si="385"/>
        <v>#DIV/0!</v>
      </c>
      <c r="KUP133" s="531" t="e">
        <f t="shared" si="385"/>
        <v>#DIV/0!</v>
      </c>
      <c r="KUQ133" s="531" t="e">
        <f t="shared" si="385"/>
        <v>#DIV/0!</v>
      </c>
      <c r="KUR133" s="531" t="e">
        <f t="shared" si="385"/>
        <v>#DIV/0!</v>
      </c>
      <c r="KUS133" s="531" t="e">
        <f t="shared" si="385"/>
        <v>#DIV/0!</v>
      </c>
      <c r="KUT133" s="531" t="e">
        <f t="shared" si="385"/>
        <v>#DIV/0!</v>
      </c>
      <c r="KUU133" s="531" t="e">
        <f t="shared" si="385"/>
        <v>#DIV/0!</v>
      </c>
      <c r="KUV133" s="531" t="e">
        <f t="shared" si="385"/>
        <v>#DIV/0!</v>
      </c>
      <c r="KUW133" s="531" t="e">
        <f t="shared" si="385"/>
        <v>#DIV/0!</v>
      </c>
      <c r="KUX133" s="531" t="e">
        <f t="shared" si="385"/>
        <v>#DIV/0!</v>
      </c>
      <c r="KUY133" s="531" t="e">
        <f t="shared" ref="KUY133:KXJ133" si="386">KUY116/(KUY52*10^5)</f>
        <v>#DIV/0!</v>
      </c>
      <c r="KUZ133" s="531" t="e">
        <f t="shared" si="386"/>
        <v>#DIV/0!</v>
      </c>
      <c r="KVA133" s="531" t="e">
        <f t="shared" si="386"/>
        <v>#DIV/0!</v>
      </c>
      <c r="KVB133" s="531" t="e">
        <f t="shared" si="386"/>
        <v>#DIV/0!</v>
      </c>
      <c r="KVC133" s="531" t="e">
        <f t="shared" si="386"/>
        <v>#DIV/0!</v>
      </c>
      <c r="KVD133" s="531" t="e">
        <f t="shared" si="386"/>
        <v>#DIV/0!</v>
      </c>
      <c r="KVE133" s="531" t="e">
        <f t="shared" si="386"/>
        <v>#DIV/0!</v>
      </c>
      <c r="KVF133" s="531" t="e">
        <f t="shared" si="386"/>
        <v>#DIV/0!</v>
      </c>
      <c r="KVG133" s="531" t="e">
        <f t="shared" si="386"/>
        <v>#DIV/0!</v>
      </c>
      <c r="KVH133" s="531" t="e">
        <f t="shared" si="386"/>
        <v>#DIV/0!</v>
      </c>
      <c r="KVI133" s="531" t="e">
        <f t="shared" si="386"/>
        <v>#DIV/0!</v>
      </c>
      <c r="KVJ133" s="531" t="e">
        <f t="shared" si="386"/>
        <v>#DIV/0!</v>
      </c>
      <c r="KVK133" s="531" t="e">
        <f t="shared" si="386"/>
        <v>#DIV/0!</v>
      </c>
      <c r="KVL133" s="531" t="e">
        <f t="shared" si="386"/>
        <v>#DIV/0!</v>
      </c>
      <c r="KVM133" s="531" t="e">
        <f t="shared" si="386"/>
        <v>#DIV/0!</v>
      </c>
      <c r="KVN133" s="531" t="e">
        <f t="shared" si="386"/>
        <v>#DIV/0!</v>
      </c>
      <c r="KVO133" s="531" t="e">
        <f t="shared" si="386"/>
        <v>#DIV/0!</v>
      </c>
      <c r="KVP133" s="531" t="e">
        <f t="shared" si="386"/>
        <v>#DIV/0!</v>
      </c>
      <c r="KVQ133" s="531" t="e">
        <f t="shared" si="386"/>
        <v>#DIV/0!</v>
      </c>
      <c r="KVR133" s="531" t="e">
        <f t="shared" si="386"/>
        <v>#DIV/0!</v>
      </c>
      <c r="KVS133" s="531" t="e">
        <f t="shared" si="386"/>
        <v>#DIV/0!</v>
      </c>
      <c r="KVT133" s="531" t="e">
        <f t="shared" si="386"/>
        <v>#DIV/0!</v>
      </c>
      <c r="KVU133" s="531" t="e">
        <f t="shared" si="386"/>
        <v>#DIV/0!</v>
      </c>
      <c r="KVV133" s="531" t="e">
        <f t="shared" si="386"/>
        <v>#DIV/0!</v>
      </c>
      <c r="KVW133" s="531" t="e">
        <f t="shared" si="386"/>
        <v>#DIV/0!</v>
      </c>
      <c r="KVX133" s="531" t="e">
        <f t="shared" si="386"/>
        <v>#DIV/0!</v>
      </c>
      <c r="KVY133" s="531" t="e">
        <f t="shared" si="386"/>
        <v>#DIV/0!</v>
      </c>
      <c r="KVZ133" s="531" t="e">
        <f t="shared" si="386"/>
        <v>#DIV/0!</v>
      </c>
      <c r="KWA133" s="531" t="e">
        <f t="shared" si="386"/>
        <v>#DIV/0!</v>
      </c>
      <c r="KWB133" s="531" t="e">
        <f t="shared" si="386"/>
        <v>#DIV/0!</v>
      </c>
      <c r="KWC133" s="531" t="e">
        <f t="shared" si="386"/>
        <v>#DIV/0!</v>
      </c>
      <c r="KWD133" s="531" t="e">
        <f t="shared" si="386"/>
        <v>#DIV/0!</v>
      </c>
      <c r="KWE133" s="531" t="e">
        <f t="shared" si="386"/>
        <v>#DIV/0!</v>
      </c>
      <c r="KWF133" s="531" t="e">
        <f t="shared" si="386"/>
        <v>#DIV/0!</v>
      </c>
      <c r="KWG133" s="531" t="e">
        <f t="shared" si="386"/>
        <v>#DIV/0!</v>
      </c>
      <c r="KWH133" s="531" t="e">
        <f t="shared" si="386"/>
        <v>#DIV/0!</v>
      </c>
      <c r="KWI133" s="531" t="e">
        <f t="shared" si="386"/>
        <v>#DIV/0!</v>
      </c>
      <c r="KWJ133" s="531" t="e">
        <f t="shared" si="386"/>
        <v>#DIV/0!</v>
      </c>
      <c r="KWK133" s="531" t="e">
        <f t="shared" si="386"/>
        <v>#DIV/0!</v>
      </c>
      <c r="KWL133" s="531" t="e">
        <f t="shared" si="386"/>
        <v>#DIV/0!</v>
      </c>
      <c r="KWM133" s="531" t="e">
        <f t="shared" si="386"/>
        <v>#DIV/0!</v>
      </c>
      <c r="KWN133" s="531" t="e">
        <f t="shared" si="386"/>
        <v>#DIV/0!</v>
      </c>
      <c r="KWO133" s="531" t="e">
        <f t="shared" si="386"/>
        <v>#DIV/0!</v>
      </c>
      <c r="KWP133" s="531" t="e">
        <f t="shared" si="386"/>
        <v>#DIV/0!</v>
      </c>
      <c r="KWQ133" s="531" t="e">
        <f t="shared" si="386"/>
        <v>#DIV/0!</v>
      </c>
      <c r="KWR133" s="531" t="e">
        <f t="shared" si="386"/>
        <v>#DIV/0!</v>
      </c>
      <c r="KWS133" s="531" t="e">
        <f t="shared" si="386"/>
        <v>#DIV/0!</v>
      </c>
      <c r="KWT133" s="531" t="e">
        <f t="shared" si="386"/>
        <v>#DIV/0!</v>
      </c>
      <c r="KWU133" s="531" t="e">
        <f t="shared" si="386"/>
        <v>#DIV/0!</v>
      </c>
      <c r="KWV133" s="531" t="e">
        <f t="shared" si="386"/>
        <v>#DIV/0!</v>
      </c>
      <c r="KWW133" s="531" t="e">
        <f t="shared" si="386"/>
        <v>#DIV/0!</v>
      </c>
      <c r="KWX133" s="531" t="e">
        <f t="shared" si="386"/>
        <v>#DIV/0!</v>
      </c>
      <c r="KWY133" s="531" t="e">
        <f t="shared" si="386"/>
        <v>#DIV/0!</v>
      </c>
      <c r="KWZ133" s="531" t="e">
        <f t="shared" si="386"/>
        <v>#DIV/0!</v>
      </c>
      <c r="KXA133" s="531" t="e">
        <f t="shared" si="386"/>
        <v>#DIV/0!</v>
      </c>
      <c r="KXB133" s="531" t="e">
        <f t="shared" si="386"/>
        <v>#DIV/0!</v>
      </c>
      <c r="KXC133" s="531" t="e">
        <f t="shared" si="386"/>
        <v>#DIV/0!</v>
      </c>
      <c r="KXD133" s="531" t="e">
        <f t="shared" si="386"/>
        <v>#DIV/0!</v>
      </c>
      <c r="KXE133" s="531" t="e">
        <f t="shared" si="386"/>
        <v>#DIV/0!</v>
      </c>
      <c r="KXF133" s="531" t="e">
        <f t="shared" si="386"/>
        <v>#DIV/0!</v>
      </c>
      <c r="KXG133" s="531" t="e">
        <f t="shared" si="386"/>
        <v>#DIV/0!</v>
      </c>
      <c r="KXH133" s="531" t="e">
        <f t="shared" si="386"/>
        <v>#DIV/0!</v>
      </c>
      <c r="KXI133" s="531" t="e">
        <f t="shared" si="386"/>
        <v>#DIV/0!</v>
      </c>
      <c r="KXJ133" s="531" t="e">
        <f t="shared" si="386"/>
        <v>#DIV/0!</v>
      </c>
      <c r="KXK133" s="531" t="e">
        <f t="shared" ref="KXK133:KZV133" si="387">KXK116/(KXK52*10^5)</f>
        <v>#DIV/0!</v>
      </c>
      <c r="KXL133" s="531" t="e">
        <f t="shared" si="387"/>
        <v>#DIV/0!</v>
      </c>
      <c r="KXM133" s="531" t="e">
        <f t="shared" si="387"/>
        <v>#DIV/0!</v>
      </c>
      <c r="KXN133" s="531" t="e">
        <f t="shared" si="387"/>
        <v>#DIV/0!</v>
      </c>
      <c r="KXO133" s="531" t="e">
        <f t="shared" si="387"/>
        <v>#DIV/0!</v>
      </c>
      <c r="KXP133" s="531" t="e">
        <f t="shared" si="387"/>
        <v>#DIV/0!</v>
      </c>
      <c r="KXQ133" s="531" t="e">
        <f t="shared" si="387"/>
        <v>#DIV/0!</v>
      </c>
      <c r="KXR133" s="531" t="e">
        <f t="shared" si="387"/>
        <v>#DIV/0!</v>
      </c>
      <c r="KXS133" s="531" t="e">
        <f t="shared" si="387"/>
        <v>#DIV/0!</v>
      </c>
      <c r="KXT133" s="531" t="e">
        <f t="shared" si="387"/>
        <v>#DIV/0!</v>
      </c>
      <c r="KXU133" s="531" t="e">
        <f t="shared" si="387"/>
        <v>#DIV/0!</v>
      </c>
      <c r="KXV133" s="531" t="e">
        <f t="shared" si="387"/>
        <v>#DIV/0!</v>
      </c>
      <c r="KXW133" s="531" t="e">
        <f t="shared" si="387"/>
        <v>#DIV/0!</v>
      </c>
      <c r="KXX133" s="531" t="e">
        <f t="shared" si="387"/>
        <v>#DIV/0!</v>
      </c>
      <c r="KXY133" s="531" t="e">
        <f t="shared" si="387"/>
        <v>#DIV/0!</v>
      </c>
      <c r="KXZ133" s="531" t="e">
        <f t="shared" si="387"/>
        <v>#DIV/0!</v>
      </c>
      <c r="KYA133" s="531" t="e">
        <f t="shared" si="387"/>
        <v>#DIV/0!</v>
      </c>
      <c r="KYB133" s="531" t="e">
        <f t="shared" si="387"/>
        <v>#DIV/0!</v>
      </c>
      <c r="KYC133" s="531" t="e">
        <f t="shared" si="387"/>
        <v>#DIV/0!</v>
      </c>
      <c r="KYD133" s="531" t="e">
        <f t="shared" si="387"/>
        <v>#DIV/0!</v>
      </c>
      <c r="KYE133" s="531" t="e">
        <f t="shared" si="387"/>
        <v>#DIV/0!</v>
      </c>
      <c r="KYF133" s="531" t="e">
        <f t="shared" si="387"/>
        <v>#DIV/0!</v>
      </c>
      <c r="KYG133" s="531" t="e">
        <f t="shared" si="387"/>
        <v>#DIV/0!</v>
      </c>
      <c r="KYH133" s="531" t="e">
        <f t="shared" si="387"/>
        <v>#DIV/0!</v>
      </c>
      <c r="KYI133" s="531" t="e">
        <f t="shared" si="387"/>
        <v>#DIV/0!</v>
      </c>
      <c r="KYJ133" s="531" t="e">
        <f t="shared" si="387"/>
        <v>#DIV/0!</v>
      </c>
      <c r="KYK133" s="531" t="e">
        <f t="shared" si="387"/>
        <v>#DIV/0!</v>
      </c>
      <c r="KYL133" s="531" t="e">
        <f t="shared" si="387"/>
        <v>#DIV/0!</v>
      </c>
      <c r="KYM133" s="531" t="e">
        <f t="shared" si="387"/>
        <v>#DIV/0!</v>
      </c>
      <c r="KYN133" s="531" t="e">
        <f t="shared" si="387"/>
        <v>#DIV/0!</v>
      </c>
      <c r="KYO133" s="531" t="e">
        <f t="shared" si="387"/>
        <v>#DIV/0!</v>
      </c>
      <c r="KYP133" s="531" t="e">
        <f t="shared" si="387"/>
        <v>#DIV/0!</v>
      </c>
      <c r="KYQ133" s="531" t="e">
        <f t="shared" si="387"/>
        <v>#DIV/0!</v>
      </c>
      <c r="KYR133" s="531" t="e">
        <f t="shared" si="387"/>
        <v>#DIV/0!</v>
      </c>
      <c r="KYS133" s="531" t="e">
        <f t="shared" si="387"/>
        <v>#DIV/0!</v>
      </c>
      <c r="KYT133" s="531" t="e">
        <f t="shared" si="387"/>
        <v>#DIV/0!</v>
      </c>
      <c r="KYU133" s="531" t="e">
        <f t="shared" si="387"/>
        <v>#DIV/0!</v>
      </c>
      <c r="KYV133" s="531" t="e">
        <f t="shared" si="387"/>
        <v>#DIV/0!</v>
      </c>
      <c r="KYW133" s="531" t="e">
        <f t="shared" si="387"/>
        <v>#DIV/0!</v>
      </c>
      <c r="KYX133" s="531" t="e">
        <f t="shared" si="387"/>
        <v>#DIV/0!</v>
      </c>
      <c r="KYY133" s="531" t="e">
        <f t="shared" si="387"/>
        <v>#DIV/0!</v>
      </c>
      <c r="KYZ133" s="531" t="e">
        <f t="shared" si="387"/>
        <v>#DIV/0!</v>
      </c>
      <c r="KZA133" s="531" t="e">
        <f t="shared" si="387"/>
        <v>#DIV/0!</v>
      </c>
      <c r="KZB133" s="531" t="e">
        <f t="shared" si="387"/>
        <v>#DIV/0!</v>
      </c>
      <c r="KZC133" s="531" t="e">
        <f t="shared" si="387"/>
        <v>#DIV/0!</v>
      </c>
      <c r="KZD133" s="531" t="e">
        <f t="shared" si="387"/>
        <v>#DIV/0!</v>
      </c>
      <c r="KZE133" s="531" t="e">
        <f t="shared" si="387"/>
        <v>#DIV/0!</v>
      </c>
      <c r="KZF133" s="531" t="e">
        <f t="shared" si="387"/>
        <v>#DIV/0!</v>
      </c>
      <c r="KZG133" s="531" t="e">
        <f t="shared" si="387"/>
        <v>#DIV/0!</v>
      </c>
      <c r="KZH133" s="531" t="e">
        <f t="shared" si="387"/>
        <v>#DIV/0!</v>
      </c>
      <c r="KZI133" s="531" t="e">
        <f t="shared" si="387"/>
        <v>#DIV/0!</v>
      </c>
      <c r="KZJ133" s="531" t="e">
        <f t="shared" si="387"/>
        <v>#DIV/0!</v>
      </c>
      <c r="KZK133" s="531" t="e">
        <f t="shared" si="387"/>
        <v>#DIV/0!</v>
      </c>
      <c r="KZL133" s="531" t="e">
        <f t="shared" si="387"/>
        <v>#DIV/0!</v>
      </c>
      <c r="KZM133" s="531" t="e">
        <f t="shared" si="387"/>
        <v>#DIV/0!</v>
      </c>
      <c r="KZN133" s="531" t="e">
        <f t="shared" si="387"/>
        <v>#DIV/0!</v>
      </c>
      <c r="KZO133" s="531" t="e">
        <f t="shared" si="387"/>
        <v>#DIV/0!</v>
      </c>
      <c r="KZP133" s="531" t="e">
        <f t="shared" si="387"/>
        <v>#DIV/0!</v>
      </c>
      <c r="KZQ133" s="531" t="e">
        <f t="shared" si="387"/>
        <v>#DIV/0!</v>
      </c>
      <c r="KZR133" s="531" t="e">
        <f t="shared" si="387"/>
        <v>#DIV/0!</v>
      </c>
      <c r="KZS133" s="531" t="e">
        <f t="shared" si="387"/>
        <v>#DIV/0!</v>
      </c>
      <c r="KZT133" s="531" t="e">
        <f t="shared" si="387"/>
        <v>#DIV/0!</v>
      </c>
      <c r="KZU133" s="531" t="e">
        <f t="shared" si="387"/>
        <v>#DIV/0!</v>
      </c>
      <c r="KZV133" s="531" t="e">
        <f t="shared" si="387"/>
        <v>#DIV/0!</v>
      </c>
      <c r="KZW133" s="531" t="e">
        <f t="shared" ref="KZW133:LCH133" si="388">KZW116/(KZW52*10^5)</f>
        <v>#DIV/0!</v>
      </c>
      <c r="KZX133" s="531" t="e">
        <f t="shared" si="388"/>
        <v>#DIV/0!</v>
      </c>
      <c r="KZY133" s="531" t="e">
        <f t="shared" si="388"/>
        <v>#DIV/0!</v>
      </c>
      <c r="KZZ133" s="531" t="e">
        <f t="shared" si="388"/>
        <v>#DIV/0!</v>
      </c>
      <c r="LAA133" s="531" t="e">
        <f t="shared" si="388"/>
        <v>#DIV/0!</v>
      </c>
      <c r="LAB133" s="531" t="e">
        <f t="shared" si="388"/>
        <v>#DIV/0!</v>
      </c>
      <c r="LAC133" s="531" t="e">
        <f t="shared" si="388"/>
        <v>#DIV/0!</v>
      </c>
      <c r="LAD133" s="531" t="e">
        <f t="shared" si="388"/>
        <v>#DIV/0!</v>
      </c>
      <c r="LAE133" s="531" t="e">
        <f t="shared" si="388"/>
        <v>#DIV/0!</v>
      </c>
      <c r="LAF133" s="531" t="e">
        <f t="shared" si="388"/>
        <v>#DIV/0!</v>
      </c>
      <c r="LAG133" s="531" t="e">
        <f t="shared" si="388"/>
        <v>#DIV/0!</v>
      </c>
      <c r="LAH133" s="531" t="e">
        <f t="shared" si="388"/>
        <v>#DIV/0!</v>
      </c>
      <c r="LAI133" s="531" t="e">
        <f t="shared" si="388"/>
        <v>#DIV/0!</v>
      </c>
      <c r="LAJ133" s="531" t="e">
        <f t="shared" si="388"/>
        <v>#DIV/0!</v>
      </c>
      <c r="LAK133" s="531" t="e">
        <f t="shared" si="388"/>
        <v>#DIV/0!</v>
      </c>
      <c r="LAL133" s="531" t="e">
        <f t="shared" si="388"/>
        <v>#DIV/0!</v>
      </c>
      <c r="LAM133" s="531" t="e">
        <f t="shared" si="388"/>
        <v>#DIV/0!</v>
      </c>
      <c r="LAN133" s="531" t="e">
        <f t="shared" si="388"/>
        <v>#DIV/0!</v>
      </c>
      <c r="LAO133" s="531" t="e">
        <f t="shared" si="388"/>
        <v>#DIV/0!</v>
      </c>
      <c r="LAP133" s="531" t="e">
        <f t="shared" si="388"/>
        <v>#DIV/0!</v>
      </c>
      <c r="LAQ133" s="531" t="e">
        <f t="shared" si="388"/>
        <v>#DIV/0!</v>
      </c>
      <c r="LAR133" s="531" t="e">
        <f t="shared" si="388"/>
        <v>#DIV/0!</v>
      </c>
      <c r="LAS133" s="531" t="e">
        <f t="shared" si="388"/>
        <v>#DIV/0!</v>
      </c>
      <c r="LAT133" s="531" t="e">
        <f t="shared" si="388"/>
        <v>#DIV/0!</v>
      </c>
      <c r="LAU133" s="531" t="e">
        <f t="shared" si="388"/>
        <v>#DIV/0!</v>
      </c>
      <c r="LAV133" s="531" t="e">
        <f t="shared" si="388"/>
        <v>#DIV/0!</v>
      </c>
      <c r="LAW133" s="531" t="e">
        <f t="shared" si="388"/>
        <v>#DIV/0!</v>
      </c>
      <c r="LAX133" s="531" t="e">
        <f t="shared" si="388"/>
        <v>#DIV/0!</v>
      </c>
      <c r="LAY133" s="531" t="e">
        <f t="shared" si="388"/>
        <v>#DIV/0!</v>
      </c>
      <c r="LAZ133" s="531" t="e">
        <f t="shared" si="388"/>
        <v>#DIV/0!</v>
      </c>
      <c r="LBA133" s="531" t="e">
        <f t="shared" si="388"/>
        <v>#DIV/0!</v>
      </c>
      <c r="LBB133" s="531" t="e">
        <f t="shared" si="388"/>
        <v>#DIV/0!</v>
      </c>
      <c r="LBC133" s="531" t="e">
        <f t="shared" si="388"/>
        <v>#DIV/0!</v>
      </c>
      <c r="LBD133" s="531" t="e">
        <f t="shared" si="388"/>
        <v>#DIV/0!</v>
      </c>
      <c r="LBE133" s="531" t="e">
        <f t="shared" si="388"/>
        <v>#DIV/0!</v>
      </c>
      <c r="LBF133" s="531" t="e">
        <f t="shared" si="388"/>
        <v>#DIV/0!</v>
      </c>
      <c r="LBG133" s="531" t="e">
        <f t="shared" si="388"/>
        <v>#DIV/0!</v>
      </c>
      <c r="LBH133" s="531" t="e">
        <f t="shared" si="388"/>
        <v>#DIV/0!</v>
      </c>
      <c r="LBI133" s="531" t="e">
        <f t="shared" si="388"/>
        <v>#DIV/0!</v>
      </c>
      <c r="LBJ133" s="531" t="e">
        <f t="shared" si="388"/>
        <v>#DIV/0!</v>
      </c>
      <c r="LBK133" s="531" t="e">
        <f t="shared" si="388"/>
        <v>#DIV/0!</v>
      </c>
      <c r="LBL133" s="531" t="e">
        <f t="shared" si="388"/>
        <v>#DIV/0!</v>
      </c>
      <c r="LBM133" s="531" t="e">
        <f t="shared" si="388"/>
        <v>#DIV/0!</v>
      </c>
      <c r="LBN133" s="531" t="e">
        <f t="shared" si="388"/>
        <v>#DIV/0!</v>
      </c>
      <c r="LBO133" s="531" t="e">
        <f t="shared" si="388"/>
        <v>#DIV/0!</v>
      </c>
      <c r="LBP133" s="531" t="e">
        <f t="shared" si="388"/>
        <v>#DIV/0!</v>
      </c>
      <c r="LBQ133" s="531" t="e">
        <f t="shared" si="388"/>
        <v>#DIV/0!</v>
      </c>
      <c r="LBR133" s="531" t="e">
        <f t="shared" si="388"/>
        <v>#DIV/0!</v>
      </c>
      <c r="LBS133" s="531" t="e">
        <f t="shared" si="388"/>
        <v>#DIV/0!</v>
      </c>
      <c r="LBT133" s="531" t="e">
        <f t="shared" si="388"/>
        <v>#DIV/0!</v>
      </c>
      <c r="LBU133" s="531" t="e">
        <f t="shared" si="388"/>
        <v>#DIV/0!</v>
      </c>
      <c r="LBV133" s="531" t="e">
        <f t="shared" si="388"/>
        <v>#DIV/0!</v>
      </c>
      <c r="LBW133" s="531" t="e">
        <f t="shared" si="388"/>
        <v>#DIV/0!</v>
      </c>
      <c r="LBX133" s="531" t="e">
        <f t="shared" si="388"/>
        <v>#DIV/0!</v>
      </c>
      <c r="LBY133" s="531" t="e">
        <f t="shared" si="388"/>
        <v>#DIV/0!</v>
      </c>
      <c r="LBZ133" s="531" t="e">
        <f t="shared" si="388"/>
        <v>#DIV/0!</v>
      </c>
      <c r="LCA133" s="531" t="e">
        <f t="shared" si="388"/>
        <v>#DIV/0!</v>
      </c>
      <c r="LCB133" s="531" t="e">
        <f t="shared" si="388"/>
        <v>#DIV/0!</v>
      </c>
      <c r="LCC133" s="531" t="e">
        <f t="shared" si="388"/>
        <v>#DIV/0!</v>
      </c>
      <c r="LCD133" s="531" t="e">
        <f t="shared" si="388"/>
        <v>#DIV/0!</v>
      </c>
      <c r="LCE133" s="531" t="e">
        <f t="shared" si="388"/>
        <v>#DIV/0!</v>
      </c>
      <c r="LCF133" s="531" t="e">
        <f t="shared" si="388"/>
        <v>#DIV/0!</v>
      </c>
      <c r="LCG133" s="531" t="e">
        <f t="shared" si="388"/>
        <v>#DIV/0!</v>
      </c>
      <c r="LCH133" s="531" t="e">
        <f t="shared" si="388"/>
        <v>#DIV/0!</v>
      </c>
      <c r="LCI133" s="531" t="e">
        <f t="shared" ref="LCI133:LET133" si="389">LCI116/(LCI52*10^5)</f>
        <v>#DIV/0!</v>
      </c>
      <c r="LCJ133" s="531" t="e">
        <f t="shared" si="389"/>
        <v>#DIV/0!</v>
      </c>
      <c r="LCK133" s="531" t="e">
        <f t="shared" si="389"/>
        <v>#DIV/0!</v>
      </c>
      <c r="LCL133" s="531" t="e">
        <f t="shared" si="389"/>
        <v>#DIV/0!</v>
      </c>
      <c r="LCM133" s="531" t="e">
        <f t="shared" si="389"/>
        <v>#DIV/0!</v>
      </c>
      <c r="LCN133" s="531" t="e">
        <f t="shared" si="389"/>
        <v>#DIV/0!</v>
      </c>
      <c r="LCO133" s="531" t="e">
        <f t="shared" si="389"/>
        <v>#DIV/0!</v>
      </c>
      <c r="LCP133" s="531" t="e">
        <f t="shared" si="389"/>
        <v>#DIV/0!</v>
      </c>
      <c r="LCQ133" s="531" t="e">
        <f t="shared" si="389"/>
        <v>#DIV/0!</v>
      </c>
      <c r="LCR133" s="531" t="e">
        <f t="shared" si="389"/>
        <v>#DIV/0!</v>
      </c>
      <c r="LCS133" s="531" t="e">
        <f t="shared" si="389"/>
        <v>#DIV/0!</v>
      </c>
      <c r="LCT133" s="531" t="e">
        <f t="shared" si="389"/>
        <v>#DIV/0!</v>
      </c>
      <c r="LCU133" s="531" t="e">
        <f t="shared" si="389"/>
        <v>#DIV/0!</v>
      </c>
      <c r="LCV133" s="531" t="e">
        <f t="shared" si="389"/>
        <v>#DIV/0!</v>
      </c>
      <c r="LCW133" s="531" t="e">
        <f t="shared" si="389"/>
        <v>#DIV/0!</v>
      </c>
      <c r="LCX133" s="531" t="e">
        <f t="shared" si="389"/>
        <v>#DIV/0!</v>
      </c>
      <c r="LCY133" s="531" t="e">
        <f t="shared" si="389"/>
        <v>#DIV/0!</v>
      </c>
      <c r="LCZ133" s="531" t="e">
        <f t="shared" si="389"/>
        <v>#DIV/0!</v>
      </c>
      <c r="LDA133" s="531" t="e">
        <f t="shared" si="389"/>
        <v>#DIV/0!</v>
      </c>
      <c r="LDB133" s="531" t="e">
        <f t="shared" si="389"/>
        <v>#DIV/0!</v>
      </c>
      <c r="LDC133" s="531" t="e">
        <f t="shared" si="389"/>
        <v>#DIV/0!</v>
      </c>
      <c r="LDD133" s="531" t="e">
        <f t="shared" si="389"/>
        <v>#DIV/0!</v>
      </c>
      <c r="LDE133" s="531" t="e">
        <f t="shared" si="389"/>
        <v>#DIV/0!</v>
      </c>
      <c r="LDF133" s="531" t="e">
        <f t="shared" si="389"/>
        <v>#DIV/0!</v>
      </c>
      <c r="LDG133" s="531" t="e">
        <f t="shared" si="389"/>
        <v>#DIV/0!</v>
      </c>
      <c r="LDH133" s="531" t="e">
        <f t="shared" si="389"/>
        <v>#DIV/0!</v>
      </c>
      <c r="LDI133" s="531" t="e">
        <f t="shared" si="389"/>
        <v>#DIV/0!</v>
      </c>
      <c r="LDJ133" s="531" t="e">
        <f t="shared" si="389"/>
        <v>#DIV/0!</v>
      </c>
      <c r="LDK133" s="531" t="e">
        <f t="shared" si="389"/>
        <v>#DIV/0!</v>
      </c>
      <c r="LDL133" s="531" t="e">
        <f t="shared" si="389"/>
        <v>#DIV/0!</v>
      </c>
      <c r="LDM133" s="531" t="e">
        <f t="shared" si="389"/>
        <v>#DIV/0!</v>
      </c>
      <c r="LDN133" s="531" t="e">
        <f t="shared" si="389"/>
        <v>#DIV/0!</v>
      </c>
      <c r="LDO133" s="531" t="e">
        <f t="shared" si="389"/>
        <v>#DIV/0!</v>
      </c>
      <c r="LDP133" s="531" t="e">
        <f t="shared" si="389"/>
        <v>#DIV/0!</v>
      </c>
      <c r="LDQ133" s="531" t="e">
        <f t="shared" si="389"/>
        <v>#DIV/0!</v>
      </c>
      <c r="LDR133" s="531" t="e">
        <f t="shared" si="389"/>
        <v>#DIV/0!</v>
      </c>
      <c r="LDS133" s="531" t="e">
        <f t="shared" si="389"/>
        <v>#DIV/0!</v>
      </c>
      <c r="LDT133" s="531" t="e">
        <f t="shared" si="389"/>
        <v>#DIV/0!</v>
      </c>
      <c r="LDU133" s="531" t="e">
        <f t="shared" si="389"/>
        <v>#DIV/0!</v>
      </c>
      <c r="LDV133" s="531" t="e">
        <f t="shared" si="389"/>
        <v>#DIV/0!</v>
      </c>
      <c r="LDW133" s="531" t="e">
        <f t="shared" si="389"/>
        <v>#DIV/0!</v>
      </c>
      <c r="LDX133" s="531" t="e">
        <f t="shared" si="389"/>
        <v>#DIV/0!</v>
      </c>
      <c r="LDY133" s="531" t="e">
        <f t="shared" si="389"/>
        <v>#DIV/0!</v>
      </c>
      <c r="LDZ133" s="531" t="e">
        <f t="shared" si="389"/>
        <v>#DIV/0!</v>
      </c>
      <c r="LEA133" s="531" t="e">
        <f t="shared" si="389"/>
        <v>#DIV/0!</v>
      </c>
      <c r="LEB133" s="531" t="e">
        <f t="shared" si="389"/>
        <v>#DIV/0!</v>
      </c>
      <c r="LEC133" s="531" t="e">
        <f t="shared" si="389"/>
        <v>#DIV/0!</v>
      </c>
      <c r="LED133" s="531" t="e">
        <f t="shared" si="389"/>
        <v>#DIV/0!</v>
      </c>
      <c r="LEE133" s="531" t="e">
        <f t="shared" si="389"/>
        <v>#DIV/0!</v>
      </c>
      <c r="LEF133" s="531" t="e">
        <f t="shared" si="389"/>
        <v>#DIV/0!</v>
      </c>
      <c r="LEG133" s="531" t="e">
        <f t="shared" si="389"/>
        <v>#DIV/0!</v>
      </c>
      <c r="LEH133" s="531" t="e">
        <f t="shared" si="389"/>
        <v>#DIV/0!</v>
      </c>
      <c r="LEI133" s="531" t="e">
        <f t="shared" si="389"/>
        <v>#DIV/0!</v>
      </c>
      <c r="LEJ133" s="531" t="e">
        <f t="shared" si="389"/>
        <v>#DIV/0!</v>
      </c>
      <c r="LEK133" s="531" t="e">
        <f t="shared" si="389"/>
        <v>#DIV/0!</v>
      </c>
      <c r="LEL133" s="531" t="e">
        <f t="shared" si="389"/>
        <v>#DIV/0!</v>
      </c>
      <c r="LEM133" s="531" t="e">
        <f t="shared" si="389"/>
        <v>#DIV/0!</v>
      </c>
      <c r="LEN133" s="531" t="e">
        <f t="shared" si="389"/>
        <v>#DIV/0!</v>
      </c>
      <c r="LEO133" s="531" t="e">
        <f t="shared" si="389"/>
        <v>#DIV/0!</v>
      </c>
      <c r="LEP133" s="531" t="e">
        <f t="shared" si="389"/>
        <v>#DIV/0!</v>
      </c>
      <c r="LEQ133" s="531" t="e">
        <f t="shared" si="389"/>
        <v>#DIV/0!</v>
      </c>
      <c r="LER133" s="531" t="e">
        <f t="shared" si="389"/>
        <v>#DIV/0!</v>
      </c>
      <c r="LES133" s="531" t="e">
        <f t="shared" si="389"/>
        <v>#DIV/0!</v>
      </c>
      <c r="LET133" s="531" t="e">
        <f t="shared" si="389"/>
        <v>#DIV/0!</v>
      </c>
      <c r="LEU133" s="531" t="e">
        <f t="shared" ref="LEU133:LHF133" si="390">LEU116/(LEU52*10^5)</f>
        <v>#DIV/0!</v>
      </c>
      <c r="LEV133" s="531" t="e">
        <f t="shared" si="390"/>
        <v>#DIV/0!</v>
      </c>
      <c r="LEW133" s="531" t="e">
        <f t="shared" si="390"/>
        <v>#DIV/0!</v>
      </c>
      <c r="LEX133" s="531" t="e">
        <f t="shared" si="390"/>
        <v>#DIV/0!</v>
      </c>
      <c r="LEY133" s="531" t="e">
        <f t="shared" si="390"/>
        <v>#DIV/0!</v>
      </c>
      <c r="LEZ133" s="531" t="e">
        <f t="shared" si="390"/>
        <v>#DIV/0!</v>
      </c>
      <c r="LFA133" s="531" t="e">
        <f t="shared" si="390"/>
        <v>#DIV/0!</v>
      </c>
      <c r="LFB133" s="531" t="e">
        <f t="shared" si="390"/>
        <v>#DIV/0!</v>
      </c>
      <c r="LFC133" s="531" t="e">
        <f t="shared" si="390"/>
        <v>#DIV/0!</v>
      </c>
      <c r="LFD133" s="531" t="e">
        <f t="shared" si="390"/>
        <v>#DIV/0!</v>
      </c>
      <c r="LFE133" s="531" t="e">
        <f t="shared" si="390"/>
        <v>#DIV/0!</v>
      </c>
      <c r="LFF133" s="531" t="e">
        <f t="shared" si="390"/>
        <v>#DIV/0!</v>
      </c>
      <c r="LFG133" s="531" t="e">
        <f t="shared" si="390"/>
        <v>#DIV/0!</v>
      </c>
      <c r="LFH133" s="531" t="e">
        <f t="shared" si="390"/>
        <v>#DIV/0!</v>
      </c>
      <c r="LFI133" s="531" t="e">
        <f t="shared" si="390"/>
        <v>#DIV/0!</v>
      </c>
      <c r="LFJ133" s="531" t="e">
        <f t="shared" si="390"/>
        <v>#DIV/0!</v>
      </c>
      <c r="LFK133" s="531" t="e">
        <f t="shared" si="390"/>
        <v>#DIV/0!</v>
      </c>
      <c r="LFL133" s="531" t="e">
        <f t="shared" si="390"/>
        <v>#DIV/0!</v>
      </c>
      <c r="LFM133" s="531" t="e">
        <f t="shared" si="390"/>
        <v>#DIV/0!</v>
      </c>
      <c r="LFN133" s="531" t="e">
        <f t="shared" si="390"/>
        <v>#DIV/0!</v>
      </c>
      <c r="LFO133" s="531" t="e">
        <f t="shared" si="390"/>
        <v>#DIV/0!</v>
      </c>
      <c r="LFP133" s="531" t="e">
        <f t="shared" si="390"/>
        <v>#DIV/0!</v>
      </c>
      <c r="LFQ133" s="531" t="e">
        <f t="shared" si="390"/>
        <v>#DIV/0!</v>
      </c>
      <c r="LFR133" s="531" t="e">
        <f t="shared" si="390"/>
        <v>#DIV/0!</v>
      </c>
      <c r="LFS133" s="531" t="e">
        <f t="shared" si="390"/>
        <v>#DIV/0!</v>
      </c>
      <c r="LFT133" s="531" t="e">
        <f t="shared" si="390"/>
        <v>#DIV/0!</v>
      </c>
      <c r="LFU133" s="531" t="e">
        <f t="shared" si="390"/>
        <v>#DIV/0!</v>
      </c>
      <c r="LFV133" s="531" t="e">
        <f t="shared" si="390"/>
        <v>#DIV/0!</v>
      </c>
      <c r="LFW133" s="531" t="e">
        <f t="shared" si="390"/>
        <v>#DIV/0!</v>
      </c>
      <c r="LFX133" s="531" t="e">
        <f t="shared" si="390"/>
        <v>#DIV/0!</v>
      </c>
      <c r="LFY133" s="531" t="e">
        <f t="shared" si="390"/>
        <v>#DIV/0!</v>
      </c>
      <c r="LFZ133" s="531" t="e">
        <f t="shared" si="390"/>
        <v>#DIV/0!</v>
      </c>
      <c r="LGA133" s="531" t="e">
        <f t="shared" si="390"/>
        <v>#DIV/0!</v>
      </c>
      <c r="LGB133" s="531" t="e">
        <f t="shared" si="390"/>
        <v>#DIV/0!</v>
      </c>
      <c r="LGC133" s="531" t="e">
        <f t="shared" si="390"/>
        <v>#DIV/0!</v>
      </c>
      <c r="LGD133" s="531" t="e">
        <f t="shared" si="390"/>
        <v>#DIV/0!</v>
      </c>
      <c r="LGE133" s="531" t="e">
        <f t="shared" si="390"/>
        <v>#DIV/0!</v>
      </c>
      <c r="LGF133" s="531" t="e">
        <f t="shared" si="390"/>
        <v>#DIV/0!</v>
      </c>
      <c r="LGG133" s="531" t="e">
        <f t="shared" si="390"/>
        <v>#DIV/0!</v>
      </c>
      <c r="LGH133" s="531" t="e">
        <f t="shared" si="390"/>
        <v>#DIV/0!</v>
      </c>
      <c r="LGI133" s="531" t="e">
        <f t="shared" si="390"/>
        <v>#DIV/0!</v>
      </c>
      <c r="LGJ133" s="531" t="e">
        <f t="shared" si="390"/>
        <v>#DIV/0!</v>
      </c>
      <c r="LGK133" s="531" t="e">
        <f t="shared" si="390"/>
        <v>#DIV/0!</v>
      </c>
      <c r="LGL133" s="531" t="e">
        <f t="shared" si="390"/>
        <v>#DIV/0!</v>
      </c>
      <c r="LGM133" s="531" t="e">
        <f t="shared" si="390"/>
        <v>#DIV/0!</v>
      </c>
      <c r="LGN133" s="531" t="e">
        <f t="shared" si="390"/>
        <v>#DIV/0!</v>
      </c>
      <c r="LGO133" s="531" t="e">
        <f t="shared" si="390"/>
        <v>#DIV/0!</v>
      </c>
      <c r="LGP133" s="531" t="e">
        <f t="shared" si="390"/>
        <v>#DIV/0!</v>
      </c>
      <c r="LGQ133" s="531" t="e">
        <f t="shared" si="390"/>
        <v>#DIV/0!</v>
      </c>
      <c r="LGR133" s="531" t="e">
        <f t="shared" si="390"/>
        <v>#DIV/0!</v>
      </c>
      <c r="LGS133" s="531" t="e">
        <f t="shared" si="390"/>
        <v>#DIV/0!</v>
      </c>
      <c r="LGT133" s="531" t="e">
        <f t="shared" si="390"/>
        <v>#DIV/0!</v>
      </c>
      <c r="LGU133" s="531" t="e">
        <f t="shared" si="390"/>
        <v>#DIV/0!</v>
      </c>
      <c r="LGV133" s="531" t="e">
        <f t="shared" si="390"/>
        <v>#DIV/0!</v>
      </c>
      <c r="LGW133" s="531" t="e">
        <f t="shared" si="390"/>
        <v>#DIV/0!</v>
      </c>
      <c r="LGX133" s="531" t="e">
        <f t="shared" si="390"/>
        <v>#DIV/0!</v>
      </c>
      <c r="LGY133" s="531" t="e">
        <f t="shared" si="390"/>
        <v>#DIV/0!</v>
      </c>
      <c r="LGZ133" s="531" t="e">
        <f t="shared" si="390"/>
        <v>#DIV/0!</v>
      </c>
      <c r="LHA133" s="531" t="e">
        <f t="shared" si="390"/>
        <v>#DIV/0!</v>
      </c>
      <c r="LHB133" s="531" t="e">
        <f t="shared" si="390"/>
        <v>#DIV/0!</v>
      </c>
      <c r="LHC133" s="531" t="e">
        <f t="shared" si="390"/>
        <v>#DIV/0!</v>
      </c>
      <c r="LHD133" s="531" t="e">
        <f t="shared" si="390"/>
        <v>#DIV/0!</v>
      </c>
      <c r="LHE133" s="531" t="e">
        <f t="shared" si="390"/>
        <v>#DIV/0!</v>
      </c>
      <c r="LHF133" s="531" t="e">
        <f t="shared" si="390"/>
        <v>#DIV/0!</v>
      </c>
      <c r="LHG133" s="531" t="e">
        <f t="shared" ref="LHG133:LJR133" si="391">LHG116/(LHG52*10^5)</f>
        <v>#DIV/0!</v>
      </c>
      <c r="LHH133" s="531" t="e">
        <f t="shared" si="391"/>
        <v>#DIV/0!</v>
      </c>
      <c r="LHI133" s="531" t="e">
        <f t="shared" si="391"/>
        <v>#DIV/0!</v>
      </c>
      <c r="LHJ133" s="531" t="e">
        <f t="shared" si="391"/>
        <v>#DIV/0!</v>
      </c>
      <c r="LHK133" s="531" t="e">
        <f t="shared" si="391"/>
        <v>#DIV/0!</v>
      </c>
      <c r="LHL133" s="531" t="e">
        <f t="shared" si="391"/>
        <v>#DIV/0!</v>
      </c>
      <c r="LHM133" s="531" t="e">
        <f t="shared" si="391"/>
        <v>#DIV/0!</v>
      </c>
      <c r="LHN133" s="531" t="e">
        <f t="shared" si="391"/>
        <v>#DIV/0!</v>
      </c>
      <c r="LHO133" s="531" t="e">
        <f t="shared" si="391"/>
        <v>#DIV/0!</v>
      </c>
      <c r="LHP133" s="531" t="e">
        <f t="shared" si="391"/>
        <v>#DIV/0!</v>
      </c>
      <c r="LHQ133" s="531" t="e">
        <f t="shared" si="391"/>
        <v>#DIV/0!</v>
      </c>
      <c r="LHR133" s="531" t="e">
        <f t="shared" si="391"/>
        <v>#DIV/0!</v>
      </c>
      <c r="LHS133" s="531" t="e">
        <f t="shared" si="391"/>
        <v>#DIV/0!</v>
      </c>
      <c r="LHT133" s="531" t="e">
        <f t="shared" si="391"/>
        <v>#DIV/0!</v>
      </c>
      <c r="LHU133" s="531" t="e">
        <f t="shared" si="391"/>
        <v>#DIV/0!</v>
      </c>
      <c r="LHV133" s="531" t="e">
        <f t="shared" si="391"/>
        <v>#DIV/0!</v>
      </c>
      <c r="LHW133" s="531" t="e">
        <f t="shared" si="391"/>
        <v>#DIV/0!</v>
      </c>
      <c r="LHX133" s="531" t="e">
        <f t="shared" si="391"/>
        <v>#DIV/0!</v>
      </c>
      <c r="LHY133" s="531" t="e">
        <f t="shared" si="391"/>
        <v>#DIV/0!</v>
      </c>
      <c r="LHZ133" s="531" t="e">
        <f t="shared" si="391"/>
        <v>#DIV/0!</v>
      </c>
      <c r="LIA133" s="531" t="e">
        <f t="shared" si="391"/>
        <v>#DIV/0!</v>
      </c>
      <c r="LIB133" s="531" t="e">
        <f t="shared" si="391"/>
        <v>#DIV/0!</v>
      </c>
      <c r="LIC133" s="531" t="e">
        <f t="shared" si="391"/>
        <v>#DIV/0!</v>
      </c>
      <c r="LID133" s="531" t="e">
        <f t="shared" si="391"/>
        <v>#DIV/0!</v>
      </c>
      <c r="LIE133" s="531" t="e">
        <f t="shared" si="391"/>
        <v>#DIV/0!</v>
      </c>
      <c r="LIF133" s="531" t="e">
        <f t="shared" si="391"/>
        <v>#DIV/0!</v>
      </c>
      <c r="LIG133" s="531" t="e">
        <f t="shared" si="391"/>
        <v>#DIV/0!</v>
      </c>
      <c r="LIH133" s="531" t="e">
        <f t="shared" si="391"/>
        <v>#DIV/0!</v>
      </c>
      <c r="LII133" s="531" t="e">
        <f t="shared" si="391"/>
        <v>#DIV/0!</v>
      </c>
      <c r="LIJ133" s="531" t="e">
        <f t="shared" si="391"/>
        <v>#DIV/0!</v>
      </c>
      <c r="LIK133" s="531" t="e">
        <f t="shared" si="391"/>
        <v>#DIV/0!</v>
      </c>
      <c r="LIL133" s="531" t="e">
        <f t="shared" si="391"/>
        <v>#DIV/0!</v>
      </c>
      <c r="LIM133" s="531" t="e">
        <f t="shared" si="391"/>
        <v>#DIV/0!</v>
      </c>
      <c r="LIN133" s="531" t="e">
        <f t="shared" si="391"/>
        <v>#DIV/0!</v>
      </c>
      <c r="LIO133" s="531" t="e">
        <f t="shared" si="391"/>
        <v>#DIV/0!</v>
      </c>
      <c r="LIP133" s="531" t="e">
        <f t="shared" si="391"/>
        <v>#DIV/0!</v>
      </c>
      <c r="LIQ133" s="531" t="e">
        <f t="shared" si="391"/>
        <v>#DIV/0!</v>
      </c>
      <c r="LIR133" s="531" t="e">
        <f t="shared" si="391"/>
        <v>#DIV/0!</v>
      </c>
      <c r="LIS133" s="531" t="e">
        <f t="shared" si="391"/>
        <v>#DIV/0!</v>
      </c>
      <c r="LIT133" s="531" t="e">
        <f t="shared" si="391"/>
        <v>#DIV/0!</v>
      </c>
      <c r="LIU133" s="531" t="e">
        <f t="shared" si="391"/>
        <v>#DIV/0!</v>
      </c>
      <c r="LIV133" s="531" t="e">
        <f t="shared" si="391"/>
        <v>#DIV/0!</v>
      </c>
      <c r="LIW133" s="531" t="e">
        <f t="shared" si="391"/>
        <v>#DIV/0!</v>
      </c>
      <c r="LIX133" s="531" t="e">
        <f t="shared" si="391"/>
        <v>#DIV/0!</v>
      </c>
      <c r="LIY133" s="531" t="e">
        <f t="shared" si="391"/>
        <v>#DIV/0!</v>
      </c>
      <c r="LIZ133" s="531" t="e">
        <f t="shared" si="391"/>
        <v>#DIV/0!</v>
      </c>
      <c r="LJA133" s="531" t="e">
        <f t="shared" si="391"/>
        <v>#DIV/0!</v>
      </c>
      <c r="LJB133" s="531" t="e">
        <f t="shared" si="391"/>
        <v>#DIV/0!</v>
      </c>
      <c r="LJC133" s="531" t="e">
        <f t="shared" si="391"/>
        <v>#DIV/0!</v>
      </c>
      <c r="LJD133" s="531" t="e">
        <f t="shared" si="391"/>
        <v>#DIV/0!</v>
      </c>
      <c r="LJE133" s="531" t="e">
        <f t="shared" si="391"/>
        <v>#DIV/0!</v>
      </c>
      <c r="LJF133" s="531" t="e">
        <f t="shared" si="391"/>
        <v>#DIV/0!</v>
      </c>
      <c r="LJG133" s="531" t="e">
        <f t="shared" si="391"/>
        <v>#DIV/0!</v>
      </c>
      <c r="LJH133" s="531" t="e">
        <f t="shared" si="391"/>
        <v>#DIV/0!</v>
      </c>
      <c r="LJI133" s="531" t="e">
        <f t="shared" si="391"/>
        <v>#DIV/0!</v>
      </c>
      <c r="LJJ133" s="531" t="e">
        <f t="shared" si="391"/>
        <v>#DIV/0!</v>
      </c>
      <c r="LJK133" s="531" t="e">
        <f t="shared" si="391"/>
        <v>#DIV/0!</v>
      </c>
      <c r="LJL133" s="531" t="e">
        <f t="shared" si="391"/>
        <v>#DIV/0!</v>
      </c>
      <c r="LJM133" s="531" t="e">
        <f t="shared" si="391"/>
        <v>#DIV/0!</v>
      </c>
      <c r="LJN133" s="531" t="e">
        <f t="shared" si="391"/>
        <v>#DIV/0!</v>
      </c>
      <c r="LJO133" s="531" t="e">
        <f t="shared" si="391"/>
        <v>#DIV/0!</v>
      </c>
      <c r="LJP133" s="531" t="e">
        <f t="shared" si="391"/>
        <v>#DIV/0!</v>
      </c>
      <c r="LJQ133" s="531" t="e">
        <f t="shared" si="391"/>
        <v>#DIV/0!</v>
      </c>
      <c r="LJR133" s="531" t="e">
        <f t="shared" si="391"/>
        <v>#DIV/0!</v>
      </c>
      <c r="LJS133" s="531" t="e">
        <f t="shared" ref="LJS133:LMD133" si="392">LJS116/(LJS52*10^5)</f>
        <v>#DIV/0!</v>
      </c>
      <c r="LJT133" s="531" t="e">
        <f t="shared" si="392"/>
        <v>#DIV/0!</v>
      </c>
      <c r="LJU133" s="531" t="e">
        <f t="shared" si="392"/>
        <v>#DIV/0!</v>
      </c>
      <c r="LJV133" s="531" t="e">
        <f t="shared" si="392"/>
        <v>#DIV/0!</v>
      </c>
      <c r="LJW133" s="531" t="e">
        <f t="shared" si="392"/>
        <v>#DIV/0!</v>
      </c>
      <c r="LJX133" s="531" t="e">
        <f t="shared" si="392"/>
        <v>#DIV/0!</v>
      </c>
      <c r="LJY133" s="531" t="e">
        <f t="shared" si="392"/>
        <v>#DIV/0!</v>
      </c>
      <c r="LJZ133" s="531" t="e">
        <f t="shared" si="392"/>
        <v>#DIV/0!</v>
      </c>
      <c r="LKA133" s="531" t="e">
        <f t="shared" si="392"/>
        <v>#DIV/0!</v>
      </c>
      <c r="LKB133" s="531" t="e">
        <f t="shared" si="392"/>
        <v>#DIV/0!</v>
      </c>
      <c r="LKC133" s="531" t="e">
        <f t="shared" si="392"/>
        <v>#DIV/0!</v>
      </c>
      <c r="LKD133" s="531" t="e">
        <f t="shared" si="392"/>
        <v>#DIV/0!</v>
      </c>
      <c r="LKE133" s="531" t="e">
        <f t="shared" si="392"/>
        <v>#DIV/0!</v>
      </c>
      <c r="LKF133" s="531" t="e">
        <f t="shared" si="392"/>
        <v>#DIV/0!</v>
      </c>
      <c r="LKG133" s="531" t="e">
        <f t="shared" si="392"/>
        <v>#DIV/0!</v>
      </c>
      <c r="LKH133" s="531" t="e">
        <f t="shared" si="392"/>
        <v>#DIV/0!</v>
      </c>
      <c r="LKI133" s="531" t="e">
        <f t="shared" si="392"/>
        <v>#DIV/0!</v>
      </c>
      <c r="LKJ133" s="531" t="e">
        <f t="shared" si="392"/>
        <v>#DIV/0!</v>
      </c>
      <c r="LKK133" s="531" t="e">
        <f t="shared" si="392"/>
        <v>#DIV/0!</v>
      </c>
      <c r="LKL133" s="531" t="e">
        <f t="shared" si="392"/>
        <v>#DIV/0!</v>
      </c>
      <c r="LKM133" s="531" t="e">
        <f t="shared" si="392"/>
        <v>#DIV/0!</v>
      </c>
      <c r="LKN133" s="531" t="e">
        <f t="shared" si="392"/>
        <v>#DIV/0!</v>
      </c>
      <c r="LKO133" s="531" t="e">
        <f t="shared" si="392"/>
        <v>#DIV/0!</v>
      </c>
      <c r="LKP133" s="531" t="e">
        <f t="shared" si="392"/>
        <v>#DIV/0!</v>
      </c>
      <c r="LKQ133" s="531" t="e">
        <f t="shared" si="392"/>
        <v>#DIV/0!</v>
      </c>
      <c r="LKR133" s="531" t="e">
        <f t="shared" si="392"/>
        <v>#DIV/0!</v>
      </c>
      <c r="LKS133" s="531" t="e">
        <f t="shared" si="392"/>
        <v>#DIV/0!</v>
      </c>
      <c r="LKT133" s="531" t="e">
        <f t="shared" si="392"/>
        <v>#DIV/0!</v>
      </c>
      <c r="LKU133" s="531" t="e">
        <f t="shared" si="392"/>
        <v>#DIV/0!</v>
      </c>
      <c r="LKV133" s="531" t="e">
        <f t="shared" si="392"/>
        <v>#DIV/0!</v>
      </c>
      <c r="LKW133" s="531" t="e">
        <f t="shared" si="392"/>
        <v>#DIV/0!</v>
      </c>
      <c r="LKX133" s="531" t="e">
        <f t="shared" si="392"/>
        <v>#DIV/0!</v>
      </c>
      <c r="LKY133" s="531" t="e">
        <f t="shared" si="392"/>
        <v>#DIV/0!</v>
      </c>
      <c r="LKZ133" s="531" t="e">
        <f t="shared" si="392"/>
        <v>#DIV/0!</v>
      </c>
      <c r="LLA133" s="531" t="e">
        <f t="shared" si="392"/>
        <v>#DIV/0!</v>
      </c>
      <c r="LLB133" s="531" t="e">
        <f t="shared" si="392"/>
        <v>#DIV/0!</v>
      </c>
      <c r="LLC133" s="531" t="e">
        <f t="shared" si="392"/>
        <v>#DIV/0!</v>
      </c>
      <c r="LLD133" s="531" t="e">
        <f t="shared" si="392"/>
        <v>#DIV/0!</v>
      </c>
      <c r="LLE133" s="531" t="e">
        <f t="shared" si="392"/>
        <v>#DIV/0!</v>
      </c>
      <c r="LLF133" s="531" t="e">
        <f t="shared" si="392"/>
        <v>#DIV/0!</v>
      </c>
      <c r="LLG133" s="531" t="e">
        <f t="shared" si="392"/>
        <v>#DIV/0!</v>
      </c>
      <c r="LLH133" s="531" t="e">
        <f t="shared" si="392"/>
        <v>#DIV/0!</v>
      </c>
      <c r="LLI133" s="531" t="e">
        <f t="shared" si="392"/>
        <v>#DIV/0!</v>
      </c>
      <c r="LLJ133" s="531" t="e">
        <f t="shared" si="392"/>
        <v>#DIV/0!</v>
      </c>
      <c r="LLK133" s="531" t="e">
        <f t="shared" si="392"/>
        <v>#DIV/0!</v>
      </c>
      <c r="LLL133" s="531" t="e">
        <f t="shared" si="392"/>
        <v>#DIV/0!</v>
      </c>
      <c r="LLM133" s="531" t="e">
        <f t="shared" si="392"/>
        <v>#DIV/0!</v>
      </c>
      <c r="LLN133" s="531" t="e">
        <f t="shared" si="392"/>
        <v>#DIV/0!</v>
      </c>
      <c r="LLO133" s="531" t="e">
        <f t="shared" si="392"/>
        <v>#DIV/0!</v>
      </c>
      <c r="LLP133" s="531" t="e">
        <f t="shared" si="392"/>
        <v>#DIV/0!</v>
      </c>
      <c r="LLQ133" s="531" t="e">
        <f t="shared" si="392"/>
        <v>#DIV/0!</v>
      </c>
      <c r="LLR133" s="531" t="e">
        <f t="shared" si="392"/>
        <v>#DIV/0!</v>
      </c>
      <c r="LLS133" s="531" t="e">
        <f t="shared" si="392"/>
        <v>#DIV/0!</v>
      </c>
      <c r="LLT133" s="531" t="e">
        <f t="shared" si="392"/>
        <v>#DIV/0!</v>
      </c>
      <c r="LLU133" s="531" t="e">
        <f t="shared" si="392"/>
        <v>#DIV/0!</v>
      </c>
      <c r="LLV133" s="531" t="e">
        <f t="shared" si="392"/>
        <v>#DIV/0!</v>
      </c>
      <c r="LLW133" s="531" t="e">
        <f t="shared" si="392"/>
        <v>#DIV/0!</v>
      </c>
      <c r="LLX133" s="531" t="e">
        <f t="shared" si="392"/>
        <v>#DIV/0!</v>
      </c>
      <c r="LLY133" s="531" t="e">
        <f t="shared" si="392"/>
        <v>#DIV/0!</v>
      </c>
      <c r="LLZ133" s="531" t="e">
        <f t="shared" si="392"/>
        <v>#DIV/0!</v>
      </c>
      <c r="LMA133" s="531" t="e">
        <f t="shared" si="392"/>
        <v>#DIV/0!</v>
      </c>
      <c r="LMB133" s="531" t="e">
        <f t="shared" si="392"/>
        <v>#DIV/0!</v>
      </c>
      <c r="LMC133" s="531" t="e">
        <f t="shared" si="392"/>
        <v>#DIV/0!</v>
      </c>
      <c r="LMD133" s="531" t="e">
        <f t="shared" si="392"/>
        <v>#DIV/0!</v>
      </c>
      <c r="LME133" s="531" t="e">
        <f t="shared" ref="LME133:LOP133" si="393">LME116/(LME52*10^5)</f>
        <v>#DIV/0!</v>
      </c>
      <c r="LMF133" s="531" t="e">
        <f t="shared" si="393"/>
        <v>#DIV/0!</v>
      </c>
      <c r="LMG133" s="531" t="e">
        <f t="shared" si="393"/>
        <v>#DIV/0!</v>
      </c>
      <c r="LMH133" s="531" t="e">
        <f t="shared" si="393"/>
        <v>#DIV/0!</v>
      </c>
      <c r="LMI133" s="531" t="e">
        <f t="shared" si="393"/>
        <v>#DIV/0!</v>
      </c>
      <c r="LMJ133" s="531" t="e">
        <f t="shared" si="393"/>
        <v>#DIV/0!</v>
      </c>
      <c r="LMK133" s="531" t="e">
        <f t="shared" si="393"/>
        <v>#DIV/0!</v>
      </c>
      <c r="LML133" s="531" t="e">
        <f t="shared" si="393"/>
        <v>#DIV/0!</v>
      </c>
      <c r="LMM133" s="531" t="e">
        <f t="shared" si="393"/>
        <v>#DIV/0!</v>
      </c>
      <c r="LMN133" s="531" t="e">
        <f t="shared" si="393"/>
        <v>#DIV/0!</v>
      </c>
      <c r="LMO133" s="531" t="e">
        <f t="shared" si="393"/>
        <v>#DIV/0!</v>
      </c>
      <c r="LMP133" s="531" t="e">
        <f t="shared" si="393"/>
        <v>#DIV/0!</v>
      </c>
      <c r="LMQ133" s="531" t="e">
        <f t="shared" si="393"/>
        <v>#DIV/0!</v>
      </c>
      <c r="LMR133" s="531" t="e">
        <f t="shared" si="393"/>
        <v>#DIV/0!</v>
      </c>
      <c r="LMS133" s="531" t="e">
        <f t="shared" si="393"/>
        <v>#DIV/0!</v>
      </c>
      <c r="LMT133" s="531" t="e">
        <f t="shared" si="393"/>
        <v>#DIV/0!</v>
      </c>
      <c r="LMU133" s="531" t="e">
        <f t="shared" si="393"/>
        <v>#DIV/0!</v>
      </c>
      <c r="LMV133" s="531" t="e">
        <f t="shared" si="393"/>
        <v>#DIV/0!</v>
      </c>
      <c r="LMW133" s="531" t="e">
        <f t="shared" si="393"/>
        <v>#DIV/0!</v>
      </c>
      <c r="LMX133" s="531" t="e">
        <f t="shared" si="393"/>
        <v>#DIV/0!</v>
      </c>
      <c r="LMY133" s="531" t="e">
        <f t="shared" si="393"/>
        <v>#DIV/0!</v>
      </c>
      <c r="LMZ133" s="531" t="e">
        <f t="shared" si="393"/>
        <v>#DIV/0!</v>
      </c>
      <c r="LNA133" s="531" t="e">
        <f t="shared" si="393"/>
        <v>#DIV/0!</v>
      </c>
      <c r="LNB133" s="531" t="e">
        <f t="shared" si="393"/>
        <v>#DIV/0!</v>
      </c>
      <c r="LNC133" s="531" t="e">
        <f t="shared" si="393"/>
        <v>#DIV/0!</v>
      </c>
      <c r="LND133" s="531" t="e">
        <f t="shared" si="393"/>
        <v>#DIV/0!</v>
      </c>
      <c r="LNE133" s="531" t="e">
        <f t="shared" si="393"/>
        <v>#DIV/0!</v>
      </c>
      <c r="LNF133" s="531" t="e">
        <f t="shared" si="393"/>
        <v>#DIV/0!</v>
      </c>
      <c r="LNG133" s="531" t="e">
        <f t="shared" si="393"/>
        <v>#DIV/0!</v>
      </c>
      <c r="LNH133" s="531" t="e">
        <f t="shared" si="393"/>
        <v>#DIV/0!</v>
      </c>
      <c r="LNI133" s="531" t="e">
        <f t="shared" si="393"/>
        <v>#DIV/0!</v>
      </c>
      <c r="LNJ133" s="531" t="e">
        <f t="shared" si="393"/>
        <v>#DIV/0!</v>
      </c>
      <c r="LNK133" s="531" t="e">
        <f t="shared" si="393"/>
        <v>#DIV/0!</v>
      </c>
      <c r="LNL133" s="531" t="e">
        <f t="shared" si="393"/>
        <v>#DIV/0!</v>
      </c>
      <c r="LNM133" s="531" t="e">
        <f t="shared" si="393"/>
        <v>#DIV/0!</v>
      </c>
      <c r="LNN133" s="531" t="e">
        <f t="shared" si="393"/>
        <v>#DIV/0!</v>
      </c>
      <c r="LNO133" s="531" t="e">
        <f t="shared" si="393"/>
        <v>#DIV/0!</v>
      </c>
      <c r="LNP133" s="531" t="e">
        <f t="shared" si="393"/>
        <v>#DIV/0!</v>
      </c>
      <c r="LNQ133" s="531" t="e">
        <f t="shared" si="393"/>
        <v>#DIV/0!</v>
      </c>
      <c r="LNR133" s="531" t="e">
        <f t="shared" si="393"/>
        <v>#DIV/0!</v>
      </c>
      <c r="LNS133" s="531" t="e">
        <f t="shared" si="393"/>
        <v>#DIV/0!</v>
      </c>
      <c r="LNT133" s="531" t="e">
        <f t="shared" si="393"/>
        <v>#DIV/0!</v>
      </c>
      <c r="LNU133" s="531" t="e">
        <f t="shared" si="393"/>
        <v>#DIV/0!</v>
      </c>
      <c r="LNV133" s="531" t="e">
        <f t="shared" si="393"/>
        <v>#DIV/0!</v>
      </c>
      <c r="LNW133" s="531" t="e">
        <f t="shared" si="393"/>
        <v>#DIV/0!</v>
      </c>
      <c r="LNX133" s="531" t="e">
        <f t="shared" si="393"/>
        <v>#DIV/0!</v>
      </c>
      <c r="LNY133" s="531" t="e">
        <f t="shared" si="393"/>
        <v>#DIV/0!</v>
      </c>
      <c r="LNZ133" s="531" t="e">
        <f t="shared" si="393"/>
        <v>#DIV/0!</v>
      </c>
      <c r="LOA133" s="531" t="e">
        <f t="shared" si="393"/>
        <v>#DIV/0!</v>
      </c>
      <c r="LOB133" s="531" t="e">
        <f t="shared" si="393"/>
        <v>#DIV/0!</v>
      </c>
      <c r="LOC133" s="531" t="e">
        <f t="shared" si="393"/>
        <v>#DIV/0!</v>
      </c>
      <c r="LOD133" s="531" t="e">
        <f t="shared" si="393"/>
        <v>#DIV/0!</v>
      </c>
      <c r="LOE133" s="531" t="e">
        <f t="shared" si="393"/>
        <v>#DIV/0!</v>
      </c>
      <c r="LOF133" s="531" t="e">
        <f t="shared" si="393"/>
        <v>#DIV/0!</v>
      </c>
      <c r="LOG133" s="531" t="e">
        <f t="shared" si="393"/>
        <v>#DIV/0!</v>
      </c>
      <c r="LOH133" s="531" t="e">
        <f t="shared" si="393"/>
        <v>#DIV/0!</v>
      </c>
      <c r="LOI133" s="531" t="e">
        <f t="shared" si="393"/>
        <v>#DIV/0!</v>
      </c>
      <c r="LOJ133" s="531" t="e">
        <f t="shared" si="393"/>
        <v>#DIV/0!</v>
      </c>
      <c r="LOK133" s="531" t="e">
        <f t="shared" si="393"/>
        <v>#DIV/0!</v>
      </c>
      <c r="LOL133" s="531" t="e">
        <f t="shared" si="393"/>
        <v>#DIV/0!</v>
      </c>
      <c r="LOM133" s="531" t="e">
        <f t="shared" si="393"/>
        <v>#DIV/0!</v>
      </c>
      <c r="LON133" s="531" t="e">
        <f t="shared" si="393"/>
        <v>#DIV/0!</v>
      </c>
      <c r="LOO133" s="531" t="e">
        <f t="shared" si="393"/>
        <v>#DIV/0!</v>
      </c>
      <c r="LOP133" s="531" t="e">
        <f t="shared" si="393"/>
        <v>#DIV/0!</v>
      </c>
      <c r="LOQ133" s="531" t="e">
        <f t="shared" ref="LOQ133:LRB133" si="394">LOQ116/(LOQ52*10^5)</f>
        <v>#DIV/0!</v>
      </c>
      <c r="LOR133" s="531" t="e">
        <f t="shared" si="394"/>
        <v>#DIV/0!</v>
      </c>
      <c r="LOS133" s="531" t="e">
        <f t="shared" si="394"/>
        <v>#DIV/0!</v>
      </c>
      <c r="LOT133" s="531" t="e">
        <f t="shared" si="394"/>
        <v>#DIV/0!</v>
      </c>
      <c r="LOU133" s="531" t="e">
        <f t="shared" si="394"/>
        <v>#DIV/0!</v>
      </c>
      <c r="LOV133" s="531" t="e">
        <f t="shared" si="394"/>
        <v>#DIV/0!</v>
      </c>
      <c r="LOW133" s="531" t="e">
        <f t="shared" si="394"/>
        <v>#DIV/0!</v>
      </c>
      <c r="LOX133" s="531" t="e">
        <f t="shared" si="394"/>
        <v>#DIV/0!</v>
      </c>
      <c r="LOY133" s="531" t="e">
        <f t="shared" si="394"/>
        <v>#DIV/0!</v>
      </c>
      <c r="LOZ133" s="531" t="e">
        <f t="shared" si="394"/>
        <v>#DIV/0!</v>
      </c>
      <c r="LPA133" s="531" t="e">
        <f t="shared" si="394"/>
        <v>#DIV/0!</v>
      </c>
      <c r="LPB133" s="531" t="e">
        <f t="shared" si="394"/>
        <v>#DIV/0!</v>
      </c>
      <c r="LPC133" s="531" t="e">
        <f t="shared" si="394"/>
        <v>#DIV/0!</v>
      </c>
      <c r="LPD133" s="531" t="e">
        <f t="shared" si="394"/>
        <v>#DIV/0!</v>
      </c>
      <c r="LPE133" s="531" t="e">
        <f t="shared" si="394"/>
        <v>#DIV/0!</v>
      </c>
      <c r="LPF133" s="531" t="e">
        <f t="shared" si="394"/>
        <v>#DIV/0!</v>
      </c>
      <c r="LPG133" s="531" t="e">
        <f t="shared" si="394"/>
        <v>#DIV/0!</v>
      </c>
      <c r="LPH133" s="531" t="e">
        <f t="shared" si="394"/>
        <v>#DIV/0!</v>
      </c>
      <c r="LPI133" s="531" t="e">
        <f t="shared" si="394"/>
        <v>#DIV/0!</v>
      </c>
      <c r="LPJ133" s="531" t="e">
        <f t="shared" si="394"/>
        <v>#DIV/0!</v>
      </c>
      <c r="LPK133" s="531" t="e">
        <f t="shared" si="394"/>
        <v>#DIV/0!</v>
      </c>
      <c r="LPL133" s="531" t="e">
        <f t="shared" si="394"/>
        <v>#DIV/0!</v>
      </c>
      <c r="LPM133" s="531" t="e">
        <f t="shared" si="394"/>
        <v>#DIV/0!</v>
      </c>
      <c r="LPN133" s="531" t="e">
        <f t="shared" si="394"/>
        <v>#DIV/0!</v>
      </c>
      <c r="LPO133" s="531" t="e">
        <f t="shared" si="394"/>
        <v>#DIV/0!</v>
      </c>
      <c r="LPP133" s="531" t="e">
        <f t="shared" si="394"/>
        <v>#DIV/0!</v>
      </c>
      <c r="LPQ133" s="531" t="e">
        <f t="shared" si="394"/>
        <v>#DIV/0!</v>
      </c>
      <c r="LPR133" s="531" t="e">
        <f t="shared" si="394"/>
        <v>#DIV/0!</v>
      </c>
      <c r="LPS133" s="531" t="e">
        <f t="shared" si="394"/>
        <v>#DIV/0!</v>
      </c>
      <c r="LPT133" s="531" t="e">
        <f t="shared" si="394"/>
        <v>#DIV/0!</v>
      </c>
      <c r="LPU133" s="531" t="e">
        <f t="shared" si="394"/>
        <v>#DIV/0!</v>
      </c>
      <c r="LPV133" s="531" t="e">
        <f t="shared" si="394"/>
        <v>#DIV/0!</v>
      </c>
      <c r="LPW133" s="531" t="e">
        <f t="shared" si="394"/>
        <v>#DIV/0!</v>
      </c>
      <c r="LPX133" s="531" t="e">
        <f t="shared" si="394"/>
        <v>#DIV/0!</v>
      </c>
      <c r="LPY133" s="531" t="e">
        <f t="shared" si="394"/>
        <v>#DIV/0!</v>
      </c>
      <c r="LPZ133" s="531" t="e">
        <f t="shared" si="394"/>
        <v>#DIV/0!</v>
      </c>
      <c r="LQA133" s="531" t="e">
        <f t="shared" si="394"/>
        <v>#DIV/0!</v>
      </c>
      <c r="LQB133" s="531" t="e">
        <f t="shared" si="394"/>
        <v>#DIV/0!</v>
      </c>
      <c r="LQC133" s="531" t="e">
        <f t="shared" si="394"/>
        <v>#DIV/0!</v>
      </c>
      <c r="LQD133" s="531" t="e">
        <f t="shared" si="394"/>
        <v>#DIV/0!</v>
      </c>
      <c r="LQE133" s="531" t="e">
        <f t="shared" si="394"/>
        <v>#DIV/0!</v>
      </c>
      <c r="LQF133" s="531" t="e">
        <f t="shared" si="394"/>
        <v>#DIV/0!</v>
      </c>
      <c r="LQG133" s="531" t="e">
        <f t="shared" si="394"/>
        <v>#DIV/0!</v>
      </c>
      <c r="LQH133" s="531" t="e">
        <f t="shared" si="394"/>
        <v>#DIV/0!</v>
      </c>
      <c r="LQI133" s="531" t="e">
        <f t="shared" si="394"/>
        <v>#DIV/0!</v>
      </c>
      <c r="LQJ133" s="531" t="e">
        <f t="shared" si="394"/>
        <v>#DIV/0!</v>
      </c>
      <c r="LQK133" s="531" t="e">
        <f t="shared" si="394"/>
        <v>#DIV/0!</v>
      </c>
      <c r="LQL133" s="531" t="e">
        <f t="shared" si="394"/>
        <v>#DIV/0!</v>
      </c>
      <c r="LQM133" s="531" t="e">
        <f t="shared" si="394"/>
        <v>#DIV/0!</v>
      </c>
      <c r="LQN133" s="531" t="e">
        <f t="shared" si="394"/>
        <v>#DIV/0!</v>
      </c>
      <c r="LQO133" s="531" t="e">
        <f t="shared" si="394"/>
        <v>#DIV/0!</v>
      </c>
      <c r="LQP133" s="531" t="e">
        <f t="shared" si="394"/>
        <v>#DIV/0!</v>
      </c>
      <c r="LQQ133" s="531" t="e">
        <f t="shared" si="394"/>
        <v>#DIV/0!</v>
      </c>
      <c r="LQR133" s="531" t="e">
        <f t="shared" si="394"/>
        <v>#DIV/0!</v>
      </c>
      <c r="LQS133" s="531" t="e">
        <f t="shared" si="394"/>
        <v>#DIV/0!</v>
      </c>
      <c r="LQT133" s="531" t="e">
        <f t="shared" si="394"/>
        <v>#DIV/0!</v>
      </c>
      <c r="LQU133" s="531" t="e">
        <f t="shared" si="394"/>
        <v>#DIV/0!</v>
      </c>
      <c r="LQV133" s="531" t="e">
        <f t="shared" si="394"/>
        <v>#DIV/0!</v>
      </c>
      <c r="LQW133" s="531" t="e">
        <f t="shared" si="394"/>
        <v>#DIV/0!</v>
      </c>
      <c r="LQX133" s="531" t="e">
        <f t="shared" si="394"/>
        <v>#DIV/0!</v>
      </c>
      <c r="LQY133" s="531" t="e">
        <f t="shared" si="394"/>
        <v>#DIV/0!</v>
      </c>
      <c r="LQZ133" s="531" t="e">
        <f t="shared" si="394"/>
        <v>#DIV/0!</v>
      </c>
      <c r="LRA133" s="531" t="e">
        <f t="shared" si="394"/>
        <v>#DIV/0!</v>
      </c>
      <c r="LRB133" s="531" t="e">
        <f t="shared" si="394"/>
        <v>#DIV/0!</v>
      </c>
      <c r="LRC133" s="531" t="e">
        <f t="shared" ref="LRC133:LTN133" si="395">LRC116/(LRC52*10^5)</f>
        <v>#DIV/0!</v>
      </c>
      <c r="LRD133" s="531" t="e">
        <f t="shared" si="395"/>
        <v>#DIV/0!</v>
      </c>
      <c r="LRE133" s="531" t="e">
        <f t="shared" si="395"/>
        <v>#DIV/0!</v>
      </c>
      <c r="LRF133" s="531" t="e">
        <f t="shared" si="395"/>
        <v>#DIV/0!</v>
      </c>
      <c r="LRG133" s="531" t="e">
        <f t="shared" si="395"/>
        <v>#DIV/0!</v>
      </c>
      <c r="LRH133" s="531" t="e">
        <f t="shared" si="395"/>
        <v>#DIV/0!</v>
      </c>
      <c r="LRI133" s="531" t="e">
        <f t="shared" si="395"/>
        <v>#DIV/0!</v>
      </c>
      <c r="LRJ133" s="531" t="e">
        <f t="shared" si="395"/>
        <v>#DIV/0!</v>
      </c>
      <c r="LRK133" s="531" t="e">
        <f t="shared" si="395"/>
        <v>#DIV/0!</v>
      </c>
      <c r="LRL133" s="531" t="e">
        <f t="shared" si="395"/>
        <v>#DIV/0!</v>
      </c>
      <c r="LRM133" s="531" t="e">
        <f t="shared" si="395"/>
        <v>#DIV/0!</v>
      </c>
      <c r="LRN133" s="531" t="e">
        <f t="shared" si="395"/>
        <v>#DIV/0!</v>
      </c>
      <c r="LRO133" s="531" t="e">
        <f t="shared" si="395"/>
        <v>#DIV/0!</v>
      </c>
      <c r="LRP133" s="531" t="e">
        <f t="shared" si="395"/>
        <v>#DIV/0!</v>
      </c>
      <c r="LRQ133" s="531" t="e">
        <f t="shared" si="395"/>
        <v>#DIV/0!</v>
      </c>
      <c r="LRR133" s="531" t="e">
        <f t="shared" si="395"/>
        <v>#DIV/0!</v>
      </c>
      <c r="LRS133" s="531" t="e">
        <f t="shared" si="395"/>
        <v>#DIV/0!</v>
      </c>
      <c r="LRT133" s="531" t="e">
        <f t="shared" si="395"/>
        <v>#DIV/0!</v>
      </c>
      <c r="LRU133" s="531" t="e">
        <f t="shared" si="395"/>
        <v>#DIV/0!</v>
      </c>
      <c r="LRV133" s="531" t="e">
        <f t="shared" si="395"/>
        <v>#DIV/0!</v>
      </c>
      <c r="LRW133" s="531" t="e">
        <f t="shared" si="395"/>
        <v>#DIV/0!</v>
      </c>
      <c r="LRX133" s="531" t="e">
        <f t="shared" si="395"/>
        <v>#DIV/0!</v>
      </c>
      <c r="LRY133" s="531" t="e">
        <f t="shared" si="395"/>
        <v>#DIV/0!</v>
      </c>
      <c r="LRZ133" s="531" t="e">
        <f t="shared" si="395"/>
        <v>#DIV/0!</v>
      </c>
      <c r="LSA133" s="531" t="e">
        <f t="shared" si="395"/>
        <v>#DIV/0!</v>
      </c>
      <c r="LSB133" s="531" t="e">
        <f t="shared" si="395"/>
        <v>#DIV/0!</v>
      </c>
      <c r="LSC133" s="531" t="e">
        <f t="shared" si="395"/>
        <v>#DIV/0!</v>
      </c>
      <c r="LSD133" s="531" t="e">
        <f t="shared" si="395"/>
        <v>#DIV/0!</v>
      </c>
      <c r="LSE133" s="531" t="e">
        <f t="shared" si="395"/>
        <v>#DIV/0!</v>
      </c>
      <c r="LSF133" s="531" t="e">
        <f t="shared" si="395"/>
        <v>#DIV/0!</v>
      </c>
      <c r="LSG133" s="531" t="e">
        <f t="shared" si="395"/>
        <v>#DIV/0!</v>
      </c>
      <c r="LSH133" s="531" t="e">
        <f t="shared" si="395"/>
        <v>#DIV/0!</v>
      </c>
      <c r="LSI133" s="531" t="e">
        <f t="shared" si="395"/>
        <v>#DIV/0!</v>
      </c>
      <c r="LSJ133" s="531" t="e">
        <f t="shared" si="395"/>
        <v>#DIV/0!</v>
      </c>
      <c r="LSK133" s="531" t="e">
        <f t="shared" si="395"/>
        <v>#DIV/0!</v>
      </c>
      <c r="LSL133" s="531" t="e">
        <f t="shared" si="395"/>
        <v>#DIV/0!</v>
      </c>
      <c r="LSM133" s="531" t="e">
        <f t="shared" si="395"/>
        <v>#DIV/0!</v>
      </c>
      <c r="LSN133" s="531" t="e">
        <f t="shared" si="395"/>
        <v>#DIV/0!</v>
      </c>
      <c r="LSO133" s="531" t="e">
        <f t="shared" si="395"/>
        <v>#DIV/0!</v>
      </c>
      <c r="LSP133" s="531" t="e">
        <f t="shared" si="395"/>
        <v>#DIV/0!</v>
      </c>
      <c r="LSQ133" s="531" t="e">
        <f t="shared" si="395"/>
        <v>#DIV/0!</v>
      </c>
      <c r="LSR133" s="531" t="e">
        <f t="shared" si="395"/>
        <v>#DIV/0!</v>
      </c>
      <c r="LSS133" s="531" t="e">
        <f t="shared" si="395"/>
        <v>#DIV/0!</v>
      </c>
      <c r="LST133" s="531" t="e">
        <f t="shared" si="395"/>
        <v>#DIV/0!</v>
      </c>
      <c r="LSU133" s="531" t="e">
        <f t="shared" si="395"/>
        <v>#DIV/0!</v>
      </c>
      <c r="LSV133" s="531" t="e">
        <f t="shared" si="395"/>
        <v>#DIV/0!</v>
      </c>
      <c r="LSW133" s="531" t="e">
        <f t="shared" si="395"/>
        <v>#DIV/0!</v>
      </c>
      <c r="LSX133" s="531" t="e">
        <f t="shared" si="395"/>
        <v>#DIV/0!</v>
      </c>
      <c r="LSY133" s="531" t="e">
        <f t="shared" si="395"/>
        <v>#DIV/0!</v>
      </c>
      <c r="LSZ133" s="531" t="e">
        <f t="shared" si="395"/>
        <v>#DIV/0!</v>
      </c>
      <c r="LTA133" s="531" t="e">
        <f t="shared" si="395"/>
        <v>#DIV/0!</v>
      </c>
      <c r="LTB133" s="531" t="e">
        <f t="shared" si="395"/>
        <v>#DIV/0!</v>
      </c>
      <c r="LTC133" s="531" t="e">
        <f t="shared" si="395"/>
        <v>#DIV/0!</v>
      </c>
      <c r="LTD133" s="531" t="e">
        <f t="shared" si="395"/>
        <v>#DIV/0!</v>
      </c>
      <c r="LTE133" s="531" t="e">
        <f t="shared" si="395"/>
        <v>#DIV/0!</v>
      </c>
      <c r="LTF133" s="531" t="e">
        <f t="shared" si="395"/>
        <v>#DIV/0!</v>
      </c>
      <c r="LTG133" s="531" t="e">
        <f t="shared" si="395"/>
        <v>#DIV/0!</v>
      </c>
      <c r="LTH133" s="531" t="e">
        <f t="shared" si="395"/>
        <v>#DIV/0!</v>
      </c>
      <c r="LTI133" s="531" t="e">
        <f t="shared" si="395"/>
        <v>#DIV/0!</v>
      </c>
      <c r="LTJ133" s="531" t="e">
        <f t="shared" si="395"/>
        <v>#DIV/0!</v>
      </c>
      <c r="LTK133" s="531" t="e">
        <f t="shared" si="395"/>
        <v>#DIV/0!</v>
      </c>
      <c r="LTL133" s="531" t="e">
        <f t="shared" si="395"/>
        <v>#DIV/0!</v>
      </c>
      <c r="LTM133" s="531" t="e">
        <f t="shared" si="395"/>
        <v>#DIV/0!</v>
      </c>
      <c r="LTN133" s="531" t="e">
        <f t="shared" si="395"/>
        <v>#DIV/0!</v>
      </c>
      <c r="LTO133" s="531" t="e">
        <f t="shared" ref="LTO133:LVZ133" si="396">LTO116/(LTO52*10^5)</f>
        <v>#DIV/0!</v>
      </c>
      <c r="LTP133" s="531" t="e">
        <f t="shared" si="396"/>
        <v>#DIV/0!</v>
      </c>
      <c r="LTQ133" s="531" t="e">
        <f t="shared" si="396"/>
        <v>#DIV/0!</v>
      </c>
      <c r="LTR133" s="531" t="e">
        <f t="shared" si="396"/>
        <v>#DIV/0!</v>
      </c>
      <c r="LTS133" s="531" t="e">
        <f t="shared" si="396"/>
        <v>#DIV/0!</v>
      </c>
      <c r="LTT133" s="531" t="e">
        <f t="shared" si="396"/>
        <v>#DIV/0!</v>
      </c>
      <c r="LTU133" s="531" t="e">
        <f t="shared" si="396"/>
        <v>#DIV/0!</v>
      </c>
      <c r="LTV133" s="531" t="e">
        <f t="shared" si="396"/>
        <v>#DIV/0!</v>
      </c>
      <c r="LTW133" s="531" t="e">
        <f t="shared" si="396"/>
        <v>#DIV/0!</v>
      </c>
      <c r="LTX133" s="531" t="e">
        <f t="shared" si="396"/>
        <v>#DIV/0!</v>
      </c>
      <c r="LTY133" s="531" t="e">
        <f t="shared" si="396"/>
        <v>#DIV/0!</v>
      </c>
      <c r="LTZ133" s="531" t="e">
        <f t="shared" si="396"/>
        <v>#DIV/0!</v>
      </c>
      <c r="LUA133" s="531" t="e">
        <f t="shared" si="396"/>
        <v>#DIV/0!</v>
      </c>
      <c r="LUB133" s="531" t="e">
        <f t="shared" si="396"/>
        <v>#DIV/0!</v>
      </c>
      <c r="LUC133" s="531" t="e">
        <f t="shared" si="396"/>
        <v>#DIV/0!</v>
      </c>
      <c r="LUD133" s="531" t="e">
        <f t="shared" si="396"/>
        <v>#DIV/0!</v>
      </c>
      <c r="LUE133" s="531" t="e">
        <f t="shared" si="396"/>
        <v>#DIV/0!</v>
      </c>
      <c r="LUF133" s="531" t="e">
        <f t="shared" si="396"/>
        <v>#DIV/0!</v>
      </c>
      <c r="LUG133" s="531" t="e">
        <f t="shared" si="396"/>
        <v>#DIV/0!</v>
      </c>
      <c r="LUH133" s="531" t="e">
        <f t="shared" si="396"/>
        <v>#DIV/0!</v>
      </c>
      <c r="LUI133" s="531" t="e">
        <f t="shared" si="396"/>
        <v>#DIV/0!</v>
      </c>
      <c r="LUJ133" s="531" t="e">
        <f t="shared" si="396"/>
        <v>#DIV/0!</v>
      </c>
      <c r="LUK133" s="531" t="e">
        <f t="shared" si="396"/>
        <v>#DIV/0!</v>
      </c>
      <c r="LUL133" s="531" t="e">
        <f t="shared" si="396"/>
        <v>#DIV/0!</v>
      </c>
      <c r="LUM133" s="531" t="e">
        <f t="shared" si="396"/>
        <v>#DIV/0!</v>
      </c>
      <c r="LUN133" s="531" t="e">
        <f t="shared" si="396"/>
        <v>#DIV/0!</v>
      </c>
      <c r="LUO133" s="531" t="e">
        <f t="shared" si="396"/>
        <v>#DIV/0!</v>
      </c>
      <c r="LUP133" s="531" t="e">
        <f t="shared" si="396"/>
        <v>#DIV/0!</v>
      </c>
      <c r="LUQ133" s="531" t="e">
        <f t="shared" si="396"/>
        <v>#DIV/0!</v>
      </c>
      <c r="LUR133" s="531" t="e">
        <f t="shared" si="396"/>
        <v>#DIV/0!</v>
      </c>
      <c r="LUS133" s="531" t="e">
        <f t="shared" si="396"/>
        <v>#DIV/0!</v>
      </c>
      <c r="LUT133" s="531" t="e">
        <f t="shared" si="396"/>
        <v>#DIV/0!</v>
      </c>
      <c r="LUU133" s="531" t="e">
        <f t="shared" si="396"/>
        <v>#DIV/0!</v>
      </c>
      <c r="LUV133" s="531" t="e">
        <f t="shared" si="396"/>
        <v>#DIV/0!</v>
      </c>
      <c r="LUW133" s="531" t="e">
        <f t="shared" si="396"/>
        <v>#DIV/0!</v>
      </c>
      <c r="LUX133" s="531" t="e">
        <f t="shared" si="396"/>
        <v>#DIV/0!</v>
      </c>
      <c r="LUY133" s="531" t="e">
        <f t="shared" si="396"/>
        <v>#DIV/0!</v>
      </c>
      <c r="LUZ133" s="531" t="e">
        <f t="shared" si="396"/>
        <v>#DIV/0!</v>
      </c>
      <c r="LVA133" s="531" t="e">
        <f t="shared" si="396"/>
        <v>#DIV/0!</v>
      </c>
      <c r="LVB133" s="531" t="e">
        <f t="shared" si="396"/>
        <v>#DIV/0!</v>
      </c>
      <c r="LVC133" s="531" t="e">
        <f t="shared" si="396"/>
        <v>#DIV/0!</v>
      </c>
      <c r="LVD133" s="531" t="e">
        <f t="shared" si="396"/>
        <v>#DIV/0!</v>
      </c>
      <c r="LVE133" s="531" t="e">
        <f t="shared" si="396"/>
        <v>#DIV/0!</v>
      </c>
      <c r="LVF133" s="531" t="e">
        <f t="shared" si="396"/>
        <v>#DIV/0!</v>
      </c>
      <c r="LVG133" s="531" t="e">
        <f t="shared" si="396"/>
        <v>#DIV/0!</v>
      </c>
      <c r="LVH133" s="531" t="e">
        <f t="shared" si="396"/>
        <v>#DIV/0!</v>
      </c>
      <c r="LVI133" s="531" t="e">
        <f t="shared" si="396"/>
        <v>#DIV/0!</v>
      </c>
      <c r="LVJ133" s="531" t="e">
        <f t="shared" si="396"/>
        <v>#DIV/0!</v>
      </c>
      <c r="LVK133" s="531" t="e">
        <f t="shared" si="396"/>
        <v>#DIV/0!</v>
      </c>
      <c r="LVL133" s="531" t="e">
        <f t="shared" si="396"/>
        <v>#DIV/0!</v>
      </c>
      <c r="LVM133" s="531" t="e">
        <f t="shared" si="396"/>
        <v>#DIV/0!</v>
      </c>
      <c r="LVN133" s="531" t="e">
        <f t="shared" si="396"/>
        <v>#DIV/0!</v>
      </c>
      <c r="LVO133" s="531" t="e">
        <f t="shared" si="396"/>
        <v>#DIV/0!</v>
      </c>
      <c r="LVP133" s="531" t="e">
        <f t="shared" si="396"/>
        <v>#DIV/0!</v>
      </c>
      <c r="LVQ133" s="531" t="e">
        <f t="shared" si="396"/>
        <v>#DIV/0!</v>
      </c>
      <c r="LVR133" s="531" t="e">
        <f t="shared" si="396"/>
        <v>#DIV/0!</v>
      </c>
      <c r="LVS133" s="531" t="e">
        <f t="shared" si="396"/>
        <v>#DIV/0!</v>
      </c>
      <c r="LVT133" s="531" t="e">
        <f t="shared" si="396"/>
        <v>#DIV/0!</v>
      </c>
      <c r="LVU133" s="531" t="e">
        <f t="shared" si="396"/>
        <v>#DIV/0!</v>
      </c>
      <c r="LVV133" s="531" t="e">
        <f t="shared" si="396"/>
        <v>#DIV/0!</v>
      </c>
      <c r="LVW133" s="531" t="e">
        <f t="shared" si="396"/>
        <v>#DIV/0!</v>
      </c>
      <c r="LVX133" s="531" t="e">
        <f t="shared" si="396"/>
        <v>#DIV/0!</v>
      </c>
      <c r="LVY133" s="531" t="e">
        <f t="shared" si="396"/>
        <v>#DIV/0!</v>
      </c>
      <c r="LVZ133" s="531" t="e">
        <f t="shared" si="396"/>
        <v>#DIV/0!</v>
      </c>
      <c r="LWA133" s="531" t="e">
        <f t="shared" ref="LWA133:LYL133" si="397">LWA116/(LWA52*10^5)</f>
        <v>#DIV/0!</v>
      </c>
      <c r="LWB133" s="531" t="e">
        <f t="shared" si="397"/>
        <v>#DIV/0!</v>
      </c>
      <c r="LWC133" s="531" t="e">
        <f t="shared" si="397"/>
        <v>#DIV/0!</v>
      </c>
      <c r="LWD133" s="531" t="e">
        <f t="shared" si="397"/>
        <v>#DIV/0!</v>
      </c>
      <c r="LWE133" s="531" t="e">
        <f t="shared" si="397"/>
        <v>#DIV/0!</v>
      </c>
      <c r="LWF133" s="531" t="e">
        <f t="shared" si="397"/>
        <v>#DIV/0!</v>
      </c>
      <c r="LWG133" s="531" t="e">
        <f t="shared" si="397"/>
        <v>#DIV/0!</v>
      </c>
      <c r="LWH133" s="531" t="e">
        <f t="shared" si="397"/>
        <v>#DIV/0!</v>
      </c>
      <c r="LWI133" s="531" t="e">
        <f t="shared" si="397"/>
        <v>#DIV/0!</v>
      </c>
      <c r="LWJ133" s="531" t="e">
        <f t="shared" si="397"/>
        <v>#DIV/0!</v>
      </c>
      <c r="LWK133" s="531" t="e">
        <f t="shared" si="397"/>
        <v>#DIV/0!</v>
      </c>
      <c r="LWL133" s="531" t="e">
        <f t="shared" si="397"/>
        <v>#DIV/0!</v>
      </c>
      <c r="LWM133" s="531" t="e">
        <f t="shared" si="397"/>
        <v>#DIV/0!</v>
      </c>
      <c r="LWN133" s="531" t="e">
        <f t="shared" si="397"/>
        <v>#DIV/0!</v>
      </c>
      <c r="LWO133" s="531" t="e">
        <f t="shared" si="397"/>
        <v>#DIV/0!</v>
      </c>
      <c r="LWP133" s="531" t="e">
        <f t="shared" si="397"/>
        <v>#DIV/0!</v>
      </c>
      <c r="LWQ133" s="531" t="e">
        <f t="shared" si="397"/>
        <v>#DIV/0!</v>
      </c>
      <c r="LWR133" s="531" t="e">
        <f t="shared" si="397"/>
        <v>#DIV/0!</v>
      </c>
      <c r="LWS133" s="531" t="e">
        <f t="shared" si="397"/>
        <v>#DIV/0!</v>
      </c>
      <c r="LWT133" s="531" t="e">
        <f t="shared" si="397"/>
        <v>#DIV/0!</v>
      </c>
      <c r="LWU133" s="531" t="e">
        <f t="shared" si="397"/>
        <v>#DIV/0!</v>
      </c>
      <c r="LWV133" s="531" t="e">
        <f t="shared" si="397"/>
        <v>#DIV/0!</v>
      </c>
      <c r="LWW133" s="531" t="e">
        <f t="shared" si="397"/>
        <v>#DIV/0!</v>
      </c>
      <c r="LWX133" s="531" t="e">
        <f t="shared" si="397"/>
        <v>#DIV/0!</v>
      </c>
      <c r="LWY133" s="531" t="e">
        <f t="shared" si="397"/>
        <v>#DIV/0!</v>
      </c>
      <c r="LWZ133" s="531" t="e">
        <f t="shared" si="397"/>
        <v>#DIV/0!</v>
      </c>
      <c r="LXA133" s="531" t="e">
        <f t="shared" si="397"/>
        <v>#DIV/0!</v>
      </c>
      <c r="LXB133" s="531" t="e">
        <f t="shared" si="397"/>
        <v>#DIV/0!</v>
      </c>
      <c r="LXC133" s="531" t="e">
        <f t="shared" si="397"/>
        <v>#DIV/0!</v>
      </c>
      <c r="LXD133" s="531" t="e">
        <f t="shared" si="397"/>
        <v>#DIV/0!</v>
      </c>
      <c r="LXE133" s="531" t="e">
        <f t="shared" si="397"/>
        <v>#DIV/0!</v>
      </c>
      <c r="LXF133" s="531" t="e">
        <f t="shared" si="397"/>
        <v>#DIV/0!</v>
      </c>
      <c r="LXG133" s="531" t="e">
        <f t="shared" si="397"/>
        <v>#DIV/0!</v>
      </c>
      <c r="LXH133" s="531" t="e">
        <f t="shared" si="397"/>
        <v>#DIV/0!</v>
      </c>
      <c r="LXI133" s="531" t="e">
        <f t="shared" si="397"/>
        <v>#DIV/0!</v>
      </c>
      <c r="LXJ133" s="531" t="e">
        <f t="shared" si="397"/>
        <v>#DIV/0!</v>
      </c>
      <c r="LXK133" s="531" t="e">
        <f t="shared" si="397"/>
        <v>#DIV/0!</v>
      </c>
      <c r="LXL133" s="531" t="e">
        <f t="shared" si="397"/>
        <v>#DIV/0!</v>
      </c>
      <c r="LXM133" s="531" t="e">
        <f t="shared" si="397"/>
        <v>#DIV/0!</v>
      </c>
      <c r="LXN133" s="531" t="e">
        <f t="shared" si="397"/>
        <v>#DIV/0!</v>
      </c>
      <c r="LXO133" s="531" t="e">
        <f t="shared" si="397"/>
        <v>#DIV/0!</v>
      </c>
      <c r="LXP133" s="531" t="e">
        <f t="shared" si="397"/>
        <v>#DIV/0!</v>
      </c>
      <c r="LXQ133" s="531" t="e">
        <f t="shared" si="397"/>
        <v>#DIV/0!</v>
      </c>
      <c r="LXR133" s="531" t="e">
        <f t="shared" si="397"/>
        <v>#DIV/0!</v>
      </c>
      <c r="LXS133" s="531" t="e">
        <f t="shared" si="397"/>
        <v>#DIV/0!</v>
      </c>
      <c r="LXT133" s="531" t="e">
        <f t="shared" si="397"/>
        <v>#DIV/0!</v>
      </c>
      <c r="LXU133" s="531" t="e">
        <f t="shared" si="397"/>
        <v>#DIV/0!</v>
      </c>
      <c r="LXV133" s="531" t="e">
        <f t="shared" si="397"/>
        <v>#DIV/0!</v>
      </c>
      <c r="LXW133" s="531" t="e">
        <f t="shared" si="397"/>
        <v>#DIV/0!</v>
      </c>
      <c r="LXX133" s="531" t="e">
        <f t="shared" si="397"/>
        <v>#DIV/0!</v>
      </c>
      <c r="LXY133" s="531" t="e">
        <f t="shared" si="397"/>
        <v>#DIV/0!</v>
      </c>
      <c r="LXZ133" s="531" t="e">
        <f t="shared" si="397"/>
        <v>#DIV/0!</v>
      </c>
      <c r="LYA133" s="531" t="e">
        <f t="shared" si="397"/>
        <v>#DIV/0!</v>
      </c>
      <c r="LYB133" s="531" t="e">
        <f t="shared" si="397"/>
        <v>#DIV/0!</v>
      </c>
      <c r="LYC133" s="531" t="e">
        <f t="shared" si="397"/>
        <v>#DIV/0!</v>
      </c>
      <c r="LYD133" s="531" t="e">
        <f t="shared" si="397"/>
        <v>#DIV/0!</v>
      </c>
      <c r="LYE133" s="531" t="e">
        <f t="shared" si="397"/>
        <v>#DIV/0!</v>
      </c>
      <c r="LYF133" s="531" t="e">
        <f t="shared" si="397"/>
        <v>#DIV/0!</v>
      </c>
      <c r="LYG133" s="531" t="e">
        <f t="shared" si="397"/>
        <v>#DIV/0!</v>
      </c>
      <c r="LYH133" s="531" t="e">
        <f t="shared" si="397"/>
        <v>#DIV/0!</v>
      </c>
      <c r="LYI133" s="531" t="e">
        <f t="shared" si="397"/>
        <v>#DIV/0!</v>
      </c>
      <c r="LYJ133" s="531" t="e">
        <f t="shared" si="397"/>
        <v>#DIV/0!</v>
      </c>
      <c r="LYK133" s="531" t="e">
        <f t="shared" si="397"/>
        <v>#DIV/0!</v>
      </c>
      <c r="LYL133" s="531" t="e">
        <f t="shared" si="397"/>
        <v>#DIV/0!</v>
      </c>
      <c r="LYM133" s="531" t="e">
        <f t="shared" ref="LYM133:MAX133" si="398">LYM116/(LYM52*10^5)</f>
        <v>#DIV/0!</v>
      </c>
      <c r="LYN133" s="531" t="e">
        <f t="shared" si="398"/>
        <v>#DIV/0!</v>
      </c>
      <c r="LYO133" s="531" t="e">
        <f t="shared" si="398"/>
        <v>#DIV/0!</v>
      </c>
      <c r="LYP133" s="531" t="e">
        <f t="shared" si="398"/>
        <v>#DIV/0!</v>
      </c>
      <c r="LYQ133" s="531" t="e">
        <f t="shared" si="398"/>
        <v>#DIV/0!</v>
      </c>
      <c r="LYR133" s="531" t="e">
        <f t="shared" si="398"/>
        <v>#DIV/0!</v>
      </c>
      <c r="LYS133" s="531" t="e">
        <f t="shared" si="398"/>
        <v>#DIV/0!</v>
      </c>
      <c r="LYT133" s="531" t="e">
        <f t="shared" si="398"/>
        <v>#DIV/0!</v>
      </c>
      <c r="LYU133" s="531" t="e">
        <f t="shared" si="398"/>
        <v>#DIV/0!</v>
      </c>
      <c r="LYV133" s="531" t="e">
        <f t="shared" si="398"/>
        <v>#DIV/0!</v>
      </c>
      <c r="LYW133" s="531" t="e">
        <f t="shared" si="398"/>
        <v>#DIV/0!</v>
      </c>
      <c r="LYX133" s="531" t="e">
        <f t="shared" si="398"/>
        <v>#DIV/0!</v>
      </c>
      <c r="LYY133" s="531" t="e">
        <f t="shared" si="398"/>
        <v>#DIV/0!</v>
      </c>
      <c r="LYZ133" s="531" t="e">
        <f t="shared" si="398"/>
        <v>#DIV/0!</v>
      </c>
      <c r="LZA133" s="531" t="e">
        <f t="shared" si="398"/>
        <v>#DIV/0!</v>
      </c>
      <c r="LZB133" s="531" t="e">
        <f t="shared" si="398"/>
        <v>#DIV/0!</v>
      </c>
      <c r="LZC133" s="531" t="e">
        <f t="shared" si="398"/>
        <v>#DIV/0!</v>
      </c>
      <c r="LZD133" s="531" t="e">
        <f t="shared" si="398"/>
        <v>#DIV/0!</v>
      </c>
      <c r="LZE133" s="531" t="e">
        <f t="shared" si="398"/>
        <v>#DIV/0!</v>
      </c>
      <c r="LZF133" s="531" t="e">
        <f t="shared" si="398"/>
        <v>#DIV/0!</v>
      </c>
      <c r="LZG133" s="531" t="e">
        <f t="shared" si="398"/>
        <v>#DIV/0!</v>
      </c>
      <c r="LZH133" s="531" t="e">
        <f t="shared" si="398"/>
        <v>#DIV/0!</v>
      </c>
      <c r="LZI133" s="531" t="e">
        <f t="shared" si="398"/>
        <v>#DIV/0!</v>
      </c>
      <c r="LZJ133" s="531" t="e">
        <f t="shared" si="398"/>
        <v>#DIV/0!</v>
      </c>
      <c r="LZK133" s="531" t="e">
        <f t="shared" si="398"/>
        <v>#DIV/0!</v>
      </c>
      <c r="LZL133" s="531" t="e">
        <f t="shared" si="398"/>
        <v>#DIV/0!</v>
      </c>
      <c r="LZM133" s="531" t="e">
        <f t="shared" si="398"/>
        <v>#DIV/0!</v>
      </c>
      <c r="LZN133" s="531" t="e">
        <f t="shared" si="398"/>
        <v>#DIV/0!</v>
      </c>
      <c r="LZO133" s="531" t="e">
        <f t="shared" si="398"/>
        <v>#DIV/0!</v>
      </c>
      <c r="LZP133" s="531" t="e">
        <f t="shared" si="398"/>
        <v>#DIV/0!</v>
      </c>
      <c r="LZQ133" s="531" t="e">
        <f t="shared" si="398"/>
        <v>#DIV/0!</v>
      </c>
      <c r="LZR133" s="531" t="e">
        <f t="shared" si="398"/>
        <v>#DIV/0!</v>
      </c>
      <c r="LZS133" s="531" t="e">
        <f t="shared" si="398"/>
        <v>#DIV/0!</v>
      </c>
      <c r="LZT133" s="531" t="e">
        <f t="shared" si="398"/>
        <v>#DIV/0!</v>
      </c>
      <c r="LZU133" s="531" t="e">
        <f t="shared" si="398"/>
        <v>#DIV/0!</v>
      </c>
      <c r="LZV133" s="531" t="e">
        <f t="shared" si="398"/>
        <v>#DIV/0!</v>
      </c>
      <c r="LZW133" s="531" t="e">
        <f t="shared" si="398"/>
        <v>#DIV/0!</v>
      </c>
      <c r="LZX133" s="531" t="e">
        <f t="shared" si="398"/>
        <v>#DIV/0!</v>
      </c>
      <c r="LZY133" s="531" t="e">
        <f t="shared" si="398"/>
        <v>#DIV/0!</v>
      </c>
      <c r="LZZ133" s="531" t="e">
        <f t="shared" si="398"/>
        <v>#DIV/0!</v>
      </c>
      <c r="MAA133" s="531" t="e">
        <f t="shared" si="398"/>
        <v>#DIV/0!</v>
      </c>
      <c r="MAB133" s="531" t="e">
        <f t="shared" si="398"/>
        <v>#DIV/0!</v>
      </c>
      <c r="MAC133" s="531" t="e">
        <f t="shared" si="398"/>
        <v>#DIV/0!</v>
      </c>
      <c r="MAD133" s="531" t="e">
        <f t="shared" si="398"/>
        <v>#DIV/0!</v>
      </c>
      <c r="MAE133" s="531" t="e">
        <f t="shared" si="398"/>
        <v>#DIV/0!</v>
      </c>
      <c r="MAF133" s="531" t="e">
        <f t="shared" si="398"/>
        <v>#DIV/0!</v>
      </c>
      <c r="MAG133" s="531" t="e">
        <f t="shared" si="398"/>
        <v>#DIV/0!</v>
      </c>
      <c r="MAH133" s="531" t="e">
        <f t="shared" si="398"/>
        <v>#DIV/0!</v>
      </c>
      <c r="MAI133" s="531" t="e">
        <f t="shared" si="398"/>
        <v>#DIV/0!</v>
      </c>
      <c r="MAJ133" s="531" t="e">
        <f t="shared" si="398"/>
        <v>#DIV/0!</v>
      </c>
      <c r="MAK133" s="531" t="e">
        <f t="shared" si="398"/>
        <v>#DIV/0!</v>
      </c>
      <c r="MAL133" s="531" t="e">
        <f t="shared" si="398"/>
        <v>#DIV/0!</v>
      </c>
      <c r="MAM133" s="531" t="e">
        <f t="shared" si="398"/>
        <v>#DIV/0!</v>
      </c>
      <c r="MAN133" s="531" t="e">
        <f t="shared" si="398"/>
        <v>#DIV/0!</v>
      </c>
      <c r="MAO133" s="531" t="e">
        <f t="shared" si="398"/>
        <v>#DIV/0!</v>
      </c>
      <c r="MAP133" s="531" t="e">
        <f t="shared" si="398"/>
        <v>#DIV/0!</v>
      </c>
      <c r="MAQ133" s="531" t="e">
        <f t="shared" si="398"/>
        <v>#DIV/0!</v>
      </c>
      <c r="MAR133" s="531" t="e">
        <f t="shared" si="398"/>
        <v>#DIV/0!</v>
      </c>
      <c r="MAS133" s="531" t="e">
        <f t="shared" si="398"/>
        <v>#DIV/0!</v>
      </c>
      <c r="MAT133" s="531" t="e">
        <f t="shared" si="398"/>
        <v>#DIV/0!</v>
      </c>
      <c r="MAU133" s="531" t="e">
        <f t="shared" si="398"/>
        <v>#DIV/0!</v>
      </c>
      <c r="MAV133" s="531" t="e">
        <f t="shared" si="398"/>
        <v>#DIV/0!</v>
      </c>
      <c r="MAW133" s="531" t="e">
        <f t="shared" si="398"/>
        <v>#DIV/0!</v>
      </c>
      <c r="MAX133" s="531" t="e">
        <f t="shared" si="398"/>
        <v>#DIV/0!</v>
      </c>
      <c r="MAY133" s="531" t="e">
        <f t="shared" ref="MAY133:MDJ133" si="399">MAY116/(MAY52*10^5)</f>
        <v>#DIV/0!</v>
      </c>
      <c r="MAZ133" s="531" t="e">
        <f t="shared" si="399"/>
        <v>#DIV/0!</v>
      </c>
      <c r="MBA133" s="531" t="e">
        <f t="shared" si="399"/>
        <v>#DIV/0!</v>
      </c>
      <c r="MBB133" s="531" t="e">
        <f t="shared" si="399"/>
        <v>#DIV/0!</v>
      </c>
      <c r="MBC133" s="531" t="e">
        <f t="shared" si="399"/>
        <v>#DIV/0!</v>
      </c>
      <c r="MBD133" s="531" t="e">
        <f t="shared" si="399"/>
        <v>#DIV/0!</v>
      </c>
      <c r="MBE133" s="531" t="e">
        <f t="shared" si="399"/>
        <v>#DIV/0!</v>
      </c>
      <c r="MBF133" s="531" t="e">
        <f t="shared" si="399"/>
        <v>#DIV/0!</v>
      </c>
      <c r="MBG133" s="531" t="e">
        <f t="shared" si="399"/>
        <v>#DIV/0!</v>
      </c>
      <c r="MBH133" s="531" t="e">
        <f t="shared" si="399"/>
        <v>#DIV/0!</v>
      </c>
      <c r="MBI133" s="531" t="e">
        <f t="shared" si="399"/>
        <v>#DIV/0!</v>
      </c>
      <c r="MBJ133" s="531" t="e">
        <f t="shared" si="399"/>
        <v>#DIV/0!</v>
      </c>
      <c r="MBK133" s="531" t="e">
        <f t="shared" si="399"/>
        <v>#DIV/0!</v>
      </c>
      <c r="MBL133" s="531" t="e">
        <f t="shared" si="399"/>
        <v>#DIV/0!</v>
      </c>
      <c r="MBM133" s="531" t="e">
        <f t="shared" si="399"/>
        <v>#DIV/0!</v>
      </c>
      <c r="MBN133" s="531" t="e">
        <f t="shared" si="399"/>
        <v>#DIV/0!</v>
      </c>
      <c r="MBO133" s="531" t="e">
        <f t="shared" si="399"/>
        <v>#DIV/0!</v>
      </c>
      <c r="MBP133" s="531" t="e">
        <f t="shared" si="399"/>
        <v>#DIV/0!</v>
      </c>
      <c r="MBQ133" s="531" t="e">
        <f t="shared" si="399"/>
        <v>#DIV/0!</v>
      </c>
      <c r="MBR133" s="531" t="e">
        <f t="shared" si="399"/>
        <v>#DIV/0!</v>
      </c>
      <c r="MBS133" s="531" t="e">
        <f t="shared" si="399"/>
        <v>#DIV/0!</v>
      </c>
      <c r="MBT133" s="531" t="e">
        <f t="shared" si="399"/>
        <v>#DIV/0!</v>
      </c>
      <c r="MBU133" s="531" t="e">
        <f t="shared" si="399"/>
        <v>#DIV/0!</v>
      </c>
      <c r="MBV133" s="531" t="e">
        <f t="shared" si="399"/>
        <v>#DIV/0!</v>
      </c>
      <c r="MBW133" s="531" t="e">
        <f t="shared" si="399"/>
        <v>#DIV/0!</v>
      </c>
      <c r="MBX133" s="531" t="e">
        <f t="shared" si="399"/>
        <v>#DIV/0!</v>
      </c>
      <c r="MBY133" s="531" t="e">
        <f t="shared" si="399"/>
        <v>#DIV/0!</v>
      </c>
      <c r="MBZ133" s="531" t="e">
        <f t="shared" si="399"/>
        <v>#DIV/0!</v>
      </c>
      <c r="MCA133" s="531" t="e">
        <f t="shared" si="399"/>
        <v>#DIV/0!</v>
      </c>
      <c r="MCB133" s="531" t="e">
        <f t="shared" si="399"/>
        <v>#DIV/0!</v>
      </c>
      <c r="MCC133" s="531" t="e">
        <f t="shared" si="399"/>
        <v>#DIV/0!</v>
      </c>
      <c r="MCD133" s="531" t="e">
        <f t="shared" si="399"/>
        <v>#DIV/0!</v>
      </c>
      <c r="MCE133" s="531" t="e">
        <f t="shared" si="399"/>
        <v>#DIV/0!</v>
      </c>
      <c r="MCF133" s="531" t="e">
        <f t="shared" si="399"/>
        <v>#DIV/0!</v>
      </c>
      <c r="MCG133" s="531" t="e">
        <f t="shared" si="399"/>
        <v>#DIV/0!</v>
      </c>
      <c r="MCH133" s="531" t="e">
        <f t="shared" si="399"/>
        <v>#DIV/0!</v>
      </c>
      <c r="MCI133" s="531" t="e">
        <f t="shared" si="399"/>
        <v>#DIV/0!</v>
      </c>
      <c r="MCJ133" s="531" t="e">
        <f t="shared" si="399"/>
        <v>#DIV/0!</v>
      </c>
      <c r="MCK133" s="531" t="e">
        <f t="shared" si="399"/>
        <v>#DIV/0!</v>
      </c>
      <c r="MCL133" s="531" t="e">
        <f t="shared" si="399"/>
        <v>#DIV/0!</v>
      </c>
      <c r="MCM133" s="531" t="e">
        <f t="shared" si="399"/>
        <v>#DIV/0!</v>
      </c>
      <c r="MCN133" s="531" t="e">
        <f t="shared" si="399"/>
        <v>#DIV/0!</v>
      </c>
      <c r="MCO133" s="531" t="e">
        <f t="shared" si="399"/>
        <v>#DIV/0!</v>
      </c>
      <c r="MCP133" s="531" t="e">
        <f t="shared" si="399"/>
        <v>#DIV/0!</v>
      </c>
      <c r="MCQ133" s="531" t="e">
        <f t="shared" si="399"/>
        <v>#DIV/0!</v>
      </c>
      <c r="MCR133" s="531" t="e">
        <f t="shared" si="399"/>
        <v>#DIV/0!</v>
      </c>
      <c r="MCS133" s="531" t="e">
        <f t="shared" si="399"/>
        <v>#DIV/0!</v>
      </c>
      <c r="MCT133" s="531" t="e">
        <f t="shared" si="399"/>
        <v>#DIV/0!</v>
      </c>
      <c r="MCU133" s="531" t="e">
        <f t="shared" si="399"/>
        <v>#DIV/0!</v>
      </c>
      <c r="MCV133" s="531" t="e">
        <f t="shared" si="399"/>
        <v>#DIV/0!</v>
      </c>
      <c r="MCW133" s="531" t="e">
        <f t="shared" si="399"/>
        <v>#DIV/0!</v>
      </c>
      <c r="MCX133" s="531" t="e">
        <f t="shared" si="399"/>
        <v>#DIV/0!</v>
      </c>
      <c r="MCY133" s="531" t="e">
        <f t="shared" si="399"/>
        <v>#DIV/0!</v>
      </c>
      <c r="MCZ133" s="531" t="e">
        <f t="shared" si="399"/>
        <v>#DIV/0!</v>
      </c>
      <c r="MDA133" s="531" t="e">
        <f t="shared" si="399"/>
        <v>#DIV/0!</v>
      </c>
      <c r="MDB133" s="531" t="e">
        <f t="shared" si="399"/>
        <v>#DIV/0!</v>
      </c>
      <c r="MDC133" s="531" t="e">
        <f t="shared" si="399"/>
        <v>#DIV/0!</v>
      </c>
      <c r="MDD133" s="531" t="e">
        <f t="shared" si="399"/>
        <v>#DIV/0!</v>
      </c>
      <c r="MDE133" s="531" t="e">
        <f t="shared" si="399"/>
        <v>#DIV/0!</v>
      </c>
      <c r="MDF133" s="531" t="e">
        <f t="shared" si="399"/>
        <v>#DIV/0!</v>
      </c>
      <c r="MDG133" s="531" t="e">
        <f t="shared" si="399"/>
        <v>#DIV/0!</v>
      </c>
      <c r="MDH133" s="531" t="e">
        <f t="shared" si="399"/>
        <v>#DIV/0!</v>
      </c>
      <c r="MDI133" s="531" t="e">
        <f t="shared" si="399"/>
        <v>#DIV/0!</v>
      </c>
      <c r="MDJ133" s="531" t="e">
        <f t="shared" si="399"/>
        <v>#DIV/0!</v>
      </c>
      <c r="MDK133" s="531" t="e">
        <f t="shared" ref="MDK133:MFV133" si="400">MDK116/(MDK52*10^5)</f>
        <v>#DIV/0!</v>
      </c>
      <c r="MDL133" s="531" t="e">
        <f t="shared" si="400"/>
        <v>#DIV/0!</v>
      </c>
      <c r="MDM133" s="531" t="e">
        <f t="shared" si="400"/>
        <v>#DIV/0!</v>
      </c>
      <c r="MDN133" s="531" t="e">
        <f t="shared" si="400"/>
        <v>#DIV/0!</v>
      </c>
      <c r="MDO133" s="531" t="e">
        <f t="shared" si="400"/>
        <v>#DIV/0!</v>
      </c>
      <c r="MDP133" s="531" t="e">
        <f t="shared" si="400"/>
        <v>#DIV/0!</v>
      </c>
      <c r="MDQ133" s="531" t="e">
        <f t="shared" si="400"/>
        <v>#DIV/0!</v>
      </c>
      <c r="MDR133" s="531" t="e">
        <f t="shared" si="400"/>
        <v>#DIV/0!</v>
      </c>
      <c r="MDS133" s="531" t="e">
        <f t="shared" si="400"/>
        <v>#DIV/0!</v>
      </c>
      <c r="MDT133" s="531" t="e">
        <f t="shared" si="400"/>
        <v>#DIV/0!</v>
      </c>
      <c r="MDU133" s="531" t="e">
        <f t="shared" si="400"/>
        <v>#DIV/0!</v>
      </c>
      <c r="MDV133" s="531" t="e">
        <f t="shared" si="400"/>
        <v>#DIV/0!</v>
      </c>
      <c r="MDW133" s="531" t="e">
        <f t="shared" si="400"/>
        <v>#DIV/0!</v>
      </c>
      <c r="MDX133" s="531" t="e">
        <f t="shared" si="400"/>
        <v>#DIV/0!</v>
      </c>
      <c r="MDY133" s="531" t="e">
        <f t="shared" si="400"/>
        <v>#DIV/0!</v>
      </c>
      <c r="MDZ133" s="531" t="e">
        <f t="shared" si="400"/>
        <v>#DIV/0!</v>
      </c>
      <c r="MEA133" s="531" t="e">
        <f t="shared" si="400"/>
        <v>#DIV/0!</v>
      </c>
      <c r="MEB133" s="531" t="e">
        <f t="shared" si="400"/>
        <v>#DIV/0!</v>
      </c>
      <c r="MEC133" s="531" t="e">
        <f t="shared" si="400"/>
        <v>#DIV/0!</v>
      </c>
      <c r="MED133" s="531" t="e">
        <f t="shared" si="400"/>
        <v>#DIV/0!</v>
      </c>
      <c r="MEE133" s="531" t="e">
        <f t="shared" si="400"/>
        <v>#DIV/0!</v>
      </c>
      <c r="MEF133" s="531" t="e">
        <f t="shared" si="400"/>
        <v>#DIV/0!</v>
      </c>
      <c r="MEG133" s="531" t="e">
        <f t="shared" si="400"/>
        <v>#DIV/0!</v>
      </c>
      <c r="MEH133" s="531" t="e">
        <f t="shared" si="400"/>
        <v>#DIV/0!</v>
      </c>
      <c r="MEI133" s="531" t="e">
        <f t="shared" si="400"/>
        <v>#DIV/0!</v>
      </c>
      <c r="MEJ133" s="531" t="e">
        <f t="shared" si="400"/>
        <v>#DIV/0!</v>
      </c>
      <c r="MEK133" s="531" t="e">
        <f t="shared" si="400"/>
        <v>#DIV/0!</v>
      </c>
      <c r="MEL133" s="531" t="e">
        <f t="shared" si="400"/>
        <v>#DIV/0!</v>
      </c>
      <c r="MEM133" s="531" t="e">
        <f t="shared" si="400"/>
        <v>#DIV/0!</v>
      </c>
      <c r="MEN133" s="531" t="e">
        <f t="shared" si="400"/>
        <v>#DIV/0!</v>
      </c>
      <c r="MEO133" s="531" t="e">
        <f t="shared" si="400"/>
        <v>#DIV/0!</v>
      </c>
      <c r="MEP133" s="531" t="e">
        <f t="shared" si="400"/>
        <v>#DIV/0!</v>
      </c>
      <c r="MEQ133" s="531" t="e">
        <f t="shared" si="400"/>
        <v>#DIV/0!</v>
      </c>
      <c r="MER133" s="531" t="e">
        <f t="shared" si="400"/>
        <v>#DIV/0!</v>
      </c>
      <c r="MES133" s="531" t="e">
        <f t="shared" si="400"/>
        <v>#DIV/0!</v>
      </c>
      <c r="MET133" s="531" t="e">
        <f t="shared" si="400"/>
        <v>#DIV/0!</v>
      </c>
      <c r="MEU133" s="531" t="e">
        <f t="shared" si="400"/>
        <v>#DIV/0!</v>
      </c>
      <c r="MEV133" s="531" t="e">
        <f t="shared" si="400"/>
        <v>#DIV/0!</v>
      </c>
      <c r="MEW133" s="531" t="e">
        <f t="shared" si="400"/>
        <v>#DIV/0!</v>
      </c>
      <c r="MEX133" s="531" t="e">
        <f t="shared" si="400"/>
        <v>#DIV/0!</v>
      </c>
      <c r="MEY133" s="531" t="e">
        <f t="shared" si="400"/>
        <v>#DIV/0!</v>
      </c>
      <c r="MEZ133" s="531" t="e">
        <f t="shared" si="400"/>
        <v>#DIV/0!</v>
      </c>
      <c r="MFA133" s="531" t="e">
        <f t="shared" si="400"/>
        <v>#DIV/0!</v>
      </c>
      <c r="MFB133" s="531" t="e">
        <f t="shared" si="400"/>
        <v>#DIV/0!</v>
      </c>
      <c r="MFC133" s="531" t="e">
        <f t="shared" si="400"/>
        <v>#DIV/0!</v>
      </c>
      <c r="MFD133" s="531" t="e">
        <f t="shared" si="400"/>
        <v>#DIV/0!</v>
      </c>
      <c r="MFE133" s="531" t="e">
        <f t="shared" si="400"/>
        <v>#DIV/0!</v>
      </c>
      <c r="MFF133" s="531" t="e">
        <f t="shared" si="400"/>
        <v>#DIV/0!</v>
      </c>
      <c r="MFG133" s="531" t="e">
        <f t="shared" si="400"/>
        <v>#DIV/0!</v>
      </c>
      <c r="MFH133" s="531" t="e">
        <f t="shared" si="400"/>
        <v>#DIV/0!</v>
      </c>
      <c r="MFI133" s="531" t="e">
        <f t="shared" si="400"/>
        <v>#DIV/0!</v>
      </c>
      <c r="MFJ133" s="531" t="e">
        <f t="shared" si="400"/>
        <v>#DIV/0!</v>
      </c>
      <c r="MFK133" s="531" t="e">
        <f t="shared" si="400"/>
        <v>#DIV/0!</v>
      </c>
      <c r="MFL133" s="531" t="e">
        <f t="shared" si="400"/>
        <v>#DIV/0!</v>
      </c>
      <c r="MFM133" s="531" t="e">
        <f t="shared" si="400"/>
        <v>#DIV/0!</v>
      </c>
      <c r="MFN133" s="531" t="e">
        <f t="shared" si="400"/>
        <v>#DIV/0!</v>
      </c>
      <c r="MFO133" s="531" t="e">
        <f t="shared" si="400"/>
        <v>#DIV/0!</v>
      </c>
      <c r="MFP133" s="531" t="e">
        <f t="shared" si="400"/>
        <v>#DIV/0!</v>
      </c>
      <c r="MFQ133" s="531" t="e">
        <f t="shared" si="400"/>
        <v>#DIV/0!</v>
      </c>
      <c r="MFR133" s="531" t="e">
        <f t="shared" si="400"/>
        <v>#DIV/0!</v>
      </c>
      <c r="MFS133" s="531" t="e">
        <f t="shared" si="400"/>
        <v>#DIV/0!</v>
      </c>
      <c r="MFT133" s="531" t="e">
        <f t="shared" si="400"/>
        <v>#DIV/0!</v>
      </c>
      <c r="MFU133" s="531" t="e">
        <f t="shared" si="400"/>
        <v>#DIV/0!</v>
      </c>
      <c r="MFV133" s="531" t="e">
        <f t="shared" si="400"/>
        <v>#DIV/0!</v>
      </c>
      <c r="MFW133" s="531" t="e">
        <f t="shared" ref="MFW133:MIH133" si="401">MFW116/(MFW52*10^5)</f>
        <v>#DIV/0!</v>
      </c>
      <c r="MFX133" s="531" t="e">
        <f t="shared" si="401"/>
        <v>#DIV/0!</v>
      </c>
      <c r="MFY133" s="531" t="e">
        <f t="shared" si="401"/>
        <v>#DIV/0!</v>
      </c>
      <c r="MFZ133" s="531" t="e">
        <f t="shared" si="401"/>
        <v>#DIV/0!</v>
      </c>
      <c r="MGA133" s="531" t="e">
        <f t="shared" si="401"/>
        <v>#DIV/0!</v>
      </c>
      <c r="MGB133" s="531" t="e">
        <f t="shared" si="401"/>
        <v>#DIV/0!</v>
      </c>
      <c r="MGC133" s="531" t="e">
        <f t="shared" si="401"/>
        <v>#DIV/0!</v>
      </c>
      <c r="MGD133" s="531" t="e">
        <f t="shared" si="401"/>
        <v>#DIV/0!</v>
      </c>
      <c r="MGE133" s="531" t="e">
        <f t="shared" si="401"/>
        <v>#DIV/0!</v>
      </c>
      <c r="MGF133" s="531" t="e">
        <f t="shared" si="401"/>
        <v>#DIV/0!</v>
      </c>
      <c r="MGG133" s="531" t="e">
        <f t="shared" si="401"/>
        <v>#DIV/0!</v>
      </c>
      <c r="MGH133" s="531" t="e">
        <f t="shared" si="401"/>
        <v>#DIV/0!</v>
      </c>
      <c r="MGI133" s="531" t="e">
        <f t="shared" si="401"/>
        <v>#DIV/0!</v>
      </c>
      <c r="MGJ133" s="531" t="e">
        <f t="shared" si="401"/>
        <v>#DIV/0!</v>
      </c>
      <c r="MGK133" s="531" t="e">
        <f t="shared" si="401"/>
        <v>#DIV/0!</v>
      </c>
      <c r="MGL133" s="531" t="e">
        <f t="shared" si="401"/>
        <v>#DIV/0!</v>
      </c>
      <c r="MGM133" s="531" t="e">
        <f t="shared" si="401"/>
        <v>#DIV/0!</v>
      </c>
      <c r="MGN133" s="531" t="e">
        <f t="shared" si="401"/>
        <v>#DIV/0!</v>
      </c>
      <c r="MGO133" s="531" t="e">
        <f t="shared" si="401"/>
        <v>#DIV/0!</v>
      </c>
      <c r="MGP133" s="531" t="e">
        <f t="shared" si="401"/>
        <v>#DIV/0!</v>
      </c>
      <c r="MGQ133" s="531" t="e">
        <f t="shared" si="401"/>
        <v>#DIV/0!</v>
      </c>
      <c r="MGR133" s="531" t="e">
        <f t="shared" si="401"/>
        <v>#DIV/0!</v>
      </c>
      <c r="MGS133" s="531" t="e">
        <f t="shared" si="401"/>
        <v>#DIV/0!</v>
      </c>
      <c r="MGT133" s="531" t="e">
        <f t="shared" si="401"/>
        <v>#DIV/0!</v>
      </c>
      <c r="MGU133" s="531" t="e">
        <f t="shared" si="401"/>
        <v>#DIV/0!</v>
      </c>
      <c r="MGV133" s="531" t="e">
        <f t="shared" si="401"/>
        <v>#DIV/0!</v>
      </c>
      <c r="MGW133" s="531" t="e">
        <f t="shared" si="401"/>
        <v>#DIV/0!</v>
      </c>
      <c r="MGX133" s="531" t="e">
        <f t="shared" si="401"/>
        <v>#DIV/0!</v>
      </c>
      <c r="MGY133" s="531" t="e">
        <f t="shared" si="401"/>
        <v>#DIV/0!</v>
      </c>
      <c r="MGZ133" s="531" t="e">
        <f t="shared" si="401"/>
        <v>#DIV/0!</v>
      </c>
      <c r="MHA133" s="531" t="e">
        <f t="shared" si="401"/>
        <v>#DIV/0!</v>
      </c>
      <c r="MHB133" s="531" t="e">
        <f t="shared" si="401"/>
        <v>#DIV/0!</v>
      </c>
      <c r="MHC133" s="531" t="e">
        <f t="shared" si="401"/>
        <v>#DIV/0!</v>
      </c>
      <c r="MHD133" s="531" t="e">
        <f t="shared" si="401"/>
        <v>#DIV/0!</v>
      </c>
      <c r="MHE133" s="531" t="e">
        <f t="shared" si="401"/>
        <v>#DIV/0!</v>
      </c>
      <c r="MHF133" s="531" t="e">
        <f t="shared" si="401"/>
        <v>#DIV/0!</v>
      </c>
      <c r="MHG133" s="531" t="e">
        <f t="shared" si="401"/>
        <v>#DIV/0!</v>
      </c>
      <c r="MHH133" s="531" t="e">
        <f t="shared" si="401"/>
        <v>#DIV/0!</v>
      </c>
      <c r="MHI133" s="531" t="e">
        <f t="shared" si="401"/>
        <v>#DIV/0!</v>
      </c>
      <c r="MHJ133" s="531" t="e">
        <f t="shared" si="401"/>
        <v>#DIV/0!</v>
      </c>
      <c r="MHK133" s="531" t="e">
        <f t="shared" si="401"/>
        <v>#DIV/0!</v>
      </c>
      <c r="MHL133" s="531" t="e">
        <f t="shared" si="401"/>
        <v>#DIV/0!</v>
      </c>
      <c r="MHM133" s="531" t="e">
        <f t="shared" si="401"/>
        <v>#DIV/0!</v>
      </c>
      <c r="MHN133" s="531" t="e">
        <f t="shared" si="401"/>
        <v>#DIV/0!</v>
      </c>
      <c r="MHO133" s="531" t="e">
        <f t="shared" si="401"/>
        <v>#DIV/0!</v>
      </c>
      <c r="MHP133" s="531" t="e">
        <f t="shared" si="401"/>
        <v>#DIV/0!</v>
      </c>
      <c r="MHQ133" s="531" t="e">
        <f t="shared" si="401"/>
        <v>#DIV/0!</v>
      </c>
      <c r="MHR133" s="531" t="e">
        <f t="shared" si="401"/>
        <v>#DIV/0!</v>
      </c>
      <c r="MHS133" s="531" t="e">
        <f t="shared" si="401"/>
        <v>#DIV/0!</v>
      </c>
      <c r="MHT133" s="531" t="e">
        <f t="shared" si="401"/>
        <v>#DIV/0!</v>
      </c>
      <c r="MHU133" s="531" t="e">
        <f t="shared" si="401"/>
        <v>#DIV/0!</v>
      </c>
      <c r="MHV133" s="531" t="e">
        <f t="shared" si="401"/>
        <v>#DIV/0!</v>
      </c>
      <c r="MHW133" s="531" t="e">
        <f t="shared" si="401"/>
        <v>#DIV/0!</v>
      </c>
      <c r="MHX133" s="531" t="e">
        <f t="shared" si="401"/>
        <v>#DIV/0!</v>
      </c>
      <c r="MHY133" s="531" t="e">
        <f t="shared" si="401"/>
        <v>#DIV/0!</v>
      </c>
      <c r="MHZ133" s="531" t="e">
        <f t="shared" si="401"/>
        <v>#DIV/0!</v>
      </c>
      <c r="MIA133" s="531" t="e">
        <f t="shared" si="401"/>
        <v>#DIV/0!</v>
      </c>
      <c r="MIB133" s="531" t="e">
        <f t="shared" si="401"/>
        <v>#DIV/0!</v>
      </c>
      <c r="MIC133" s="531" t="e">
        <f t="shared" si="401"/>
        <v>#DIV/0!</v>
      </c>
      <c r="MID133" s="531" t="e">
        <f t="shared" si="401"/>
        <v>#DIV/0!</v>
      </c>
      <c r="MIE133" s="531" t="e">
        <f t="shared" si="401"/>
        <v>#DIV/0!</v>
      </c>
      <c r="MIF133" s="531" t="e">
        <f t="shared" si="401"/>
        <v>#DIV/0!</v>
      </c>
      <c r="MIG133" s="531" t="e">
        <f t="shared" si="401"/>
        <v>#DIV/0!</v>
      </c>
      <c r="MIH133" s="531" t="e">
        <f t="shared" si="401"/>
        <v>#DIV/0!</v>
      </c>
      <c r="MII133" s="531" t="e">
        <f t="shared" ref="MII133:MKT133" si="402">MII116/(MII52*10^5)</f>
        <v>#DIV/0!</v>
      </c>
      <c r="MIJ133" s="531" t="e">
        <f t="shared" si="402"/>
        <v>#DIV/0!</v>
      </c>
      <c r="MIK133" s="531" t="e">
        <f t="shared" si="402"/>
        <v>#DIV/0!</v>
      </c>
      <c r="MIL133" s="531" t="e">
        <f t="shared" si="402"/>
        <v>#DIV/0!</v>
      </c>
      <c r="MIM133" s="531" t="e">
        <f t="shared" si="402"/>
        <v>#DIV/0!</v>
      </c>
      <c r="MIN133" s="531" t="e">
        <f t="shared" si="402"/>
        <v>#DIV/0!</v>
      </c>
      <c r="MIO133" s="531" t="e">
        <f t="shared" si="402"/>
        <v>#DIV/0!</v>
      </c>
      <c r="MIP133" s="531" t="e">
        <f t="shared" si="402"/>
        <v>#DIV/0!</v>
      </c>
      <c r="MIQ133" s="531" t="e">
        <f t="shared" si="402"/>
        <v>#DIV/0!</v>
      </c>
      <c r="MIR133" s="531" t="e">
        <f t="shared" si="402"/>
        <v>#DIV/0!</v>
      </c>
      <c r="MIS133" s="531" t="e">
        <f t="shared" si="402"/>
        <v>#DIV/0!</v>
      </c>
      <c r="MIT133" s="531" t="e">
        <f t="shared" si="402"/>
        <v>#DIV/0!</v>
      </c>
      <c r="MIU133" s="531" t="e">
        <f t="shared" si="402"/>
        <v>#DIV/0!</v>
      </c>
      <c r="MIV133" s="531" t="e">
        <f t="shared" si="402"/>
        <v>#DIV/0!</v>
      </c>
      <c r="MIW133" s="531" t="e">
        <f t="shared" si="402"/>
        <v>#DIV/0!</v>
      </c>
      <c r="MIX133" s="531" t="e">
        <f t="shared" si="402"/>
        <v>#DIV/0!</v>
      </c>
      <c r="MIY133" s="531" t="e">
        <f t="shared" si="402"/>
        <v>#DIV/0!</v>
      </c>
      <c r="MIZ133" s="531" t="e">
        <f t="shared" si="402"/>
        <v>#DIV/0!</v>
      </c>
      <c r="MJA133" s="531" t="e">
        <f t="shared" si="402"/>
        <v>#DIV/0!</v>
      </c>
      <c r="MJB133" s="531" t="e">
        <f t="shared" si="402"/>
        <v>#DIV/0!</v>
      </c>
      <c r="MJC133" s="531" t="e">
        <f t="shared" si="402"/>
        <v>#DIV/0!</v>
      </c>
      <c r="MJD133" s="531" t="e">
        <f t="shared" si="402"/>
        <v>#DIV/0!</v>
      </c>
      <c r="MJE133" s="531" t="e">
        <f t="shared" si="402"/>
        <v>#DIV/0!</v>
      </c>
      <c r="MJF133" s="531" t="e">
        <f t="shared" si="402"/>
        <v>#DIV/0!</v>
      </c>
      <c r="MJG133" s="531" t="e">
        <f t="shared" si="402"/>
        <v>#DIV/0!</v>
      </c>
      <c r="MJH133" s="531" t="e">
        <f t="shared" si="402"/>
        <v>#DIV/0!</v>
      </c>
      <c r="MJI133" s="531" t="e">
        <f t="shared" si="402"/>
        <v>#DIV/0!</v>
      </c>
      <c r="MJJ133" s="531" t="e">
        <f t="shared" si="402"/>
        <v>#DIV/0!</v>
      </c>
      <c r="MJK133" s="531" t="e">
        <f t="shared" si="402"/>
        <v>#DIV/0!</v>
      </c>
      <c r="MJL133" s="531" t="e">
        <f t="shared" si="402"/>
        <v>#DIV/0!</v>
      </c>
      <c r="MJM133" s="531" t="e">
        <f t="shared" si="402"/>
        <v>#DIV/0!</v>
      </c>
      <c r="MJN133" s="531" t="e">
        <f t="shared" si="402"/>
        <v>#DIV/0!</v>
      </c>
      <c r="MJO133" s="531" t="e">
        <f t="shared" si="402"/>
        <v>#DIV/0!</v>
      </c>
      <c r="MJP133" s="531" t="e">
        <f t="shared" si="402"/>
        <v>#DIV/0!</v>
      </c>
      <c r="MJQ133" s="531" t="e">
        <f t="shared" si="402"/>
        <v>#DIV/0!</v>
      </c>
      <c r="MJR133" s="531" t="e">
        <f t="shared" si="402"/>
        <v>#DIV/0!</v>
      </c>
      <c r="MJS133" s="531" t="e">
        <f t="shared" si="402"/>
        <v>#DIV/0!</v>
      </c>
      <c r="MJT133" s="531" t="e">
        <f t="shared" si="402"/>
        <v>#DIV/0!</v>
      </c>
      <c r="MJU133" s="531" t="e">
        <f t="shared" si="402"/>
        <v>#DIV/0!</v>
      </c>
      <c r="MJV133" s="531" t="e">
        <f t="shared" si="402"/>
        <v>#DIV/0!</v>
      </c>
      <c r="MJW133" s="531" t="e">
        <f t="shared" si="402"/>
        <v>#DIV/0!</v>
      </c>
      <c r="MJX133" s="531" t="e">
        <f t="shared" si="402"/>
        <v>#DIV/0!</v>
      </c>
      <c r="MJY133" s="531" t="e">
        <f t="shared" si="402"/>
        <v>#DIV/0!</v>
      </c>
      <c r="MJZ133" s="531" t="e">
        <f t="shared" si="402"/>
        <v>#DIV/0!</v>
      </c>
      <c r="MKA133" s="531" t="e">
        <f t="shared" si="402"/>
        <v>#DIV/0!</v>
      </c>
      <c r="MKB133" s="531" t="e">
        <f t="shared" si="402"/>
        <v>#DIV/0!</v>
      </c>
      <c r="MKC133" s="531" t="e">
        <f t="shared" si="402"/>
        <v>#DIV/0!</v>
      </c>
      <c r="MKD133" s="531" t="e">
        <f t="shared" si="402"/>
        <v>#DIV/0!</v>
      </c>
      <c r="MKE133" s="531" t="e">
        <f t="shared" si="402"/>
        <v>#DIV/0!</v>
      </c>
      <c r="MKF133" s="531" t="e">
        <f t="shared" si="402"/>
        <v>#DIV/0!</v>
      </c>
      <c r="MKG133" s="531" t="e">
        <f t="shared" si="402"/>
        <v>#DIV/0!</v>
      </c>
      <c r="MKH133" s="531" t="e">
        <f t="shared" si="402"/>
        <v>#DIV/0!</v>
      </c>
      <c r="MKI133" s="531" t="e">
        <f t="shared" si="402"/>
        <v>#DIV/0!</v>
      </c>
      <c r="MKJ133" s="531" t="e">
        <f t="shared" si="402"/>
        <v>#DIV/0!</v>
      </c>
      <c r="MKK133" s="531" t="e">
        <f t="shared" si="402"/>
        <v>#DIV/0!</v>
      </c>
      <c r="MKL133" s="531" t="e">
        <f t="shared" si="402"/>
        <v>#DIV/0!</v>
      </c>
      <c r="MKM133" s="531" t="e">
        <f t="shared" si="402"/>
        <v>#DIV/0!</v>
      </c>
      <c r="MKN133" s="531" t="e">
        <f t="shared" si="402"/>
        <v>#DIV/0!</v>
      </c>
      <c r="MKO133" s="531" t="e">
        <f t="shared" si="402"/>
        <v>#DIV/0!</v>
      </c>
      <c r="MKP133" s="531" t="e">
        <f t="shared" si="402"/>
        <v>#DIV/0!</v>
      </c>
      <c r="MKQ133" s="531" t="e">
        <f t="shared" si="402"/>
        <v>#DIV/0!</v>
      </c>
      <c r="MKR133" s="531" t="e">
        <f t="shared" si="402"/>
        <v>#DIV/0!</v>
      </c>
      <c r="MKS133" s="531" t="e">
        <f t="shared" si="402"/>
        <v>#DIV/0!</v>
      </c>
      <c r="MKT133" s="531" t="e">
        <f t="shared" si="402"/>
        <v>#DIV/0!</v>
      </c>
      <c r="MKU133" s="531" t="e">
        <f t="shared" ref="MKU133:MNF133" si="403">MKU116/(MKU52*10^5)</f>
        <v>#DIV/0!</v>
      </c>
      <c r="MKV133" s="531" t="e">
        <f t="shared" si="403"/>
        <v>#DIV/0!</v>
      </c>
      <c r="MKW133" s="531" t="e">
        <f t="shared" si="403"/>
        <v>#DIV/0!</v>
      </c>
      <c r="MKX133" s="531" t="e">
        <f t="shared" si="403"/>
        <v>#DIV/0!</v>
      </c>
      <c r="MKY133" s="531" t="e">
        <f t="shared" si="403"/>
        <v>#DIV/0!</v>
      </c>
      <c r="MKZ133" s="531" t="e">
        <f t="shared" si="403"/>
        <v>#DIV/0!</v>
      </c>
      <c r="MLA133" s="531" t="e">
        <f t="shared" si="403"/>
        <v>#DIV/0!</v>
      </c>
      <c r="MLB133" s="531" t="e">
        <f t="shared" si="403"/>
        <v>#DIV/0!</v>
      </c>
      <c r="MLC133" s="531" t="e">
        <f t="shared" si="403"/>
        <v>#DIV/0!</v>
      </c>
      <c r="MLD133" s="531" t="e">
        <f t="shared" si="403"/>
        <v>#DIV/0!</v>
      </c>
      <c r="MLE133" s="531" t="e">
        <f t="shared" si="403"/>
        <v>#DIV/0!</v>
      </c>
      <c r="MLF133" s="531" t="e">
        <f t="shared" si="403"/>
        <v>#DIV/0!</v>
      </c>
      <c r="MLG133" s="531" t="e">
        <f t="shared" si="403"/>
        <v>#DIV/0!</v>
      </c>
      <c r="MLH133" s="531" t="e">
        <f t="shared" si="403"/>
        <v>#DIV/0!</v>
      </c>
      <c r="MLI133" s="531" t="e">
        <f t="shared" si="403"/>
        <v>#DIV/0!</v>
      </c>
      <c r="MLJ133" s="531" t="e">
        <f t="shared" si="403"/>
        <v>#DIV/0!</v>
      </c>
      <c r="MLK133" s="531" t="e">
        <f t="shared" si="403"/>
        <v>#DIV/0!</v>
      </c>
      <c r="MLL133" s="531" t="e">
        <f t="shared" si="403"/>
        <v>#DIV/0!</v>
      </c>
      <c r="MLM133" s="531" t="e">
        <f t="shared" si="403"/>
        <v>#DIV/0!</v>
      </c>
      <c r="MLN133" s="531" t="e">
        <f t="shared" si="403"/>
        <v>#DIV/0!</v>
      </c>
      <c r="MLO133" s="531" t="e">
        <f t="shared" si="403"/>
        <v>#DIV/0!</v>
      </c>
      <c r="MLP133" s="531" t="e">
        <f t="shared" si="403"/>
        <v>#DIV/0!</v>
      </c>
      <c r="MLQ133" s="531" t="e">
        <f t="shared" si="403"/>
        <v>#DIV/0!</v>
      </c>
      <c r="MLR133" s="531" t="e">
        <f t="shared" si="403"/>
        <v>#DIV/0!</v>
      </c>
      <c r="MLS133" s="531" t="e">
        <f t="shared" si="403"/>
        <v>#DIV/0!</v>
      </c>
      <c r="MLT133" s="531" t="e">
        <f t="shared" si="403"/>
        <v>#DIV/0!</v>
      </c>
      <c r="MLU133" s="531" t="e">
        <f t="shared" si="403"/>
        <v>#DIV/0!</v>
      </c>
      <c r="MLV133" s="531" t="e">
        <f t="shared" si="403"/>
        <v>#DIV/0!</v>
      </c>
      <c r="MLW133" s="531" t="e">
        <f t="shared" si="403"/>
        <v>#DIV/0!</v>
      </c>
      <c r="MLX133" s="531" t="e">
        <f t="shared" si="403"/>
        <v>#DIV/0!</v>
      </c>
      <c r="MLY133" s="531" t="e">
        <f t="shared" si="403"/>
        <v>#DIV/0!</v>
      </c>
      <c r="MLZ133" s="531" t="e">
        <f t="shared" si="403"/>
        <v>#DIV/0!</v>
      </c>
      <c r="MMA133" s="531" t="e">
        <f t="shared" si="403"/>
        <v>#DIV/0!</v>
      </c>
      <c r="MMB133" s="531" t="e">
        <f t="shared" si="403"/>
        <v>#DIV/0!</v>
      </c>
      <c r="MMC133" s="531" t="e">
        <f t="shared" si="403"/>
        <v>#DIV/0!</v>
      </c>
      <c r="MMD133" s="531" t="e">
        <f t="shared" si="403"/>
        <v>#DIV/0!</v>
      </c>
      <c r="MME133" s="531" t="e">
        <f t="shared" si="403"/>
        <v>#DIV/0!</v>
      </c>
      <c r="MMF133" s="531" t="e">
        <f t="shared" si="403"/>
        <v>#DIV/0!</v>
      </c>
      <c r="MMG133" s="531" t="e">
        <f t="shared" si="403"/>
        <v>#DIV/0!</v>
      </c>
      <c r="MMH133" s="531" t="e">
        <f t="shared" si="403"/>
        <v>#DIV/0!</v>
      </c>
      <c r="MMI133" s="531" t="e">
        <f t="shared" si="403"/>
        <v>#DIV/0!</v>
      </c>
      <c r="MMJ133" s="531" t="e">
        <f t="shared" si="403"/>
        <v>#DIV/0!</v>
      </c>
      <c r="MMK133" s="531" t="e">
        <f t="shared" si="403"/>
        <v>#DIV/0!</v>
      </c>
      <c r="MML133" s="531" t="e">
        <f t="shared" si="403"/>
        <v>#DIV/0!</v>
      </c>
      <c r="MMM133" s="531" t="e">
        <f t="shared" si="403"/>
        <v>#DIV/0!</v>
      </c>
      <c r="MMN133" s="531" t="e">
        <f t="shared" si="403"/>
        <v>#DIV/0!</v>
      </c>
      <c r="MMO133" s="531" t="e">
        <f t="shared" si="403"/>
        <v>#DIV/0!</v>
      </c>
      <c r="MMP133" s="531" t="e">
        <f t="shared" si="403"/>
        <v>#DIV/0!</v>
      </c>
      <c r="MMQ133" s="531" t="e">
        <f t="shared" si="403"/>
        <v>#DIV/0!</v>
      </c>
      <c r="MMR133" s="531" t="e">
        <f t="shared" si="403"/>
        <v>#DIV/0!</v>
      </c>
      <c r="MMS133" s="531" t="e">
        <f t="shared" si="403"/>
        <v>#DIV/0!</v>
      </c>
      <c r="MMT133" s="531" t="e">
        <f t="shared" si="403"/>
        <v>#DIV/0!</v>
      </c>
      <c r="MMU133" s="531" t="e">
        <f t="shared" si="403"/>
        <v>#DIV/0!</v>
      </c>
      <c r="MMV133" s="531" t="e">
        <f t="shared" si="403"/>
        <v>#DIV/0!</v>
      </c>
      <c r="MMW133" s="531" t="e">
        <f t="shared" si="403"/>
        <v>#DIV/0!</v>
      </c>
      <c r="MMX133" s="531" t="e">
        <f t="shared" si="403"/>
        <v>#DIV/0!</v>
      </c>
      <c r="MMY133" s="531" t="e">
        <f t="shared" si="403"/>
        <v>#DIV/0!</v>
      </c>
      <c r="MMZ133" s="531" t="e">
        <f t="shared" si="403"/>
        <v>#DIV/0!</v>
      </c>
      <c r="MNA133" s="531" t="e">
        <f t="shared" si="403"/>
        <v>#DIV/0!</v>
      </c>
      <c r="MNB133" s="531" t="e">
        <f t="shared" si="403"/>
        <v>#DIV/0!</v>
      </c>
      <c r="MNC133" s="531" t="e">
        <f t="shared" si="403"/>
        <v>#DIV/0!</v>
      </c>
      <c r="MND133" s="531" t="e">
        <f t="shared" si="403"/>
        <v>#DIV/0!</v>
      </c>
      <c r="MNE133" s="531" t="e">
        <f t="shared" si="403"/>
        <v>#DIV/0!</v>
      </c>
      <c r="MNF133" s="531" t="e">
        <f t="shared" si="403"/>
        <v>#DIV/0!</v>
      </c>
      <c r="MNG133" s="531" t="e">
        <f t="shared" ref="MNG133:MPR133" si="404">MNG116/(MNG52*10^5)</f>
        <v>#DIV/0!</v>
      </c>
      <c r="MNH133" s="531" t="e">
        <f t="shared" si="404"/>
        <v>#DIV/0!</v>
      </c>
      <c r="MNI133" s="531" t="e">
        <f t="shared" si="404"/>
        <v>#DIV/0!</v>
      </c>
      <c r="MNJ133" s="531" t="e">
        <f t="shared" si="404"/>
        <v>#DIV/0!</v>
      </c>
      <c r="MNK133" s="531" t="e">
        <f t="shared" si="404"/>
        <v>#DIV/0!</v>
      </c>
      <c r="MNL133" s="531" t="e">
        <f t="shared" si="404"/>
        <v>#DIV/0!</v>
      </c>
      <c r="MNM133" s="531" t="e">
        <f t="shared" si="404"/>
        <v>#DIV/0!</v>
      </c>
      <c r="MNN133" s="531" t="e">
        <f t="shared" si="404"/>
        <v>#DIV/0!</v>
      </c>
      <c r="MNO133" s="531" t="e">
        <f t="shared" si="404"/>
        <v>#DIV/0!</v>
      </c>
      <c r="MNP133" s="531" t="e">
        <f t="shared" si="404"/>
        <v>#DIV/0!</v>
      </c>
      <c r="MNQ133" s="531" t="e">
        <f t="shared" si="404"/>
        <v>#DIV/0!</v>
      </c>
      <c r="MNR133" s="531" t="e">
        <f t="shared" si="404"/>
        <v>#DIV/0!</v>
      </c>
      <c r="MNS133" s="531" t="e">
        <f t="shared" si="404"/>
        <v>#DIV/0!</v>
      </c>
      <c r="MNT133" s="531" t="e">
        <f t="shared" si="404"/>
        <v>#DIV/0!</v>
      </c>
      <c r="MNU133" s="531" t="e">
        <f t="shared" si="404"/>
        <v>#DIV/0!</v>
      </c>
      <c r="MNV133" s="531" t="e">
        <f t="shared" si="404"/>
        <v>#DIV/0!</v>
      </c>
      <c r="MNW133" s="531" t="e">
        <f t="shared" si="404"/>
        <v>#DIV/0!</v>
      </c>
      <c r="MNX133" s="531" t="e">
        <f t="shared" si="404"/>
        <v>#DIV/0!</v>
      </c>
      <c r="MNY133" s="531" t="e">
        <f t="shared" si="404"/>
        <v>#DIV/0!</v>
      </c>
      <c r="MNZ133" s="531" t="e">
        <f t="shared" si="404"/>
        <v>#DIV/0!</v>
      </c>
      <c r="MOA133" s="531" t="e">
        <f t="shared" si="404"/>
        <v>#DIV/0!</v>
      </c>
      <c r="MOB133" s="531" t="e">
        <f t="shared" si="404"/>
        <v>#DIV/0!</v>
      </c>
      <c r="MOC133" s="531" t="e">
        <f t="shared" si="404"/>
        <v>#DIV/0!</v>
      </c>
      <c r="MOD133" s="531" t="e">
        <f t="shared" si="404"/>
        <v>#DIV/0!</v>
      </c>
      <c r="MOE133" s="531" t="e">
        <f t="shared" si="404"/>
        <v>#DIV/0!</v>
      </c>
      <c r="MOF133" s="531" t="e">
        <f t="shared" si="404"/>
        <v>#DIV/0!</v>
      </c>
      <c r="MOG133" s="531" t="e">
        <f t="shared" si="404"/>
        <v>#DIV/0!</v>
      </c>
      <c r="MOH133" s="531" t="e">
        <f t="shared" si="404"/>
        <v>#DIV/0!</v>
      </c>
      <c r="MOI133" s="531" t="e">
        <f t="shared" si="404"/>
        <v>#DIV/0!</v>
      </c>
      <c r="MOJ133" s="531" t="e">
        <f t="shared" si="404"/>
        <v>#DIV/0!</v>
      </c>
      <c r="MOK133" s="531" t="e">
        <f t="shared" si="404"/>
        <v>#DIV/0!</v>
      </c>
      <c r="MOL133" s="531" t="e">
        <f t="shared" si="404"/>
        <v>#DIV/0!</v>
      </c>
      <c r="MOM133" s="531" t="e">
        <f t="shared" si="404"/>
        <v>#DIV/0!</v>
      </c>
      <c r="MON133" s="531" t="e">
        <f t="shared" si="404"/>
        <v>#DIV/0!</v>
      </c>
      <c r="MOO133" s="531" t="e">
        <f t="shared" si="404"/>
        <v>#DIV/0!</v>
      </c>
      <c r="MOP133" s="531" t="e">
        <f t="shared" si="404"/>
        <v>#DIV/0!</v>
      </c>
      <c r="MOQ133" s="531" t="e">
        <f t="shared" si="404"/>
        <v>#DIV/0!</v>
      </c>
      <c r="MOR133" s="531" t="e">
        <f t="shared" si="404"/>
        <v>#DIV/0!</v>
      </c>
      <c r="MOS133" s="531" t="e">
        <f t="shared" si="404"/>
        <v>#DIV/0!</v>
      </c>
      <c r="MOT133" s="531" t="e">
        <f t="shared" si="404"/>
        <v>#DIV/0!</v>
      </c>
      <c r="MOU133" s="531" t="e">
        <f t="shared" si="404"/>
        <v>#DIV/0!</v>
      </c>
      <c r="MOV133" s="531" t="e">
        <f t="shared" si="404"/>
        <v>#DIV/0!</v>
      </c>
      <c r="MOW133" s="531" t="e">
        <f t="shared" si="404"/>
        <v>#DIV/0!</v>
      </c>
      <c r="MOX133" s="531" t="e">
        <f t="shared" si="404"/>
        <v>#DIV/0!</v>
      </c>
      <c r="MOY133" s="531" t="e">
        <f t="shared" si="404"/>
        <v>#DIV/0!</v>
      </c>
      <c r="MOZ133" s="531" t="e">
        <f t="shared" si="404"/>
        <v>#DIV/0!</v>
      </c>
      <c r="MPA133" s="531" t="e">
        <f t="shared" si="404"/>
        <v>#DIV/0!</v>
      </c>
      <c r="MPB133" s="531" t="e">
        <f t="shared" si="404"/>
        <v>#DIV/0!</v>
      </c>
      <c r="MPC133" s="531" t="e">
        <f t="shared" si="404"/>
        <v>#DIV/0!</v>
      </c>
      <c r="MPD133" s="531" t="e">
        <f t="shared" si="404"/>
        <v>#DIV/0!</v>
      </c>
      <c r="MPE133" s="531" t="e">
        <f t="shared" si="404"/>
        <v>#DIV/0!</v>
      </c>
      <c r="MPF133" s="531" t="e">
        <f t="shared" si="404"/>
        <v>#DIV/0!</v>
      </c>
      <c r="MPG133" s="531" t="e">
        <f t="shared" si="404"/>
        <v>#DIV/0!</v>
      </c>
      <c r="MPH133" s="531" t="e">
        <f t="shared" si="404"/>
        <v>#DIV/0!</v>
      </c>
      <c r="MPI133" s="531" t="e">
        <f t="shared" si="404"/>
        <v>#DIV/0!</v>
      </c>
      <c r="MPJ133" s="531" t="e">
        <f t="shared" si="404"/>
        <v>#DIV/0!</v>
      </c>
      <c r="MPK133" s="531" t="e">
        <f t="shared" si="404"/>
        <v>#DIV/0!</v>
      </c>
      <c r="MPL133" s="531" t="e">
        <f t="shared" si="404"/>
        <v>#DIV/0!</v>
      </c>
      <c r="MPM133" s="531" t="e">
        <f t="shared" si="404"/>
        <v>#DIV/0!</v>
      </c>
      <c r="MPN133" s="531" t="e">
        <f t="shared" si="404"/>
        <v>#DIV/0!</v>
      </c>
      <c r="MPO133" s="531" t="e">
        <f t="shared" si="404"/>
        <v>#DIV/0!</v>
      </c>
      <c r="MPP133" s="531" t="e">
        <f t="shared" si="404"/>
        <v>#DIV/0!</v>
      </c>
      <c r="MPQ133" s="531" t="e">
        <f t="shared" si="404"/>
        <v>#DIV/0!</v>
      </c>
      <c r="MPR133" s="531" t="e">
        <f t="shared" si="404"/>
        <v>#DIV/0!</v>
      </c>
      <c r="MPS133" s="531" t="e">
        <f t="shared" ref="MPS133:MSD133" si="405">MPS116/(MPS52*10^5)</f>
        <v>#DIV/0!</v>
      </c>
      <c r="MPT133" s="531" t="e">
        <f t="shared" si="405"/>
        <v>#DIV/0!</v>
      </c>
      <c r="MPU133" s="531" t="e">
        <f t="shared" si="405"/>
        <v>#DIV/0!</v>
      </c>
      <c r="MPV133" s="531" t="e">
        <f t="shared" si="405"/>
        <v>#DIV/0!</v>
      </c>
      <c r="MPW133" s="531" t="e">
        <f t="shared" si="405"/>
        <v>#DIV/0!</v>
      </c>
      <c r="MPX133" s="531" t="e">
        <f t="shared" si="405"/>
        <v>#DIV/0!</v>
      </c>
      <c r="MPY133" s="531" t="e">
        <f t="shared" si="405"/>
        <v>#DIV/0!</v>
      </c>
      <c r="MPZ133" s="531" t="e">
        <f t="shared" si="405"/>
        <v>#DIV/0!</v>
      </c>
      <c r="MQA133" s="531" t="e">
        <f t="shared" si="405"/>
        <v>#DIV/0!</v>
      </c>
      <c r="MQB133" s="531" t="e">
        <f t="shared" si="405"/>
        <v>#DIV/0!</v>
      </c>
      <c r="MQC133" s="531" t="e">
        <f t="shared" si="405"/>
        <v>#DIV/0!</v>
      </c>
      <c r="MQD133" s="531" t="e">
        <f t="shared" si="405"/>
        <v>#DIV/0!</v>
      </c>
      <c r="MQE133" s="531" t="e">
        <f t="shared" si="405"/>
        <v>#DIV/0!</v>
      </c>
      <c r="MQF133" s="531" t="e">
        <f t="shared" si="405"/>
        <v>#DIV/0!</v>
      </c>
      <c r="MQG133" s="531" t="e">
        <f t="shared" si="405"/>
        <v>#DIV/0!</v>
      </c>
      <c r="MQH133" s="531" t="e">
        <f t="shared" si="405"/>
        <v>#DIV/0!</v>
      </c>
      <c r="MQI133" s="531" t="e">
        <f t="shared" si="405"/>
        <v>#DIV/0!</v>
      </c>
      <c r="MQJ133" s="531" t="e">
        <f t="shared" si="405"/>
        <v>#DIV/0!</v>
      </c>
      <c r="MQK133" s="531" t="e">
        <f t="shared" si="405"/>
        <v>#DIV/0!</v>
      </c>
      <c r="MQL133" s="531" t="e">
        <f t="shared" si="405"/>
        <v>#DIV/0!</v>
      </c>
      <c r="MQM133" s="531" t="e">
        <f t="shared" si="405"/>
        <v>#DIV/0!</v>
      </c>
      <c r="MQN133" s="531" t="e">
        <f t="shared" si="405"/>
        <v>#DIV/0!</v>
      </c>
      <c r="MQO133" s="531" t="e">
        <f t="shared" si="405"/>
        <v>#DIV/0!</v>
      </c>
      <c r="MQP133" s="531" t="e">
        <f t="shared" si="405"/>
        <v>#DIV/0!</v>
      </c>
      <c r="MQQ133" s="531" t="e">
        <f t="shared" si="405"/>
        <v>#DIV/0!</v>
      </c>
      <c r="MQR133" s="531" t="e">
        <f t="shared" si="405"/>
        <v>#DIV/0!</v>
      </c>
      <c r="MQS133" s="531" t="e">
        <f t="shared" si="405"/>
        <v>#DIV/0!</v>
      </c>
      <c r="MQT133" s="531" t="e">
        <f t="shared" si="405"/>
        <v>#DIV/0!</v>
      </c>
      <c r="MQU133" s="531" t="e">
        <f t="shared" si="405"/>
        <v>#DIV/0!</v>
      </c>
      <c r="MQV133" s="531" t="e">
        <f t="shared" si="405"/>
        <v>#DIV/0!</v>
      </c>
      <c r="MQW133" s="531" t="e">
        <f t="shared" si="405"/>
        <v>#DIV/0!</v>
      </c>
      <c r="MQX133" s="531" t="e">
        <f t="shared" si="405"/>
        <v>#DIV/0!</v>
      </c>
      <c r="MQY133" s="531" t="e">
        <f t="shared" si="405"/>
        <v>#DIV/0!</v>
      </c>
      <c r="MQZ133" s="531" t="e">
        <f t="shared" si="405"/>
        <v>#DIV/0!</v>
      </c>
      <c r="MRA133" s="531" t="e">
        <f t="shared" si="405"/>
        <v>#DIV/0!</v>
      </c>
      <c r="MRB133" s="531" t="e">
        <f t="shared" si="405"/>
        <v>#DIV/0!</v>
      </c>
      <c r="MRC133" s="531" t="e">
        <f t="shared" si="405"/>
        <v>#DIV/0!</v>
      </c>
      <c r="MRD133" s="531" t="e">
        <f t="shared" si="405"/>
        <v>#DIV/0!</v>
      </c>
      <c r="MRE133" s="531" t="e">
        <f t="shared" si="405"/>
        <v>#DIV/0!</v>
      </c>
      <c r="MRF133" s="531" t="e">
        <f t="shared" si="405"/>
        <v>#DIV/0!</v>
      </c>
      <c r="MRG133" s="531" t="e">
        <f t="shared" si="405"/>
        <v>#DIV/0!</v>
      </c>
      <c r="MRH133" s="531" t="e">
        <f t="shared" si="405"/>
        <v>#DIV/0!</v>
      </c>
      <c r="MRI133" s="531" t="e">
        <f t="shared" si="405"/>
        <v>#DIV/0!</v>
      </c>
      <c r="MRJ133" s="531" t="e">
        <f t="shared" si="405"/>
        <v>#DIV/0!</v>
      </c>
      <c r="MRK133" s="531" t="e">
        <f t="shared" si="405"/>
        <v>#DIV/0!</v>
      </c>
      <c r="MRL133" s="531" t="e">
        <f t="shared" si="405"/>
        <v>#DIV/0!</v>
      </c>
      <c r="MRM133" s="531" t="e">
        <f t="shared" si="405"/>
        <v>#DIV/0!</v>
      </c>
      <c r="MRN133" s="531" t="e">
        <f t="shared" si="405"/>
        <v>#DIV/0!</v>
      </c>
      <c r="MRO133" s="531" t="e">
        <f t="shared" si="405"/>
        <v>#DIV/0!</v>
      </c>
      <c r="MRP133" s="531" t="e">
        <f t="shared" si="405"/>
        <v>#DIV/0!</v>
      </c>
      <c r="MRQ133" s="531" t="e">
        <f t="shared" si="405"/>
        <v>#DIV/0!</v>
      </c>
      <c r="MRR133" s="531" t="e">
        <f t="shared" si="405"/>
        <v>#DIV/0!</v>
      </c>
      <c r="MRS133" s="531" t="e">
        <f t="shared" si="405"/>
        <v>#DIV/0!</v>
      </c>
      <c r="MRT133" s="531" t="e">
        <f t="shared" si="405"/>
        <v>#DIV/0!</v>
      </c>
      <c r="MRU133" s="531" t="e">
        <f t="shared" si="405"/>
        <v>#DIV/0!</v>
      </c>
      <c r="MRV133" s="531" t="e">
        <f t="shared" si="405"/>
        <v>#DIV/0!</v>
      </c>
      <c r="MRW133" s="531" t="e">
        <f t="shared" si="405"/>
        <v>#DIV/0!</v>
      </c>
      <c r="MRX133" s="531" t="e">
        <f t="shared" si="405"/>
        <v>#DIV/0!</v>
      </c>
      <c r="MRY133" s="531" t="e">
        <f t="shared" si="405"/>
        <v>#DIV/0!</v>
      </c>
      <c r="MRZ133" s="531" t="e">
        <f t="shared" si="405"/>
        <v>#DIV/0!</v>
      </c>
      <c r="MSA133" s="531" t="e">
        <f t="shared" si="405"/>
        <v>#DIV/0!</v>
      </c>
      <c r="MSB133" s="531" t="e">
        <f t="shared" si="405"/>
        <v>#DIV/0!</v>
      </c>
      <c r="MSC133" s="531" t="e">
        <f t="shared" si="405"/>
        <v>#DIV/0!</v>
      </c>
      <c r="MSD133" s="531" t="e">
        <f t="shared" si="405"/>
        <v>#DIV/0!</v>
      </c>
      <c r="MSE133" s="531" t="e">
        <f t="shared" ref="MSE133:MUP133" si="406">MSE116/(MSE52*10^5)</f>
        <v>#DIV/0!</v>
      </c>
      <c r="MSF133" s="531" t="e">
        <f t="shared" si="406"/>
        <v>#DIV/0!</v>
      </c>
      <c r="MSG133" s="531" t="e">
        <f t="shared" si="406"/>
        <v>#DIV/0!</v>
      </c>
      <c r="MSH133" s="531" t="e">
        <f t="shared" si="406"/>
        <v>#DIV/0!</v>
      </c>
      <c r="MSI133" s="531" t="e">
        <f t="shared" si="406"/>
        <v>#DIV/0!</v>
      </c>
      <c r="MSJ133" s="531" t="e">
        <f t="shared" si="406"/>
        <v>#DIV/0!</v>
      </c>
      <c r="MSK133" s="531" t="e">
        <f t="shared" si="406"/>
        <v>#DIV/0!</v>
      </c>
      <c r="MSL133" s="531" t="e">
        <f t="shared" si="406"/>
        <v>#DIV/0!</v>
      </c>
      <c r="MSM133" s="531" t="e">
        <f t="shared" si="406"/>
        <v>#DIV/0!</v>
      </c>
      <c r="MSN133" s="531" t="e">
        <f t="shared" si="406"/>
        <v>#DIV/0!</v>
      </c>
      <c r="MSO133" s="531" t="e">
        <f t="shared" si="406"/>
        <v>#DIV/0!</v>
      </c>
      <c r="MSP133" s="531" t="e">
        <f t="shared" si="406"/>
        <v>#DIV/0!</v>
      </c>
      <c r="MSQ133" s="531" t="e">
        <f t="shared" si="406"/>
        <v>#DIV/0!</v>
      </c>
      <c r="MSR133" s="531" t="e">
        <f t="shared" si="406"/>
        <v>#DIV/0!</v>
      </c>
      <c r="MSS133" s="531" t="e">
        <f t="shared" si="406"/>
        <v>#DIV/0!</v>
      </c>
      <c r="MST133" s="531" t="e">
        <f t="shared" si="406"/>
        <v>#DIV/0!</v>
      </c>
      <c r="MSU133" s="531" t="e">
        <f t="shared" si="406"/>
        <v>#DIV/0!</v>
      </c>
      <c r="MSV133" s="531" t="e">
        <f t="shared" si="406"/>
        <v>#DIV/0!</v>
      </c>
      <c r="MSW133" s="531" t="e">
        <f t="shared" si="406"/>
        <v>#DIV/0!</v>
      </c>
      <c r="MSX133" s="531" t="e">
        <f t="shared" si="406"/>
        <v>#DIV/0!</v>
      </c>
      <c r="MSY133" s="531" t="e">
        <f t="shared" si="406"/>
        <v>#DIV/0!</v>
      </c>
      <c r="MSZ133" s="531" t="e">
        <f t="shared" si="406"/>
        <v>#DIV/0!</v>
      </c>
      <c r="MTA133" s="531" t="e">
        <f t="shared" si="406"/>
        <v>#DIV/0!</v>
      </c>
      <c r="MTB133" s="531" t="e">
        <f t="shared" si="406"/>
        <v>#DIV/0!</v>
      </c>
      <c r="MTC133" s="531" t="e">
        <f t="shared" si="406"/>
        <v>#DIV/0!</v>
      </c>
      <c r="MTD133" s="531" t="e">
        <f t="shared" si="406"/>
        <v>#DIV/0!</v>
      </c>
      <c r="MTE133" s="531" t="e">
        <f t="shared" si="406"/>
        <v>#DIV/0!</v>
      </c>
      <c r="MTF133" s="531" t="e">
        <f t="shared" si="406"/>
        <v>#DIV/0!</v>
      </c>
      <c r="MTG133" s="531" t="e">
        <f t="shared" si="406"/>
        <v>#DIV/0!</v>
      </c>
      <c r="MTH133" s="531" t="e">
        <f t="shared" si="406"/>
        <v>#DIV/0!</v>
      </c>
      <c r="MTI133" s="531" t="e">
        <f t="shared" si="406"/>
        <v>#DIV/0!</v>
      </c>
      <c r="MTJ133" s="531" t="e">
        <f t="shared" si="406"/>
        <v>#DIV/0!</v>
      </c>
      <c r="MTK133" s="531" t="e">
        <f t="shared" si="406"/>
        <v>#DIV/0!</v>
      </c>
      <c r="MTL133" s="531" t="e">
        <f t="shared" si="406"/>
        <v>#DIV/0!</v>
      </c>
      <c r="MTM133" s="531" t="e">
        <f t="shared" si="406"/>
        <v>#DIV/0!</v>
      </c>
      <c r="MTN133" s="531" t="e">
        <f t="shared" si="406"/>
        <v>#DIV/0!</v>
      </c>
      <c r="MTO133" s="531" t="e">
        <f t="shared" si="406"/>
        <v>#DIV/0!</v>
      </c>
      <c r="MTP133" s="531" t="e">
        <f t="shared" si="406"/>
        <v>#DIV/0!</v>
      </c>
      <c r="MTQ133" s="531" t="e">
        <f t="shared" si="406"/>
        <v>#DIV/0!</v>
      </c>
      <c r="MTR133" s="531" t="e">
        <f t="shared" si="406"/>
        <v>#DIV/0!</v>
      </c>
      <c r="MTS133" s="531" t="e">
        <f t="shared" si="406"/>
        <v>#DIV/0!</v>
      </c>
      <c r="MTT133" s="531" t="e">
        <f t="shared" si="406"/>
        <v>#DIV/0!</v>
      </c>
      <c r="MTU133" s="531" t="e">
        <f t="shared" si="406"/>
        <v>#DIV/0!</v>
      </c>
      <c r="MTV133" s="531" t="e">
        <f t="shared" si="406"/>
        <v>#DIV/0!</v>
      </c>
      <c r="MTW133" s="531" t="e">
        <f t="shared" si="406"/>
        <v>#DIV/0!</v>
      </c>
      <c r="MTX133" s="531" t="e">
        <f t="shared" si="406"/>
        <v>#DIV/0!</v>
      </c>
      <c r="MTY133" s="531" t="e">
        <f t="shared" si="406"/>
        <v>#DIV/0!</v>
      </c>
      <c r="MTZ133" s="531" t="e">
        <f t="shared" si="406"/>
        <v>#DIV/0!</v>
      </c>
      <c r="MUA133" s="531" t="e">
        <f t="shared" si="406"/>
        <v>#DIV/0!</v>
      </c>
      <c r="MUB133" s="531" t="e">
        <f t="shared" si="406"/>
        <v>#DIV/0!</v>
      </c>
      <c r="MUC133" s="531" t="e">
        <f t="shared" si="406"/>
        <v>#DIV/0!</v>
      </c>
      <c r="MUD133" s="531" t="e">
        <f t="shared" si="406"/>
        <v>#DIV/0!</v>
      </c>
      <c r="MUE133" s="531" t="e">
        <f t="shared" si="406"/>
        <v>#DIV/0!</v>
      </c>
      <c r="MUF133" s="531" t="e">
        <f t="shared" si="406"/>
        <v>#DIV/0!</v>
      </c>
      <c r="MUG133" s="531" t="e">
        <f t="shared" si="406"/>
        <v>#DIV/0!</v>
      </c>
      <c r="MUH133" s="531" t="e">
        <f t="shared" si="406"/>
        <v>#DIV/0!</v>
      </c>
      <c r="MUI133" s="531" t="e">
        <f t="shared" si="406"/>
        <v>#DIV/0!</v>
      </c>
      <c r="MUJ133" s="531" t="e">
        <f t="shared" si="406"/>
        <v>#DIV/0!</v>
      </c>
      <c r="MUK133" s="531" t="e">
        <f t="shared" si="406"/>
        <v>#DIV/0!</v>
      </c>
      <c r="MUL133" s="531" t="e">
        <f t="shared" si="406"/>
        <v>#DIV/0!</v>
      </c>
      <c r="MUM133" s="531" t="e">
        <f t="shared" si="406"/>
        <v>#DIV/0!</v>
      </c>
      <c r="MUN133" s="531" t="e">
        <f t="shared" si="406"/>
        <v>#DIV/0!</v>
      </c>
      <c r="MUO133" s="531" t="e">
        <f t="shared" si="406"/>
        <v>#DIV/0!</v>
      </c>
      <c r="MUP133" s="531" t="e">
        <f t="shared" si="406"/>
        <v>#DIV/0!</v>
      </c>
      <c r="MUQ133" s="531" t="e">
        <f t="shared" ref="MUQ133:MXB133" si="407">MUQ116/(MUQ52*10^5)</f>
        <v>#DIV/0!</v>
      </c>
      <c r="MUR133" s="531" t="e">
        <f t="shared" si="407"/>
        <v>#DIV/0!</v>
      </c>
      <c r="MUS133" s="531" t="e">
        <f t="shared" si="407"/>
        <v>#DIV/0!</v>
      </c>
      <c r="MUT133" s="531" t="e">
        <f t="shared" si="407"/>
        <v>#DIV/0!</v>
      </c>
      <c r="MUU133" s="531" t="e">
        <f t="shared" si="407"/>
        <v>#DIV/0!</v>
      </c>
      <c r="MUV133" s="531" t="e">
        <f t="shared" si="407"/>
        <v>#DIV/0!</v>
      </c>
      <c r="MUW133" s="531" t="e">
        <f t="shared" si="407"/>
        <v>#DIV/0!</v>
      </c>
      <c r="MUX133" s="531" t="e">
        <f t="shared" si="407"/>
        <v>#DIV/0!</v>
      </c>
      <c r="MUY133" s="531" t="e">
        <f t="shared" si="407"/>
        <v>#DIV/0!</v>
      </c>
      <c r="MUZ133" s="531" t="e">
        <f t="shared" si="407"/>
        <v>#DIV/0!</v>
      </c>
      <c r="MVA133" s="531" t="e">
        <f t="shared" si="407"/>
        <v>#DIV/0!</v>
      </c>
      <c r="MVB133" s="531" t="e">
        <f t="shared" si="407"/>
        <v>#DIV/0!</v>
      </c>
      <c r="MVC133" s="531" t="e">
        <f t="shared" si="407"/>
        <v>#DIV/0!</v>
      </c>
      <c r="MVD133" s="531" t="e">
        <f t="shared" si="407"/>
        <v>#DIV/0!</v>
      </c>
      <c r="MVE133" s="531" t="e">
        <f t="shared" si="407"/>
        <v>#DIV/0!</v>
      </c>
      <c r="MVF133" s="531" t="e">
        <f t="shared" si="407"/>
        <v>#DIV/0!</v>
      </c>
      <c r="MVG133" s="531" t="e">
        <f t="shared" si="407"/>
        <v>#DIV/0!</v>
      </c>
      <c r="MVH133" s="531" t="e">
        <f t="shared" si="407"/>
        <v>#DIV/0!</v>
      </c>
      <c r="MVI133" s="531" t="e">
        <f t="shared" si="407"/>
        <v>#DIV/0!</v>
      </c>
      <c r="MVJ133" s="531" t="e">
        <f t="shared" si="407"/>
        <v>#DIV/0!</v>
      </c>
      <c r="MVK133" s="531" t="e">
        <f t="shared" si="407"/>
        <v>#DIV/0!</v>
      </c>
      <c r="MVL133" s="531" t="e">
        <f t="shared" si="407"/>
        <v>#DIV/0!</v>
      </c>
      <c r="MVM133" s="531" t="e">
        <f t="shared" si="407"/>
        <v>#DIV/0!</v>
      </c>
      <c r="MVN133" s="531" t="e">
        <f t="shared" si="407"/>
        <v>#DIV/0!</v>
      </c>
      <c r="MVO133" s="531" t="e">
        <f t="shared" si="407"/>
        <v>#DIV/0!</v>
      </c>
      <c r="MVP133" s="531" t="e">
        <f t="shared" si="407"/>
        <v>#DIV/0!</v>
      </c>
      <c r="MVQ133" s="531" t="e">
        <f t="shared" si="407"/>
        <v>#DIV/0!</v>
      </c>
      <c r="MVR133" s="531" t="e">
        <f t="shared" si="407"/>
        <v>#DIV/0!</v>
      </c>
      <c r="MVS133" s="531" t="e">
        <f t="shared" si="407"/>
        <v>#DIV/0!</v>
      </c>
      <c r="MVT133" s="531" t="e">
        <f t="shared" si="407"/>
        <v>#DIV/0!</v>
      </c>
      <c r="MVU133" s="531" t="e">
        <f t="shared" si="407"/>
        <v>#DIV/0!</v>
      </c>
      <c r="MVV133" s="531" t="e">
        <f t="shared" si="407"/>
        <v>#DIV/0!</v>
      </c>
      <c r="MVW133" s="531" t="e">
        <f t="shared" si="407"/>
        <v>#DIV/0!</v>
      </c>
      <c r="MVX133" s="531" t="e">
        <f t="shared" si="407"/>
        <v>#DIV/0!</v>
      </c>
      <c r="MVY133" s="531" t="e">
        <f t="shared" si="407"/>
        <v>#DIV/0!</v>
      </c>
      <c r="MVZ133" s="531" t="e">
        <f t="shared" si="407"/>
        <v>#DIV/0!</v>
      </c>
      <c r="MWA133" s="531" t="e">
        <f t="shared" si="407"/>
        <v>#DIV/0!</v>
      </c>
      <c r="MWB133" s="531" t="e">
        <f t="shared" si="407"/>
        <v>#DIV/0!</v>
      </c>
      <c r="MWC133" s="531" t="e">
        <f t="shared" si="407"/>
        <v>#DIV/0!</v>
      </c>
      <c r="MWD133" s="531" t="e">
        <f t="shared" si="407"/>
        <v>#DIV/0!</v>
      </c>
      <c r="MWE133" s="531" t="e">
        <f t="shared" si="407"/>
        <v>#DIV/0!</v>
      </c>
      <c r="MWF133" s="531" t="e">
        <f t="shared" si="407"/>
        <v>#DIV/0!</v>
      </c>
      <c r="MWG133" s="531" t="e">
        <f t="shared" si="407"/>
        <v>#DIV/0!</v>
      </c>
      <c r="MWH133" s="531" t="e">
        <f t="shared" si="407"/>
        <v>#DIV/0!</v>
      </c>
      <c r="MWI133" s="531" t="e">
        <f t="shared" si="407"/>
        <v>#DIV/0!</v>
      </c>
      <c r="MWJ133" s="531" t="e">
        <f t="shared" si="407"/>
        <v>#DIV/0!</v>
      </c>
      <c r="MWK133" s="531" t="e">
        <f t="shared" si="407"/>
        <v>#DIV/0!</v>
      </c>
      <c r="MWL133" s="531" t="e">
        <f t="shared" si="407"/>
        <v>#DIV/0!</v>
      </c>
      <c r="MWM133" s="531" t="e">
        <f t="shared" si="407"/>
        <v>#DIV/0!</v>
      </c>
      <c r="MWN133" s="531" t="e">
        <f t="shared" si="407"/>
        <v>#DIV/0!</v>
      </c>
      <c r="MWO133" s="531" t="e">
        <f t="shared" si="407"/>
        <v>#DIV/0!</v>
      </c>
      <c r="MWP133" s="531" t="e">
        <f t="shared" si="407"/>
        <v>#DIV/0!</v>
      </c>
      <c r="MWQ133" s="531" t="e">
        <f t="shared" si="407"/>
        <v>#DIV/0!</v>
      </c>
      <c r="MWR133" s="531" t="e">
        <f t="shared" si="407"/>
        <v>#DIV/0!</v>
      </c>
      <c r="MWS133" s="531" t="e">
        <f t="shared" si="407"/>
        <v>#DIV/0!</v>
      </c>
      <c r="MWT133" s="531" t="e">
        <f t="shared" si="407"/>
        <v>#DIV/0!</v>
      </c>
      <c r="MWU133" s="531" t="e">
        <f t="shared" si="407"/>
        <v>#DIV/0!</v>
      </c>
      <c r="MWV133" s="531" t="e">
        <f t="shared" si="407"/>
        <v>#DIV/0!</v>
      </c>
      <c r="MWW133" s="531" t="e">
        <f t="shared" si="407"/>
        <v>#DIV/0!</v>
      </c>
      <c r="MWX133" s="531" t="e">
        <f t="shared" si="407"/>
        <v>#DIV/0!</v>
      </c>
      <c r="MWY133" s="531" t="e">
        <f t="shared" si="407"/>
        <v>#DIV/0!</v>
      </c>
      <c r="MWZ133" s="531" t="e">
        <f t="shared" si="407"/>
        <v>#DIV/0!</v>
      </c>
      <c r="MXA133" s="531" t="e">
        <f t="shared" si="407"/>
        <v>#DIV/0!</v>
      </c>
      <c r="MXB133" s="531" t="e">
        <f t="shared" si="407"/>
        <v>#DIV/0!</v>
      </c>
      <c r="MXC133" s="531" t="e">
        <f t="shared" ref="MXC133:MZN133" si="408">MXC116/(MXC52*10^5)</f>
        <v>#DIV/0!</v>
      </c>
      <c r="MXD133" s="531" t="e">
        <f t="shared" si="408"/>
        <v>#DIV/0!</v>
      </c>
      <c r="MXE133" s="531" t="e">
        <f t="shared" si="408"/>
        <v>#DIV/0!</v>
      </c>
      <c r="MXF133" s="531" t="e">
        <f t="shared" si="408"/>
        <v>#DIV/0!</v>
      </c>
      <c r="MXG133" s="531" t="e">
        <f t="shared" si="408"/>
        <v>#DIV/0!</v>
      </c>
      <c r="MXH133" s="531" t="e">
        <f t="shared" si="408"/>
        <v>#DIV/0!</v>
      </c>
      <c r="MXI133" s="531" t="e">
        <f t="shared" si="408"/>
        <v>#DIV/0!</v>
      </c>
      <c r="MXJ133" s="531" t="e">
        <f t="shared" si="408"/>
        <v>#DIV/0!</v>
      </c>
      <c r="MXK133" s="531" t="e">
        <f t="shared" si="408"/>
        <v>#DIV/0!</v>
      </c>
      <c r="MXL133" s="531" t="e">
        <f t="shared" si="408"/>
        <v>#DIV/0!</v>
      </c>
      <c r="MXM133" s="531" t="e">
        <f t="shared" si="408"/>
        <v>#DIV/0!</v>
      </c>
      <c r="MXN133" s="531" t="e">
        <f t="shared" si="408"/>
        <v>#DIV/0!</v>
      </c>
      <c r="MXO133" s="531" t="e">
        <f t="shared" si="408"/>
        <v>#DIV/0!</v>
      </c>
      <c r="MXP133" s="531" t="e">
        <f t="shared" si="408"/>
        <v>#DIV/0!</v>
      </c>
      <c r="MXQ133" s="531" t="e">
        <f t="shared" si="408"/>
        <v>#DIV/0!</v>
      </c>
      <c r="MXR133" s="531" t="e">
        <f t="shared" si="408"/>
        <v>#DIV/0!</v>
      </c>
      <c r="MXS133" s="531" t="e">
        <f t="shared" si="408"/>
        <v>#DIV/0!</v>
      </c>
      <c r="MXT133" s="531" t="e">
        <f t="shared" si="408"/>
        <v>#DIV/0!</v>
      </c>
      <c r="MXU133" s="531" t="e">
        <f t="shared" si="408"/>
        <v>#DIV/0!</v>
      </c>
      <c r="MXV133" s="531" t="e">
        <f t="shared" si="408"/>
        <v>#DIV/0!</v>
      </c>
      <c r="MXW133" s="531" t="e">
        <f t="shared" si="408"/>
        <v>#DIV/0!</v>
      </c>
      <c r="MXX133" s="531" t="e">
        <f t="shared" si="408"/>
        <v>#DIV/0!</v>
      </c>
      <c r="MXY133" s="531" t="e">
        <f t="shared" si="408"/>
        <v>#DIV/0!</v>
      </c>
      <c r="MXZ133" s="531" t="e">
        <f t="shared" si="408"/>
        <v>#DIV/0!</v>
      </c>
      <c r="MYA133" s="531" t="e">
        <f t="shared" si="408"/>
        <v>#DIV/0!</v>
      </c>
      <c r="MYB133" s="531" t="e">
        <f t="shared" si="408"/>
        <v>#DIV/0!</v>
      </c>
      <c r="MYC133" s="531" t="e">
        <f t="shared" si="408"/>
        <v>#DIV/0!</v>
      </c>
      <c r="MYD133" s="531" t="e">
        <f t="shared" si="408"/>
        <v>#DIV/0!</v>
      </c>
      <c r="MYE133" s="531" t="e">
        <f t="shared" si="408"/>
        <v>#DIV/0!</v>
      </c>
      <c r="MYF133" s="531" t="e">
        <f t="shared" si="408"/>
        <v>#DIV/0!</v>
      </c>
      <c r="MYG133" s="531" t="e">
        <f t="shared" si="408"/>
        <v>#DIV/0!</v>
      </c>
      <c r="MYH133" s="531" t="e">
        <f t="shared" si="408"/>
        <v>#DIV/0!</v>
      </c>
      <c r="MYI133" s="531" t="e">
        <f t="shared" si="408"/>
        <v>#DIV/0!</v>
      </c>
      <c r="MYJ133" s="531" t="e">
        <f t="shared" si="408"/>
        <v>#DIV/0!</v>
      </c>
      <c r="MYK133" s="531" t="e">
        <f t="shared" si="408"/>
        <v>#DIV/0!</v>
      </c>
      <c r="MYL133" s="531" t="e">
        <f t="shared" si="408"/>
        <v>#DIV/0!</v>
      </c>
      <c r="MYM133" s="531" t="e">
        <f t="shared" si="408"/>
        <v>#DIV/0!</v>
      </c>
      <c r="MYN133" s="531" t="e">
        <f t="shared" si="408"/>
        <v>#DIV/0!</v>
      </c>
      <c r="MYO133" s="531" t="e">
        <f t="shared" si="408"/>
        <v>#DIV/0!</v>
      </c>
      <c r="MYP133" s="531" t="e">
        <f t="shared" si="408"/>
        <v>#DIV/0!</v>
      </c>
      <c r="MYQ133" s="531" t="e">
        <f t="shared" si="408"/>
        <v>#DIV/0!</v>
      </c>
      <c r="MYR133" s="531" t="e">
        <f t="shared" si="408"/>
        <v>#DIV/0!</v>
      </c>
      <c r="MYS133" s="531" t="e">
        <f t="shared" si="408"/>
        <v>#DIV/0!</v>
      </c>
      <c r="MYT133" s="531" t="e">
        <f t="shared" si="408"/>
        <v>#DIV/0!</v>
      </c>
      <c r="MYU133" s="531" t="e">
        <f t="shared" si="408"/>
        <v>#DIV/0!</v>
      </c>
      <c r="MYV133" s="531" t="e">
        <f t="shared" si="408"/>
        <v>#DIV/0!</v>
      </c>
      <c r="MYW133" s="531" t="e">
        <f t="shared" si="408"/>
        <v>#DIV/0!</v>
      </c>
      <c r="MYX133" s="531" t="e">
        <f t="shared" si="408"/>
        <v>#DIV/0!</v>
      </c>
      <c r="MYY133" s="531" t="e">
        <f t="shared" si="408"/>
        <v>#DIV/0!</v>
      </c>
      <c r="MYZ133" s="531" t="e">
        <f t="shared" si="408"/>
        <v>#DIV/0!</v>
      </c>
      <c r="MZA133" s="531" t="e">
        <f t="shared" si="408"/>
        <v>#DIV/0!</v>
      </c>
      <c r="MZB133" s="531" t="e">
        <f t="shared" si="408"/>
        <v>#DIV/0!</v>
      </c>
      <c r="MZC133" s="531" t="e">
        <f t="shared" si="408"/>
        <v>#DIV/0!</v>
      </c>
      <c r="MZD133" s="531" t="e">
        <f t="shared" si="408"/>
        <v>#DIV/0!</v>
      </c>
      <c r="MZE133" s="531" t="e">
        <f t="shared" si="408"/>
        <v>#DIV/0!</v>
      </c>
      <c r="MZF133" s="531" t="e">
        <f t="shared" si="408"/>
        <v>#DIV/0!</v>
      </c>
      <c r="MZG133" s="531" t="e">
        <f t="shared" si="408"/>
        <v>#DIV/0!</v>
      </c>
      <c r="MZH133" s="531" t="e">
        <f t="shared" si="408"/>
        <v>#DIV/0!</v>
      </c>
      <c r="MZI133" s="531" t="e">
        <f t="shared" si="408"/>
        <v>#DIV/0!</v>
      </c>
      <c r="MZJ133" s="531" t="e">
        <f t="shared" si="408"/>
        <v>#DIV/0!</v>
      </c>
      <c r="MZK133" s="531" t="e">
        <f t="shared" si="408"/>
        <v>#DIV/0!</v>
      </c>
      <c r="MZL133" s="531" t="e">
        <f t="shared" si="408"/>
        <v>#DIV/0!</v>
      </c>
      <c r="MZM133" s="531" t="e">
        <f t="shared" si="408"/>
        <v>#DIV/0!</v>
      </c>
      <c r="MZN133" s="531" t="e">
        <f t="shared" si="408"/>
        <v>#DIV/0!</v>
      </c>
      <c r="MZO133" s="531" t="e">
        <f t="shared" ref="MZO133:NBZ133" si="409">MZO116/(MZO52*10^5)</f>
        <v>#DIV/0!</v>
      </c>
      <c r="MZP133" s="531" t="e">
        <f t="shared" si="409"/>
        <v>#DIV/0!</v>
      </c>
      <c r="MZQ133" s="531" t="e">
        <f t="shared" si="409"/>
        <v>#DIV/0!</v>
      </c>
      <c r="MZR133" s="531" t="e">
        <f t="shared" si="409"/>
        <v>#DIV/0!</v>
      </c>
      <c r="MZS133" s="531" t="e">
        <f t="shared" si="409"/>
        <v>#DIV/0!</v>
      </c>
      <c r="MZT133" s="531" t="e">
        <f t="shared" si="409"/>
        <v>#DIV/0!</v>
      </c>
      <c r="MZU133" s="531" t="e">
        <f t="shared" si="409"/>
        <v>#DIV/0!</v>
      </c>
      <c r="MZV133" s="531" t="e">
        <f t="shared" si="409"/>
        <v>#DIV/0!</v>
      </c>
      <c r="MZW133" s="531" t="e">
        <f t="shared" si="409"/>
        <v>#DIV/0!</v>
      </c>
      <c r="MZX133" s="531" t="e">
        <f t="shared" si="409"/>
        <v>#DIV/0!</v>
      </c>
      <c r="MZY133" s="531" t="e">
        <f t="shared" si="409"/>
        <v>#DIV/0!</v>
      </c>
      <c r="MZZ133" s="531" t="e">
        <f t="shared" si="409"/>
        <v>#DIV/0!</v>
      </c>
      <c r="NAA133" s="531" t="e">
        <f t="shared" si="409"/>
        <v>#DIV/0!</v>
      </c>
      <c r="NAB133" s="531" t="e">
        <f t="shared" si="409"/>
        <v>#DIV/0!</v>
      </c>
      <c r="NAC133" s="531" t="e">
        <f t="shared" si="409"/>
        <v>#DIV/0!</v>
      </c>
      <c r="NAD133" s="531" t="e">
        <f t="shared" si="409"/>
        <v>#DIV/0!</v>
      </c>
      <c r="NAE133" s="531" t="e">
        <f t="shared" si="409"/>
        <v>#DIV/0!</v>
      </c>
      <c r="NAF133" s="531" t="e">
        <f t="shared" si="409"/>
        <v>#DIV/0!</v>
      </c>
      <c r="NAG133" s="531" t="e">
        <f t="shared" si="409"/>
        <v>#DIV/0!</v>
      </c>
      <c r="NAH133" s="531" t="e">
        <f t="shared" si="409"/>
        <v>#DIV/0!</v>
      </c>
      <c r="NAI133" s="531" t="e">
        <f t="shared" si="409"/>
        <v>#DIV/0!</v>
      </c>
      <c r="NAJ133" s="531" t="e">
        <f t="shared" si="409"/>
        <v>#DIV/0!</v>
      </c>
      <c r="NAK133" s="531" t="e">
        <f t="shared" si="409"/>
        <v>#DIV/0!</v>
      </c>
      <c r="NAL133" s="531" t="e">
        <f t="shared" si="409"/>
        <v>#DIV/0!</v>
      </c>
      <c r="NAM133" s="531" t="e">
        <f t="shared" si="409"/>
        <v>#DIV/0!</v>
      </c>
      <c r="NAN133" s="531" t="e">
        <f t="shared" si="409"/>
        <v>#DIV/0!</v>
      </c>
      <c r="NAO133" s="531" t="e">
        <f t="shared" si="409"/>
        <v>#DIV/0!</v>
      </c>
      <c r="NAP133" s="531" t="e">
        <f t="shared" si="409"/>
        <v>#DIV/0!</v>
      </c>
      <c r="NAQ133" s="531" t="e">
        <f t="shared" si="409"/>
        <v>#DIV/0!</v>
      </c>
      <c r="NAR133" s="531" t="e">
        <f t="shared" si="409"/>
        <v>#DIV/0!</v>
      </c>
      <c r="NAS133" s="531" t="e">
        <f t="shared" si="409"/>
        <v>#DIV/0!</v>
      </c>
      <c r="NAT133" s="531" t="e">
        <f t="shared" si="409"/>
        <v>#DIV/0!</v>
      </c>
      <c r="NAU133" s="531" t="e">
        <f t="shared" si="409"/>
        <v>#DIV/0!</v>
      </c>
      <c r="NAV133" s="531" t="e">
        <f t="shared" si="409"/>
        <v>#DIV/0!</v>
      </c>
      <c r="NAW133" s="531" t="e">
        <f t="shared" si="409"/>
        <v>#DIV/0!</v>
      </c>
      <c r="NAX133" s="531" t="e">
        <f t="shared" si="409"/>
        <v>#DIV/0!</v>
      </c>
      <c r="NAY133" s="531" t="e">
        <f t="shared" si="409"/>
        <v>#DIV/0!</v>
      </c>
      <c r="NAZ133" s="531" t="e">
        <f t="shared" si="409"/>
        <v>#DIV/0!</v>
      </c>
      <c r="NBA133" s="531" t="e">
        <f t="shared" si="409"/>
        <v>#DIV/0!</v>
      </c>
      <c r="NBB133" s="531" t="e">
        <f t="shared" si="409"/>
        <v>#DIV/0!</v>
      </c>
      <c r="NBC133" s="531" t="e">
        <f t="shared" si="409"/>
        <v>#DIV/0!</v>
      </c>
      <c r="NBD133" s="531" t="e">
        <f t="shared" si="409"/>
        <v>#DIV/0!</v>
      </c>
      <c r="NBE133" s="531" t="e">
        <f t="shared" si="409"/>
        <v>#DIV/0!</v>
      </c>
      <c r="NBF133" s="531" t="e">
        <f t="shared" si="409"/>
        <v>#DIV/0!</v>
      </c>
      <c r="NBG133" s="531" t="e">
        <f t="shared" si="409"/>
        <v>#DIV/0!</v>
      </c>
      <c r="NBH133" s="531" t="e">
        <f t="shared" si="409"/>
        <v>#DIV/0!</v>
      </c>
      <c r="NBI133" s="531" t="e">
        <f t="shared" si="409"/>
        <v>#DIV/0!</v>
      </c>
      <c r="NBJ133" s="531" t="e">
        <f t="shared" si="409"/>
        <v>#DIV/0!</v>
      </c>
      <c r="NBK133" s="531" t="e">
        <f t="shared" si="409"/>
        <v>#DIV/0!</v>
      </c>
      <c r="NBL133" s="531" t="e">
        <f t="shared" si="409"/>
        <v>#DIV/0!</v>
      </c>
      <c r="NBM133" s="531" t="e">
        <f t="shared" si="409"/>
        <v>#DIV/0!</v>
      </c>
      <c r="NBN133" s="531" t="e">
        <f t="shared" si="409"/>
        <v>#DIV/0!</v>
      </c>
      <c r="NBO133" s="531" t="e">
        <f t="shared" si="409"/>
        <v>#DIV/0!</v>
      </c>
      <c r="NBP133" s="531" t="e">
        <f t="shared" si="409"/>
        <v>#DIV/0!</v>
      </c>
      <c r="NBQ133" s="531" t="e">
        <f t="shared" si="409"/>
        <v>#DIV/0!</v>
      </c>
      <c r="NBR133" s="531" t="e">
        <f t="shared" si="409"/>
        <v>#DIV/0!</v>
      </c>
      <c r="NBS133" s="531" t="e">
        <f t="shared" si="409"/>
        <v>#DIV/0!</v>
      </c>
      <c r="NBT133" s="531" t="e">
        <f t="shared" si="409"/>
        <v>#DIV/0!</v>
      </c>
      <c r="NBU133" s="531" t="e">
        <f t="shared" si="409"/>
        <v>#DIV/0!</v>
      </c>
      <c r="NBV133" s="531" t="e">
        <f t="shared" si="409"/>
        <v>#DIV/0!</v>
      </c>
      <c r="NBW133" s="531" t="e">
        <f t="shared" si="409"/>
        <v>#DIV/0!</v>
      </c>
      <c r="NBX133" s="531" t="e">
        <f t="shared" si="409"/>
        <v>#DIV/0!</v>
      </c>
      <c r="NBY133" s="531" t="e">
        <f t="shared" si="409"/>
        <v>#DIV/0!</v>
      </c>
      <c r="NBZ133" s="531" t="e">
        <f t="shared" si="409"/>
        <v>#DIV/0!</v>
      </c>
      <c r="NCA133" s="531" t="e">
        <f t="shared" ref="NCA133:NEL133" si="410">NCA116/(NCA52*10^5)</f>
        <v>#DIV/0!</v>
      </c>
      <c r="NCB133" s="531" t="e">
        <f t="shared" si="410"/>
        <v>#DIV/0!</v>
      </c>
      <c r="NCC133" s="531" t="e">
        <f t="shared" si="410"/>
        <v>#DIV/0!</v>
      </c>
      <c r="NCD133" s="531" t="e">
        <f t="shared" si="410"/>
        <v>#DIV/0!</v>
      </c>
      <c r="NCE133" s="531" t="e">
        <f t="shared" si="410"/>
        <v>#DIV/0!</v>
      </c>
      <c r="NCF133" s="531" t="e">
        <f t="shared" si="410"/>
        <v>#DIV/0!</v>
      </c>
      <c r="NCG133" s="531" t="e">
        <f t="shared" si="410"/>
        <v>#DIV/0!</v>
      </c>
      <c r="NCH133" s="531" t="e">
        <f t="shared" si="410"/>
        <v>#DIV/0!</v>
      </c>
      <c r="NCI133" s="531" t="e">
        <f t="shared" si="410"/>
        <v>#DIV/0!</v>
      </c>
      <c r="NCJ133" s="531" t="e">
        <f t="shared" si="410"/>
        <v>#DIV/0!</v>
      </c>
      <c r="NCK133" s="531" t="e">
        <f t="shared" si="410"/>
        <v>#DIV/0!</v>
      </c>
      <c r="NCL133" s="531" t="e">
        <f t="shared" si="410"/>
        <v>#DIV/0!</v>
      </c>
      <c r="NCM133" s="531" t="e">
        <f t="shared" si="410"/>
        <v>#DIV/0!</v>
      </c>
      <c r="NCN133" s="531" t="e">
        <f t="shared" si="410"/>
        <v>#DIV/0!</v>
      </c>
      <c r="NCO133" s="531" t="e">
        <f t="shared" si="410"/>
        <v>#DIV/0!</v>
      </c>
      <c r="NCP133" s="531" t="e">
        <f t="shared" si="410"/>
        <v>#DIV/0!</v>
      </c>
      <c r="NCQ133" s="531" t="e">
        <f t="shared" si="410"/>
        <v>#DIV/0!</v>
      </c>
      <c r="NCR133" s="531" t="e">
        <f t="shared" si="410"/>
        <v>#DIV/0!</v>
      </c>
      <c r="NCS133" s="531" t="e">
        <f t="shared" si="410"/>
        <v>#DIV/0!</v>
      </c>
      <c r="NCT133" s="531" t="e">
        <f t="shared" si="410"/>
        <v>#DIV/0!</v>
      </c>
      <c r="NCU133" s="531" t="e">
        <f t="shared" si="410"/>
        <v>#DIV/0!</v>
      </c>
      <c r="NCV133" s="531" t="e">
        <f t="shared" si="410"/>
        <v>#DIV/0!</v>
      </c>
      <c r="NCW133" s="531" t="e">
        <f t="shared" si="410"/>
        <v>#DIV/0!</v>
      </c>
      <c r="NCX133" s="531" t="e">
        <f t="shared" si="410"/>
        <v>#DIV/0!</v>
      </c>
      <c r="NCY133" s="531" t="e">
        <f t="shared" si="410"/>
        <v>#DIV/0!</v>
      </c>
      <c r="NCZ133" s="531" t="e">
        <f t="shared" si="410"/>
        <v>#DIV/0!</v>
      </c>
      <c r="NDA133" s="531" t="e">
        <f t="shared" si="410"/>
        <v>#DIV/0!</v>
      </c>
      <c r="NDB133" s="531" t="e">
        <f t="shared" si="410"/>
        <v>#DIV/0!</v>
      </c>
      <c r="NDC133" s="531" t="e">
        <f t="shared" si="410"/>
        <v>#DIV/0!</v>
      </c>
      <c r="NDD133" s="531" t="e">
        <f t="shared" si="410"/>
        <v>#DIV/0!</v>
      </c>
      <c r="NDE133" s="531" t="e">
        <f t="shared" si="410"/>
        <v>#DIV/0!</v>
      </c>
      <c r="NDF133" s="531" t="e">
        <f t="shared" si="410"/>
        <v>#DIV/0!</v>
      </c>
      <c r="NDG133" s="531" t="e">
        <f t="shared" si="410"/>
        <v>#DIV/0!</v>
      </c>
      <c r="NDH133" s="531" t="e">
        <f t="shared" si="410"/>
        <v>#DIV/0!</v>
      </c>
      <c r="NDI133" s="531" t="e">
        <f t="shared" si="410"/>
        <v>#DIV/0!</v>
      </c>
      <c r="NDJ133" s="531" t="e">
        <f t="shared" si="410"/>
        <v>#DIV/0!</v>
      </c>
      <c r="NDK133" s="531" t="e">
        <f t="shared" si="410"/>
        <v>#DIV/0!</v>
      </c>
      <c r="NDL133" s="531" t="e">
        <f t="shared" si="410"/>
        <v>#DIV/0!</v>
      </c>
      <c r="NDM133" s="531" t="e">
        <f t="shared" si="410"/>
        <v>#DIV/0!</v>
      </c>
      <c r="NDN133" s="531" t="e">
        <f t="shared" si="410"/>
        <v>#DIV/0!</v>
      </c>
      <c r="NDO133" s="531" t="e">
        <f t="shared" si="410"/>
        <v>#DIV/0!</v>
      </c>
      <c r="NDP133" s="531" t="e">
        <f t="shared" si="410"/>
        <v>#DIV/0!</v>
      </c>
      <c r="NDQ133" s="531" t="e">
        <f t="shared" si="410"/>
        <v>#DIV/0!</v>
      </c>
      <c r="NDR133" s="531" t="e">
        <f t="shared" si="410"/>
        <v>#DIV/0!</v>
      </c>
      <c r="NDS133" s="531" t="e">
        <f t="shared" si="410"/>
        <v>#DIV/0!</v>
      </c>
      <c r="NDT133" s="531" t="e">
        <f t="shared" si="410"/>
        <v>#DIV/0!</v>
      </c>
      <c r="NDU133" s="531" t="e">
        <f t="shared" si="410"/>
        <v>#DIV/0!</v>
      </c>
      <c r="NDV133" s="531" t="e">
        <f t="shared" si="410"/>
        <v>#DIV/0!</v>
      </c>
      <c r="NDW133" s="531" t="e">
        <f t="shared" si="410"/>
        <v>#DIV/0!</v>
      </c>
      <c r="NDX133" s="531" t="e">
        <f t="shared" si="410"/>
        <v>#DIV/0!</v>
      </c>
      <c r="NDY133" s="531" t="e">
        <f t="shared" si="410"/>
        <v>#DIV/0!</v>
      </c>
      <c r="NDZ133" s="531" t="e">
        <f t="shared" si="410"/>
        <v>#DIV/0!</v>
      </c>
      <c r="NEA133" s="531" t="e">
        <f t="shared" si="410"/>
        <v>#DIV/0!</v>
      </c>
      <c r="NEB133" s="531" t="e">
        <f t="shared" si="410"/>
        <v>#DIV/0!</v>
      </c>
      <c r="NEC133" s="531" t="e">
        <f t="shared" si="410"/>
        <v>#DIV/0!</v>
      </c>
      <c r="NED133" s="531" t="e">
        <f t="shared" si="410"/>
        <v>#DIV/0!</v>
      </c>
      <c r="NEE133" s="531" t="e">
        <f t="shared" si="410"/>
        <v>#DIV/0!</v>
      </c>
      <c r="NEF133" s="531" t="e">
        <f t="shared" si="410"/>
        <v>#DIV/0!</v>
      </c>
      <c r="NEG133" s="531" t="e">
        <f t="shared" si="410"/>
        <v>#DIV/0!</v>
      </c>
      <c r="NEH133" s="531" t="e">
        <f t="shared" si="410"/>
        <v>#DIV/0!</v>
      </c>
      <c r="NEI133" s="531" t="e">
        <f t="shared" si="410"/>
        <v>#DIV/0!</v>
      </c>
      <c r="NEJ133" s="531" t="e">
        <f t="shared" si="410"/>
        <v>#DIV/0!</v>
      </c>
      <c r="NEK133" s="531" t="e">
        <f t="shared" si="410"/>
        <v>#DIV/0!</v>
      </c>
      <c r="NEL133" s="531" t="e">
        <f t="shared" si="410"/>
        <v>#DIV/0!</v>
      </c>
      <c r="NEM133" s="531" t="e">
        <f t="shared" ref="NEM133:NGX133" si="411">NEM116/(NEM52*10^5)</f>
        <v>#DIV/0!</v>
      </c>
      <c r="NEN133" s="531" t="e">
        <f t="shared" si="411"/>
        <v>#DIV/0!</v>
      </c>
      <c r="NEO133" s="531" t="e">
        <f t="shared" si="411"/>
        <v>#DIV/0!</v>
      </c>
      <c r="NEP133" s="531" t="e">
        <f t="shared" si="411"/>
        <v>#DIV/0!</v>
      </c>
      <c r="NEQ133" s="531" t="e">
        <f t="shared" si="411"/>
        <v>#DIV/0!</v>
      </c>
      <c r="NER133" s="531" t="e">
        <f t="shared" si="411"/>
        <v>#DIV/0!</v>
      </c>
      <c r="NES133" s="531" t="e">
        <f t="shared" si="411"/>
        <v>#DIV/0!</v>
      </c>
      <c r="NET133" s="531" t="e">
        <f t="shared" si="411"/>
        <v>#DIV/0!</v>
      </c>
      <c r="NEU133" s="531" t="e">
        <f t="shared" si="411"/>
        <v>#DIV/0!</v>
      </c>
      <c r="NEV133" s="531" t="e">
        <f t="shared" si="411"/>
        <v>#DIV/0!</v>
      </c>
      <c r="NEW133" s="531" t="e">
        <f t="shared" si="411"/>
        <v>#DIV/0!</v>
      </c>
      <c r="NEX133" s="531" t="e">
        <f t="shared" si="411"/>
        <v>#DIV/0!</v>
      </c>
      <c r="NEY133" s="531" t="e">
        <f t="shared" si="411"/>
        <v>#DIV/0!</v>
      </c>
      <c r="NEZ133" s="531" t="e">
        <f t="shared" si="411"/>
        <v>#DIV/0!</v>
      </c>
      <c r="NFA133" s="531" t="e">
        <f t="shared" si="411"/>
        <v>#DIV/0!</v>
      </c>
      <c r="NFB133" s="531" t="e">
        <f t="shared" si="411"/>
        <v>#DIV/0!</v>
      </c>
      <c r="NFC133" s="531" t="e">
        <f t="shared" si="411"/>
        <v>#DIV/0!</v>
      </c>
      <c r="NFD133" s="531" t="e">
        <f t="shared" si="411"/>
        <v>#DIV/0!</v>
      </c>
      <c r="NFE133" s="531" t="e">
        <f t="shared" si="411"/>
        <v>#DIV/0!</v>
      </c>
      <c r="NFF133" s="531" t="e">
        <f t="shared" si="411"/>
        <v>#DIV/0!</v>
      </c>
      <c r="NFG133" s="531" t="e">
        <f t="shared" si="411"/>
        <v>#DIV/0!</v>
      </c>
      <c r="NFH133" s="531" t="e">
        <f t="shared" si="411"/>
        <v>#DIV/0!</v>
      </c>
      <c r="NFI133" s="531" t="e">
        <f t="shared" si="411"/>
        <v>#DIV/0!</v>
      </c>
      <c r="NFJ133" s="531" t="e">
        <f t="shared" si="411"/>
        <v>#DIV/0!</v>
      </c>
      <c r="NFK133" s="531" t="e">
        <f t="shared" si="411"/>
        <v>#DIV/0!</v>
      </c>
      <c r="NFL133" s="531" t="e">
        <f t="shared" si="411"/>
        <v>#DIV/0!</v>
      </c>
      <c r="NFM133" s="531" t="e">
        <f t="shared" si="411"/>
        <v>#DIV/0!</v>
      </c>
      <c r="NFN133" s="531" t="e">
        <f t="shared" si="411"/>
        <v>#DIV/0!</v>
      </c>
      <c r="NFO133" s="531" t="e">
        <f t="shared" si="411"/>
        <v>#DIV/0!</v>
      </c>
      <c r="NFP133" s="531" t="e">
        <f t="shared" si="411"/>
        <v>#DIV/0!</v>
      </c>
      <c r="NFQ133" s="531" t="e">
        <f t="shared" si="411"/>
        <v>#DIV/0!</v>
      </c>
      <c r="NFR133" s="531" t="e">
        <f t="shared" si="411"/>
        <v>#DIV/0!</v>
      </c>
      <c r="NFS133" s="531" t="e">
        <f t="shared" si="411"/>
        <v>#DIV/0!</v>
      </c>
      <c r="NFT133" s="531" t="e">
        <f t="shared" si="411"/>
        <v>#DIV/0!</v>
      </c>
      <c r="NFU133" s="531" t="e">
        <f t="shared" si="411"/>
        <v>#DIV/0!</v>
      </c>
      <c r="NFV133" s="531" t="e">
        <f t="shared" si="411"/>
        <v>#DIV/0!</v>
      </c>
      <c r="NFW133" s="531" t="e">
        <f t="shared" si="411"/>
        <v>#DIV/0!</v>
      </c>
      <c r="NFX133" s="531" t="e">
        <f t="shared" si="411"/>
        <v>#DIV/0!</v>
      </c>
      <c r="NFY133" s="531" t="e">
        <f t="shared" si="411"/>
        <v>#DIV/0!</v>
      </c>
      <c r="NFZ133" s="531" t="e">
        <f t="shared" si="411"/>
        <v>#DIV/0!</v>
      </c>
      <c r="NGA133" s="531" t="e">
        <f t="shared" si="411"/>
        <v>#DIV/0!</v>
      </c>
      <c r="NGB133" s="531" t="e">
        <f t="shared" si="411"/>
        <v>#DIV/0!</v>
      </c>
      <c r="NGC133" s="531" t="e">
        <f t="shared" si="411"/>
        <v>#DIV/0!</v>
      </c>
      <c r="NGD133" s="531" t="e">
        <f t="shared" si="411"/>
        <v>#DIV/0!</v>
      </c>
      <c r="NGE133" s="531" t="e">
        <f t="shared" si="411"/>
        <v>#DIV/0!</v>
      </c>
      <c r="NGF133" s="531" t="e">
        <f t="shared" si="411"/>
        <v>#DIV/0!</v>
      </c>
      <c r="NGG133" s="531" t="e">
        <f t="shared" si="411"/>
        <v>#DIV/0!</v>
      </c>
      <c r="NGH133" s="531" t="e">
        <f t="shared" si="411"/>
        <v>#DIV/0!</v>
      </c>
      <c r="NGI133" s="531" t="e">
        <f t="shared" si="411"/>
        <v>#DIV/0!</v>
      </c>
      <c r="NGJ133" s="531" t="e">
        <f t="shared" si="411"/>
        <v>#DIV/0!</v>
      </c>
      <c r="NGK133" s="531" t="e">
        <f t="shared" si="411"/>
        <v>#DIV/0!</v>
      </c>
      <c r="NGL133" s="531" t="e">
        <f t="shared" si="411"/>
        <v>#DIV/0!</v>
      </c>
      <c r="NGM133" s="531" t="e">
        <f t="shared" si="411"/>
        <v>#DIV/0!</v>
      </c>
      <c r="NGN133" s="531" t="e">
        <f t="shared" si="411"/>
        <v>#DIV/0!</v>
      </c>
      <c r="NGO133" s="531" t="e">
        <f t="shared" si="411"/>
        <v>#DIV/0!</v>
      </c>
      <c r="NGP133" s="531" t="e">
        <f t="shared" si="411"/>
        <v>#DIV/0!</v>
      </c>
      <c r="NGQ133" s="531" t="e">
        <f t="shared" si="411"/>
        <v>#DIV/0!</v>
      </c>
      <c r="NGR133" s="531" t="e">
        <f t="shared" si="411"/>
        <v>#DIV/0!</v>
      </c>
      <c r="NGS133" s="531" t="e">
        <f t="shared" si="411"/>
        <v>#DIV/0!</v>
      </c>
      <c r="NGT133" s="531" t="e">
        <f t="shared" si="411"/>
        <v>#DIV/0!</v>
      </c>
      <c r="NGU133" s="531" t="e">
        <f t="shared" si="411"/>
        <v>#DIV/0!</v>
      </c>
      <c r="NGV133" s="531" t="e">
        <f t="shared" si="411"/>
        <v>#DIV/0!</v>
      </c>
      <c r="NGW133" s="531" t="e">
        <f t="shared" si="411"/>
        <v>#DIV/0!</v>
      </c>
      <c r="NGX133" s="531" t="e">
        <f t="shared" si="411"/>
        <v>#DIV/0!</v>
      </c>
      <c r="NGY133" s="531" t="e">
        <f t="shared" ref="NGY133:NJJ133" si="412">NGY116/(NGY52*10^5)</f>
        <v>#DIV/0!</v>
      </c>
      <c r="NGZ133" s="531" t="e">
        <f t="shared" si="412"/>
        <v>#DIV/0!</v>
      </c>
      <c r="NHA133" s="531" t="e">
        <f t="shared" si="412"/>
        <v>#DIV/0!</v>
      </c>
      <c r="NHB133" s="531" t="e">
        <f t="shared" si="412"/>
        <v>#DIV/0!</v>
      </c>
      <c r="NHC133" s="531" t="e">
        <f t="shared" si="412"/>
        <v>#DIV/0!</v>
      </c>
      <c r="NHD133" s="531" t="e">
        <f t="shared" si="412"/>
        <v>#DIV/0!</v>
      </c>
      <c r="NHE133" s="531" t="e">
        <f t="shared" si="412"/>
        <v>#DIV/0!</v>
      </c>
      <c r="NHF133" s="531" t="e">
        <f t="shared" si="412"/>
        <v>#DIV/0!</v>
      </c>
      <c r="NHG133" s="531" t="e">
        <f t="shared" si="412"/>
        <v>#DIV/0!</v>
      </c>
      <c r="NHH133" s="531" t="e">
        <f t="shared" si="412"/>
        <v>#DIV/0!</v>
      </c>
      <c r="NHI133" s="531" t="e">
        <f t="shared" si="412"/>
        <v>#DIV/0!</v>
      </c>
      <c r="NHJ133" s="531" t="e">
        <f t="shared" si="412"/>
        <v>#DIV/0!</v>
      </c>
      <c r="NHK133" s="531" t="e">
        <f t="shared" si="412"/>
        <v>#DIV/0!</v>
      </c>
      <c r="NHL133" s="531" t="e">
        <f t="shared" si="412"/>
        <v>#DIV/0!</v>
      </c>
      <c r="NHM133" s="531" t="e">
        <f t="shared" si="412"/>
        <v>#DIV/0!</v>
      </c>
      <c r="NHN133" s="531" t="e">
        <f t="shared" si="412"/>
        <v>#DIV/0!</v>
      </c>
      <c r="NHO133" s="531" t="e">
        <f t="shared" si="412"/>
        <v>#DIV/0!</v>
      </c>
      <c r="NHP133" s="531" t="e">
        <f t="shared" si="412"/>
        <v>#DIV/0!</v>
      </c>
      <c r="NHQ133" s="531" t="e">
        <f t="shared" si="412"/>
        <v>#DIV/0!</v>
      </c>
      <c r="NHR133" s="531" t="e">
        <f t="shared" si="412"/>
        <v>#DIV/0!</v>
      </c>
      <c r="NHS133" s="531" t="e">
        <f t="shared" si="412"/>
        <v>#DIV/0!</v>
      </c>
      <c r="NHT133" s="531" t="e">
        <f t="shared" si="412"/>
        <v>#DIV/0!</v>
      </c>
      <c r="NHU133" s="531" t="e">
        <f t="shared" si="412"/>
        <v>#DIV/0!</v>
      </c>
      <c r="NHV133" s="531" t="e">
        <f t="shared" si="412"/>
        <v>#DIV/0!</v>
      </c>
      <c r="NHW133" s="531" t="e">
        <f t="shared" si="412"/>
        <v>#DIV/0!</v>
      </c>
      <c r="NHX133" s="531" t="e">
        <f t="shared" si="412"/>
        <v>#DIV/0!</v>
      </c>
      <c r="NHY133" s="531" t="e">
        <f t="shared" si="412"/>
        <v>#DIV/0!</v>
      </c>
      <c r="NHZ133" s="531" t="e">
        <f t="shared" si="412"/>
        <v>#DIV/0!</v>
      </c>
      <c r="NIA133" s="531" t="e">
        <f t="shared" si="412"/>
        <v>#DIV/0!</v>
      </c>
      <c r="NIB133" s="531" t="e">
        <f t="shared" si="412"/>
        <v>#DIV/0!</v>
      </c>
      <c r="NIC133" s="531" t="e">
        <f t="shared" si="412"/>
        <v>#DIV/0!</v>
      </c>
      <c r="NID133" s="531" t="e">
        <f t="shared" si="412"/>
        <v>#DIV/0!</v>
      </c>
      <c r="NIE133" s="531" t="e">
        <f t="shared" si="412"/>
        <v>#DIV/0!</v>
      </c>
      <c r="NIF133" s="531" t="e">
        <f t="shared" si="412"/>
        <v>#DIV/0!</v>
      </c>
      <c r="NIG133" s="531" t="e">
        <f t="shared" si="412"/>
        <v>#DIV/0!</v>
      </c>
      <c r="NIH133" s="531" t="e">
        <f t="shared" si="412"/>
        <v>#DIV/0!</v>
      </c>
      <c r="NII133" s="531" t="e">
        <f t="shared" si="412"/>
        <v>#DIV/0!</v>
      </c>
      <c r="NIJ133" s="531" t="e">
        <f t="shared" si="412"/>
        <v>#DIV/0!</v>
      </c>
      <c r="NIK133" s="531" t="e">
        <f t="shared" si="412"/>
        <v>#DIV/0!</v>
      </c>
      <c r="NIL133" s="531" t="e">
        <f t="shared" si="412"/>
        <v>#DIV/0!</v>
      </c>
      <c r="NIM133" s="531" t="e">
        <f t="shared" si="412"/>
        <v>#DIV/0!</v>
      </c>
      <c r="NIN133" s="531" t="e">
        <f t="shared" si="412"/>
        <v>#DIV/0!</v>
      </c>
      <c r="NIO133" s="531" t="e">
        <f t="shared" si="412"/>
        <v>#DIV/0!</v>
      </c>
      <c r="NIP133" s="531" t="e">
        <f t="shared" si="412"/>
        <v>#DIV/0!</v>
      </c>
      <c r="NIQ133" s="531" t="e">
        <f t="shared" si="412"/>
        <v>#DIV/0!</v>
      </c>
      <c r="NIR133" s="531" t="e">
        <f t="shared" si="412"/>
        <v>#DIV/0!</v>
      </c>
      <c r="NIS133" s="531" t="e">
        <f t="shared" si="412"/>
        <v>#DIV/0!</v>
      </c>
      <c r="NIT133" s="531" t="e">
        <f t="shared" si="412"/>
        <v>#DIV/0!</v>
      </c>
      <c r="NIU133" s="531" t="e">
        <f t="shared" si="412"/>
        <v>#DIV/0!</v>
      </c>
      <c r="NIV133" s="531" t="e">
        <f t="shared" si="412"/>
        <v>#DIV/0!</v>
      </c>
      <c r="NIW133" s="531" t="e">
        <f t="shared" si="412"/>
        <v>#DIV/0!</v>
      </c>
      <c r="NIX133" s="531" t="e">
        <f t="shared" si="412"/>
        <v>#DIV/0!</v>
      </c>
      <c r="NIY133" s="531" t="e">
        <f t="shared" si="412"/>
        <v>#DIV/0!</v>
      </c>
      <c r="NIZ133" s="531" t="e">
        <f t="shared" si="412"/>
        <v>#DIV/0!</v>
      </c>
      <c r="NJA133" s="531" t="e">
        <f t="shared" si="412"/>
        <v>#DIV/0!</v>
      </c>
      <c r="NJB133" s="531" t="e">
        <f t="shared" si="412"/>
        <v>#DIV/0!</v>
      </c>
      <c r="NJC133" s="531" t="e">
        <f t="shared" si="412"/>
        <v>#DIV/0!</v>
      </c>
      <c r="NJD133" s="531" t="e">
        <f t="shared" si="412"/>
        <v>#DIV/0!</v>
      </c>
      <c r="NJE133" s="531" t="e">
        <f t="shared" si="412"/>
        <v>#DIV/0!</v>
      </c>
      <c r="NJF133" s="531" t="e">
        <f t="shared" si="412"/>
        <v>#DIV/0!</v>
      </c>
      <c r="NJG133" s="531" t="e">
        <f t="shared" si="412"/>
        <v>#DIV/0!</v>
      </c>
      <c r="NJH133" s="531" t="e">
        <f t="shared" si="412"/>
        <v>#DIV/0!</v>
      </c>
      <c r="NJI133" s="531" t="e">
        <f t="shared" si="412"/>
        <v>#DIV/0!</v>
      </c>
      <c r="NJJ133" s="531" t="e">
        <f t="shared" si="412"/>
        <v>#DIV/0!</v>
      </c>
      <c r="NJK133" s="531" t="e">
        <f t="shared" ref="NJK133:NLV133" si="413">NJK116/(NJK52*10^5)</f>
        <v>#DIV/0!</v>
      </c>
      <c r="NJL133" s="531" t="e">
        <f t="shared" si="413"/>
        <v>#DIV/0!</v>
      </c>
      <c r="NJM133" s="531" t="e">
        <f t="shared" si="413"/>
        <v>#DIV/0!</v>
      </c>
      <c r="NJN133" s="531" t="e">
        <f t="shared" si="413"/>
        <v>#DIV/0!</v>
      </c>
      <c r="NJO133" s="531" t="e">
        <f t="shared" si="413"/>
        <v>#DIV/0!</v>
      </c>
      <c r="NJP133" s="531" t="e">
        <f t="shared" si="413"/>
        <v>#DIV/0!</v>
      </c>
      <c r="NJQ133" s="531" t="e">
        <f t="shared" si="413"/>
        <v>#DIV/0!</v>
      </c>
      <c r="NJR133" s="531" t="e">
        <f t="shared" si="413"/>
        <v>#DIV/0!</v>
      </c>
      <c r="NJS133" s="531" t="e">
        <f t="shared" si="413"/>
        <v>#DIV/0!</v>
      </c>
      <c r="NJT133" s="531" t="e">
        <f t="shared" si="413"/>
        <v>#DIV/0!</v>
      </c>
      <c r="NJU133" s="531" t="e">
        <f t="shared" si="413"/>
        <v>#DIV/0!</v>
      </c>
      <c r="NJV133" s="531" t="e">
        <f t="shared" si="413"/>
        <v>#DIV/0!</v>
      </c>
      <c r="NJW133" s="531" t="e">
        <f t="shared" si="413"/>
        <v>#DIV/0!</v>
      </c>
      <c r="NJX133" s="531" t="e">
        <f t="shared" si="413"/>
        <v>#DIV/0!</v>
      </c>
      <c r="NJY133" s="531" t="e">
        <f t="shared" si="413"/>
        <v>#DIV/0!</v>
      </c>
      <c r="NJZ133" s="531" t="e">
        <f t="shared" si="413"/>
        <v>#DIV/0!</v>
      </c>
      <c r="NKA133" s="531" t="e">
        <f t="shared" si="413"/>
        <v>#DIV/0!</v>
      </c>
      <c r="NKB133" s="531" t="e">
        <f t="shared" si="413"/>
        <v>#DIV/0!</v>
      </c>
      <c r="NKC133" s="531" t="e">
        <f t="shared" si="413"/>
        <v>#DIV/0!</v>
      </c>
      <c r="NKD133" s="531" t="e">
        <f t="shared" si="413"/>
        <v>#DIV/0!</v>
      </c>
      <c r="NKE133" s="531" t="e">
        <f t="shared" si="413"/>
        <v>#DIV/0!</v>
      </c>
      <c r="NKF133" s="531" t="e">
        <f t="shared" si="413"/>
        <v>#DIV/0!</v>
      </c>
      <c r="NKG133" s="531" t="e">
        <f t="shared" si="413"/>
        <v>#DIV/0!</v>
      </c>
      <c r="NKH133" s="531" t="e">
        <f t="shared" si="413"/>
        <v>#DIV/0!</v>
      </c>
      <c r="NKI133" s="531" t="e">
        <f t="shared" si="413"/>
        <v>#DIV/0!</v>
      </c>
      <c r="NKJ133" s="531" t="e">
        <f t="shared" si="413"/>
        <v>#DIV/0!</v>
      </c>
      <c r="NKK133" s="531" t="e">
        <f t="shared" si="413"/>
        <v>#DIV/0!</v>
      </c>
      <c r="NKL133" s="531" t="e">
        <f t="shared" si="413"/>
        <v>#DIV/0!</v>
      </c>
      <c r="NKM133" s="531" t="e">
        <f t="shared" si="413"/>
        <v>#DIV/0!</v>
      </c>
      <c r="NKN133" s="531" t="e">
        <f t="shared" si="413"/>
        <v>#DIV/0!</v>
      </c>
      <c r="NKO133" s="531" t="e">
        <f t="shared" si="413"/>
        <v>#DIV/0!</v>
      </c>
      <c r="NKP133" s="531" t="e">
        <f t="shared" si="413"/>
        <v>#DIV/0!</v>
      </c>
      <c r="NKQ133" s="531" t="e">
        <f t="shared" si="413"/>
        <v>#DIV/0!</v>
      </c>
      <c r="NKR133" s="531" t="e">
        <f t="shared" si="413"/>
        <v>#DIV/0!</v>
      </c>
      <c r="NKS133" s="531" t="e">
        <f t="shared" si="413"/>
        <v>#DIV/0!</v>
      </c>
      <c r="NKT133" s="531" t="e">
        <f t="shared" si="413"/>
        <v>#DIV/0!</v>
      </c>
      <c r="NKU133" s="531" t="e">
        <f t="shared" si="413"/>
        <v>#DIV/0!</v>
      </c>
      <c r="NKV133" s="531" t="e">
        <f t="shared" si="413"/>
        <v>#DIV/0!</v>
      </c>
      <c r="NKW133" s="531" t="e">
        <f t="shared" si="413"/>
        <v>#DIV/0!</v>
      </c>
      <c r="NKX133" s="531" t="e">
        <f t="shared" si="413"/>
        <v>#DIV/0!</v>
      </c>
      <c r="NKY133" s="531" t="e">
        <f t="shared" si="413"/>
        <v>#DIV/0!</v>
      </c>
      <c r="NKZ133" s="531" t="e">
        <f t="shared" si="413"/>
        <v>#DIV/0!</v>
      </c>
      <c r="NLA133" s="531" t="e">
        <f t="shared" si="413"/>
        <v>#DIV/0!</v>
      </c>
      <c r="NLB133" s="531" t="e">
        <f t="shared" si="413"/>
        <v>#DIV/0!</v>
      </c>
      <c r="NLC133" s="531" t="e">
        <f t="shared" si="413"/>
        <v>#DIV/0!</v>
      </c>
      <c r="NLD133" s="531" t="e">
        <f t="shared" si="413"/>
        <v>#DIV/0!</v>
      </c>
      <c r="NLE133" s="531" t="e">
        <f t="shared" si="413"/>
        <v>#DIV/0!</v>
      </c>
      <c r="NLF133" s="531" t="e">
        <f t="shared" si="413"/>
        <v>#DIV/0!</v>
      </c>
      <c r="NLG133" s="531" t="e">
        <f t="shared" si="413"/>
        <v>#DIV/0!</v>
      </c>
      <c r="NLH133" s="531" t="e">
        <f t="shared" si="413"/>
        <v>#DIV/0!</v>
      </c>
      <c r="NLI133" s="531" t="e">
        <f t="shared" si="413"/>
        <v>#DIV/0!</v>
      </c>
      <c r="NLJ133" s="531" t="e">
        <f t="shared" si="413"/>
        <v>#DIV/0!</v>
      </c>
      <c r="NLK133" s="531" t="e">
        <f t="shared" si="413"/>
        <v>#DIV/0!</v>
      </c>
      <c r="NLL133" s="531" t="e">
        <f t="shared" si="413"/>
        <v>#DIV/0!</v>
      </c>
      <c r="NLM133" s="531" t="e">
        <f t="shared" si="413"/>
        <v>#DIV/0!</v>
      </c>
      <c r="NLN133" s="531" t="e">
        <f t="shared" si="413"/>
        <v>#DIV/0!</v>
      </c>
      <c r="NLO133" s="531" t="e">
        <f t="shared" si="413"/>
        <v>#DIV/0!</v>
      </c>
      <c r="NLP133" s="531" t="e">
        <f t="shared" si="413"/>
        <v>#DIV/0!</v>
      </c>
      <c r="NLQ133" s="531" t="e">
        <f t="shared" si="413"/>
        <v>#DIV/0!</v>
      </c>
      <c r="NLR133" s="531" t="e">
        <f t="shared" si="413"/>
        <v>#DIV/0!</v>
      </c>
      <c r="NLS133" s="531" t="e">
        <f t="shared" si="413"/>
        <v>#DIV/0!</v>
      </c>
      <c r="NLT133" s="531" t="e">
        <f t="shared" si="413"/>
        <v>#DIV/0!</v>
      </c>
      <c r="NLU133" s="531" t="e">
        <f t="shared" si="413"/>
        <v>#DIV/0!</v>
      </c>
      <c r="NLV133" s="531" t="e">
        <f t="shared" si="413"/>
        <v>#DIV/0!</v>
      </c>
      <c r="NLW133" s="531" t="e">
        <f t="shared" ref="NLW133:NOH133" si="414">NLW116/(NLW52*10^5)</f>
        <v>#DIV/0!</v>
      </c>
      <c r="NLX133" s="531" t="e">
        <f t="shared" si="414"/>
        <v>#DIV/0!</v>
      </c>
      <c r="NLY133" s="531" t="e">
        <f t="shared" si="414"/>
        <v>#DIV/0!</v>
      </c>
      <c r="NLZ133" s="531" t="e">
        <f t="shared" si="414"/>
        <v>#DIV/0!</v>
      </c>
      <c r="NMA133" s="531" t="e">
        <f t="shared" si="414"/>
        <v>#DIV/0!</v>
      </c>
      <c r="NMB133" s="531" t="e">
        <f t="shared" si="414"/>
        <v>#DIV/0!</v>
      </c>
      <c r="NMC133" s="531" t="e">
        <f t="shared" si="414"/>
        <v>#DIV/0!</v>
      </c>
      <c r="NMD133" s="531" t="e">
        <f t="shared" si="414"/>
        <v>#DIV/0!</v>
      </c>
      <c r="NME133" s="531" t="e">
        <f t="shared" si="414"/>
        <v>#DIV/0!</v>
      </c>
      <c r="NMF133" s="531" t="e">
        <f t="shared" si="414"/>
        <v>#DIV/0!</v>
      </c>
      <c r="NMG133" s="531" t="e">
        <f t="shared" si="414"/>
        <v>#DIV/0!</v>
      </c>
      <c r="NMH133" s="531" t="e">
        <f t="shared" si="414"/>
        <v>#DIV/0!</v>
      </c>
      <c r="NMI133" s="531" t="e">
        <f t="shared" si="414"/>
        <v>#DIV/0!</v>
      </c>
      <c r="NMJ133" s="531" t="e">
        <f t="shared" si="414"/>
        <v>#DIV/0!</v>
      </c>
      <c r="NMK133" s="531" t="e">
        <f t="shared" si="414"/>
        <v>#DIV/0!</v>
      </c>
      <c r="NML133" s="531" t="e">
        <f t="shared" si="414"/>
        <v>#DIV/0!</v>
      </c>
      <c r="NMM133" s="531" t="e">
        <f t="shared" si="414"/>
        <v>#DIV/0!</v>
      </c>
      <c r="NMN133" s="531" t="e">
        <f t="shared" si="414"/>
        <v>#DIV/0!</v>
      </c>
      <c r="NMO133" s="531" t="e">
        <f t="shared" si="414"/>
        <v>#DIV/0!</v>
      </c>
      <c r="NMP133" s="531" t="e">
        <f t="shared" si="414"/>
        <v>#DIV/0!</v>
      </c>
      <c r="NMQ133" s="531" t="e">
        <f t="shared" si="414"/>
        <v>#DIV/0!</v>
      </c>
      <c r="NMR133" s="531" t="e">
        <f t="shared" si="414"/>
        <v>#DIV/0!</v>
      </c>
      <c r="NMS133" s="531" t="e">
        <f t="shared" si="414"/>
        <v>#DIV/0!</v>
      </c>
      <c r="NMT133" s="531" t="e">
        <f t="shared" si="414"/>
        <v>#DIV/0!</v>
      </c>
      <c r="NMU133" s="531" t="e">
        <f t="shared" si="414"/>
        <v>#DIV/0!</v>
      </c>
      <c r="NMV133" s="531" t="e">
        <f t="shared" si="414"/>
        <v>#DIV/0!</v>
      </c>
      <c r="NMW133" s="531" t="e">
        <f t="shared" si="414"/>
        <v>#DIV/0!</v>
      </c>
      <c r="NMX133" s="531" t="e">
        <f t="shared" si="414"/>
        <v>#DIV/0!</v>
      </c>
      <c r="NMY133" s="531" t="e">
        <f t="shared" si="414"/>
        <v>#DIV/0!</v>
      </c>
      <c r="NMZ133" s="531" t="e">
        <f t="shared" si="414"/>
        <v>#DIV/0!</v>
      </c>
      <c r="NNA133" s="531" t="e">
        <f t="shared" si="414"/>
        <v>#DIV/0!</v>
      </c>
      <c r="NNB133" s="531" t="e">
        <f t="shared" si="414"/>
        <v>#DIV/0!</v>
      </c>
      <c r="NNC133" s="531" t="e">
        <f t="shared" si="414"/>
        <v>#DIV/0!</v>
      </c>
      <c r="NND133" s="531" t="e">
        <f t="shared" si="414"/>
        <v>#DIV/0!</v>
      </c>
      <c r="NNE133" s="531" t="e">
        <f t="shared" si="414"/>
        <v>#DIV/0!</v>
      </c>
      <c r="NNF133" s="531" t="e">
        <f t="shared" si="414"/>
        <v>#DIV/0!</v>
      </c>
      <c r="NNG133" s="531" t="e">
        <f t="shared" si="414"/>
        <v>#DIV/0!</v>
      </c>
      <c r="NNH133" s="531" t="e">
        <f t="shared" si="414"/>
        <v>#DIV/0!</v>
      </c>
      <c r="NNI133" s="531" t="e">
        <f t="shared" si="414"/>
        <v>#DIV/0!</v>
      </c>
      <c r="NNJ133" s="531" t="e">
        <f t="shared" si="414"/>
        <v>#DIV/0!</v>
      </c>
      <c r="NNK133" s="531" t="e">
        <f t="shared" si="414"/>
        <v>#DIV/0!</v>
      </c>
      <c r="NNL133" s="531" t="e">
        <f t="shared" si="414"/>
        <v>#DIV/0!</v>
      </c>
      <c r="NNM133" s="531" t="e">
        <f t="shared" si="414"/>
        <v>#DIV/0!</v>
      </c>
      <c r="NNN133" s="531" t="e">
        <f t="shared" si="414"/>
        <v>#DIV/0!</v>
      </c>
      <c r="NNO133" s="531" t="e">
        <f t="shared" si="414"/>
        <v>#DIV/0!</v>
      </c>
      <c r="NNP133" s="531" t="e">
        <f t="shared" si="414"/>
        <v>#DIV/0!</v>
      </c>
      <c r="NNQ133" s="531" t="e">
        <f t="shared" si="414"/>
        <v>#DIV/0!</v>
      </c>
      <c r="NNR133" s="531" t="e">
        <f t="shared" si="414"/>
        <v>#DIV/0!</v>
      </c>
      <c r="NNS133" s="531" t="e">
        <f t="shared" si="414"/>
        <v>#DIV/0!</v>
      </c>
      <c r="NNT133" s="531" t="e">
        <f t="shared" si="414"/>
        <v>#DIV/0!</v>
      </c>
      <c r="NNU133" s="531" t="e">
        <f t="shared" si="414"/>
        <v>#DIV/0!</v>
      </c>
      <c r="NNV133" s="531" t="e">
        <f t="shared" si="414"/>
        <v>#DIV/0!</v>
      </c>
      <c r="NNW133" s="531" t="e">
        <f t="shared" si="414"/>
        <v>#DIV/0!</v>
      </c>
      <c r="NNX133" s="531" t="e">
        <f t="shared" si="414"/>
        <v>#DIV/0!</v>
      </c>
      <c r="NNY133" s="531" t="e">
        <f t="shared" si="414"/>
        <v>#DIV/0!</v>
      </c>
      <c r="NNZ133" s="531" t="e">
        <f t="shared" si="414"/>
        <v>#DIV/0!</v>
      </c>
      <c r="NOA133" s="531" t="e">
        <f t="shared" si="414"/>
        <v>#DIV/0!</v>
      </c>
      <c r="NOB133" s="531" t="e">
        <f t="shared" si="414"/>
        <v>#DIV/0!</v>
      </c>
      <c r="NOC133" s="531" t="e">
        <f t="shared" si="414"/>
        <v>#DIV/0!</v>
      </c>
      <c r="NOD133" s="531" t="e">
        <f t="shared" si="414"/>
        <v>#DIV/0!</v>
      </c>
      <c r="NOE133" s="531" t="e">
        <f t="shared" si="414"/>
        <v>#DIV/0!</v>
      </c>
      <c r="NOF133" s="531" t="e">
        <f t="shared" si="414"/>
        <v>#DIV/0!</v>
      </c>
      <c r="NOG133" s="531" t="e">
        <f t="shared" si="414"/>
        <v>#DIV/0!</v>
      </c>
      <c r="NOH133" s="531" t="e">
        <f t="shared" si="414"/>
        <v>#DIV/0!</v>
      </c>
      <c r="NOI133" s="531" t="e">
        <f t="shared" ref="NOI133:NQT133" si="415">NOI116/(NOI52*10^5)</f>
        <v>#DIV/0!</v>
      </c>
      <c r="NOJ133" s="531" t="e">
        <f t="shared" si="415"/>
        <v>#DIV/0!</v>
      </c>
      <c r="NOK133" s="531" t="e">
        <f t="shared" si="415"/>
        <v>#DIV/0!</v>
      </c>
      <c r="NOL133" s="531" t="e">
        <f t="shared" si="415"/>
        <v>#DIV/0!</v>
      </c>
      <c r="NOM133" s="531" t="e">
        <f t="shared" si="415"/>
        <v>#DIV/0!</v>
      </c>
      <c r="NON133" s="531" t="e">
        <f t="shared" si="415"/>
        <v>#DIV/0!</v>
      </c>
      <c r="NOO133" s="531" t="e">
        <f t="shared" si="415"/>
        <v>#DIV/0!</v>
      </c>
      <c r="NOP133" s="531" t="e">
        <f t="shared" si="415"/>
        <v>#DIV/0!</v>
      </c>
      <c r="NOQ133" s="531" t="e">
        <f t="shared" si="415"/>
        <v>#DIV/0!</v>
      </c>
      <c r="NOR133" s="531" t="e">
        <f t="shared" si="415"/>
        <v>#DIV/0!</v>
      </c>
      <c r="NOS133" s="531" t="e">
        <f t="shared" si="415"/>
        <v>#DIV/0!</v>
      </c>
      <c r="NOT133" s="531" t="e">
        <f t="shared" si="415"/>
        <v>#DIV/0!</v>
      </c>
      <c r="NOU133" s="531" t="e">
        <f t="shared" si="415"/>
        <v>#DIV/0!</v>
      </c>
      <c r="NOV133" s="531" t="e">
        <f t="shared" si="415"/>
        <v>#DIV/0!</v>
      </c>
      <c r="NOW133" s="531" t="e">
        <f t="shared" si="415"/>
        <v>#DIV/0!</v>
      </c>
      <c r="NOX133" s="531" t="e">
        <f t="shared" si="415"/>
        <v>#DIV/0!</v>
      </c>
      <c r="NOY133" s="531" t="e">
        <f t="shared" si="415"/>
        <v>#DIV/0!</v>
      </c>
      <c r="NOZ133" s="531" t="e">
        <f t="shared" si="415"/>
        <v>#DIV/0!</v>
      </c>
      <c r="NPA133" s="531" t="e">
        <f t="shared" si="415"/>
        <v>#DIV/0!</v>
      </c>
      <c r="NPB133" s="531" t="e">
        <f t="shared" si="415"/>
        <v>#DIV/0!</v>
      </c>
      <c r="NPC133" s="531" t="e">
        <f t="shared" si="415"/>
        <v>#DIV/0!</v>
      </c>
      <c r="NPD133" s="531" t="e">
        <f t="shared" si="415"/>
        <v>#DIV/0!</v>
      </c>
      <c r="NPE133" s="531" t="e">
        <f t="shared" si="415"/>
        <v>#DIV/0!</v>
      </c>
      <c r="NPF133" s="531" t="e">
        <f t="shared" si="415"/>
        <v>#DIV/0!</v>
      </c>
      <c r="NPG133" s="531" t="e">
        <f t="shared" si="415"/>
        <v>#DIV/0!</v>
      </c>
      <c r="NPH133" s="531" t="e">
        <f t="shared" si="415"/>
        <v>#DIV/0!</v>
      </c>
      <c r="NPI133" s="531" t="e">
        <f t="shared" si="415"/>
        <v>#DIV/0!</v>
      </c>
      <c r="NPJ133" s="531" t="e">
        <f t="shared" si="415"/>
        <v>#DIV/0!</v>
      </c>
      <c r="NPK133" s="531" t="e">
        <f t="shared" si="415"/>
        <v>#DIV/0!</v>
      </c>
      <c r="NPL133" s="531" t="e">
        <f t="shared" si="415"/>
        <v>#DIV/0!</v>
      </c>
      <c r="NPM133" s="531" t="e">
        <f t="shared" si="415"/>
        <v>#DIV/0!</v>
      </c>
      <c r="NPN133" s="531" t="e">
        <f t="shared" si="415"/>
        <v>#DIV/0!</v>
      </c>
      <c r="NPO133" s="531" t="e">
        <f t="shared" si="415"/>
        <v>#DIV/0!</v>
      </c>
      <c r="NPP133" s="531" t="e">
        <f t="shared" si="415"/>
        <v>#DIV/0!</v>
      </c>
      <c r="NPQ133" s="531" t="e">
        <f t="shared" si="415"/>
        <v>#DIV/0!</v>
      </c>
      <c r="NPR133" s="531" t="e">
        <f t="shared" si="415"/>
        <v>#DIV/0!</v>
      </c>
      <c r="NPS133" s="531" t="e">
        <f t="shared" si="415"/>
        <v>#DIV/0!</v>
      </c>
      <c r="NPT133" s="531" t="e">
        <f t="shared" si="415"/>
        <v>#DIV/0!</v>
      </c>
      <c r="NPU133" s="531" t="e">
        <f t="shared" si="415"/>
        <v>#DIV/0!</v>
      </c>
      <c r="NPV133" s="531" t="e">
        <f t="shared" si="415"/>
        <v>#DIV/0!</v>
      </c>
      <c r="NPW133" s="531" t="e">
        <f t="shared" si="415"/>
        <v>#DIV/0!</v>
      </c>
      <c r="NPX133" s="531" t="e">
        <f t="shared" si="415"/>
        <v>#DIV/0!</v>
      </c>
      <c r="NPY133" s="531" t="e">
        <f t="shared" si="415"/>
        <v>#DIV/0!</v>
      </c>
      <c r="NPZ133" s="531" t="e">
        <f t="shared" si="415"/>
        <v>#DIV/0!</v>
      </c>
      <c r="NQA133" s="531" t="e">
        <f t="shared" si="415"/>
        <v>#DIV/0!</v>
      </c>
      <c r="NQB133" s="531" t="e">
        <f t="shared" si="415"/>
        <v>#DIV/0!</v>
      </c>
      <c r="NQC133" s="531" t="e">
        <f t="shared" si="415"/>
        <v>#DIV/0!</v>
      </c>
      <c r="NQD133" s="531" t="e">
        <f t="shared" si="415"/>
        <v>#DIV/0!</v>
      </c>
      <c r="NQE133" s="531" t="e">
        <f t="shared" si="415"/>
        <v>#DIV/0!</v>
      </c>
      <c r="NQF133" s="531" t="e">
        <f t="shared" si="415"/>
        <v>#DIV/0!</v>
      </c>
      <c r="NQG133" s="531" t="e">
        <f t="shared" si="415"/>
        <v>#DIV/0!</v>
      </c>
      <c r="NQH133" s="531" t="e">
        <f t="shared" si="415"/>
        <v>#DIV/0!</v>
      </c>
      <c r="NQI133" s="531" t="e">
        <f t="shared" si="415"/>
        <v>#DIV/0!</v>
      </c>
      <c r="NQJ133" s="531" t="e">
        <f t="shared" si="415"/>
        <v>#DIV/0!</v>
      </c>
      <c r="NQK133" s="531" t="e">
        <f t="shared" si="415"/>
        <v>#DIV/0!</v>
      </c>
      <c r="NQL133" s="531" t="e">
        <f t="shared" si="415"/>
        <v>#DIV/0!</v>
      </c>
      <c r="NQM133" s="531" t="e">
        <f t="shared" si="415"/>
        <v>#DIV/0!</v>
      </c>
      <c r="NQN133" s="531" t="e">
        <f t="shared" si="415"/>
        <v>#DIV/0!</v>
      </c>
      <c r="NQO133" s="531" t="e">
        <f t="shared" si="415"/>
        <v>#DIV/0!</v>
      </c>
      <c r="NQP133" s="531" t="e">
        <f t="shared" si="415"/>
        <v>#DIV/0!</v>
      </c>
      <c r="NQQ133" s="531" t="e">
        <f t="shared" si="415"/>
        <v>#DIV/0!</v>
      </c>
      <c r="NQR133" s="531" t="e">
        <f t="shared" si="415"/>
        <v>#DIV/0!</v>
      </c>
      <c r="NQS133" s="531" t="e">
        <f t="shared" si="415"/>
        <v>#DIV/0!</v>
      </c>
      <c r="NQT133" s="531" t="e">
        <f t="shared" si="415"/>
        <v>#DIV/0!</v>
      </c>
      <c r="NQU133" s="531" t="e">
        <f t="shared" ref="NQU133:NTF133" si="416">NQU116/(NQU52*10^5)</f>
        <v>#DIV/0!</v>
      </c>
      <c r="NQV133" s="531" t="e">
        <f t="shared" si="416"/>
        <v>#DIV/0!</v>
      </c>
      <c r="NQW133" s="531" t="e">
        <f t="shared" si="416"/>
        <v>#DIV/0!</v>
      </c>
      <c r="NQX133" s="531" t="e">
        <f t="shared" si="416"/>
        <v>#DIV/0!</v>
      </c>
      <c r="NQY133" s="531" t="e">
        <f t="shared" si="416"/>
        <v>#DIV/0!</v>
      </c>
      <c r="NQZ133" s="531" t="e">
        <f t="shared" si="416"/>
        <v>#DIV/0!</v>
      </c>
      <c r="NRA133" s="531" t="e">
        <f t="shared" si="416"/>
        <v>#DIV/0!</v>
      </c>
      <c r="NRB133" s="531" t="e">
        <f t="shared" si="416"/>
        <v>#DIV/0!</v>
      </c>
      <c r="NRC133" s="531" t="e">
        <f t="shared" si="416"/>
        <v>#DIV/0!</v>
      </c>
      <c r="NRD133" s="531" t="e">
        <f t="shared" si="416"/>
        <v>#DIV/0!</v>
      </c>
      <c r="NRE133" s="531" t="e">
        <f t="shared" si="416"/>
        <v>#DIV/0!</v>
      </c>
      <c r="NRF133" s="531" t="e">
        <f t="shared" si="416"/>
        <v>#DIV/0!</v>
      </c>
      <c r="NRG133" s="531" t="e">
        <f t="shared" si="416"/>
        <v>#DIV/0!</v>
      </c>
      <c r="NRH133" s="531" t="e">
        <f t="shared" si="416"/>
        <v>#DIV/0!</v>
      </c>
      <c r="NRI133" s="531" t="e">
        <f t="shared" si="416"/>
        <v>#DIV/0!</v>
      </c>
      <c r="NRJ133" s="531" t="e">
        <f t="shared" si="416"/>
        <v>#DIV/0!</v>
      </c>
      <c r="NRK133" s="531" t="e">
        <f t="shared" si="416"/>
        <v>#DIV/0!</v>
      </c>
      <c r="NRL133" s="531" t="e">
        <f t="shared" si="416"/>
        <v>#DIV/0!</v>
      </c>
      <c r="NRM133" s="531" t="e">
        <f t="shared" si="416"/>
        <v>#DIV/0!</v>
      </c>
      <c r="NRN133" s="531" t="e">
        <f t="shared" si="416"/>
        <v>#DIV/0!</v>
      </c>
      <c r="NRO133" s="531" t="e">
        <f t="shared" si="416"/>
        <v>#DIV/0!</v>
      </c>
      <c r="NRP133" s="531" t="e">
        <f t="shared" si="416"/>
        <v>#DIV/0!</v>
      </c>
      <c r="NRQ133" s="531" t="e">
        <f t="shared" si="416"/>
        <v>#DIV/0!</v>
      </c>
      <c r="NRR133" s="531" t="e">
        <f t="shared" si="416"/>
        <v>#DIV/0!</v>
      </c>
      <c r="NRS133" s="531" t="e">
        <f t="shared" si="416"/>
        <v>#DIV/0!</v>
      </c>
      <c r="NRT133" s="531" t="e">
        <f t="shared" si="416"/>
        <v>#DIV/0!</v>
      </c>
      <c r="NRU133" s="531" t="e">
        <f t="shared" si="416"/>
        <v>#DIV/0!</v>
      </c>
      <c r="NRV133" s="531" t="e">
        <f t="shared" si="416"/>
        <v>#DIV/0!</v>
      </c>
      <c r="NRW133" s="531" t="e">
        <f t="shared" si="416"/>
        <v>#DIV/0!</v>
      </c>
      <c r="NRX133" s="531" t="e">
        <f t="shared" si="416"/>
        <v>#DIV/0!</v>
      </c>
      <c r="NRY133" s="531" t="e">
        <f t="shared" si="416"/>
        <v>#DIV/0!</v>
      </c>
      <c r="NRZ133" s="531" t="e">
        <f t="shared" si="416"/>
        <v>#DIV/0!</v>
      </c>
      <c r="NSA133" s="531" t="e">
        <f t="shared" si="416"/>
        <v>#DIV/0!</v>
      </c>
      <c r="NSB133" s="531" t="e">
        <f t="shared" si="416"/>
        <v>#DIV/0!</v>
      </c>
      <c r="NSC133" s="531" t="e">
        <f t="shared" si="416"/>
        <v>#DIV/0!</v>
      </c>
      <c r="NSD133" s="531" t="e">
        <f t="shared" si="416"/>
        <v>#DIV/0!</v>
      </c>
      <c r="NSE133" s="531" t="e">
        <f t="shared" si="416"/>
        <v>#DIV/0!</v>
      </c>
      <c r="NSF133" s="531" t="e">
        <f t="shared" si="416"/>
        <v>#DIV/0!</v>
      </c>
      <c r="NSG133" s="531" t="e">
        <f t="shared" si="416"/>
        <v>#DIV/0!</v>
      </c>
      <c r="NSH133" s="531" t="e">
        <f t="shared" si="416"/>
        <v>#DIV/0!</v>
      </c>
      <c r="NSI133" s="531" t="e">
        <f t="shared" si="416"/>
        <v>#DIV/0!</v>
      </c>
      <c r="NSJ133" s="531" t="e">
        <f t="shared" si="416"/>
        <v>#DIV/0!</v>
      </c>
      <c r="NSK133" s="531" t="e">
        <f t="shared" si="416"/>
        <v>#DIV/0!</v>
      </c>
      <c r="NSL133" s="531" t="e">
        <f t="shared" si="416"/>
        <v>#DIV/0!</v>
      </c>
      <c r="NSM133" s="531" t="e">
        <f t="shared" si="416"/>
        <v>#DIV/0!</v>
      </c>
      <c r="NSN133" s="531" t="e">
        <f t="shared" si="416"/>
        <v>#DIV/0!</v>
      </c>
      <c r="NSO133" s="531" t="e">
        <f t="shared" si="416"/>
        <v>#DIV/0!</v>
      </c>
      <c r="NSP133" s="531" t="e">
        <f t="shared" si="416"/>
        <v>#DIV/0!</v>
      </c>
      <c r="NSQ133" s="531" t="e">
        <f t="shared" si="416"/>
        <v>#DIV/0!</v>
      </c>
      <c r="NSR133" s="531" t="e">
        <f t="shared" si="416"/>
        <v>#DIV/0!</v>
      </c>
      <c r="NSS133" s="531" t="e">
        <f t="shared" si="416"/>
        <v>#DIV/0!</v>
      </c>
      <c r="NST133" s="531" t="e">
        <f t="shared" si="416"/>
        <v>#DIV/0!</v>
      </c>
      <c r="NSU133" s="531" t="e">
        <f t="shared" si="416"/>
        <v>#DIV/0!</v>
      </c>
      <c r="NSV133" s="531" t="e">
        <f t="shared" si="416"/>
        <v>#DIV/0!</v>
      </c>
      <c r="NSW133" s="531" t="e">
        <f t="shared" si="416"/>
        <v>#DIV/0!</v>
      </c>
      <c r="NSX133" s="531" t="e">
        <f t="shared" si="416"/>
        <v>#DIV/0!</v>
      </c>
      <c r="NSY133" s="531" t="e">
        <f t="shared" si="416"/>
        <v>#DIV/0!</v>
      </c>
      <c r="NSZ133" s="531" t="e">
        <f t="shared" si="416"/>
        <v>#DIV/0!</v>
      </c>
      <c r="NTA133" s="531" t="e">
        <f t="shared" si="416"/>
        <v>#DIV/0!</v>
      </c>
      <c r="NTB133" s="531" t="e">
        <f t="shared" si="416"/>
        <v>#DIV/0!</v>
      </c>
      <c r="NTC133" s="531" t="e">
        <f t="shared" si="416"/>
        <v>#DIV/0!</v>
      </c>
      <c r="NTD133" s="531" t="e">
        <f t="shared" si="416"/>
        <v>#DIV/0!</v>
      </c>
      <c r="NTE133" s="531" t="e">
        <f t="shared" si="416"/>
        <v>#DIV/0!</v>
      </c>
      <c r="NTF133" s="531" t="e">
        <f t="shared" si="416"/>
        <v>#DIV/0!</v>
      </c>
      <c r="NTG133" s="531" t="e">
        <f t="shared" ref="NTG133:NVR133" si="417">NTG116/(NTG52*10^5)</f>
        <v>#DIV/0!</v>
      </c>
      <c r="NTH133" s="531" t="e">
        <f t="shared" si="417"/>
        <v>#DIV/0!</v>
      </c>
      <c r="NTI133" s="531" t="e">
        <f t="shared" si="417"/>
        <v>#DIV/0!</v>
      </c>
      <c r="NTJ133" s="531" t="e">
        <f t="shared" si="417"/>
        <v>#DIV/0!</v>
      </c>
      <c r="NTK133" s="531" t="e">
        <f t="shared" si="417"/>
        <v>#DIV/0!</v>
      </c>
      <c r="NTL133" s="531" t="e">
        <f t="shared" si="417"/>
        <v>#DIV/0!</v>
      </c>
      <c r="NTM133" s="531" t="e">
        <f t="shared" si="417"/>
        <v>#DIV/0!</v>
      </c>
      <c r="NTN133" s="531" t="e">
        <f t="shared" si="417"/>
        <v>#DIV/0!</v>
      </c>
      <c r="NTO133" s="531" t="e">
        <f t="shared" si="417"/>
        <v>#DIV/0!</v>
      </c>
      <c r="NTP133" s="531" t="e">
        <f t="shared" si="417"/>
        <v>#DIV/0!</v>
      </c>
      <c r="NTQ133" s="531" t="e">
        <f t="shared" si="417"/>
        <v>#DIV/0!</v>
      </c>
      <c r="NTR133" s="531" t="e">
        <f t="shared" si="417"/>
        <v>#DIV/0!</v>
      </c>
      <c r="NTS133" s="531" t="e">
        <f t="shared" si="417"/>
        <v>#DIV/0!</v>
      </c>
      <c r="NTT133" s="531" t="e">
        <f t="shared" si="417"/>
        <v>#DIV/0!</v>
      </c>
      <c r="NTU133" s="531" t="e">
        <f t="shared" si="417"/>
        <v>#DIV/0!</v>
      </c>
      <c r="NTV133" s="531" t="e">
        <f t="shared" si="417"/>
        <v>#DIV/0!</v>
      </c>
      <c r="NTW133" s="531" t="e">
        <f t="shared" si="417"/>
        <v>#DIV/0!</v>
      </c>
      <c r="NTX133" s="531" t="e">
        <f t="shared" si="417"/>
        <v>#DIV/0!</v>
      </c>
      <c r="NTY133" s="531" t="e">
        <f t="shared" si="417"/>
        <v>#DIV/0!</v>
      </c>
      <c r="NTZ133" s="531" t="e">
        <f t="shared" si="417"/>
        <v>#DIV/0!</v>
      </c>
      <c r="NUA133" s="531" t="e">
        <f t="shared" si="417"/>
        <v>#DIV/0!</v>
      </c>
      <c r="NUB133" s="531" t="e">
        <f t="shared" si="417"/>
        <v>#DIV/0!</v>
      </c>
      <c r="NUC133" s="531" t="e">
        <f t="shared" si="417"/>
        <v>#DIV/0!</v>
      </c>
      <c r="NUD133" s="531" t="e">
        <f t="shared" si="417"/>
        <v>#DIV/0!</v>
      </c>
      <c r="NUE133" s="531" t="e">
        <f t="shared" si="417"/>
        <v>#DIV/0!</v>
      </c>
      <c r="NUF133" s="531" t="e">
        <f t="shared" si="417"/>
        <v>#DIV/0!</v>
      </c>
      <c r="NUG133" s="531" t="e">
        <f t="shared" si="417"/>
        <v>#DIV/0!</v>
      </c>
      <c r="NUH133" s="531" t="e">
        <f t="shared" si="417"/>
        <v>#DIV/0!</v>
      </c>
      <c r="NUI133" s="531" t="e">
        <f t="shared" si="417"/>
        <v>#DIV/0!</v>
      </c>
      <c r="NUJ133" s="531" t="e">
        <f t="shared" si="417"/>
        <v>#DIV/0!</v>
      </c>
      <c r="NUK133" s="531" t="e">
        <f t="shared" si="417"/>
        <v>#DIV/0!</v>
      </c>
      <c r="NUL133" s="531" t="e">
        <f t="shared" si="417"/>
        <v>#DIV/0!</v>
      </c>
      <c r="NUM133" s="531" t="e">
        <f t="shared" si="417"/>
        <v>#DIV/0!</v>
      </c>
      <c r="NUN133" s="531" t="e">
        <f t="shared" si="417"/>
        <v>#DIV/0!</v>
      </c>
      <c r="NUO133" s="531" t="e">
        <f t="shared" si="417"/>
        <v>#DIV/0!</v>
      </c>
      <c r="NUP133" s="531" t="e">
        <f t="shared" si="417"/>
        <v>#DIV/0!</v>
      </c>
      <c r="NUQ133" s="531" t="e">
        <f t="shared" si="417"/>
        <v>#DIV/0!</v>
      </c>
      <c r="NUR133" s="531" t="e">
        <f t="shared" si="417"/>
        <v>#DIV/0!</v>
      </c>
      <c r="NUS133" s="531" t="e">
        <f t="shared" si="417"/>
        <v>#DIV/0!</v>
      </c>
      <c r="NUT133" s="531" t="e">
        <f t="shared" si="417"/>
        <v>#DIV/0!</v>
      </c>
      <c r="NUU133" s="531" t="e">
        <f t="shared" si="417"/>
        <v>#DIV/0!</v>
      </c>
      <c r="NUV133" s="531" t="e">
        <f t="shared" si="417"/>
        <v>#DIV/0!</v>
      </c>
      <c r="NUW133" s="531" t="e">
        <f t="shared" si="417"/>
        <v>#DIV/0!</v>
      </c>
      <c r="NUX133" s="531" t="e">
        <f t="shared" si="417"/>
        <v>#DIV/0!</v>
      </c>
      <c r="NUY133" s="531" t="e">
        <f t="shared" si="417"/>
        <v>#DIV/0!</v>
      </c>
      <c r="NUZ133" s="531" t="e">
        <f t="shared" si="417"/>
        <v>#DIV/0!</v>
      </c>
      <c r="NVA133" s="531" t="e">
        <f t="shared" si="417"/>
        <v>#DIV/0!</v>
      </c>
      <c r="NVB133" s="531" t="e">
        <f t="shared" si="417"/>
        <v>#DIV/0!</v>
      </c>
      <c r="NVC133" s="531" t="e">
        <f t="shared" si="417"/>
        <v>#DIV/0!</v>
      </c>
      <c r="NVD133" s="531" t="e">
        <f t="shared" si="417"/>
        <v>#DIV/0!</v>
      </c>
      <c r="NVE133" s="531" t="e">
        <f t="shared" si="417"/>
        <v>#DIV/0!</v>
      </c>
      <c r="NVF133" s="531" t="e">
        <f t="shared" si="417"/>
        <v>#DIV/0!</v>
      </c>
      <c r="NVG133" s="531" t="e">
        <f t="shared" si="417"/>
        <v>#DIV/0!</v>
      </c>
      <c r="NVH133" s="531" t="e">
        <f t="shared" si="417"/>
        <v>#DIV/0!</v>
      </c>
      <c r="NVI133" s="531" t="e">
        <f t="shared" si="417"/>
        <v>#DIV/0!</v>
      </c>
      <c r="NVJ133" s="531" t="e">
        <f t="shared" si="417"/>
        <v>#DIV/0!</v>
      </c>
      <c r="NVK133" s="531" t="e">
        <f t="shared" si="417"/>
        <v>#DIV/0!</v>
      </c>
      <c r="NVL133" s="531" t="e">
        <f t="shared" si="417"/>
        <v>#DIV/0!</v>
      </c>
      <c r="NVM133" s="531" t="e">
        <f t="shared" si="417"/>
        <v>#DIV/0!</v>
      </c>
      <c r="NVN133" s="531" t="e">
        <f t="shared" si="417"/>
        <v>#DIV/0!</v>
      </c>
      <c r="NVO133" s="531" t="e">
        <f t="shared" si="417"/>
        <v>#DIV/0!</v>
      </c>
      <c r="NVP133" s="531" t="e">
        <f t="shared" si="417"/>
        <v>#DIV/0!</v>
      </c>
      <c r="NVQ133" s="531" t="e">
        <f t="shared" si="417"/>
        <v>#DIV/0!</v>
      </c>
      <c r="NVR133" s="531" t="e">
        <f t="shared" si="417"/>
        <v>#DIV/0!</v>
      </c>
      <c r="NVS133" s="531" t="e">
        <f t="shared" ref="NVS133:NYD133" si="418">NVS116/(NVS52*10^5)</f>
        <v>#DIV/0!</v>
      </c>
      <c r="NVT133" s="531" t="e">
        <f t="shared" si="418"/>
        <v>#DIV/0!</v>
      </c>
      <c r="NVU133" s="531" t="e">
        <f t="shared" si="418"/>
        <v>#DIV/0!</v>
      </c>
      <c r="NVV133" s="531" t="e">
        <f t="shared" si="418"/>
        <v>#DIV/0!</v>
      </c>
      <c r="NVW133" s="531" t="e">
        <f t="shared" si="418"/>
        <v>#DIV/0!</v>
      </c>
      <c r="NVX133" s="531" t="e">
        <f t="shared" si="418"/>
        <v>#DIV/0!</v>
      </c>
      <c r="NVY133" s="531" t="e">
        <f t="shared" si="418"/>
        <v>#DIV/0!</v>
      </c>
      <c r="NVZ133" s="531" t="e">
        <f t="shared" si="418"/>
        <v>#DIV/0!</v>
      </c>
      <c r="NWA133" s="531" t="e">
        <f t="shared" si="418"/>
        <v>#DIV/0!</v>
      </c>
      <c r="NWB133" s="531" t="e">
        <f t="shared" si="418"/>
        <v>#DIV/0!</v>
      </c>
      <c r="NWC133" s="531" t="e">
        <f t="shared" si="418"/>
        <v>#DIV/0!</v>
      </c>
      <c r="NWD133" s="531" t="e">
        <f t="shared" si="418"/>
        <v>#DIV/0!</v>
      </c>
      <c r="NWE133" s="531" t="e">
        <f t="shared" si="418"/>
        <v>#DIV/0!</v>
      </c>
      <c r="NWF133" s="531" t="e">
        <f t="shared" si="418"/>
        <v>#DIV/0!</v>
      </c>
      <c r="NWG133" s="531" t="e">
        <f t="shared" si="418"/>
        <v>#DIV/0!</v>
      </c>
      <c r="NWH133" s="531" t="e">
        <f t="shared" si="418"/>
        <v>#DIV/0!</v>
      </c>
      <c r="NWI133" s="531" t="e">
        <f t="shared" si="418"/>
        <v>#DIV/0!</v>
      </c>
      <c r="NWJ133" s="531" t="e">
        <f t="shared" si="418"/>
        <v>#DIV/0!</v>
      </c>
      <c r="NWK133" s="531" t="e">
        <f t="shared" si="418"/>
        <v>#DIV/0!</v>
      </c>
      <c r="NWL133" s="531" t="e">
        <f t="shared" si="418"/>
        <v>#DIV/0!</v>
      </c>
      <c r="NWM133" s="531" t="e">
        <f t="shared" si="418"/>
        <v>#DIV/0!</v>
      </c>
      <c r="NWN133" s="531" t="e">
        <f t="shared" si="418"/>
        <v>#DIV/0!</v>
      </c>
      <c r="NWO133" s="531" t="e">
        <f t="shared" si="418"/>
        <v>#DIV/0!</v>
      </c>
      <c r="NWP133" s="531" t="e">
        <f t="shared" si="418"/>
        <v>#DIV/0!</v>
      </c>
      <c r="NWQ133" s="531" t="e">
        <f t="shared" si="418"/>
        <v>#DIV/0!</v>
      </c>
      <c r="NWR133" s="531" t="e">
        <f t="shared" si="418"/>
        <v>#DIV/0!</v>
      </c>
      <c r="NWS133" s="531" t="e">
        <f t="shared" si="418"/>
        <v>#DIV/0!</v>
      </c>
      <c r="NWT133" s="531" t="e">
        <f t="shared" si="418"/>
        <v>#DIV/0!</v>
      </c>
      <c r="NWU133" s="531" t="e">
        <f t="shared" si="418"/>
        <v>#DIV/0!</v>
      </c>
      <c r="NWV133" s="531" t="e">
        <f t="shared" si="418"/>
        <v>#DIV/0!</v>
      </c>
      <c r="NWW133" s="531" t="e">
        <f t="shared" si="418"/>
        <v>#DIV/0!</v>
      </c>
      <c r="NWX133" s="531" t="e">
        <f t="shared" si="418"/>
        <v>#DIV/0!</v>
      </c>
      <c r="NWY133" s="531" t="e">
        <f t="shared" si="418"/>
        <v>#DIV/0!</v>
      </c>
      <c r="NWZ133" s="531" t="e">
        <f t="shared" si="418"/>
        <v>#DIV/0!</v>
      </c>
      <c r="NXA133" s="531" t="e">
        <f t="shared" si="418"/>
        <v>#DIV/0!</v>
      </c>
      <c r="NXB133" s="531" t="e">
        <f t="shared" si="418"/>
        <v>#DIV/0!</v>
      </c>
      <c r="NXC133" s="531" t="e">
        <f t="shared" si="418"/>
        <v>#DIV/0!</v>
      </c>
      <c r="NXD133" s="531" t="e">
        <f t="shared" si="418"/>
        <v>#DIV/0!</v>
      </c>
      <c r="NXE133" s="531" t="e">
        <f t="shared" si="418"/>
        <v>#DIV/0!</v>
      </c>
      <c r="NXF133" s="531" t="e">
        <f t="shared" si="418"/>
        <v>#DIV/0!</v>
      </c>
      <c r="NXG133" s="531" t="e">
        <f t="shared" si="418"/>
        <v>#DIV/0!</v>
      </c>
      <c r="NXH133" s="531" t="e">
        <f t="shared" si="418"/>
        <v>#DIV/0!</v>
      </c>
      <c r="NXI133" s="531" t="e">
        <f t="shared" si="418"/>
        <v>#DIV/0!</v>
      </c>
      <c r="NXJ133" s="531" t="e">
        <f t="shared" si="418"/>
        <v>#DIV/0!</v>
      </c>
      <c r="NXK133" s="531" t="e">
        <f t="shared" si="418"/>
        <v>#DIV/0!</v>
      </c>
      <c r="NXL133" s="531" t="e">
        <f t="shared" si="418"/>
        <v>#DIV/0!</v>
      </c>
      <c r="NXM133" s="531" t="e">
        <f t="shared" si="418"/>
        <v>#DIV/0!</v>
      </c>
      <c r="NXN133" s="531" t="e">
        <f t="shared" si="418"/>
        <v>#DIV/0!</v>
      </c>
      <c r="NXO133" s="531" t="e">
        <f t="shared" si="418"/>
        <v>#DIV/0!</v>
      </c>
      <c r="NXP133" s="531" t="e">
        <f t="shared" si="418"/>
        <v>#DIV/0!</v>
      </c>
      <c r="NXQ133" s="531" t="e">
        <f t="shared" si="418"/>
        <v>#DIV/0!</v>
      </c>
      <c r="NXR133" s="531" t="e">
        <f t="shared" si="418"/>
        <v>#DIV/0!</v>
      </c>
      <c r="NXS133" s="531" t="e">
        <f t="shared" si="418"/>
        <v>#DIV/0!</v>
      </c>
      <c r="NXT133" s="531" t="e">
        <f t="shared" si="418"/>
        <v>#DIV/0!</v>
      </c>
      <c r="NXU133" s="531" t="e">
        <f t="shared" si="418"/>
        <v>#DIV/0!</v>
      </c>
      <c r="NXV133" s="531" t="e">
        <f t="shared" si="418"/>
        <v>#DIV/0!</v>
      </c>
      <c r="NXW133" s="531" t="e">
        <f t="shared" si="418"/>
        <v>#DIV/0!</v>
      </c>
      <c r="NXX133" s="531" t="e">
        <f t="shared" si="418"/>
        <v>#DIV/0!</v>
      </c>
      <c r="NXY133" s="531" t="e">
        <f t="shared" si="418"/>
        <v>#DIV/0!</v>
      </c>
      <c r="NXZ133" s="531" t="e">
        <f t="shared" si="418"/>
        <v>#DIV/0!</v>
      </c>
      <c r="NYA133" s="531" t="e">
        <f t="shared" si="418"/>
        <v>#DIV/0!</v>
      </c>
      <c r="NYB133" s="531" t="e">
        <f t="shared" si="418"/>
        <v>#DIV/0!</v>
      </c>
      <c r="NYC133" s="531" t="e">
        <f t="shared" si="418"/>
        <v>#DIV/0!</v>
      </c>
      <c r="NYD133" s="531" t="e">
        <f t="shared" si="418"/>
        <v>#DIV/0!</v>
      </c>
      <c r="NYE133" s="531" t="e">
        <f t="shared" ref="NYE133:OAP133" si="419">NYE116/(NYE52*10^5)</f>
        <v>#DIV/0!</v>
      </c>
      <c r="NYF133" s="531" t="e">
        <f t="shared" si="419"/>
        <v>#DIV/0!</v>
      </c>
      <c r="NYG133" s="531" t="e">
        <f t="shared" si="419"/>
        <v>#DIV/0!</v>
      </c>
      <c r="NYH133" s="531" t="e">
        <f t="shared" si="419"/>
        <v>#DIV/0!</v>
      </c>
      <c r="NYI133" s="531" t="e">
        <f t="shared" si="419"/>
        <v>#DIV/0!</v>
      </c>
      <c r="NYJ133" s="531" t="e">
        <f t="shared" si="419"/>
        <v>#DIV/0!</v>
      </c>
      <c r="NYK133" s="531" t="e">
        <f t="shared" si="419"/>
        <v>#DIV/0!</v>
      </c>
      <c r="NYL133" s="531" t="e">
        <f t="shared" si="419"/>
        <v>#DIV/0!</v>
      </c>
      <c r="NYM133" s="531" t="e">
        <f t="shared" si="419"/>
        <v>#DIV/0!</v>
      </c>
      <c r="NYN133" s="531" t="e">
        <f t="shared" si="419"/>
        <v>#DIV/0!</v>
      </c>
      <c r="NYO133" s="531" t="e">
        <f t="shared" si="419"/>
        <v>#DIV/0!</v>
      </c>
      <c r="NYP133" s="531" t="e">
        <f t="shared" si="419"/>
        <v>#DIV/0!</v>
      </c>
      <c r="NYQ133" s="531" t="e">
        <f t="shared" si="419"/>
        <v>#DIV/0!</v>
      </c>
      <c r="NYR133" s="531" t="e">
        <f t="shared" si="419"/>
        <v>#DIV/0!</v>
      </c>
      <c r="NYS133" s="531" t="e">
        <f t="shared" si="419"/>
        <v>#DIV/0!</v>
      </c>
      <c r="NYT133" s="531" t="e">
        <f t="shared" si="419"/>
        <v>#DIV/0!</v>
      </c>
      <c r="NYU133" s="531" t="e">
        <f t="shared" si="419"/>
        <v>#DIV/0!</v>
      </c>
      <c r="NYV133" s="531" t="e">
        <f t="shared" si="419"/>
        <v>#DIV/0!</v>
      </c>
      <c r="NYW133" s="531" t="e">
        <f t="shared" si="419"/>
        <v>#DIV/0!</v>
      </c>
      <c r="NYX133" s="531" t="e">
        <f t="shared" si="419"/>
        <v>#DIV/0!</v>
      </c>
      <c r="NYY133" s="531" t="e">
        <f t="shared" si="419"/>
        <v>#DIV/0!</v>
      </c>
      <c r="NYZ133" s="531" t="e">
        <f t="shared" si="419"/>
        <v>#DIV/0!</v>
      </c>
      <c r="NZA133" s="531" t="e">
        <f t="shared" si="419"/>
        <v>#DIV/0!</v>
      </c>
      <c r="NZB133" s="531" t="e">
        <f t="shared" si="419"/>
        <v>#DIV/0!</v>
      </c>
      <c r="NZC133" s="531" t="e">
        <f t="shared" si="419"/>
        <v>#DIV/0!</v>
      </c>
      <c r="NZD133" s="531" t="e">
        <f t="shared" si="419"/>
        <v>#DIV/0!</v>
      </c>
      <c r="NZE133" s="531" t="e">
        <f t="shared" si="419"/>
        <v>#DIV/0!</v>
      </c>
      <c r="NZF133" s="531" t="e">
        <f t="shared" si="419"/>
        <v>#DIV/0!</v>
      </c>
      <c r="NZG133" s="531" t="e">
        <f t="shared" si="419"/>
        <v>#DIV/0!</v>
      </c>
      <c r="NZH133" s="531" t="e">
        <f t="shared" si="419"/>
        <v>#DIV/0!</v>
      </c>
      <c r="NZI133" s="531" t="e">
        <f t="shared" si="419"/>
        <v>#DIV/0!</v>
      </c>
      <c r="NZJ133" s="531" t="e">
        <f t="shared" si="419"/>
        <v>#DIV/0!</v>
      </c>
      <c r="NZK133" s="531" t="e">
        <f t="shared" si="419"/>
        <v>#DIV/0!</v>
      </c>
      <c r="NZL133" s="531" t="e">
        <f t="shared" si="419"/>
        <v>#DIV/0!</v>
      </c>
      <c r="NZM133" s="531" t="e">
        <f t="shared" si="419"/>
        <v>#DIV/0!</v>
      </c>
      <c r="NZN133" s="531" t="e">
        <f t="shared" si="419"/>
        <v>#DIV/0!</v>
      </c>
      <c r="NZO133" s="531" t="e">
        <f t="shared" si="419"/>
        <v>#DIV/0!</v>
      </c>
      <c r="NZP133" s="531" t="e">
        <f t="shared" si="419"/>
        <v>#DIV/0!</v>
      </c>
      <c r="NZQ133" s="531" t="e">
        <f t="shared" si="419"/>
        <v>#DIV/0!</v>
      </c>
      <c r="NZR133" s="531" t="e">
        <f t="shared" si="419"/>
        <v>#DIV/0!</v>
      </c>
      <c r="NZS133" s="531" t="e">
        <f t="shared" si="419"/>
        <v>#DIV/0!</v>
      </c>
      <c r="NZT133" s="531" t="e">
        <f t="shared" si="419"/>
        <v>#DIV/0!</v>
      </c>
      <c r="NZU133" s="531" t="e">
        <f t="shared" si="419"/>
        <v>#DIV/0!</v>
      </c>
      <c r="NZV133" s="531" t="e">
        <f t="shared" si="419"/>
        <v>#DIV/0!</v>
      </c>
      <c r="NZW133" s="531" t="e">
        <f t="shared" si="419"/>
        <v>#DIV/0!</v>
      </c>
      <c r="NZX133" s="531" t="e">
        <f t="shared" si="419"/>
        <v>#DIV/0!</v>
      </c>
      <c r="NZY133" s="531" t="e">
        <f t="shared" si="419"/>
        <v>#DIV/0!</v>
      </c>
      <c r="NZZ133" s="531" t="e">
        <f t="shared" si="419"/>
        <v>#DIV/0!</v>
      </c>
      <c r="OAA133" s="531" t="e">
        <f t="shared" si="419"/>
        <v>#DIV/0!</v>
      </c>
      <c r="OAB133" s="531" t="e">
        <f t="shared" si="419"/>
        <v>#DIV/0!</v>
      </c>
      <c r="OAC133" s="531" t="e">
        <f t="shared" si="419"/>
        <v>#DIV/0!</v>
      </c>
      <c r="OAD133" s="531" t="e">
        <f t="shared" si="419"/>
        <v>#DIV/0!</v>
      </c>
      <c r="OAE133" s="531" t="e">
        <f t="shared" si="419"/>
        <v>#DIV/0!</v>
      </c>
      <c r="OAF133" s="531" t="e">
        <f t="shared" si="419"/>
        <v>#DIV/0!</v>
      </c>
      <c r="OAG133" s="531" t="e">
        <f t="shared" si="419"/>
        <v>#DIV/0!</v>
      </c>
      <c r="OAH133" s="531" t="e">
        <f t="shared" si="419"/>
        <v>#DIV/0!</v>
      </c>
      <c r="OAI133" s="531" t="e">
        <f t="shared" si="419"/>
        <v>#DIV/0!</v>
      </c>
      <c r="OAJ133" s="531" t="e">
        <f t="shared" si="419"/>
        <v>#DIV/0!</v>
      </c>
      <c r="OAK133" s="531" t="e">
        <f t="shared" si="419"/>
        <v>#DIV/0!</v>
      </c>
      <c r="OAL133" s="531" t="e">
        <f t="shared" si="419"/>
        <v>#DIV/0!</v>
      </c>
      <c r="OAM133" s="531" t="e">
        <f t="shared" si="419"/>
        <v>#DIV/0!</v>
      </c>
      <c r="OAN133" s="531" t="e">
        <f t="shared" si="419"/>
        <v>#DIV/0!</v>
      </c>
      <c r="OAO133" s="531" t="e">
        <f t="shared" si="419"/>
        <v>#DIV/0!</v>
      </c>
      <c r="OAP133" s="531" t="e">
        <f t="shared" si="419"/>
        <v>#DIV/0!</v>
      </c>
      <c r="OAQ133" s="531" t="e">
        <f t="shared" ref="OAQ133:ODB133" si="420">OAQ116/(OAQ52*10^5)</f>
        <v>#DIV/0!</v>
      </c>
      <c r="OAR133" s="531" t="e">
        <f t="shared" si="420"/>
        <v>#DIV/0!</v>
      </c>
      <c r="OAS133" s="531" t="e">
        <f t="shared" si="420"/>
        <v>#DIV/0!</v>
      </c>
      <c r="OAT133" s="531" t="e">
        <f t="shared" si="420"/>
        <v>#DIV/0!</v>
      </c>
      <c r="OAU133" s="531" t="e">
        <f t="shared" si="420"/>
        <v>#DIV/0!</v>
      </c>
      <c r="OAV133" s="531" t="e">
        <f t="shared" si="420"/>
        <v>#DIV/0!</v>
      </c>
      <c r="OAW133" s="531" t="e">
        <f t="shared" si="420"/>
        <v>#DIV/0!</v>
      </c>
      <c r="OAX133" s="531" t="e">
        <f t="shared" si="420"/>
        <v>#DIV/0!</v>
      </c>
      <c r="OAY133" s="531" t="e">
        <f t="shared" si="420"/>
        <v>#DIV/0!</v>
      </c>
      <c r="OAZ133" s="531" t="e">
        <f t="shared" si="420"/>
        <v>#DIV/0!</v>
      </c>
      <c r="OBA133" s="531" t="e">
        <f t="shared" si="420"/>
        <v>#DIV/0!</v>
      </c>
      <c r="OBB133" s="531" t="e">
        <f t="shared" si="420"/>
        <v>#DIV/0!</v>
      </c>
      <c r="OBC133" s="531" t="e">
        <f t="shared" si="420"/>
        <v>#DIV/0!</v>
      </c>
      <c r="OBD133" s="531" t="e">
        <f t="shared" si="420"/>
        <v>#DIV/0!</v>
      </c>
      <c r="OBE133" s="531" t="e">
        <f t="shared" si="420"/>
        <v>#DIV/0!</v>
      </c>
      <c r="OBF133" s="531" t="e">
        <f t="shared" si="420"/>
        <v>#DIV/0!</v>
      </c>
      <c r="OBG133" s="531" t="e">
        <f t="shared" si="420"/>
        <v>#DIV/0!</v>
      </c>
      <c r="OBH133" s="531" t="e">
        <f t="shared" si="420"/>
        <v>#DIV/0!</v>
      </c>
      <c r="OBI133" s="531" t="e">
        <f t="shared" si="420"/>
        <v>#DIV/0!</v>
      </c>
      <c r="OBJ133" s="531" t="e">
        <f t="shared" si="420"/>
        <v>#DIV/0!</v>
      </c>
      <c r="OBK133" s="531" t="e">
        <f t="shared" si="420"/>
        <v>#DIV/0!</v>
      </c>
      <c r="OBL133" s="531" t="e">
        <f t="shared" si="420"/>
        <v>#DIV/0!</v>
      </c>
      <c r="OBM133" s="531" t="e">
        <f t="shared" si="420"/>
        <v>#DIV/0!</v>
      </c>
      <c r="OBN133" s="531" t="e">
        <f t="shared" si="420"/>
        <v>#DIV/0!</v>
      </c>
      <c r="OBO133" s="531" t="e">
        <f t="shared" si="420"/>
        <v>#DIV/0!</v>
      </c>
      <c r="OBP133" s="531" t="e">
        <f t="shared" si="420"/>
        <v>#DIV/0!</v>
      </c>
      <c r="OBQ133" s="531" t="e">
        <f t="shared" si="420"/>
        <v>#DIV/0!</v>
      </c>
      <c r="OBR133" s="531" t="e">
        <f t="shared" si="420"/>
        <v>#DIV/0!</v>
      </c>
      <c r="OBS133" s="531" t="e">
        <f t="shared" si="420"/>
        <v>#DIV/0!</v>
      </c>
      <c r="OBT133" s="531" t="e">
        <f t="shared" si="420"/>
        <v>#DIV/0!</v>
      </c>
      <c r="OBU133" s="531" t="e">
        <f t="shared" si="420"/>
        <v>#DIV/0!</v>
      </c>
      <c r="OBV133" s="531" t="e">
        <f t="shared" si="420"/>
        <v>#DIV/0!</v>
      </c>
      <c r="OBW133" s="531" t="e">
        <f t="shared" si="420"/>
        <v>#DIV/0!</v>
      </c>
      <c r="OBX133" s="531" t="e">
        <f t="shared" si="420"/>
        <v>#DIV/0!</v>
      </c>
      <c r="OBY133" s="531" t="e">
        <f t="shared" si="420"/>
        <v>#DIV/0!</v>
      </c>
      <c r="OBZ133" s="531" t="e">
        <f t="shared" si="420"/>
        <v>#DIV/0!</v>
      </c>
      <c r="OCA133" s="531" t="e">
        <f t="shared" si="420"/>
        <v>#DIV/0!</v>
      </c>
      <c r="OCB133" s="531" t="e">
        <f t="shared" si="420"/>
        <v>#DIV/0!</v>
      </c>
      <c r="OCC133" s="531" t="e">
        <f t="shared" si="420"/>
        <v>#DIV/0!</v>
      </c>
      <c r="OCD133" s="531" t="e">
        <f t="shared" si="420"/>
        <v>#DIV/0!</v>
      </c>
      <c r="OCE133" s="531" t="e">
        <f t="shared" si="420"/>
        <v>#DIV/0!</v>
      </c>
      <c r="OCF133" s="531" t="e">
        <f t="shared" si="420"/>
        <v>#DIV/0!</v>
      </c>
      <c r="OCG133" s="531" t="e">
        <f t="shared" si="420"/>
        <v>#DIV/0!</v>
      </c>
      <c r="OCH133" s="531" t="e">
        <f t="shared" si="420"/>
        <v>#DIV/0!</v>
      </c>
      <c r="OCI133" s="531" t="e">
        <f t="shared" si="420"/>
        <v>#DIV/0!</v>
      </c>
      <c r="OCJ133" s="531" t="e">
        <f t="shared" si="420"/>
        <v>#DIV/0!</v>
      </c>
      <c r="OCK133" s="531" t="e">
        <f t="shared" si="420"/>
        <v>#DIV/0!</v>
      </c>
      <c r="OCL133" s="531" t="e">
        <f t="shared" si="420"/>
        <v>#DIV/0!</v>
      </c>
      <c r="OCM133" s="531" t="e">
        <f t="shared" si="420"/>
        <v>#DIV/0!</v>
      </c>
      <c r="OCN133" s="531" t="e">
        <f t="shared" si="420"/>
        <v>#DIV/0!</v>
      </c>
      <c r="OCO133" s="531" t="e">
        <f t="shared" si="420"/>
        <v>#DIV/0!</v>
      </c>
      <c r="OCP133" s="531" t="e">
        <f t="shared" si="420"/>
        <v>#DIV/0!</v>
      </c>
      <c r="OCQ133" s="531" t="e">
        <f t="shared" si="420"/>
        <v>#DIV/0!</v>
      </c>
      <c r="OCR133" s="531" t="e">
        <f t="shared" si="420"/>
        <v>#DIV/0!</v>
      </c>
      <c r="OCS133" s="531" t="e">
        <f t="shared" si="420"/>
        <v>#DIV/0!</v>
      </c>
      <c r="OCT133" s="531" t="e">
        <f t="shared" si="420"/>
        <v>#DIV/0!</v>
      </c>
      <c r="OCU133" s="531" t="e">
        <f t="shared" si="420"/>
        <v>#DIV/0!</v>
      </c>
      <c r="OCV133" s="531" t="e">
        <f t="shared" si="420"/>
        <v>#DIV/0!</v>
      </c>
      <c r="OCW133" s="531" t="e">
        <f t="shared" si="420"/>
        <v>#DIV/0!</v>
      </c>
      <c r="OCX133" s="531" t="e">
        <f t="shared" si="420"/>
        <v>#DIV/0!</v>
      </c>
      <c r="OCY133" s="531" t="e">
        <f t="shared" si="420"/>
        <v>#DIV/0!</v>
      </c>
      <c r="OCZ133" s="531" t="e">
        <f t="shared" si="420"/>
        <v>#DIV/0!</v>
      </c>
      <c r="ODA133" s="531" t="e">
        <f t="shared" si="420"/>
        <v>#DIV/0!</v>
      </c>
      <c r="ODB133" s="531" t="e">
        <f t="shared" si="420"/>
        <v>#DIV/0!</v>
      </c>
      <c r="ODC133" s="531" t="e">
        <f t="shared" ref="ODC133:OFN133" si="421">ODC116/(ODC52*10^5)</f>
        <v>#DIV/0!</v>
      </c>
      <c r="ODD133" s="531" t="e">
        <f t="shared" si="421"/>
        <v>#DIV/0!</v>
      </c>
      <c r="ODE133" s="531" t="e">
        <f t="shared" si="421"/>
        <v>#DIV/0!</v>
      </c>
      <c r="ODF133" s="531" t="e">
        <f t="shared" si="421"/>
        <v>#DIV/0!</v>
      </c>
      <c r="ODG133" s="531" t="e">
        <f t="shared" si="421"/>
        <v>#DIV/0!</v>
      </c>
      <c r="ODH133" s="531" t="e">
        <f t="shared" si="421"/>
        <v>#DIV/0!</v>
      </c>
      <c r="ODI133" s="531" t="e">
        <f t="shared" si="421"/>
        <v>#DIV/0!</v>
      </c>
      <c r="ODJ133" s="531" t="e">
        <f t="shared" si="421"/>
        <v>#DIV/0!</v>
      </c>
      <c r="ODK133" s="531" t="e">
        <f t="shared" si="421"/>
        <v>#DIV/0!</v>
      </c>
      <c r="ODL133" s="531" t="e">
        <f t="shared" si="421"/>
        <v>#DIV/0!</v>
      </c>
      <c r="ODM133" s="531" t="e">
        <f t="shared" si="421"/>
        <v>#DIV/0!</v>
      </c>
      <c r="ODN133" s="531" t="e">
        <f t="shared" si="421"/>
        <v>#DIV/0!</v>
      </c>
      <c r="ODO133" s="531" t="e">
        <f t="shared" si="421"/>
        <v>#DIV/0!</v>
      </c>
      <c r="ODP133" s="531" t="e">
        <f t="shared" si="421"/>
        <v>#DIV/0!</v>
      </c>
      <c r="ODQ133" s="531" t="e">
        <f t="shared" si="421"/>
        <v>#DIV/0!</v>
      </c>
      <c r="ODR133" s="531" t="e">
        <f t="shared" si="421"/>
        <v>#DIV/0!</v>
      </c>
      <c r="ODS133" s="531" t="e">
        <f t="shared" si="421"/>
        <v>#DIV/0!</v>
      </c>
      <c r="ODT133" s="531" t="e">
        <f t="shared" si="421"/>
        <v>#DIV/0!</v>
      </c>
      <c r="ODU133" s="531" t="e">
        <f t="shared" si="421"/>
        <v>#DIV/0!</v>
      </c>
      <c r="ODV133" s="531" t="e">
        <f t="shared" si="421"/>
        <v>#DIV/0!</v>
      </c>
      <c r="ODW133" s="531" t="e">
        <f t="shared" si="421"/>
        <v>#DIV/0!</v>
      </c>
      <c r="ODX133" s="531" t="e">
        <f t="shared" si="421"/>
        <v>#DIV/0!</v>
      </c>
      <c r="ODY133" s="531" t="e">
        <f t="shared" si="421"/>
        <v>#DIV/0!</v>
      </c>
      <c r="ODZ133" s="531" t="e">
        <f t="shared" si="421"/>
        <v>#DIV/0!</v>
      </c>
      <c r="OEA133" s="531" t="e">
        <f t="shared" si="421"/>
        <v>#DIV/0!</v>
      </c>
      <c r="OEB133" s="531" t="e">
        <f t="shared" si="421"/>
        <v>#DIV/0!</v>
      </c>
      <c r="OEC133" s="531" t="e">
        <f t="shared" si="421"/>
        <v>#DIV/0!</v>
      </c>
      <c r="OED133" s="531" t="e">
        <f t="shared" si="421"/>
        <v>#DIV/0!</v>
      </c>
      <c r="OEE133" s="531" t="e">
        <f t="shared" si="421"/>
        <v>#DIV/0!</v>
      </c>
      <c r="OEF133" s="531" t="e">
        <f t="shared" si="421"/>
        <v>#DIV/0!</v>
      </c>
      <c r="OEG133" s="531" t="e">
        <f t="shared" si="421"/>
        <v>#DIV/0!</v>
      </c>
      <c r="OEH133" s="531" t="e">
        <f t="shared" si="421"/>
        <v>#DIV/0!</v>
      </c>
      <c r="OEI133" s="531" t="e">
        <f t="shared" si="421"/>
        <v>#DIV/0!</v>
      </c>
      <c r="OEJ133" s="531" t="e">
        <f t="shared" si="421"/>
        <v>#DIV/0!</v>
      </c>
      <c r="OEK133" s="531" t="e">
        <f t="shared" si="421"/>
        <v>#DIV/0!</v>
      </c>
      <c r="OEL133" s="531" t="e">
        <f t="shared" si="421"/>
        <v>#DIV/0!</v>
      </c>
      <c r="OEM133" s="531" t="e">
        <f t="shared" si="421"/>
        <v>#DIV/0!</v>
      </c>
      <c r="OEN133" s="531" t="e">
        <f t="shared" si="421"/>
        <v>#DIV/0!</v>
      </c>
      <c r="OEO133" s="531" t="e">
        <f t="shared" si="421"/>
        <v>#DIV/0!</v>
      </c>
      <c r="OEP133" s="531" t="e">
        <f t="shared" si="421"/>
        <v>#DIV/0!</v>
      </c>
      <c r="OEQ133" s="531" t="e">
        <f t="shared" si="421"/>
        <v>#DIV/0!</v>
      </c>
      <c r="OER133" s="531" t="e">
        <f t="shared" si="421"/>
        <v>#DIV/0!</v>
      </c>
      <c r="OES133" s="531" t="e">
        <f t="shared" si="421"/>
        <v>#DIV/0!</v>
      </c>
      <c r="OET133" s="531" t="e">
        <f t="shared" si="421"/>
        <v>#DIV/0!</v>
      </c>
      <c r="OEU133" s="531" t="e">
        <f t="shared" si="421"/>
        <v>#DIV/0!</v>
      </c>
      <c r="OEV133" s="531" t="e">
        <f t="shared" si="421"/>
        <v>#DIV/0!</v>
      </c>
      <c r="OEW133" s="531" t="e">
        <f t="shared" si="421"/>
        <v>#DIV/0!</v>
      </c>
      <c r="OEX133" s="531" t="e">
        <f t="shared" si="421"/>
        <v>#DIV/0!</v>
      </c>
      <c r="OEY133" s="531" t="e">
        <f t="shared" si="421"/>
        <v>#DIV/0!</v>
      </c>
      <c r="OEZ133" s="531" t="e">
        <f t="shared" si="421"/>
        <v>#DIV/0!</v>
      </c>
      <c r="OFA133" s="531" t="e">
        <f t="shared" si="421"/>
        <v>#DIV/0!</v>
      </c>
      <c r="OFB133" s="531" t="e">
        <f t="shared" si="421"/>
        <v>#DIV/0!</v>
      </c>
      <c r="OFC133" s="531" t="e">
        <f t="shared" si="421"/>
        <v>#DIV/0!</v>
      </c>
      <c r="OFD133" s="531" t="e">
        <f t="shared" si="421"/>
        <v>#DIV/0!</v>
      </c>
      <c r="OFE133" s="531" t="e">
        <f t="shared" si="421"/>
        <v>#DIV/0!</v>
      </c>
      <c r="OFF133" s="531" t="e">
        <f t="shared" si="421"/>
        <v>#DIV/0!</v>
      </c>
      <c r="OFG133" s="531" t="e">
        <f t="shared" si="421"/>
        <v>#DIV/0!</v>
      </c>
      <c r="OFH133" s="531" t="e">
        <f t="shared" si="421"/>
        <v>#DIV/0!</v>
      </c>
      <c r="OFI133" s="531" t="e">
        <f t="shared" si="421"/>
        <v>#DIV/0!</v>
      </c>
      <c r="OFJ133" s="531" t="e">
        <f t="shared" si="421"/>
        <v>#DIV/0!</v>
      </c>
      <c r="OFK133" s="531" t="e">
        <f t="shared" si="421"/>
        <v>#DIV/0!</v>
      </c>
      <c r="OFL133" s="531" t="e">
        <f t="shared" si="421"/>
        <v>#DIV/0!</v>
      </c>
      <c r="OFM133" s="531" t="e">
        <f t="shared" si="421"/>
        <v>#DIV/0!</v>
      </c>
      <c r="OFN133" s="531" t="e">
        <f t="shared" si="421"/>
        <v>#DIV/0!</v>
      </c>
      <c r="OFO133" s="531" t="e">
        <f t="shared" ref="OFO133:OHZ133" si="422">OFO116/(OFO52*10^5)</f>
        <v>#DIV/0!</v>
      </c>
      <c r="OFP133" s="531" t="e">
        <f t="shared" si="422"/>
        <v>#DIV/0!</v>
      </c>
      <c r="OFQ133" s="531" t="e">
        <f t="shared" si="422"/>
        <v>#DIV/0!</v>
      </c>
      <c r="OFR133" s="531" t="e">
        <f t="shared" si="422"/>
        <v>#DIV/0!</v>
      </c>
      <c r="OFS133" s="531" t="e">
        <f t="shared" si="422"/>
        <v>#DIV/0!</v>
      </c>
      <c r="OFT133" s="531" t="e">
        <f t="shared" si="422"/>
        <v>#DIV/0!</v>
      </c>
      <c r="OFU133" s="531" t="e">
        <f t="shared" si="422"/>
        <v>#DIV/0!</v>
      </c>
      <c r="OFV133" s="531" t="e">
        <f t="shared" si="422"/>
        <v>#DIV/0!</v>
      </c>
      <c r="OFW133" s="531" t="e">
        <f t="shared" si="422"/>
        <v>#DIV/0!</v>
      </c>
      <c r="OFX133" s="531" t="e">
        <f t="shared" si="422"/>
        <v>#DIV/0!</v>
      </c>
      <c r="OFY133" s="531" t="e">
        <f t="shared" si="422"/>
        <v>#DIV/0!</v>
      </c>
      <c r="OFZ133" s="531" t="e">
        <f t="shared" si="422"/>
        <v>#DIV/0!</v>
      </c>
      <c r="OGA133" s="531" t="e">
        <f t="shared" si="422"/>
        <v>#DIV/0!</v>
      </c>
      <c r="OGB133" s="531" t="e">
        <f t="shared" si="422"/>
        <v>#DIV/0!</v>
      </c>
      <c r="OGC133" s="531" t="e">
        <f t="shared" si="422"/>
        <v>#DIV/0!</v>
      </c>
      <c r="OGD133" s="531" t="e">
        <f t="shared" si="422"/>
        <v>#DIV/0!</v>
      </c>
      <c r="OGE133" s="531" t="e">
        <f t="shared" si="422"/>
        <v>#DIV/0!</v>
      </c>
      <c r="OGF133" s="531" t="e">
        <f t="shared" si="422"/>
        <v>#DIV/0!</v>
      </c>
      <c r="OGG133" s="531" t="e">
        <f t="shared" si="422"/>
        <v>#DIV/0!</v>
      </c>
      <c r="OGH133" s="531" t="e">
        <f t="shared" si="422"/>
        <v>#DIV/0!</v>
      </c>
      <c r="OGI133" s="531" t="e">
        <f t="shared" si="422"/>
        <v>#DIV/0!</v>
      </c>
      <c r="OGJ133" s="531" t="e">
        <f t="shared" si="422"/>
        <v>#DIV/0!</v>
      </c>
      <c r="OGK133" s="531" t="e">
        <f t="shared" si="422"/>
        <v>#DIV/0!</v>
      </c>
      <c r="OGL133" s="531" t="e">
        <f t="shared" si="422"/>
        <v>#DIV/0!</v>
      </c>
      <c r="OGM133" s="531" t="e">
        <f t="shared" si="422"/>
        <v>#DIV/0!</v>
      </c>
      <c r="OGN133" s="531" t="e">
        <f t="shared" si="422"/>
        <v>#DIV/0!</v>
      </c>
      <c r="OGO133" s="531" t="e">
        <f t="shared" si="422"/>
        <v>#DIV/0!</v>
      </c>
      <c r="OGP133" s="531" t="e">
        <f t="shared" si="422"/>
        <v>#DIV/0!</v>
      </c>
      <c r="OGQ133" s="531" t="e">
        <f t="shared" si="422"/>
        <v>#DIV/0!</v>
      </c>
      <c r="OGR133" s="531" t="e">
        <f t="shared" si="422"/>
        <v>#DIV/0!</v>
      </c>
      <c r="OGS133" s="531" t="e">
        <f t="shared" si="422"/>
        <v>#DIV/0!</v>
      </c>
      <c r="OGT133" s="531" t="e">
        <f t="shared" si="422"/>
        <v>#DIV/0!</v>
      </c>
      <c r="OGU133" s="531" t="e">
        <f t="shared" si="422"/>
        <v>#DIV/0!</v>
      </c>
      <c r="OGV133" s="531" t="e">
        <f t="shared" si="422"/>
        <v>#DIV/0!</v>
      </c>
      <c r="OGW133" s="531" t="e">
        <f t="shared" si="422"/>
        <v>#DIV/0!</v>
      </c>
      <c r="OGX133" s="531" t="e">
        <f t="shared" si="422"/>
        <v>#DIV/0!</v>
      </c>
      <c r="OGY133" s="531" t="e">
        <f t="shared" si="422"/>
        <v>#DIV/0!</v>
      </c>
      <c r="OGZ133" s="531" t="e">
        <f t="shared" si="422"/>
        <v>#DIV/0!</v>
      </c>
      <c r="OHA133" s="531" t="e">
        <f t="shared" si="422"/>
        <v>#DIV/0!</v>
      </c>
      <c r="OHB133" s="531" t="e">
        <f t="shared" si="422"/>
        <v>#DIV/0!</v>
      </c>
      <c r="OHC133" s="531" t="e">
        <f t="shared" si="422"/>
        <v>#DIV/0!</v>
      </c>
      <c r="OHD133" s="531" t="e">
        <f t="shared" si="422"/>
        <v>#DIV/0!</v>
      </c>
      <c r="OHE133" s="531" t="e">
        <f t="shared" si="422"/>
        <v>#DIV/0!</v>
      </c>
      <c r="OHF133" s="531" t="e">
        <f t="shared" si="422"/>
        <v>#DIV/0!</v>
      </c>
      <c r="OHG133" s="531" t="e">
        <f t="shared" si="422"/>
        <v>#DIV/0!</v>
      </c>
      <c r="OHH133" s="531" t="e">
        <f t="shared" si="422"/>
        <v>#DIV/0!</v>
      </c>
      <c r="OHI133" s="531" t="e">
        <f t="shared" si="422"/>
        <v>#DIV/0!</v>
      </c>
      <c r="OHJ133" s="531" t="e">
        <f t="shared" si="422"/>
        <v>#DIV/0!</v>
      </c>
      <c r="OHK133" s="531" t="e">
        <f t="shared" si="422"/>
        <v>#DIV/0!</v>
      </c>
      <c r="OHL133" s="531" t="e">
        <f t="shared" si="422"/>
        <v>#DIV/0!</v>
      </c>
      <c r="OHM133" s="531" t="e">
        <f t="shared" si="422"/>
        <v>#DIV/0!</v>
      </c>
      <c r="OHN133" s="531" t="e">
        <f t="shared" si="422"/>
        <v>#DIV/0!</v>
      </c>
      <c r="OHO133" s="531" t="e">
        <f t="shared" si="422"/>
        <v>#DIV/0!</v>
      </c>
      <c r="OHP133" s="531" t="e">
        <f t="shared" si="422"/>
        <v>#DIV/0!</v>
      </c>
      <c r="OHQ133" s="531" t="e">
        <f t="shared" si="422"/>
        <v>#DIV/0!</v>
      </c>
      <c r="OHR133" s="531" t="e">
        <f t="shared" si="422"/>
        <v>#DIV/0!</v>
      </c>
      <c r="OHS133" s="531" t="e">
        <f t="shared" si="422"/>
        <v>#DIV/0!</v>
      </c>
      <c r="OHT133" s="531" t="e">
        <f t="shared" si="422"/>
        <v>#DIV/0!</v>
      </c>
      <c r="OHU133" s="531" t="e">
        <f t="shared" si="422"/>
        <v>#DIV/0!</v>
      </c>
      <c r="OHV133" s="531" t="e">
        <f t="shared" si="422"/>
        <v>#DIV/0!</v>
      </c>
      <c r="OHW133" s="531" t="e">
        <f t="shared" si="422"/>
        <v>#DIV/0!</v>
      </c>
      <c r="OHX133" s="531" t="e">
        <f t="shared" si="422"/>
        <v>#DIV/0!</v>
      </c>
      <c r="OHY133" s="531" t="e">
        <f t="shared" si="422"/>
        <v>#DIV/0!</v>
      </c>
      <c r="OHZ133" s="531" t="e">
        <f t="shared" si="422"/>
        <v>#DIV/0!</v>
      </c>
      <c r="OIA133" s="531" t="e">
        <f t="shared" ref="OIA133:OKL133" si="423">OIA116/(OIA52*10^5)</f>
        <v>#DIV/0!</v>
      </c>
      <c r="OIB133" s="531" t="e">
        <f t="shared" si="423"/>
        <v>#DIV/0!</v>
      </c>
      <c r="OIC133" s="531" t="e">
        <f t="shared" si="423"/>
        <v>#DIV/0!</v>
      </c>
      <c r="OID133" s="531" t="e">
        <f t="shared" si="423"/>
        <v>#DIV/0!</v>
      </c>
      <c r="OIE133" s="531" t="e">
        <f t="shared" si="423"/>
        <v>#DIV/0!</v>
      </c>
      <c r="OIF133" s="531" t="e">
        <f t="shared" si="423"/>
        <v>#DIV/0!</v>
      </c>
      <c r="OIG133" s="531" t="e">
        <f t="shared" si="423"/>
        <v>#DIV/0!</v>
      </c>
      <c r="OIH133" s="531" t="e">
        <f t="shared" si="423"/>
        <v>#DIV/0!</v>
      </c>
      <c r="OII133" s="531" t="e">
        <f t="shared" si="423"/>
        <v>#DIV/0!</v>
      </c>
      <c r="OIJ133" s="531" t="e">
        <f t="shared" si="423"/>
        <v>#DIV/0!</v>
      </c>
      <c r="OIK133" s="531" t="e">
        <f t="shared" si="423"/>
        <v>#DIV/0!</v>
      </c>
      <c r="OIL133" s="531" t="e">
        <f t="shared" si="423"/>
        <v>#DIV/0!</v>
      </c>
      <c r="OIM133" s="531" t="e">
        <f t="shared" si="423"/>
        <v>#DIV/0!</v>
      </c>
      <c r="OIN133" s="531" t="e">
        <f t="shared" si="423"/>
        <v>#DIV/0!</v>
      </c>
      <c r="OIO133" s="531" t="e">
        <f t="shared" si="423"/>
        <v>#DIV/0!</v>
      </c>
      <c r="OIP133" s="531" t="e">
        <f t="shared" si="423"/>
        <v>#DIV/0!</v>
      </c>
      <c r="OIQ133" s="531" t="e">
        <f t="shared" si="423"/>
        <v>#DIV/0!</v>
      </c>
      <c r="OIR133" s="531" t="e">
        <f t="shared" si="423"/>
        <v>#DIV/0!</v>
      </c>
      <c r="OIS133" s="531" t="e">
        <f t="shared" si="423"/>
        <v>#DIV/0!</v>
      </c>
      <c r="OIT133" s="531" t="e">
        <f t="shared" si="423"/>
        <v>#DIV/0!</v>
      </c>
      <c r="OIU133" s="531" t="e">
        <f t="shared" si="423"/>
        <v>#DIV/0!</v>
      </c>
      <c r="OIV133" s="531" t="e">
        <f t="shared" si="423"/>
        <v>#DIV/0!</v>
      </c>
      <c r="OIW133" s="531" t="e">
        <f t="shared" si="423"/>
        <v>#DIV/0!</v>
      </c>
      <c r="OIX133" s="531" t="e">
        <f t="shared" si="423"/>
        <v>#DIV/0!</v>
      </c>
      <c r="OIY133" s="531" t="e">
        <f t="shared" si="423"/>
        <v>#DIV/0!</v>
      </c>
      <c r="OIZ133" s="531" t="e">
        <f t="shared" si="423"/>
        <v>#DIV/0!</v>
      </c>
      <c r="OJA133" s="531" t="e">
        <f t="shared" si="423"/>
        <v>#DIV/0!</v>
      </c>
      <c r="OJB133" s="531" t="e">
        <f t="shared" si="423"/>
        <v>#DIV/0!</v>
      </c>
      <c r="OJC133" s="531" t="e">
        <f t="shared" si="423"/>
        <v>#DIV/0!</v>
      </c>
      <c r="OJD133" s="531" t="e">
        <f t="shared" si="423"/>
        <v>#DIV/0!</v>
      </c>
      <c r="OJE133" s="531" t="e">
        <f t="shared" si="423"/>
        <v>#DIV/0!</v>
      </c>
      <c r="OJF133" s="531" t="e">
        <f t="shared" si="423"/>
        <v>#DIV/0!</v>
      </c>
      <c r="OJG133" s="531" t="e">
        <f t="shared" si="423"/>
        <v>#DIV/0!</v>
      </c>
      <c r="OJH133" s="531" t="e">
        <f t="shared" si="423"/>
        <v>#DIV/0!</v>
      </c>
      <c r="OJI133" s="531" t="e">
        <f t="shared" si="423"/>
        <v>#DIV/0!</v>
      </c>
      <c r="OJJ133" s="531" t="e">
        <f t="shared" si="423"/>
        <v>#DIV/0!</v>
      </c>
      <c r="OJK133" s="531" t="e">
        <f t="shared" si="423"/>
        <v>#DIV/0!</v>
      </c>
      <c r="OJL133" s="531" t="e">
        <f t="shared" si="423"/>
        <v>#DIV/0!</v>
      </c>
      <c r="OJM133" s="531" t="e">
        <f t="shared" si="423"/>
        <v>#DIV/0!</v>
      </c>
      <c r="OJN133" s="531" t="e">
        <f t="shared" si="423"/>
        <v>#DIV/0!</v>
      </c>
      <c r="OJO133" s="531" t="e">
        <f t="shared" si="423"/>
        <v>#DIV/0!</v>
      </c>
      <c r="OJP133" s="531" t="e">
        <f t="shared" si="423"/>
        <v>#DIV/0!</v>
      </c>
      <c r="OJQ133" s="531" t="e">
        <f t="shared" si="423"/>
        <v>#DIV/0!</v>
      </c>
      <c r="OJR133" s="531" t="e">
        <f t="shared" si="423"/>
        <v>#DIV/0!</v>
      </c>
      <c r="OJS133" s="531" t="e">
        <f t="shared" si="423"/>
        <v>#DIV/0!</v>
      </c>
      <c r="OJT133" s="531" t="e">
        <f t="shared" si="423"/>
        <v>#DIV/0!</v>
      </c>
      <c r="OJU133" s="531" t="e">
        <f t="shared" si="423"/>
        <v>#DIV/0!</v>
      </c>
      <c r="OJV133" s="531" t="e">
        <f t="shared" si="423"/>
        <v>#DIV/0!</v>
      </c>
      <c r="OJW133" s="531" t="e">
        <f t="shared" si="423"/>
        <v>#DIV/0!</v>
      </c>
      <c r="OJX133" s="531" t="e">
        <f t="shared" si="423"/>
        <v>#DIV/0!</v>
      </c>
      <c r="OJY133" s="531" t="e">
        <f t="shared" si="423"/>
        <v>#DIV/0!</v>
      </c>
      <c r="OJZ133" s="531" t="e">
        <f t="shared" si="423"/>
        <v>#DIV/0!</v>
      </c>
      <c r="OKA133" s="531" t="e">
        <f t="shared" si="423"/>
        <v>#DIV/0!</v>
      </c>
      <c r="OKB133" s="531" t="e">
        <f t="shared" si="423"/>
        <v>#DIV/0!</v>
      </c>
      <c r="OKC133" s="531" t="e">
        <f t="shared" si="423"/>
        <v>#DIV/0!</v>
      </c>
      <c r="OKD133" s="531" t="e">
        <f t="shared" si="423"/>
        <v>#DIV/0!</v>
      </c>
      <c r="OKE133" s="531" t="e">
        <f t="shared" si="423"/>
        <v>#DIV/0!</v>
      </c>
      <c r="OKF133" s="531" t="e">
        <f t="shared" si="423"/>
        <v>#DIV/0!</v>
      </c>
      <c r="OKG133" s="531" t="e">
        <f t="shared" si="423"/>
        <v>#DIV/0!</v>
      </c>
      <c r="OKH133" s="531" t="e">
        <f t="shared" si="423"/>
        <v>#DIV/0!</v>
      </c>
      <c r="OKI133" s="531" t="e">
        <f t="shared" si="423"/>
        <v>#DIV/0!</v>
      </c>
      <c r="OKJ133" s="531" t="e">
        <f t="shared" si="423"/>
        <v>#DIV/0!</v>
      </c>
      <c r="OKK133" s="531" t="e">
        <f t="shared" si="423"/>
        <v>#DIV/0!</v>
      </c>
      <c r="OKL133" s="531" t="e">
        <f t="shared" si="423"/>
        <v>#DIV/0!</v>
      </c>
      <c r="OKM133" s="531" t="e">
        <f t="shared" ref="OKM133:OMX133" si="424">OKM116/(OKM52*10^5)</f>
        <v>#DIV/0!</v>
      </c>
      <c r="OKN133" s="531" t="e">
        <f t="shared" si="424"/>
        <v>#DIV/0!</v>
      </c>
      <c r="OKO133" s="531" t="e">
        <f t="shared" si="424"/>
        <v>#DIV/0!</v>
      </c>
      <c r="OKP133" s="531" t="e">
        <f t="shared" si="424"/>
        <v>#DIV/0!</v>
      </c>
      <c r="OKQ133" s="531" t="e">
        <f t="shared" si="424"/>
        <v>#DIV/0!</v>
      </c>
      <c r="OKR133" s="531" t="e">
        <f t="shared" si="424"/>
        <v>#DIV/0!</v>
      </c>
      <c r="OKS133" s="531" t="e">
        <f t="shared" si="424"/>
        <v>#DIV/0!</v>
      </c>
      <c r="OKT133" s="531" t="e">
        <f t="shared" si="424"/>
        <v>#DIV/0!</v>
      </c>
      <c r="OKU133" s="531" t="e">
        <f t="shared" si="424"/>
        <v>#DIV/0!</v>
      </c>
      <c r="OKV133" s="531" t="e">
        <f t="shared" si="424"/>
        <v>#DIV/0!</v>
      </c>
      <c r="OKW133" s="531" t="e">
        <f t="shared" si="424"/>
        <v>#DIV/0!</v>
      </c>
      <c r="OKX133" s="531" t="e">
        <f t="shared" si="424"/>
        <v>#DIV/0!</v>
      </c>
      <c r="OKY133" s="531" t="e">
        <f t="shared" si="424"/>
        <v>#DIV/0!</v>
      </c>
      <c r="OKZ133" s="531" t="e">
        <f t="shared" si="424"/>
        <v>#DIV/0!</v>
      </c>
      <c r="OLA133" s="531" t="e">
        <f t="shared" si="424"/>
        <v>#DIV/0!</v>
      </c>
      <c r="OLB133" s="531" t="e">
        <f t="shared" si="424"/>
        <v>#DIV/0!</v>
      </c>
      <c r="OLC133" s="531" t="e">
        <f t="shared" si="424"/>
        <v>#DIV/0!</v>
      </c>
      <c r="OLD133" s="531" t="e">
        <f t="shared" si="424"/>
        <v>#DIV/0!</v>
      </c>
      <c r="OLE133" s="531" t="e">
        <f t="shared" si="424"/>
        <v>#DIV/0!</v>
      </c>
      <c r="OLF133" s="531" t="e">
        <f t="shared" si="424"/>
        <v>#DIV/0!</v>
      </c>
      <c r="OLG133" s="531" t="e">
        <f t="shared" si="424"/>
        <v>#DIV/0!</v>
      </c>
      <c r="OLH133" s="531" t="e">
        <f t="shared" si="424"/>
        <v>#DIV/0!</v>
      </c>
      <c r="OLI133" s="531" t="e">
        <f t="shared" si="424"/>
        <v>#DIV/0!</v>
      </c>
      <c r="OLJ133" s="531" t="e">
        <f t="shared" si="424"/>
        <v>#DIV/0!</v>
      </c>
      <c r="OLK133" s="531" t="e">
        <f t="shared" si="424"/>
        <v>#DIV/0!</v>
      </c>
      <c r="OLL133" s="531" t="e">
        <f t="shared" si="424"/>
        <v>#DIV/0!</v>
      </c>
      <c r="OLM133" s="531" t="e">
        <f t="shared" si="424"/>
        <v>#DIV/0!</v>
      </c>
      <c r="OLN133" s="531" t="e">
        <f t="shared" si="424"/>
        <v>#DIV/0!</v>
      </c>
      <c r="OLO133" s="531" t="e">
        <f t="shared" si="424"/>
        <v>#DIV/0!</v>
      </c>
      <c r="OLP133" s="531" t="e">
        <f t="shared" si="424"/>
        <v>#DIV/0!</v>
      </c>
      <c r="OLQ133" s="531" t="e">
        <f t="shared" si="424"/>
        <v>#DIV/0!</v>
      </c>
      <c r="OLR133" s="531" t="e">
        <f t="shared" si="424"/>
        <v>#DIV/0!</v>
      </c>
      <c r="OLS133" s="531" t="e">
        <f t="shared" si="424"/>
        <v>#DIV/0!</v>
      </c>
      <c r="OLT133" s="531" t="e">
        <f t="shared" si="424"/>
        <v>#DIV/0!</v>
      </c>
      <c r="OLU133" s="531" t="e">
        <f t="shared" si="424"/>
        <v>#DIV/0!</v>
      </c>
      <c r="OLV133" s="531" t="e">
        <f t="shared" si="424"/>
        <v>#DIV/0!</v>
      </c>
      <c r="OLW133" s="531" t="e">
        <f t="shared" si="424"/>
        <v>#DIV/0!</v>
      </c>
      <c r="OLX133" s="531" t="e">
        <f t="shared" si="424"/>
        <v>#DIV/0!</v>
      </c>
      <c r="OLY133" s="531" t="e">
        <f t="shared" si="424"/>
        <v>#DIV/0!</v>
      </c>
      <c r="OLZ133" s="531" t="e">
        <f t="shared" si="424"/>
        <v>#DIV/0!</v>
      </c>
      <c r="OMA133" s="531" t="e">
        <f t="shared" si="424"/>
        <v>#DIV/0!</v>
      </c>
      <c r="OMB133" s="531" t="e">
        <f t="shared" si="424"/>
        <v>#DIV/0!</v>
      </c>
      <c r="OMC133" s="531" t="e">
        <f t="shared" si="424"/>
        <v>#DIV/0!</v>
      </c>
      <c r="OMD133" s="531" t="e">
        <f t="shared" si="424"/>
        <v>#DIV/0!</v>
      </c>
      <c r="OME133" s="531" t="e">
        <f t="shared" si="424"/>
        <v>#DIV/0!</v>
      </c>
      <c r="OMF133" s="531" t="e">
        <f t="shared" si="424"/>
        <v>#DIV/0!</v>
      </c>
      <c r="OMG133" s="531" t="e">
        <f t="shared" si="424"/>
        <v>#DIV/0!</v>
      </c>
      <c r="OMH133" s="531" t="e">
        <f t="shared" si="424"/>
        <v>#DIV/0!</v>
      </c>
      <c r="OMI133" s="531" t="e">
        <f t="shared" si="424"/>
        <v>#DIV/0!</v>
      </c>
      <c r="OMJ133" s="531" t="e">
        <f t="shared" si="424"/>
        <v>#DIV/0!</v>
      </c>
      <c r="OMK133" s="531" t="e">
        <f t="shared" si="424"/>
        <v>#DIV/0!</v>
      </c>
      <c r="OML133" s="531" t="e">
        <f t="shared" si="424"/>
        <v>#DIV/0!</v>
      </c>
      <c r="OMM133" s="531" t="e">
        <f t="shared" si="424"/>
        <v>#DIV/0!</v>
      </c>
      <c r="OMN133" s="531" t="e">
        <f t="shared" si="424"/>
        <v>#DIV/0!</v>
      </c>
      <c r="OMO133" s="531" t="e">
        <f t="shared" si="424"/>
        <v>#DIV/0!</v>
      </c>
      <c r="OMP133" s="531" t="e">
        <f t="shared" si="424"/>
        <v>#DIV/0!</v>
      </c>
      <c r="OMQ133" s="531" t="e">
        <f t="shared" si="424"/>
        <v>#DIV/0!</v>
      </c>
      <c r="OMR133" s="531" t="e">
        <f t="shared" si="424"/>
        <v>#DIV/0!</v>
      </c>
      <c r="OMS133" s="531" t="e">
        <f t="shared" si="424"/>
        <v>#DIV/0!</v>
      </c>
      <c r="OMT133" s="531" t="e">
        <f t="shared" si="424"/>
        <v>#DIV/0!</v>
      </c>
      <c r="OMU133" s="531" t="e">
        <f t="shared" si="424"/>
        <v>#DIV/0!</v>
      </c>
      <c r="OMV133" s="531" t="e">
        <f t="shared" si="424"/>
        <v>#DIV/0!</v>
      </c>
      <c r="OMW133" s="531" t="e">
        <f t="shared" si="424"/>
        <v>#DIV/0!</v>
      </c>
      <c r="OMX133" s="531" t="e">
        <f t="shared" si="424"/>
        <v>#DIV/0!</v>
      </c>
      <c r="OMY133" s="531" t="e">
        <f t="shared" ref="OMY133:OPJ133" si="425">OMY116/(OMY52*10^5)</f>
        <v>#DIV/0!</v>
      </c>
      <c r="OMZ133" s="531" t="e">
        <f t="shared" si="425"/>
        <v>#DIV/0!</v>
      </c>
      <c r="ONA133" s="531" t="e">
        <f t="shared" si="425"/>
        <v>#DIV/0!</v>
      </c>
      <c r="ONB133" s="531" t="e">
        <f t="shared" si="425"/>
        <v>#DIV/0!</v>
      </c>
      <c r="ONC133" s="531" t="e">
        <f t="shared" si="425"/>
        <v>#DIV/0!</v>
      </c>
      <c r="OND133" s="531" t="e">
        <f t="shared" si="425"/>
        <v>#DIV/0!</v>
      </c>
      <c r="ONE133" s="531" t="e">
        <f t="shared" si="425"/>
        <v>#DIV/0!</v>
      </c>
      <c r="ONF133" s="531" t="e">
        <f t="shared" si="425"/>
        <v>#DIV/0!</v>
      </c>
      <c r="ONG133" s="531" t="e">
        <f t="shared" si="425"/>
        <v>#DIV/0!</v>
      </c>
      <c r="ONH133" s="531" t="e">
        <f t="shared" si="425"/>
        <v>#DIV/0!</v>
      </c>
      <c r="ONI133" s="531" t="e">
        <f t="shared" si="425"/>
        <v>#DIV/0!</v>
      </c>
      <c r="ONJ133" s="531" t="e">
        <f t="shared" si="425"/>
        <v>#DIV/0!</v>
      </c>
      <c r="ONK133" s="531" t="e">
        <f t="shared" si="425"/>
        <v>#DIV/0!</v>
      </c>
      <c r="ONL133" s="531" t="e">
        <f t="shared" si="425"/>
        <v>#DIV/0!</v>
      </c>
      <c r="ONM133" s="531" t="e">
        <f t="shared" si="425"/>
        <v>#DIV/0!</v>
      </c>
      <c r="ONN133" s="531" t="e">
        <f t="shared" si="425"/>
        <v>#DIV/0!</v>
      </c>
      <c r="ONO133" s="531" t="e">
        <f t="shared" si="425"/>
        <v>#DIV/0!</v>
      </c>
      <c r="ONP133" s="531" t="e">
        <f t="shared" si="425"/>
        <v>#DIV/0!</v>
      </c>
      <c r="ONQ133" s="531" t="e">
        <f t="shared" si="425"/>
        <v>#DIV/0!</v>
      </c>
      <c r="ONR133" s="531" t="e">
        <f t="shared" si="425"/>
        <v>#DIV/0!</v>
      </c>
      <c r="ONS133" s="531" t="e">
        <f t="shared" si="425"/>
        <v>#DIV/0!</v>
      </c>
      <c r="ONT133" s="531" t="e">
        <f t="shared" si="425"/>
        <v>#DIV/0!</v>
      </c>
      <c r="ONU133" s="531" t="e">
        <f t="shared" si="425"/>
        <v>#DIV/0!</v>
      </c>
      <c r="ONV133" s="531" t="e">
        <f t="shared" si="425"/>
        <v>#DIV/0!</v>
      </c>
      <c r="ONW133" s="531" t="e">
        <f t="shared" si="425"/>
        <v>#DIV/0!</v>
      </c>
      <c r="ONX133" s="531" t="e">
        <f t="shared" si="425"/>
        <v>#DIV/0!</v>
      </c>
      <c r="ONY133" s="531" t="e">
        <f t="shared" si="425"/>
        <v>#DIV/0!</v>
      </c>
      <c r="ONZ133" s="531" t="e">
        <f t="shared" si="425"/>
        <v>#DIV/0!</v>
      </c>
      <c r="OOA133" s="531" t="e">
        <f t="shared" si="425"/>
        <v>#DIV/0!</v>
      </c>
      <c r="OOB133" s="531" t="e">
        <f t="shared" si="425"/>
        <v>#DIV/0!</v>
      </c>
      <c r="OOC133" s="531" t="e">
        <f t="shared" si="425"/>
        <v>#DIV/0!</v>
      </c>
      <c r="OOD133" s="531" t="e">
        <f t="shared" si="425"/>
        <v>#DIV/0!</v>
      </c>
      <c r="OOE133" s="531" t="e">
        <f t="shared" si="425"/>
        <v>#DIV/0!</v>
      </c>
      <c r="OOF133" s="531" t="e">
        <f t="shared" si="425"/>
        <v>#DIV/0!</v>
      </c>
      <c r="OOG133" s="531" t="e">
        <f t="shared" si="425"/>
        <v>#DIV/0!</v>
      </c>
      <c r="OOH133" s="531" t="e">
        <f t="shared" si="425"/>
        <v>#DIV/0!</v>
      </c>
      <c r="OOI133" s="531" t="e">
        <f t="shared" si="425"/>
        <v>#DIV/0!</v>
      </c>
      <c r="OOJ133" s="531" t="e">
        <f t="shared" si="425"/>
        <v>#DIV/0!</v>
      </c>
      <c r="OOK133" s="531" t="e">
        <f t="shared" si="425"/>
        <v>#DIV/0!</v>
      </c>
      <c r="OOL133" s="531" t="e">
        <f t="shared" si="425"/>
        <v>#DIV/0!</v>
      </c>
      <c r="OOM133" s="531" t="e">
        <f t="shared" si="425"/>
        <v>#DIV/0!</v>
      </c>
      <c r="OON133" s="531" t="e">
        <f t="shared" si="425"/>
        <v>#DIV/0!</v>
      </c>
      <c r="OOO133" s="531" t="e">
        <f t="shared" si="425"/>
        <v>#DIV/0!</v>
      </c>
      <c r="OOP133" s="531" t="e">
        <f t="shared" si="425"/>
        <v>#DIV/0!</v>
      </c>
      <c r="OOQ133" s="531" t="e">
        <f t="shared" si="425"/>
        <v>#DIV/0!</v>
      </c>
      <c r="OOR133" s="531" t="e">
        <f t="shared" si="425"/>
        <v>#DIV/0!</v>
      </c>
      <c r="OOS133" s="531" t="e">
        <f t="shared" si="425"/>
        <v>#DIV/0!</v>
      </c>
      <c r="OOT133" s="531" t="e">
        <f t="shared" si="425"/>
        <v>#DIV/0!</v>
      </c>
      <c r="OOU133" s="531" t="e">
        <f t="shared" si="425"/>
        <v>#DIV/0!</v>
      </c>
      <c r="OOV133" s="531" t="e">
        <f t="shared" si="425"/>
        <v>#DIV/0!</v>
      </c>
      <c r="OOW133" s="531" t="e">
        <f t="shared" si="425"/>
        <v>#DIV/0!</v>
      </c>
      <c r="OOX133" s="531" t="e">
        <f t="shared" si="425"/>
        <v>#DIV/0!</v>
      </c>
      <c r="OOY133" s="531" t="e">
        <f t="shared" si="425"/>
        <v>#DIV/0!</v>
      </c>
      <c r="OOZ133" s="531" t="e">
        <f t="shared" si="425"/>
        <v>#DIV/0!</v>
      </c>
      <c r="OPA133" s="531" t="e">
        <f t="shared" si="425"/>
        <v>#DIV/0!</v>
      </c>
      <c r="OPB133" s="531" t="e">
        <f t="shared" si="425"/>
        <v>#DIV/0!</v>
      </c>
      <c r="OPC133" s="531" t="e">
        <f t="shared" si="425"/>
        <v>#DIV/0!</v>
      </c>
      <c r="OPD133" s="531" t="e">
        <f t="shared" si="425"/>
        <v>#DIV/0!</v>
      </c>
      <c r="OPE133" s="531" t="e">
        <f t="shared" si="425"/>
        <v>#DIV/0!</v>
      </c>
      <c r="OPF133" s="531" t="e">
        <f t="shared" si="425"/>
        <v>#DIV/0!</v>
      </c>
      <c r="OPG133" s="531" t="e">
        <f t="shared" si="425"/>
        <v>#DIV/0!</v>
      </c>
      <c r="OPH133" s="531" t="e">
        <f t="shared" si="425"/>
        <v>#DIV/0!</v>
      </c>
      <c r="OPI133" s="531" t="e">
        <f t="shared" si="425"/>
        <v>#DIV/0!</v>
      </c>
      <c r="OPJ133" s="531" t="e">
        <f t="shared" si="425"/>
        <v>#DIV/0!</v>
      </c>
      <c r="OPK133" s="531" t="e">
        <f t="shared" ref="OPK133:ORV133" si="426">OPK116/(OPK52*10^5)</f>
        <v>#DIV/0!</v>
      </c>
      <c r="OPL133" s="531" t="e">
        <f t="shared" si="426"/>
        <v>#DIV/0!</v>
      </c>
      <c r="OPM133" s="531" t="e">
        <f t="shared" si="426"/>
        <v>#DIV/0!</v>
      </c>
      <c r="OPN133" s="531" t="e">
        <f t="shared" si="426"/>
        <v>#DIV/0!</v>
      </c>
      <c r="OPO133" s="531" t="e">
        <f t="shared" si="426"/>
        <v>#DIV/0!</v>
      </c>
      <c r="OPP133" s="531" t="e">
        <f t="shared" si="426"/>
        <v>#DIV/0!</v>
      </c>
      <c r="OPQ133" s="531" t="e">
        <f t="shared" si="426"/>
        <v>#DIV/0!</v>
      </c>
      <c r="OPR133" s="531" t="e">
        <f t="shared" si="426"/>
        <v>#DIV/0!</v>
      </c>
      <c r="OPS133" s="531" t="e">
        <f t="shared" si="426"/>
        <v>#DIV/0!</v>
      </c>
      <c r="OPT133" s="531" t="e">
        <f t="shared" si="426"/>
        <v>#DIV/0!</v>
      </c>
      <c r="OPU133" s="531" t="e">
        <f t="shared" si="426"/>
        <v>#DIV/0!</v>
      </c>
      <c r="OPV133" s="531" t="e">
        <f t="shared" si="426"/>
        <v>#DIV/0!</v>
      </c>
      <c r="OPW133" s="531" t="e">
        <f t="shared" si="426"/>
        <v>#DIV/0!</v>
      </c>
      <c r="OPX133" s="531" t="e">
        <f t="shared" si="426"/>
        <v>#DIV/0!</v>
      </c>
      <c r="OPY133" s="531" t="e">
        <f t="shared" si="426"/>
        <v>#DIV/0!</v>
      </c>
      <c r="OPZ133" s="531" t="e">
        <f t="shared" si="426"/>
        <v>#DIV/0!</v>
      </c>
      <c r="OQA133" s="531" t="e">
        <f t="shared" si="426"/>
        <v>#DIV/0!</v>
      </c>
      <c r="OQB133" s="531" t="e">
        <f t="shared" si="426"/>
        <v>#DIV/0!</v>
      </c>
      <c r="OQC133" s="531" t="e">
        <f t="shared" si="426"/>
        <v>#DIV/0!</v>
      </c>
      <c r="OQD133" s="531" t="e">
        <f t="shared" si="426"/>
        <v>#DIV/0!</v>
      </c>
      <c r="OQE133" s="531" t="e">
        <f t="shared" si="426"/>
        <v>#DIV/0!</v>
      </c>
      <c r="OQF133" s="531" t="e">
        <f t="shared" si="426"/>
        <v>#DIV/0!</v>
      </c>
      <c r="OQG133" s="531" t="e">
        <f t="shared" si="426"/>
        <v>#DIV/0!</v>
      </c>
      <c r="OQH133" s="531" t="e">
        <f t="shared" si="426"/>
        <v>#DIV/0!</v>
      </c>
      <c r="OQI133" s="531" t="e">
        <f t="shared" si="426"/>
        <v>#DIV/0!</v>
      </c>
      <c r="OQJ133" s="531" t="e">
        <f t="shared" si="426"/>
        <v>#DIV/0!</v>
      </c>
      <c r="OQK133" s="531" t="e">
        <f t="shared" si="426"/>
        <v>#DIV/0!</v>
      </c>
      <c r="OQL133" s="531" t="e">
        <f t="shared" si="426"/>
        <v>#DIV/0!</v>
      </c>
      <c r="OQM133" s="531" t="e">
        <f t="shared" si="426"/>
        <v>#DIV/0!</v>
      </c>
      <c r="OQN133" s="531" t="e">
        <f t="shared" si="426"/>
        <v>#DIV/0!</v>
      </c>
      <c r="OQO133" s="531" t="e">
        <f t="shared" si="426"/>
        <v>#DIV/0!</v>
      </c>
      <c r="OQP133" s="531" t="e">
        <f t="shared" si="426"/>
        <v>#DIV/0!</v>
      </c>
      <c r="OQQ133" s="531" t="e">
        <f t="shared" si="426"/>
        <v>#DIV/0!</v>
      </c>
      <c r="OQR133" s="531" t="e">
        <f t="shared" si="426"/>
        <v>#DIV/0!</v>
      </c>
      <c r="OQS133" s="531" t="e">
        <f t="shared" si="426"/>
        <v>#DIV/0!</v>
      </c>
      <c r="OQT133" s="531" t="e">
        <f t="shared" si="426"/>
        <v>#DIV/0!</v>
      </c>
      <c r="OQU133" s="531" t="e">
        <f t="shared" si="426"/>
        <v>#DIV/0!</v>
      </c>
      <c r="OQV133" s="531" t="e">
        <f t="shared" si="426"/>
        <v>#DIV/0!</v>
      </c>
      <c r="OQW133" s="531" t="e">
        <f t="shared" si="426"/>
        <v>#DIV/0!</v>
      </c>
      <c r="OQX133" s="531" t="e">
        <f t="shared" si="426"/>
        <v>#DIV/0!</v>
      </c>
      <c r="OQY133" s="531" t="e">
        <f t="shared" si="426"/>
        <v>#DIV/0!</v>
      </c>
      <c r="OQZ133" s="531" t="e">
        <f t="shared" si="426"/>
        <v>#DIV/0!</v>
      </c>
      <c r="ORA133" s="531" t="e">
        <f t="shared" si="426"/>
        <v>#DIV/0!</v>
      </c>
      <c r="ORB133" s="531" t="e">
        <f t="shared" si="426"/>
        <v>#DIV/0!</v>
      </c>
      <c r="ORC133" s="531" t="e">
        <f t="shared" si="426"/>
        <v>#DIV/0!</v>
      </c>
      <c r="ORD133" s="531" t="e">
        <f t="shared" si="426"/>
        <v>#DIV/0!</v>
      </c>
      <c r="ORE133" s="531" t="e">
        <f t="shared" si="426"/>
        <v>#DIV/0!</v>
      </c>
      <c r="ORF133" s="531" t="e">
        <f t="shared" si="426"/>
        <v>#DIV/0!</v>
      </c>
      <c r="ORG133" s="531" t="e">
        <f t="shared" si="426"/>
        <v>#DIV/0!</v>
      </c>
      <c r="ORH133" s="531" t="e">
        <f t="shared" si="426"/>
        <v>#DIV/0!</v>
      </c>
      <c r="ORI133" s="531" t="e">
        <f t="shared" si="426"/>
        <v>#DIV/0!</v>
      </c>
      <c r="ORJ133" s="531" t="e">
        <f t="shared" si="426"/>
        <v>#DIV/0!</v>
      </c>
      <c r="ORK133" s="531" t="e">
        <f t="shared" si="426"/>
        <v>#DIV/0!</v>
      </c>
      <c r="ORL133" s="531" t="e">
        <f t="shared" si="426"/>
        <v>#DIV/0!</v>
      </c>
      <c r="ORM133" s="531" t="e">
        <f t="shared" si="426"/>
        <v>#DIV/0!</v>
      </c>
      <c r="ORN133" s="531" t="e">
        <f t="shared" si="426"/>
        <v>#DIV/0!</v>
      </c>
      <c r="ORO133" s="531" t="e">
        <f t="shared" si="426"/>
        <v>#DIV/0!</v>
      </c>
      <c r="ORP133" s="531" t="e">
        <f t="shared" si="426"/>
        <v>#DIV/0!</v>
      </c>
      <c r="ORQ133" s="531" t="e">
        <f t="shared" si="426"/>
        <v>#DIV/0!</v>
      </c>
      <c r="ORR133" s="531" t="e">
        <f t="shared" si="426"/>
        <v>#DIV/0!</v>
      </c>
      <c r="ORS133" s="531" t="e">
        <f t="shared" si="426"/>
        <v>#DIV/0!</v>
      </c>
      <c r="ORT133" s="531" t="e">
        <f t="shared" si="426"/>
        <v>#DIV/0!</v>
      </c>
      <c r="ORU133" s="531" t="e">
        <f t="shared" si="426"/>
        <v>#DIV/0!</v>
      </c>
      <c r="ORV133" s="531" t="e">
        <f t="shared" si="426"/>
        <v>#DIV/0!</v>
      </c>
      <c r="ORW133" s="531" t="e">
        <f t="shared" ref="ORW133:OUH133" si="427">ORW116/(ORW52*10^5)</f>
        <v>#DIV/0!</v>
      </c>
      <c r="ORX133" s="531" t="e">
        <f t="shared" si="427"/>
        <v>#DIV/0!</v>
      </c>
      <c r="ORY133" s="531" t="e">
        <f t="shared" si="427"/>
        <v>#DIV/0!</v>
      </c>
      <c r="ORZ133" s="531" t="e">
        <f t="shared" si="427"/>
        <v>#DIV/0!</v>
      </c>
      <c r="OSA133" s="531" t="e">
        <f t="shared" si="427"/>
        <v>#DIV/0!</v>
      </c>
      <c r="OSB133" s="531" t="e">
        <f t="shared" si="427"/>
        <v>#DIV/0!</v>
      </c>
      <c r="OSC133" s="531" t="e">
        <f t="shared" si="427"/>
        <v>#DIV/0!</v>
      </c>
      <c r="OSD133" s="531" t="e">
        <f t="shared" si="427"/>
        <v>#DIV/0!</v>
      </c>
      <c r="OSE133" s="531" t="e">
        <f t="shared" si="427"/>
        <v>#DIV/0!</v>
      </c>
      <c r="OSF133" s="531" t="e">
        <f t="shared" si="427"/>
        <v>#DIV/0!</v>
      </c>
      <c r="OSG133" s="531" t="e">
        <f t="shared" si="427"/>
        <v>#DIV/0!</v>
      </c>
      <c r="OSH133" s="531" t="e">
        <f t="shared" si="427"/>
        <v>#DIV/0!</v>
      </c>
      <c r="OSI133" s="531" t="e">
        <f t="shared" si="427"/>
        <v>#DIV/0!</v>
      </c>
      <c r="OSJ133" s="531" t="e">
        <f t="shared" si="427"/>
        <v>#DIV/0!</v>
      </c>
      <c r="OSK133" s="531" t="e">
        <f t="shared" si="427"/>
        <v>#DIV/0!</v>
      </c>
      <c r="OSL133" s="531" t="e">
        <f t="shared" si="427"/>
        <v>#DIV/0!</v>
      </c>
      <c r="OSM133" s="531" t="e">
        <f t="shared" si="427"/>
        <v>#DIV/0!</v>
      </c>
      <c r="OSN133" s="531" t="e">
        <f t="shared" si="427"/>
        <v>#DIV/0!</v>
      </c>
      <c r="OSO133" s="531" t="e">
        <f t="shared" si="427"/>
        <v>#DIV/0!</v>
      </c>
      <c r="OSP133" s="531" t="e">
        <f t="shared" si="427"/>
        <v>#DIV/0!</v>
      </c>
      <c r="OSQ133" s="531" t="e">
        <f t="shared" si="427"/>
        <v>#DIV/0!</v>
      </c>
      <c r="OSR133" s="531" t="e">
        <f t="shared" si="427"/>
        <v>#DIV/0!</v>
      </c>
      <c r="OSS133" s="531" t="e">
        <f t="shared" si="427"/>
        <v>#DIV/0!</v>
      </c>
      <c r="OST133" s="531" t="e">
        <f t="shared" si="427"/>
        <v>#DIV/0!</v>
      </c>
      <c r="OSU133" s="531" t="e">
        <f t="shared" si="427"/>
        <v>#DIV/0!</v>
      </c>
      <c r="OSV133" s="531" t="e">
        <f t="shared" si="427"/>
        <v>#DIV/0!</v>
      </c>
      <c r="OSW133" s="531" t="e">
        <f t="shared" si="427"/>
        <v>#DIV/0!</v>
      </c>
      <c r="OSX133" s="531" t="e">
        <f t="shared" si="427"/>
        <v>#DIV/0!</v>
      </c>
      <c r="OSY133" s="531" t="e">
        <f t="shared" si="427"/>
        <v>#DIV/0!</v>
      </c>
      <c r="OSZ133" s="531" t="e">
        <f t="shared" si="427"/>
        <v>#DIV/0!</v>
      </c>
      <c r="OTA133" s="531" t="e">
        <f t="shared" si="427"/>
        <v>#DIV/0!</v>
      </c>
      <c r="OTB133" s="531" t="e">
        <f t="shared" si="427"/>
        <v>#DIV/0!</v>
      </c>
      <c r="OTC133" s="531" t="e">
        <f t="shared" si="427"/>
        <v>#DIV/0!</v>
      </c>
      <c r="OTD133" s="531" t="e">
        <f t="shared" si="427"/>
        <v>#DIV/0!</v>
      </c>
      <c r="OTE133" s="531" t="e">
        <f t="shared" si="427"/>
        <v>#DIV/0!</v>
      </c>
      <c r="OTF133" s="531" t="e">
        <f t="shared" si="427"/>
        <v>#DIV/0!</v>
      </c>
      <c r="OTG133" s="531" t="e">
        <f t="shared" si="427"/>
        <v>#DIV/0!</v>
      </c>
      <c r="OTH133" s="531" t="e">
        <f t="shared" si="427"/>
        <v>#DIV/0!</v>
      </c>
      <c r="OTI133" s="531" t="e">
        <f t="shared" si="427"/>
        <v>#DIV/0!</v>
      </c>
      <c r="OTJ133" s="531" t="e">
        <f t="shared" si="427"/>
        <v>#DIV/0!</v>
      </c>
      <c r="OTK133" s="531" t="e">
        <f t="shared" si="427"/>
        <v>#DIV/0!</v>
      </c>
      <c r="OTL133" s="531" t="e">
        <f t="shared" si="427"/>
        <v>#DIV/0!</v>
      </c>
      <c r="OTM133" s="531" t="e">
        <f t="shared" si="427"/>
        <v>#DIV/0!</v>
      </c>
      <c r="OTN133" s="531" t="e">
        <f t="shared" si="427"/>
        <v>#DIV/0!</v>
      </c>
      <c r="OTO133" s="531" t="e">
        <f t="shared" si="427"/>
        <v>#DIV/0!</v>
      </c>
      <c r="OTP133" s="531" t="e">
        <f t="shared" si="427"/>
        <v>#DIV/0!</v>
      </c>
      <c r="OTQ133" s="531" t="e">
        <f t="shared" si="427"/>
        <v>#DIV/0!</v>
      </c>
      <c r="OTR133" s="531" t="e">
        <f t="shared" si="427"/>
        <v>#DIV/0!</v>
      </c>
      <c r="OTS133" s="531" t="e">
        <f t="shared" si="427"/>
        <v>#DIV/0!</v>
      </c>
      <c r="OTT133" s="531" t="e">
        <f t="shared" si="427"/>
        <v>#DIV/0!</v>
      </c>
      <c r="OTU133" s="531" t="e">
        <f t="shared" si="427"/>
        <v>#DIV/0!</v>
      </c>
      <c r="OTV133" s="531" t="e">
        <f t="shared" si="427"/>
        <v>#DIV/0!</v>
      </c>
      <c r="OTW133" s="531" t="e">
        <f t="shared" si="427"/>
        <v>#DIV/0!</v>
      </c>
      <c r="OTX133" s="531" t="e">
        <f t="shared" si="427"/>
        <v>#DIV/0!</v>
      </c>
      <c r="OTY133" s="531" t="e">
        <f t="shared" si="427"/>
        <v>#DIV/0!</v>
      </c>
      <c r="OTZ133" s="531" t="e">
        <f t="shared" si="427"/>
        <v>#DIV/0!</v>
      </c>
      <c r="OUA133" s="531" t="e">
        <f t="shared" si="427"/>
        <v>#DIV/0!</v>
      </c>
      <c r="OUB133" s="531" t="e">
        <f t="shared" si="427"/>
        <v>#DIV/0!</v>
      </c>
      <c r="OUC133" s="531" t="e">
        <f t="shared" si="427"/>
        <v>#DIV/0!</v>
      </c>
      <c r="OUD133" s="531" t="e">
        <f t="shared" si="427"/>
        <v>#DIV/0!</v>
      </c>
      <c r="OUE133" s="531" t="e">
        <f t="shared" si="427"/>
        <v>#DIV/0!</v>
      </c>
      <c r="OUF133" s="531" t="e">
        <f t="shared" si="427"/>
        <v>#DIV/0!</v>
      </c>
      <c r="OUG133" s="531" t="e">
        <f t="shared" si="427"/>
        <v>#DIV/0!</v>
      </c>
      <c r="OUH133" s="531" t="e">
        <f t="shared" si="427"/>
        <v>#DIV/0!</v>
      </c>
      <c r="OUI133" s="531" t="e">
        <f t="shared" ref="OUI133:OWT133" si="428">OUI116/(OUI52*10^5)</f>
        <v>#DIV/0!</v>
      </c>
      <c r="OUJ133" s="531" t="e">
        <f t="shared" si="428"/>
        <v>#DIV/0!</v>
      </c>
      <c r="OUK133" s="531" t="e">
        <f t="shared" si="428"/>
        <v>#DIV/0!</v>
      </c>
      <c r="OUL133" s="531" t="e">
        <f t="shared" si="428"/>
        <v>#DIV/0!</v>
      </c>
      <c r="OUM133" s="531" t="e">
        <f t="shared" si="428"/>
        <v>#DIV/0!</v>
      </c>
      <c r="OUN133" s="531" t="e">
        <f t="shared" si="428"/>
        <v>#DIV/0!</v>
      </c>
      <c r="OUO133" s="531" t="e">
        <f t="shared" si="428"/>
        <v>#DIV/0!</v>
      </c>
      <c r="OUP133" s="531" t="e">
        <f t="shared" si="428"/>
        <v>#DIV/0!</v>
      </c>
      <c r="OUQ133" s="531" t="e">
        <f t="shared" si="428"/>
        <v>#DIV/0!</v>
      </c>
      <c r="OUR133" s="531" t="e">
        <f t="shared" si="428"/>
        <v>#DIV/0!</v>
      </c>
      <c r="OUS133" s="531" t="e">
        <f t="shared" si="428"/>
        <v>#DIV/0!</v>
      </c>
      <c r="OUT133" s="531" t="e">
        <f t="shared" si="428"/>
        <v>#DIV/0!</v>
      </c>
      <c r="OUU133" s="531" t="e">
        <f t="shared" si="428"/>
        <v>#DIV/0!</v>
      </c>
      <c r="OUV133" s="531" t="e">
        <f t="shared" si="428"/>
        <v>#DIV/0!</v>
      </c>
      <c r="OUW133" s="531" t="e">
        <f t="shared" si="428"/>
        <v>#DIV/0!</v>
      </c>
      <c r="OUX133" s="531" t="e">
        <f t="shared" si="428"/>
        <v>#DIV/0!</v>
      </c>
      <c r="OUY133" s="531" t="e">
        <f t="shared" si="428"/>
        <v>#DIV/0!</v>
      </c>
      <c r="OUZ133" s="531" t="e">
        <f t="shared" si="428"/>
        <v>#DIV/0!</v>
      </c>
      <c r="OVA133" s="531" t="e">
        <f t="shared" si="428"/>
        <v>#DIV/0!</v>
      </c>
      <c r="OVB133" s="531" t="e">
        <f t="shared" si="428"/>
        <v>#DIV/0!</v>
      </c>
      <c r="OVC133" s="531" t="e">
        <f t="shared" si="428"/>
        <v>#DIV/0!</v>
      </c>
      <c r="OVD133" s="531" t="e">
        <f t="shared" si="428"/>
        <v>#DIV/0!</v>
      </c>
      <c r="OVE133" s="531" t="e">
        <f t="shared" si="428"/>
        <v>#DIV/0!</v>
      </c>
      <c r="OVF133" s="531" t="e">
        <f t="shared" si="428"/>
        <v>#DIV/0!</v>
      </c>
      <c r="OVG133" s="531" t="e">
        <f t="shared" si="428"/>
        <v>#DIV/0!</v>
      </c>
      <c r="OVH133" s="531" t="e">
        <f t="shared" si="428"/>
        <v>#DIV/0!</v>
      </c>
      <c r="OVI133" s="531" t="e">
        <f t="shared" si="428"/>
        <v>#DIV/0!</v>
      </c>
      <c r="OVJ133" s="531" t="e">
        <f t="shared" si="428"/>
        <v>#DIV/0!</v>
      </c>
      <c r="OVK133" s="531" t="e">
        <f t="shared" si="428"/>
        <v>#DIV/0!</v>
      </c>
      <c r="OVL133" s="531" t="e">
        <f t="shared" si="428"/>
        <v>#DIV/0!</v>
      </c>
      <c r="OVM133" s="531" t="e">
        <f t="shared" si="428"/>
        <v>#DIV/0!</v>
      </c>
      <c r="OVN133" s="531" t="e">
        <f t="shared" si="428"/>
        <v>#DIV/0!</v>
      </c>
      <c r="OVO133" s="531" t="e">
        <f t="shared" si="428"/>
        <v>#DIV/0!</v>
      </c>
      <c r="OVP133" s="531" t="e">
        <f t="shared" si="428"/>
        <v>#DIV/0!</v>
      </c>
      <c r="OVQ133" s="531" t="e">
        <f t="shared" si="428"/>
        <v>#DIV/0!</v>
      </c>
      <c r="OVR133" s="531" t="e">
        <f t="shared" si="428"/>
        <v>#DIV/0!</v>
      </c>
      <c r="OVS133" s="531" t="e">
        <f t="shared" si="428"/>
        <v>#DIV/0!</v>
      </c>
      <c r="OVT133" s="531" t="e">
        <f t="shared" si="428"/>
        <v>#DIV/0!</v>
      </c>
      <c r="OVU133" s="531" t="e">
        <f t="shared" si="428"/>
        <v>#DIV/0!</v>
      </c>
      <c r="OVV133" s="531" t="e">
        <f t="shared" si="428"/>
        <v>#DIV/0!</v>
      </c>
      <c r="OVW133" s="531" t="e">
        <f t="shared" si="428"/>
        <v>#DIV/0!</v>
      </c>
      <c r="OVX133" s="531" t="e">
        <f t="shared" si="428"/>
        <v>#DIV/0!</v>
      </c>
      <c r="OVY133" s="531" t="e">
        <f t="shared" si="428"/>
        <v>#DIV/0!</v>
      </c>
      <c r="OVZ133" s="531" t="e">
        <f t="shared" si="428"/>
        <v>#DIV/0!</v>
      </c>
      <c r="OWA133" s="531" t="e">
        <f t="shared" si="428"/>
        <v>#DIV/0!</v>
      </c>
      <c r="OWB133" s="531" t="e">
        <f t="shared" si="428"/>
        <v>#DIV/0!</v>
      </c>
      <c r="OWC133" s="531" t="e">
        <f t="shared" si="428"/>
        <v>#DIV/0!</v>
      </c>
      <c r="OWD133" s="531" t="e">
        <f t="shared" si="428"/>
        <v>#DIV/0!</v>
      </c>
      <c r="OWE133" s="531" t="e">
        <f t="shared" si="428"/>
        <v>#DIV/0!</v>
      </c>
      <c r="OWF133" s="531" t="e">
        <f t="shared" si="428"/>
        <v>#DIV/0!</v>
      </c>
      <c r="OWG133" s="531" t="e">
        <f t="shared" si="428"/>
        <v>#DIV/0!</v>
      </c>
      <c r="OWH133" s="531" t="e">
        <f t="shared" si="428"/>
        <v>#DIV/0!</v>
      </c>
      <c r="OWI133" s="531" t="e">
        <f t="shared" si="428"/>
        <v>#DIV/0!</v>
      </c>
      <c r="OWJ133" s="531" t="e">
        <f t="shared" si="428"/>
        <v>#DIV/0!</v>
      </c>
      <c r="OWK133" s="531" t="e">
        <f t="shared" si="428"/>
        <v>#DIV/0!</v>
      </c>
      <c r="OWL133" s="531" t="e">
        <f t="shared" si="428"/>
        <v>#DIV/0!</v>
      </c>
      <c r="OWM133" s="531" t="e">
        <f t="shared" si="428"/>
        <v>#DIV/0!</v>
      </c>
      <c r="OWN133" s="531" t="e">
        <f t="shared" si="428"/>
        <v>#DIV/0!</v>
      </c>
      <c r="OWO133" s="531" t="e">
        <f t="shared" si="428"/>
        <v>#DIV/0!</v>
      </c>
      <c r="OWP133" s="531" t="e">
        <f t="shared" si="428"/>
        <v>#DIV/0!</v>
      </c>
      <c r="OWQ133" s="531" t="e">
        <f t="shared" si="428"/>
        <v>#DIV/0!</v>
      </c>
      <c r="OWR133" s="531" t="e">
        <f t="shared" si="428"/>
        <v>#DIV/0!</v>
      </c>
      <c r="OWS133" s="531" t="e">
        <f t="shared" si="428"/>
        <v>#DIV/0!</v>
      </c>
      <c r="OWT133" s="531" t="e">
        <f t="shared" si="428"/>
        <v>#DIV/0!</v>
      </c>
      <c r="OWU133" s="531" t="e">
        <f t="shared" ref="OWU133:OZF133" si="429">OWU116/(OWU52*10^5)</f>
        <v>#DIV/0!</v>
      </c>
      <c r="OWV133" s="531" t="e">
        <f t="shared" si="429"/>
        <v>#DIV/0!</v>
      </c>
      <c r="OWW133" s="531" t="e">
        <f t="shared" si="429"/>
        <v>#DIV/0!</v>
      </c>
      <c r="OWX133" s="531" t="e">
        <f t="shared" si="429"/>
        <v>#DIV/0!</v>
      </c>
      <c r="OWY133" s="531" t="e">
        <f t="shared" si="429"/>
        <v>#DIV/0!</v>
      </c>
      <c r="OWZ133" s="531" t="e">
        <f t="shared" si="429"/>
        <v>#DIV/0!</v>
      </c>
      <c r="OXA133" s="531" t="e">
        <f t="shared" si="429"/>
        <v>#DIV/0!</v>
      </c>
      <c r="OXB133" s="531" t="e">
        <f t="shared" si="429"/>
        <v>#DIV/0!</v>
      </c>
      <c r="OXC133" s="531" t="e">
        <f t="shared" si="429"/>
        <v>#DIV/0!</v>
      </c>
      <c r="OXD133" s="531" t="e">
        <f t="shared" si="429"/>
        <v>#DIV/0!</v>
      </c>
      <c r="OXE133" s="531" t="e">
        <f t="shared" si="429"/>
        <v>#DIV/0!</v>
      </c>
      <c r="OXF133" s="531" t="e">
        <f t="shared" si="429"/>
        <v>#DIV/0!</v>
      </c>
      <c r="OXG133" s="531" t="e">
        <f t="shared" si="429"/>
        <v>#DIV/0!</v>
      </c>
      <c r="OXH133" s="531" t="e">
        <f t="shared" si="429"/>
        <v>#DIV/0!</v>
      </c>
      <c r="OXI133" s="531" t="e">
        <f t="shared" si="429"/>
        <v>#DIV/0!</v>
      </c>
      <c r="OXJ133" s="531" t="e">
        <f t="shared" si="429"/>
        <v>#DIV/0!</v>
      </c>
      <c r="OXK133" s="531" t="e">
        <f t="shared" si="429"/>
        <v>#DIV/0!</v>
      </c>
      <c r="OXL133" s="531" t="e">
        <f t="shared" si="429"/>
        <v>#DIV/0!</v>
      </c>
      <c r="OXM133" s="531" t="e">
        <f t="shared" si="429"/>
        <v>#DIV/0!</v>
      </c>
      <c r="OXN133" s="531" t="e">
        <f t="shared" si="429"/>
        <v>#DIV/0!</v>
      </c>
      <c r="OXO133" s="531" t="e">
        <f t="shared" si="429"/>
        <v>#DIV/0!</v>
      </c>
      <c r="OXP133" s="531" t="e">
        <f t="shared" si="429"/>
        <v>#DIV/0!</v>
      </c>
      <c r="OXQ133" s="531" t="e">
        <f t="shared" si="429"/>
        <v>#DIV/0!</v>
      </c>
      <c r="OXR133" s="531" t="e">
        <f t="shared" si="429"/>
        <v>#DIV/0!</v>
      </c>
      <c r="OXS133" s="531" t="e">
        <f t="shared" si="429"/>
        <v>#DIV/0!</v>
      </c>
      <c r="OXT133" s="531" t="e">
        <f t="shared" si="429"/>
        <v>#DIV/0!</v>
      </c>
      <c r="OXU133" s="531" t="e">
        <f t="shared" si="429"/>
        <v>#DIV/0!</v>
      </c>
      <c r="OXV133" s="531" t="e">
        <f t="shared" si="429"/>
        <v>#DIV/0!</v>
      </c>
      <c r="OXW133" s="531" t="e">
        <f t="shared" si="429"/>
        <v>#DIV/0!</v>
      </c>
      <c r="OXX133" s="531" t="e">
        <f t="shared" si="429"/>
        <v>#DIV/0!</v>
      </c>
      <c r="OXY133" s="531" t="e">
        <f t="shared" si="429"/>
        <v>#DIV/0!</v>
      </c>
      <c r="OXZ133" s="531" t="e">
        <f t="shared" si="429"/>
        <v>#DIV/0!</v>
      </c>
      <c r="OYA133" s="531" t="e">
        <f t="shared" si="429"/>
        <v>#DIV/0!</v>
      </c>
      <c r="OYB133" s="531" t="e">
        <f t="shared" si="429"/>
        <v>#DIV/0!</v>
      </c>
      <c r="OYC133" s="531" t="e">
        <f t="shared" si="429"/>
        <v>#DIV/0!</v>
      </c>
      <c r="OYD133" s="531" t="e">
        <f t="shared" si="429"/>
        <v>#DIV/0!</v>
      </c>
      <c r="OYE133" s="531" t="e">
        <f t="shared" si="429"/>
        <v>#DIV/0!</v>
      </c>
      <c r="OYF133" s="531" t="e">
        <f t="shared" si="429"/>
        <v>#DIV/0!</v>
      </c>
      <c r="OYG133" s="531" t="e">
        <f t="shared" si="429"/>
        <v>#DIV/0!</v>
      </c>
      <c r="OYH133" s="531" t="e">
        <f t="shared" si="429"/>
        <v>#DIV/0!</v>
      </c>
      <c r="OYI133" s="531" t="e">
        <f t="shared" si="429"/>
        <v>#DIV/0!</v>
      </c>
      <c r="OYJ133" s="531" t="e">
        <f t="shared" si="429"/>
        <v>#DIV/0!</v>
      </c>
      <c r="OYK133" s="531" t="e">
        <f t="shared" si="429"/>
        <v>#DIV/0!</v>
      </c>
      <c r="OYL133" s="531" t="e">
        <f t="shared" si="429"/>
        <v>#DIV/0!</v>
      </c>
      <c r="OYM133" s="531" t="e">
        <f t="shared" si="429"/>
        <v>#DIV/0!</v>
      </c>
      <c r="OYN133" s="531" t="e">
        <f t="shared" si="429"/>
        <v>#DIV/0!</v>
      </c>
      <c r="OYO133" s="531" t="e">
        <f t="shared" si="429"/>
        <v>#DIV/0!</v>
      </c>
      <c r="OYP133" s="531" t="e">
        <f t="shared" si="429"/>
        <v>#DIV/0!</v>
      </c>
      <c r="OYQ133" s="531" t="e">
        <f t="shared" si="429"/>
        <v>#DIV/0!</v>
      </c>
      <c r="OYR133" s="531" t="e">
        <f t="shared" si="429"/>
        <v>#DIV/0!</v>
      </c>
      <c r="OYS133" s="531" t="e">
        <f t="shared" si="429"/>
        <v>#DIV/0!</v>
      </c>
      <c r="OYT133" s="531" t="e">
        <f t="shared" si="429"/>
        <v>#DIV/0!</v>
      </c>
      <c r="OYU133" s="531" t="e">
        <f t="shared" si="429"/>
        <v>#DIV/0!</v>
      </c>
      <c r="OYV133" s="531" t="e">
        <f t="shared" si="429"/>
        <v>#DIV/0!</v>
      </c>
      <c r="OYW133" s="531" t="e">
        <f t="shared" si="429"/>
        <v>#DIV/0!</v>
      </c>
      <c r="OYX133" s="531" t="e">
        <f t="shared" si="429"/>
        <v>#DIV/0!</v>
      </c>
      <c r="OYY133" s="531" t="e">
        <f t="shared" si="429"/>
        <v>#DIV/0!</v>
      </c>
      <c r="OYZ133" s="531" t="e">
        <f t="shared" si="429"/>
        <v>#DIV/0!</v>
      </c>
      <c r="OZA133" s="531" t="e">
        <f t="shared" si="429"/>
        <v>#DIV/0!</v>
      </c>
      <c r="OZB133" s="531" t="e">
        <f t="shared" si="429"/>
        <v>#DIV/0!</v>
      </c>
      <c r="OZC133" s="531" t="e">
        <f t="shared" si="429"/>
        <v>#DIV/0!</v>
      </c>
      <c r="OZD133" s="531" t="e">
        <f t="shared" si="429"/>
        <v>#DIV/0!</v>
      </c>
      <c r="OZE133" s="531" t="e">
        <f t="shared" si="429"/>
        <v>#DIV/0!</v>
      </c>
      <c r="OZF133" s="531" t="e">
        <f t="shared" si="429"/>
        <v>#DIV/0!</v>
      </c>
      <c r="OZG133" s="531" t="e">
        <f t="shared" ref="OZG133:PBR133" si="430">OZG116/(OZG52*10^5)</f>
        <v>#DIV/0!</v>
      </c>
      <c r="OZH133" s="531" t="e">
        <f t="shared" si="430"/>
        <v>#DIV/0!</v>
      </c>
      <c r="OZI133" s="531" t="e">
        <f t="shared" si="430"/>
        <v>#DIV/0!</v>
      </c>
      <c r="OZJ133" s="531" t="e">
        <f t="shared" si="430"/>
        <v>#DIV/0!</v>
      </c>
      <c r="OZK133" s="531" t="e">
        <f t="shared" si="430"/>
        <v>#DIV/0!</v>
      </c>
      <c r="OZL133" s="531" t="e">
        <f t="shared" si="430"/>
        <v>#DIV/0!</v>
      </c>
      <c r="OZM133" s="531" t="e">
        <f t="shared" si="430"/>
        <v>#DIV/0!</v>
      </c>
      <c r="OZN133" s="531" t="e">
        <f t="shared" si="430"/>
        <v>#DIV/0!</v>
      </c>
      <c r="OZO133" s="531" t="e">
        <f t="shared" si="430"/>
        <v>#DIV/0!</v>
      </c>
      <c r="OZP133" s="531" t="e">
        <f t="shared" si="430"/>
        <v>#DIV/0!</v>
      </c>
      <c r="OZQ133" s="531" t="e">
        <f t="shared" si="430"/>
        <v>#DIV/0!</v>
      </c>
      <c r="OZR133" s="531" t="e">
        <f t="shared" si="430"/>
        <v>#DIV/0!</v>
      </c>
      <c r="OZS133" s="531" t="e">
        <f t="shared" si="430"/>
        <v>#DIV/0!</v>
      </c>
      <c r="OZT133" s="531" t="e">
        <f t="shared" si="430"/>
        <v>#DIV/0!</v>
      </c>
      <c r="OZU133" s="531" t="e">
        <f t="shared" si="430"/>
        <v>#DIV/0!</v>
      </c>
      <c r="OZV133" s="531" t="e">
        <f t="shared" si="430"/>
        <v>#DIV/0!</v>
      </c>
      <c r="OZW133" s="531" t="e">
        <f t="shared" si="430"/>
        <v>#DIV/0!</v>
      </c>
      <c r="OZX133" s="531" t="e">
        <f t="shared" si="430"/>
        <v>#DIV/0!</v>
      </c>
      <c r="OZY133" s="531" t="e">
        <f t="shared" si="430"/>
        <v>#DIV/0!</v>
      </c>
      <c r="OZZ133" s="531" t="e">
        <f t="shared" si="430"/>
        <v>#DIV/0!</v>
      </c>
      <c r="PAA133" s="531" t="e">
        <f t="shared" si="430"/>
        <v>#DIV/0!</v>
      </c>
      <c r="PAB133" s="531" t="e">
        <f t="shared" si="430"/>
        <v>#DIV/0!</v>
      </c>
      <c r="PAC133" s="531" t="e">
        <f t="shared" si="430"/>
        <v>#DIV/0!</v>
      </c>
      <c r="PAD133" s="531" t="e">
        <f t="shared" si="430"/>
        <v>#DIV/0!</v>
      </c>
      <c r="PAE133" s="531" t="e">
        <f t="shared" si="430"/>
        <v>#DIV/0!</v>
      </c>
      <c r="PAF133" s="531" t="e">
        <f t="shared" si="430"/>
        <v>#DIV/0!</v>
      </c>
      <c r="PAG133" s="531" t="e">
        <f t="shared" si="430"/>
        <v>#DIV/0!</v>
      </c>
      <c r="PAH133" s="531" t="e">
        <f t="shared" si="430"/>
        <v>#DIV/0!</v>
      </c>
      <c r="PAI133" s="531" t="e">
        <f t="shared" si="430"/>
        <v>#DIV/0!</v>
      </c>
      <c r="PAJ133" s="531" t="e">
        <f t="shared" si="430"/>
        <v>#DIV/0!</v>
      </c>
      <c r="PAK133" s="531" t="e">
        <f t="shared" si="430"/>
        <v>#DIV/0!</v>
      </c>
      <c r="PAL133" s="531" t="e">
        <f t="shared" si="430"/>
        <v>#DIV/0!</v>
      </c>
      <c r="PAM133" s="531" t="e">
        <f t="shared" si="430"/>
        <v>#DIV/0!</v>
      </c>
      <c r="PAN133" s="531" t="e">
        <f t="shared" si="430"/>
        <v>#DIV/0!</v>
      </c>
      <c r="PAO133" s="531" t="e">
        <f t="shared" si="430"/>
        <v>#DIV/0!</v>
      </c>
      <c r="PAP133" s="531" t="e">
        <f t="shared" si="430"/>
        <v>#DIV/0!</v>
      </c>
      <c r="PAQ133" s="531" t="e">
        <f t="shared" si="430"/>
        <v>#DIV/0!</v>
      </c>
      <c r="PAR133" s="531" t="e">
        <f t="shared" si="430"/>
        <v>#DIV/0!</v>
      </c>
      <c r="PAS133" s="531" t="e">
        <f t="shared" si="430"/>
        <v>#DIV/0!</v>
      </c>
      <c r="PAT133" s="531" t="e">
        <f t="shared" si="430"/>
        <v>#DIV/0!</v>
      </c>
      <c r="PAU133" s="531" t="e">
        <f t="shared" si="430"/>
        <v>#DIV/0!</v>
      </c>
      <c r="PAV133" s="531" t="e">
        <f t="shared" si="430"/>
        <v>#DIV/0!</v>
      </c>
      <c r="PAW133" s="531" t="e">
        <f t="shared" si="430"/>
        <v>#DIV/0!</v>
      </c>
      <c r="PAX133" s="531" t="e">
        <f t="shared" si="430"/>
        <v>#DIV/0!</v>
      </c>
      <c r="PAY133" s="531" t="e">
        <f t="shared" si="430"/>
        <v>#DIV/0!</v>
      </c>
      <c r="PAZ133" s="531" t="e">
        <f t="shared" si="430"/>
        <v>#DIV/0!</v>
      </c>
      <c r="PBA133" s="531" t="e">
        <f t="shared" si="430"/>
        <v>#DIV/0!</v>
      </c>
      <c r="PBB133" s="531" t="e">
        <f t="shared" si="430"/>
        <v>#DIV/0!</v>
      </c>
      <c r="PBC133" s="531" t="e">
        <f t="shared" si="430"/>
        <v>#DIV/0!</v>
      </c>
      <c r="PBD133" s="531" t="e">
        <f t="shared" si="430"/>
        <v>#DIV/0!</v>
      </c>
      <c r="PBE133" s="531" t="e">
        <f t="shared" si="430"/>
        <v>#DIV/0!</v>
      </c>
      <c r="PBF133" s="531" t="e">
        <f t="shared" si="430"/>
        <v>#DIV/0!</v>
      </c>
      <c r="PBG133" s="531" t="e">
        <f t="shared" si="430"/>
        <v>#DIV/0!</v>
      </c>
      <c r="PBH133" s="531" t="e">
        <f t="shared" si="430"/>
        <v>#DIV/0!</v>
      </c>
      <c r="PBI133" s="531" t="e">
        <f t="shared" si="430"/>
        <v>#DIV/0!</v>
      </c>
      <c r="PBJ133" s="531" t="e">
        <f t="shared" si="430"/>
        <v>#DIV/0!</v>
      </c>
      <c r="PBK133" s="531" t="e">
        <f t="shared" si="430"/>
        <v>#DIV/0!</v>
      </c>
      <c r="PBL133" s="531" t="e">
        <f t="shared" si="430"/>
        <v>#DIV/0!</v>
      </c>
      <c r="PBM133" s="531" t="e">
        <f t="shared" si="430"/>
        <v>#DIV/0!</v>
      </c>
      <c r="PBN133" s="531" t="e">
        <f t="shared" si="430"/>
        <v>#DIV/0!</v>
      </c>
      <c r="PBO133" s="531" t="e">
        <f t="shared" si="430"/>
        <v>#DIV/0!</v>
      </c>
      <c r="PBP133" s="531" t="e">
        <f t="shared" si="430"/>
        <v>#DIV/0!</v>
      </c>
      <c r="PBQ133" s="531" t="e">
        <f t="shared" si="430"/>
        <v>#DIV/0!</v>
      </c>
      <c r="PBR133" s="531" t="e">
        <f t="shared" si="430"/>
        <v>#DIV/0!</v>
      </c>
      <c r="PBS133" s="531" t="e">
        <f t="shared" ref="PBS133:PED133" si="431">PBS116/(PBS52*10^5)</f>
        <v>#DIV/0!</v>
      </c>
      <c r="PBT133" s="531" t="e">
        <f t="shared" si="431"/>
        <v>#DIV/0!</v>
      </c>
      <c r="PBU133" s="531" t="e">
        <f t="shared" si="431"/>
        <v>#DIV/0!</v>
      </c>
      <c r="PBV133" s="531" t="e">
        <f t="shared" si="431"/>
        <v>#DIV/0!</v>
      </c>
      <c r="PBW133" s="531" t="e">
        <f t="shared" si="431"/>
        <v>#DIV/0!</v>
      </c>
      <c r="PBX133" s="531" t="e">
        <f t="shared" si="431"/>
        <v>#DIV/0!</v>
      </c>
      <c r="PBY133" s="531" t="e">
        <f t="shared" si="431"/>
        <v>#DIV/0!</v>
      </c>
      <c r="PBZ133" s="531" t="e">
        <f t="shared" si="431"/>
        <v>#DIV/0!</v>
      </c>
      <c r="PCA133" s="531" t="e">
        <f t="shared" si="431"/>
        <v>#DIV/0!</v>
      </c>
      <c r="PCB133" s="531" t="e">
        <f t="shared" si="431"/>
        <v>#DIV/0!</v>
      </c>
      <c r="PCC133" s="531" t="e">
        <f t="shared" si="431"/>
        <v>#DIV/0!</v>
      </c>
      <c r="PCD133" s="531" t="e">
        <f t="shared" si="431"/>
        <v>#DIV/0!</v>
      </c>
      <c r="PCE133" s="531" t="e">
        <f t="shared" si="431"/>
        <v>#DIV/0!</v>
      </c>
      <c r="PCF133" s="531" t="e">
        <f t="shared" si="431"/>
        <v>#DIV/0!</v>
      </c>
      <c r="PCG133" s="531" t="e">
        <f t="shared" si="431"/>
        <v>#DIV/0!</v>
      </c>
      <c r="PCH133" s="531" t="e">
        <f t="shared" si="431"/>
        <v>#DIV/0!</v>
      </c>
      <c r="PCI133" s="531" t="e">
        <f t="shared" si="431"/>
        <v>#DIV/0!</v>
      </c>
      <c r="PCJ133" s="531" t="e">
        <f t="shared" si="431"/>
        <v>#DIV/0!</v>
      </c>
      <c r="PCK133" s="531" t="e">
        <f t="shared" si="431"/>
        <v>#DIV/0!</v>
      </c>
      <c r="PCL133" s="531" t="e">
        <f t="shared" si="431"/>
        <v>#DIV/0!</v>
      </c>
      <c r="PCM133" s="531" t="e">
        <f t="shared" si="431"/>
        <v>#DIV/0!</v>
      </c>
      <c r="PCN133" s="531" t="e">
        <f t="shared" si="431"/>
        <v>#DIV/0!</v>
      </c>
      <c r="PCO133" s="531" t="e">
        <f t="shared" si="431"/>
        <v>#DIV/0!</v>
      </c>
      <c r="PCP133" s="531" t="e">
        <f t="shared" si="431"/>
        <v>#DIV/0!</v>
      </c>
      <c r="PCQ133" s="531" t="e">
        <f t="shared" si="431"/>
        <v>#DIV/0!</v>
      </c>
      <c r="PCR133" s="531" t="e">
        <f t="shared" si="431"/>
        <v>#DIV/0!</v>
      </c>
      <c r="PCS133" s="531" t="e">
        <f t="shared" si="431"/>
        <v>#DIV/0!</v>
      </c>
      <c r="PCT133" s="531" t="e">
        <f t="shared" si="431"/>
        <v>#DIV/0!</v>
      </c>
      <c r="PCU133" s="531" t="e">
        <f t="shared" si="431"/>
        <v>#DIV/0!</v>
      </c>
      <c r="PCV133" s="531" t="e">
        <f t="shared" si="431"/>
        <v>#DIV/0!</v>
      </c>
      <c r="PCW133" s="531" t="e">
        <f t="shared" si="431"/>
        <v>#DIV/0!</v>
      </c>
      <c r="PCX133" s="531" t="e">
        <f t="shared" si="431"/>
        <v>#DIV/0!</v>
      </c>
      <c r="PCY133" s="531" t="e">
        <f t="shared" si="431"/>
        <v>#DIV/0!</v>
      </c>
      <c r="PCZ133" s="531" t="e">
        <f t="shared" si="431"/>
        <v>#DIV/0!</v>
      </c>
      <c r="PDA133" s="531" t="e">
        <f t="shared" si="431"/>
        <v>#DIV/0!</v>
      </c>
      <c r="PDB133" s="531" t="e">
        <f t="shared" si="431"/>
        <v>#DIV/0!</v>
      </c>
      <c r="PDC133" s="531" t="e">
        <f t="shared" si="431"/>
        <v>#DIV/0!</v>
      </c>
      <c r="PDD133" s="531" t="e">
        <f t="shared" si="431"/>
        <v>#DIV/0!</v>
      </c>
      <c r="PDE133" s="531" t="e">
        <f t="shared" si="431"/>
        <v>#DIV/0!</v>
      </c>
      <c r="PDF133" s="531" t="e">
        <f t="shared" si="431"/>
        <v>#DIV/0!</v>
      </c>
      <c r="PDG133" s="531" t="e">
        <f t="shared" si="431"/>
        <v>#DIV/0!</v>
      </c>
      <c r="PDH133" s="531" t="e">
        <f t="shared" si="431"/>
        <v>#DIV/0!</v>
      </c>
      <c r="PDI133" s="531" t="e">
        <f t="shared" si="431"/>
        <v>#DIV/0!</v>
      </c>
      <c r="PDJ133" s="531" t="e">
        <f t="shared" si="431"/>
        <v>#DIV/0!</v>
      </c>
      <c r="PDK133" s="531" t="e">
        <f t="shared" si="431"/>
        <v>#DIV/0!</v>
      </c>
      <c r="PDL133" s="531" t="e">
        <f t="shared" si="431"/>
        <v>#DIV/0!</v>
      </c>
      <c r="PDM133" s="531" t="e">
        <f t="shared" si="431"/>
        <v>#DIV/0!</v>
      </c>
      <c r="PDN133" s="531" t="e">
        <f t="shared" si="431"/>
        <v>#DIV/0!</v>
      </c>
      <c r="PDO133" s="531" t="e">
        <f t="shared" si="431"/>
        <v>#DIV/0!</v>
      </c>
      <c r="PDP133" s="531" t="e">
        <f t="shared" si="431"/>
        <v>#DIV/0!</v>
      </c>
      <c r="PDQ133" s="531" t="e">
        <f t="shared" si="431"/>
        <v>#DIV/0!</v>
      </c>
      <c r="PDR133" s="531" t="e">
        <f t="shared" si="431"/>
        <v>#DIV/0!</v>
      </c>
      <c r="PDS133" s="531" t="e">
        <f t="shared" si="431"/>
        <v>#DIV/0!</v>
      </c>
      <c r="PDT133" s="531" t="e">
        <f t="shared" si="431"/>
        <v>#DIV/0!</v>
      </c>
      <c r="PDU133" s="531" t="e">
        <f t="shared" si="431"/>
        <v>#DIV/0!</v>
      </c>
      <c r="PDV133" s="531" t="e">
        <f t="shared" si="431"/>
        <v>#DIV/0!</v>
      </c>
      <c r="PDW133" s="531" t="e">
        <f t="shared" si="431"/>
        <v>#DIV/0!</v>
      </c>
      <c r="PDX133" s="531" t="e">
        <f t="shared" si="431"/>
        <v>#DIV/0!</v>
      </c>
      <c r="PDY133" s="531" t="e">
        <f t="shared" si="431"/>
        <v>#DIV/0!</v>
      </c>
      <c r="PDZ133" s="531" t="e">
        <f t="shared" si="431"/>
        <v>#DIV/0!</v>
      </c>
      <c r="PEA133" s="531" t="e">
        <f t="shared" si="431"/>
        <v>#DIV/0!</v>
      </c>
      <c r="PEB133" s="531" t="e">
        <f t="shared" si="431"/>
        <v>#DIV/0!</v>
      </c>
      <c r="PEC133" s="531" t="e">
        <f t="shared" si="431"/>
        <v>#DIV/0!</v>
      </c>
      <c r="PED133" s="531" t="e">
        <f t="shared" si="431"/>
        <v>#DIV/0!</v>
      </c>
      <c r="PEE133" s="531" t="e">
        <f t="shared" ref="PEE133:PGP133" si="432">PEE116/(PEE52*10^5)</f>
        <v>#DIV/0!</v>
      </c>
      <c r="PEF133" s="531" t="e">
        <f t="shared" si="432"/>
        <v>#DIV/0!</v>
      </c>
      <c r="PEG133" s="531" t="e">
        <f t="shared" si="432"/>
        <v>#DIV/0!</v>
      </c>
      <c r="PEH133" s="531" t="e">
        <f t="shared" si="432"/>
        <v>#DIV/0!</v>
      </c>
      <c r="PEI133" s="531" t="e">
        <f t="shared" si="432"/>
        <v>#DIV/0!</v>
      </c>
      <c r="PEJ133" s="531" t="e">
        <f t="shared" si="432"/>
        <v>#DIV/0!</v>
      </c>
      <c r="PEK133" s="531" t="e">
        <f t="shared" si="432"/>
        <v>#DIV/0!</v>
      </c>
      <c r="PEL133" s="531" t="e">
        <f t="shared" si="432"/>
        <v>#DIV/0!</v>
      </c>
      <c r="PEM133" s="531" t="e">
        <f t="shared" si="432"/>
        <v>#DIV/0!</v>
      </c>
      <c r="PEN133" s="531" t="e">
        <f t="shared" si="432"/>
        <v>#DIV/0!</v>
      </c>
      <c r="PEO133" s="531" t="e">
        <f t="shared" si="432"/>
        <v>#DIV/0!</v>
      </c>
      <c r="PEP133" s="531" t="e">
        <f t="shared" si="432"/>
        <v>#DIV/0!</v>
      </c>
      <c r="PEQ133" s="531" t="e">
        <f t="shared" si="432"/>
        <v>#DIV/0!</v>
      </c>
      <c r="PER133" s="531" t="e">
        <f t="shared" si="432"/>
        <v>#DIV/0!</v>
      </c>
      <c r="PES133" s="531" t="e">
        <f t="shared" si="432"/>
        <v>#DIV/0!</v>
      </c>
      <c r="PET133" s="531" t="e">
        <f t="shared" si="432"/>
        <v>#DIV/0!</v>
      </c>
      <c r="PEU133" s="531" t="e">
        <f t="shared" si="432"/>
        <v>#DIV/0!</v>
      </c>
      <c r="PEV133" s="531" t="e">
        <f t="shared" si="432"/>
        <v>#DIV/0!</v>
      </c>
      <c r="PEW133" s="531" t="e">
        <f t="shared" si="432"/>
        <v>#DIV/0!</v>
      </c>
      <c r="PEX133" s="531" t="e">
        <f t="shared" si="432"/>
        <v>#DIV/0!</v>
      </c>
      <c r="PEY133" s="531" t="e">
        <f t="shared" si="432"/>
        <v>#DIV/0!</v>
      </c>
      <c r="PEZ133" s="531" t="e">
        <f t="shared" si="432"/>
        <v>#DIV/0!</v>
      </c>
      <c r="PFA133" s="531" t="e">
        <f t="shared" si="432"/>
        <v>#DIV/0!</v>
      </c>
      <c r="PFB133" s="531" t="e">
        <f t="shared" si="432"/>
        <v>#DIV/0!</v>
      </c>
      <c r="PFC133" s="531" t="e">
        <f t="shared" si="432"/>
        <v>#DIV/0!</v>
      </c>
      <c r="PFD133" s="531" t="e">
        <f t="shared" si="432"/>
        <v>#DIV/0!</v>
      </c>
      <c r="PFE133" s="531" t="e">
        <f t="shared" si="432"/>
        <v>#DIV/0!</v>
      </c>
      <c r="PFF133" s="531" t="e">
        <f t="shared" si="432"/>
        <v>#DIV/0!</v>
      </c>
      <c r="PFG133" s="531" t="e">
        <f t="shared" si="432"/>
        <v>#DIV/0!</v>
      </c>
      <c r="PFH133" s="531" t="e">
        <f t="shared" si="432"/>
        <v>#DIV/0!</v>
      </c>
      <c r="PFI133" s="531" t="e">
        <f t="shared" si="432"/>
        <v>#DIV/0!</v>
      </c>
      <c r="PFJ133" s="531" t="e">
        <f t="shared" si="432"/>
        <v>#DIV/0!</v>
      </c>
      <c r="PFK133" s="531" t="e">
        <f t="shared" si="432"/>
        <v>#DIV/0!</v>
      </c>
      <c r="PFL133" s="531" t="e">
        <f t="shared" si="432"/>
        <v>#DIV/0!</v>
      </c>
      <c r="PFM133" s="531" t="e">
        <f t="shared" si="432"/>
        <v>#DIV/0!</v>
      </c>
      <c r="PFN133" s="531" t="e">
        <f t="shared" si="432"/>
        <v>#DIV/0!</v>
      </c>
      <c r="PFO133" s="531" t="e">
        <f t="shared" si="432"/>
        <v>#DIV/0!</v>
      </c>
      <c r="PFP133" s="531" t="e">
        <f t="shared" si="432"/>
        <v>#DIV/0!</v>
      </c>
      <c r="PFQ133" s="531" t="e">
        <f t="shared" si="432"/>
        <v>#DIV/0!</v>
      </c>
      <c r="PFR133" s="531" t="e">
        <f t="shared" si="432"/>
        <v>#DIV/0!</v>
      </c>
      <c r="PFS133" s="531" t="e">
        <f t="shared" si="432"/>
        <v>#DIV/0!</v>
      </c>
      <c r="PFT133" s="531" t="e">
        <f t="shared" si="432"/>
        <v>#DIV/0!</v>
      </c>
      <c r="PFU133" s="531" t="e">
        <f t="shared" si="432"/>
        <v>#DIV/0!</v>
      </c>
      <c r="PFV133" s="531" t="e">
        <f t="shared" si="432"/>
        <v>#DIV/0!</v>
      </c>
      <c r="PFW133" s="531" t="e">
        <f t="shared" si="432"/>
        <v>#DIV/0!</v>
      </c>
      <c r="PFX133" s="531" t="e">
        <f t="shared" si="432"/>
        <v>#DIV/0!</v>
      </c>
      <c r="PFY133" s="531" t="e">
        <f t="shared" si="432"/>
        <v>#DIV/0!</v>
      </c>
      <c r="PFZ133" s="531" t="e">
        <f t="shared" si="432"/>
        <v>#DIV/0!</v>
      </c>
      <c r="PGA133" s="531" t="e">
        <f t="shared" si="432"/>
        <v>#DIV/0!</v>
      </c>
      <c r="PGB133" s="531" t="e">
        <f t="shared" si="432"/>
        <v>#DIV/0!</v>
      </c>
      <c r="PGC133" s="531" t="e">
        <f t="shared" si="432"/>
        <v>#DIV/0!</v>
      </c>
      <c r="PGD133" s="531" t="e">
        <f t="shared" si="432"/>
        <v>#DIV/0!</v>
      </c>
      <c r="PGE133" s="531" t="e">
        <f t="shared" si="432"/>
        <v>#DIV/0!</v>
      </c>
      <c r="PGF133" s="531" t="e">
        <f t="shared" si="432"/>
        <v>#DIV/0!</v>
      </c>
      <c r="PGG133" s="531" t="e">
        <f t="shared" si="432"/>
        <v>#DIV/0!</v>
      </c>
      <c r="PGH133" s="531" t="e">
        <f t="shared" si="432"/>
        <v>#DIV/0!</v>
      </c>
      <c r="PGI133" s="531" t="e">
        <f t="shared" si="432"/>
        <v>#DIV/0!</v>
      </c>
      <c r="PGJ133" s="531" t="e">
        <f t="shared" si="432"/>
        <v>#DIV/0!</v>
      </c>
      <c r="PGK133" s="531" t="e">
        <f t="shared" si="432"/>
        <v>#DIV/0!</v>
      </c>
      <c r="PGL133" s="531" t="e">
        <f t="shared" si="432"/>
        <v>#DIV/0!</v>
      </c>
      <c r="PGM133" s="531" t="e">
        <f t="shared" si="432"/>
        <v>#DIV/0!</v>
      </c>
      <c r="PGN133" s="531" t="e">
        <f t="shared" si="432"/>
        <v>#DIV/0!</v>
      </c>
      <c r="PGO133" s="531" t="e">
        <f t="shared" si="432"/>
        <v>#DIV/0!</v>
      </c>
      <c r="PGP133" s="531" t="e">
        <f t="shared" si="432"/>
        <v>#DIV/0!</v>
      </c>
      <c r="PGQ133" s="531" t="e">
        <f t="shared" ref="PGQ133:PJB133" si="433">PGQ116/(PGQ52*10^5)</f>
        <v>#DIV/0!</v>
      </c>
      <c r="PGR133" s="531" t="e">
        <f t="shared" si="433"/>
        <v>#DIV/0!</v>
      </c>
      <c r="PGS133" s="531" t="e">
        <f t="shared" si="433"/>
        <v>#DIV/0!</v>
      </c>
      <c r="PGT133" s="531" t="e">
        <f t="shared" si="433"/>
        <v>#DIV/0!</v>
      </c>
      <c r="PGU133" s="531" t="e">
        <f t="shared" si="433"/>
        <v>#DIV/0!</v>
      </c>
      <c r="PGV133" s="531" t="e">
        <f t="shared" si="433"/>
        <v>#DIV/0!</v>
      </c>
      <c r="PGW133" s="531" t="e">
        <f t="shared" si="433"/>
        <v>#DIV/0!</v>
      </c>
      <c r="PGX133" s="531" t="e">
        <f t="shared" si="433"/>
        <v>#DIV/0!</v>
      </c>
      <c r="PGY133" s="531" t="e">
        <f t="shared" si="433"/>
        <v>#DIV/0!</v>
      </c>
      <c r="PGZ133" s="531" t="e">
        <f t="shared" si="433"/>
        <v>#DIV/0!</v>
      </c>
      <c r="PHA133" s="531" t="e">
        <f t="shared" si="433"/>
        <v>#DIV/0!</v>
      </c>
      <c r="PHB133" s="531" t="e">
        <f t="shared" si="433"/>
        <v>#DIV/0!</v>
      </c>
      <c r="PHC133" s="531" t="e">
        <f t="shared" si="433"/>
        <v>#DIV/0!</v>
      </c>
      <c r="PHD133" s="531" t="e">
        <f t="shared" si="433"/>
        <v>#DIV/0!</v>
      </c>
      <c r="PHE133" s="531" t="e">
        <f t="shared" si="433"/>
        <v>#DIV/0!</v>
      </c>
      <c r="PHF133" s="531" t="e">
        <f t="shared" si="433"/>
        <v>#DIV/0!</v>
      </c>
      <c r="PHG133" s="531" t="e">
        <f t="shared" si="433"/>
        <v>#DIV/0!</v>
      </c>
      <c r="PHH133" s="531" t="e">
        <f t="shared" si="433"/>
        <v>#DIV/0!</v>
      </c>
      <c r="PHI133" s="531" t="e">
        <f t="shared" si="433"/>
        <v>#DIV/0!</v>
      </c>
      <c r="PHJ133" s="531" t="e">
        <f t="shared" si="433"/>
        <v>#DIV/0!</v>
      </c>
      <c r="PHK133" s="531" t="e">
        <f t="shared" si="433"/>
        <v>#DIV/0!</v>
      </c>
      <c r="PHL133" s="531" t="e">
        <f t="shared" si="433"/>
        <v>#DIV/0!</v>
      </c>
      <c r="PHM133" s="531" t="e">
        <f t="shared" si="433"/>
        <v>#DIV/0!</v>
      </c>
      <c r="PHN133" s="531" t="e">
        <f t="shared" si="433"/>
        <v>#DIV/0!</v>
      </c>
      <c r="PHO133" s="531" t="e">
        <f t="shared" si="433"/>
        <v>#DIV/0!</v>
      </c>
      <c r="PHP133" s="531" t="e">
        <f t="shared" si="433"/>
        <v>#DIV/0!</v>
      </c>
      <c r="PHQ133" s="531" t="e">
        <f t="shared" si="433"/>
        <v>#DIV/0!</v>
      </c>
      <c r="PHR133" s="531" t="e">
        <f t="shared" si="433"/>
        <v>#DIV/0!</v>
      </c>
      <c r="PHS133" s="531" t="e">
        <f t="shared" si="433"/>
        <v>#DIV/0!</v>
      </c>
      <c r="PHT133" s="531" t="e">
        <f t="shared" si="433"/>
        <v>#DIV/0!</v>
      </c>
      <c r="PHU133" s="531" t="e">
        <f t="shared" si="433"/>
        <v>#DIV/0!</v>
      </c>
      <c r="PHV133" s="531" t="e">
        <f t="shared" si="433"/>
        <v>#DIV/0!</v>
      </c>
      <c r="PHW133" s="531" t="e">
        <f t="shared" si="433"/>
        <v>#DIV/0!</v>
      </c>
      <c r="PHX133" s="531" t="e">
        <f t="shared" si="433"/>
        <v>#DIV/0!</v>
      </c>
      <c r="PHY133" s="531" t="e">
        <f t="shared" si="433"/>
        <v>#DIV/0!</v>
      </c>
      <c r="PHZ133" s="531" t="e">
        <f t="shared" si="433"/>
        <v>#DIV/0!</v>
      </c>
      <c r="PIA133" s="531" t="e">
        <f t="shared" si="433"/>
        <v>#DIV/0!</v>
      </c>
      <c r="PIB133" s="531" t="e">
        <f t="shared" si="433"/>
        <v>#DIV/0!</v>
      </c>
      <c r="PIC133" s="531" t="e">
        <f t="shared" si="433"/>
        <v>#DIV/0!</v>
      </c>
      <c r="PID133" s="531" t="e">
        <f t="shared" si="433"/>
        <v>#DIV/0!</v>
      </c>
      <c r="PIE133" s="531" t="e">
        <f t="shared" si="433"/>
        <v>#DIV/0!</v>
      </c>
      <c r="PIF133" s="531" t="e">
        <f t="shared" si="433"/>
        <v>#DIV/0!</v>
      </c>
      <c r="PIG133" s="531" t="e">
        <f t="shared" si="433"/>
        <v>#DIV/0!</v>
      </c>
      <c r="PIH133" s="531" t="e">
        <f t="shared" si="433"/>
        <v>#DIV/0!</v>
      </c>
      <c r="PII133" s="531" t="e">
        <f t="shared" si="433"/>
        <v>#DIV/0!</v>
      </c>
      <c r="PIJ133" s="531" t="e">
        <f t="shared" si="433"/>
        <v>#DIV/0!</v>
      </c>
      <c r="PIK133" s="531" t="e">
        <f t="shared" si="433"/>
        <v>#DIV/0!</v>
      </c>
      <c r="PIL133" s="531" t="e">
        <f t="shared" si="433"/>
        <v>#DIV/0!</v>
      </c>
      <c r="PIM133" s="531" t="e">
        <f t="shared" si="433"/>
        <v>#DIV/0!</v>
      </c>
      <c r="PIN133" s="531" t="e">
        <f t="shared" si="433"/>
        <v>#DIV/0!</v>
      </c>
      <c r="PIO133" s="531" t="e">
        <f t="shared" si="433"/>
        <v>#DIV/0!</v>
      </c>
      <c r="PIP133" s="531" t="e">
        <f t="shared" si="433"/>
        <v>#DIV/0!</v>
      </c>
      <c r="PIQ133" s="531" t="e">
        <f t="shared" si="433"/>
        <v>#DIV/0!</v>
      </c>
      <c r="PIR133" s="531" t="e">
        <f t="shared" si="433"/>
        <v>#DIV/0!</v>
      </c>
      <c r="PIS133" s="531" t="e">
        <f t="shared" si="433"/>
        <v>#DIV/0!</v>
      </c>
      <c r="PIT133" s="531" t="e">
        <f t="shared" si="433"/>
        <v>#DIV/0!</v>
      </c>
      <c r="PIU133" s="531" t="e">
        <f t="shared" si="433"/>
        <v>#DIV/0!</v>
      </c>
      <c r="PIV133" s="531" t="e">
        <f t="shared" si="433"/>
        <v>#DIV/0!</v>
      </c>
      <c r="PIW133" s="531" t="e">
        <f t="shared" si="433"/>
        <v>#DIV/0!</v>
      </c>
      <c r="PIX133" s="531" t="e">
        <f t="shared" si="433"/>
        <v>#DIV/0!</v>
      </c>
      <c r="PIY133" s="531" t="e">
        <f t="shared" si="433"/>
        <v>#DIV/0!</v>
      </c>
      <c r="PIZ133" s="531" t="e">
        <f t="shared" si="433"/>
        <v>#DIV/0!</v>
      </c>
      <c r="PJA133" s="531" t="e">
        <f t="shared" si="433"/>
        <v>#DIV/0!</v>
      </c>
      <c r="PJB133" s="531" t="e">
        <f t="shared" si="433"/>
        <v>#DIV/0!</v>
      </c>
      <c r="PJC133" s="531" t="e">
        <f t="shared" ref="PJC133:PLN133" si="434">PJC116/(PJC52*10^5)</f>
        <v>#DIV/0!</v>
      </c>
      <c r="PJD133" s="531" t="e">
        <f t="shared" si="434"/>
        <v>#DIV/0!</v>
      </c>
      <c r="PJE133" s="531" t="e">
        <f t="shared" si="434"/>
        <v>#DIV/0!</v>
      </c>
      <c r="PJF133" s="531" t="e">
        <f t="shared" si="434"/>
        <v>#DIV/0!</v>
      </c>
      <c r="PJG133" s="531" t="e">
        <f t="shared" si="434"/>
        <v>#DIV/0!</v>
      </c>
      <c r="PJH133" s="531" t="e">
        <f t="shared" si="434"/>
        <v>#DIV/0!</v>
      </c>
      <c r="PJI133" s="531" t="e">
        <f t="shared" si="434"/>
        <v>#DIV/0!</v>
      </c>
      <c r="PJJ133" s="531" t="e">
        <f t="shared" si="434"/>
        <v>#DIV/0!</v>
      </c>
      <c r="PJK133" s="531" t="e">
        <f t="shared" si="434"/>
        <v>#DIV/0!</v>
      </c>
      <c r="PJL133" s="531" t="e">
        <f t="shared" si="434"/>
        <v>#DIV/0!</v>
      </c>
      <c r="PJM133" s="531" t="e">
        <f t="shared" si="434"/>
        <v>#DIV/0!</v>
      </c>
      <c r="PJN133" s="531" t="e">
        <f t="shared" si="434"/>
        <v>#DIV/0!</v>
      </c>
      <c r="PJO133" s="531" t="e">
        <f t="shared" si="434"/>
        <v>#DIV/0!</v>
      </c>
      <c r="PJP133" s="531" t="e">
        <f t="shared" si="434"/>
        <v>#DIV/0!</v>
      </c>
      <c r="PJQ133" s="531" t="e">
        <f t="shared" si="434"/>
        <v>#DIV/0!</v>
      </c>
      <c r="PJR133" s="531" t="e">
        <f t="shared" si="434"/>
        <v>#DIV/0!</v>
      </c>
      <c r="PJS133" s="531" t="e">
        <f t="shared" si="434"/>
        <v>#DIV/0!</v>
      </c>
      <c r="PJT133" s="531" t="e">
        <f t="shared" si="434"/>
        <v>#DIV/0!</v>
      </c>
      <c r="PJU133" s="531" t="e">
        <f t="shared" si="434"/>
        <v>#DIV/0!</v>
      </c>
      <c r="PJV133" s="531" t="e">
        <f t="shared" si="434"/>
        <v>#DIV/0!</v>
      </c>
      <c r="PJW133" s="531" t="e">
        <f t="shared" si="434"/>
        <v>#DIV/0!</v>
      </c>
      <c r="PJX133" s="531" t="e">
        <f t="shared" si="434"/>
        <v>#DIV/0!</v>
      </c>
      <c r="PJY133" s="531" t="e">
        <f t="shared" si="434"/>
        <v>#DIV/0!</v>
      </c>
      <c r="PJZ133" s="531" t="e">
        <f t="shared" si="434"/>
        <v>#DIV/0!</v>
      </c>
      <c r="PKA133" s="531" t="e">
        <f t="shared" si="434"/>
        <v>#DIV/0!</v>
      </c>
      <c r="PKB133" s="531" t="e">
        <f t="shared" si="434"/>
        <v>#DIV/0!</v>
      </c>
      <c r="PKC133" s="531" t="e">
        <f t="shared" si="434"/>
        <v>#DIV/0!</v>
      </c>
      <c r="PKD133" s="531" t="e">
        <f t="shared" si="434"/>
        <v>#DIV/0!</v>
      </c>
      <c r="PKE133" s="531" t="e">
        <f t="shared" si="434"/>
        <v>#DIV/0!</v>
      </c>
      <c r="PKF133" s="531" t="e">
        <f t="shared" si="434"/>
        <v>#DIV/0!</v>
      </c>
      <c r="PKG133" s="531" t="e">
        <f t="shared" si="434"/>
        <v>#DIV/0!</v>
      </c>
      <c r="PKH133" s="531" t="e">
        <f t="shared" si="434"/>
        <v>#DIV/0!</v>
      </c>
      <c r="PKI133" s="531" t="e">
        <f t="shared" si="434"/>
        <v>#DIV/0!</v>
      </c>
      <c r="PKJ133" s="531" t="e">
        <f t="shared" si="434"/>
        <v>#DIV/0!</v>
      </c>
      <c r="PKK133" s="531" t="e">
        <f t="shared" si="434"/>
        <v>#DIV/0!</v>
      </c>
      <c r="PKL133" s="531" t="e">
        <f t="shared" si="434"/>
        <v>#DIV/0!</v>
      </c>
      <c r="PKM133" s="531" t="e">
        <f t="shared" si="434"/>
        <v>#DIV/0!</v>
      </c>
      <c r="PKN133" s="531" t="e">
        <f t="shared" si="434"/>
        <v>#DIV/0!</v>
      </c>
      <c r="PKO133" s="531" t="e">
        <f t="shared" si="434"/>
        <v>#DIV/0!</v>
      </c>
      <c r="PKP133" s="531" t="e">
        <f t="shared" si="434"/>
        <v>#DIV/0!</v>
      </c>
      <c r="PKQ133" s="531" t="e">
        <f t="shared" si="434"/>
        <v>#DIV/0!</v>
      </c>
      <c r="PKR133" s="531" t="e">
        <f t="shared" si="434"/>
        <v>#DIV/0!</v>
      </c>
      <c r="PKS133" s="531" t="e">
        <f t="shared" si="434"/>
        <v>#DIV/0!</v>
      </c>
      <c r="PKT133" s="531" t="e">
        <f t="shared" si="434"/>
        <v>#DIV/0!</v>
      </c>
      <c r="PKU133" s="531" t="e">
        <f t="shared" si="434"/>
        <v>#DIV/0!</v>
      </c>
      <c r="PKV133" s="531" t="e">
        <f t="shared" si="434"/>
        <v>#DIV/0!</v>
      </c>
      <c r="PKW133" s="531" t="e">
        <f t="shared" si="434"/>
        <v>#DIV/0!</v>
      </c>
      <c r="PKX133" s="531" t="e">
        <f t="shared" si="434"/>
        <v>#DIV/0!</v>
      </c>
      <c r="PKY133" s="531" t="e">
        <f t="shared" si="434"/>
        <v>#DIV/0!</v>
      </c>
      <c r="PKZ133" s="531" t="e">
        <f t="shared" si="434"/>
        <v>#DIV/0!</v>
      </c>
      <c r="PLA133" s="531" t="e">
        <f t="shared" si="434"/>
        <v>#DIV/0!</v>
      </c>
      <c r="PLB133" s="531" t="e">
        <f t="shared" si="434"/>
        <v>#DIV/0!</v>
      </c>
      <c r="PLC133" s="531" t="e">
        <f t="shared" si="434"/>
        <v>#DIV/0!</v>
      </c>
      <c r="PLD133" s="531" t="e">
        <f t="shared" si="434"/>
        <v>#DIV/0!</v>
      </c>
      <c r="PLE133" s="531" t="e">
        <f t="shared" si="434"/>
        <v>#DIV/0!</v>
      </c>
      <c r="PLF133" s="531" t="e">
        <f t="shared" si="434"/>
        <v>#DIV/0!</v>
      </c>
      <c r="PLG133" s="531" t="e">
        <f t="shared" si="434"/>
        <v>#DIV/0!</v>
      </c>
      <c r="PLH133" s="531" t="e">
        <f t="shared" si="434"/>
        <v>#DIV/0!</v>
      </c>
      <c r="PLI133" s="531" t="e">
        <f t="shared" si="434"/>
        <v>#DIV/0!</v>
      </c>
      <c r="PLJ133" s="531" t="e">
        <f t="shared" si="434"/>
        <v>#DIV/0!</v>
      </c>
      <c r="PLK133" s="531" t="e">
        <f t="shared" si="434"/>
        <v>#DIV/0!</v>
      </c>
      <c r="PLL133" s="531" t="e">
        <f t="shared" si="434"/>
        <v>#DIV/0!</v>
      </c>
      <c r="PLM133" s="531" t="e">
        <f t="shared" si="434"/>
        <v>#DIV/0!</v>
      </c>
      <c r="PLN133" s="531" t="e">
        <f t="shared" si="434"/>
        <v>#DIV/0!</v>
      </c>
      <c r="PLO133" s="531" t="e">
        <f t="shared" ref="PLO133:PNZ133" si="435">PLO116/(PLO52*10^5)</f>
        <v>#DIV/0!</v>
      </c>
      <c r="PLP133" s="531" t="e">
        <f t="shared" si="435"/>
        <v>#DIV/0!</v>
      </c>
      <c r="PLQ133" s="531" t="e">
        <f t="shared" si="435"/>
        <v>#DIV/0!</v>
      </c>
      <c r="PLR133" s="531" t="e">
        <f t="shared" si="435"/>
        <v>#DIV/0!</v>
      </c>
      <c r="PLS133" s="531" t="e">
        <f t="shared" si="435"/>
        <v>#DIV/0!</v>
      </c>
      <c r="PLT133" s="531" t="e">
        <f t="shared" si="435"/>
        <v>#DIV/0!</v>
      </c>
      <c r="PLU133" s="531" t="e">
        <f t="shared" si="435"/>
        <v>#DIV/0!</v>
      </c>
      <c r="PLV133" s="531" t="e">
        <f t="shared" si="435"/>
        <v>#DIV/0!</v>
      </c>
      <c r="PLW133" s="531" t="e">
        <f t="shared" si="435"/>
        <v>#DIV/0!</v>
      </c>
      <c r="PLX133" s="531" t="e">
        <f t="shared" si="435"/>
        <v>#DIV/0!</v>
      </c>
      <c r="PLY133" s="531" t="e">
        <f t="shared" si="435"/>
        <v>#DIV/0!</v>
      </c>
      <c r="PLZ133" s="531" t="e">
        <f t="shared" si="435"/>
        <v>#DIV/0!</v>
      </c>
      <c r="PMA133" s="531" t="e">
        <f t="shared" si="435"/>
        <v>#DIV/0!</v>
      </c>
      <c r="PMB133" s="531" t="e">
        <f t="shared" si="435"/>
        <v>#DIV/0!</v>
      </c>
      <c r="PMC133" s="531" t="e">
        <f t="shared" si="435"/>
        <v>#DIV/0!</v>
      </c>
      <c r="PMD133" s="531" t="e">
        <f t="shared" si="435"/>
        <v>#DIV/0!</v>
      </c>
      <c r="PME133" s="531" t="e">
        <f t="shared" si="435"/>
        <v>#DIV/0!</v>
      </c>
      <c r="PMF133" s="531" t="e">
        <f t="shared" si="435"/>
        <v>#DIV/0!</v>
      </c>
      <c r="PMG133" s="531" t="e">
        <f t="shared" si="435"/>
        <v>#DIV/0!</v>
      </c>
      <c r="PMH133" s="531" t="e">
        <f t="shared" si="435"/>
        <v>#DIV/0!</v>
      </c>
      <c r="PMI133" s="531" t="e">
        <f t="shared" si="435"/>
        <v>#DIV/0!</v>
      </c>
      <c r="PMJ133" s="531" t="e">
        <f t="shared" si="435"/>
        <v>#DIV/0!</v>
      </c>
      <c r="PMK133" s="531" t="e">
        <f t="shared" si="435"/>
        <v>#DIV/0!</v>
      </c>
      <c r="PML133" s="531" t="e">
        <f t="shared" si="435"/>
        <v>#DIV/0!</v>
      </c>
      <c r="PMM133" s="531" t="e">
        <f t="shared" si="435"/>
        <v>#DIV/0!</v>
      </c>
      <c r="PMN133" s="531" t="e">
        <f t="shared" si="435"/>
        <v>#DIV/0!</v>
      </c>
      <c r="PMO133" s="531" t="e">
        <f t="shared" si="435"/>
        <v>#DIV/0!</v>
      </c>
      <c r="PMP133" s="531" t="e">
        <f t="shared" si="435"/>
        <v>#DIV/0!</v>
      </c>
      <c r="PMQ133" s="531" t="e">
        <f t="shared" si="435"/>
        <v>#DIV/0!</v>
      </c>
      <c r="PMR133" s="531" t="e">
        <f t="shared" si="435"/>
        <v>#DIV/0!</v>
      </c>
      <c r="PMS133" s="531" t="e">
        <f t="shared" si="435"/>
        <v>#DIV/0!</v>
      </c>
      <c r="PMT133" s="531" t="e">
        <f t="shared" si="435"/>
        <v>#DIV/0!</v>
      </c>
      <c r="PMU133" s="531" t="e">
        <f t="shared" si="435"/>
        <v>#DIV/0!</v>
      </c>
      <c r="PMV133" s="531" t="e">
        <f t="shared" si="435"/>
        <v>#DIV/0!</v>
      </c>
      <c r="PMW133" s="531" t="e">
        <f t="shared" si="435"/>
        <v>#DIV/0!</v>
      </c>
      <c r="PMX133" s="531" t="e">
        <f t="shared" si="435"/>
        <v>#DIV/0!</v>
      </c>
      <c r="PMY133" s="531" t="e">
        <f t="shared" si="435"/>
        <v>#DIV/0!</v>
      </c>
      <c r="PMZ133" s="531" t="e">
        <f t="shared" si="435"/>
        <v>#DIV/0!</v>
      </c>
      <c r="PNA133" s="531" t="e">
        <f t="shared" si="435"/>
        <v>#DIV/0!</v>
      </c>
      <c r="PNB133" s="531" t="e">
        <f t="shared" si="435"/>
        <v>#DIV/0!</v>
      </c>
      <c r="PNC133" s="531" t="e">
        <f t="shared" si="435"/>
        <v>#DIV/0!</v>
      </c>
      <c r="PND133" s="531" t="e">
        <f t="shared" si="435"/>
        <v>#DIV/0!</v>
      </c>
      <c r="PNE133" s="531" t="e">
        <f t="shared" si="435"/>
        <v>#DIV/0!</v>
      </c>
      <c r="PNF133" s="531" t="e">
        <f t="shared" si="435"/>
        <v>#DIV/0!</v>
      </c>
      <c r="PNG133" s="531" t="e">
        <f t="shared" si="435"/>
        <v>#DIV/0!</v>
      </c>
      <c r="PNH133" s="531" t="e">
        <f t="shared" si="435"/>
        <v>#DIV/0!</v>
      </c>
      <c r="PNI133" s="531" t="e">
        <f t="shared" si="435"/>
        <v>#DIV/0!</v>
      </c>
      <c r="PNJ133" s="531" t="e">
        <f t="shared" si="435"/>
        <v>#DIV/0!</v>
      </c>
      <c r="PNK133" s="531" t="e">
        <f t="shared" si="435"/>
        <v>#DIV/0!</v>
      </c>
      <c r="PNL133" s="531" t="e">
        <f t="shared" si="435"/>
        <v>#DIV/0!</v>
      </c>
      <c r="PNM133" s="531" t="e">
        <f t="shared" si="435"/>
        <v>#DIV/0!</v>
      </c>
      <c r="PNN133" s="531" t="e">
        <f t="shared" si="435"/>
        <v>#DIV/0!</v>
      </c>
      <c r="PNO133" s="531" t="e">
        <f t="shared" si="435"/>
        <v>#DIV/0!</v>
      </c>
      <c r="PNP133" s="531" t="e">
        <f t="shared" si="435"/>
        <v>#DIV/0!</v>
      </c>
      <c r="PNQ133" s="531" t="e">
        <f t="shared" si="435"/>
        <v>#DIV/0!</v>
      </c>
      <c r="PNR133" s="531" t="e">
        <f t="shared" si="435"/>
        <v>#DIV/0!</v>
      </c>
      <c r="PNS133" s="531" t="e">
        <f t="shared" si="435"/>
        <v>#DIV/0!</v>
      </c>
      <c r="PNT133" s="531" t="e">
        <f t="shared" si="435"/>
        <v>#DIV/0!</v>
      </c>
      <c r="PNU133" s="531" t="e">
        <f t="shared" si="435"/>
        <v>#DIV/0!</v>
      </c>
      <c r="PNV133" s="531" t="e">
        <f t="shared" si="435"/>
        <v>#DIV/0!</v>
      </c>
      <c r="PNW133" s="531" t="e">
        <f t="shared" si="435"/>
        <v>#DIV/0!</v>
      </c>
      <c r="PNX133" s="531" t="e">
        <f t="shared" si="435"/>
        <v>#DIV/0!</v>
      </c>
      <c r="PNY133" s="531" t="e">
        <f t="shared" si="435"/>
        <v>#DIV/0!</v>
      </c>
      <c r="PNZ133" s="531" t="e">
        <f t="shared" si="435"/>
        <v>#DIV/0!</v>
      </c>
      <c r="POA133" s="531" t="e">
        <f t="shared" ref="POA133:PQL133" si="436">POA116/(POA52*10^5)</f>
        <v>#DIV/0!</v>
      </c>
      <c r="POB133" s="531" t="e">
        <f t="shared" si="436"/>
        <v>#DIV/0!</v>
      </c>
      <c r="POC133" s="531" t="e">
        <f t="shared" si="436"/>
        <v>#DIV/0!</v>
      </c>
      <c r="POD133" s="531" t="e">
        <f t="shared" si="436"/>
        <v>#DIV/0!</v>
      </c>
      <c r="POE133" s="531" t="e">
        <f t="shared" si="436"/>
        <v>#DIV/0!</v>
      </c>
      <c r="POF133" s="531" t="e">
        <f t="shared" si="436"/>
        <v>#DIV/0!</v>
      </c>
      <c r="POG133" s="531" t="e">
        <f t="shared" si="436"/>
        <v>#DIV/0!</v>
      </c>
      <c r="POH133" s="531" t="e">
        <f t="shared" si="436"/>
        <v>#DIV/0!</v>
      </c>
      <c r="POI133" s="531" t="e">
        <f t="shared" si="436"/>
        <v>#DIV/0!</v>
      </c>
      <c r="POJ133" s="531" t="e">
        <f t="shared" si="436"/>
        <v>#DIV/0!</v>
      </c>
      <c r="POK133" s="531" t="e">
        <f t="shared" si="436"/>
        <v>#DIV/0!</v>
      </c>
      <c r="POL133" s="531" t="e">
        <f t="shared" si="436"/>
        <v>#DIV/0!</v>
      </c>
      <c r="POM133" s="531" t="e">
        <f t="shared" si="436"/>
        <v>#DIV/0!</v>
      </c>
      <c r="PON133" s="531" t="e">
        <f t="shared" si="436"/>
        <v>#DIV/0!</v>
      </c>
      <c r="POO133" s="531" t="e">
        <f t="shared" si="436"/>
        <v>#DIV/0!</v>
      </c>
      <c r="POP133" s="531" t="e">
        <f t="shared" si="436"/>
        <v>#DIV/0!</v>
      </c>
      <c r="POQ133" s="531" t="e">
        <f t="shared" si="436"/>
        <v>#DIV/0!</v>
      </c>
      <c r="POR133" s="531" t="e">
        <f t="shared" si="436"/>
        <v>#DIV/0!</v>
      </c>
      <c r="POS133" s="531" t="e">
        <f t="shared" si="436"/>
        <v>#DIV/0!</v>
      </c>
      <c r="POT133" s="531" t="e">
        <f t="shared" si="436"/>
        <v>#DIV/0!</v>
      </c>
      <c r="POU133" s="531" t="e">
        <f t="shared" si="436"/>
        <v>#DIV/0!</v>
      </c>
      <c r="POV133" s="531" t="e">
        <f t="shared" si="436"/>
        <v>#DIV/0!</v>
      </c>
      <c r="POW133" s="531" t="e">
        <f t="shared" si="436"/>
        <v>#DIV/0!</v>
      </c>
      <c r="POX133" s="531" t="e">
        <f t="shared" si="436"/>
        <v>#DIV/0!</v>
      </c>
      <c r="POY133" s="531" t="e">
        <f t="shared" si="436"/>
        <v>#DIV/0!</v>
      </c>
      <c r="POZ133" s="531" t="e">
        <f t="shared" si="436"/>
        <v>#DIV/0!</v>
      </c>
      <c r="PPA133" s="531" t="e">
        <f t="shared" si="436"/>
        <v>#DIV/0!</v>
      </c>
      <c r="PPB133" s="531" t="e">
        <f t="shared" si="436"/>
        <v>#DIV/0!</v>
      </c>
      <c r="PPC133" s="531" t="e">
        <f t="shared" si="436"/>
        <v>#DIV/0!</v>
      </c>
      <c r="PPD133" s="531" t="e">
        <f t="shared" si="436"/>
        <v>#DIV/0!</v>
      </c>
      <c r="PPE133" s="531" t="e">
        <f t="shared" si="436"/>
        <v>#DIV/0!</v>
      </c>
      <c r="PPF133" s="531" t="e">
        <f t="shared" si="436"/>
        <v>#DIV/0!</v>
      </c>
      <c r="PPG133" s="531" t="e">
        <f t="shared" si="436"/>
        <v>#DIV/0!</v>
      </c>
      <c r="PPH133" s="531" t="e">
        <f t="shared" si="436"/>
        <v>#DIV/0!</v>
      </c>
      <c r="PPI133" s="531" t="e">
        <f t="shared" si="436"/>
        <v>#DIV/0!</v>
      </c>
      <c r="PPJ133" s="531" t="e">
        <f t="shared" si="436"/>
        <v>#DIV/0!</v>
      </c>
      <c r="PPK133" s="531" t="e">
        <f t="shared" si="436"/>
        <v>#DIV/0!</v>
      </c>
      <c r="PPL133" s="531" t="e">
        <f t="shared" si="436"/>
        <v>#DIV/0!</v>
      </c>
      <c r="PPM133" s="531" t="e">
        <f t="shared" si="436"/>
        <v>#DIV/0!</v>
      </c>
      <c r="PPN133" s="531" t="e">
        <f t="shared" si="436"/>
        <v>#DIV/0!</v>
      </c>
      <c r="PPO133" s="531" t="e">
        <f t="shared" si="436"/>
        <v>#DIV/0!</v>
      </c>
      <c r="PPP133" s="531" t="e">
        <f t="shared" si="436"/>
        <v>#DIV/0!</v>
      </c>
      <c r="PPQ133" s="531" t="e">
        <f t="shared" si="436"/>
        <v>#DIV/0!</v>
      </c>
      <c r="PPR133" s="531" t="e">
        <f t="shared" si="436"/>
        <v>#DIV/0!</v>
      </c>
      <c r="PPS133" s="531" t="e">
        <f t="shared" si="436"/>
        <v>#DIV/0!</v>
      </c>
      <c r="PPT133" s="531" t="e">
        <f t="shared" si="436"/>
        <v>#DIV/0!</v>
      </c>
      <c r="PPU133" s="531" t="e">
        <f t="shared" si="436"/>
        <v>#DIV/0!</v>
      </c>
      <c r="PPV133" s="531" t="e">
        <f t="shared" si="436"/>
        <v>#DIV/0!</v>
      </c>
      <c r="PPW133" s="531" t="e">
        <f t="shared" si="436"/>
        <v>#DIV/0!</v>
      </c>
      <c r="PPX133" s="531" t="e">
        <f t="shared" si="436"/>
        <v>#DIV/0!</v>
      </c>
      <c r="PPY133" s="531" t="e">
        <f t="shared" si="436"/>
        <v>#DIV/0!</v>
      </c>
      <c r="PPZ133" s="531" t="e">
        <f t="shared" si="436"/>
        <v>#DIV/0!</v>
      </c>
      <c r="PQA133" s="531" t="e">
        <f t="shared" si="436"/>
        <v>#DIV/0!</v>
      </c>
      <c r="PQB133" s="531" t="e">
        <f t="shared" si="436"/>
        <v>#DIV/0!</v>
      </c>
      <c r="PQC133" s="531" t="e">
        <f t="shared" si="436"/>
        <v>#DIV/0!</v>
      </c>
      <c r="PQD133" s="531" t="e">
        <f t="shared" si="436"/>
        <v>#DIV/0!</v>
      </c>
      <c r="PQE133" s="531" t="e">
        <f t="shared" si="436"/>
        <v>#DIV/0!</v>
      </c>
      <c r="PQF133" s="531" t="e">
        <f t="shared" si="436"/>
        <v>#DIV/0!</v>
      </c>
      <c r="PQG133" s="531" t="e">
        <f t="shared" si="436"/>
        <v>#DIV/0!</v>
      </c>
      <c r="PQH133" s="531" t="e">
        <f t="shared" si="436"/>
        <v>#DIV/0!</v>
      </c>
      <c r="PQI133" s="531" t="e">
        <f t="shared" si="436"/>
        <v>#DIV/0!</v>
      </c>
      <c r="PQJ133" s="531" t="e">
        <f t="shared" si="436"/>
        <v>#DIV/0!</v>
      </c>
      <c r="PQK133" s="531" t="e">
        <f t="shared" si="436"/>
        <v>#DIV/0!</v>
      </c>
      <c r="PQL133" s="531" t="e">
        <f t="shared" si="436"/>
        <v>#DIV/0!</v>
      </c>
      <c r="PQM133" s="531" t="e">
        <f t="shared" ref="PQM133:PSX133" si="437">PQM116/(PQM52*10^5)</f>
        <v>#DIV/0!</v>
      </c>
      <c r="PQN133" s="531" t="e">
        <f t="shared" si="437"/>
        <v>#DIV/0!</v>
      </c>
      <c r="PQO133" s="531" t="e">
        <f t="shared" si="437"/>
        <v>#DIV/0!</v>
      </c>
      <c r="PQP133" s="531" t="e">
        <f t="shared" si="437"/>
        <v>#DIV/0!</v>
      </c>
      <c r="PQQ133" s="531" t="e">
        <f t="shared" si="437"/>
        <v>#DIV/0!</v>
      </c>
      <c r="PQR133" s="531" t="e">
        <f t="shared" si="437"/>
        <v>#DIV/0!</v>
      </c>
      <c r="PQS133" s="531" t="e">
        <f t="shared" si="437"/>
        <v>#DIV/0!</v>
      </c>
      <c r="PQT133" s="531" t="e">
        <f t="shared" si="437"/>
        <v>#DIV/0!</v>
      </c>
      <c r="PQU133" s="531" t="e">
        <f t="shared" si="437"/>
        <v>#DIV/0!</v>
      </c>
      <c r="PQV133" s="531" t="e">
        <f t="shared" si="437"/>
        <v>#DIV/0!</v>
      </c>
      <c r="PQW133" s="531" t="e">
        <f t="shared" si="437"/>
        <v>#DIV/0!</v>
      </c>
      <c r="PQX133" s="531" t="e">
        <f t="shared" si="437"/>
        <v>#DIV/0!</v>
      </c>
      <c r="PQY133" s="531" t="e">
        <f t="shared" si="437"/>
        <v>#DIV/0!</v>
      </c>
      <c r="PQZ133" s="531" t="e">
        <f t="shared" si="437"/>
        <v>#DIV/0!</v>
      </c>
      <c r="PRA133" s="531" t="e">
        <f t="shared" si="437"/>
        <v>#DIV/0!</v>
      </c>
      <c r="PRB133" s="531" t="e">
        <f t="shared" si="437"/>
        <v>#DIV/0!</v>
      </c>
      <c r="PRC133" s="531" t="e">
        <f t="shared" si="437"/>
        <v>#DIV/0!</v>
      </c>
      <c r="PRD133" s="531" t="e">
        <f t="shared" si="437"/>
        <v>#DIV/0!</v>
      </c>
      <c r="PRE133" s="531" t="e">
        <f t="shared" si="437"/>
        <v>#DIV/0!</v>
      </c>
      <c r="PRF133" s="531" t="e">
        <f t="shared" si="437"/>
        <v>#DIV/0!</v>
      </c>
      <c r="PRG133" s="531" t="e">
        <f t="shared" si="437"/>
        <v>#DIV/0!</v>
      </c>
      <c r="PRH133" s="531" t="e">
        <f t="shared" si="437"/>
        <v>#DIV/0!</v>
      </c>
      <c r="PRI133" s="531" t="e">
        <f t="shared" si="437"/>
        <v>#DIV/0!</v>
      </c>
      <c r="PRJ133" s="531" t="e">
        <f t="shared" si="437"/>
        <v>#DIV/0!</v>
      </c>
      <c r="PRK133" s="531" t="e">
        <f t="shared" si="437"/>
        <v>#DIV/0!</v>
      </c>
      <c r="PRL133" s="531" t="e">
        <f t="shared" si="437"/>
        <v>#DIV/0!</v>
      </c>
      <c r="PRM133" s="531" t="e">
        <f t="shared" si="437"/>
        <v>#DIV/0!</v>
      </c>
      <c r="PRN133" s="531" t="e">
        <f t="shared" si="437"/>
        <v>#DIV/0!</v>
      </c>
      <c r="PRO133" s="531" t="e">
        <f t="shared" si="437"/>
        <v>#DIV/0!</v>
      </c>
      <c r="PRP133" s="531" t="e">
        <f t="shared" si="437"/>
        <v>#DIV/0!</v>
      </c>
      <c r="PRQ133" s="531" t="e">
        <f t="shared" si="437"/>
        <v>#DIV/0!</v>
      </c>
      <c r="PRR133" s="531" t="e">
        <f t="shared" si="437"/>
        <v>#DIV/0!</v>
      </c>
      <c r="PRS133" s="531" t="e">
        <f t="shared" si="437"/>
        <v>#DIV/0!</v>
      </c>
      <c r="PRT133" s="531" t="e">
        <f t="shared" si="437"/>
        <v>#DIV/0!</v>
      </c>
      <c r="PRU133" s="531" t="e">
        <f t="shared" si="437"/>
        <v>#DIV/0!</v>
      </c>
      <c r="PRV133" s="531" t="e">
        <f t="shared" si="437"/>
        <v>#DIV/0!</v>
      </c>
      <c r="PRW133" s="531" t="e">
        <f t="shared" si="437"/>
        <v>#DIV/0!</v>
      </c>
      <c r="PRX133" s="531" t="e">
        <f t="shared" si="437"/>
        <v>#DIV/0!</v>
      </c>
      <c r="PRY133" s="531" t="e">
        <f t="shared" si="437"/>
        <v>#DIV/0!</v>
      </c>
      <c r="PRZ133" s="531" t="e">
        <f t="shared" si="437"/>
        <v>#DIV/0!</v>
      </c>
      <c r="PSA133" s="531" t="e">
        <f t="shared" si="437"/>
        <v>#DIV/0!</v>
      </c>
      <c r="PSB133" s="531" t="e">
        <f t="shared" si="437"/>
        <v>#DIV/0!</v>
      </c>
      <c r="PSC133" s="531" t="e">
        <f t="shared" si="437"/>
        <v>#DIV/0!</v>
      </c>
      <c r="PSD133" s="531" t="e">
        <f t="shared" si="437"/>
        <v>#DIV/0!</v>
      </c>
      <c r="PSE133" s="531" t="e">
        <f t="shared" si="437"/>
        <v>#DIV/0!</v>
      </c>
      <c r="PSF133" s="531" t="e">
        <f t="shared" si="437"/>
        <v>#DIV/0!</v>
      </c>
      <c r="PSG133" s="531" t="e">
        <f t="shared" si="437"/>
        <v>#DIV/0!</v>
      </c>
      <c r="PSH133" s="531" t="e">
        <f t="shared" si="437"/>
        <v>#DIV/0!</v>
      </c>
      <c r="PSI133" s="531" t="e">
        <f t="shared" si="437"/>
        <v>#DIV/0!</v>
      </c>
      <c r="PSJ133" s="531" t="e">
        <f t="shared" si="437"/>
        <v>#DIV/0!</v>
      </c>
      <c r="PSK133" s="531" t="e">
        <f t="shared" si="437"/>
        <v>#DIV/0!</v>
      </c>
      <c r="PSL133" s="531" t="e">
        <f t="shared" si="437"/>
        <v>#DIV/0!</v>
      </c>
      <c r="PSM133" s="531" t="e">
        <f t="shared" si="437"/>
        <v>#DIV/0!</v>
      </c>
      <c r="PSN133" s="531" t="e">
        <f t="shared" si="437"/>
        <v>#DIV/0!</v>
      </c>
      <c r="PSO133" s="531" t="e">
        <f t="shared" si="437"/>
        <v>#DIV/0!</v>
      </c>
      <c r="PSP133" s="531" t="e">
        <f t="shared" si="437"/>
        <v>#DIV/0!</v>
      </c>
      <c r="PSQ133" s="531" t="e">
        <f t="shared" si="437"/>
        <v>#DIV/0!</v>
      </c>
      <c r="PSR133" s="531" t="e">
        <f t="shared" si="437"/>
        <v>#DIV/0!</v>
      </c>
      <c r="PSS133" s="531" t="e">
        <f t="shared" si="437"/>
        <v>#DIV/0!</v>
      </c>
      <c r="PST133" s="531" t="e">
        <f t="shared" si="437"/>
        <v>#DIV/0!</v>
      </c>
      <c r="PSU133" s="531" t="e">
        <f t="shared" si="437"/>
        <v>#DIV/0!</v>
      </c>
      <c r="PSV133" s="531" t="e">
        <f t="shared" si="437"/>
        <v>#DIV/0!</v>
      </c>
      <c r="PSW133" s="531" t="e">
        <f t="shared" si="437"/>
        <v>#DIV/0!</v>
      </c>
      <c r="PSX133" s="531" t="e">
        <f t="shared" si="437"/>
        <v>#DIV/0!</v>
      </c>
      <c r="PSY133" s="531" t="e">
        <f t="shared" ref="PSY133:PVJ133" si="438">PSY116/(PSY52*10^5)</f>
        <v>#DIV/0!</v>
      </c>
      <c r="PSZ133" s="531" t="e">
        <f t="shared" si="438"/>
        <v>#DIV/0!</v>
      </c>
      <c r="PTA133" s="531" t="e">
        <f t="shared" si="438"/>
        <v>#DIV/0!</v>
      </c>
      <c r="PTB133" s="531" t="e">
        <f t="shared" si="438"/>
        <v>#DIV/0!</v>
      </c>
      <c r="PTC133" s="531" t="e">
        <f t="shared" si="438"/>
        <v>#DIV/0!</v>
      </c>
      <c r="PTD133" s="531" t="e">
        <f t="shared" si="438"/>
        <v>#DIV/0!</v>
      </c>
      <c r="PTE133" s="531" t="e">
        <f t="shared" si="438"/>
        <v>#DIV/0!</v>
      </c>
      <c r="PTF133" s="531" t="e">
        <f t="shared" si="438"/>
        <v>#DIV/0!</v>
      </c>
      <c r="PTG133" s="531" t="e">
        <f t="shared" si="438"/>
        <v>#DIV/0!</v>
      </c>
      <c r="PTH133" s="531" t="e">
        <f t="shared" si="438"/>
        <v>#DIV/0!</v>
      </c>
      <c r="PTI133" s="531" t="e">
        <f t="shared" si="438"/>
        <v>#DIV/0!</v>
      </c>
      <c r="PTJ133" s="531" t="e">
        <f t="shared" si="438"/>
        <v>#DIV/0!</v>
      </c>
      <c r="PTK133" s="531" t="e">
        <f t="shared" si="438"/>
        <v>#DIV/0!</v>
      </c>
      <c r="PTL133" s="531" t="e">
        <f t="shared" si="438"/>
        <v>#DIV/0!</v>
      </c>
      <c r="PTM133" s="531" t="e">
        <f t="shared" si="438"/>
        <v>#DIV/0!</v>
      </c>
      <c r="PTN133" s="531" t="e">
        <f t="shared" si="438"/>
        <v>#DIV/0!</v>
      </c>
      <c r="PTO133" s="531" t="e">
        <f t="shared" si="438"/>
        <v>#DIV/0!</v>
      </c>
      <c r="PTP133" s="531" t="e">
        <f t="shared" si="438"/>
        <v>#DIV/0!</v>
      </c>
      <c r="PTQ133" s="531" t="e">
        <f t="shared" si="438"/>
        <v>#DIV/0!</v>
      </c>
      <c r="PTR133" s="531" t="e">
        <f t="shared" si="438"/>
        <v>#DIV/0!</v>
      </c>
      <c r="PTS133" s="531" t="e">
        <f t="shared" si="438"/>
        <v>#DIV/0!</v>
      </c>
      <c r="PTT133" s="531" t="e">
        <f t="shared" si="438"/>
        <v>#DIV/0!</v>
      </c>
      <c r="PTU133" s="531" t="e">
        <f t="shared" si="438"/>
        <v>#DIV/0!</v>
      </c>
      <c r="PTV133" s="531" t="e">
        <f t="shared" si="438"/>
        <v>#DIV/0!</v>
      </c>
      <c r="PTW133" s="531" t="e">
        <f t="shared" si="438"/>
        <v>#DIV/0!</v>
      </c>
      <c r="PTX133" s="531" t="e">
        <f t="shared" si="438"/>
        <v>#DIV/0!</v>
      </c>
      <c r="PTY133" s="531" t="e">
        <f t="shared" si="438"/>
        <v>#DIV/0!</v>
      </c>
      <c r="PTZ133" s="531" t="e">
        <f t="shared" si="438"/>
        <v>#DIV/0!</v>
      </c>
      <c r="PUA133" s="531" t="e">
        <f t="shared" si="438"/>
        <v>#DIV/0!</v>
      </c>
      <c r="PUB133" s="531" t="e">
        <f t="shared" si="438"/>
        <v>#DIV/0!</v>
      </c>
      <c r="PUC133" s="531" t="e">
        <f t="shared" si="438"/>
        <v>#DIV/0!</v>
      </c>
      <c r="PUD133" s="531" t="e">
        <f t="shared" si="438"/>
        <v>#DIV/0!</v>
      </c>
      <c r="PUE133" s="531" t="e">
        <f t="shared" si="438"/>
        <v>#DIV/0!</v>
      </c>
      <c r="PUF133" s="531" t="e">
        <f t="shared" si="438"/>
        <v>#DIV/0!</v>
      </c>
      <c r="PUG133" s="531" t="e">
        <f t="shared" si="438"/>
        <v>#DIV/0!</v>
      </c>
      <c r="PUH133" s="531" t="e">
        <f t="shared" si="438"/>
        <v>#DIV/0!</v>
      </c>
      <c r="PUI133" s="531" t="e">
        <f t="shared" si="438"/>
        <v>#DIV/0!</v>
      </c>
      <c r="PUJ133" s="531" t="e">
        <f t="shared" si="438"/>
        <v>#DIV/0!</v>
      </c>
      <c r="PUK133" s="531" t="e">
        <f t="shared" si="438"/>
        <v>#DIV/0!</v>
      </c>
      <c r="PUL133" s="531" t="e">
        <f t="shared" si="438"/>
        <v>#DIV/0!</v>
      </c>
      <c r="PUM133" s="531" t="e">
        <f t="shared" si="438"/>
        <v>#DIV/0!</v>
      </c>
      <c r="PUN133" s="531" t="e">
        <f t="shared" si="438"/>
        <v>#DIV/0!</v>
      </c>
      <c r="PUO133" s="531" t="e">
        <f t="shared" si="438"/>
        <v>#DIV/0!</v>
      </c>
      <c r="PUP133" s="531" t="e">
        <f t="shared" si="438"/>
        <v>#DIV/0!</v>
      </c>
      <c r="PUQ133" s="531" t="e">
        <f t="shared" si="438"/>
        <v>#DIV/0!</v>
      </c>
      <c r="PUR133" s="531" t="e">
        <f t="shared" si="438"/>
        <v>#DIV/0!</v>
      </c>
      <c r="PUS133" s="531" t="e">
        <f t="shared" si="438"/>
        <v>#DIV/0!</v>
      </c>
      <c r="PUT133" s="531" t="e">
        <f t="shared" si="438"/>
        <v>#DIV/0!</v>
      </c>
      <c r="PUU133" s="531" t="e">
        <f t="shared" si="438"/>
        <v>#DIV/0!</v>
      </c>
      <c r="PUV133" s="531" t="e">
        <f t="shared" si="438"/>
        <v>#DIV/0!</v>
      </c>
      <c r="PUW133" s="531" t="e">
        <f t="shared" si="438"/>
        <v>#DIV/0!</v>
      </c>
      <c r="PUX133" s="531" t="e">
        <f t="shared" si="438"/>
        <v>#DIV/0!</v>
      </c>
      <c r="PUY133" s="531" t="e">
        <f t="shared" si="438"/>
        <v>#DIV/0!</v>
      </c>
      <c r="PUZ133" s="531" t="e">
        <f t="shared" si="438"/>
        <v>#DIV/0!</v>
      </c>
      <c r="PVA133" s="531" t="e">
        <f t="shared" si="438"/>
        <v>#DIV/0!</v>
      </c>
      <c r="PVB133" s="531" t="e">
        <f t="shared" si="438"/>
        <v>#DIV/0!</v>
      </c>
      <c r="PVC133" s="531" t="e">
        <f t="shared" si="438"/>
        <v>#DIV/0!</v>
      </c>
      <c r="PVD133" s="531" t="e">
        <f t="shared" si="438"/>
        <v>#DIV/0!</v>
      </c>
      <c r="PVE133" s="531" t="e">
        <f t="shared" si="438"/>
        <v>#DIV/0!</v>
      </c>
      <c r="PVF133" s="531" t="e">
        <f t="shared" si="438"/>
        <v>#DIV/0!</v>
      </c>
      <c r="PVG133" s="531" t="e">
        <f t="shared" si="438"/>
        <v>#DIV/0!</v>
      </c>
      <c r="PVH133" s="531" t="e">
        <f t="shared" si="438"/>
        <v>#DIV/0!</v>
      </c>
      <c r="PVI133" s="531" t="e">
        <f t="shared" si="438"/>
        <v>#DIV/0!</v>
      </c>
      <c r="PVJ133" s="531" t="e">
        <f t="shared" si="438"/>
        <v>#DIV/0!</v>
      </c>
      <c r="PVK133" s="531" t="e">
        <f t="shared" ref="PVK133:PXV133" si="439">PVK116/(PVK52*10^5)</f>
        <v>#DIV/0!</v>
      </c>
      <c r="PVL133" s="531" t="e">
        <f t="shared" si="439"/>
        <v>#DIV/0!</v>
      </c>
      <c r="PVM133" s="531" t="e">
        <f t="shared" si="439"/>
        <v>#DIV/0!</v>
      </c>
      <c r="PVN133" s="531" t="e">
        <f t="shared" si="439"/>
        <v>#DIV/0!</v>
      </c>
      <c r="PVO133" s="531" t="e">
        <f t="shared" si="439"/>
        <v>#DIV/0!</v>
      </c>
      <c r="PVP133" s="531" t="e">
        <f t="shared" si="439"/>
        <v>#DIV/0!</v>
      </c>
      <c r="PVQ133" s="531" t="e">
        <f t="shared" si="439"/>
        <v>#DIV/0!</v>
      </c>
      <c r="PVR133" s="531" t="e">
        <f t="shared" si="439"/>
        <v>#DIV/0!</v>
      </c>
      <c r="PVS133" s="531" t="e">
        <f t="shared" si="439"/>
        <v>#DIV/0!</v>
      </c>
      <c r="PVT133" s="531" t="e">
        <f t="shared" si="439"/>
        <v>#DIV/0!</v>
      </c>
      <c r="PVU133" s="531" t="e">
        <f t="shared" si="439"/>
        <v>#DIV/0!</v>
      </c>
      <c r="PVV133" s="531" t="e">
        <f t="shared" si="439"/>
        <v>#DIV/0!</v>
      </c>
      <c r="PVW133" s="531" t="e">
        <f t="shared" si="439"/>
        <v>#DIV/0!</v>
      </c>
      <c r="PVX133" s="531" t="e">
        <f t="shared" si="439"/>
        <v>#DIV/0!</v>
      </c>
      <c r="PVY133" s="531" t="e">
        <f t="shared" si="439"/>
        <v>#DIV/0!</v>
      </c>
      <c r="PVZ133" s="531" t="e">
        <f t="shared" si="439"/>
        <v>#DIV/0!</v>
      </c>
      <c r="PWA133" s="531" t="e">
        <f t="shared" si="439"/>
        <v>#DIV/0!</v>
      </c>
      <c r="PWB133" s="531" t="e">
        <f t="shared" si="439"/>
        <v>#DIV/0!</v>
      </c>
      <c r="PWC133" s="531" t="e">
        <f t="shared" si="439"/>
        <v>#DIV/0!</v>
      </c>
      <c r="PWD133" s="531" t="e">
        <f t="shared" si="439"/>
        <v>#DIV/0!</v>
      </c>
      <c r="PWE133" s="531" t="e">
        <f t="shared" si="439"/>
        <v>#DIV/0!</v>
      </c>
      <c r="PWF133" s="531" t="e">
        <f t="shared" si="439"/>
        <v>#DIV/0!</v>
      </c>
      <c r="PWG133" s="531" t="e">
        <f t="shared" si="439"/>
        <v>#DIV/0!</v>
      </c>
      <c r="PWH133" s="531" t="e">
        <f t="shared" si="439"/>
        <v>#DIV/0!</v>
      </c>
      <c r="PWI133" s="531" t="e">
        <f t="shared" si="439"/>
        <v>#DIV/0!</v>
      </c>
      <c r="PWJ133" s="531" t="e">
        <f t="shared" si="439"/>
        <v>#DIV/0!</v>
      </c>
      <c r="PWK133" s="531" t="e">
        <f t="shared" si="439"/>
        <v>#DIV/0!</v>
      </c>
      <c r="PWL133" s="531" t="e">
        <f t="shared" si="439"/>
        <v>#DIV/0!</v>
      </c>
      <c r="PWM133" s="531" t="e">
        <f t="shared" si="439"/>
        <v>#DIV/0!</v>
      </c>
      <c r="PWN133" s="531" t="e">
        <f t="shared" si="439"/>
        <v>#DIV/0!</v>
      </c>
      <c r="PWO133" s="531" t="e">
        <f t="shared" si="439"/>
        <v>#DIV/0!</v>
      </c>
      <c r="PWP133" s="531" t="e">
        <f t="shared" si="439"/>
        <v>#DIV/0!</v>
      </c>
      <c r="PWQ133" s="531" t="e">
        <f t="shared" si="439"/>
        <v>#DIV/0!</v>
      </c>
      <c r="PWR133" s="531" t="e">
        <f t="shared" si="439"/>
        <v>#DIV/0!</v>
      </c>
      <c r="PWS133" s="531" t="e">
        <f t="shared" si="439"/>
        <v>#DIV/0!</v>
      </c>
      <c r="PWT133" s="531" t="e">
        <f t="shared" si="439"/>
        <v>#DIV/0!</v>
      </c>
      <c r="PWU133" s="531" t="e">
        <f t="shared" si="439"/>
        <v>#DIV/0!</v>
      </c>
      <c r="PWV133" s="531" t="e">
        <f t="shared" si="439"/>
        <v>#DIV/0!</v>
      </c>
      <c r="PWW133" s="531" t="e">
        <f t="shared" si="439"/>
        <v>#DIV/0!</v>
      </c>
      <c r="PWX133" s="531" t="e">
        <f t="shared" si="439"/>
        <v>#DIV/0!</v>
      </c>
      <c r="PWY133" s="531" t="e">
        <f t="shared" si="439"/>
        <v>#DIV/0!</v>
      </c>
      <c r="PWZ133" s="531" t="e">
        <f t="shared" si="439"/>
        <v>#DIV/0!</v>
      </c>
      <c r="PXA133" s="531" t="e">
        <f t="shared" si="439"/>
        <v>#DIV/0!</v>
      </c>
      <c r="PXB133" s="531" t="e">
        <f t="shared" si="439"/>
        <v>#DIV/0!</v>
      </c>
      <c r="PXC133" s="531" t="e">
        <f t="shared" si="439"/>
        <v>#DIV/0!</v>
      </c>
      <c r="PXD133" s="531" t="e">
        <f t="shared" si="439"/>
        <v>#DIV/0!</v>
      </c>
      <c r="PXE133" s="531" t="e">
        <f t="shared" si="439"/>
        <v>#DIV/0!</v>
      </c>
      <c r="PXF133" s="531" t="e">
        <f t="shared" si="439"/>
        <v>#DIV/0!</v>
      </c>
      <c r="PXG133" s="531" t="e">
        <f t="shared" si="439"/>
        <v>#DIV/0!</v>
      </c>
      <c r="PXH133" s="531" t="e">
        <f t="shared" si="439"/>
        <v>#DIV/0!</v>
      </c>
      <c r="PXI133" s="531" t="e">
        <f t="shared" si="439"/>
        <v>#DIV/0!</v>
      </c>
      <c r="PXJ133" s="531" t="e">
        <f t="shared" si="439"/>
        <v>#DIV/0!</v>
      </c>
      <c r="PXK133" s="531" t="e">
        <f t="shared" si="439"/>
        <v>#DIV/0!</v>
      </c>
      <c r="PXL133" s="531" t="e">
        <f t="shared" si="439"/>
        <v>#DIV/0!</v>
      </c>
      <c r="PXM133" s="531" t="e">
        <f t="shared" si="439"/>
        <v>#DIV/0!</v>
      </c>
      <c r="PXN133" s="531" t="e">
        <f t="shared" si="439"/>
        <v>#DIV/0!</v>
      </c>
      <c r="PXO133" s="531" t="e">
        <f t="shared" si="439"/>
        <v>#DIV/0!</v>
      </c>
      <c r="PXP133" s="531" t="e">
        <f t="shared" si="439"/>
        <v>#DIV/0!</v>
      </c>
      <c r="PXQ133" s="531" t="e">
        <f t="shared" si="439"/>
        <v>#DIV/0!</v>
      </c>
      <c r="PXR133" s="531" t="e">
        <f t="shared" si="439"/>
        <v>#DIV/0!</v>
      </c>
      <c r="PXS133" s="531" t="e">
        <f t="shared" si="439"/>
        <v>#DIV/0!</v>
      </c>
      <c r="PXT133" s="531" t="e">
        <f t="shared" si="439"/>
        <v>#DIV/0!</v>
      </c>
      <c r="PXU133" s="531" t="e">
        <f t="shared" si="439"/>
        <v>#DIV/0!</v>
      </c>
      <c r="PXV133" s="531" t="e">
        <f t="shared" si="439"/>
        <v>#DIV/0!</v>
      </c>
      <c r="PXW133" s="531" t="e">
        <f t="shared" ref="PXW133:QAH133" si="440">PXW116/(PXW52*10^5)</f>
        <v>#DIV/0!</v>
      </c>
      <c r="PXX133" s="531" t="e">
        <f t="shared" si="440"/>
        <v>#DIV/0!</v>
      </c>
      <c r="PXY133" s="531" t="e">
        <f t="shared" si="440"/>
        <v>#DIV/0!</v>
      </c>
      <c r="PXZ133" s="531" t="e">
        <f t="shared" si="440"/>
        <v>#DIV/0!</v>
      </c>
      <c r="PYA133" s="531" t="e">
        <f t="shared" si="440"/>
        <v>#DIV/0!</v>
      </c>
      <c r="PYB133" s="531" t="e">
        <f t="shared" si="440"/>
        <v>#DIV/0!</v>
      </c>
      <c r="PYC133" s="531" t="e">
        <f t="shared" si="440"/>
        <v>#DIV/0!</v>
      </c>
      <c r="PYD133" s="531" t="e">
        <f t="shared" si="440"/>
        <v>#DIV/0!</v>
      </c>
      <c r="PYE133" s="531" t="e">
        <f t="shared" si="440"/>
        <v>#DIV/0!</v>
      </c>
      <c r="PYF133" s="531" t="e">
        <f t="shared" si="440"/>
        <v>#DIV/0!</v>
      </c>
      <c r="PYG133" s="531" t="e">
        <f t="shared" si="440"/>
        <v>#DIV/0!</v>
      </c>
      <c r="PYH133" s="531" t="e">
        <f t="shared" si="440"/>
        <v>#DIV/0!</v>
      </c>
      <c r="PYI133" s="531" t="e">
        <f t="shared" si="440"/>
        <v>#DIV/0!</v>
      </c>
      <c r="PYJ133" s="531" t="e">
        <f t="shared" si="440"/>
        <v>#DIV/0!</v>
      </c>
      <c r="PYK133" s="531" t="e">
        <f t="shared" si="440"/>
        <v>#DIV/0!</v>
      </c>
      <c r="PYL133" s="531" t="e">
        <f t="shared" si="440"/>
        <v>#DIV/0!</v>
      </c>
      <c r="PYM133" s="531" t="e">
        <f t="shared" si="440"/>
        <v>#DIV/0!</v>
      </c>
      <c r="PYN133" s="531" t="e">
        <f t="shared" si="440"/>
        <v>#DIV/0!</v>
      </c>
      <c r="PYO133" s="531" t="e">
        <f t="shared" si="440"/>
        <v>#DIV/0!</v>
      </c>
      <c r="PYP133" s="531" t="e">
        <f t="shared" si="440"/>
        <v>#DIV/0!</v>
      </c>
      <c r="PYQ133" s="531" t="e">
        <f t="shared" si="440"/>
        <v>#DIV/0!</v>
      </c>
      <c r="PYR133" s="531" t="e">
        <f t="shared" si="440"/>
        <v>#DIV/0!</v>
      </c>
      <c r="PYS133" s="531" t="e">
        <f t="shared" si="440"/>
        <v>#DIV/0!</v>
      </c>
      <c r="PYT133" s="531" t="e">
        <f t="shared" si="440"/>
        <v>#DIV/0!</v>
      </c>
      <c r="PYU133" s="531" t="e">
        <f t="shared" si="440"/>
        <v>#DIV/0!</v>
      </c>
      <c r="PYV133" s="531" t="e">
        <f t="shared" si="440"/>
        <v>#DIV/0!</v>
      </c>
      <c r="PYW133" s="531" t="e">
        <f t="shared" si="440"/>
        <v>#DIV/0!</v>
      </c>
      <c r="PYX133" s="531" t="e">
        <f t="shared" si="440"/>
        <v>#DIV/0!</v>
      </c>
      <c r="PYY133" s="531" t="e">
        <f t="shared" si="440"/>
        <v>#DIV/0!</v>
      </c>
      <c r="PYZ133" s="531" t="e">
        <f t="shared" si="440"/>
        <v>#DIV/0!</v>
      </c>
      <c r="PZA133" s="531" t="e">
        <f t="shared" si="440"/>
        <v>#DIV/0!</v>
      </c>
      <c r="PZB133" s="531" t="e">
        <f t="shared" si="440"/>
        <v>#DIV/0!</v>
      </c>
      <c r="PZC133" s="531" t="e">
        <f t="shared" si="440"/>
        <v>#DIV/0!</v>
      </c>
      <c r="PZD133" s="531" t="e">
        <f t="shared" si="440"/>
        <v>#DIV/0!</v>
      </c>
      <c r="PZE133" s="531" t="e">
        <f t="shared" si="440"/>
        <v>#DIV/0!</v>
      </c>
      <c r="PZF133" s="531" t="e">
        <f t="shared" si="440"/>
        <v>#DIV/0!</v>
      </c>
      <c r="PZG133" s="531" t="e">
        <f t="shared" si="440"/>
        <v>#DIV/0!</v>
      </c>
      <c r="PZH133" s="531" t="e">
        <f t="shared" si="440"/>
        <v>#DIV/0!</v>
      </c>
      <c r="PZI133" s="531" t="e">
        <f t="shared" si="440"/>
        <v>#DIV/0!</v>
      </c>
      <c r="PZJ133" s="531" t="e">
        <f t="shared" si="440"/>
        <v>#DIV/0!</v>
      </c>
      <c r="PZK133" s="531" t="e">
        <f t="shared" si="440"/>
        <v>#DIV/0!</v>
      </c>
      <c r="PZL133" s="531" t="e">
        <f t="shared" si="440"/>
        <v>#DIV/0!</v>
      </c>
      <c r="PZM133" s="531" t="e">
        <f t="shared" si="440"/>
        <v>#DIV/0!</v>
      </c>
      <c r="PZN133" s="531" t="e">
        <f t="shared" si="440"/>
        <v>#DIV/0!</v>
      </c>
      <c r="PZO133" s="531" t="e">
        <f t="shared" si="440"/>
        <v>#DIV/0!</v>
      </c>
      <c r="PZP133" s="531" t="e">
        <f t="shared" si="440"/>
        <v>#DIV/0!</v>
      </c>
      <c r="PZQ133" s="531" t="e">
        <f t="shared" si="440"/>
        <v>#DIV/0!</v>
      </c>
      <c r="PZR133" s="531" t="e">
        <f t="shared" si="440"/>
        <v>#DIV/0!</v>
      </c>
      <c r="PZS133" s="531" t="e">
        <f t="shared" si="440"/>
        <v>#DIV/0!</v>
      </c>
      <c r="PZT133" s="531" t="e">
        <f t="shared" si="440"/>
        <v>#DIV/0!</v>
      </c>
      <c r="PZU133" s="531" t="e">
        <f t="shared" si="440"/>
        <v>#DIV/0!</v>
      </c>
      <c r="PZV133" s="531" t="e">
        <f t="shared" si="440"/>
        <v>#DIV/0!</v>
      </c>
      <c r="PZW133" s="531" t="e">
        <f t="shared" si="440"/>
        <v>#DIV/0!</v>
      </c>
      <c r="PZX133" s="531" t="e">
        <f t="shared" si="440"/>
        <v>#DIV/0!</v>
      </c>
      <c r="PZY133" s="531" t="e">
        <f t="shared" si="440"/>
        <v>#DIV/0!</v>
      </c>
      <c r="PZZ133" s="531" t="e">
        <f t="shared" si="440"/>
        <v>#DIV/0!</v>
      </c>
      <c r="QAA133" s="531" t="e">
        <f t="shared" si="440"/>
        <v>#DIV/0!</v>
      </c>
      <c r="QAB133" s="531" t="e">
        <f t="shared" si="440"/>
        <v>#DIV/0!</v>
      </c>
      <c r="QAC133" s="531" t="e">
        <f t="shared" si="440"/>
        <v>#DIV/0!</v>
      </c>
      <c r="QAD133" s="531" t="e">
        <f t="shared" si="440"/>
        <v>#DIV/0!</v>
      </c>
      <c r="QAE133" s="531" t="e">
        <f t="shared" si="440"/>
        <v>#DIV/0!</v>
      </c>
      <c r="QAF133" s="531" t="e">
        <f t="shared" si="440"/>
        <v>#DIV/0!</v>
      </c>
      <c r="QAG133" s="531" t="e">
        <f t="shared" si="440"/>
        <v>#DIV/0!</v>
      </c>
      <c r="QAH133" s="531" t="e">
        <f t="shared" si="440"/>
        <v>#DIV/0!</v>
      </c>
      <c r="QAI133" s="531" t="e">
        <f t="shared" ref="QAI133:QCT133" si="441">QAI116/(QAI52*10^5)</f>
        <v>#DIV/0!</v>
      </c>
      <c r="QAJ133" s="531" t="e">
        <f t="shared" si="441"/>
        <v>#DIV/0!</v>
      </c>
      <c r="QAK133" s="531" t="e">
        <f t="shared" si="441"/>
        <v>#DIV/0!</v>
      </c>
      <c r="QAL133" s="531" t="e">
        <f t="shared" si="441"/>
        <v>#DIV/0!</v>
      </c>
      <c r="QAM133" s="531" t="e">
        <f t="shared" si="441"/>
        <v>#DIV/0!</v>
      </c>
      <c r="QAN133" s="531" t="e">
        <f t="shared" si="441"/>
        <v>#DIV/0!</v>
      </c>
      <c r="QAO133" s="531" t="e">
        <f t="shared" si="441"/>
        <v>#DIV/0!</v>
      </c>
      <c r="QAP133" s="531" t="e">
        <f t="shared" si="441"/>
        <v>#DIV/0!</v>
      </c>
      <c r="QAQ133" s="531" t="e">
        <f t="shared" si="441"/>
        <v>#DIV/0!</v>
      </c>
      <c r="QAR133" s="531" t="e">
        <f t="shared" si="441"/>
        <v>#DIV/0!</v>
      </c>
      <c r="QAS133" s="531" t="e">
        <f t="shared" si="441"/>
        <v>#DIV/0!</v>
      </c>
      <c r="QAT133" s="531" t="e">
        <f t="shared" si="441"/>
        <v>#DIV/0!</v>
      </c>
      <c r="QAU133" s="531" t="e">
        <f t="shared" si="441"/>
        <v>#DIV/0!</v>
      </c>
      <c r="QAV133" s="531" t="e">
        <f t="shared" si="441"/>
        <v>#DIV/0!</v>
      </c>
      <c r="QAW133" s="531" t="e">
        <f t="shared" si="441"/>
        <v>#DIV/0!</v>
      </c>
      <c r="QAX133" s="531" t="e">
        <f t="shared" si="441"/>
        <v>#DIV/0!</v>
      </c>
      <c r="QAY133" s="531" t="e">
        <f t="shared" si="441"/>
        <v>#DIV/0!</v>
      </c>
      <c r="QAZ133" s="531" t="e">
        <f t="shared" si="441"/>
        <v>#DIV/0!</v>
      </c>
      <c r="QBA133" s="531" t="e">
        <f t="shared" si="441"/>
        <v>#DIV/0!</v>
      </c>
      <c r="QBB133" s="531" t="e">
        <f t="shared" si="441"/>
        <v>#DIV/0!</v>
      </c>
      <c r="QBC133" s="531" t="e">
        <f t="shared" si="441"/>
        <v>#DIV/0!</v>
      </c>
      <c r="QBD133" s="531" t="e">
        <f t="shared" si="441"/>
        <v>#DIV/0!</v>
      </c>
      <c r="QBE133" s="531" t="e">
        <f t="shared" si="441"/>
        <v>#DIV/0!</v>
      </c>
      <c r="QBF133" s="531" t="e">
        <f t="shared" si="441"/>
        <v>#DIV/0!</v>
      </c>
      <c r="QBG133" s="531" t="e">
        <f t="shared" si="441"/>
        <v>#DIV/0!</v>
      </c>
      <c r="QBH133" s="531" t="e">
        <f t="shared" si="441"/>
        <v>#DIV/0!</v>
      </c>
      <c r="QBI133" s="531" t="e">
        <f t="shared" si="441"/>
        <v>#DIV/0!</v>
      </c>
      <c r="QBJ133" s="531" t="e">
        <f t="shared" si="441"/>
        <v>#DIV/0!</v>
      </c>
      <c r="QBK133" s="531" t="e">
        <f t="shared" si="441"/>
        <v>#DIV/0!</v>
      </c>
      <c r="QBL133" s="531" t="e">
        <f t="shared" si="441"/>
        <v>#DIV/0!</v>
      </c>
      <c r="QBM133" s="531" t="e">
        <f t="shared" si="441"/>
        <v>#DIV/0!</v>
      </c>
      <c r="QBN133" s="531" t="e">
        <f t="shared" si="441"/>
        <v>#DIV/0!</v>
      </c>
      <c r="QBO133" s="531" t="e">
        <f t="shared" si="441"/>
        <v>#DIV/0!</v>
      </c>
      <c r="QBP133" s="531" t="e">
        <f t="shared" si="441"/>
        <v>#DIV/0!</v>
      </c>
      <c r="QBQ133" s="531" t="e">
        <f t="shared" si="441"/>
        <v>#DIV/0!</v>
      </c>
      <c r="QBR133" s="531" t="e">
        <f t="shared" si="441"/>
        <v>#DIV/0!</v>
      </c>
      <c r="QBS133" s="531" t="e">
        <f t="shared" si="441"/>
        <v>#DIV/0!</v>
      </c>
      <c r="QBT133" s="531" t="e">
        <f t="shared" si="441"/>
        <v>#DIV/0!</v>
      </c>
      <c r="QBU133" s="531" t="e">
        <f t="shared" si="441"/>
        <v>#DIV/0!</v>
      </c>
      <c r="QBV133" s="531" t="e">
        <f t="shared" si="441"/>
        <v>#DIV/0!</v>
      </c>
      <c r="QBW133" s="531" t="e">
        <f t="shared" si="441"/>
        <v>#DIV/0!</v>
      </c>
      <c r="QBX133" s="531" t="e">
        <f t="shared" si="441"/>
        <v>#DIV/0!</v>
      </c>
      <c r="QBY133" s="531" t="e">
        <f t="shared" si="441"/>
        <v>#DIV/0!</v>
      </c>
      <c r="QBZ133" s="531" t="e">
        <f t="shared" si="441"/>
        <v>#DIV/0!</v>
      </c>
      <c r="QCA133" s="531" t="e">
        <f t="shared" si="441"/>
        <v>#DIV/0!</v>
      </c>
      <c r="QCB133" s="531" t="e">
        <f t="shared" si="441"/>
        <v>#DIV/0!</v>
      </c>
      <c r="QCC133" s="531" t="e">
        <f t="shared" si="441"/>
        <v>#DIV/0!</v>
      </c>
      <c r="QCD133" s="531" t="e">
        <f t="shared" si="441"/>
        <v>#DIV/0!</v>
      </c>
      <c r="QCE133" s="531" t="e">
        <f t="shared" si="441"/>
        <v>#DIV/0!</v>
      </c>
      <c r="QCF133" s="531" t="e">
        <f t="shared" si="441"/>
        <v>#DIV/0!</v>
      </c>
      <c r="QCG133" s="531" t="e">
        <f t="shared" si="441"/>
        <v>#DIV/0!</v>
      </c>
      <c r="QCH133" s="531" t="e">
        <f t="shared" si="441"/>
        <v>#DIV/0!</v>
      </c>
      <c r="QCI133" s="531" t="e">
        <f t="shared" si="441"/>
        <v>#DIV/0!</v>
      </c>
      <c r="QCJ133" s="531" t="e">
        <f t="shared" si="441"/>
        <v>#DIV/0!</v>
      </c>
      <c r="QCK133" s="531" t="e">
        <f t="shared" si="441"/>
        <v>#DIV/0!</v>
      </c>
      <c r="QCL133" s="531" t="e">
        <f t="shared" si="441"/>
        <v>#DIV/0!</v>
      </c>
      <c r="QCM133" s="531" t="e">
        <f t="shared" si="441"/>
        <v>#DIV/0!</v>
      </c>
      <c r="QCN133" s="531" t="e">
        <f t="shared" si="441"/>
        <v>#DIV/0!</v>
      </c>
      <c r="QCO133" s="531" t="e">
        <f t="shared" si="441"/>
        <v>#DIV/0!</v>
      </c>
      <c r="QCP133" s="531" t="e">
        <f t="shared" si="441"/>
        <v>#DIV/0!</v>
      </c>
      <c r="QCQ133" s="531" t="e">
        <f t="shared" si="441"/>
        <v>#DIV/0!</v>
      </c>
      <c r="QCR133" s="531" t="e">
        <f t="shared" si="441"/>
        <v>#DIV/0!</v>
      </c>
      <c r="QCS133" s="531" t="e">
        <f t="shared" si="441"/>
        <v>#DIV/0!</v>
      </c>
      <c r="QCT133" s="531" t="e">
        <f t="shared" si="441"/>
        <v>#DIV/0!</v>
      </c>
      <c r="QCU133" s="531" t="e">
        <f t="shared" ref="QCU133:QFF133" si="442">QCU116/(QCU52*10^5)</f>
        <v>#DIV/0!</v>
      </c>
      <c r="QCV133" s="531" t="e">
        <f t="shared" si="442"/>
        <v>#DIV/0!</v>
      </c>
      <c r="QCW133" s="531" t="e">
        <f t="shared" si="442"/>
        <v>#DIV/0!</v>
      </c>
      <c r="QCX133" s="531" t="e">
        <f t="shared" si="442"/>
        <v>#DIV/0!</v>
      </c>
      <c r="QCY133" s="531" t="e">
        <f t="shared" si="442"/>
        <v>#DIV/0!</v>
      </c>
      <c r="QCZ133" s="531" t="e">
        <f t="shared" si="442"/>
        <v>#DIV/0!</v>
      </c>
      <c r="QDA133" s="531" t="e">
        <f t="shared" si="442"/>
        <v>#DIV/0!</v>
      </c>
      <c r="QDB133" s="531" t="e">
        <f t="shared" si="442"/>
        <v>#DIV/0!</v>
      </c>
      <c r="QDC133" s="531" t="e">
        <f t="shared" si="442"/>
        <v>#DIV/0!</v>
      </c>
      <c r="QDD133" s="531" t="e">
        <f t="shared" si="442"/>
        <v>#DIV/0!</v>
      </c>
      <c r="QDE133" s="531" t="e">
        <f t="shared" si="442"/>
        <v>#DIV/0!</v>
      </c>
      <c r="QDF133" s="531" t="e">
        <f t="shared" si="442"/>
        <v>#DIV/0!</v>
      </c>
      <c r="QDG133" s="531" t="e">
        <f t="shared" si="442"/>
        <v>#DIV/0!</v>
      </c>
      <c r="QDH133" s="531" t="e">
        <f t="shared" si="442"/>
        <v>#DIV/0!</v>
      </c>
      <c r="QDI133" s="531" t="e">
        <f t="shared" si="442"/>
        <v>#DIV/0!</v>
      </c>
      <c r="QDJ133" s="531" t="e">
        <f t="shared" si="442"/>
        <v>#DIV/0!</v>
      </c>
      <c r="QDK133" s="531" t="e">
        <f t="shared" si="442"/>
        <v>#DIV/0!</v>
      </c>
      <c r="QDL133" s="531" t="e">
        <f t="shared" si="442"/>
        <v>#DIV/0!</v>
      </c>
      <c r="QDM133" s="531" t="e">
        <f t="shared" si="442"/>
        <v>#DIV/0!</v>
      </c>
      <c r="QDN133" s="531" t="e">
        <f t="shared" si="442"/>
        <v>#DIV/0!</v>
      </c>
      <c r="QDO133" s="531" t="e">
        <f t="shared" si="442"/>
        <v>#DIV/0!</v>
      </c>
      <c r="QDP133" s="531" t="e">
        <f t="shared" si="442"/>
        <v>#DIV/0!</v>
      </c>
      <c r="QDQ133" s="531" t="e">
        <f t="shared" si="442"/>
        <v>#DIV/0!</v>
      </c>
      <c r="QDR133" s="531" t="e">
        <f t="shared" si="442"/>
        <v>#DIV/0!</v>
      </c>
      <c r="QDS133" s="531" t="e">
        <f t="shared" si="442"/>
        <v>#DIV/0!</v>
      </c>
      <c r="QDT133" s="531" t="e">
        <f t="shared" si="442"/>
        <v>#DIV/0!</v>
      </c>
      <c r="QDU133" s="531" t="e">
        <f t="shared" si="442"/>
        <v>#DIV/0!</v>
      </c>
      <c r="QDV133" s="531" t="e">
        <f t="shared" si="442"/>
        <v>#DIV/0!</v>
      </c>
      <c r="QDW133" s="531" t="e">
        <f t="shared" si="442"/>
        <v>#DIV/0!</v>
      </c>
      <c r="QDX133" s="531" t="e">
        <f t="shared" si="442"/>
        <v>#DIV/0!</v>
      </c>
      <c r="QDY133" s="531" t="e">
        <f t="shared" si="442"/>
        <v>#DIV/0!</v>
      </c>
      <c r="QDZ133" s="531" t="e">
        <f t="shared" si="442"/>
        <v>#DIV/0!</v>
      </c>
      <c r="QEA133" s="531" t="e">
        <f t="shared" si="442"/>
        <v>#DIV/0!</v>
      </c>
      <c r="QEB133" s="531" t="e">
        <f t="shared" si="442"/>
        <v>#DIV/0!</v>
      </c>
      <c r="QEC133" s="531" t="e">
        <f t="shared" si="442"/>
        <v>#DIV/0!</v>
      </c>
      <c r="QED133" s="531" t="e">
        <f t="shared" si="442"/>
        <v>#DIV/0!</v>
      </c>
      <c r="QEE133" s="531" t="e">
        <f t="shared" si="442"/>
        <v>#DIV/0!</v>
      </c>
      <c r="QEF133" s="531" t="e">
        <f t="shared" si="442"/>
        <v>#DIV/0!</v>
      </c>
      <c r="QEG133" s="531" t="e">
        <f t="shared" si="442"/>
        <v>#DIV/0!</v>
      </c>
      <c r="QEH133" s="531" t="e">
        <f t="shared" si="442"/>
        <v>#DIV/0!</v>
      </c>
      <c r="QEI133" s="531" t="e">
        <f t="shared" si="442"/>
        <v>#DIV/0!</v>
      </c>
      <c r="QEJ133" s="531" t="e">
        <f t="shared" si="442"/>
        <v>#DIV/0!</v>
      </c>
      <c r="QEK133" s="531" t="e">
        <f t="shared" si="442"/>
        <v>#DIV/0!</v>
      </c>
      <c r="QEL133" s="531" t="e">
        <f t="shared" si="442"/>
        <v>#DIV/0!</v>
      </c>
      <c r="QEM133" s="531" t="e">
        <f t="shared" si="442"/>
        <v>#DIV/0!</v>
      </c>
      <c r="QEN133" s="531" t="e">
        <f t="shared" si="442"/>
        <v>#DIV/0!</v>
      </c>
      <c r="QEO133" s="531" t="e">
        <f t="shared" si="442"/>
        <v>#DIV/0!</v>
      </c>
      <c r="QEP133" s="531" t="e">
        <f t="shared" si="442"/>
        <v>#DIV/0!</v>
      </c>
      <c r="QEQ133" s="531" t="e">
        <f t="shared" si="442"/>
        <v>#DIV/0!</v>
      </c>
      <c r="QER133" s="531" t="e">
        <f t="shared" si="442"/>
        <v>#DIV/0!</v>
      </c>
      <c r="QES133" s="531" t="e">
        <f t="shared" si="442"/>
        <v>#DIV/0!</v>
      </c>
      <c r="QET133" s="531" t="e">
        <f t="shared" si="442"/>
        <v>#DIV/0!</v>
      </c>
      <c r="QEU133" s="531" t="e">
        <f t="shared" si="442"/>
        <v>#DIV/0!</v>
      </c>
      <c r="QEV133" s="531" t="e">
        <f t="shared" si="442"/>
        <v>#DIV/0!</v>
      </c>
      <c r="QEW133" s="531" t="e">
        <f t="shared" si="442"/>
        <v>#DIV/0!</v>
      </c>
      <c r="QEX133" s="531" t="e">
        <f t="shared" si="442"/>
        <v>#DIV/0!</v>
      </c>
      <c r="QEY133" s="531" t="e">
        <f t="shared" si="442"/>
        <v>#DIV/0!</v>
      </c>
      <c r="QEZ133" s="531" t="e">
        <f t="shared" si="442"/>
        <v>#DIV/0!</v>
      </c>
      <c r="QFA133" s="531" t="e">
        <f t="shared" si="442"/>
        <v>#DIV/0!</v>
      </c>
      <c r="QFB133" s="531" t="e">
        <f t="shared" si="442"/>
        <v>#DIV/0!</v>
      </c>
      <c r="QFC133" s="531" t="e">
        <f t="shared" si="442"/>
        <v>#DIV/0!</v>
      </c>
      <c r="QFD133" s="531" t="e">
        <f t="shared" si="442"/>
        <v>#DIV/0!</v>
      </c>
      <c r="QFE133" s="531" t="e">
        <f t="shared" si="442"/>
        <v>#DIV/0!</v>
      </c>
      <c r="QFF133" s="531" t="e">
        <f t="shared" si="442"/>
        <v>#DIV/0!</v>
      </c>
      <c r="QFG133" s="531" t="e">
        <f t="shared" ref="QFG133:QHR133" si="443">QFG116/(QFG52*10^5)</f>
        <v>#DIV/0!</v>
      </c>
      <c r="QFH133" s="531" t="e">
        <f t="shared" si="443"/>
        <v>#DIV/0!</v>
      </c>
      <c r="QFI133" s="531" t="e">
        <f t="shared" si="443"/>
        <v>#DIV/0!</v>
      </c>
      <c r="QFJ133" s="531" t="e">
        <f t="shared" si="443"/>
        <v>#DIV/0!</v>
      </c>
      <c r="QFK133" s="531" t="e">
        <f t="shared" si="443"/>
        <v>#DIV/0!</v>
      </c>
      <c r="QFL133" s="531" t="e">
        <f t="shared" si="443"/>
        <v>#DIV/0!</v>
      </c>
      <c r="QFM133" s="531" t="e">
        <f t="shared" si="443"/>
        <v>#DIV/0!</v>
      </c>
      <c r="QFN133" s="531" t="e">
        <f t="shared" si="443"/>
        <v>#DIV/0!</v>
      </c>
      <c r="QFO133" s="531" t="e">
        <f t="shared" si="443"/>
        <v>#DIV/0!</v>
      </c>
      <c r="QFP133" s="531" t="e">
        <f t="shared" si="443"/>
        <v>#DIV/0!</v>
      </c>
      <c r="QFQ133" s="531" t="e">
        <f t="shared" si="443"/>
        <v>#DIV/0!</v>
      </c>
      <c r="QFR133" s="531" t="e">
        <f t="shared" si="443"/>
        <v>#DIV/0!</v>
      </c>
      <c r="QFS133" s="531" t="e">
        <f t="shared" si="443"/>
        <v>#DIV/0!</v>
      </c>
      <c r="QFT133" s="531" t="e">
        <f t="shared" si="443"/>
        <v>#DIV/0!</v>
      </c>
      <c r="QFU133" s="531" t="e">
        <f t="shared" si="443"/>
        <v>#DIV/0!</v>
      </c>
      <c r="QFV133" s="531" t="e">
        <f t="shared" si="443"/>
        <v>#DIV/0!</v>
      </c>
      <c r="QFW133" s="531" t="e">
        <f t="shared" si="443"/>
        <v>#DIV/0!</v>
      </c>
      <c r="QFX133" s="531" t="e">
        <f t="shared" si="443"/>
        <v>#DIV/0!</v>
      </c>
      <c r="QFY133" s="531" t="e">
        <f t="shared" si="443"/>
        <v>#DIV/0!</v>
      </c>
      <c r="QFZ133" s="531" t="e">
        <f t="shared" si="443"/>
        <v>#DIV/0!</v>
      </c>
      <c r="QGA133" s="531" t="e">
        <f t="shared" si="443"/>
        <v>#DIV/0!</v>
      </c>
      <c r="QGB133" s="531" t="e">
        <f t="shared" si="443"/>
        <v>#DIV/0!</v>
      </c>
      <c r="QGC133" s="531" t="e">
        <f t="shared" si="443"/>
        <v>#DIV/0!</v>
      </c>
      <c r="QGD133" s="531" t="e">
        <f t="shared" si="443"/>
        <v>#DIV/0!</v>
      </c>
      <c r="QGE133" s="531" t="e">
        <f t="shared" si="443"/>
        <v>#DIV/0!</v>
      </c>
      <c r="QGF133" s="531" t="e">
        <f t="shared" si="443"/>
        <v>#DIV/0!</v>
      </c>
      <c r="QGG133" s="531" t="e">
        <f t="shared" si="443"/>
        <v>#DIV/0!</v>
      </c>
      <c r="QGH133" s="531" t="e">
        <f t="shared" si="443"/>
        <v>#DIV/0!</v>
      </c>
      <c r="QGI133" s="531" t="e">
        <f t="shared" si="443"/>
        <v>#DIV/0!</v>
      </c>
      <c r="QGJ133" s="531" t="e">
        <f t="shared" si="443"/>
        <v>#DIV/0!</v>
      </c>
      <c r="QGK133" s="531" t="e">
        <f t="shared" si="443"/>
        <v>#DIV/0!</v>
      </c>
      <c r="QGL133" s="531" t="e">
        <f t="shared" si="443"/>
        <v>#DIV/0!</v>
      </c>
      <c r="QGM133" s="531" t="e">
        <f t="shared" si="443"/>
        <v>#DIV/0!</v>
      </c>
      <c r="QGN133" s="531" t="e">
        <f t="shared" si="443"/>
        <v>#DIV/0!</v>
      </c>
      <c r="QGO133" s="531" t="e">
        <f t="shared" si="443"/>
        <v>#DIV/0!</v>
      </c>
      <c r="QGP133" s="531" t="e">
        <f t="shared" si="443"/>
        <v>#DIV/0!</v>
      </c>
      <c r="QGQ133" s="531" t="e">
        <f t="shared" si="443"/>
        <v>#DIV/0!</v>
      </c>
      <c r="QGR133" s="531" t="e">
        <f t="shared" si="443"/>
        <v>#DIV/0!</v>
      </c>
      <c r="QGS133" s="531" t="e">
        <f t="shared" si="443"/>
        <v>#DIV/0!</v>
      </c>
      <c r="QGT133" s="531" t="e">
        <f t="shared" si="443"/>
        <v>#DIV/0!</v>
      </c>
      <c r="QGU133" s="531" t="e">
        <f t="shared" si="443"/>
        <v>#DIV/0!</v>
      </c>
      <c r="QGV133" s="531" t="e">
        <f t="shared" si="443"/>
        <v>#DIV/0!</v>
      </c>
      <c r="QGW133" s="531" t="e">
        <f t="shared" si="443"/>
        <v>#DIV/0!</v>
      </c>
      <c r="QGX133" s="531" t="e">
        <f t="shared" si="443"/>
        <v>#DIV/0!</v>
      </c>
      <c r="QGY133" s="531" t="e">
        <f t="shared" si="443"/>
        <v>#DIV/0!</v>
      </c>
      <c r="QGZ133" s="531" t="e">
        <f t="shared" si="443"/>
        <v>#DIV/0!</v>
      </c>
      <c r="QHA133" s="531" t="e">
        <f t="shared" si="443"/>
        <v>#DIV/0!</v>
      </c>
      <c r="QHB133" s="531" t="e">
        <f t="shared" si="443"/>
        <v>#DIV/0!</v>
      </c>
      <c r="QHC133" s="531" t="e">
        <f t="shared" si="443"/>
        <v>#DIV/0!</v>
      </c>
      <c r="QHD133" s="531" t="e">
        <f t="shared" si="443"/>
        <v>#DIV/0!</v>
      </c>
      <c r="QHE133" s="531" t="e">
        <f t="shared" si="443"/>
        <v>#DIV/0!</v>
      </c>
      <c r="QHF133" s="531" t="e">
        <f t="shared" si="443"/>
        <v>#DIV/0!</v>
      </c>
      <c r="QHG133" s="531" t="e">
        <f t="shared" si="443"/>
        <v>#DIV/0!</v>
      </c>
      <c r="QHH133" s="531" t="e">
        <f t="shared" si="443"/>
        <v>#DIV/0!</v>
      </c>
      <c r="QHI133" s="531" t="e">
        <f t="shared" si="443"/>
        <v>#DIV/0!</v>
      </c>
      <c r="QHJ133" s="531" t="e">
        <f t="shared" si="443"/>
        <v>#DIV/0!</v>
      </c>
      <c r="QHK133" s="531" t="e">
        <f t="shared" si="443"/>
        <v>#DIV/0!</v>
      </c>
      <c r="QHL133" s="531" t="e">
        <f t="shared" si="443"/>
        <v>#DIV/0!</v>
      </c>
      <c r="QHM133" s="531" t="e">
        <f t="shared" si="443"/>
        <v>#DIV/0!</v>
      </c>
      <c r="QHN133" s="531" t="e">
        <f t="shared" si="443"/>
        <v>#DIV/0!</v>
      </c>
      <c r="QHO133" s="531" t="e">
        <f t="shared" si="443"/>
        <v>#DIV/0!</v>
      </c>
      <c r="QHP133" s="531" t="e">
        <f t="shared" si="443"/>
        <v>#DIV/0!</v>
      </c>
      <c r="QHQ133" s="531" t="e">
        <f t="shared" si="443"/>
        <v>#DIV/0!</v>
      </c>
      <c r="QHR133" s="531" t="e">
        <f t="shared" si="443"/>
        <v>#DIV/0!</v>
      </c>
      <c r="QHS133" s="531" t="e">
        <f t="shared" ref="QHS133:QKD133" si="444">QHS116/(QHS52*10^5)</f>
        <v>#DIV/0!</v>
      </c>
      <c r="QHT133" s="531" t="e">
        <f t="shared" si="444"/>
        <v>#DIV/0!</v>
      </c>
      <c r="QHU133" s="531" t="e">
        <f t="shared" si="444"/>
        <v>#DIV/0!</v>
      </c>
      <c r="QHV133" s="531" t="e">
        <f t="shared" si="444"/>
        <v>#DIV/0!</v>
      </c>
      <c r="QHW133" s="531" t="e">
        <f t="shared" si="444"/>
        <v>#DIV/0!</v>
      </c>
      <c r="QHX133" s="531" t="e">
        <f t="shared" si="444"/>
        <v>#DIV/0!</v>
      </c>
      <c r="QHY133" s="531" t="e">
        <f t="shared" si="444"/>
        <v>#DIV/0!</v>
      </c>
      <c r="QHZ133" s="531" t="e">
        <f t="shared" si="444"/>
        <v>#DIV/0!</v>
      </c>
      <c r="QIA133" s="531" t="e">
        <f t="shared" si="444"/>
        <v>#DIV/0!</v>
      </c>
      <c r="QIB133" s="531" t="e">
        <f t="shared" si="444"/>
        <v>#DIV/0!</v>
      </c>
      <c r="QIC133" s="531" t="e">
        <f t="shared" si="444"/>
        <v>#DIV/0!</v>
      </c>
      <c r="QID133" s="531" t="e">
        <f t="shared" si="444"/>
        <v>#DIV/0!</v>
      </c>
      <c r="QIE133" s="531" t="e">
        <f t="shared" si="444"/>
        <v>#DIV/0!</v>
      </c>
      <c r="QIF133" s="531" t="e">
        <f t="shared" si="444"/>
        <v>#DIV/0!</v>
      </c>
      <c r="QIG133" s="531" t="e">
        <f t="shared" si="444"/>
        <v>#DIV/0!</v>
      </c>
      <c r="QIH133" s="531" t="e">
        <f t="shared" si="444"/>
        <v>#DIV/0!</v>
      </c>
      <c r="QII133" s="531" t="e">
        <f t="shared" si="444"/>
        <v>#DIV/0!</v>
      </c>
      <c r="QIJ133" s="531" t="e">
        <f t="shared" si="444"/>
        <v>#DIV/0!</v>
      </c>
      <c r="QIK133" s="531" t="e">
        <f t="shared" si="444"/>
        <v>#DIV/0!</v>
      </c>
      <c r="QIL133" s="531" t="e">
        <f t="shared" si="444"/>
        <v>#DIV/0!</v>
      </c>
      <c r="QIM133" s="531" t="e">
        <f t="shared" si="444"/>
        <v>#DIV/0!</v>
      </c>
      <c r="QIN133" s="531" t="e">
        <f t="shared" si="444"/>
        <v>#DIV/0!</v>
      </c>
      <c r="QIO133" s="531" t="e">
        <f t="shared" si="444"/>
        <v>#DIV/0!</v>
      </c>
      <c r="QIP133" s="531" t="e">
        <f t="shared" si="444"/>
        <v>#DIV/0!</v>
      </c>
      <c r="QIQ133" s="531" t="e">
        <f t="shared" si="444"/>
        <v>#DIV/0!</v>
      </c>
      <c r="QIR133" s="531" t="e">
        <f t="shared" si="444"/>
        <v>#DIV/0!</v>
      </c>
      <c r="QIS133" s="531" t="e">
        <f t="shared" si="444"/>
        <v>#DIV/0!</v>
      </c>
      <c r="QIT133" s="531" t="e">
        <f t="shared" si="444"/>
        <v>#DIV/0!</v>
      </c>
      <c r="QIU133" s="531" t="e">
        <f t="shared" si="444"/>
        <v>#DIV/0!</v>
      </c>
      <c r="QIV133" s="531" t="e">
        <f t="shared" si="444"/>
        <v>#DIV/0!</v>
      </c>
      <c r="QIW133" s="531" t="e">
        <f t="shared" si="444"/>
        <v>#DIV/0!</v>
      </c>
      <c r="QIX133" s="531" t="e">
        <f t="shared" si="444"/>
        <v>#DIV/0!</v>
      </c>
      <c r="QIY133" s="531" t="e">
        <f t="shared" si="444"/>
        <v>#DIV/0!</v>
      </c>
      <c r="QIZ133" s="531" t="e">
        <f t="shared" si="444"/>
        <v>#DIV/0!</v>
      </c>
      <c r="QJA133" s="531" t="e">
        <f t="shared" si="444"/>
        <v>#DIV/0!</v>
      </c>
      <c r="QJB133" s="531" t="e">
        <f t="shared" si="444"/>
        <v>#DIV/0!</v>
      </c>
      <c r="QJC133" s="531" t="e">
        <f t="shared" si="444"/>
        <v>#DIV/0!</v>
      </c>
      <c r="QJD133" s="531" t="e">
        <f t="shared" si="444"/>
        <v>#DIV/0!</v>
      </c>
      <c r="QJE133" s="531" t="e">
        <f t="shared" si="444"/>
        <v>#DIV/0!</v>
      </c>
      <c r="QJF133" s="531" t="e">
        <f t="shared" si="444"/>
        <v>#DIV/0!</v>
      </c>
      <c r="QJG133" s="531" t="e">
        <f t="shared" si="444"/>
        <v>#DIV/0!</v>
      </c>
      <c r="QJH133" s="531" t="e">
        <f t="shared" si="444"/>
        <v>#DIV/0!</v>
      </c>
      <c r="QJI133" s="531" t="e">
        <f t="shared" si="444"/>
        <v>#DIV/0!</v>
      </c>
      <c r="QJJ133" s="531" t="e">
        <f t="shared" si="444"/>
        <v>#DIV/0!</v>
      </c>
      <c r="QJK133" s="531" t="e">
        <f t="shared" si="444"/>
        <v>#DIV/0!</v>
      </c>
      <c r="QJL133" s="531" t="e">
        <f t="shared" si="444"/>
        <v>#DIV/0!</v>
      </c>
      <c r="QJM133" s="531" t="e">
        <f t="shared" si="444"/>
        <v>#DIV/0!</v>
      </c>
      <c r="QJN133" s="531" t="e">
        <f t="shared" si="444"/>
        <v>#DIV/0!</v>
      </c>
      <c r="QJO133" s="531" t="e">
        <f t="shared" si="444"/>
        <v>#DIV/0!</v>
      </c>
      <c r="QJP133" s="531" t="e">
        <f t="shared" si="444"/>
        <v>#DIV/0!</v>
      </c>
      <c r="QJQ133" s="531" t="e">
        <f t="shared" si="444"/>
        <v>#DIV/0!</v>
      </c>
      <c r="QJR133" s="531" t="e">
        <f t="shared" si="444"/>
        <v>#DIV/0!</v>
      </c>
      <c r="QJS133" s="531" t="e">
        <f t="shared" si="444"/>
        <v>#DIV/0!</v>
      </c>
      <c r="QJT133" s="531" t="e">
        <f t="shared" si="444"/>
        <v>#DIV/0!</v>
      </c>
      <c r="QJU133" s="531" t="e">
        <f t="shared" si="444"/>
        <v>#DIV/0!</v>
      </c>
      <c r="QJV133" s="531" t="e">
        <f t="shared" si="444"/>
        <v>#DIV/0!</v>
      </c>
      <c r="QJW133" s="531" t="e">
        <f t="shared" si="444"/>
        <v>#DIV/0!</v>
      </c>
      <c r="QJX133" s="531" t="e">
        <f t="shared" si="444"/>
        <v>#DIV/0!</v>
      </c>
      <c r="QJY133" s="531" t="e">
        <f t="shared" si="444"/>
        <v>#DIV/0!</v>
      </c>
      <c r="QJZ133" s="531" t="e">
        <f t="shared" si="444"/>
        <v>#DIV/0!</v>
      </c>
      <c r="QKA133" s="531" t="e">
        <f t="shared" si="444"/>
        <v>#DIV/0!</v>
      </c>
      <c r="QKB133" s="531" t="e">
        <f t="shared" si="444"/>
        <v>#DIV/0!</v>
      </c>
      <c r="QKC133" s="531" t="e">
        <f t="shared" si="444"/>
        <v>#DIV/0!</v>
      </c>
      <c r="QKD133" s="531" t="e">
        <f t="shared" si="444"/>
        <v>#DIV/0!</v>
      </c>
      <c r="QKE133" s="531" t="e">
        <f t="shared" ref="QKE133:QMP133" si="445">QKE116/(QKE52*10^5)</f>
        <v>#DIV/0!</v>
      </c>
      <c r="QKF133" s="531" t="e">
        <f t="shared" si="445"/>
        <v>#DIV/0!</v>
      </c>
      <c r="QKG133" s="531" t="e">
        <f t="shared" si="445"/>
        <v>#DIV/0!</v>
      </c>
      <c r="QKH133" s="531" t="e">
        <f t="shared" si="445"/>
        <v>#DIV/0!</v>
      </c>
      <c r="QKI133" s="531" t="e">
        <f t="shared" si="445"/>
        <v>#DIV/0!</v>
      </c>
      <c r="QKJ133" s="531" t="e">
        <f t="shared" si="445"/>
        <v>#DIV/0!</v>
      </c>
      <c r="QKK133" s="531" t="e">
        <f t="shared" si="445"/>
        <v>#DIV/0!</v>
      </c>
      <c r="QKL133" s="531" t="e">
        <f t="shared" si="445"/>
        <v>#DIV/0!</v>
      </c>
      <c r="QKM133" s="531" t="e">
        <f t="shared" si="445"/>
        <v>#DIV/0!</v>
      </c>
      <c r="QKN133" s="531" t="e">
        <f t="shared" si="445"/>
        <v>#DIV/0!</v>
      </c>
      <c r="QKO133" s="531" t="e">
        <f t="shared" si="445"/>
        <v>#DIV/0!</v>
      </c>
      <c r="QKP133" s="531" t="e">
        <f t="shared" si="445"/>
        <v>#DIV/0!</v>
      </c>
      <c r="QKQ133" s="531" t="e">
        <f t="shared" si="445"/>
        <v>#DIV/0!</v>
      </c>
      <c r="QKR133" s="531" t="e">
        <f t="shared" si="445"/>
        <v>#DIV/0!</v>
      </c>
      <c r="QKS133" s="531" t="e">
        <f t="shared" si="445"/>
        <v>#DIV/0!</v>
      </c>
      <c r="QKT133" s="531" t="e">
        <f t="shared" si="445"/>
        <v>#DIV/0!</v>
      </c>
      <c r="QKU133" s="531" t="e">
        <f t="shared" si="445"/>
        <v>#DIV/0!</v>
      </c>
      <c r="QKV133" s="531" t="e">
        <f t="shared" si="445"/>
        <v>#DIV/0!</v>
      </c>
      <c r="QKW133" s="531" t="e">
        <f t="shared" si="445"/>
        <v>#DIV/0!</v>
      </c>
      <c r="QKX133" s="531" t="e">
        <f t="shared" si="445"/>
        <v>#DIV/0!</v>
      </c>
      <c r="QKY133" s="531" t="e">
        <f t="shared" si="445"/>
        <v>#DIV/0!</v>
      </c>
      <c r="QKZ133" s="531" t="e">
        <f t="shared" si="445"/>
        <v>#DIV/0!</v>
      </c>
      <c r="QLA133" s="531" t="e">
        <f t="shared" si="445"/>
        <v>#DIV/0!</v>
      </c>
      <c r="QLB133" s="531" t="e">
        <f t="shared" si="445"/>
        <v>#DIV/0!</v>
      </c>
      <c r="QLC133" s="531" t="e">
        <f t="shared" si="445"/>
        <v>#DIV/0!</v>
      </c>
      <c r="QLD133" s="531" t="e">
        <f t="shared" si="445"/>
        <v>#DIV/0!</v>
      </c>
      <c r="QLE133" s="531" t="e">
        <f t="shared" si="445"/>
        <v>#DIV/0!</v>
      </c>
      <c r="QLF133" s="531" t="e">
        <f t="shared" si="445"/>
        <v>#DIV/0!</v>
      </c>
      <c r="QLG133" s="531" t="e">
        <f t="shared" si="445"/>
        <v>#DIV/0!</v>
      </c>
      <c r="QLH133" s="531" t="e">
        <f t="shared" si="445"/>
        <v>#DIV/0!</v>
      </c>
      <c r="QLI133" s="531" t="e">
        <f t="shared" si="445"/>
        <v>#DIV/0!</v>
      </c>
      <c r="QLJ133" s="531" t="e">
        <f t="shared" si="445"/>
        <v>#DIV/0!</v>
      </c>
      <c r="QLK133" s="531" t="e">
        <f t="shared" si="445"/>
        <v>#DIV/0!</v>
      </c>
      <c r="QLL133" s="531" t="e">
        <f t="shared" si="445"/>
        <v>#DIV/0!</v>
      </c>
      <c r="QLM133" s="531" t="e">
        <f t="shared" si="445"/>
        <v>#DIV/0!</v>
      </c>
      <c r="QLN133" s="531" t="e">
        <f t="shared" si="445"/>
        <v>#DIV/0!</v>
      </c>
      <c r="QLO133" s="531" t="e">
        <f t="shared" si="445"/>
        <v>#DIV/0!</v>
      </c>
      <c r="QLP133" s="531" t="e">
        <f t="shared" si="445"/>
        <v>#DIV/0!</v>
      </c>
      <c r="QLQ133" s="531" t="e">
        <f t="shared" si="445"/>
        <v>#DIV/0!</v>
      </c>
      <c r="QLR133" s="531" t="e">
        <f t="shared" si="445"/>
        <v>#DIV/0!</v>
      </c>
      <c r="QLS133" s="531" t="e">
        <f t="shared" si="445"/>
        <v>#DIV/0!</v>
      </c>
      <c r="QLT133" s="531" t="e">
        <f t="shared" si="445"/>
        <v>#DIV/0!</v>
      </c>
      <c r="QLU133" s="531" t="e">
        <f t="shared" si="445"/>
        <v>#DIV/0!</v>
      </c>
      <c r="QLV133" s="531" t="e">
        <f t="shared" si="445"/>
        <v>#DIV/0!</v>
      </c>
      <c r="QLW133" s="531" t="e">
        <f t="shared" si="445"/>
        <v>#DIV/0!</v>
      </c>
      <c r="QLX133" s="531" t="e">
        <f t="shared" si="445"/>
        <v>#DIV/0!</v>
      </c>
      <c r="QLY133" s="531" t="e">
        <f t="shared" si="445"/>
        <v>#DIV/0!</v>
      </c>
      <c r="QLZ133" s="531" t="e">
        <f t="shared" si="445"/>
        <v>#DIV/0!</v>
      </c>
      <c r="QMA133" s="531" t="e">
        <f t="shared" si="445"/>
        <v>#DIV/0!</v>
      </c>
      <c r="QMB133" s="531" t="e">
        <f t="shared" si="445"/>
        <v>#DIV/0!</v>
      </c>
      <c r="QMC133" s="531" t="e">
        <f t="shared" si="445"/>
        <v>#DIV/0!</v>
      </c>
      <c r="QMD133" s="531" t="e">
        <f t="shared" si="445"/>
        <v>#DIV/0!</v>
      </c>
      <c r="QME133" s="531" t="e">
        <f t="shared" si="445"/>
        <v>#DIV/0!</v>
      </c>
      <c r="QMF133" s="531" t="e">
        <f t="shared" si="445"/>
        <v>#DIV/0!</v>
      </c>
      <c r="QMG133" s="531" t="e">
        <f t="shared" si="445"/>
        <v>#DIV/0!</v>
      </c>
      <c r="QMH133" s="531" t="e">
        <f t="shared" si="445"/>
        <v>#DIV/0!</v>
      </c>
      <c r="QMI133" s="531" t="e">
        <f t="shared" si="445"/>
        <v>#DIV/0!</v>
      </c>
      <c r="QMJ133" s="531" t="e">
        <f t="shared" si="445"/>
        <v>#DIV/0!</v>
      </c>
      <c r="QMK133" s="531" t="e">
        <f t="shared" si="445"/>
        <v>#DIV/0!</v>
      </c>
      <c r="QML133" s="531" t="e">
        <f t="shared" si="445"/>
        <v>#DIV/0!</v>
      </c>
      <c r="QMM133" s="531" t="e">
        <f t="shared" si="445"/>
        <v>#DIV/0!</v>
      </c>
      <c r="QMN133" s="531" t="e">
        <f t="shared" si="445"/>
        <v>#DIV/0!</v>
      </c>
      <c r="QMO133" s="531" t="e">
        <f t="shared" si="445"/>
        <v>#DIV/0!</v>
      </c>
      <c r="QMP133" s="531" t="e">
        <f t="shared" si="445"/>
        <v>#DIV/0!</v>
      </c>
      <c r="QMQ133" s="531" t="e">
        <f t="shared" ref="QMQ133:QPB133" si="446">QMQ116/(QMQ52*10^5)</f>
        <v>#DIV/0!</v>
      </c>
      <c r="QMR133" s="531" t="e">
        <f t="shared" si="446"/>
        <v>#DIV/0!</v>
      </c>
      <c r="QMS133" s="531" t="e">
        <f t="shared" si="446"/>
        <v>#DIV/0!</v>
      </c>
      <c r="QMT133" s="531" t="e">
        <f t="shared" si="446"/>
        <v>#DIV/0!</v>
      </c>
      <c r="QMU133" s="531" t="e">
        <f t="shared" si="446"/>
        <v>#DIV/0!</v>
      </c>
      <c r="QMV133" s="531" t="e">
        <f t="shared" si="446"/>
        <v>#DIV/0!</v>
      </c>
      <c r="QMW133" s="531" t="e">
        <f t="shared" si="446"/>
        <v>#DIV/0!</v>
      </c>
      <c r="QMX133" s="531" t="e">
        <f t="shared" si="446"/>
        <v>#DIV/0!</v>
      </c>
      <c r="QMY133" s="531" t="e">
        <f t="shared" si="446"/>
        <v>#DIV/0!</v>
      </c>
      <c r="QMZ133" s="531" t="e">
        <f t="shared" si="446"/>
        <v>#DIV/0!</v>
      </c>
      <c r="QNA133" s="531" t="e">
        <f t="shared" si="446"/>
        <v>#DIV/0!</v>
      </c>
      <c r="QNB133" s="531" t="e">
        <f t="shared" si="446"/>
        <v>#DIV/0!</v>
      </c>
      <c r="QNC133" s="531" t="e">
        <f t="shared" si="446"/>
        <v>#DIV/0!</v>
      </c>
      <c r="QND133" s="531" t="e">
        <f t="shared" si="446"/>
        <v>#DIV/0!</v>
      </c>
      <c r="QNE133" s="531" t="e">
        <f t="shared" si="446"/>
        <v>#DIV/0!</v>
      </c>
      <c r="QNF133" s="531" t="e">
        <f t="shared" si="446"/>
        <v>#DIV/0!</v>
      </c>
      <c r="QNG133" s="531" t="e">
        <f t="shared" si="446"/>
        <v>#DIV/0!</v>
      </c>
      <c r="QNH133" s="531" t="e">
        <f t="shared" si="446"/>
        <v>#DIV/0!</v>
      </c>
      <c r="QNI133" s="531" t="e">
        <f t="shared" si="446"/>
        <v>#DIV/0!</v>
      </c>
      <c r="QNJ133" s="531" t="e">
        <f t="shared" si="446"/>
        <v>#DIV/0!</v>
      </c>
      <c r="QNK133" s="531" t="e">
        <f t="shared" si="446"/>
        <v>#DIV/0!</v>
      </c>
      <c r="QNL133" s="531" t="e">
        <f t="shared" si="446"/>
        <v>#DIV/0!</v>
      </c>
      <c r="QNM133" s="531" t="e">
        <f t="shared" si="446"/>
        <v>#DIV/0!</v>
      </c>
      <c r="QNN133" s="531" t="e">
        <f t="shared" si="446"/>
        <v>#DIV/0!</v>
      </c>
      <c r="QNO133" s="531" t="e">
        <f t="shared" si="446"/>
        <v>#DIV/0!</v>
      </c>
      <c r="QNP133" s="531" t="e">
        <f t="shared" si="446"/>
        <v>#DIV/0!</v>
      </c>
      <c r="QNQ133" s="531" t="e">
        <f t="shared" si="446"/>
        <v>#DIV/0!</v>
      </c>
      <c r="QNR133" s="531" t="e">
        <f t="shared" si="446"/>
        <v>#DIV/0!</v>
      </c>
      <c r="QNS133" s="531" t="e">
        <f t="shared" si="446"/>
        <v>#DIV/0!</v>
      </c>
      <c r="QNT133" s="531" t="e">
        <f t="shared" si="446"/>
        <v>#DIV/0!</v>
      </c>
      <c r="QNU133" s="531" t="e">
        <f t="shared" si="446"/>
        <v>#DIV/0!</v>
      </c>
      <c r="QNV133" s="531" t="e">
        <f t="shared" si="446"/>
        <v>#DIV/0!</v>
      </c>
      <c r="QNW133" s="531" t="e">
        <f t="shared" si="446"/>
        <v>#DIV/0!</v>
      </c>
      <c r="QNX133" s="531" t="e">
        <f t="shared" si="446"/>
        <v>#DIV/0!</v>
      </c>
      <c r="QNY133" s="531" t="e">
        <f t="shared" si="446"/>
        <v>#DIV/0!</v>
      </c>
      <c r="QNZ133" s="531" t="e">
        <f t="shared" si="446"/>
        <v>#DIV/0!</v>
      </c>
      <c r="QOA133" s="531" t="e">
        <f t="shared" si="446"/>
        <v>#DIV/0!</v>
      </c>
      <c r="QOB133" s="531" t="e">
        <f t="shared" si="446"/>
        <v>#DIV/0!</v>
      </c>
      <c r="QOC133" s="531" t="e">
        <f t="shared" si="446"/>
        <v>#DIV/0!</v>
      </c>
      <c r="QOD133" s="531" t="e">
        <f t="shared" si="446"/>
        <v>#DIV/0!</v>
      </c>
      <c r="QOE133" s="531" t="e">
        <f t="shared" si="446"/>
        <v>#DIV/0!</v>
      </c>
      <c r="QOF133" s="531" t="e">
        <f t="shared" si="446"/>
        <v>#DIV/0!</v>
      </c>
      <c r="QOG133" s="531" t="e">
        <f t="shared" si="446"/>
        <v>#DIV/0!</v>
      </c>
      <c r="QOH133" s="531" t="e">
        <f t="shared" si="446"/>
        <v>#DIV/0!</v>
      </c>
      <c r="QOI133" s="531" t="e">
        <f t="shared" si="446"/>
        <v>#DIV/0!</v>
      </c>
      <c r="QOJ133" s="531" t="e">
        <f t="shared" si="446"/>
        <v>#DIV/0!</v>
      </c>
      <c r="QOK133" s="531" t="e">
        <f t="shared" si="446"/>
        <v>#DIV/0!</v>
      </c>
      <c r="QOL133" s="531" t="e">
        <f t="shared" si="446"/>
        <v>#DIV/0!</v>
      </c>
      <c r="QOM133" s="531" t="e">
        <f t="shared" si="446"/>
        <v>#DIV/0!</v>
      </c>
      <c r="QON133" s="531" t="e">
        <f t="shared" si="446"/>
        <v>#DIV/0!</v>
      </c>
      <c r="QOO133" s="531" t="e">
        <f t="shared" si="446"/>
        <v>#DIV/0!</v>
      </c>
      <c r="QOP133" s="531" t="e">
        <f t="shared" si="446"/>
        <v>#DIV/0!</v>
      </c>
      <c r="QOQ133" s="531" t="e">
        <f t="shared" si="446"/>
        <v>#DIV/0!</v>
      </c>
      <c r="QOR133" s="531" t="e">
        <f t="shared" si="446"/>
        <v>#DIV/0!</v>
      </c>
      <c r="QOS133" s="531" t="e">
        <f t="shared" si="446"/>
        <v>#DIV/0!</v>
      </c>
      <c r="QOT133" s="531" t="e">
        <f t="shared" si="446"/>
        <v>#DIV/0!</v>
      </c>
      <c r="QOU133" s="531" t="e">
        <f t="shared" si="446"/>
        <v>#DIV/0!</v>
      </c>
      <c r="QOV133" s="531" t="e">
        <f t="shared" si="446"/>
        <v>#DIV/0!</v>
      </c>
      <c r="QOW133" s="531" t="e">
        <f t="shared" si="446"/>
        <v>#DIV/0!</v>
      </c>
      <c r="QOX133" s="531" t="e">
        <f t="shared" si="446"/>
        <v>#DIV/0!</v>
      </c>
      <c r="QOY133" s="531" t="e">
        <f t="shared" si="446"/>
        <v>#DIV/0!</v>
      </c>
      <c r="QOZ133" s="531" t="e">
        <f t="shared" si="446"/>
        <v>#DIV/0!</v>
      </c>
      <c r="QPA133" s="531" t="e">
        <f t="shared" si="446"/>
        <v>#DIV/0!</v>
      </c>
      <c r="QPB133" s="531" t="e">
        <f t="shared" si="446"/>
        <v>#DIV/0!</v>
      </c>
      <c r="QPC133" s="531" t="e">
        <f t="shared" ref="QPC133:QRN133" si="447">QPC116/(QPC52*10^5)</f>
        <v>#DIV/0!</v>
      </c>
      <c r="QPD133" s="531" t="e">
        <f t="shared" si="447"/>
        <v>#DIV/0!</v>
      </c>
      <c r="QPE133" s="531" t="e">
        <f t="shared" si="447"/>
        <v>#DIV/0!</v>
      </c>
      <c r="QPF133" s="531" t="e">
        <f t="shared" si="447"/>
        <v>#DIV/0!</v>
      </c>
      <c r="QPG133" s="531" t="e">
        <f t="shared" si="447"/>
        <v>#DIV/0!</v>
      </c>
      <c r="QPH133" s="531" t="e">
        <f t="shared" si="447"/>
        <v>#DIV/0!</v>
      </c>
      <c r="QPI133" s="531" t="e">
        <f t="shared" si="447"/>
        <v>#DIV/0!</v>
      </c>
      <c r="QPJ133" s="531" t="e">
        <f t="shared" si="447"/>
        <v>#DIV/0!</v>
      </c>
      <c r="QPK133" s="531" t="e">
        <f t="shared" si="447"/>
        <v>#DIV/0!</v>
      </c>
      <c r="QPL133" s="531" t="e">
        <f t="shared" si="447"/>
        <v>#DIV/0!</v>
      </c>
      <c r="QPM133" s="531" t="e">
        <f t="shared" si="447"/>
        <v>#DIV/0!</v>
      </c>
      <c r="QPN133" s="531" t="e">
        <f t="shared" si="447"/>
        <v>#DIV/0!</v>
      </c>
      <c r="QPO133" s="531" t="e">
        <f t="shared" si="447"/>
        <v>#DIV/0!</v>
      </c>
      <c r="QPP133" s="531" t="e">
        <f t="shared" si="447"/>
        <v>#DIV/0!</v>
      </c>
      <c r="QPQ133" s="531" t="e">
        <f t="shared" si="447"/>
        <v>#DIV/0!</v>
      </c>
      <c r="QPR133" s="531" t="e">
        <f t="shared" si="447"/>
        <v>#DIV/0!</v>
      </c>
      <c r="QPS133" s="531" t="e">
        <f t="shared" si="447"/>
        <v>#DIV/0!</v>
      </c>
      <c r="QPT133" s="531" t="e">
        <f t="shared" si="447"/>
        <v>#DIV/0!</v>
      </c>
      <c r="QPU133" s="531" t="e">
        <f t="shared" si="447"/>
        <v>#DIV/0!</v>
      </c>
      <c r="QPV133" s="531" t="e">
        <f t="shared" si="447"/>
        <v>#DIV/0!</v>
      </c>
      <c r="QPW133" s="531" t="e">
        <f t="shared" si="447"/>
        <v>#DIV/0!</v>
      </c>
      <c r="QPX133" s="531" t="e">
        <f t="shared" si="447"/>
        <v>#DIV/0!</v>
      </c>
      <c r="QPY133" s="531" t="e">
        <f t="shared" si="447"/>
        <v>#DIV/0!</v>
      </c>
      <c r="QPZ133" s="531" t="e">
        <f t="shared" si="447"/>
        <v>#DIV/0!</v>
      </c>
      <c r="QQA133" s="531" t="e">
        <f t="shared" si="447"/>
        <v>#DIV/0!</v>
      </c>
      <c r="QQB133" s="531" t="e">
        <f t="shared" si="447"/>
        <v>#DIV/0!</v>
      </c>
      <c r="QQC133" s="531" t="e">
        <f t="shared" si="447"/>
        <v>#DIV/0!</v>
      </c>
      <c r="QQD133" s="531" t="e">
        <f t="shared" si="447"/>
        <v>#DIV/0!</v>
      </c>
      <c r="QQE133" s="531" t="e">
        <f t="shared" si="447"/>
        <v>#DIV/0!</v>
      </c>
      <c r="QQF133" s="531" t="e">
        <f t="shared" si="447"/>
        <v>#DIV/0!</v>
      </c>
      <c r="QQG133" s="531" t="e">
        <f t="shared" si="447"/>
        <v>#DIV/0!</v>
      </c>
      <c r="QQH133" s="531" t="e">
        <f t="shared" si="447"/>
        <v>#DIV/0!</v>
      </c>
      <c r="QQI133" s="531" t="e">
        <f t="shared" si="447"/>
        <v>#DIV/0!</v>
      </c>
      <c r="QQJ133" s="531" t="e">
        <f t="shared" si="447"/>
        <v>#DIV/0!</v>
      </c>
      <c r="QQK133" s="531" t="e">
        <f t="shared" si="447"/>
        <v>#DIV/0!</v>
      </c>
      <c r="QQL133" s="531" t="e">
        <f t="shared" si="447"/>
        <v>#DIV/0!</v>
      </c>
      <c r="QQM133" s="531" t="e">
        <f t="shared" si="447"/>
        <v>#DIV/0!</v>
      </c>
      <c r="QQN133" s="531" t="e">
        <f t="shared" si="447"/>
        <v>#DIV/0!</v>
      </c>
      <c r="QQO133" s="531" t="e">
        <f t="shared" si="447"/>
        <v>#DIV/0!</v>
      </c>
      <c r="QQP133" s="531" t="e">
        <f t="shared" si="447"/>
        <v>#DIV/0!</v>
      </c>
      <c r="QQQ133" s="531" t="e">
        <f t="shared" si="447"/>
        <v>#DIV/0!</v>
      </c>
      <c r="QQR133" s="531" t="e">
        <f t="shared" si="447"/>
        <v>#DIV/0!</v>
      </c>
      <c r="QQS133" s="531" t="e">
        <f t="shared" si="447"/>
        <v>#DIV/0!</v>
      </c>
      <c r="QQT133" s="531" t="e">
        <f t="shared" si="447"/>
        <v>#DIV/0!</v>
      </c>
      <c r="QQU133" s="531" t="e">
        <f t="shared" si="447"/>
        <v>#DIV/0!</v>
      </c>
      <c r="QQV133" s="531" t="e">
        <f t="shared" si="447"/>
        <v>#DIV/0!</v>
      </c>
      <c r="QQW133" s="531" t="e">
        <f t="shared" si="447"/>
        <v>#DIV/0!</v>
      </c>
      <c r="QQX133" s="531" t="e">
        <f t="shared" si="447"/>
        <v>#DIV/0!</v>
      </c>
      <c r="QQY133" s="531" t="e">
        <f t="shared" si="447"/>
        <v>#DIV/0!</v>
      </c>
      <c r="QQZ133" s="531" t="e">
        <f t="shared" si="447"/>
        <v>#DIV/0!</v>
      </c>
      <c r="QRA133" s="531" t="e">
        <f t="shared" si="447"/>
        <v>#DIV/0!</v>
      </c>
      <c r="QRB133" s="531" t="e">
        <f t="shared" si="447"/>
        <v>#DIV/0!</v>
      </c>
      <c r="QRC133" s="531" t="e">
        <f t="shared" si="447"/>
        <v>#DIV/0!</v>
      </c>
      <c r="QRD133" s="531" t="e">
        <f t="shared" si="447"/>
        <v>#DIV/0!</v>
      </c>
      <c r="QRE133" s="531" t="e">
        <f t="shared" si="447"/>
        <v>#DIV/0!</v>
      </c>
      <c r="QRF133" s="531" t="e">
        <f t="shared" si="447"/>
        <v>#DIV/0!</v>
      </c>
      <c r="QRG133" s="531" t="e">
        <f t="shared" si="447"/>
        <v>#DIV/0!</v>
      </c>
      <c r="QRH133" s="531" t="e">
        <f t="shared" si="447"/>
        <v>#DIV/0!</v>
      </c>
      <c r="QRI133" s="531" t="e">
        <f t="shared" si="447"/>
        <v>#DIV/0!</v>
      </c>
      <c r="QRJ133" s="531" t="e">
        <f t="shared" si="447"/>
        <v>#DIV/0!</v>
      </c>
      <c r="QRK133" s="531" t="e">
        <f t="shared" si="447"/>
        <v>#DIV/0!</v>
      </c>
      <c r="QRL133" s="531" t="e">
        <f t="shared" si="447"/>
        <v>#DIV/0!</v>
      </c>
      <c r="QRM133" s="531" t="e">
        <f t="shared" si="447"/>
        <v>#DIV/0!</v>
      </c>
      <c r="QRN133" s="531" t="e">
        <f t="shared" si="447"/>
        <v>#DIV/0!</v>
      </c>
      <c r="QRO133" s="531" t="e">
        <f t="shared" ref="QRO133:QTZ133" si="448">QRO116/(QRO52*10^5)</f>
        <v>#DIV/0!</v>
      </c>
      <c r="QRP133" s="531" t="e">
        <f t="shared" si="448"/>
        <v>#DIV/0!</v>
      </c>
      <c r="QRQ133" s="531" t="e">
        <f t="shared" si="448"/>
        <v>#DIV/0!</v>
      </c>
      <c r="QRR133" s="531" t="e">
        <f t="shared" si="448"/>
        <v>#DIV/0!</v>
      </c>
      <c r="QRS133" s="531" t="e">
        <f t="shared" si="448"/>
        <v>#DIV/0!</v>
      </c>
      <c r="QRT133" s="531" t="e">
        <f t="shared" si="448"/>
        <v>#DIV/0!</v>
      </c>
      <c r="QRU133" s="531" t="e">
        <f t="shared" si="448"/>
        <v>#DIV/0!</v>
      </c>
      <c r="QRV133" s="531" t="e">
        <f t="shared" si="448"/>
        <v>#DIV/0!</v>
      </c>
      <c r="QRW133" s="531" t="e">
        <f t="shared" si="448"/>
        <v>#DIV/0!</v>
      </c>
      <c r="QRX133" s="531" t="e">
        <f t="shared" si="448"/>
        <v>#DIV/0!</v>
      </c>
      <c r="QRY133" s="531" t="e">
        <f t="shared" si="448"/>
        <v>#DIV/0!</v>
      </c>
      <c r="QRZ133" s="531" t="e">
        <f t="shared" si="448"/>
        <v>#DIV/0!</v>
      </c>
      <c r="QSA133" s="531" t="e">
        <f t="shared" si="448"/>
        <v>#DIV/0!</v>
      </c>
      <c r="QSB133" s="531" t="e">
        <f t="shared" si="448"/>
        <v>#DIV/0!</v>
      </c>
      <c r="QSC133" s="531" t="e">
        <f t="shared" si="448"/>
        <v>#DIV/0!</v>
      </c>
      <c r="QSD133" s="531" t="e">
        <f t="shared" si="448"/>
        <v>#DIV/0!</v>
      </c>
      <c r="QSE133" s="531" t="e">
        <f t="shared" si="448"/>
        <v>#DIV/0!</v>
      </c>
      <c r="QSF133" s="531" t="e">
        <f t="shared" si="448"/>
        <v>#DIV/0!</v>
      </c>
      <c r="QSG133" s="531" t="e">
        <f t="shared" si="448"/>
        <v>#DIV/0!</v>
      </c>
      <c r="QSH133" s="531" t="e">
        <f t="shared" si="448"/>
        <v>#DIV/0!</v>
      </c>
      <c r="QSI133" s="531" t="e">
        <f t="shared" si="448"/>
        <v>#DIV/0!</v>
      </c>
      <c r="QSJ133" s="531" t="e">
        <f t="shared" si="448"/>
        <v>#DIV/0!</v>
      </c>
      <c r="QSK133" s="531" t="e">
        <f t="shared" si="448"/>
        <v>#DIV/0!</v>
      </c>
      <c r="QSL133" s="531" t="e">
        <f t="shared" si="448"/>
        <v>#DIV/0!</v>
      </c>
      <c r="QSM133" s="531" t="e">
        <f t="shared" si="448"/>
        <v>#DIV/0!</v>
      </c>
      <c r="QSN133" s="531" t="e">
        <f t="shared" si="448"/>
        <v>#DIV/0!</v>
      </c>
      <c r="QSO133" s="531" t="e">
        <f t="shared" si="448"/>
        <v>#DIV/0!</v>
      </c>
      <c r="QSP133" s="531" t="e">
        <f t="shared" si="448"/>
        <v>#DIV/0!</v>
      </c>
      <c r="QSQ133" s="531" t="e">
        <f t="shared" si="448"/>
        <v>#DIV/0!</v>
      </c>
      <c r="QSR133" s="531" t="e">
        <f t="shared" si="448"/>
        <v>#DIV/0!</v>
      </c>
      <c r="QSS133" s="531" t="e">
        <f t="shared" si="448"/>
        <v>#DIV/0!</v>
      </c>
      <c r="QST133" s="531" t="e">
        <f t="shared" si="448"/>
        <v>#DIV/0!</v>
      </c>
      <c r="QSU133" s="531" t="e">
        <f t="shared" si="448"/>
        <v>#DIV/0!</v>
      </c>
      <c r="QSV133" s="531" t="e">
        <f t="shared" si="448"/>
        <v>#DIV/0!</v>
      </c>
      <c r="QSW133" s="531" t="e">
        <f t="shared" si="448"/>
        <v>#DIV/0!</v>
      </c>
      <c r="QSX133" s="531" t="e">
        <f t="shared" si="448"/>
        <v>#DIV/0!</v>
      </c>
      <c r="QSY133" s="531" t="e">
        <f t="shared" si="448"/>
        <v>#DIV/0!</v>
      </c>
      <c r="QSZ133" s="531" t="e">
        <f t="shared" si="448"/>
        <v>#DIV/0!</v>
      </c>
      <c r="QTA133" s="531" t="e">
        <f t="shared" si="448"/>
        <v>#DIV/0!</v>
      </c>
      <c r="QTB133" s="531" t="e">
        <f t="shared" si="448"/>
        <v>#DIV/0!</v>
      </c>
      <c r="QTC133" s="531" t="e">
        <f t="shared" si="448"/>
        <v>#DIV/0!</v>
      </c>
      <c r="QTD133" s="531" t="e">
        <f t="shared" si="448"/>
        <v>#DIV/0!</v>
      </c>
      <c r="QTE133" s="531" t="e">
        <f t="shared" si="448"/>
        <v>#DIV/0!</v>
      </c>
      <c r="QTF133" s="531" t="e">
        <f t="shared" si="448"/>
        <v>#DIV/0!</v>
      </c>
      <c r="QTG133" s="531" t="e">
        <f t="shared" si="448"/>
        <v>#DIV/0!</v>
      </c>
      <c r="QTH133" s="531" t="e">
        <f t="shared" si="448"/>
        <v>#DIV/0!</v>
      </c>
      <c r="QTI133" s="531" t="e">
        <f t="shared" si="448"/>
        <v>#DIV/0!</v>
      </c>
      <c r="QTJ133" s="531" t="e">
        <f t="shared" si="448"/>
        <v>#DIV/0!</v>
      </c>
      <c r="QTK133" s="531" t="e">
        <f t="shared" si="448"/>
        <v>#DIV/0!</v>
      </c>
      <c r="QTL133" s="531" t="e">
        <f t="shared" si="448"/>
        <v>#DIV/0!</v>
      </c>
      <c r="QTM133" s="531" t="e">
        <f t="shared" si="448"/>
        <v>#DIV/0!</v>
      </c>
      <c r="QTN133" s="531" t="e">
        <f t="shared" si="448"/>
        <v>#DIV/0!</v>
      </c>
      <c r="QTO133" s="531" t="e">
        <f t="shared" si="448"/>
        <v>#DIV/0!</v>
      </c>
      <c r="QTP133" s="531" t="e">
        <f t="shared" si="448"/>
        <v>#DIV/0!</v>
      </c>
      <c r="QTQ133" s="531" t="e">
        <f t="shared" si="448"/>
        <v>#DIV/0!</v>
      </c>
      <c r="QTR133" s="531" t="e">
        <f t="shared" si="448"/>
        <v>#DIV/0!</v>
      </c>
      <c r="QTS133" s="531" t="e">
        <f t="shared" si="448"/>
        <v>#DIV/0!</v>
      </c>
      <c r="QTT133" s="531" t="e">
        <f t="shared" si="448"/>
        <v>#DIV/0!</v>
      </c>
      <c r="QTU133" s="531" t="e">
        <f t="shared" si="448"/>
        <v>#DIV/0!</v>
      </c>
      <c r="QTV133" s="531" t="e">
        <f t="shared" si="448"/>
        <v>#DIV/0!</v>
      </c>
      <c r="QTW133" s="531" t="e">
        <f t="shared" si="448"/>
        <v>#DIV/0!</v>
      </c>
      <c r="QTX133" s="531" t="e">
        <f t="shared" si="448"/>
        <v>#DIV/0!</v>
      </c>
      <c r="QTY133" s="531" t="e">
        <f t="shared" si="448"/>
        <v>#DIV/0!</v>
      </c>
      <c r="QTZ133" s="531" t="e">
        <f t="shared" si="448"/>
        <v>#DIV/0!</v>
      </c>
      <c r="QUA133" s="531" t="e">
        <f t="shared" ref="QUA133:QWL133" si="449">QUA116/(QUA52*10^5)</f>
        <v>#DIV/0!</v>
      </c>
      <c r="QUB133" s="531" t="e">
        <f t="shared" si="449"/>
        <v>#DIV/0!</v>
      </c>
      <c r="QUC133" s="531" t="e">
        <f t="shared" si="449"/>
        <v>#DIV/0!</v>
      </c>
      <c r="QUD133" s="531" t="e">
        <f t="shared" si="449"/>
        <v>#DIV/0!</v>
      </c>
      <c r="QUE133" s="531" t="e">
        <f t="shared" si="449"/>
        <v>#DIV/0!</v>
      </c>
      <c r="QUF133" s="531" t="e">
        <f t="shared" si="449"/>
        <v>#DIV/0!</v>
      </c>
      <c r="QUG133" s="531" t="e">
        <f t="shared" si="449"/>
        <v>#DIV/0!</v>
      </c>
      <c r="QUH133" s="531" t="e">
        <f t="shared" si="449"/>
        <v>#DIV/0!</v>
      </c>
      <c r="QUI133" s="531" t="e">
        <f t="shared" si="449"/>
        <v>#DIV/0!</v>
      </c>
      <c r="QUJ133" s="531" t="e">
        <f t="shared" si="449"/>
        <v>#DIV/0!</v>
      </c>
      <c r="QUK133" s="531" t="e">
        <f t="shared" si="449"/>
        <v>#DIV/0!</v>
      </c>
      <c r="QUL133" s="531" t="e">
        <f t="shared" si="449"/>
        <v>#DIV/0!</v>
      </c>
      <c r="QUM133" s="531" t="e">
        <f t="shared" si="449"/>
        <v>#DIV/0!</v>
      </c>
      <c r="QUN133" s="531" t="e">
        <f t="shared" si="449"/>
        <v>#DIV/0!</v>
      </c>
      <c r="QUO133" s="531" t="e">
        <f t="shared" si="449"/>
        <v>#DIV/0!</v>
      </c>
      <c r="QUP133" s="531" t="e">
        <f t="shared" si="449"/>
        <v>#DIV/0!</v>
      </c>
      <c r="QUQ133" s="531" t="e">
        <f t="shared" si="449"/>
        <v>#DIV/0!</v>
      </c>
      <c r="QUR133" s="531" t="e">
        <f t="shared" si="449"/>
        <v>#DIV/0!</v>
      </c>
      <c r="QUS133" s="531" t="e">
        <f t="shared" si="449"/>
        <v>#DIV/0!</v>
      </c>
      <c r="QUT133" s="531" t="e">
        <f t="shared" si="449"/>
        <v>#DIV/0!</v>
      </c>
      <c r="QUU133" s="531" t="e">
        <f t="shared" si="449"/>
        <v>#DIV/0!</v>
      </c>
      <c r="QUV133" s="531" t="e">
        <f t="shared" si="449"/>
        <v>#DIV/0!</v>
      </c>
      <c r="QUW133" s="531" t="e">
        <f t="shared" si="449"/>
        <v>#DIV/0!</v>
      </c>
      <c r="QUX133" s="531" t="e">
        <f t="shared" si="449"/>
        <v>#DIV/0!</v>
      </c>
      <c r="QUY133" s="531" t="e">
        <f t="shared" si="449"/>
        <v>#DIV/0!</v>
      </c>
      <c r="QUZ133" s="531" t="e">
        <f t="shared" si="449"/>
        <v>#DIV/0!</v>
      </c>
      <c r="QVA133" s="531" t="e">
        <f t="shared" si="449"/>
        <v>#DIV/0!</v>
      </c>
      <c r="QVB133" s="531" t="e">
        <f t="shared" si="449"/>
        <v>#DIV/0!</v>
      </c>
      <c r="QVC133" s="531" t="e">
        <f t="shared" si="449"/>
        <v>#DIV/0!</v>
      </c>
      <c r="QVD133" s="531" t="e">
        <f t="shared" si="449"/>
        <v>#DIV/0!</v>
      </c>
      <c r="QVE133" s="531" t="e">
        <f t="shared" si="449"/>
        <v>#DIV/0!</v>
      </c>
      <c r="QVF133" s="531" t="e">
        <f t="shared" si="449"/>
        <v>#DIV/0!</v>
      </c>
      <c r="QVG133" s="531" t="e">
        <f t="shared" si="449"/>
        <v>#DIV/0!</v>
      </c>
      <c r="QVH133" s="531" t="e">
        <f t="shared" si="449"/>
        <v>#DIV/0!</v>
      </c>
      <c r="QVI133" s="531" t="e">
        <f t="shared" si="449"/>
        <v>#DIV/0!</v>
      </c>
      <c r="QVJ133" s="531" t="e">
        <f t="shared" si="449"/>
        <v>#DIV/0!</v>
      </c>
      <c r="QVK133" s="531" t="e">
        <f t="shared" si="449"/>
        <v>#DIV/0!</v>
      </c>
      <c r="QVL133" s="531" t="e">
        <f t="shared" si="449"/>
        <v>#DIV/0!</v>
      </c>
      <c r="QVM133" s="531" t="e">
        <f t="shared" si="449"/>
        <v>#DIV/0!</v>
      </c>
      <c r="QVN133" s="531" t="e">
        <f t="shared" si="449"/>
        <v>#DIV/0!</v>
      </c>
      <c r="QVO133" s="531" t="e">
        <f t="shared" si="449"/>
        <v>#DIV/0!</v>
      </c>
      <c r="QVP133" s="531" t="e">
        <f t="shared" si="449"/>
        <v>#DIV/0!</v>
      </c>
      <c r="QVQ133" s="531" t="e">
        <f t="shared" si="449"/>
        <v>#DIV/0!</v>
      </c>
      <c r="QVR133" s="531" t="e">
        <f t="shared" si="449"/>
        <v>#DIV/0!</v>
      </c>
      <c r="QVS133" s="531" t="e">
        <f t="shared" si="449"/>
        <v>#DIV/0!</v>
      </c>
      <c r="QVT133" s="531" t="e">
        <f t="shared" si="449"/>
        <v>#DIV/0!</v>
      </c>
      <c r="QVU133" s="531" t="e">
        <f t="shared" si="449"/>
        <v>#DIV/0!</v>
      </c>
      <c r="QVV133" s="531" t="e">
        <f t="shared" si="449"/>
        <v>#DIV/0!</v>
      </c>
      <c r="QVW133" s="531" t="e">
        <f t="shared" si="449"/>
        <v>#DIV/0!</v>
      </c>
      <c r="QVX133" s="531" t="e">
        <f t="shared" si="449"/>
        <v>#DIV/0!</v>
      </c>
      <c r="QVY133" s="531" t="e">
        <f t="shared" si="449"/>
        <v>#DIV/0!</v>
      </c>
      <c r="QVZ133" s="531" t="e">
        <f t="shared" si="449"/>
        <v>#DIV/0!</v>
      </c>
      <c r="QWA133" s="531" t="e">
        <f t="shared" si="449"/>
        <v>#DIV/0!</v>
      </c>
      <c r="QWB133" s="531" t="e">
        <f t="shared" si="449"/>
        <v>#DIV/0!</v>
      </c>
      <c r="QWC133" s="531" t="e">
        <f t="shared" si="449"/>
        <v>#DIV/0!</v>
      </c>
      <c r="QWD133" s="531" t="e">
        <f t="shared" si="449"/>
        <v>#DIV/0!</v>
      </c>
      <c r="QWE133" s="531" t="e">
        <f t="shared" si="449"/>
        <v>#DIV/0!</v>
      </c>
      <c r="QWF133" s="531" t="e">
        <f t="shared" si="449"/>
        <v>#DIV/0!</v>
      </c>
      <c r="QWG133" s="531" t="e">
        <f t="shared" si="449"/>
        <v>#DIV/0!</v>
      </c>
      <c r="QWH133" s="531" t="e">
        <f t="shared" si="449"/>
        <v>#DIV/0!</v>
      </c>
      <c r="QWI133" s="531" t="e">
        <f t="shared" si="449"/>
        <v>#DIV/0!</v>
      </c>
      <c r="QWJ133" s="531" t="e">
        <f t="shared" si="449"/>
        <v>#DIV/0!</v>
      </c>
      <c r="QWK133" s="531" t="e">
        <f t="shared" si="449"/>
        <v>#DIV/0!</v>
      </c>
      <c r="QWL133" s="531" t="e">
        <f t="shared" si="449"/>
        <v>#DIV/0!</v>
      </c>
      <c r="QWM133" s="531" t="e">
        <f t="shared" ref="QWM133:QYX133" si="450">QWM116/(QWM52*10^5)</f>
        <v>#DIV/0!</v>
      </c>
      <c r="QWN133" s="531" t="e">
        <f t="shared" si="450"/>
        <v>#DIV/0!</v>
      </c>
      <c r="QWO133" s="531" t="e">
        <f t="shared" si="450"/>
        <v>#DIV/0!</v>
      </c>
      <c r="QWP133" s="531" t="e">
        <f t="shared" si="450"/>
        <v>#DIV/0!</v>
      </c>
      <c r="QWQ133" s="531" t="e">
        <f t="shared" si="450"/>
        <v>#DIV/0!</v>
      </c>
      <c r="QWR133" s="531" t="e">
        <f t="shared" si="450"/>
        <v>#DIV/0!</v>
      </c>
      <c r="QWS133" s="531" t="e">
        <f t="shared" si="450"/>
        <v>#DIV/0!</v>
      </c>
      <c r="QWT133" s="531" t="e">
        <f t="shared" si="450"/>
        <v>#DIV/0!</v>
      </c>
      <c r="QWU133" s="531" t="e">
        <f t="shared" si="450"/>
        <v>#DIV/0!</v>
      </c>
      <c r="QWV133" s="531" t="e">
        <f t="shared" si="450"/>
        <v>#DIV/0!</v>
      </c>
      <c r="QWW133" s="531" t="e">
        <f t="shared" si="450"/>
        <v>#DIV/0!</v>
      </c>
      <c r="QWX133" s="531" t="e">
        <f t="shared" si="450"/>
        <v>#DIV/0!</v>
      </c>
      <c r="QWY133" s="531" t="e">
        <f t="shared" si="450"/>
        <v>#DIV/0!</v>
      </c>
      <c r="QWZ133" s="531" t="e">
        <f t="shared" si="450"/>
        <v>#DIV/0!</v>
      </c>
      <c r="QXA133" s="531" t="e">
        <f t="shared" si="450"/>
        <v>#DIV/0!</v>
      </c>
      <c r="QXB133" s="531" t="e">
        <f t="shared" si="450"/>
        <v>#DIV/0!</v>
      </c>
      <c r="QXC133" s="531" t="e">
        <f t="shared" si="450"/>
        <v>#DIV/0!</v>
      </c>
      <c r="QXD133" s="531" t="e">
        <f t="shared" si="450"/>
        <v>#DIV/0!</v>
      </c>
      <c r="QXE133" s="531" t="e">
        <f t="shared" si="450"/>
        <v>#DIV/0!</v>
      </c>
      <c r="QXF133" s="531" t="e">
        <f t="shared" si="450"/>
        <v>#DIV/0!</v>
      </c>
      <c r="QXG133" s="531" t="e">
        <f t="shared" si="450"/>
        <v>#DIV/0!</v>
      </c>
      <c r="QXH133" s="531" t="e">
        <f t="shared" si="450"/>
        <v>#DIV/0!</v>
      </c>
      <c r="QXI133" s="531" t="e">
        <f t="shared" si="450"/>
        <v>#DIV/0!</v>
      </c>
      <c r="QXJ133" s="531" t="e">
        <f t="shared" si="450"/>
        <v>#DIV/0!</v>
      </c>
      <c r="QXK133" s="531" t="e">
        <f t="shared" si="450"/>
        <v>#DIV/0!</v>
      </c>
      <c r="QXL133" s="531" t="e">
        <f t="shared" si="450"/>
        <v>#DIV/0!</v>
      </c>
      <c r="QXM133" s="531" t="e">
        <f t="shared" si="450"/>
        <v>#DIV/0!</v>
      </c>
      <c r="QXN133" s="531" t="e">
        <f t="shared" si="450"/>
        <v>#DIV/0!</v>
      </c>
      <c r="QXO133" s="531" t="e">
        <f t="shared" si="450"/>
        <v>#DIV/0!</v>
      </c>
      <c r="QXP133" s="531" t="e">
        <f t="shared" si="450"/>
        <v>#DIV/0!</v>
      </c>
      <c r="QXQ133" s="531" t="e">
        <f t="shared" si="450"/>
        <v>#DIV/0!</v>
      </c>
      <c r="QXR133" s="531" t="e">
        <f t="shared" si="450"/>
        <v>#DIV/0!</v>
      </c>
      <c r="QXS133" s="531" t="e">
        <f t="shared" si="450"/>
        <v>#DIV/0!</v>
      </c>
      <c r="QXT133" s="531" t="e">
        <f t="shared" si="450"/>
        <v>#DIV/0!</v>
      </c>
      <c r="QXU133" s="531" t="e">
        <f t="shared" si="450"/>
        <v>#DIV/0!</v>
      </c>
      <c r="QXV133" s="531" t="e">
        <f t="shared" si="450"/>
        <v>#DIV/0!</v>
      </c>
      <c r="QXW133" s="531" t="e">
        <f t="shared" si="450"/>
        <v>#DIV/0!</v>
      </c>
      <c r="QXX133" s="531" t="e">
        <f t="shared" si="450"/>
        <v>#DIV/0!</v>
      </c>
      <c r="QXY133" s="531" t="e">
        <f t="shared" si="450"/>
        <v>#DIV/0!</v>
      </c>
      <c r="QXZ133" s="531" t="e">
        <f t="shared" si="450"/>
        <v>#DIV/0!</v>
      </c>
      <c r="QYA133" s="531" t="e">
        <f t="shared" si="450"/>
        <v>#DIV/0!</v>
      </c>
      <c r="QYB133" s="531" t="e">
        <f t="shared" si="450"/>
        <v>#DIV/0!</v>
      </c>
      <c r="QYC133" s="531" t="e">
        <f t="shared" si="450"/>
        <v>#DIV/0!</v>
      </c>
      <c r="QYD133" s="531" t="e">
        <f t="shared" si="450"/>
        <v>#DIV/0!</v>
      </c>
      <c r="QYE133" s="531" t="e">
        <f t="shared" si="450"/>
        <v>#DIV/0!</v>
      </c>
      <c r="QYF133" s="531" t="e">
        <f t="shared" si="450"/>
        <v>#DIV/0!</v>
      </c>
      <c r="QYG133" s="531" t="e">
        <f t="shared" si="450"/>
        <v>#DIV/0!</v>
      </c>
      <c r="QYH133" s="531" t="e">
        <f t="shared" si="450"/>
        <v>#DIV/0!</v>
      </c>
      <c r="QYI133" s="531" t="e">
        <f t="shared" si="450"/>
        <v>#DIV/0!</v>
      </c>
      <c r="QYJ133" s="531" t="e">
        <f t="shared" si="450"/>
        <v>#DIV/0!</v>
      </c>
      <c r="QYK133" s="531" t="e">
        <f t="shared" si="450"/>
        <v>#DIV/0!</v>
      </c>
      <c r="QYL133" s="531" t="e">
        <f t="shared" si="450"/>
        <v>#DIV/0!</v>
      </c>
      <c r="QYM133" s="531" t="e">
        <f t="shared" si="450"/>
        <v>#DIV/0!</v>
      </c>
      <c r="QYN133" s="531" t="e">
        <f t="shared" si="450"/>
        <v>#DIV/0!</v>
      </c>
      <c r="QYO133" s="531" t="e">
        <f t="shared" si="450"/>
        <v>#DIV/0!</v>
      </c>
      <c r="QYP133" s="531" t="e">
        <f t="shared" si="450"/>
        <v>#DIV/0!</v>
      </c>
      <c r="QYQ133" s="531" t="e">
        <f t="shared" si="450"/>
        <v>#DIV/0!</v>
      </c>
      <c r="QYR133" s="531" t="e">
        <f t="shared" si="450"/>
        <v>#DIV/0!</v>
      </c>
      <c r="QYS133" s="531" t="e">
        <f t="shared" si="450"/>
        <v>#DIV/0!</v>
      </c>
      <c r="QYT133" s="531" t="e">
        <f t="shared" si="450"/>
        <v>#DIV/0!</v>
      </c>
      <c r="QYU133" s="531" t="e">
        <f t="shared" si="450"/>
        <v>#DIV/0!</v>
      </c>
      <c r="QYV133" s="531" t="e">
        <f t="shared" si="450"/>
        <v>#DIV/0!</v>
      </c>
      <c r="QYW133" s="531" t="e">
        <f t="shared" si="450"/>
        <v>#DIV/0!</v>
      </c>
      <c r="QYX133" s="531" t="e">
        <f t="shared" si="450"/>
        <v>#DIV/0!</v>
      </c>
      <c r="QYY133" s="531" t="e">
        <f t="shared" ref="QYY133:RBJ133" si="451">QYY116/(QYY52*10^5)</f>
        <v>#DIV/0!</v>
      </c>
      <c r="QYZ133" s="531" t="e">
        <f t="shared" si="451"/>
        <v>#DIV/0!</v>
      </c>
      <c r="QZA133" s="531" t="e">
        <f t="shared" si="451"/>
        <v>#DIV/0!</v>
      </c>
      <c r="QZB133" s="531" t="e">
        <f t="shared" si="451"/>
        <v>#DIV/0!</v>
      </c>
      <c r="QZC133" s="531" t="e">
        <f t="shared" si="451"/>
        <v>#DIV/0!</v>
      </c>
      <c r="QZD133" s="531" t="e">
        <f t="shared" si="451"/>
        <v>#DIV/0!</v>
      </c>
      <c r="QZE133" s="531" t="e">
        <f t="shared" si="451"/>
        <v>#DIV/0!</v>
      </c>
      <c r="QZF133" s="531" t="e">
        <f t="shared" si="451"/>
        <v>#DIV/0!</v>
      </c>
      <c r="QZG133" s="531" t="e">
        <f t="shared" si="451"/>
        <v>#DIV/0!</v>
      </c>
      <c r="QZH133" s="531" t="e">
        <f t="shared" si="451"/>
        <v>#DIV/0!</v>
      </c>
      <c r="QZI133" s="531" t="e">
        <f t="shared" si="451"/>
        <v>#DIV/0!</v>
      </c>
      <c r="QZJ133" s="531" t="e">
        <f t="shared" si="451"/>
        <v>#DIV/0!</v>
      </c>
      <c r="QZK133" s="531" t="e">
        <f t="shared" si="451"/>
        <v>#DIV/0!</v>
      </c>
      <c r="QZL133" s="531" t="e">
        <f t="shared" si="451"/>
        <v>#DIV/0!</v>
      </c>
      <c r="QZM133" s="531" t="e">
        <f t="shared" si="451"/>
        <v>#DIV/0!</v>
      </c>
      <c r="QZN133" s="531" t="e">
        <f t="shared" si="451"/>
        <v>#DIV/0!</v>
      </c>
      <c r="QZO133" s="531" t="e">
        <f t="shared" si="451"/>
        <v>#DIV/0!</v>
      </c>
      <c r="QZP133" s="531" t="e">
        <f t="shared" si="451"/>
        <v>#DIV/0!</v>
      </c>
      <c r="QZQ133" s="531" t="e">
        <f t="shared" si="451"/>
        <v>#DIV/0!</v>
      </c>
      <c r="QZR133" s="531" t="e">
        <f t="shared" si="451"/>
        <v>#DIV/0!</v>
      </c>
      <c r="QZS133" s="531" t="e">
        <f t="shared" si="451"/>
        <v>#DIV/0!</v>
      </c>
      <c r="QZT133" s="531" t="e">
        <f t="shared" si="451"/>
        <v>#DIV/0!</v>
      </c>
      <c r="QZU133" s="531" t="e">
        <f t="shared" si="451"/>
        <v>#DIV/0!</v>
      </c>
      <c r="QZV133" s="531" t="e">
        <f t="shared" si="451"/>
        <v>#DIV/0!</v>
      </c>
      <c r="QZW133" s="531" t="e">
        <f t="shared" si="451"/>
        <v>#DIV/0!</v>
      </c>
      <c r="QZX133" s="531" t="e">
        <f t="shared" si="451"/>
        <v>#DIV/0!</v>
      </c>
      <c r="QZY133" s="531" t="e">
        <f t="shared" si="451"/>
        <v>#DIV/0!</v>
      </c>
      <c r="QZZ133" s="531" t="e">
        <f t="shared" si="451"/>
        <v>#DIV/0!</v>
      </c>
      <c r="RAA133" s="531" t="e">
        <f t="shared" si="451"/>
        <v>#DIV/0!</v>
      </c>
      <c r="RAB133" s="531" t="e">
        <f t="shared" si="451"/>
        <v>#DIV/0!</v>
      </c>
      <c r="RAC133" s="531" t="e">
        <f t="shared" si="451"/>
        <v>#DIV/0!</v>
      </c>
      <c r="RAD133" s="531" t="e">
        <f t="shared" si="451"/>
        <v>#DIV/0!</v>
      </c>
      <c r="RAE133" s="531" t="e">
        <f t="shared" si="451"/>
        <v>#DIV/0!</v>
      </c>
      <c r="RAF133" s="531" t="e">
        <f t="shared" si="451"/>
        <v>#DIV/0!</v>
      </c>
      <c r="RAG133" s="531" t="e">
        <f t="shared" si="451"/>
        <v>#DIV/0!</v>
      </c>
      <c r="RAH133" s="531" t="e">
        <f t="shared" si="451"/>
        <v>#DIV/0!</v>
      </c>
      <c r="RAI133" s="531" t="e">
        <f t="shared" si="451"/>
        <v>#DIV/0!</v>
      </c>
      <c r="RAJ133" s="531" t="e">
        <f t="shared" si="451"/>
        <v>#DIV/0!</v>
      </c>
      <c r="RAK133" s="531" t="e">
        <f t="shared" si="451"/>
        <v>#DIV/0!</v>
      </c>
      <c r="RAL133" s="531" t="e">
        <f t="shared" si="451"/>
        <v>#DIV/0!</v>
      </c>
      <c r="RAM133" s="531" t="e">
        <f t="shared" si="451"/>
        <v>#DIV/0!</v>
      </c>
      <c r="RAN133" s="531" t="e">
        <f t="shared" si="451"/>
        <v>#DIV/0!</v>
      </c>
      <c r="RAO133" s="531" t="e">
        <f t="shared" si="451"/>
        <v>#DIV/0!</v>
      </c>
      <c r="RAP133" s="531" t="e">
        <f t="shared" si="451"/>
        <v>#DIV/0!</v>
      </c>
      <c r="RAQ133" s="531" t="e">
        <f t="shared" si="451"/>
        <v>#DIV/0!</v>
      </c>
      <c r="RAR133" s="531" t="e">
        <f t="shared" si="451"/>
        <v>#DIV/0!</v>
      </c>
      <c r="RAS133" s="531" t="e">
        <f t="shared" si="451"/>
        <v>#DIV/0!</v>
      </c>
      <c r="RAT133" s="531" t="e">
        <f t="shared" si="451"/>
        <v>#DIV/0!</v>
      </c>
      <c r="RAU133" s="531" t="e">
        <f t="shared" si="451"/>
        <v>#DIV/0!</v>
      </c>
      <c r="RAV133" s="531" t="e">
        <f t="shared" si="451"/>
        <v>#DIV/0!</v>
      </c>
      <c r="RAW133" s="531" t="e">
        <f t="shared" si="451"/>
        <v>#DIV/0!</v>
      </c>
      <c r="RAX133" s="531" t="e">
        <f t="shared" si="451"/>
        <v>#DIV/0!</v>
      </c>
      <c r="RAY133" s="531" t="e">
        <f t="shared" si="451"/>
        <v>#DIV/0!</v>
      </c>
      <c r="RAZ133" s="531" t="e">
        <f t="shared" si="451"/>
        <v>#DIV/0!</v>
      </c>
      <c r="RBA133" s="531" t="e">
        <f t="shared" si="451"/>
        <v>#DIV/0!</v>
      </c>
      <c r="RBB133" s="531" t="e">
        <f t="shared" si="451"/>
        <v>#DIV/0!</v>
      </c>
      <c r="RBC133" s="531" t="e">
        <f t="shared" si="451"/>
        <v>#DIV/0!</v>
      </c>
      <c r="RBD133" s="531" t="e">
        <f t="shared" si="451"/>
        <v>#DIV/0!</v>
      </c>
      <c r="RBE133" s="531" t="e">
        <f t="shared" si="451"/>
        <v>#DIV/0!</v>
      </c>
      <c r="RBF133" s="531" t="e">
        <f t="shared" si="451"/>
        <v>#DIV/0!</v>
      </c>
      <c r="RBG133" s="531" t="e">
        <f t="shared" si="451"/>
        <v>#DIV/0!</v>
      </c>
      <c r="RBH133" s="531" t="e">
        <f t="shared" si="451"/>
        <v>#DIV/0!</v>
      </c>
      <c r="RBI133" s="531" t="e">
        <f t="shared" si="451"/>
        <v>#DIV/0!</v>
      </c>
      <c r="RBJ133" s="531" t="e">
        <f t="shared" si="451"/>
        <v>#DIV/0!</v>
      </c>
      <c r="RBK133" s="531" t="e">
        <f t="shared" ref="RBK133:RDV133" si="452">RBK116/(RBK52*10^5)</f>
        <v>#DIV/0!</v>
      </c>
      <c r="RBL133" s="531" t="e">
        <f t="shared" si="452"/>
        <v>#DIV/0!</v>
      </c>
      <c r="RBM133" s="531" t="e">
        <f t="shared" si="452"/>
        <v>#DIV/0!</v>
      </c>
      <c r="RBN133" s="531" t="e">
        <f t="shared" si="452"/>
        <v>#DIV/0!</v>
      </c>
      <c r="RBO133" s="531" t="e">
        <f t="shared" si="452"/>
        <v>#DIV/0!</v>
      </c>
      <c r="RBP133" s="531" t="e">
        <f t="shared" si="452"/>
        <v>#DIV/0!</v>
      </c>
      <c r="RBQ133" s="531" t="e">
        <f t="shared" si="452"/>
        <v>#DIV/0!</v>
      </c>
      <c r="RBR133" s="531" t="e">
        <f t="shared" si="452"/>
        <v>#DIV/0!</v>
      </c>
      <c r="RBS133" s="531" t="e">
        <f t="shared" si="452"/>
        <v>#DIV/0!</v>
      </c>
      <c r="RBT133" s="531" t="e">
        <f t="shared" si="452"/>
        <v>#DIV/0!</v>
      </c>
      <c r="RBU133" s="531" t="e">
        <f t="shared" si="452"/>
        <v>#DIV/0!</v>
      </c>
      <c r="RBV133" s="531" t="e">
        <f t="shared" si="452"/>
        <v>#DIV/0!</v>
      </c>
      <c r="RBW133" s="531" t="e">
        <f t="shared" si="452"/>
        <v>#DIV/0!</v>
      </c>
      <c r="RBX133" s="531" t="e">
        <f t="shared" si="452"/>
        <v>#DIV/0!</v>
      </c>
      <c r="RBY133" s="531" t="e">
        <f t="shared" si="452"/>
        <v>#DIV/0!</v>
      </c>
      <c r="RBZ133" s="531" t="e">
        <f t="shared" si="452"/>
        <v>#DIV/0!</v>
      </c>
      <c r="RCA133" s="531" t="e">
        <f t="shared" si="452"/>
        <v>#DIV/0!</v>
      </c>
      <c r="RCB133" s="531" t="e">
        <f t="shared" si="452"/>
        <v>#DIV/0!</v>
      </c>
      <c r="RCC133" s="531" t="e">
        <f t="shared" si="452"/>
        <v>#DIV/0!</v>
      </c>
      <c r="RCD133" s="531" t="e">
        <f t="shared" si="452"/>
        <v>#DIV/0!</v>
      </c>
      <c r="RCE133" s="531" t="e">
        <f t="shared" si="452"/>
        <v>#DIV/0!</v>
      </c>
      <c r="RCF133" s="531" t="e">
        <f t="shared" si="452"/>
        <v>#DIV/0!</v>
      </c>
      <c r="RCG133" s="531" t="e">
        <f t="shared" si="452"/>
        <v>#DIV/0!</v>
      </c>
      <c r="RCH133" s="531" t="e">
        <f t="shared" si="452"/>
        <v>#DIV/0!</v>
      </c>
      <c r="RCI133" s="531" t="e">
        <f t="shared" si="452"/>
        <v>#DIV/0!</v>
      </c>
      <c r="RCJ133" s="531" t="e">
        <f t="shared" si="452"/>
        <v>#DIV/0!</v>
      </c>
      <c r="RCK133" s="531" t="e">
        <f t="shared" si="452"/>
        <v>#DIV/0!</v>
      </c>
      <c r="RCL133" s="531" t="e">
        <f t="shared" si="452"/>
        <v>#DIV/0!</v>
      </c>
      <c r="RCM133" s="531" t="e">
        <f t="shared" si="452"/>
        <v>#DIV/0!</v>
      </c>
      <c r="RCN133" s="531" t="e">
        <f t="shared" si="452"/>
        <v>#DIV/0!</v>
      </c>
      <c r="RCO133" s="531" t="e">
        <f t="shared" si="452"/>
        <v>#DIV/0!</v>
      </c>
      <c r="RCP133" s="531" t="e">
        <f t="shared" si="452"/>
        <v>#DIV/0!</v>
      </c>
      <c r="RCQ133" s="531" t="e">
        <f t="shared" si="452"/>
        <v>#DIV/0!</v>
      </c>
      <c r="RCR133" s="531" t="e">
        <f t="shared" si="452"/>
        <v>#DIV/0!</v>
      </c>
      <c r="RCS133" s="531" t="e">
        <f t="shared" si="452"/>
        <v>#DIV/0!</v>
      </c>
      <c r="RCT133" s="531" t="e">
        <f t="shared" si="452"/>
        <v>#DIV/0!</v>
      </c>
      <c r="RCU133" s="531" t="e">
        <f t="shared" si="452"/>
        <v>#DIV/0!</v>
      </c>
      <c r="RCV133" s="531" t="e">
        <f t="shared" si="452"/>
        <v>#DIV/0!</v>
      </c>
      <c r="RCW133" s="531" t="e">
        <f t="shared" si="452"/>
        <v>#DIV/0!</v>
      </c>
      <c r="RCX133" s="531" t="e">
        <f t="shared" si="452"/>
        <v>#DIV/0!</v>
      </c>
      <c r="RCY133" s="531" t="e">
        <f t="shared" si="452"/>
        <v>#DIV/0!</v>
      </c>
      <c r="RCZ133" s="531" t="e">
        <f t="shared" si="452"/>
        <v>#DIV/0!</v>
      </c>
      <c r="RDA133" s="531" t="e">
        <f t="shared" si="452"/>
        <v>#DIV/0!</v>
      </c>
      <c r="RDB133" s="531" t="e">
        <f t="shared" si="452"/>
        <v>#DIV/0!</v>
      </c>
      <c r="RDC133" s="531" t="e">
        <f t="shared" si="452"/>
        <v>#DIV/0!</v>
      </c>
      <c r="RDD133" s="531" t="e">
        <f t="shared" si="452"/>
        <v>#DIV/0!</v>
      </c>
      <c r="RDE133" s="531" t="e">
        <f t="shared" si="452"/>
        <v>#DIV/0!</v>
      </c>
      <c r="RDF133" s="531" t="e">
        <f t="shared" si="452"/>
        <v>#DIV/0!</v>
      </c>
      <c r="RDG133" s="531" t="e">
        <f t="shared" si="452"/>
        <v>#DIV/0!</v>
      </c>
      <c r="RDH133" s="531" t="e">
        <f t="shared" si="452"/>
        <v>#DIV/0!</v>
      </c>
      <c r="RDI133" s="531" t="e">
        <f t="shared" si="452"/>
        <v>#DIV/0!</v>
      </c>
      <c r="RDJ133" s="531" t="e">
        <f t="shared" si="452"/>
        <v>#DIV/0!</v>
      </c>
      <c r="RDK133" s="531" t="e">
        <f t="shared" si="452"/>
        <v>#DIV/0!</v>
      </c>
      <c r="RDL133" s="531" t="e">
        <f t="shared" si="452"/>
        <v>#DIV/0!</v>
      </c>
      <c r="RDM133" s="531" t="e">
        <f t="shared" si="452"/>
        <v>#DIV/0!</v>
      </c>
      <c r="RDN133" s="531" t="e">
        <f t="shared" si="452"/>
        <v>#DIV/0!</v>
      </c>
      <c r="RDO133" s="531" t="e">
        <f t="shared" si="452"/>
        <v>#DIV/0!</v>
      </c>
      <c r="RDP133" s="531" t="e">
        <f t="shared" si="452"/>
        <v>#DIV/0!</v>
      </c>
      <c r="RDQ133" s="531" t="e">
        <f t="shared" si="452"/>
        <v>#DIV/0!</v>
      </c>
      <c r="RDR133" s="531" t="e">
        <f t="shared" si="452"/>
        <v>#DIV/0!</v>
      </c>
      <c r="RDS133" s="531" t="e">
        <f t="shared" si="452"/>
        <v>#DIV/0!</v>
      </c>
      <c r="RDT133" s="531" t="e">
        <f t="shared" si="452"/>
        <v>#DIV/0!</v>
      </c>
      <c r="RDU133" s="531" t="e">
        <f t="shared" si="452"/>
        <v>#DIV/0!</v>
      </c>
      <c r="RDV133" s="531" t="e">
        <f t="shared" si="452"/>
        <v>#DIV/0!</v>
      </c>
      <c r="RDW133" s="531" t="e">
        <f t="shared" ref="RDW133:RGH133" si="453">RDW116/(RDW52*10^5)</f>
        <v>#DIV/0!</v>
      </c>
      <c r="RDX133" s="531" t="e">
        <f t="shared" si="453"/>
        <v>#DIV/0!</v>
      </c>
      <c r="RDY133" s="531" t="e">
        <f t="shared" si="453"/>
        <v>#DIV/0!</v>
      </c>
      <c r="RDZ133" s="531" t="e">
        <f t="shared" si="453"/>
        <v>#DIV/0!</v>
      </c>
      <c r="REA133" s="531" t="e">
        <f t="shared" si="453"/>
        <v>#DIV/0!</v>
      </c>
      <c r="REB133" s="531" t="e">
        <f t="shared" si="453"/>
        <v>#DIV/0!</v>
      </c>
      <c r="REC133" s="531" t="e">
        <f t="shared" si="453"/>
        <v>#DIV/0!</v>
      </c>
      <c r="RED133" s="531" t="e">
        <f t="shared" si="453"/>
        <v>#DIV/0!</v>
      </c>
      <c r="REE133" s="531" t="e">
        <f t="shared" si="453"/>
        <v>#DIV/0!</v>
      </c>
      <c r="REF133" s="531" t="e">
        <f t="shared" si="453"/>
        <v>#DIV/0!</v>
      </c>
      <c r="REG133" s="531" t="e">
        <f t="shared" si="453"/>
        <v>#DIV/0!</v>
      </c>
      <c r="REH133" s="531" t="e">
        <f t="shared" si="453"/>
        <v>#DIV/0!</v>
      </c>
      <c r="REI133" s="531" t="e">
        <f t="shared" si="453"/>
        <v>#DIV/0!</v>
      </c>
      <c r="REJ133" s="531" t="e">
        <f t="shared" si="453"/>
        <v>#DIV/0!</v>
      </c>
      <c r="REK133" s="531" t="e">
        <f t="shared" si="453"/>
        <v>#DIV/0!</v>
      </c>
      <c r="REL133" s="531" t="e">
        <f t="shared" si="453"/>
        <v>#DIV/0!</v>
      </c>
      <c r="REM133" s="531" t="e">
        <f t="shared" si="453"/>
        <v>#DIV/0!</v>
      </c>
      <c r="REN133" s="531" t="e">
        <f t="shared" si="453"/>
        <v>#DIV/0!</v>
      </c>
      <c r="REO133" s="531" t="e">
        <f t="shared" si="453"/>
        <v>#DIV/0!</v>
      </c>
      <c r="REP133" s="531" t="e">
        <f t="shared" si="453"/>
        <v>#DIV/0!</v>
      </c>
      <c r="REQ133" s="531" t="e">
        <f t="shared" si="453"/>
        <v>#DIV/0!</v>
      </c>
      <c r="RER133" s="531" t="e">
        <f t="shared" si="453"/>
        <v>#DIV/0!</v>
      </c>
      <c r="RES133" s="531" t="e">
        <f t="shared" si="453"/>
        <v>#DIV/0!</v>
      </c>
      <c r="RET133" s="531" t="e">
        <f t="shared" si="453"/>
        <v>#DIV/0!</v>
      </c>
      <c r="REU133" s="531" t="e">
        <f t="shared" si="453"/>
        <v>#DIV/0!</v>
      </c>
      <c r="REV133" s="531" t="e">
        <f t="shared" si="453"/>
        <v>#DIV/0!</v>
      </c>
      <c r="REW133" s="531" t="e">
        <f t="shared" si="453"/>
        <v>#DIV/0!</v>
      </c>
      <c r="REX133" s="531" t="e">
        <f t="shared" si="453"/>
        <v>#DIV/0!</v>
      </c>
      <c r="REY133" s="531" t="e">
        <f t="shared" si="453"/>
        <v>#DIV/0!</v>
      </c>
      <c r="REZ133" s="531" t="e">
        <f t="shared" si="453"/>
        <v>#DIV/0!</v>
      </c>
      <c r="RFA133" s="531" t="e">
        <f t="shared" si="453"/>
        <v>#DIV/0!</v>
      </c>
      <c r="RFB133" s="531" t="e">
        <f t="shared" si="453"/>
        <v>#DIV/0!</v>
      </c>
      <c r="RFC133" s="531" t="e">
        <f t="shared" si="453"/>
        <v>#DIV/0!</v>
      </c>
      <c r="RFD133" s="531" t="e">
        <f t="shared" si="453"/>
        <v>#DIV/0!</v>
      </c>
      <c r="RFE133" s="531" t="e">
        <f t="shared" si="453"/>
        <v>#DIV/0!</v>
      </c>
      <c r="RFF133" s="531" t="e">
        <f t="shared" si="453"/>
        <v>#DIV/0!</v>
      </c>
      <c r="RFG133" s="531" t="e">
        <f t="shared" si="453"/>
        <v>#DIV/0!</v>
      </c>
      <c r="RFH133" s="531" t="e">
        <f t="shared" si="453"/>
        <v>#DIV/0!</v>
      </c>
      <c r="RFI133" s="531" t="e">
        <f t="shared" si="453"/>
        <v>#DIV/0!</v>
      </c>
      <c r="RFJ133" s="531" t="e">
        <f t="shared" si="453"/>
        <v>#DIV/0!</v>
      </c>
      <c r="RFK133" s="531" t="e">
        <f t="shared" si="453"/>
        <v>#DIV/0!</v>
      </c>
      <c r="RFL133" s="531" t="e">
        <f t="shared" si="453"/>
        <v>#DIV/0!</v>
      </c>
      <c r="RFM133" s="531" t="e">
        <f t="shared" si="453"/>
        <v>#DIV/0!</v>
      </c>
      <c r="RFN133" s="531" t="e">
        <f t="shared" si="453"/>
        <v>#DIV/0!</v>
      </c>
      <c r="RFO133" s="531" t="e">
        <f t="shared" si="453"/>
        <v>#DIV/0!</v>
      </c>
      <c r="RFP133" s="531" t="e">
        <f t="shared" si="453"/>
        <v>#DIV/0!</v>
      </c>
      <c r="RFQ133" s="531" t="e">
        <f t="shared" si="453"/>
        <v>#DIV/0!</v>
      </c>
      <c r="RFR133" s="531" t="e">
        <f t="shared" si="453"/>
        <v>#DIV/0!</v>
      </c>
      <c r="RFS133" s="531" t="e">
        <f t="shared" si="453"/>
        <v>#DIV/0!</v>
      </c>
      <c r="RFT133" s="531" t="e">
        <f t="shared" si="453"/>
        <v>#DIV/0!</v>
      </c>
      <c r="RFU133" s="531" t="e">
        <f t="shared" si="453"/>
        <v>#DIV/0!</v>
      </c>
      <c r="RFV133" s="531" t="e">
        <f t="shared" si="453"/>
        <v>#DIV/0!</v>
      </c>
      <c r="RFW133" s="531" t="e">
        <f t="shared" si="453"/>
        <v>#DIV/0!</v>
      </c>
      <c r="RFX133" s="531" t="e">
        <f t="shared" si="453"/>
        <v>#DIV/0!</v>
      </c>
      <c r="RFY133" s="531" t="e">
        <f t="shared" si="453"/>
        <v>#DIV/0!</v>
      </c>
      <c r="RFZ133" s="531" t="e">
        <f t="shared" si="453"/>
        <v>#DIV/0!</v>
      </c>
      <c r="RGA133" s="531" t="e">
        <f t="shared" si="453"/>
        <v>#DIV/0!</v>
      </c>
      <c r="RGB133" s="531" t="e">
        <f t="shared" si="453"/>
        <v>#DIV/0!</v>
      </c>
      <c r="RGC133" s="531" t="e">
        <f t="shared" si="453"/>
        <v>#DIV/0!</v>
      </c>
      <c r="RGD133" s="531" t="e">
        <f t="shared" si="453"/>
        <v>#DIV/0!</v>
      </c>
      <c r="RGE133" s="531" t="e">
        <f t="shared" si="453"/>
        <v>#DIV/0!</v>
      </c>
      <c r="RGF133" s="531" t="e">
        <f t="shared" si="453"/>
        <v>#DIV/0!</v>
      </c>
      <c r="RGG133" s="531" t="e">
        <f t="shared" si="453"/>
        <v>#DIV/0!</v>
      </c>
      <c r="RGH133" s="531" t="e">
        <f t="shared" si="453"/>
        <v>#DIV/0!</v>
      </c>
      <c r="RGI133" s="531" t="e">
        <f t="shared" ref="RGI133:RIT133" si="454">RGI116/(RGI52*10^5)</f>
        <v>#DIV/0!</v>
      </c>
      <c r="RGJ133" s="531" t="e">
        <f t="shared" si="454"/>
        <v>#DIV/0!</v>
      </c>
      <c r="RGK133" s="531" t="e">
        <f t="shared" si="454"/>
        <v>#DIV/0!</v>
      </c>
      <c r="RGL133" s="531" t="e">
        <f t="shared" si="454"/>
        <v>#DIV/0!</v>
      </c>
      <c r="RGM133" s="531" t="e">
        <f t="shared" si="454"/>
        <v>#DIV/0!</v>
      </c>
      <c r="RGN133" s="531" t="e">
        <f t="shared" si="454"/>
        <v>#DIV/0!</v>
      </c>
      <c r="RGO133" s="531" t="e">
        <f t="shared" si="454"/>
        <v>#DIV/0!</v>
      </c>
      <c r="RGP133" s="531" t="e">
        <f t="shared" si="454"/>
        <v>#DIV/0!</v>
      </c>
      <c r="RGQ133" s="531" t="e">
        <f t="shared" si="454"/>
        <v>#DIV/0!</v>
      </c>
      <c r="RGR133" s="531" t="e">
        <f t="shared" si="454"/>
        <v>#DIV/0!</v>
      </c>
      <c r="RGS133" s="531" t="e">
        <f t="shared" si="454"/>
        <v>#DIV/0!</v>
      </c>
      <c r="RGT133" s="531" t="e">
        <f t="shared" si="454"/>
        <v>#DIV/0!</v>
      </c>
      <c r="RGU133" s="531" t="e">
        <f t="shared" si="454"/>
        <v>#DIV/0!</v>
      </c>
      <c r="RGV133" s="531" t="e">
        <f t="shared" si="454"/>
        <v>#DIV/0!</v>
      </c>
      <c r="RGW133" s="531" t="e">
        <f t="shared" si="454"/>
        <v>#DIV/0!</v>
      </c>
      <c r="RGX133" s="531" t="e">
        <f t="shared" si="454"/>
        <v>#DIV/0!</v>
      </c>
      <c r="RGY133" s="531" t="e">
        <f t="shared" si="454"/>
        <v>#DIV/0!</v>
      </c>
      <c r="RGZ133" s="531" t="e">
        <f t="shared" si="454"/>
        <v>#DIV/0!</v>
      </c>
      <c r="RHA133" s="531" t="e">
        <f t="shared" si="454"/>
        <v>#DIV/0!</v>
      </c>
      <c r="RHB133" s="531" t="e">
        <f t="shared" si="454"/>
        <v>#DIV/0!</v>
      </c>
      <c r="RHC133" s="531" t="e">
        <f t="shared" si="454"/>
        <v>#DIV/0!</v>
      </c>
      <c r="RHD133" s="531" t="e">
        <f t="shared" si="454"/>
        <v>#DIV/0!</v>
      </c>
      <c r="RHE133" s="531" t="e">
        <f t="shared" si="454"/>
        <v>#DIV/0!</v>
      </c>
      <c r="RHF133" s="531" t="e">
        <f t="shared" si="454"/>
        <v>#DIV/0!</v>
      </c>
      <c r="RHG133" s="531" t="e">
        <f t="shared" si="454"/>
        <v>#DIV/0!</v>
      </c>
      <c r="RHH133" s="531" t="e">
        <f t="shared" si="454"/>
        <v>#DIV/0!</v>
      </c>
      <c r="RHI133" s="531" t="e">
        <f t="shared" si="454"/>
        <v>#DIV/0!</v>
      </c>
      <c r="RHJ133" s="531" t="e">
        <f t="shared" si="454"/>
        <v>#DIV/0!</v>
      </c>
      <c r="RHK133" s="531" t="e">
        <f t="shared" si="454"/>
        <v>#DIV/0!</v>
      </c>
      <c r="RHL133" s="531" t="e">
        <f t="shared" si="454"/>
        <v>#DIV/0!</v>
      </c>
      <c r="RHM133" s="531" t="e">
        <f t="shared" si="454"/>
        <v>#DIV/0!</v>
      </c>
      <c r="RHN133" s="531" t="e">
        <f t="shared" si="454"/>
        <v>#DIV/0!</v>
      </c>
      <c r="RHO133" s="531" t="e">
        <f t="shared" si="454"/>
        <v>#DIV/0!</v>
      </c>
      <c r="RHP133" s="531" t="e">
        <f t="shared" si="454"/>
        <v>#DIV/0!</v>
      </c>
      <c r="RHQ133" s="531" t="e">
        <f t="shared" si="454"/>
        <v>#DIV/0!</v>
      </c>
      <c r="RHR133" s="531" t="e">
        <f t="shared" si="454"/>
        <v>#DIV/0!</v>
      </c>
      <c r="RHS133" s="531" t="e">
        <f t="shared" si="454"/>
        <v>#DIV/0!</v>
      </c>
      <c r="RHT133" s="531" t="e">
        <f t="shared" si="454"/>
        <v>#DIV/0!</v>
      </c>
      <c r="RHU133" s="531" t="e">
        <f t="shared" si="454"/>
        <v>#DIV/0!</v>
      </c>
      <c r="RHV133" s="531" t="e">
        <f t="shared" si="454"/>
        <v>#DIV/0!</v>
      </c>
      <c r="RHW133" s="531" t="e">
        <f t="shared" si="454"/>
        <v>#DIV/0!</v>
      </c>
      <c r="RHX133" s="531" t="e">
        <f t="shared" si="454"/>
        <v>#DIV/0!</v>
      </c>
      <c r="RHY133" s="531" t="e">
        <f t="shared" si="454"/>
        <v>#DIV/0!</v>
      </c>
      <c r="RHZ133" s="531" t="e">
        <f t="shared" si="454"/>
        <v>#DIV/0!</v>
      </c>
      <c r="RIA133" s="531" t="e">
        <f t="shared" si="454"/>
        <v>#DIV/0!</v>
      </c>
      <c r="RIB133" s="531" t="e">
        <f t="shared" si="454"/>
        <v>#DIV/0!</v>
      </c>
      <c r="RIC133" s="531" t="e">
        <f t="shared" si="454"/>
        <v>#DIV/0!</v>
      </c>
      <c r="RID133" s="531" t="e">
        <f t="shared" si="454"/>
        <v>#DIV/0!</v>
      </c>
      <c r="RIE133" s="531" t="e">
        <f t="shared" si="454"/>
        <v>#DIV/0!</v>
      </c>
      <c r="RIF133" s="531" t="e">
        <f t="shared" si="454"/>
        <v>#DIV/0!</v>
      </c>
      <c r="RIG133" s="531" t="e">
        <f t="shared" si="454"/>
        <v>#DIV/0!</v>
      </c>
      <c r="RIH133" s="531" t="e">
        <f t="shared" si="454"/>
        <v>#DIV/0!</v>
      </c>
      <c r="RII133" s="531" t="e">
        <f t="shared" si="454"/>
        <v>#DIV/0!</v>
      </c>
      <c r="RIJ133" s="531" t="e">
        <f t="shared" si="454"/>
        <v>#DIV/0!</v>
      </c>
      <c r="RIK133" s="531" t="e">
        <f t="shared" si="454"/>
        <v>#DIV/0!</v>
      </c>
      <c r="RIL133" s="531" t="e">
        <f t="shared" si="454"/>
        <v>#DIV/0!</v>
      </c>
      <c r="RIM133" s="531" t="e">
        <f t="shared" si="454"/>
        <v>#DIV/0!</v>
      </c>
      <c r="RIN133" s="531" t="e">
        <f t="shared" si="454"/>
        <v>#DIV/0!</v>
      </c>
      <c r="RIO133" s="531" t="e">
        <f t="shared" si="454"/>
        <v>#DIV/0!</v>
      </c>
      <c r="RIP133" s="531" t="e">
        <f t="shared" si="454"/>
        <v>#DIV/0!</v>
      </c>
      <c r="RIQ133" s="531" t="e">
        <f t="shared" si="454"/>
        <v>#DIV/0!</v>
      </c>
      <c r="RIR133" s="531" t="e">
        <f t="shared" si="454"/>
        <v>#DIV/0!</v>
      </c>
      <c r="RIS133" s="531" t="e">
        <f t="shared" si="454"/>
        <v>#DIV/0!</v>
      </c>
      <c r="RIT133" s="531" t="e">
        <f t="shared" si="454"/>
        <v>#DIV/0!</v>
      </c>
      <c r="RIU133" s="531" t="e">
        <f t="shared" ref="RIU133:RLF133" si="455">RIU116/(RIU52*10^5)</f>
        <v>#DIV/0!</v>
      </c>
      <c r="RIV133" s="531" t="e">
        <f t="shared" si="455"/>
        <v>#DIV/0!</v>
      </c>
      <c r="RIW133" s="531" t="e">
        <f t="shared" si="455"/>
        <v>#DIV/0!</v>
      </c>
      <c r="RIX133" s="531" t="e">
        <f t="shared" si="455"/>
        <v>#DIV/0!</v>
      </c>
      <c r="RIY133" s="531" t="e">
        <f t="shared" si="455"/>
        <v>#DIV/0!</v>
      </c>
      <c r="RIZ133" s="531" t="e">
        <f t="shared" si="455"/>
        <v>#DIV/0!</v>
      </c>
      <c r="RJA133" s="531" t="e">
        <f t="shared" si="455"/>
        <v>#DIV/0!</v>
      </c>
      <c r="RJB133" s="531" t="e">
        <f t="shared" si="455"/>
        <v>#DIV/0!</v>
      </c>
      <c r="RJC133" s="531" t="e">
        <f t="shared" si="455"/>
        <v>#DIV/0!</v>
      </c>
      <c r="RJD133" s="531" t="e">
        <f t="shared" si="455"/>
        <v>#DIV/0!</v>
      </c>
      <c r="RJE133" s="531" t="e">
        <f t="shared" si="455"/>
        <v>#DIV/0!</v>
      </c>
      <c r="RJF133" s="531" t="e">
        <f t="shared" si="455"/>
        <v>#DIV/0!</v>
      </c>
      <c r="RJG133" s="531" t="e">
        <f t="shared" si="455"/>
        <v>#DIV/0!</v>
      </c>
      <c r="RJH133" s="531" t="e">
        <f t="shared" si="455"/>
        <v>#DIV/0!</v>
      </c>
      <c r="RJI133" s="531" t="e">
        <f t="shared" si="455"/>
        <v>#DIV/0!</v>
      </c>
      <c r="RJJ133" s="531" t="e">
        <f t="shared" si="455"/>
        <v>#DIV/0!</v>
      </c>
      <c r="RJK133" s="531" t="e">
        <f t="shared" si="455"/>
        <v>#DIV/0!</v>
      </c>
      <c r="RJL133" s="531" t="e">
        <f t="shared" si="455"/>
        <v>#DIV/0!</v>
      </c>
      <c r="RJM133" s="531" t="e">
        <f t="shared" si="455"/>
        <v>#DIV/0!</v>
      </c>
      <c r="RJN133" s="531" t="e">
        <f t="shared" si="455"/>
        <v>#DIV/0!</v>
      </c>
      <c r="RJO133" s="531" t="e">
        <f t="shared" si="455"/>
        <v>#DIV/0!</v>
      </c>
      <c r="RJP133" s="531" t="e">
        <f t="shared" si="455"/>
        <v>#DIV/0!</v>
      </c>
      <c r="RJQ133" s="531" t="e">
        <f t="shared" si="455"/>
        <v>#DIV/0!</v>
      </c>
      <c r="RJR133" s="531" t="e">
        <f t="shared" si="455"/>
        <v>#DIV/0!</v>
      </c>
      <c r="RJS133" s="531" t="e">
        <f t="shared" si="455"/>
        <v>#DIV/0!</v>
      </c>
      <c r="RJT133" s="531" t="e">
        <f t="shared" si="455"/>
        <v>#DIV/0!</v>
      </c>
      <c r="RJU133" s="531" t="e">
        <f t="shared" si="455"/>
        <v>#DIV/0!</v>
      </c>
      <c r="RJV133" s="531" t="e">
        <f t="shared" si="455"/>
        <v>#DIV/0!</v>
      </c>
      <c r="RJW133" s="531" t="e">
        <f t="shared" si="455"/>
        <v>#DIV/0!</v>
      </c>
      <c r="RJX133" s="531" t="e">
        <f t="shared" si="455"/>
        <v>#DIV/0!</v>
      </c>
      <c r="RJY133" s="531" t="e">
        <f t="shared" si="455"/>
        <v>#DIV/0!</v>
      </c>
      <c r="RJZ133" s="531" t="e">
        <f t="shared" si="455"/>
        <v>#DIV/0!</v>
      </c>
      <c r="RKA133" s="531" t="e">
        <f t="shared" si="455"/>
        <v>#DIV/0!</v>
      </c>
      <c r="RKB133" s="531" t="e">
        <f t="shared" si="455"/>
        <v>#DIV/0!</v>
      </c>
      <c r="RKC133" s="531" t="e">
        <f t="shared" si="455"/>
        <v>#DIV/0!</v>
      </c>
      <c r="RKD133" s="531" t="e">
        <f t="shared" si="455"/>
        <v>#DIV/0!</v>
      </c>
      <c r="RKE133" s="531" t="e">
        <f t="shared" si="455"/>
        <v>#DIV/0!</v>
      </c>
      <c r="RKF133" s="531" t="e">
        <f t="shared" si="455"/>
        <v>#DIV/0!</v>
      </c>
      <c r="RKG133" s="531" t="e">
        <f t="shared" si="455"/>
        <v>#DIV/0!</v>
      </c>
      <c r="RKH133" s="531" t="e">
        <f t="shared" si="455"/>
        <v>#DIV/0!</v>
      </c>
      <c r="RKI133" s="531" t="e">
        <f t="shared" si="455"/>
        <v>#DIV/0!</v>
      </c>
      <c r="RKJ133" s="531" t="e">
        <f t="shared" si="455"/>
        <v>#DIV/0!</v>
      </c>
      <c r="RKK133" s="531" t="e">
        <f t="shared" si="455"/>
        <v>#DIV/0!</v>
      </c>
      <c r="RKL133" s="531" t="e">
        <f t="shared" si="455"/>
        <v>#DIV/0!</v>
      </c>
      <c r="RKM133" s="531" t="e">
        <f t="shared" si="455"/>
        <v>#DIV/0!</v>
      </c>
      <c r="RKN133" s="531" t="e">
        <f t="shared" si="455"/>
        <v>#DIV/0!</v>
      </c>
      <c r="RKO133" s="531" t="e">
        <f t="shared" si="455"/>
        <v>#DIV/0!</v>
      </c>
      <c r="RKP133" s="531" t="e">
        <f t="shared" si="455"/>
        <v>#DIV/0!</v>
      </c>
      <c r="RKQ133" s="531" t="e">
        <f t="shared" si="455"/>
        <v>#DIV/0!</v>
      </c>
      <c r="RKR133" s="531" t="e">
        <f t="shared" si="455"/>
        <v>#DIV/0!</v>
      </c>
      <c r="RKS133" s="531" t="e">
        <f t="shared" si="455"/>
        <v>#DIV/0!</v>
      </c>
      <c r="RKT133" s="531" t="e">
        <f t="shared" si="455"/>
        <v>#DIV/0!</v>
      </c>
      <c r="RKU133" s="531" t="e">
        <f t="shared" si="455"/>
        <v>#DIV/0!</v>
      </c>
      <c r="RKV133" s="531" t="e">
        <f t="shared" si="455"/>
        <v>#DIV/0!</v>
      </c>
      <c r="RKW133" s="531" t="e">
        <f t="shared" si="455"/>
        <v>#DIV/0!</v>
      </c>
      <c r="RKX133" s="531" t="e">
        <f t="shared" si="455"/>
        <v>#DIV/0!</v>
      </c>
      <c r="RKY133" s="531" t="e">
        <f t="shared" si="455"/>
        <v>#DIV/0!</v>
      </c>
      <c r="RKZ133" s="531" t="e">
        <f t="shared" si="455"/>
        <v>#DIV/0!</v>
      </c>
      <c r="RLA133" s="531" t="e">
        <f t="shared" si="455"/>
        <v>#DIV/0!</v>
      </c>
      <c r="RLB133" s="531" t="e">
        <f t="shared" si="455"/>
        <v>#DIV/0!</v>
      </c>
      <c r="RLC133" s="531" t="e">
        <f t="shared" si="455"/>
        <v>#DIV/0!</v>
      </c>
      <c r="RLD133" s="531" t="e">
        <f t="shared" si="455"/>
        <v>#DIV/0!</v>
      </c>
      <c r="RLE133" s="531" t="e">
        <f t="shared" si="455"/>
        <v>#DIV/0!</v>
      </c>
      <c r="RLF133" s="531" t="e">
        <f t="shared" si="455"/>
        <v>#DIV/0!</v>
      </c>
      <c r="RLG133" s="531" t="e">
        <f t="shared" ref="RLG133:RNR133" si="456">RLG116/(RLG52*10^5)</f>
        <v>#DIV/0!</v>
      </c>
      <c r="RLH133" s="531" t="e">
        <f t="shared" si="456"/>
        <v>#DIV/0!</v>
      </c>
      <c r="RLI133" s="531" t="e">
        <f t="shared" si="456"/>
        <v>#DIV/0!</v>
      </c>
      <c r="RLJ133" s="531" t="e">
        <f t="shared" si="456"/>
        <v>#DIV/0!</v>
      </c>
      <c r="RLK133" s="531" t="e">
        <f t="shared" si="456"/>
        <v>#DIV/0!</v>
      </c>
      <c r="RLL133" s="531" t="e">
        <f t="shared" si="456"/>
        <v>#DIV/0!</v>
      </c>
      <c r="RLM133" s="531" t="e">
        <f t="shared" si="456"/>
        <v>#DIV/0!</v>
      </c>
      <c r="RLN133" s="531" t="e">
        <f t="shared" si="456"/>
        <v>#DIV/0!</v>
      </c>
      <c r="RLO133" s="531" t="e">
        <f t="shared" si="456"/>
        <v>#DIV/0!</v>
      </c>
      <c r="RLP133" s="531" t="e">
        <f t="shared" si="456"/>
        <v>#DIV/0!</v>
      </c>
      <c r="RLQ133" s="531" t="e">
        <f t="shared" si="456"/>
        <v>#DIV/0!</v>
      </c>
      <c r="RLR133" s="531" t="e">
        <f t="shared" si="456"/>
        <v>#DIV/0!</v>
      </c>
      <c r="RLS133" s="531" t="e">
        <f t="shared" si="456"/>
        <v>#DIV/0!</v>
      </c>
      <c r="RLT133" s="531" t="e">
        <f t="shared" si="456"/>
        <v>#DIV/0!</v>
      </c>
      <c r="RLU133" s="531" t="e">
        <f t="shared" si="456"/>
        <v>#DIV/0!</v>
      </c>
      <c r="RLV133" s="531" t="e">
        <f t="shared" si="456"/>
        <v>#DIV/0!</v>
      </c>
      <c r="RLW133" s="531" t="e">
        <f t="shared" si="456"/>
        <v>#DIV/0!</v>
      </c>
      <c r="RLX133" s="531" t="e">
        <f t="shared" si="456"/>
        <v>#DIV/0!</v>
      </c>
      <c r="RLY133" s="531" t="e">
        <f t="shared" si="456"/>
        <v>#DIV/0!</v>
      </c>
      <c r="RLZ133" s="531" t="e">
        <f t="shared" si="456"/>
        <v>#DIV/0!</v>
      </c>
      <c r="RMA133" s="531" t="e">
        <f t="shared" si="456"/>
        <v>#DIV/0!</v>
      </c>
      <c r="RMB133" s="531" t="e">
        <f t="shared" si="456"/>
        <v>#DIV/0!</v>
      </c>
      <c r="RMC133" s="531" t="e">
        <f t="shared" si="456"/>
        <v>#DIV/0!</v>
      </c>
      <c r="RMD133" s="531" t="e">
        <f t="shared" si="456"/>
        <v>#DIV/0!</v>
      </c>
      <c r="RME133" s="531" t="e">
        <f t="shared" si="456"/>
        <v>#DIV/0!</v>
      </c>
      <c r="RMF133" s="531" t="e">
        <f t="shared" si="456"/>
        <v>#DIV/0!</v>
      </c>
      <c r="RMG133" s="531" t="e">
        <f t="shared" si="456"/>
        <v>#DIV/0!</v>
      </c>
      <c r="RMH133" s="531" t="e">
        <f t="shared" si="456"/>
        <v>#DIV/0!</v>
      </c>
      <c r="RMI133" s="531" t="e">
        <f t="shared" si="456"/>
        <v>#DIV/0!</v>
      </c>
      <c r="RMJ133" s="531" t="e">
        <f t="shared" si="456"/>
        <v>#DIV/0!</v>
      </c>
      <c r="RMK133" s="531" t="e">
        <f t="shared" si="456"/>
        <v>#DIV/0!</v>
      </c>
      <c r="RML133" s="531" t="e">
        <f t="shared" si="456"/>
        <v>#DIV/0!</v>
      </c>
      <c r="RMM133" s="531" t="e">
        <f t="shared" si="456"/>
        <v>#DIV/0!</v>
      </c>
      <c r="RMN133" s="531" t="e">
        <f t="shared" si="456"/>
        <v>#DIV/0!</v>
      </c>
      <c r="RMO133" s="531" t="e">
        <f t="shared" si="456"/>
        <v>#DIV/0!</v>
      </c>
      <c r="RMP133" s="531" t="e">
        <f t="shared" si="456"/>
        <v>#DIV/0!</v>
      </c>
      <c r="RMQ133" s="531" t="e">
        <f t="shared" si="456"/>
        <v>#DIV/0!</v>
      </c>
      <c r="RMR133" s="531" t="e">
        <f t="shared" si="456"/>
        <v>#DIV/0!</v>
      </c>
      <c r="RMS133" s="531" t="e">
        <f t="shared" si="456"/>
        <v>#DIV/0!</v>
      </c>
      <c r="RMT133" s="531" t="e">
        <f t="shared" si="456"/>
        <v>#DIV/0!</v>
      </c>
      <c r="RMU133" s="531" t="e">
        <f t="shared" si="456"/>
        <v>#DIV/0!</v>
      </c>
      <c r="RMV133" s="531" t="e">
        <f t="shared" si="456"/>
        <v>#DIV/0!</v>
      </c>
      <c r="RMW133" s="531" t="e">
        <f t="shared" si="456"/>
        <v>#DIV/0!</v>
      </c>
      <c r="RMX133" s="531" t="e">
        <f t="shared" si="456"/>
        <v>#DIV/0!</v>
      </c>
      <c r="RMY133" s="531" t="e">
        <f t="shared" si="456"/>
        <v>#DIV/0!</v>
      </c>
      <c r="RMZ133" s="531" t="e">
        <f t="shared" si="456"/>
        <v>#DIV/0!</v>
      </c>
      <c r="RNA133" s="531" t="e">
        <f t="shared" si="456"/>
        <v>#DIV/0!</v>
      </c>
      <c r="RNB133" s="531" t="e">
        <f t="shared" si="456"/>
        <v>#DIV/0!</v>
      </c>
      <c r="RNC133" s="531" t="e">
        <f t="shared" si="456"/>
        <v>#DIV/0!</v>
      </c>
      <c r="RND133" s="531" t="e">
        <f t="shared" si="456"/>
        <v>#DIV/0!</v>
      </c>
      <c r="RNE133" s="531" t="e">
        <f t="shared" si="456"/>
        <v>#DIV/0!</v>
      </c>
      <c r="RNF133" s="531" t="e">
        <f t="shared" si="456"/>
        <v>#DIV/0!</v>
      </c>
      <c r="RNG133" s="531" t="e">
        <f t="shared" si="456"/>
        <v>#DIV/0!</v>
      </c>
      <c r="RNH133" s="531" t="e">
        <f t="shared" si="456"/>
        <v>#DIV/0!</v>
      </c>
      <c r="RNI133" s="531" t="e">
        <f t="shared" si="456"/>
        <v>#DIV/0!</v>
      </c>
      <c r="RNJ133" s="531" t="e">
        <f t="shared" si="456"/>
        <v>#DIV/0!</v>
      </c>
      <c r="RNK133" s="531" t="e">
        <f t="shared" si="456"/>
        <v>#DIV/0!</v>
      </c>
      <c r="RNL133" s="531" t="e">
        <f t="shared" si="456"/>
        <v>#DIV/0!</v>
      </c>
      <c r="RNM133" s="531" t="e">
        <f t="shared" si="456"/>
        <v>#DIV/0!</v>
      </c>
      <c r="RNN133" s="531" t="e">
        <f t="shared" si="456"/>
        <v>#DIV/0!</v>
      </c>
      <c r="RNO133" s="531" t="e">
        <f t="shared" si="456"/>
        <v>#DIV/0!</v>
      </c>
      <c r="RNP133" s="531" t="e">
        <f t="shared" si="456"/>
        <v>#DIV/0!</v>
      </c>
      <c r="RNQ133" s="531" t="e">
        <f t="shared" si="456"/>
        <v>#DIV/0!</v>
      </c>
      <c r="RNR133" s="531" t="e">
        <f t="shared" si="456"/>
        <v>#DIV/0!</v>
      </c>
      <c r="RNS133" s="531" t="e">
        <f t="shared" ref="RNS133:RQD133" si="457">RNS116/(RNS52*10^5)</f>
        <v>#DIV/0!</v>
      </c>
      <c r="RNT133" s="531" t="e">
        <f t="shared" si="457"/>
        <v>#DIV/0!</v>
      </c>
      <c r="RNU133" s="531" t="e">
        <f t="shared" si="457"/>
        <v>#DIV/0!</v>
      </c>
      <c r="RNV133" s="531" t="e">
        <f t="shared" si="457"/>
        <v>#DIV/0!</v>
      </c>
      <c r="RNW133" s="531" t="e">
        <f t="shared" si="457"/>
        <v>#DIV/0!</v>
      </c>
      <c r="RNX133" s="531" t="e">
        <f t="shared" si="457"/>
        <v>#DIV/0!</v>
      </c>
      <c r="RNY133" s="531" t="e">
        <f t="shared" si="457"/>
        <v>#DIV/0!</v>
      </c>
      <c r="RNZ133" s="531" t="e">
        <f t="shared" si="457"/>
        <v>#DIV/0!</v>
      </c>
      <c r="ROA133" s="531" t="e">
        <f t="shared" si="457"/>
        <v>#DIV/0!</v>
      </c>
      <c r="ROB133" s="531" t="e">
        <f t="shared" si="457"/>
        <v>#DIV/0!</v>
      </c>
      <c r="ROC133" s="531" t="e">
        <f t="shared" si="457"/>
        <v>#DIV/0!</v>
      </c>
      <c r="ROD133" s="531" t="e">
        <f t="shared" si="457"/>
        <v>#DIV/0!</v>
      </c>
      <c r="ROE133" s="531" t="e">
        <f t="shared" si="457"/>
        <v>#DIV/0!</v>
      </c>
      <c r="ROF133" s="531" t="e">
        <f t="shared" si="457"/>
        <v>#DIV/0!</v>
      </c>
      <c r="ROG133" s="531" t="e">
        <f t="shared" si="457"/>
        <v>#DIV/0!</v>
      </c>
      <c r="ROH133" s="531" t="e">
        <f t="shared" si="457"/>
        <v>#DIV/0!</v>
      </c>
      <c r="ROI133" s="531" t="e">
        <f t="shared" si="457"/>
        <v>#DIV/0!</v>
      </c>
      <c r="ROJ133" s="531" t="e">
        <f t="shared" si="457"/>
        <v>#DIV/0!</v>
      </c>
      <c r="ROK133" s="531" t="e">
        <f t="shared" si="457"/>
        <v>#DIV/0!</v>
      </c>
      <c r="ROL133" s="531" t="e">
        <f t="shared" si="457"/>
        <v>#DIV/0!</v>
      </c>
      <c r="ROM133" s="531" t="e">
        <f t="shared" si="457"/>
        <v>#DIV/0!</v>
      </c>
      <c r="RON133" s="531" t="e">
        <f t="shared" si="457"/>
        <v>#DIV/0!</v>
      </c>
      <c r="ROO133" s="531" t="e">
        <f t="shared" si="457"/>
        <v>#DIV/0!</v>
      </c>
      <c r="ROP133" s="531" t="e">
        <f t="shared" si="457"/>
        <v>#DIV/0!</v>
      </c>
      <c r="ROQ133" s="531" t="e">
        <f t="shared" si="457"/>
        <v>#DIV/0!</v>
      </c>
      <c r="ROR133" s="531" t="e">
        <f t="shared" si="457"/>
        <v>#DIV/0!</v>
      </c>
      <c r="ROS133" s="531" t="e">
        <f t="shared" si="457"/>
        <v>#DIV/0!</v>
      </c>
      <c r="ROT133" s="531" t="e">
        <f t="shared" si="457"/>
        <v>#DIV/0!</v>
      </c>
      <c r="ROU133" s="531" t="e">
        <f t="shared" si="457"/>
        <v>#DIV/0!</v>
      </c>
      <c r="ROV133" s="531" t="e">
        <f t="shared" si="457"/>
        <v>#DIV/0!</v>
      </c>
      <c r="ROW133" s="531" t="e">
        <f t="shared" si="457"/>
        <v>#DIV/0!</v>
      </c>
      <c r="ROX133" s="531" t="e">
        <f t="shared" si="457"/>
        <v>#DIV/0!</v>
      </c>
      <c r="ROY133" s="531" t="e">
        <f t="shared" si="457"/>
        <v>#DIV/0!</v>
      </c>
      <c r="ROZ133" s="531" t="e">
        <f t="shared" si="457"/>
        <v>#DIV/0!</v>
      </c>
      <c r="RPA133" s="531" t="e">
        <f t="shared" si="457"/>
        <v>#DIV/0!</v>
      </c>
      <c r="RPB133" s="531" t="e">
        <f t="shared" si="457"/>
        <v>#DIV/0!</v>
      </c>
      <c r="RPC133" s="531" t="e">
        <f t="shared" si="457"/>
        <v>#DIV/0!</v>
      </c>
      <c r="RPD133" s="531" t="e">
        <f t="shared" si="457"/>
        <v>#DIV/0!</v>
      </c>
      <c r="RPE133" s="531" t="e">
        <f t="shared" si="457"/>
        <v>#DIV/0!</v>
      </c>
      <c r="RPF133" s="531" t="e">
        <f t="shared" si="457"/>
        <v>#DIV/0!</v>
      </c>
      <c r="RPG133" s="531" t="e">
        <f t="shared" si="457"/>
        <v>#DIV/0!</v>
      </c>
      <c r="RPH133" s="531" t="e">
        <f t="shared" si="457"/>
        <v>#DIV/0!</v>
      </c>
      <c r="RPI133" s="531" t="e">
        <f t="shared" si="457"/>
        <v>#DIV/0!</v>
      </c>
      <c r="RPJ133" s="531" t="e">
        <f t="shared" si="457"/>
        <v>#DIV/0!</v>
      </c>
      <c r="RPK133" s="531" t="e">
        <f t="shared" si="457"/>
        <v>#DIV/0!</v>
      </c>
      <c r="RPL133" s="531" t="e">
        <f t="shared" si="457"/>
        <v>#DIV/0!</v>
      </c>
      <c r="RPM133" s="531" t="e">
        <f t="shared" si="457"/>
        <v>#DIV/0!</v>
      </c>
      <c r="RPN133" s="531" t="e">
        <f t="shared" si="457"/>
        <v>#DIV/0!</v>
      </c>
      <c r="RPO133" s="531" t="e">
        <f t="shared" si="457"/>
        <v>#DIV/0!</v>
      </c>
      <c r="RPP133" s="531" t="e">
        <f t="shared" si="457"/>
        <v>#DIV/0!</v>
      </c>
      <c r="RPQ133" s="531" t="e">
        <f t="shared" si="457"/>
        <v>#DIV/0!</v>
      </c>
      <c r="RPR133" s="531" t="e">
        <f t="shared" si="457"/>
        <v>#DIV/0!</v>
      </c>
      <c r="RPS133" s="531" t="e">
        <f t="shared" si="457"/>
        <v>#DIV/0!</v>
      </c>
      <c r="RPT133" s="531" t="e">
        <f t="shared" si="457"/>
        <v>#DIV/0!</v>
      </c>
      <c r="RPU133" s="531" t="e">
        <f t="shared" si="457"/>
        <v>#DIV/0!</v>
      </c>
      <c r="RPV133" s="531" t="e">
        <f t="shared" si="457"/>
        <v>#DIV/0!</v>
      </c>
      <c r="RPW133" s="531" t="e">
        <f t="shared" si="457"/>
        <v>#DIV/0!</v>
      </c>
      <c r="RPX133" s="531" t="e">
        <f t="shared" si="457"/>
        <v>#DIV/0!</v>
      </c>
      <c r="RPY133" s="531" t="e">
        <f t="shared" si="457"/>
        <v>#DIV/0!</v>
      </c>
      <c r="RPZ133" s="531" t="e">
        <f t="shared" si="457"/>
        <v>#DIV/0!</v>
      </c>
      <c r="RQA133" s="531" t="e">
        <f t="shared" si="457"/>
        <v>#DIV/0!</v>
      </c>
      <c r="RQB133" s="531" t="e">
        <f t="shared" si="457"/>
        <v>#DIV/0!</v>
      </c>
      <c r="RQC133" s="531" t="e">
        <f t="shared" si="457"/>
        <v>#DIV/0!</v>
      </c>
      <c r="RQD133" s="531" t="e">
        <f t="shared" si="457"/>
        <v>#DIV/0!</v>
      </c>
      <c r="RQE133" s="531" t="e">
        <f t="shared" ref="RQE133:RSP133" si="458">RQE116/(RQE52*10^5)</f>
        <v>#DIV/0!</v>
      </c>
      <c r="RQF133" s="531" t="e">
        <f t="shared" si="458"/>
        <v>#DIV/0!</v>
      </c>
      <c r="RQG133" s="531" t="e">
        <f t="shared" si="458"/>
        <v>#DIV/0!</v>
      </c>
      <c r="RQH133" s="531" t="e">
        <f t="shared" si="458"/>
        <v>#DIV/0!</v>
      </c>
      <c r="RQI133" s="531" t="e">
        <f t="shared" si="458"/>
        <v>#DIV/0!</v>
      </c>
      <c r="RQJ133" s="531" t="e">
        <f t="shared" si="458"/>
        <v>#DIV/0!</v>
      </c>
      <c r="RQK133" s="531" t="e">
        <f t="shared" si="458"/>
        <v>#DIV/0!</v>
      </c>
      <c r="RQL133" s="531" t="e">
        <f t="shared" si="458"/>
        <v>#DIV/0!</v>
      </c>
      <c r="RQM133" s="531" t="e">
        <f t="shared" si="458"/>
        <v>#DIV/0!</v>
      </c>
      <c r="RQN133" s="531" t="e">
        <f t="shared" si="458"/>
        <v>#DIV/0!</v>
      </c>
      <c r="RQO133" s="531" t="e">
        <f t="shared" si="458"/>
        <v>#DIV/0!</v>
      </c>
      <c r="RQP133" s="531" t="e">
        <f t="shared" si="458"/>
        <v>#DIV/0!</v>
      </c>
      <c r="RQQ133" s="531" t="e">
        <f t="shared" si="458"/>
        <v>#DIV/0!</v>
      </c>
      <c r="RQR133" s="531" t="e">
        <f t="shared" si="458"/>
        <v>#DIV/0!</v>
      </c>
      <c r="RQS133" s="531" t="e">
        <f t="shared" si="458"/>
        <v>#DIV/0!</v>
      </c>
      <c r="RQT133" s="531" t="e">
        <f t="shared" si="458"/>
        <v>#DIV/0!</v>
      </c>
      <c r="RQU133" s="531" t="e">
        <f t="shared" si="458"/>
        <v>#DIV/0!</v>
      </c>
      <c r="RQV133" s="531" t="e">
        <f t="shared" si="458"/>
        <v>#DIV/0!</v>
      </c>
      <c r="RQW133" s="531" t="e">
        <f t="shared" si="458"/>
        <v>#DIV/0!</v>
      </c>
      <c r="RQX133" s="531" t="e">
        <f t="shared" si="458"/>
        <v>#DIV/0!</v>
      </c>
      <c r="RQY133" s="531" t="e">
        <f t="shared" si="458"/>
        <v>#DIV/0!</v>
      </c>
      <c r="RQZ133" s="531" t="e">
        <f t="shared" si="458"/>
        <v>#DIV/0!</v>
      </c>
      <c r="RRA133" s="531" t="e">
        <f t="shared" si="458"/>
        <v>#DIV/0!</v>
      </c>
      <c r="RRB133" s="531" t="e">
        <f t="shared" si="458"/>
        <v>#DIV/0!</v>
      </c>
      <c r="RRC133" s="531" t="e">
        <f t="shared" si="458"/>
        <v>#DIV/0!</v>
      </c>
      <c r="RRD133" s="531" t="e">
        <f t="shared" si="458"/>
        <v>#DIV/0!</v>
      </c>
      <c r="RRE133" s="531" t="e">
        <f t="shared" si="458"/>
        <v>#DIV/0!</v>
      </c>
      <c r="RRF133" s="531" t="e">
        <f t="shared" si="458"/>
        <v>#DIV/0!</v>
      </c>
      <c r="RRG133" s="531" t="e">
        <f t="shared" si="458"/>
        <v>#DIV/0!</v>
      </c>
      <c r="RRH133" s="531" t="e">
        <f t="shared" si="458"/>
        <v>#DIV/0!</v>
      </c>
      <c r="RRI133" s="531" t="e">
        <f t="shared" si="458"/>
        <v>#DIV/0!</v>
      </c>
      <c r="RRJ133" s="531" t="e">
        <f t="shared" si="458"/>
        <v>#DIV/0!</v>
      </c>
      <c r="RRK133" s="531" t="e">
        <f t="shared" si="458"/>
        <v>#DIV/0!</v>
      </c>
      <c r="RRL133" s="531" t="e">
        <f t="shared" si="458"/>
        <v>#DIV/0!</v>
      </c>
      <c r="RRM133" s="531" t="e">
        <f t="shared" si="458"/>
        <v>#DIV/0!</v>
      </c>
      <c r="RRN133" s="531" t="e">
        <f t="shared" si="458"/>
        <v>#DIV/0!</v>
      </c>
      <c r="RRO133" s="531" t="e">
        <f t="shared" si="458"/>
        <v>#DIV/0!</v>
      </c>
      <c r="RRP133" s="531" t="e">
        <f t="shared" si="458"/>
        <v>#DIV/0!</v>
      </c>
      <c r="RRQ133" s="531" t="e">
        <f t="shared" si="458"/>
        <v>#DIV/0!</v>
      </c>
      <c r="RRR133" s="531" t="e">
        <f t="shared" si="458"/>
        <v>#DIV/0!</v>
      </c>
      <c r="RRS133" s="531" t="e">
        <f t="shared" si="458"/>
        <v>#DIV/0!</v>
      </c>
      <c r="RRT133" s="531" t="e">
        <f t="shared" si="458"/>
        <v>#DIV/0!</v>
      </c>
      <c r="RRU133" s="531" t="e">
        <f t="shared" si="458"/>
        <v>#DIV/0!</v>
      </c>
      <c r="RRV133" s="531" t="e">
        <f t="shared" si="458"/>
        <v>#DIV/0!</v>
      </c>
      <c r="RRW133" s="531" t="e">
        <f t="shared" si="458"/>
        <v>#DIV/0!</v>
      </c>
      <c r="RRX133" s="531" t="e">
        <f t="shared" si="458"/>
        <v>#DIV/0!</v>
      </c>
      <c r="RRY133" s="531" t="e">
        <f t="shared" si="458"/>
        <v>#DIV/0!</v>
      </c>
      <c r="RRZ133" s="531" t="e">
        <f t="shared" si="458"/>
        <v>#DIV/0!</v>
      </c>
      <c r="RSA133" s="531" t="e">
        <f t="shared" si="458"/>
        <v>#DIV/0!</v>
      </c>
      <c r="RSB133" s="531" t="e">
        <f t="shared" si="458"/>
        <v>#DIV/0!</v>
      </c>
      <c r="RSC133" s="531" t="e">
        <f t="shared" si="458"/>
        <v>#DIV/0!</v>
      </c>
      <c r="RSD133" s="531" t="e">
        <f t="shared" si="458"/>
        <v>#DIV/0!</v>
      </c>
      <c r="RSE133" s="531" t="e">
        <f t="shared" si="458"/>
        <v>#DIV/0!</v>
      </c>
      <c r="RSF133" s="531" t="e">
        <f t="shared" si="458"/>
        <v>#DIV/0!</v>
      </c>
      <c r="RSG133" s="531" t="e">
        <f t="shared" si="458"/>
        <v>#DIV/0!</v>
      </c>
      <c r="RSH133" s="531" t="e">
        <f t="shared" si="458"/>
        <v>#DIV/0!</v>
      </c>
      <c r="RSI133" s="531" t="e">
        <f t="shared" si="458"/>
        <v>#DIV/0!</v>
      </c>
      <c r="RSJ133" s="531" t="e">
        <f t="shared" si="458"/>
        <v>#DIV/0!</v>
      </c>
      <c r="RSK133" s="531" t="e">
        <f t="shared" si="458"/>
        <v>#DIV/0!</v>
      </c>
      <c r="RSL133" s="531" t="e">
        <f t="shared" si="458"/>
        <v>#DIV/0!</v>
      </c>
      <c r="RSM133" s="531" t="e">
        <f t="shared" si="458"/>
        <v>#DIV/0!</v>
      </c>
      <c r="RSN133" s="531" t="e">
        <f t="shared" si="458"/>
        <v>#DIV/0!</v>
      </c>
      <c r="RSO133" s="531" t="e">
        <f t="shared" si="458"/>
        <v>#DIV/0!</v>
      </c>
      <c r="RSP133" s="531" t="e">
        <f t="shared" si="458"/>
        <v>#DIV/0!</v>
      </c>
      <c r="RSQ133" s="531" t="e">
        <f t="shared" ref="RSQ133:RVB133" si="459">RSQ116/(RSQ52*10^5)</f>
        <v>#DIV/0!</v>
      </c>
      <c r="RSR133" s="531" t="e">
        <f t="shared" si="459"/>
        <v>#DIV/0!</v>
      </c>
      <c r="RSS133" s="531" t="e">
        <f t="shared" si="459"/>
        <v>#DIV/0!</v>
      </c>
      <c r="RST133" s="531" t="e">
        <f t="shared" si="459"/>
        <v>#DIV/0!</v>
      </c>
      <c r="RSU133" s="531" t="e">
        <f t="shared" si="459"/>
        <v>#DIV/0!</v>
      </c>
      <c r="RSV133" s="531" t="e">
        <f t="shared" si="459"/>
        <v>#DIV/0!</v>
      </c>
      <c r="RSW133" s="531" t="e">
        <f t="shared" si="459"/>
        <v>#DIV/0!</v>
      </c>
      <c r="RSX133" s="531" t="e">
        <f t="shared" si="459"/>
        <v>#DIV/0!</v>
      </c>
      <c r="RSY133" s="531" t="e">
        <f t="shared" si="459"/>
        <v>#DIV/0!</v>
      </c>
      <c r="RSZ133" s="531" t="e">
        <f t="shared" si="459"/>
        <v>#DIV/0!</v>
      </c>
      <c r="RTA133" s="531" t="e">
        <f t="shared" si="459"/>
        <v>#DIV/0!</v>
      </c>
      <c r="RTB133" s="531" t="e">
        <f t="shared" si="459"/>
        <v>#DIV/0!</v>
      </c>
      <c r="RTC133" s="531" t="e">
        <f t="shared" si="459"/>
        <v>#DIV/0!</v>
      </c>
      <c r="RTD133" s="531" t="e">
        <f t="shared" si="459"/>
        <v>#DIV/0!</v>
      </c>
      <c r="RTE133" s="531" t="e">
        <f t="shared" si="459"/>
        <v>#DIV/0!</v>
      </c>
      <c r="RTF133" s="531" t="e">
        <f t="shared" si="459"/>
        <v>#DIV/0!</v>
      </c>
      <c r="RTG133" s="531" t="e">
        <f t="shared" si="459"/>
        <v>#DIV/0!</v>
      </c>
      <c r="RTH133" s="531" t="e">
        <f t="shared" si="459"/>
        <v>#DIV/0!</v>
      </c>
      <c r="RTI133" s="531" t="e">
        <f t="shared" si="459"/>
        <v>#DIV/0!</v>
      </c>
      <c r="RTJ133" s="531" t="e">
        <f t="shared" si="459"/>
        <v>#DIV/0!</v>
      </c>
      <c r="RTK133" s="531" t="e">
        <f t="shared" si="459"/>
        <v>#DIV/0!</v>
      </c>
      <c r="RTL133" s="531" t="e">
        <f t="shared" si="459"/>
        <v>#DIV/0!</v>
      </c>
      <c r="RTM133" s="531" t="e">
        <f t="shared" si="459"/>
        <v>#DIV/0!</v>
      </c>
      <c r="RTN133" s="531" t="e">
        <f t="shared" si="459"/>
        <v>#DIV/0!</v>
      </c>
      <c r="RTO133" s="531" t="e">
        <f t="shared" si="459"/>
        <v>#DIV/0!</v>
      </c>
      <c r="RTP133" s="531" t="e">
        <f t="shared" si="459"/>
        <v>#DIV/0!</v>
      </c>
      <c r="RTQ133" s="531" t="e">
        <f t="shared" si="459"/>
        <v>#DIV/0!</v>
      </c>
      <c r="RTR133" s="531" t="e">
        <f t="shared" si="459"/>
        <v>#DIV/0!</v>
      </c>
      <c r="RTS133" s="531" t="e">
        <f t="shared" si="459"/>
        <v>#DIV/0!</v>
      </c>
      <c r="RTT133" s="531" t="e">
        <f t="shared" si="459"/>
        <v>#DIV/0!</v>
      </c>
      <c r="RTU133" s="531" t="e">
        <f t="shared" si="459"/>
        <v>#DIV/0!</v>
      </c>
      <c r="RTV133" s="531" t="e">
        <f t="shared" si="459"/>
        <v>#DIV/0!</v>
      </c>
      <c r="RTW133" s="531" t="e">
        <f t="shared" si="459"/>
        <v>#DIV/0!</v>
      </c>
      <c r="RTX133" s="531" t="e">
        <f t="shared" si="459"/>
        <v>#DIV/0!</v>
      </c>
      <c r="RTY133" s="531" t="e">
        <f t="shared" si="459"/>
        <v>#DIV/0!</v>
      </c>
      <c r="RTZ133" s="531" t="e">
        <f t="shared" si="459"/>
        <v>#DIV/0!</v>
      </c>
      <c r="RUA133" s="531" t="e">
        <f t="shared" si="459"/>
        <v>#DIV/0!</v>
      </c>
      <c r="RUB133" s="531" t="e">
        <f t="shared" si="459"/>
        <v>#DIV/0!</v>
      </c>
      <c r="RUC133" s="531" t="e">
        <f t="shared" si="459"/>
        <v>#DIV/0!</v>
      </c>
      <c r="RUD133" s="531" t="e">
        <f t="shared" si="459"/>
        <v>#DIV/0!</v>
      </c>
      <c r="RUE133" s="531" t="e">
        <f t="shared" si="459"/>
        <v>#DIV/0!</v>
      </c>
      <c r="RUF133" s="531" t="e">
        <f t="shared" si="459"/>
        <v>#DIV/0!</v>
      </c>
      <c r="RUG133" s="531" t="e">
        <f t="shared" si="459"/>
        <v>#DIV/0!</v>
      </c>
      <c r="RUH133" s="531" t="e">
        <f t="shared" si="459"/>
        <v>#DIV/0!</v>
      </c>
      <c r="RUI133" s="531" t="e">
        <f t="shared" si="459"/>
        <v>#DIV/0!</v>
      </c>
      <c r="RUJ133" s="531" t="e">
        <f t="shared" si="459"/>
        <v>#DIV/0!</v>
      </c>
      <c r="RUK133" s="531" t="e">
        <f t="shared" si="459"/>
        <v>#DIV/0!</v>
      </c>
      <c r="RUL133" s="531" t="e">
        <f t="shared" si="459"/>
        <v>#DIV/0!</v>
      </c>
      <c r="RUM133" s="531" t="e">
        <f t="shared" si="459"/>
        <v>#DIV/0!</v>
      </c>
      <c r="RUN133" s="531" t="e">
        <f t="shared" si="459"/>
        <v>#DIV/0!</v>
      </c>
      <c r="RUO133" s="531" t="e">
        <f t="shared" si="459"/>
        <v>#DIV/0!</v>
      </c>
      <c r="RUP133" s="531" t="e">
        <f t="shared" si="459"/>
        <v>#DIV/0!</v>
      </c>
      <c r="RUQ133" s="531" t="e">
        <f t="shared" si="459"/>
        <v>#DIV/0!</v>
      </c>
      <c r="RUR133" s="531" t="e">
        <f t="shared" si="459"/>
        <v>#DIV/0!</v>
      </c>
      <c r="RUS133" s="531" t="e">
        <f t="shared" si="459"/>
        <v>#DIV/0!</v>
      </c>
      <c r="RUT133" s="531" t="e">
        <f t="shared" si="459"/>
        <v>#DIV/0!</v>
      </c>
      <c r="RUU133" s="531" t="e">
        <f t="shared" si="459"/>
        <v>#DIV/0!</v>
      </c>
      <c r="RUV133" s="531" t="e">
        <f t="shared" si="459"/>
        <v>#DIV/0!</v>
      </c>
      <c r="RUW133" s="531" t="e">
        <f t="shared" si="459"/>
        <v>#DIV/0!</v>
      </c>
      <c r="RUX133" s="531" t="e">
        <f t="shared" si="459"/>
        <v>#DIV/0!</v>
      </c>
      <c r="RUY133" s="531" t="e">
        <f t="shared" si="459"/>
        <v>#DIV/0!</v>
      </c>
      <c r="RUZ133" s="531" t="e">
        <f t="shared" si="459"/>
        <v>#DIV/0!</v>
      </c>
      <c r="RVA133" s="531" t="e">
        <f t="shared" si="459"/>
        <v>#DIV/0!</v>
      </c>
      <c r="RVB133" s="531" t="e">
        <f t="shared" si="459"/>
        <v>#DIV/0!</v>
      </c>
      <c r="RVC133" s="531" t="e">
        <f t="shared" ref="RVC133:RXN133" si="460">RVC116/(RVC52*10^5)</f>
        <v>#DIV/0!</v>
      </c>
      <c r="RVD133" s="531" t="e">
        <f t="shared" si="460"/>
        <v>#DIV/0!</v>
      </c>
      <c r="RVE133" s="531" t="e">
        <f t="shared" si="460"/>
        <v>#DIV/0!</v>
      </c>
      <c r="RVF133" s="531" t="e">
        <f t="shared" si="460"/>
        <v>#DIV/0!</v>
      </c>
      <c r="RVG133" s="531" t="e">
        <f t="shared" si="460"/>
        <v>#DIV/0!</v>
      </c>
      <c r="RVH133" s="531" t="e">
        <f t="shared" si="460"/>
        <v>#DIV/0!</v>
      </c>
      <c r="RVI133" s="531" t="e">
        <f t="shared" si="460"/>
        <v>#DIV/0!</v>
      </c>
      <c r="RVJ133" s="531" t="e">
        <f t="shared" si="460"/>
        <v>#DIV/0!</v>
      </c>
      <c r="RVK133" s="531" t="e">
        <f t="shared" si="460"/>
        <v>#DIV/0!</v>
      </c>
      <c r="RVL133" s="531" t="e">
        <f t="shared" si="460"/>
        <v>#DIV/0!</v>
      </c>
      <c r="RVM133" s="531" t="e">
        <f t="shared" si="460"/>
        <v>#DIV/0!</v>
      </c>
      <c r="RVN133" s="531" t="e">
        <f t="shared" si="460"/>
        <v>#DIV/0!</v>
      </c>
      <c r="RVO133" s="531" t="e">
        <f t="shared" si="460"/>
        <v>#DIV/0!</v>
      </c>
      <c r="RVP133" s="531" t="e">
        <f t="shared" si="460"/>
        <v>#DIV/0!</v>
      </c>
      <c r="RVQ133" s="531" t="e">
        <f t="shared" si="460"/>
        <v>#DIV/0!</v>
      </c>
      <c r="RVR133" s="531" t="e">
        <f t="shared" si="460"/>
        <v>#DIV/0!</v>
      </c>
      <c r="RVS133" s="531" t="e">
        <f t="shared" si="460"/>
        <v>#DIV/0!</v>
      </c>
      <c r="RVT133" s="531" t="e">
        <f t="shared" si="460"/>
        <v>#DIV/0!</v>
      </c>
      <c r="RVU133" s="531" t="e">
        <f t="shared" si="460"/>
        <v>#DIV/0!</v>
      </c>
      <c r="RVV133" s="531" t="e">
        <f t="shared" si="460"/>
        <v>#DIV/0!</v>
      </c>
      <c r="RVW133" s="531" t="e">
        <f t="shared" si="460"/>
        <v>#DIV/0!</v>
      </c>
      <c r="RVX133" s="531" t="e">
        <f t="shared" si="460"/>
        <v>#DIV/0!</v>
      </c>
      <c r="RVY133" s="531" t="e">
        <f t="shared" si="460"/>
        <v>#DIV/0!</v>
      </c>
      <c r="RVZ133" s="531" t="e">
        <f t="shared" si="460"/>
        <v>#DIV/0!</v>
      </c>
      <c r="RWA133" s="531" t="e">
        <f t="shared" si="460"/>
        <v>#DIV/0!</v>
      </c>
      <c r="RWB133" s="531" t="e">
        <f t="shared" si="460"/>
        <v>#DIV/0!</v>
      </c>
      <c r="RWC133" s="531" t="e">
        <f t="shared" si="460"/>
        <v>#DIV/0!</v>
      </c>
      <c r="RWD133" s="531" t="e">
        <f t="shared" si="460"/>
        <v>#DIV/0!</v>
      </c>
      <c r="RWE133" s="531" t="e">
        <f t="shared" si="460"/>
        <v>#DIV/0!</v>
      </c>
      <c r="RWF133" s="531" t="e">
        <f t="shared" si="460"/>
        <v>#DIV/0!</v>
      </c>
      <c r="RWG133" s="531" t="e">
        <f t="shared" si="460"/>
        <v>#DIV/0!</v>
      </c>
      <c r="RWH133" s="531" t="e">
        <f t="shared" si="460"/>
        <v>#DIV/0!</v>
      </c>
      <c r="RWI133" s="531" t="e">
        <f t="shared" si="460"/>
        <v>#DIV/0!</v>
      </c>
      <c r="RWJ133" s="531" t="e">
        <f t="shared" si="460"/>
        <v>#DIV/0!</v>
      </c>
      <c r="RWK133" s="531" t="e">
        <f t="shared" si="460"/>
        <v>#DIV/0!</v>
      </c>
      <c r="RWL133" s="531" t="e">
        <f t="shared" si="460"/>
        <v>#DIV/0!</v>
      </c>
      <c r="RWM133" s="531" t="e">
        <f t="shared" si="460"/>
        <v>#DIV/0!</v>
      </c>
      <c r="RWN133" s="531" t="e">
        <f t="shared" si="460"/>
        <v>#DIV/0!</v>
      </c>
      <c r="RWO133" s="531" t="e">
        <f t="shared" si="460"/>
        <v>#DIV/0!</v>
      </c>
      <c r="RWP133" s="531" t="e">
        <f t="shared" si="460"/>
        <v>#DIV/0!</v>
      </c>
      <c r="RWQ133" s="531" t="e">
        <f t="shared" si="460"/>
        <v>#DIV/0!</v>
      </c>
      <c r="RWR133" s="531" t="e">
        <f t="shared" si="460"/>
        <v>#DIV/0!</v>
      </c>
      <c r="RWS133" s="531" t="e">
        <f t="shared" si="460"/>
        <v>#DIV/0!</v>
      </c>
      <c r="RWT133" s="531" t="e">
        <f t="shared" si="460"/>
        <v>#DIV/0!</v>
      </c>
      <c r="RWU133" s="531" t="e">
        <f t="shared" si="460"/>
        <v>#DIV/0!</v>
      </c>
      <c r="RWV133" s="531" t="e">
        <f t="shared" si="460"/>
        <v>#DIV/0!</v>
      </c>
      <c r="RWW133" s="531" t="e">
        <f t="shared" si="460"/>
        <v>#DIV/0!</v>
      </c>
      <c r="RWX133" s="531" t="e">
        <f t="shared" si="460"/>
        <v>#DIV/0!</v>
      </c>
      <c r="RWY133" s="531" t="e">
        <f t="shared" si="460"/>
        <v>#DIV/0!</v>
      </c>
      <c r="RWZ133" s="531" t="e">
        <f t="shared" si="460"/>
        <v>#DIV/0!</v>
      </c>
      <c r="RXA133" s="531" t="e">
        <f t="shared" si="460"/>
        <v>#DIV/0!</v>
      </c>
      <c r="RXB133" s="531" t="e">
        <f t="shared" si="460"/>
        <v>#DIV/0!</v>
      </c>
      <c r="RXC133" s="531" t="e">
        <f t="shared" si="460"/>
        <v>#DIV/0!</v>
      </c>
      <c r="RXD133" s="531" t="e">
        <f t="shared" si="460"/>
        <v>#DIV/0!</v>
      </c>
      <c r="RXE133" s="531" t="e">
        <f t="shared" si="460"/>
        <v>#DIV/0!</v>
      </c>
      <c r="RXF133" s="531" t="e">
        <f t="shared" si="460"/>
        <v>#DIV/0!</v>
      </c>
      <c r="RXG133" s="531" t="e">
        <f t="shared" si="460"/>
        <v>#DIV/0!</v>
      </c>
      <c r="RXH133" s="531" t="e">
        <f t="shared" si="460"/>
        <v>#DIV/0!</v>
      </c>
      <c r="RXI133" s="531" t="e">
        <f t="shared" si="460"/>
        <v>#DIV/0!</v>
      </c>
      <c r="RXJ133" s="531" t="e">
        <f t="shared" si="460"/>
        <v>#DIV/0!</v>
      </c>
      <c r="RXK133" s="531" t="e">
        <f t="shared" si="460"/>
        <v>#DIV/0!</v>
      </c>
      <c r="RXL133" s="531" t="e">
        <f t="shared" si="460"/>
        <v>#DIV/0!</v>
      </c>
      <c r="RXM133" s="531" t="e">
        <f t="shared" si="460"/>
        <v>#DIV/0!</v>
      </c>
      <c r="RXN133" s="531" t="e">
        <f t="shared" si="460"/>
        <v>#DIV/0!</v>
      </c>
      <c r="RXO133" s="531" t="e">
        <f t="shared" ref="RXO133:RZZ133" si="461">RXO116/(RXO52*10^5)</f>
        <v>#DIV/0!</v>
      </c>
      <c r="RXP133" s="531" t="e">
        <f t="shared" si="461"/>
        <v>#DIV/0!</v>
      </c>
      <c r="RXQ133" s="531" t="e">
        <f t="shared" si="461"/>
        <v>#DIV/0!</v>
      </c>
      <c r="RXR133" s="531" t="e">
        <f t="shared" si="461"/>
        <v>#DIV/0!</v>
      </c>
      <c r="RXS133" s="531" t="e">
        <f t="shared" si="461"/>
        <v>#DIV/0!</v>
      </c>
      <c r="RXT133" s="531" t="e">
        <f t="shared" si="461"/>
        <v>#DIV/0!</v>
      </c>
      <c r="RXU133" s="531" t="e">
        <f t="shared" si="461"/>
        <v>#DIV/0!</v>
      </c>
      <c r="RXV133" s="531" t="e">
        <f t="shared" si="461"/>
        <v>#DIV/0!</v>
      </c>
      <c r="RXW133" s="531" t="e">
        <f t="shared" si="461"/>
        <v>#DIV/0!</v>
      </c>
      <c r="RXX133" s="531" t="e">
        <f t="shared" si="461"/>
        <v>#DIV/0!</v>
      </c>
      <c r="RXY133" s="531" t="e">
        <f t="shared" si="461"/>
        <v>#DIV/0!</v>
      </c>
      <c r="RXZ133" s="531" t="e">
        <f t="shared" si="461"/>
        <v>#DIV/0!</v>
      </c>
      <c r="RYA133" s="531" t="e">
        <f t="shared" si="461"/>
        <v>#DIV/0!</v>
      </c>
      <c r="RYB133" s="531" t="e">
        <f t="shared" si="461"/>
        <v>#DIV/0!</v>
      </c>
      <c r="RYC133" s="531" t="e">
        <f t="shared" si="461"/>
        <v>#DIV/0!</v>
      </c>
      <c r="RYD133" s="531" t="e">
        <f t="shared" si="461"/>
        <v>#DIV/0!</v>
      </c>
      <c r="RYE133" s="531" t="e">
        <f t="shared" si="461"/>
        <v>#DIV/0!</v>
      </c>
      <c r="RYF133" s="531" t="e">
        <f t="shared" si="461"/>
        <v>#DIV/0!</v>
      </c>
      <c r="RYG133" s="531" t="e">
        <f t="shared" si="461"/>
        <v>#DIV/0!</v>
      </c>
      <c r="RYH133" s="531" t="e">
        <f t="shared" si="461"/>
        <v>#DIV/0!</v>
      </c>
      <c r="RYI133" s="531" t="e">
        <f t="shared" si="461"/>
        <v>#DIV/0!</v>
      </c>
      <c r="RYJ133" s="531" t="e">
        <f t="shared" si="461"/>
        <v>#DIV/0!</v>
      </c>
      <c r="RYK133" s="531" t="e">
        <f t="shared" si="461"/>
        <v>#DIV/0!</v>
      </c>
      <c r="RYL133" s="531" t="e">
        <f t="shared" si="461"/>
        <v>#DIV/0!</v>
      </c>
      <c r="RYM133" s="531" t="e">
        <f t="shared" si="461"/>
        <v>#DIV/0!</v>
      </c>
      <c r="RYN133" s="531" t="e">
        <f t="shared" si="461"/>
        <v>#DIV/0!</v>
      </c>
      <c r="RYO133" s="531" t="e">
        <f t="shared" si="461"/>
        <v>#DIV/0!</v>
      </c>
      <c r="RYP133" s="531" t="e">
        <f t="shared" si="461"/>
        <v>#DIV/0!</v>
      </c>
      <c r="RYQ133" s="531" t="e">
        <f t="shared" si="461"/>
        <v>#DIV/0!</v>
      </c>
      <c r="RYR133" s="531" t="e">
        <f t="shared" si="461"/>
        <v>#DIV/0!</v>
      </c>
      <c r="RYS133" s="531" t="e">
        <f t="shared" si="461"/>
        <v>#DIV/0!</v>
      </c>
      <c r="RYT133" s="531" t="e">
        <f t="shared" si="461"/>
        <v>#DIV/0!</v>
      </c>
      <c r="RYU133" s="531" t="e">
        <f t="shared" si="461"/>
        <v>#DIV/0!</v>
      </c>
      <c r="RYV133" s="531" t="e">
        <f t="shared" si="461"/>
        <v>#DIV/0!</v>
      </c>
      <c r="RYW133" s="531" t="e">
        <f t="shared" si="461"/>
        <v>#DIV/0!</v>
      </c>
      <c r="RYX133" s="531" t="e">
        <f t="shared" si="461"/>
        <v>#DIV/0!</v>
      </c>
      <c r="RYY133" s="531" t="e">
        <f t="shared" si="461"/>
        <v>#DIV/0!</v>
      </c>
      <c r="RYZ133" s="531" t="e">
        <f t="shared" si="461"/>
        <v>#DIV/0!</v>
      </c>
      <c r="RZA133" s="531" t="e">
        <f t="shared" si="461"/>
        <v>#DIV/0!</v>
      </c>
      <c r="RZB133" s="531" t="e">
        <f t="shared" si="461"/>
        <v>#DIV/0!</v>
      </c>
      <c r="RZC133" s="531" t="e">
        <f t="shared" si="461"/>
        <v>#DIV/0!</v>
      </c>
      <c r="RZD133" s="531" t="e">
        <f t="shared" si="461"/>
        <v>#DIV/0!</v>
      </c>
      <c r="RZE133" s="531" t="e">
        <f t="shared" si="461"/>
        <v>#DIV/0!</v>
      </c>
      <c r="RZF133" s="531" t="e">
        <f t="shared" si="461"/>
        <v>#DIV/0!</v>
      </c>
      <c r="RZG133" s="531" t="e">
        <f t="shared" si="461"/>
        <v>#DIV/0!</v>
      </c>
      <c r="RZH133" s="531" t="e">
        <f t="shared" si="461"/>
        <v>#DIV/0!</v>
      </c>
      <c r="RZI133" s="531" t="e">
        <f t="shared" si="461"/>
        <v>#DIV/0!</v>
      </c>
      <c r="RZJ133" s="531" t="e">
        <f t="shared" si="461"/>
        <v>#DIV/0!</v>
      </c>
      <c r="RZK133" s="531" t="e">
        <f t="shared" si="461"/>
        <v>#DIV/0!</v>
      </c>
      <c r="RZL133" s="531" t="e">
        <f t="shared" si="461"/>
        <v>#DIV/0!</v>
      </c>
      <c r="RZM133" s="531" t="e">
        <f t="shared" si="461"/>
        <v>#DIV/0!</v>
      </c>
      <c r="RZN133" s="531" t="e">
        <f t="shared" si="461"/>
        <v>#DIV/0!</v>
      </c>
      <c r="RZO133" s="531" t="e">
        <f t="shared" si="461"/>
        <v>#DIV/0!</v>
      </c>
      <c r="RZP133" s="531" t="e">
        <f t="shared" si="461"/>
        <v>#DIV/0!</v>
      </c>
      <c r="RZQ133" s="531" t="e">
        <f t="shared" si="461"/>
        <v>#DIV/0!</v>
      </c>
      <c r="RZR133" s="531" t="e">
        <f t="shared" si="461"/>
        <v>#DIV/0!</v>
      </c>
      <c r="RZS133" s="531" t="e">
        <f t="shared" si="461"/>
        <v>#DIV/0!</v>
      </c>
      <c r="RZT133" s="531" t="e">
        <f t="shared" si="461"/>
        <v>#DIV/0!</v>
      </c>
      <c r="RZU133" s="531" t="e">
        <f t="shared" si="461"/>
        <v>#DIV/0!</v>
      </c>
      <c r="RZV133" s="531" t="e">
        <f t="shared" si="461"/>
        <v>#DIV/0!</v>
      </c>
      <c r="RZW133" s="531" t="e">
        <f t="shared" si="461"/>
        <v>#DIV/0!</v>
      </c>
      <c r="RZX133" s="531" t="e">
        <f t="shared" si="461"/>
        <v>#DIV/0!</v>
      </c>
      <c r="RZY133" s="531" t="e">
        <f t="shared" si="461"/>
        <v>#DIV/0!</v>
      </c>
      <c r="RZZ133" s="531" t="e">
        <f t="shared" si="461"/>
        <v>#DIV/0!</v>
      </c>
      <c r="SAA133" s="531" t="e">
        <f t="shared" ref="SAA133:SCL133" si="462">SAA116/(SAA52*10^5)</f>
        <v>#DIV/0!</v>
      </c>
      <c r="SAB133" s="531" t="e">
        <f t="shared" si="462"/>
        <v>#DIV/0!</v>
      </c>
      <c r="SAC133" s="531" t="e">
        <f t="shared" si="462"/>
        <v>#DIV/0!</v>
      </c>
      <c r="SAD133" s="531" t="e">
        <f t="shared" si="462"/>
        <v>#DIV/0!</v>
      </c>
      <c r="SAE133" s="531" t="e">
        <f t="shared" si="462"/>
        <v>#DIV/0!</v>
      </c>
      <c r="SAF133" s="531" t="e">
        <f t="shared" si="462"/>
        <v>#DIV/0!</v>
      </c>
      <c r="SAG133" s="531" t="e">
        <f t="shared" si="462"/>
        <v>#DIV/0!</v>
      </c>
      <c r="SAH133" s="531" t="e">
        <f t="shared" si="462"/>
        <v>#DIV/0!</v>
      </c>
      <c r="SAI133" s="531" t="e">
        <f t="shared" si="462"/>
        <v>#DIV/0!</v>
      </c>
      <c r="SAJ133" s="531" t="e">
        <f t="shared" si="462"/>
        <v>#DIV/0!</v>
      </c>
      <c r="SAK133" s="531" t="e">
        <f t="shared" si="462"/>
        <v>#DIV/0!</v>
      </c>
      <c r="SAL133" s="531" t="e">
        <f t="shared" si="462"/>
        <v>#DIV/0!</v>
      </c>
      <c r="SAM133" s="531" t="e">
        <f t="shared" si="462"/>
        <v>#DIV/0!</v>
      </c>
      <c r="SAN133" s="531" t="e">
        <f t="shared" si="462"/>
        <v>#DIV/0!</v>
      </c>
      <c r="SAO133" s="531" t="e">
        <f t="shared" si="462"/>
        <v>#DIV/0!</v>
      </c>
      <c r="SAP133" s="531" t="e">
        <f t="shared" si="462"/>
        <v>#DIV/0!</v>
      </c>
      <c r="SAQ133" s="531" t="e">
        <f t="shared" si="462"/>
        <v>#DIV/0!</v>
      </c>
      <c r="SAR133" s="531" t="e">
        <f t="shared" si="462"/>
        <v>#DIV/0!</v>
      </c>
      <c r="SAS133" s="531" t="e">
        <f t="shared" si="462"/>
        <v>#DIV/0!</v>
      </c>
      <c r="SAT133" s="531" t="e">
        <f t="shared" si="462"/>
        <v>#DIV/0!</v>
      </c>
      <c r="SAU133" s="531" t="e">
        <f t="shared" si="462"/>
        <v>#DIV/0!</v>
      </c>
      <c r="SAV133" s="531" t="e">
        <f t="shared" si="462"/>
        <v>#DIV/0!</v>
      </c>
      <c r="SAW133" s="531" t="e">
        <f t="shared" si="462"/>
        <v>#DIV/0!</v>
      </c>
      <c r="SAX133" s="531" t="e">
        <f t="shared" si="462"/>
        <v>#DIV/0!</v>
      </c>
      <c r="SAY133" s="531" t="e">
        <f t="shared" si="462"/>
        <v>#DIV/0!</v>
      </c>
      <c r="SAZ133" s="531" t="e">
        <f t="shared" si="462"/>
        <v>#DIV/0!</v>
      </c>
      <c r="SBA133" s="531" t="e">
        <f t="shared" si="462"/>
        <v>#DIV/0!</v>
      </c>
      <c r="SBB133" s="531" t="e">
        <f t="shared" si="462"/>
        <v>#DIV/0!</v>
      </c>
      <c r="SBC133" s="531" t="e">
        <f t="shared" si="462"/>
        <v>#DIV/0!</v>
      </c>
      <c r="SBD133" s="531" t="e">
        <f t="shared" si="462"/>
        <v>#DIV/0!</v>
      </c>
      <c r="SBE133" s="531" t="e">
        <f t="shared" si="462"/>
        <v>#DIV/0!</v>
      </c>
      <c r="SBF133" s="531" t="e">
        <f t="shared" si="462"/>
        <v>#DIV/0!</v>
      </c>
      <c r="SBG133" s="531" t="e">
        <f t="shared" si="462"/>
        <v>#DIV/0!</v>
      </c>
      <c r="SBH133" s="531" t="e">
        <f t="shared" si="462"/>
        <v>#DIV/0!</v>
      </c>
      <c r="SBI133" s="531" t="e">
        <f t="shared" si="462"/>
        <v>#DIV/0!</v>
      </c>
      <c r="SBJ133" s="531" t="e">
        <f t="shared" si="462"/>
        <v>#DIV/0!</v>
      </c>
      <c r="SBK133" s="531" t="e">
        <f t="shared" si="462"/>
        <v>#DIV/0!</v>
      </c>
      <c r="SBL133" s="531" t="e">
        <f t="shared" si="462"/>
        <v>#DIV/0!</v>
      </c>
      <c r="SBM133" s="531" t="e">
        <f t="shared" si="462"/>
        <v>#DIV/0!</v>
      </c>
      <c r="SBN133" s="531" t="e">
        <f t="shared" si="462"/>
        <v>#DIV/0!</v>
      </c>
      <c r="SBO133" s="531" t="e">
        <f t="shared" si="462"/>
        <v>#DIV/0!</v>
      </c>
      <c r="SBP133" s="531" t="e">
        <f t="shared" si="462"/>
        <v>#DIV/0!</v>
      </c>
      <c r="SBQ133" s="531" t="e">
        <f t="shared" si="462"/>
        <v>#DIV/0!</v>
      </c>
      <c r="SBR133" s="531" t="e">
        <f t="shared" si="462"/>
        <v>#DIV/0!</v>
      </c>
      <c r="SBS133" s="531" t="e">
        <f t="shared" si="462"/>
        <v>#DIV/0!</v>
      </c>
      <c r="SBT133" s="531" t="e">
        <f t="shared" si="462"/>
        <v>#DIV/0!</v>
      </c>
      <c r="SBU133" s="531" t="e">
        <f t="shared" si="462"/>
        <v>#DIV/0!</v>
      </c>
      <c r="SBV133" s="531" t="e">
        <f t="shared" si="462"/>
        <v>#DIV/0!</v>
      </c>
      <c r="SBW133" s="531" t="e">
        <f t="shared" si="462"/>
        <v>#DIV/0!</v>
      </c>
      <c r="SBX133" s="531" t="e">
        <f t="shared" si="462"/>
        <v>#DIV/0!</v>
      </c>
      <c r="SBY133" s="531" t="e">
        <f t="shared" si="462"/>
        <v>#DIV/0!</v>
      </c>
      <c r="SBZ133" s="531" t="e">
        <f t="shared" si="462"/>
        <v>#DIV/0!</v>
      </c>
      <c r="SCA133" s="531" t="e">
        <f t="shared" si="462"/>
        <v>#DIV/0!</v>
      </c>
      <c r="SCB133" s="531" t="e">
        <f t="shared" si="462"/>
        <v>#DIV/0!</v>
      </c>
      <c r="SCC133" s="531" t="e">
        <f t="shared" si="462"/>
        <v>#DIV/0!</v>
      </c>
      <c r="SCD133" s="531" t="e">
        <f t="shared" si="462"/>
        <v>#DIV/0!</v>
      </c>
      <c r="SCE133" s="531" t="e">
        <f t="shared" si="462"/>
        <v>#DIV/0!</v>
      </c>
      <c r="SCF133" s="531" t="e">
        <f t="shared" si="462"/>
        <v>#DIV/0!</v>
      </c>
      <c r="SCG133" s="531" t="e">
        <f t="shared" si="462"/>
        <v>#DIV/0!</v>
      </c>
      <c r="SCH133" s="531" t="e">
        <f t="shared" si="462"/>
        <v>#DIV/0!</v>
      </c>
      <c r="SCI133" s="531" t="e">
        <f t="shared" si="462"/>
        <v>#DIV/0!</v>
      </c>
      <c r="SCJ133" s="531" t="e">
        <f t="shared" si="462"/>
        <v>#DIV/0!</v>
      </c>
      <c r="SCK133" s="531" t="e">
        <f t="shared" si="462"/>
        <v>#DIV/0!</v>
      </c>
      <c r="SCL133" s="531" t="e">
        <f t="shared" si="462"/>
        <v>#DIV/0!</v>
      </c>
      <c r="SCM133" s="531" t="e">
        <f t="shared" ref="SCM133:SEX133" si="463">SCM116/(SCM52*10^5)</f>
        <v>#DIV/0!</v>
      </c>
      <c r="SCN133" s="531" t="e">
        <f t="shared" si="463"/>
        <v>#DIV/0!</v>
      </c>
      <c r="SCO133" s="531" t="e">
        <f t="shared" si="463"/>
        <v>#DIV/0!</v>
      </c>
      <c r="SCP133" s="531" t="e">
        <f t="shared" si="463"/>
        <v>#DIV/0!</v>
      </c>
      <c r="SCQ133" s="531" t="e">
        <f t="shared" si="463"/>
        <v>#DIV/0!</v>
      </c>
      <c r="SCR133" s="531" t="e">
        <f t="shared" si="463"/>
        <v>#DIV/0!</v>
      </c>
      <c r="SCS133" s="531" t="e">
        <f t="shared" si="463"/>
        <v>#DIV/0!</v>
      </c>
      <c r="SCT133" s="531" t="e">
        <f t="shared" si="463"/>
        <v>#DIV/0!</v>
      </c>
      <c r="SCU133" s="531" t="e">
        <f t="shared" si="463"/>
        <v>#DIV/0!</v>
      </c>
      <c r="SCV133" s="531" t="e">
        <f t="shared" si="463"/>
        <v>#DIV/0!</v>
      </c>
      <c r="SCW133" s="531" t="e">
        <f t="shared" si="463"/>
        <v>#DIV/0!</v>
      </c>
      <c r="SCX133" s="531" t="e">
        <f t="shared" si="463"/>
        <v>#DIV/0!</v>
      </c>
      <c r="SCY133" s="531" t="e">
        <f t="shared" si="463"/>
        <v>#DIV/0!</v>
      </c>
      <c r="SCZ133" s="531" t="e">
        <f t="shared" si="463"/>
        <v>#DIV/0!</v>
      </c>
      <c r="SDA133" s="531" t="e">
        <f t="shared" si="463"/>
        <v>#DIV/0!</v>
      </c>
      <c r="SDB133" s="531" t="e">
        <f t="shared" si="463"/>
        <v>#DIV/0!</v>
      </c>
      <c r="SDC133" s="531" t="e">
        <f t="shared" si="463"/>
        <v>#DIV/0!</v>
      </c>
      <c r="SDD133" s="531" t="e">
        <f t="shared" si="463"/>
        <v>#DIV/0!</v>
      </c>
      <c r="SDE133" s="531" t="e">
        <f t="shared" si="463"/>
        <v>#DIV/0!</v>
      </c>
      <c r="SDF133" s="531" t="e">
        <f t="shared" si="463"/>
        <v>#DIV/0!</v>
      </c>
      <c r="SDG133" s="531" t="e">
        <f t="shared" si="463"/>
        <v>#DIV/0!</v>
      </c>
      <c r="SDH133" s="531" t="e">
        <f t="shared" si="463"/>
        <v>#DIV/0!</v>
      </c>
      <c r="SDI133" s="531" t="e">
        <f t="shared" si="463"/>
        <v>#DIV/0!</v>
      </c>
      <c r="SDJ133" s="531" t="e">
        <f t="shared" si="463"/>
        <v>#DIV/0!</v>
      </c>
      <c r="SDK133" s="531" t="e">
        <f t="shared" si="463"/>
        <v>#DIV/0!</v>
      </c>
      <c r="SDL133" s="531" t="e">
        <f t="shared" si="463"/>
        <v>#DIV/0!</v>
      </c>
      <c r="SDM133" s="531" t="e">
        <f t="shared" si="463"/>
        <v>#DIV/0!</v>
      </c>
      <c r="SDN133" s="531" t="e">
        <f t="shared" si="463"/>
        <v>#DIV/0!</v>
      </c>
      <c r="SDO133" s="531" t="e">
        <f t="shared" si="463"/>
        <v>#DIV/0!</v>
      </c>
      <c r="SDP133" s="531" t="e">
        <f t="shared" si="463"/>
        <v>#DIV/0!</v>
      </c>
      <c r="SDQ133" s="531" t="e">
        <f t="shared" si="463"/>
        <v>#DIV/0!</v>
      </c>
      <c r="SDR133" s="531" t="e">
        <f t="shared" si="463"/>
        <v>#DIV/0!</v>
      </c>
      <c r="SDS133" s="531" t="e">
        <f t="shared" si="463"/>
        <v>#DIV/0!</v>
      </c>
      <c r="SDT133" s="531" t="e">
        <f t="shared" si="463"/>
        <v>#DIV/0!</v>
      </c>
      <c r="SDU133" s="531" t="e">
        <f t="shared" si="463"/>
        <v>#DIV/0!</v>
      </c>
      <c r="SDV133" s="531" t="e">
        <f t="shared" si="463"/>
        <v>#DIV/0!</v>
      </c>
      <c r="SDW133" s="531" t="e">
        <f t="shared" si="463"/>
        <v>#DIV/0!</v>
      </c>
      <c r="SDX133" s="531" t="e">
        <f t="shared" si="463"/>
        <v>#DIV/0!</v>
      </c>
      <c r="SDY133" s="531" t="e">
        <f t="shared" si="463"/>
        <v>#DIV/0!</v>
      </c>
      <c r="SDZ133" s="531" t="e">
        <f t="shared" si="463"/>
        <v>#DIV/0!</v>
      </c>
      <c r="SEA133" s="531" t="e">
        <f t="shared" si="463"/>
        <v>#DIV/0!</v>
      </c>
      <c r="SEB133" s="531" t="e">
        <f t="shared" si="463"/>
        <v>#DIV/0!</v>
      </c>
      <c r="SEC133" s="531" t="e">
        <f t="shared" si="463"/>
        <v>#DIV/0!</v>
      </c>
      <c r="SED133" s="531" t="e">
        <f t="shared" si="463"/>
        <v>#DIV/0!</v>
      </c>
      <c r="SEE133" s="531" t="e">
        <f t="shared" si="463"/>
        <v>#DIV/0!</v>
      </c>
      <c r="SEF133" s="531" t="e">
        <f t="shared" si="463"/>
        <v>#DIV/0!</v>
      </c>
      <c r="SEG133" s="531" t="e">
        <f t="shared" si="463"/>
        <v>#DIV/0!</v>
      </c>
      <c r="SEH133" s="531" t="e">
        <f t="shared" si="463"/>
        <v>#DIV/0!</v>
      </c>
      <c r="SEI133" s="531" t="e">
        <f t="shared" si="463"/>
        <v>#DIV/0!</v>
      </c>
      <c r="SEJ133" s="531" t="e">
        <f t="shared" si="463"/>
        <v>#DIV/0!</v>
      </c>
      <c r="SEK133" s="531" t="e">
        <f t="shared" si="463"/>
        <v>#DIV/0!</v>
      </c>
      <c r="SEL133" s="531" t="e">
        <f t="shared" si="463"/>
        <v>#DIV/0!</v>
      </c>
      <c r="SEM133" s="531" t="e">
        <f t="shared" si="463"/>
        <v>#DIV/0!</v>
      </c>
      <c r="SEN133" s="531" t="e">
        <f t="shared" si="463"/>
        <v>#DIV/0!</v>
      </c>
      <c r="SEO133" s="531" t="e">
        <f t="shared" si="463"/>
        <v>#DIV/0!</v>
      </c>
      <c r="SEP133" s="531" t="e">
        <f t="shared" si="463"/>
        <v>#DIV/0!</v>
      </c>
      <c r="SEQ133" s="531" t="e">
        <f t="shared" si="463"/>
        <v>#DIV/0!</v>
      </c>
      <c r="SER133" s="531" t="e">
        <f t="shared" si="463"/>
        <v>#DIV/0!</v>
      </c>
      <c r="SES133" s="531" t="e">
        <f t="shared" si="463"/>
        <v>#DIV/0!</v>
      </c>
      <c r="SET133" s="531" t="e">
        <f t="shared" si="463"/>
        <v>#DIV/0!</v>
      </c>
      <c r="SEU133" s="531" t="e">
        <f t="shared" si="463"/>
        <v>#DIV/0!</v>
      </c>
      <c r="SEV133" s="531" t="e">
        <f t="shared" si="463"/>
        <v>#DIV/0!</v>
      </c>
      <c r="SEW133" s="531" t="e">
        <f t="shared" si="463"/>
        <v>#DIV/0!</v>
      </c>
      <c r="SEX133" s="531" t="e">
        <f t="shared" si="463"/>
        <v>#DIV/0!</v>
      </c>
      <c r="SEY133" s="531" t="e">
        <f t="shared" ref="SEY133:SHJ133" si="464">SEY116/(SEY52*10^5)</f>
        <v>#DIV/0!</v>
      </c>
      <c r="SEZ133" s="531" t="e">
        <f t="shared" si="464"/>
        <v>#DIV/0!</v>
      </c>
      <c r="SFA133" s="531" t="e">
        <f t="shared" si="464"/>
        <v>#DIV/0!</v>
      </c>
      <c r="SFB133" s="531" t="e">
        <f t="shared" si="464"/>
        <v>#DIV/0!</v>
      </c>
      <c r="SFC133" s="531" t="e">
        <f t="shared" si="464"/>
        <v>#DIV/0!</v>
      </c>
      <c r="SFD133" s="531" t="e">
        <f t="shared" si="464"/>
        <v>#DIV/0!</v>
      </c>
      <c r="SFE133" s="531" t="e">
        <f t="shared" si="464"/>
        <v>#DIV/0!</v>
      </c>
      <c r="SFF133" s="531" t="e">
        <f t="shared" si="464"/>
        <v>#DIV/0!</v>
      </c>
      <c r="SFG133" s="531" t="e">
        <f t="shared" si="464"/>
        <v>#DIV/0!</v>
      </c>
      <c r="SFH133" s="531" t="e">
        <f t="shared" si="464"/>
        <v>#DIV/0!</v>
      </c>
      <c r="SFI133" s="531" t="e">
        <f t="shared" si="464"/>
        <v>#DIV/0!</v>
      </c>
      <c r="SFJ133" s="531" t="e">
        <f t="shared" si="464"/>
        <v>#DIV/0!</v>
      </c>
      <c r="SFK133" s="531" t="e">
        <f t="shared" si="464"/>
        <v>#DIV/0!</v>
      </c>
      <c r="SFL133" s="531" t="e">
        <f t="shared" si="464"/>
        <v>#DIV/0!</v>
      </c>
      <c r="SFM133" s="531" t="e">
        <f t="shared" si="464"/>
        <v>#DIV/0!</v>
      </c>
      <c r="SFN133" s="531" t="e">
        <f t="shared" si="464"/>
        <v>#DIV/0!</v>
      </c>
      <c r="SFO133" s="531" t="e">
        <f t="shared" si="464"/>
        <v>#DIV/0!</v>
      </c>
      <c r="SFP133" s="531" t="e">
        <f t="shared" si="464"/>
        <v>#DIV/0!</v>
      </c>
      <c r="SFQ133" s="531" t="e">
        <f t="shared" si="464"/>
        <v>#DIV/0!</v>
      </c>
      <c r="SFR133" s="531" t="e">
        <f t="shared" si="464"/>
        <v>#DIV/0!</v>
      </c>
      <c r="SFS133" s="531" t="e">
        <f t="shared" si="464"/>
        <v>#DIV/0!</v>
      </c>
      <c r="SFT133" s="531" t="e">
        <f t="shared" si="464"/>
        <v>#DIV/0!</v>
      </c>
      <c r="SFU133" s="531" t="e">
        <f t="shared" si="464"/>
        <v>#DIV/0!</v>
      </c>
      <c r="SFV133" s="531" t="e">
        <f t="shared" si="464"/>
        <v>#DIV/0!</v>
      </c>
      <c r="SFW133" s="531" t="e">
        <f t="shared" si="464"/>
        <v>#DIV/0!</v>
      </c>
      <c r="SFX133" s="531" t="e">
        <f t="shared" si="464"/>
        <v>#DIV/0!</v>
      </c>
      <c r="SFY133" s="531" t="e">
        <f t="shared" si="464"/>
        <v>#DIV/0!</v>
      </c>
      <c r="SFZ133" s="531" t="e">
        <f t="shared" si="464"/>
        <v>#DIV/0!</v>
      </c>
      <c r="SGA133" s="531" t="e">
        <f t="shared" si="464"/>
        <v>#DIV/0!</v>
      </c>
      <c r="SGB133" s="531" t="e">
        <f t="shared" si="464"/>
        <v>#DIV/0!</v>
      </c>
      <c r="SGC133" s="531" t="e">
        <f t="shared" si="464"/>
        <v>#DIV/0!</v>
      </c>
      <c r="SGD133" s="531" t="e">
        <f t="shared" si="464"/>
        <v>#DIV/0!</v>
      </c>
      <c r="SGE133" s="531" t="e">
        <f t="shared" si="464"/>
        <v>#DIV/0!</v>
      </c>
      <c r="SGF133" s="531" t="e">
        <f t="shared" si="464"/>
        <v>#DIV/0!</v>
      </c>
      <c r="SGG133" s="531" t="e">
        <f t="shared" si="464"/>
        <v>#DIV/0!</v>
      </c>
      <c r="SGH133" s="531" t="e">
        <f t="shared" si="464"/>
        <v>#DIV/0!</v>
      </c>
      <c r="SGI133" s="531" t="e">
        <f t="shared" si="464"/>
        <v>#DIV/0!</v>
      </c>
      <c r="SGJ133" s="531" t="e">
        <f t="shared" si="464"/>
        <v>#DIV/0!</v>
      </c>
      <c r="SGK133" s="531" t="e">
        <f t="shared" si="464"/>
        <v>#DIV/0!</v>
      </c>
      <c r="SGL133" s="531" t="e">
        <f t="shared" si="464"/>
        <v>#DIV/0!</v>
      </c>
      <c r="SGM133" s="531" t="e">
        <f t="shared" si="464"/>
        <v>#DIV/0!</v>
      </c>
      <c r="SGN133" s="531" t="e">
        <f t="shared" si="464"/>
        <v>#DIV/0!</v>
      </c>
      <c r="SGO133" s="531" t="e">
        <f t="shared" si="464"/>
        <v>#DIV/0!</v>
      </c>
      <c r="SGP133" s="531" t="e">
        <f t="shared" si="464"/>
        <v>#DIV/0!</v>
      </c>
      <c r="SGQ133" s="531" t="e">
        <f t="shared" si="464"/>
        <v>#DIV/0!</v>
      </c>
      <c r="SGR133" s="531" t="e">
        <f t="shared" si="464"/>
        <v>#DIV/0!</v>
      </c>
      <c r="SGS133" s="531" t="e">
        <f t="shared" si="464"/>
        <v>#DIV/0!</v>
      </c>
      <c r="SGT133" s="531" t="e">
        <f t="shared" si="464"/>
        <v>#DIV/0!</v>
      </c>
      <c r="SGU133" s="531" t="e">
        <f t="shared" si="464"/>
        <v>#DIV/0!</v>
      </c>
      <c r="SGV133" s="531" t="e">
        <f t="shared" si="464"/>
        <v>#DIV/0!</v>
      </c>
      <c r="SGW133" s="531" t="e">
        <f t="shared" si="464"/>
        <v>#DIV/0!</v>
      </c>
      <c r="SGX133" s="531" t="e">
        <f t="shared" si="464"/>
        <v>#DIV/0!</v>
      </c>
      <c r="SGY133" s="531" t="e">
        <f t="shared" si="464"/>
        <v>#DIV/0!</v>
      </c>
      <c r="SGZ133" s="531" t="e">
        <f t="shared" si="464"/>
        <v>#DIV/0!</v>
      </c>
      <c r="SHA133" s="531" t="e">
        <f t="shared" si="464"/>
        <v>#DIV/0!</v>
      </c>
      <c r="SHB133" s="531" t="e">
        <f t="shared" si="464"/>
        <v>#DIV/0!</v>
      </c>
      <c r="SHC133" s="531" t="e">
        <f t="shared" si="464"/>
        <v>#DIV/0!</v>
      </c>
      <c r="SHD133" s="531" t="e">
        <f t="shared" si="464"/>
        <v>#DIV/0!</v>
      </c>
      <c r="SHE133" s="531" t="e">
        <f t="shared" si="464"/>
        <v>#DIV/0!</v>
      </c>
      <c r="SHF133" s="531" t="e">
        <f t="shared" si="464"/>
        <v>#DIV/0!</v>
      </c>
      <c r="SHG133" s="531" t="e">
        <f t="shared" si="464"/>
        <v>#DIV/0!</v>
      </c>
      <c r="SHH133" s="531" t="e">
        <f t="shared" si="464"/>
        <v>#DIV/0!</v>
      </c>
      <c r="SHI133" s="531" t="e">
        <f t="shared" si="464"/>
        <v>#DIV/0!</v>
      </c>
      <c r="SHJ133" s="531" t="e">
        <f t="shared" si="464"/>
        <v>#DIV/0!</v>
      </c>
      <c r="SHK133" s="531" t="e">
        <f t="shared" ref="SHK133:SJV133" si="465">SHK116/(SHK52*10^5)</f>
        <v>#DIV/0!</v>
      </c>
      <c r="SHL133" s="531" t="e">
        <f t="shared" si="465"/>
        <v>#DIV/0!</v>
      </c>
      <c r="SHM133" s="531" t="e">
        <f t="shared" si="465"/>
        <v>#DIV/0!</v>
      </c>
      <c r="SHN133" s="531" t="e">
        <f t="shared" si="465"/>
        <v>#DIV/0!</v>
      </c>
      <c r="SHO133" s="531" t="e">
        <f t="shared" si="465"/>
        <v>#DIV/0!</v>
      </c>
      <c r="SHP133" s="531" t="e">
        <f t="shared" si="465"/>
        <v>#DIV/0!</v>
      </c>
      <c r="SHQ133" s="531" t="e">
        <f t="shared" si="465"/>
        <v>#DIV/0!</v>
      </c>
      <c r="SHR133" s="531" t="e">
        <f t="shared" si="465"/>
        <v>#DIV/0!</v>
      </c>
      <c r="SHS133" s="531" t="e">
        <f t="shared" si="465"/>
        <v>#DIV/0!</v>
      </c>
      <c r="SHT133" s="531" t="e">
        <f t="shared" si="465"/>
        <v>#DIV/0!</v>
      </c>
      <c r="SHU133" s="531" t="e">
        <f t="shared" si="465"/>
        <v>#DIV/0!</v>
      </c>
      <c r="SHV133" s="531" t="e">
        <f t="shared" si="465"/>
        <v>#DIV/0!</v>
      </c>
      <c r="SHW133" s="531" t="e">
        <f t="shared" si="465"/>
        <v>#DIV/0!</v>
      </c>
      <c r="SHX133" s="531" t="e">
        <f t="shared" si="465"/>
        <v>#DIV/0!</v>
      </c>
      <c r="SHY133" s="531" t="e">
        <f t="shared" si="465"/>
        <v>#DIV/0!</v>
      </c>
      <c r="SHZ133" s="531" t="e">
        <f t="shared" si="465"/>
        <v>#DIV/0!</v>
      </c>
      <c r="SIA133" s="531" t="e">
        <f t="shared" si="465"/>
        <v>#DIV/0!</v>
      </c>
      <c r="SIB133" s="531" t="e">
        <f t="shared" si="465"/>
        <v>#DIV/0!</v>
      </c>
      <c r="SIC133" s="531" t="e">
        <f t="shared" si="465"/>
        <v>#DIV/0!</v>
      </c>
      <c r="SID133" s="531" t="e">
        <f t="shared" si="465"/>
        <v>#DIV/0!</v>
      </c>
      <c r="SIE133" s="531" t="e">
        <f t="shared" si="465"/>
        <v>#DIV/0!</v>
      </c>
      <c r="SIF133" s="531" t="e">
        <f t="shared" si="465"/>
        <v>#DIV/0!</v>
      </c>
      <c r="SIG133" s="531" t="e">
        <f t="shared" si="465"/>
        <v>#DIV/0!</v>
      </c>
      <c r="SIH133" s="531" t="e">
        <f t="shared" si="465"/>
        <v>#DIV/0!</v>
      </c>
      <c r="SII133" s="531" t="e">
        <f t="shared" si="465"/>
        <v>#DIV/0!</v>
      </c>
      <c r="SIJ133" s="531" t="e">
        <f t="shared" si="465"/>
        <v>#DIV/0!</v>
      </c>
      <c r="SIK133" s="531" t="e">
        <f t="shared" si="465"/>
        <v>#DIV/0!</v>
      </c>
      <c r="SIL133" s="531" t="e">
        <f t="shared" si="465"/>
        <v>#DIV/0!</v>
      </c>
      <c r="SIM133" s="531" t="e">
        <f t="shared" si="465"/>
        <v>#DIV/0!</v>
      </c>
      <c r="SIN133" s="531" t="e">
        <f t="shared" si="465"/>
        <v>#DIV/0!</v>
      </c>
      <c r="SIO133" s="531" t="e">
        <f t="shared" si="465"/>
        <v>#DIV/0!</v>
      </c>
      <c r="SIP133" s="531" t="e">
        <f t="shared" si="465"/>
        <v>#DIV/0!</v>
      </c>
      <c r="SIQ133" s="531" t="e">
        <f t="shared" si="465"/>
        <v>#DIV/0!</v>
      </c>
      <c r="SIR133" s="531" t="e">
        <f t="shared" si="465"/>
        <v>#DIV/0!</v>
      </c>
      <c r="SIS133" s="531" t="e">
        <f t="shared" si="465"/>
        <v>#DIV/0!</v>
      </c>
      <c r="SIT133" s="531" t="e">
        <f t="shared" si="465"/>
        <v>#DIV/0!</v>
      </c>
      <c r="SIU133" s="531" t="e">
        <f t="shared" si="465"/>
        <v>#DIV/0!</v>
      </c>
      <c r="SIV133" s="531" t="e">
        <f t="shared" si="465"/>
        <v>#DIV/0!</v>
      </c>
      <c r="SIW133" s="531" t="e">
        <f t="shared" si="465"/>
        <v>#DIV/0!</v>
      </c>
      <c r="SIX133" s="531" t="e">
        <f t="shared" si="465"/>
        <v>#DIV/0!</v>
      </c>
      <c r="SIY133" s="531" t="e">
        <f t="shared" si="465"/>
        <v>#DIV/0!</v>
      </c>
      <c r="SIZ133" s="531" t="e">
        <f t="shared" si="465"/>
        <v>#DIV/0!</v>
      </c>
      <c r="SJA133" s="531" t="e">
        <f t="shared" si="465"/>
        <v>#DIV/0!</v>
      </c>
      <c r="SJB133" s="531" t="e">
        <f t="shared" si="465"/>
        <v>#DIV/0!</v>
      </c>
      <c r="SJC133" s="531" t="e">
        <f t="shared" si="465"/>
        <v>#DIV/0!</v>
      </c>
      <c r="SJD133" s="531" t="e">
        <f t="shared" si="465"/>
        <v>#DIV/0!</v>
      </c>
      <c r="SJE133" s="531" t="e">
        <f t="shared" si="465"/>
        <v>#DIV/0!</v>
      </c>
      <c r="SJF133" s="531" t="e">
        <f t="shared" si="465"/>
        <v>#DIV/0!</v>
      </c>
      <c r="SJG133" s="531" t="e">
        <f t="shared" si="465"/>
        <v>#DIV/0!</v>
      </c>
      <c r="SJH133" s="531" t="e">
        <f t="shared" si="465"/>
        <v>#DIV/0!</v>
      </c>
      <c r="SJI133" s="531" t="e">
        <f t="shared" si="465"/>
        <v>#DIV/0!</v>
      </c>
      <c r="SJJ133" s="531" t="e">
        <f t="shared" si="465"/>
        <v>#DIV/0!</v>
      </c>
      <c r="SJK133" s="531" t="e">
        <f t="shared" si="465"/>
        <v>#DIV/0!</v>
      </c>
      <c r="SJL133" s="531" t="e">
        <f t="shared" si="465"/>
        <v>#DIV/0!</v>
      </c>
      <c r="SJM133" s="531" t="e">
        <f t="shared" si="465"/>
        <v>#DIV/0!</v>
      </c>
      <c r="SJN133" s="531" t="e">
        <f t="shared" si="465"/>
        <v>#DIV/0!</v>
      </c>
      <c r="SJO133" s="531" t="e">
        <f t="shared" si="465"/>
        <v>#DIV/0!</v>
      </c>
      <c r="SJP133" s="531" t="e">
        <f t="shared" si="465"/>
        <v>#DIV/0!</v>
      </c>
      <c r="SJQ133" s="531" t="e">
        <f t="shared" si="465"/>
        <v>#DIV/0!</v>
      </c>
      <c r="SJR133" s="531" t="e">
        <f t="shared" si="465"/>
        <v>#DIV/0!</v>
      </c>
      <c r="SJS133" s="531" t="e">
        <f t="shared" si="465"/>
        <v>#DIV/0!</v>
      </c>
      <c r="SJT133" s="531" t="e">
        <f t="shared" si="465"/>
        <v>#DIV/0!</v>
      </c>
      <c r="SJU133" s="531" t="e">
        <f t="shared" si="465"/>
        <v>#DIV/0!</v>
      </c>
      <c r="SJV133" s="531" t="e">
        <f t="shared" si="465"/>
        <v>#DIV/0!</v>
      </c>
      <c r="SJW133" s="531" t="e">
        <f t="shared" ref="SJW133:SMH133" si="466">SJW116/(SJW52*10^5)</f>
        <v>#DIV/0!</v>
      </c>
      <c r="SJX133" s="531" t="e">
        <f t="shared" si="466"/>
        <v>#DIV/0!</v>
      </c>
      <c r="SJY133" s="531" t="e">
        <f t="shared" si="466"/>
        <v>#DIV/0!</v>
      </c>
      <c r="SJZ133" s="531" t="e">
        <f t="shared" si="466"/>
        <v>#DIV/0!</v>
      </c>
      <c r="SKA133" s="531" t="e">
        <f t="shared" si="466"/>
        <v>#DIV/0!</v>
      </c>
      <c r="SKB133" s="531" t="e">
        <f t="shared" si="466"/>
        <v>#DIV/0!</v>
      </c>
      <c r="SKC133" s="531" t="e">
        <f t="shared" si="466"/>
        <v>#DIV/0!</v>
      </c>
      <c r="SKD133" s="531" t="e">
        <f t="shared" si="466"/>
        <v>#DIV/0!</v>
      </c>
      <c r="SKE133" s="531" t="e">
        <f t="shared" si="466"/>
        <v>#DIV/0!</v>
      </c>
      <c r="SKF133" s="531" t="e">
        <f t="shared" si="466"/>
        <v>#DIV/0!</v>
      </c>
      <c r="SKG133" s="531" t="e">
        <f t="shared" si="466"/>
        <v>#DIV/0!</v>
      </c>
      <c r="SKH133" s="531" t="e">
        <f t="shared" si="466"/>
        <v>#DIV/0!</v>
      </c>
      <c r="SKI133" s="531" t="e">
        <f t="shared" si="466"/>
        <v>#DIV/0!</v>
      </c>
      <c r="SKJ133" s="531" t="e">
        <f t="shared" si="466"/>
        <v>#DIV/0!</v>
      </c>
      <c r="SKK133" s="531" t="e">
        <f t="shared" si="466"/>
        <v>#DIV/0!</v>
      </c>
      <c r="SKL133" s="531" t="e">
        <f t="shared" si="466"/>
        <v>#DIV/0!</v>
      </c>
      <c r="SKM133" s="531" t="e">
        <f t="shared" si="466"/>
        <v>#DIV/0!</v>
      </c>
      <c r="SKN133" s="531" t="e">
        <f t="shared" si="466"/>
        <v>#DIV/0!</v>
      </c>
      <c r="SKO133" s="531" t="e">
        <f t="shared" si="466"/>
        <v>#DIV/0!</v>
      </c>
      <c r="SKP133" s="531" t="e">
        <f t="shared" si="466"/>
        <v>#DIV/0!</v>
      </c>
      <c r="SKQ133" s="531" t="e">
        <f t="shared" si="466"/>
        <v>#DIV/0!</v>
      </c>
      <c r="SKR133" s="531" t="e">
        <f t="shared" si="466"/>
        <v>#DIV/0!</v>
      </c>
      <c r="SKS133" s="531" t="e">
        <f t="shared" si="466"/>
        <v>#DIV/0!</v>
      </c>
      <c r="SKT133" s="531" t="e">
        <f t="shared" si="466"/>
        <v>#DIV/0!</v>
      </c>
      <c r="SKU133" s="531" t="e">
        <f t="shared" si="466"/>
        <v>#DIV/0!</v>
      </c>
      <c r="SKV133" s="531" t="e">
        <f t="shared" si="466"/>
        <v>#DIV/0!</v>
      </c>
      <c r="SKW133" s="531" t="e">
        <f t="shared" si="466"/>
        <v>#DIV/0!</v>
      </c>
      <c r="SKX133" s="531" t="e">
        <f t="shared" si="466"/>
        <v>#DIV/0!</v>
      </c>
      <c r="SKY133" s="531" t="e">
        <f t="shared" si="466"/>
        <v>#DIV/0!</v>
      </c>
      <c r="SKZ133" s="531" t="e">
        <f t="shared" si="466"/>
        <v>#DIV/0!</v>
      </c>
      <c r="SLA133" s="531" t="e">
        <f t="shared" si="466"/>
        <v>#DIV/0!</v>
      </c>
      <c r="SLB133" s="531" t="e">
        <f t="shared" si="466"/>
        <v>#DIV/0!</v>
      </c>
      <c r="SLC133" s="531" t="e">
        <f t="shared" si="466"/>
        <v>#DIV/0!</v>
      </c>
      <c r="SLD133" s="531" t="e">
        <f t="shared" si="466"/>
        <v>#DIV/0!</v>
      </c>
      <c r="SLE133" s="531" t="e">
        <f t="shared" si="466"/>
        <v>#DIV/0!</v>
      </c>
      <c r="SLF133" s="531" t="e">
        <f t="shared" si="466"/>
        <v>#DIV/0!</v>
      </c>
      <c r="SLG133" s="531" t="e">
        <f t="shared" si="466"/>
        <v>#DIV/0!</v>
      </c>
      <c r="SLH133" s="531" t="e">
        <f t="shared" si="466"/>
        <v>#DIV/0!</v>
      </c>
      <c r="SLI133" s="531" t="e">
        <f t="shared" si="466"/>
        <v>#DIV/0!</v>
      </c>
      <c r="SLJ133" s="531" t="e">
        <f t="shared" si="466"/>
        <v>#DIV/0!</v>
      </c>
      <c r="SLK133" s="531" t="e">
        <f t="shared" si="466"/>
        <v>#DIV/0!</v>
      </c>
      <c r="SLL133" s="531" t="e">
        <f t="shared" si="466"/>
        <v>#DIV/0!</v>
      </c>
      <c r="SLM133" s="531" t="e">
        <f t="shared" si="466"/>
        <v>#DIV/0!</v>
      </c>
      <c r="SLN133" s="531" t="e">
        <f t="shared" si="466"/>
        <v>#DIV/0!</v>
      </c>
      <c r="SLO133" s="531" t="e">
        <f t="shared" si="466"/>
        <v>#DIV/0!</v>
      </c>
      <c r="SLP133" s="531" t="e">
        <f t="shared" si="466"/>
        <v>#DIV/0!</v>
      </c>
      <c r="SLQ133" s="531" t="e">
        <f t="shared" si="466"/>
        <v>#DIV/0!</v>
      </c>
      <c r="SLR133" s="531" t="e">
        <f t="shared" si="466"/>
        <v>#DIV/0!</v>
      </c>
      <c r="SLS133" s="531" t="e">
        <f t="shared" si="466"/>
        <v>#DIV/0!</v>
      </c>
      <c r="SLT133" s="531" t="e">
        <f t="shared" si="466"/>
        <v>#DIV/0!</v>
      </c>
      <c r="SLU133" s="531" t="e">
        <f t="shared" si="466"/>
        <v>#DIV/0!</v>
      </c>
      <c r="SLV133" s="531" t="e">
        <f t="shared" si="466"/>
        <v>#DIV/0!</v>
      </c>
      <c r="SLW133" s="531" t="e">
        <f t="shared" si="466"/>
        <v>#DIV/0!</v>
      </c>
      <c r="SLX133" s="531" t="e">
        <f t="shared" si="466"/>
        <v>#DIV/0!</v>
      </c>
      <c r="SLY133" s="531" t="e">
        <f t="shared" si="466"/>
        <v>#DIV/0!</v>
      </c>
      <c r="SLZ133" s="531" t="e">
        <f t="shared" si="466"/>
        <v>#DIV/0!</v>
      </c>
      <c r="SMA133" s="531" t="e">
        <f t="shared" si="466"/>
        <v>#DIV/0!</v>
      </c>
      <c r="SMB133" s="531" t="e">
        <f t="shared" si="466"/>
        <v>#DIV/0!</v>
      </c>
      <c r="SMC133" s="531" t="e">
        <f t="shared" si="466"/>
        <v>#DIV/0!</v>
      </c>
      <c r="SMD133" s="531" t="e">
        <f t="shared" si="466"/>
        <v>#DIV/0!</v>
      </c>
      <c r="SME133" s="531" t="e">
        <f t="shared" si="466"/>
        <v>#DIV/0!</v>
      </c>
      <c r="SMF133" s="531" t="e">
        <f t="shared" si="466"/>
        <v>#DIV/0!</v>
      </c>
      <c r="SMG133" s="531" t="e">
        <f t="shared" si="466"/>
        <v>#DIV/0!</v>
      </c>
      <c r="SMH133" s="531" t="e">
        <f t="shared" si="466"/>
        <v>#DIV/0!</v>
      </c>
      <c r="SMI133" s="531" t="e">
        <f t="shared" ref="SMI133:SOT133" si="467">SMI116/(SMI52*10^5)</f>
        <v>#DIV/0!</v>
      </c>
      <c r="SMJ133" s="531" t="e">
        <f t="shared" si="467"/>
        <v>#DIV/0!</v>
      </c>
      <c r="SMK133" s="531" t="e">
        <f t="shared" si="467"/>
        <v>#DIV/0!</v>
      </c>
      <c r="SML133" s="531" t="e">
        <f t="shared" si="467"/>
        <v>#DIV/0!</v>
      </c>
      <c r="SMM133" s="531" t="e">
        <f t="shared" si="467"/>
        <v>#DIV/0!</v>
      </c>
      <c r="SMN133" s="531" t="e">
        <f t="shared" si="467"/>
        <v>#DIV/0!</v>
      </c>
      <c r="SMO133" s="531" t="e">
        <f t="shared" si="467"/>
        <v>#DIV/0!</v>
      </c>
      <c r="SMP133" s="531" t="e">
        <f t="shared" si="467"/>
        <v>#DIV/0!</v>
      </c>
      <c r="SMQ133" s="531" t="e">
        <f t="shared" si="467"/>
        <v>#DIV/0!</v>
      </c>
      <c r="SMR133" s="531" t="e">
        <f t="shared" si="467"/>
        <v>#DIV/0!</v>
      </c>
      <c r="SMS133" s="531" t="e">
        <f t="shared" si="467"/>
        <v>#DIV/0!</v>
      </c>
      <c r="SMT133" s="531" t="e">
        <f t="shared" si="467"/>
        <v>#DIV/0!</v>
      </c>
      <c r="SMU133" s="531" t="e">
        <f t="shared" si="467"/>
        <v>#DIV/0!</v>
      </c>
      <c r="SMV133" s="531" t="e">
        <f t="shared" si="467"/>
        <v>#DIV/0!</v>
      </c>
      <c r="SMW133" s="531" t="e">
        <f t="shared" si="467"/>
        <v>#DIV/0!</v>
      </c>
      <c r="SMX133" s="531" t="e">
        <f t="shared" si="467"/>
        <v>#DIV/0!</v>
      </c>
      <c r="SMY133" s="531" t="e">
        <f t="shared" si="467"/>
        <v>#DIV/0!</v>
      </c>
      <c r="SMZ133" s="531" t="e">
        <f t="shared" si="467"/>
        <v>#DIV/0!</v>
      </c>
      <c r="SNA133" s="531" t="e">
        <f t="shared" si="467"/>
        <v>#DIV/0!</v>
      </c>
      <c r="SNB133" s="531" t="e">
        <f t="shared" si="467"/>
        <v>#DIV/0!</v>
      </c>
      <c r="SNC133" s="531" t="e">
        <f t="shared" si="467"/>
        <v>#DIV/0!</v>
      </c>
      <c r="SND133" s="531" t="e">
        <f t="shared" si="467"/>
        <v>#DIV/0!</v>
      </c>
      <c r="SNE133" s="531" t="e">
        <f t="shared" si="467"/>
        <v>#DIV/0!</v>
      </c>
      <c r="SNF133" s="531" t="e">
        <f t="shared" si="467"/>
        <v>#DIV/0!</v>
      </c>
      <c r="SNG133" s="531" t="e">
        <f t="shared" si="467"/>
        <v>#DIV/0!</v>
      </c>
      <c r="SNH133" s="531" t="e">
        <f t="shared" si="467"/>
        <v>#DIV/0!</v>
      </c>
      <c r="SNI133" s="531" t="e">
        <f t="shared" si="467"/>
        <v>#DIV/0!</v>
      </c>
      <c r="SNJ133" s="531" t="e">
        <f t="shared" si="467"/>
        <v>#DIV/0!</v>
      </c>
      <c r="SNK133" s="531" t="e">
        <f t="shared" si="467"/>
        <v>#DIV/0!</v>
      </c>
      <c r="SNL133" s="531" t="e">
        <f t="shared" si="467"/>
        <v>#DIV/0!</v>
      </c>
      <c r="SNM133" s="531" t="e">
        <f t="shared" si="467"/>
        <v>#DIV/0!</v>
      </c>
      <c r="SNN133" s="531" t="e">
        <f t="shared" si="467"/>
        <v>#DIV/0!</v>
      </c>
      <c r="SNO133" s="531" t="e">
        <f t="shared" si="467"/>
        <v>#DIV/0!</v>
      </c>
      <c r="SNP133" s="531" t="e">
        <f t="shared" si="467"/>
        <v>#DIV/0!</v>
      </c>
      <c r="SNQ133" s="531" t="e">
        <f t="shared" si="467"/>
        <v>#DIV/0!</v>
      </c>
      <c r="SNR133" s="531" t="e">
        <f t="shared" si="467"/>
        <v>#DIV/0!</v>
      </c>
      <c r="SNS133" s="531" t="e">
        <f t="shared" si="467"/>
        <v>#DIV/0!</v>
      </c>
      <c r="SNT133" s="531" t="e">
        <f t="shared" si="467"/>
        <v>#DIV/0!</v>
      </c>
      <c r="SNU133" s="531" t="e">
        <f t="shared" si="467"/>
        <v>#DIV/0!</v>
      </c>
      <c r="SNV133" s="531" t="e">
        <f t="shared" si="467"/>
        <v>#DIV/0!</v>
      </c>
      <c r="SNW133" s="531" t="e">
        <f t="shared" si="467"/>
        <v>#DIV/0!</v>
      </c>
      <c r="SNX133" s="531" t="e">
        <f t="shared" si="467"/>
        <v>#DIV/0!</v>
      </c>
      <c r="SNY133" s="531" t="e">
        <f t="shared" si="467"/>
        <v>#DIV/0!</v>
      </c>
      <c r="SNZ133" s="531" t="e">
        <f t="shared" si="467"/>
        <v>#DIV/0!</v>
      </c>
      <c r="SOA133" s="531" t="e">
        <f t="shared" si="467"/>
        <v>#DIV/0!</v>
      </c>
      <c r="SOB133" s="531" t="e">
        <f t="shared" si="467"/>
        <v>#DIV/0!</v>
      </c>
      <c r="SOC133" s="531" t="e">
        <f t="shared" si="467"/>
        <v>#DIV/0!</v>
      </c>
      <c r="SOD133" s="531" t="e">
        <f t="shared" si="467"/>
        <v>#DIV/0!</v>
      </c>
      <c r="SOE133" s="531" t="e">
        <f t="shared" si="467"/>
        <v>#DIV/0!</v>
      </c>
      <c r="SOF133" s="531" t="e">
        <f t="shared" si="467"/>
        <v>#DIV/0!</v>
      </c>
      <c r="SOG133" s="531" t="e">
        <f t="shared" si="467"/>
        <v>#DIV/0!</v>
      </c>
      <c r="SOH133" s="531" t="e">
        <f t="shared" si="467"/>
        <v>#DIV/0!</v>
      </c>
      <c r="SOI133" s="531" t="e">
        <f t="shared" si="467"/>
        <v>#DIV/0!</v>
      </c>
      <c r="SOJ133" s="531" t="e">
        <f t="shared" si="467"/>
        <v>#DIV/0!</v>
      </c>
      <c r="SOK133" s="531" t="e">
        <f t="shared" si="467"/>
        <v>#DIV/0!</v>
      </c>
      <c r="SOL133" s="531" t="e">
        <f t="shared" si="467"/>
        <v>#DIV/0!</v>
      </c>
      <c r="SOM133" s="531" t="e">
        <f t="shared" si="467"/>
        <v>#DIV/0!</v>
      </c>
      <c r="SON133" s="531" t="e">
        <f t="shared" si="467"/>
        <v>#DIV/0!</v>
      </c>
      <c r="SOO133" s="531" t="e">
        <f t="shared" si="467"/>
        <v>#DIV/0!</v>
      </c>
      <c r="SOP133" s="531" t="e">
        <f t="shared" si="467"/>
        <v>#DIV/0!</v>
      </c>
      <c r="SOQ133" s="531" t="e">
        <f t="shared" si="467"/>
        <v>#DIV/0!</v>
      </c>
      <c r="SOR133" s="531" t="e">
        <f t="shared" si="467"/>
        <v>#DIV/0!</v>
      </c>
      <c r="SOS133" s="531" t="e">
        <f t="shared" si="467"/>
        <v>#DIV/0!</v>
      </c>
      <c r="SOT133" s="531" t="e">
        <f t="shared" si="467"/>
        <v>#DIV/0!</v>
      </c>
      <c r="SOU133" s="531" t="e">
        <f t="shared" ref="SOU133:SRF133" si="468">SOU116/(SOU52*10^5)</f>
        <v>#DIV/0!</v>
      </c>
      <c r="SOV133" s="531" t="e">
        <f t="shared" si="468"/>
        <v>#DIV/0!</v>
      </c>
      <c r="SOW133" s="531" t="e">
        <f t="shared" si="468"/>
        <v>#DIV/0!</v>
      </c>
      <c r="SOX133" s="531" t="e">
        <f t="shared" si="468"/>
        <v>#DIV/0!</v>
      </c>
      <c r="SOY133" s="531" t="e">
        <f t="shared" si="468"/>
        <v>#DIV/0!</v>
      </c>
      <c r="SOZ133" s="531" t="e">
        <f t="shared" si="468"/>
        <v>#DIV/0!</v>
      </c>
      <c r="SPA133" s="531" t="e">
        <f t="shared" si="468"/>
        <v>#DIV/0!</v>
      </c>
      <c r="SPB133" s="531" t="e">
        <f t="shared" si="468"/>
        <v>#DIV/0!</v>
      </c>
      <c r="SPC133" s="531" t="e">
        <f t="shared" si="468"/>
        <v>#DIV/0!</v>
      </c>
      <c r="SPD133" s="531" t="e">
        <f t="shared" si="468"/>
        <v>#DIV/0!</v>
      </c>
      <c r="SPE133" s="531" t="e">
        <f t="shared" si="468"/>
        <v>#DIV/0!</v>
      </c>
      <c r="SPF133" s="531" t="e">
        <f t="shared" si="468"/>
        <v>#DIV/0!</v>
      </c>
      <c r="SPG133" s="531" t="e">
        <f t="shared" si="468"/>
        <v>#DIV/0!</v>
      </c>
      <c r="SPH133" s="531" t="e">
        <f t="shared" si="468"/>
        <v>#DIV/0!</v>
      </c>
      <c r="SPI133" s="531" t="e">
        <f t="shared" si="468"/>
        <v>#DIV/0!</v>
      </c>
      <c r="SPJ133" s="531" t="e">
        <f t="shared" si="468"/>
        <v>#DIV/0!</v>
      </c>
      <c r="SPK133" s="531" t="e">
        <f t="shared" si="468"/>
        <v>#DIV/0!</v>
      </c>
      <c r="SPL133" s="531" t="e">
        <f t="shared" si="468"/>
        <v>#DIV/0!</v>
      </c>
      <c r="SPM133" s="531" t="e">
        <f t="shared" si="468"/>
        <v>#DIV/0!</v>
      </c>
      <c r="SPN133" s="531" t="e">
        <f t="shared" si="468"/>
        <v>#DIV/0!</v>
      </c>
      <c r="SPO133" s="531" t="e">
        <f t="shared" si="468"/>
        <v>#DIV/0!</v>
      </c>
      <c r="SPP133" s="531" t="e">
        <f t="shared" si="468"/>
        <v>#DIV/0!</v>
      </c>
      <c r="SPQ133" s="531" t="e">
        <f t="shared" si="468"/>
        <v>#DIV/0!</v>
      </c>
      <c r="SPR133" s="531" t="e">
        <f t="shared" si="468"/>
        <v>#DIV/0!</v>
      </c>
      <c r="SPS133" s="531" t="e">
        <f t="shared" si="468"/>
        <v>#DIV/0!</v>
      </c>
      <c r="SPT133" s="531" t="e">
        <f t="shared" si="468"/>
        <v>#DIV/0!</v>
      </c>
      <c r="SPU133" s="531" t="e">
        <f t="shared" si="468"/>
        <v>#DIV/0!</v>
      </c>
      <c r="SPV133" s="531" t="e">
        <f t="shared" si="468"/>
        <v>#DIV/0!</v>
      </c>
      <c r="SPW133" s="531" t="e">
        <f t="shared" si="468"/>
        <v>#DIV/0!</v>
      </c>
      <c r="SPX133" s="531" t="e">
        <f t="shared" si="468"/>
        <v>#DIV/0!</v>
      </c>
      <c r="SPY133" s="531" t="e">
        <f t="shared" si="468"/>
        <v>#DIV/0!</v>
      </c>
      <c r="SPZ133" s="531" t="e">
        <f t="shared" si="468"/>
        <v>#DIV/0!</v>
      </c>
      <c r="SQA133" s="531" t="e">
        <f t="shared" si="468"/>
        <v>#DIV/0!</v>
      </c>
      <c r="SQB133" s="531" t="e">
        <f t="shared" si="468"/>
        <v>#DIV/0!</v>
      </c>
      <c r="SQC133" s="531" t="e">
        <f t="shared" si="468"/>
        <v>#DIV/0!</v>
      </c>
      <c r="SQD133" s="531" t="e">
        <f t="shared" si="468"/>
        <v>#DIV/0!</v>
      </c>
      <c r="SQE133" s="531" t="e">
        <f t="shared" si="468"/>
        <v>#DIV/0!</v>
      </c>
      <c r="SQF133" s="531" t="e">
        <f t="shared" si="468"/>
        <v>#DIV/0!</v>
      </c>
      <c r="SQG133" s="531" t="e">
        <f t="shared" si="468"/>
        <v>#DIV/0!</v>
      </c>
      <c r="SQH133" s="531" t="e">
        <f t="shared" si="468"/>
        <v>#DIV/0!</v>
      </c>
      <c r="SQI133" s="531" t="e">
        <f t="shared" si="468"/>
        <v>#DIV/0!</v>
      </c>
      <c r="SQJ133" s="531" t="e">
        <f t="shared" si="468"/>
        <v>#DIV/0!</v>
      </c>
      <c r="SQK133" s="531" t="e">
        <f t="shared" si="468"/>
        <v>#DIV/0!</v>
      </c>
      <c r="SQL133" s="531" t="e">
        <f t="shared" si="468"/>
        <v>#DIV/0!</v>
      </c>
      <c r="SQM133" s="531" t="e">
        <f t="shared" si="468"/>
        <v>#DIV/0!</v>
      </c>
      <c r="SQN133" s="531" t="e">
        <f t="shared" si="468"/>
        <v>#DIV/0!</v>
      </c>
      <c r="SQO133" s="531" t="e">
        <f t="shared" si="468"/>
        <v>#DIV/0!</v>
      </c>
      <c r="SQP133" s="531" t="e">
        <f t="shared" si="468"/>
        <v>#DIV/0!</v>
      </c>
      <c r="SQQ133" s="531" t="e">
        <f t="shared" si="468"/>
        <v>#DIV/0!</v>
      </c>
      <c r="SQR133" s="531" t="e">
        <f t="shared" si="468"/>
        <v>#DIV/0!</v>
      </c>
      <c r="SQS133" s="531" t="e">
        <f t="shared" si="468"/>
        <v>#DIV/0!</v>
      </c>
      <c r="SQT133" s="531" t="e">
        <f t="shared" si="468"/>
        <v>#DIV/0!</v>
      </c>
      <c r="SQU133" s="531" t="e">
        <f t="shared" si="468"/>
        <v>#DIV/0!</v>
      </c>
      <c r="SQV133" s="531" t="e">
        <f t="shared" si="468"/>
        <v>#DIV/0!</v>
      </c>
      <c r="SQW133" s="531" t="e">
        <f t="shared" si="468"/>
        <v>#DIV/0!</v>
      </c>
      <c r="SQX133" s="531" t="e">
        <f t="shared" si="468"/>
        <v>#DIV/0!</v>
      </c>
      <c r="SQY133" s="531" t="e">
        <f t="shared" si="468"/>
        <v>#DIV/0!</v>
      </c>
      <c r="SQZ133" s="531" t="e">
        <f t="shared" si="468"/>
        <v>#DIV/0!</v>
      </c>
      <c r="SRA133" s="531" t="e">
        <f t="shared" si="468"/>
        <v>#DIV/0!</v>
      </c>
      <c r="SRB133" s="531" t="e">
        <f t="shared" si="468"/>
        <v>#DIV/0!</v>
      </c>
      <c r="SRC133" s="531" t="e">
        <f t="shared" si="468"/>
        <v>#DIV/0!</v>
      </c>
      <c r="SRD133" s="531" t="e">
        <f t="shared" si="468"/>
        <v>#DIV/0!</v>
      </c>
      <c r="SRE133" s="531" t="e">
        <f t="shared" si="468"/>
        <v>#DIV/0!</v>
      </c>
      <c r="SRF133" s="531" t="e">
        <f t="shared" si="468"/>
        <v>#DIV/0!</v>
      </c>
      <c r="SRG133" s="531" t="e">
        <f t="shared" ref="SRG133:STR133" si="469">SRG116/(SRG52*10^5)</f>
        <v>#DIV/0!</v>
      </c>
      <c r="SRH133" s="531" t="e">
        <f t="shared" si="469"/>
        <v>#DIV/0!</v>
      </c>
      <c r="SRI133" s="531" t="e">
        <f t="shared" si="469"/>
        <v>#DIV/0!</v>
      </c>
      <c r="SRJ133" s="531" t="e">
        <f t="shared" si="469"/>
        <v>#DIV/0!</v>
      </c>
      <c r="SRK133" s="531" t="e">
        <f t="shared" si="469"/>
        <v>#DIV/0!</v>
      </c>
      <c r="SRL133" s="531" t="e">
        <f t="shared" si="469"/>
        <v>#DIV/0!</v>
      </c>
      <c r="SRM133" s="531" t="e">
        <f t="shared" si="469"/>
        <v>#DIV/0!</v>
      </c>
      <c r="SRN133" s="531" t="e">
        <f t="shared" si="469"/>
        <v>#DIV/0!</v>
      </c>
      <c r="SRO133" s="531" t="e">
        <f t="shared" si="469"/>
        <v>#DIV/0!</v>
      </c>
      <c r="SRP133" s="531" t="e">
        <f t="shared" si="469"/>
        <v>#DIV/0!</v>
      </c>
      <c r="SRQ133" s="531" t="e">
        <f t="shared" si="469"/>
        <v>#DIV/0!</v>
      </c>
      <c r="SRR133" s="531" t="e">
        <f t="shared" si="469"/>
        <v>#DIV/0!</v>
      </c>
      <c r="SRS133" s="531" t="e">
        <f t="shared" si="469"/>
        <v>#DIV/0!</v>
      </c>
      <c r="SRT133" s="531" t="e">
        <f t="shared" si="469"/>
        <v>#DIV/0!</v>
      </c>
      <c r="SRU133" s="531" t="e">
        <f t="shared" si="469"/>
        <v>#DIV/0!</v>
      </c>
      <c r="SRV133" s="531" t="e">
        <f t="shared" si="469"/>
        <v>#DIV/0!</v>
      </c>
      <c r="SRW133" s="531" t="e">
        <f t="shared" si="469"/>
        <v>#DIV/0!</v>
      </c>
      <c r="SRX133" s="531" t="e">
        <f t="shared" si="469"/>
        <v>#DIV/0!</v>
      </c>
      <c r="SRY133" s="531" t="e">
        <f t="shared" si="469"/>
        <v>#DIV/0!</v>
      </c>
      <c r="SRZ133" s="531" t="e">
        <f t="shared" si="469"/>
        <v>#DIV/0!</v>
      </c>
      <c r="SSA133" s="531" t="e">
        <f t="shared" si="469"/>
        <v>#DIV/0!</v>
      </c>
      <c r="SSB133" s="531" t="e">
        <f t="shared" si="469"/>
        <v>#DIV/0!</v>
      </c>
      <c r="SSC133" s="531" t="e">
        <f t="shared" si="469"/>
        <v>#DIV/0!</v>
      </c>
      <c r="SSD133" s="531" t="e">
        <f t="shared" si="469"/>
        <v>#DIV/0!</v>
      </c>
      <c r="SSE133" s="531" t="e">
        <f t="shared" si="469"/>
        <v>#DIV/0!</v>
      </c>
      <c r="SSF133" s="531" t="e">
        <f t="shared" si="469"/>
        <v>#DIV/0!</v>
      </c>
      <c r="SSG133" s="531" t="e">
        <f t="shared" si="469"/>
        <v>#DIV/0!</v>
      </c>
      <c r="SSH133" s="531" t="e">
        <f t="shared" si="469"/>
        <v>#DIV/0!</v>
      </c>
      <c r="SSI133" s="531" t="e">
        <f t="shared" si="469"/>
        <v>#DIV/0!</v>
      </c>
      <c r="SSJ133" s="531" t="e">
        <f t="shared" si="469"/>
        <v>#DIV/0!</v>
      </c>
      <c r="SSK133" s="531" t="e">
        <f t="shared" si="469"/>
        <v>#DIV/0!</v>
      </c>
      <c r="SSL133" s="531" t="e">
        <f t="shared" si="469"/>
        <v>#DIV/0!</v>
      </c>
      <c r="SSM133" s="531" t="e">
        <f t="shared" si="469"/>
        <v>#DIV/0!</v>
      </c>
      <c r="SSN133" s="531" t="e">
        <f t="shared" si="469"/>
        <v>#DIV/0!</v>
      </c>
      <c r="SSO133" s="531" t="e">
        <f t="shared" si="469"/>
        <v>#DIV/0!</v>
      </c>
      <c r="SSP133" s="531" t="e">
        <f t="shared" si="469"/>
        <v>#DIV/0!</v>
      </c>
      <c r="SSQ133" s="531" t="e">
        <f t="shared" si="469"/>
        <v>#DIV/0!</v>
      </c>
      <c r="SSR133" s="531" t="e">
        <f t="shared" si="469"/>
        <v>#DIV/0!</v>
      </c>
      <c r="SSS133" s="531" t="e">
        <f t="shared" si="469"/>
        <v>#DIV/0!</v>
      </c>
      <c r="SST133" s="531" t="e">
        <f t="shared" si="469"/>
        <v>#DIV/0!</v>
      </c>
      <c r="SSU133" s="531" t="e">
        <f t="shared" si="469"/>
        <v>#DIV/0!</v>
      </c>
      <c r="SSV133" s="531" t="e">
        <f t="shared" si="469"/>
        <v>#DIV/0!</v>
      </c>
      <c r="SSW133" s="531" t="e">
        <f t="shared" si="469"/>
        <v>#DIV/0!</v>
      </c>
      <c r="SSX133" s="531" t="e">
        <f t="shared" si="469"/>
        <v>#DIV/0!</v>
      </c>
      <c r="SSY133" s="531" t="e">
        <f t="shared" si="469"/>
        <v>#DIV/0!</v>
      </c>
      <c r="SSZ133" s="531" t="e">
        <f t="shared" si="469"/>
        <v>#DIV/0!</v>
      </c>
      <c r="STA133" s="531" t="e">
        <f t="shared" si="469"/>
        <v>#DIV/0!</v>
      </c>
      <c r="STB133" s="531" t="e">
        <f t="shared" si="469"/>
        <v>#DIV/0!</v>
      </c>
      <c r="STC133" s="531" t="e">
        <f t="shared" si="469"/>
        <v>#DIV/0!</v>
      </c>
      <c r="STD133" s="531" t="e">
        <f t="shared" si="469"/>
        <v>#DIV/0!</v>
      </c>
      <c r="STE133" s="531" t="e">
        <f t="shared" si="469"/>
        <v>#DIV/0!</v>
      </c>
      <c r="STF133" s="531" t="e">
        <f t="shared" si="469"/>
        <v>#DIV/0!</v>
      </c>
      <c r="STG133" s="531" t="e">
        <f t="shared" si="469"/>
        <v>#DIV/0!</v>
      </c>
      <c r="STH133" s="531" t="e">
        <f t="shared" si="469"/>
        <v>#DIV/0!</v>
      </c>
      <c r="STI133" s="531" t="e">
        <f t="shared" si="469"/>
        <v>#DIV/0!</v>
      </c>
      <c r="STJ133" s="531" t="e">
        <f t="shared" si="469"/>
        <v>#DIV/0!</v>
      </c>
      <c r="STK133" s="531" t="e">
        <f t="shared" si="469"/>
        <v>#DIV/0!</v>
      </c>
      <c r="STL133" s="531" t="e">
        <f t="shared" si="469"/>
        <v>#DIV/0!</v>
      </c>
      <c r="STM133" s="531" t="e">
        <f t="shared" si="469"/>
        <v>#DIV/0!</v>
      </c>
      <c r="STN133" s="531" t="e">
        <f t="shared" si="469"/>
        <v>#DIV/0!</v>
      </c>
      <c r="STO133" s="531" t="e">
        <f t="shared" si="469"/>
        <v>#DIV/0!</v>
      </c>
      <c r="STP133" s="531" t="e">
        <f t="shared" si="469"/>
        <v>#DIV/0!</v>
      </c>
      <c r="STQ133" s="531" t="e">
        <f t="shared" si="469"/>
        <v>#DIV/0!</v>
      </c>
      <c r="STR133" s="531" t="e">
        <f t="shared" si="469"/>
        <v>#DIV/0!</v>
      </c>
      <c r="STS133" s="531" t="e">
        <f t="shared" ref="STS133:SWD133" si="470">STS116/(STS52*10^5)</f>
        <v>#DIV/0!</v>
      </c>
      <c r="STT133" s="531" t="e">
        <f t="shared" si="470"/>
        <v>#DIV/0!</v>
      </c>
      <c r="STU133" s="531" t="e">
        <f t="shared" si="470"/>
        <v>#DIV/0!</v>
      </c>
      <c r="STV133" s="531" t="e">
        <f t="shared" si="470"/>
        <v>#DIV/0!</v>
      </c>
      <c r="STW133" s="531" t="e">
        <f t="shared" si="470"/>
        <v>#DIV/0!</v>
      </c>
      <c r="STX133" s="531" t="e">
        <f t="shared" si="470"/>
        <v>#DIV/0!</v>
      </c>
      <c r="STY133" s="531" t="e">
        <f t="shared" si="470"/>
        <v>#DIV/0!</v>
      </c>
      <c r="STZ133" s="531" t="e">
        <f t="shared" si="470"/>
        <v>#DIV/0!</v>
      </c>
      <c r="SUA133" s="531" t="e">
        <f t="shared" si="470"/>
        <v>#DIV/0!</v>
      </c>
      <c r="SUB133" s="531" t="e">
        <f t="shared" si="470"/>
        <v>#DIV/0!</v>
      </c>
      <c r="SUC133" s="531" t="e">
        <f t="shared" si="470"/>
        <v>#DIV/0!</v>
      </c>
      <c r="SUD133" s="531" t="e">
        <f t="shared" si="470"/>
        <v>#DIV/0!</v>
      </c>
      <c r="SUE133" s="531" t="e">
        <f t="shared" si="470"/>
        <v>#DIV/0!</v>
      </c>
      <c r="SUF133" s="531" t="e">
        <f t="shared" si="470"/>
        <v>#DIV/0!</v>
      </c>
      <c r="SUG133" s="531" t="e">
        <f t="shared" si="470"/>
        <v>#DIV/0!</v>
      </c>
      <c r="SUH133" s="531" t="e">
        <f t="shared" si="470"/>
        <v>#DIV/0!</v>
      </c>
      <c r="SUI133" s="531" t="e">
        <f t="shared" si="470"/>
        <v>#DIV/0!</v>
      </c>
      <c r="SUJ133" s="531" t="e">
        <f t="shared" si="470"/>
        <v>#DIV/0!</v>
      </c>
      <c r="SUK133" s="531" t="e">
        <f t="shared" si="470"/>
        <v>#DIV/0!</v>
      </c>
      <c r="SUL133" s="531" t="e">
        <f t="shared" si="470"/>
        <v>#DIV/0!</v>
      </c>
      <c r="SUM133" s="531" t="e">
        <f t="shared" si="470"/>
        <v>#DIV/0!</v>
      </c>
      <c r="SUN133" s="531" t="e">
        <f t="shared" si="470"/>
        <v>#DIV/0!</v>
      </c>
      <c r="SUO133" s="531" t="e">
        <f t="shared" si="470"/>
        <v>#DIV/0!</v>
      </c>
      <c r="SUP133" s="531" t="e">
        <f t="shared" si="470"/>
        <v>#DIV/0!</v>
      </c>
      <c r="SUQ133" s="531" t="e">
        <f t="shared" si="470"/>
        <v>#DIV/0!</v>
      </c>
      <c r="SUR133" s="531" t="e">
        <f t="shared" si="470"/>
        <v>#DIV/0!</v>
      </c>
      <c r="SUS133" s="531" t="e">
        <f t="shared" si="470"/>
        <v>#DIV/0!</v>
      </c>
      <c r="SUT133" s="531" t="e">
        <f t="shared" si="470"/>
        <v>#DIV/0!</v>
      </c>
      <c r="SUU133" s="531" t="e">
        <f t="shared" si="470"/>
        <v>#DIV/0!</v>
      </c>
      <c r="SUV133" s="531" t="e">
        <f t="shared" si="470"/>
        <v>#DIV/0!</v>
      </c>
      <c r="SUW133" s="531" t="e">
        <f t="shared" si="470"/>
        <v>#DIV/0!</v>
      </c>
      <c r="SUX133" s="531" t="e">
        <f t="shared" si="470"/>
        <v>#DIV/0!</v>
      </c>
      <c r="SUY133" s="531" t="e">
        <f t="shared" si="470"/>
        <v>#DIV/0!</v>
      </c>
      <c r="SUZ133" s="531" t="e">
        <f t="shared" si="470"/>
        <v>#DIV/0!</v>
      </c>
      <c r="SVA133" s="531" t="e">
        <f t="shared" si="470"/>
        <v>#DIV/0!</v>
      </c>
      <c r="SVB133" s="531" t="e">
        <f t="shared" si="470"/>
        <v>#DIV/0!</v>
      </c>
      <c r="SVC133" s="531" t="e">
        <f t="shared" si="470"/>
        <v>#DIV/0!</v>
      </c>
      <c r="SVD133" s="531" t="e">
        <f t="shared" si="470"/>
        <v>#DIV/0!</v>
      </c>
      <c r="SVE133" s="531" t="e">
        <f t="shared" si="470"/>
        <v>#DIV/0!</v>
      </c>
      <c r="SVF133" s="531" t="e">
        <f t="shared" si="470"/>
        <v>#DIV/0!</v>
      </c>
      <c r="SVG133" s="531" t="e">
        <f t="shared" si="470"/>
        <v>#DIV/0!</v>
      </c>
      <c r="SVH133" s="531" t="e">
        <f t="shared" si="470"/>
        <v>#DIV/0!</v>
      </c>
      <c r="SVI133" s="531" t="e">
        <f t="shared" si="470"/>
        <v>#DIV/0!</v>
      </c>
      <c r="SVJ133" s="531" t="e">
        <f t="shared" si="470"/>
        <v>#DIV/0!</v>
      </c>
      <c r="SVK133" s="531" t="e">
        <f t="shared" si="470"/>
        <v>#DIV/0!</v>
      </c>
      <c r="SVL133" s="531" t="e">
        <f t="shared" si="470"/>
        <v>#DIV/0!</v>
      </c>
      <c r="SVM133" s="531" t="e">
        <f t="shared" si="470"/>
        <v>#DIV/0!</v>
      </c>
      <c r="SVN133" s="531" t="e">
        <f t="shared" si="470"/>
        <v>#DIV/0!</v>
      </c>
      <c r="SVO133" s="531" t="e">
        <f t="shared" si="470"/>
        <v>#DIV/0!</v>
      </c>
      <c r="SVP133" s="531" t="e">
        <f t="shared" si="470"/>
        <v>#DIV/0!</v>
      </c>
      <c r="SVQ133" s="531" t="e">
        <f t="shared" si="470"/>
        <v>#DIV/0!</v>
      </c>
      <c r="SVR133" s="531" t="e">
        <f t="shared" si="470"/>
        <v>#DIV/0!</v>
      </c>
      <c r="SVS133" s="531" t="e">
        <f t="shared" si="470"/>
        <v>#DIV/0!</v>
      </c>
      <c r="SVT133" s="531" t="e">
        <f t="shared" si="470"/>
        <v>#DIV/0!</v>
      </c>
      <c r="SVU133" s="531" t="e">
        <f t="shared" si="470"/>
        <v>#DIV/0!</v>
      </c>
      <c r="SVV133" s="531" t="e">
        <f t="shared" si="470"/>
        <v>#DIV/0!</v>
      </c>
      <c r="SVW133" s="531" t="e">
        <f t="shared" si="470"/>
        <v>#DIV/0!</v>
      </c>
      <c r="SVX133" s="531" t="e">
        <f t="shared" si="470"/>
        <v>#DIV/0!</v>
      </c>
      <c r="SVY133" s="531" t="e">
        <f t="shared" si="470"/>
        <v>#DIV/0!</v>
      </c>
      <c r="SVZ133" s="531" t="e">
        <f t="shared" si="470"/>
        <v>#DIV/0!</v>
      </c>
      <c r="SWA133" s="531" t="e">
        <f t="shared" si="470"/>
        <v>#DIV/0!</v>
      </c>
      <c r="SWB133" s="531" t="e">
        <f t="shared" si="470"/>
        <v>#DIV/0!</v>
      </c>
      <c r="SWC133" s="531" t="e">
        <f t="shared" si="470"/>
        <v>#DIV/0!</v>
      </c>
      <c r="SWD133" s="531" t="e">
        <f t="shared" si="470"/>
        <v>#DIV/0!</v>
      </c>
      <c r="SWE133" s="531" t="e">
        <f t="shared" ref="SWE133:SYP133" si="471">SWE116/(SWE52*10^5)</f>
        <v>#DIV/0!</v>
      </c>
      <c r="SWF133" s="531" t="e">
        <f t="shared" si="471"/>
        <v>#DIV/0!</v>
      </c>
      <c r="SWG133" s="531" t="e">
        <f t="shared" si="471"/>
        <v>#DIV/0!</v>
      </c>
      <c r="SWH133" s="531" t="e">
        <f t="shared" si="471"/>
        <v>#DIV/0!</v>
      </c>
      <c r="SWI133" s="531" t="e">
        <f t="shared" si="471"/>
        <v>#DIV/0!</v>
      </c>
      <c r="SWJ133" s="531" t="e">
        <f t="shared" si="471"/>
        <v>#DIV/0!</v>
      </c>
      <c r="SWK133" s="531" t="e">
        <f t="shared" si="471"/>
        <v>#DIV/0!</v>
      </c>
      <c r="SWL133" s="531" t="e">
        <f t="shared" si="471"/>
        <v>#DIV/0!</v>
      </c>
      <c r="SWM133" s="531" t="e">
        <f t="shared" si="471"/>
        <v>#DIV/0!</v>
      </c>
      <c r="SWN133" s="531" t="e">
        <f t="shared" si="471"/>
        <v>#DIV/0!</v>
      </c>
      <c r="SWO133" s="531" t="e">
        <f t="shared" si="471"/>
        <v>#DIV/0!</v>
      </c>
      <c r="SWP133" s="531" t="e">
        <f t="shared" si="471"/>
        <v>#DIV/0!</v>
      </c>
      <c r="SWQ133" s="531" t="e">
        <f t="shared" si="471"/>
        <v>#DIV/0!</v>
      </c>
      <c r="SWR133" s="531" t="e">
        <f t="shared" si="471"/>
        <v>#DIV/0!</v>
      </c>
      <c r="SWS133" s="531" t="e">
        <f t="shared" si="471"/>
        <v>#DIV/0!</v>
      </c>
      <c r="SWT133" s="531" t="e">
        <f t="shared" si="471"/>
        <v>#DIV/0!</v>
      </c>
      <c r="SWU133" s="531" t="e">
        <f t="shared" si="471"/>
        <v>#DIV/0!</v>
      </c>
      <c r="SWV133" s="531" t="e">
        <f t="shared" si="471"/>
        <v>#DIV/0!</v>
      </c>
      <c r="SWW133" s="531" t="e">
        <f t="shared" si="471"/>
        <v>#DIV/0!</v>
      </c>
      <c r="SWX133" s="531" t="e">
        <f t="shared" si="471"/>
        <v>#DIV/0!</v>
      </c>
      <c r="SWY133" s="531" t="e">
        <f t="shared" si="471"/>
        <v>#DIV/0!</v>
      </c>
      <c r="SWZ133" s="531" t="e">
        <f t="shared" si="471"/>
        <v>#DIV/0!</v>
      </c>
      <c r="SXA133" s="531" t="e">
        <f t="shared" si="471"/>
        <v>#DIV/0!</v>
      </c>
      <c r="SXB133" s="531" t="e">
        <f t="shared" si="471"/>
        <v>#DIV/0!</v>
      </c>
      <c r="SXC133" s="531" t="e">
        <f t="shared" si="471"/>
        <v>#DIV/0!</v>
      </c>
      <c r="SXD133" s="531" t="e">
        <f t="shared" si="471"/>
        <v>#DIV/0!</v>
      </c>
      <c r="SXE133" s="531" t="e">
        <f t="shared" si="471"/>
        <v>#DIV/0!</v>
      </c>
      <c r="SXF133" s="531" t="e">
        <f t="shared" si="471"/>
        <v>#DIV/0!</v>
      </c>
      <c r="SXG133" s="531" t="e">
        <f t="shared" si="471"/>
        <v>#DIV/0!</v>
      </c>
      <c r="SXH133" s="531" t="e">
        <f t="shared" si="471"/>
        <v>#DIV/0!</v>
      </c>
      <c r="SXI133" s="531" t="e">
        <f t="shared" si="471"/>
        <v>#DIV/0!</v>
      </c>
      <c r="SXJ133" s="531" t="e">
        <f t="shared" si="471"/>
        <v>#DIV/0!</v>
      </c>
      <c r="SXK133" s="531" t="e">
        <f t="shared" si="471"/>
        <v>#DIV/0!</v>
      </c>
      <c r="SXL133" s="531" t="e">
        <f t="shared" si="471"/>
        <v>#DIV/0!</v>
      </c>
      <c r="SXM133" s="531" t="e">
        <f t="shared" si="471"/>
        <v>#DIV/0!</v>
      </c>
      <c r="SXN133" s="531" t="e">
        <f t="shared" si="471"/>
        <v>#DIV/0!</v>
      </c>
      <c r="SXO133" s="531" t="e">
        <f t="shared" si="471"/>
        <v>#DIV/0!</v>
      </c>
      <c r="SXP133" s="531" t="e">
        <f t="shared" si="471"/>
        <v>#DIV/0!</v>
      </c>
      <c r="SXQ133" s="531" t="e">
        <f t="shared" si="471"/>
        <v>#DIV/0!</v>
      </c>
      <c r="SXR133" s="531" t="e">
        <f t="shared" si="471"/>
        <v>#DIV/0!</v>
      </c>
      <c r="SXS133" s="531" t="e">
        <f t="shared" si="471"/>
        <v>#DIV/0!</v>
      </c>
      <c r="SXT133" s="531" t="e">
        <f t="shared" si="471"/>
        <v>#DIV/0!</v>
      </c>
      <c r="SXU133" s="531" t="e">
        <f t="shared" si="471"/>
        <v>#DIV/0!</v>
      </c>
      <c r="SXV133" s="531" t="e">
        <f t="shared" si="471"/>
        <v>#DIV/0!</v>
      </c>
      <c r="SXW133" s="531" t="e">
        <f t="shared" si="471"/>
        <v>#DIV/0!</v>
      </c>
      <c r="SXX133" s="531" t="e">
        <f t="shared" si="471"/>
        <v>#DIV/0!</v>
      </c>
      <c r="SXY133" s="531" t="e">
        <f t="shared" si="471"/>
        <v>#DIV/0!</v>
      </c>
      <c r="SXZ133" s="531" t="e">
        <f t="shared" si="471"/>
        <v>#DIV/0!</v>
      </c>
      <c r="SYA133" s="531" t="e">
        <f t="shared" si="471"/>
        <v>#DIV/0!</v>
      </c>
      <c r="SYB133" s="531" t="e">
        <f t="shared" si="471"/>
        <v>#DIV/0!</v>
      </c>
      <c r="SYC133" s="531" t="e">
        <f t="shared" si="471"/>
        <v>#DIV/0!</v>
      </c>
      <c r="SYD133" s="531" t="e">
        <f t="shared" si="471"/>
        <v>#DIV/0!</v>
      </c>
      <c r="SYE133" s="531" t="e">
        <f t="shared" si="471"/>
        <v>#DIV/0!</v>
      </c>
      <c r="SYF133" s="531" t="e">
        <f t="shared" si="471"/>
        <v>#DIV/0!</v>
      </c>
      <c r="SYG133" s="531" t="e">
        <f t="shared" si="471"/>
        <v>#DIV/0!</v>
      </c>
      <c r="SYH133" s="531" t="e">
        <f t="shared" si="471"/>
        <v>#DIV/0!</v>
      </c>
      <c r="SYI133" s="531" t="e">
        <f t="shared" si="471"/>
        <v>#DIV/0!</v>
      </c>
      <c r="SYJ133" s="531" t="e">
        <f t="shared" si="471"/>
        <v>#DIV/0!</v>
      </c>
      <c r="SYK133" s="531" t="e">
        <f t="shared" si="471"/>
        <v>#DIV/0!</v>
      </c>
      <c r="SYL133" s="531" t="e">
        <f t="shared" si="471"/>
        <v>#DIV/0!</v>
      </c>
      <c r="SYM133" s="531" t="e">
        <f t="shared" si="471"/>
        <v>#DIV/0!</v>
      </c>
      <c r="SYN133" s="531" t="e">
        <f t="shared" si="471"/>
        <v>#DIV/0!</v>
      </c>
      <c r="SYO133" s="531" t="e">
        <f t="shared" si="471"/>
        <v>#DIV/0!</v>
      </c>
      <c r="SYP133" s="531" t="e">
        <f t="shared" si="471"/>
        <v>#DIV/0!</v>
      </c>
      <c r="SYQ133" s="531" t="e">
        <f t="shared" ref="SYQ133:TBB133" si="472">SYQ116/(SYQ52*10^5)</f>
        <v>#DIV/0!</v>
      </c>
      <c r="SYR133" s="531" t="e">
        <f t="shared" si="472"/>
        <v>#DIV/0!</v>
      </c>
      <c r="SYS133" s="531" t="e">
        <f t="shared" si="472"/>
        <v>#DIV/0!</v>
      </c>
      <c r="SYT133" s="531" t="e">
        <f t="shared" si="472"/>
        <v>#DIV/0!</v>
      </c>
      <c r="SYU133" s="531" t="e">
        <f t="shared" si="472"/>
        <v>#DIV/0!</v>
      </c>
      <c r="SYV133" s="531" t="e">
        <f t="shared" si="472"/>
        <v>#DIV/0!</v>
      </c>
      <c r="SYW133" s="531" t="e">
        <f t="shared" si="472"/>
        <v>#DIV/0!</v>
      </c>
      <c r="SYX133" s="531" t="e">
        <f t="shared" si="472"/>
        <v>#DIV/0!</v>
      </c>
      <c r="SYY133" s="531" t="e">
        <f t="shared" si="472"/>
        <v>#DIV/0!</v>
      </c>
      <c r="SYZ133" s="531" t="e">
        <f t="shared" si="472"/>
        <v>#DIV/0!</v>
      </c>
      <c r="SZA133" s="531" t="e">
        <f t="shared" si="472"/>
        <v>#DIV/0!</v>
      </c>
      <c r="SZB133" s="531" t="e">
        <f t="shared" si="472"/>
        <v>#DIV/0!</v>
      </c>
      <c r="SZC133" s="531" t="e">
        <f t="shared" si="472"/>
        <v>#DIV/0!</v>
      </c>
      <c r="SZD133" s="531" t="e">
        <f t="shared" si="472"/>
        <v>#DIV/0!</v>
      </c>
      <c r="SZE133" s="531" t="e">
        <f t="shared" si="472"/>
        <v>#DIV/0!</v>
      </c>
      <c r="SZF133" s="531" t="e">
        <f t="shared" si="472"/>
        <v>#DIV/0!</v>
      </c>
      <c r="SZG133" s="531" t="e">
        <f t="shared" si="472"/>
        <v>#DIV/0!</v>
      </c>
      <c r="SZH133" s="531" t="e">
        <f t="shared" si="472"/>
        <v>#DIV/0!</v>
      </c>
      <c r="SZI133" s="531" t="e">
        <f t="shared" si="472"/>
        <v>#DIV/0!</v>
      </c>
      <c r="SZJ133" s="531" t="e">
        <f t="shared" si="472"/>
        <v>#DIV/0!</v>
      </c>
      <c r="SZK133" s="531" t="e">
        <f t="shared" si="472"/>
        <v>#DIV/0!</v>
      </c>
      <c r="SZL133" s="531" t="e">
        <f t="shared" si="472"/>
        <v>#DIV/0!</v>
      </c>
      <c r="SZM133" s="531" t="e">
        <f t="shared" si="472"/>
        <v>#DIV/0!</v>
      </c>
      <c r="SZN133" s="531" t="e">
        <f t="shared" si="472"/>
        <v>#DIV/0!</v>
      </c>
      <c r="SZO133" s="531" t="e">
        <f t="shared" si="472"/>
        <v>#DIV/0!</v>
      </c>
      <c r="SZP133" s="531" t="e">
        <f t="shared" si="472"/>
        <v>#DIV/0!</v>
      </c>
      <c r="SZQ133" s="531" t="e">
        <f t="shared" si="472"/>
        <v>#DIV/0!</v>
      </c>
      <c r="SZR133" s="531" t="e">
        <f t="shared" si="472"/>
        <v>#DIV/0!</v>
      </c>
      <c r="SZS133" s="531" t="e">
        <f t="shared" si="472"/>
        <v>#DIV/0!</v>
      </c>
      <c r="SZT133" s="531" t="e">
        <f t="shared" si="472"/>
        <v>#DIV/0!</v>
      </c>
      <c r="SZU133" s="531" t="e">
        <f t="shared" si="472"/>
        <v>#DIV/0!</v>
      </c>
      <c r="SZV133" s="531" t="e">
        <f t="shared" si="472"/>
        <v>#DIV/0!</v>
      </c>
      <c r="SZW133" s="531" t="e">
        <f t="shared" si="472"/>
        <v>#DIV/0!</v>
      </c>
      <c r="SZX133" s="531" t="e">
        <f t="shared" si="472"/>
        <v>#DIV/0!</v>
      </c>
      <c r="SZY133" s="531" t="e">
        <f t="shared" si="472"/>
        <v>#DIV/0!</v>
      </c>
      <c r="SZZ133" s="531" t="e">
        <f t="shared" si="472"/>
        <v>#DIV/0!</v>
      </c>
      <c r="TAA133" s="531" t="e">
        <f t="shared" si="472"/>
        <v>#DIV/0!</v>
      </c>
      <c r="TAB133" s="531" t="e">
        <f t="shared" si="472"/>
        <v>#DIV/0!</v>
      </c>
      <c r="TAC133" s="531" t="e">
        <f t="shared" si="472"/>
        <v>#DIV/0!</v>
      </c>
      <c r="TAD133" s="531" t="e">
        <f t="shared" si="472"/>
        <v>#DIV/0!</v>
      </c>
      <c r="TAE133" s="531" t="e">
        <f t="shared" si="472"/>
        <v>#DIV/0!</v>
      </c>
      <c r="TAF133" s="531" t="e">
        <f t="shared" si="472"/>
        <v>#DIV/0!</v>
      </c>
      <c r="TAG133" s="531" t="e">
        <f t="shared" si="472"/>
        <v>#DIV/0!</v>
      </c>
      <c r="TAH133" s="531" t="e">
        <f t="shared" si="472"/>
        <v>#DIV/0!</v>
      </c>
      <c r="TAI133" s="531" t="e">
        <f t="shared" si="472"/>
        <v>#DIV/0!</v>
      </c>
      <c r="TAJ133" s="531" t="e">
        <f t="shared" si="472"/>
        <v>#DIV/0!</v>
      </c>
      <c r="TAK133" s="531" t="e">
        <f t="shared" si="472"/>
        <v>#DIV/0!</v>
      </c>
      <c r="TAL133" s="531" t="e">
        <f t="shared" si="472"/>
        <v>#DIV/0!</v>
      </c>
      <c r="TAM133" s="531" t="e">
        <f t="shared" si="472"/>
        <v>#DIV/0!</v>
      </c>
      <c r="TAN133" s="531" t="e">
        <f t="shared" si="472"/>
        <v>#DIV/0!</v>
      </c>
      <c r="TAO133" s="531" t="e">
        <f t="shared" si="472"/>
        <v>#DIV/0!</v>
      </c>
      <c r="TAP133" s="531" t="e">
        <f t="shared" si="472"/>
        <v>#DIV/0!</v>
      </c>
      <c r="TAQ133" s="531" t="e">
        <f t="shared" si="472"/>
        <v>#DIV/0!</v>
      </c>
      <c r="TAR133" s="531" t="e">
        <f t="shared" si="472"/>
        <v>#DIV/0!</v>
      </c>
      <c r="TAS133" s="531" t="e">
        <f t="shared" si="472"/>
        <v>#DIV/0!</v>
      </c>
      <c r="TAT133" s="531" t="e">
        <f t="shared" si="472"/>
        <v>#DIV/0!</v>
      </c>
      <c r="TAU133" s="531" t="e">
        <f t="shared" si="472"/>
        <v>#DIV/0!</v>
      </c>
      <c r="TAV133" s="531" t="e">
        <f t="shared" si="472"/>
        <v>#DIV/0!</v>
      </c>
      <c r="TAW133" s="531" t="e">
        <f t="shared" si="472"/>
        <v>#DIV/0!</v>
      </c>
      <c r="TAX133" s="531" t="e">
        <f t="shared" si="472"/>
        <v>#DIV/0!</v>
      </c>
      <c r="TAY133" s="531" t="e">
        <f t="shared" si="472"/>
        <v>#DIV/0!</v>
      </c>
      <c r="TAZ133" s="531" t="e">
        <f t="shared" si="472"/>
        <v>#DIV/0!</v>
      </c>
      <c r="TBA133" s="531" t="e">
        <f t="shared" si="472"/>
        <v>#DIV/0!</v>
      </c>
      <c r="TBB133" s="531" t="e">
        <f t="shared" si="472"/>
        <v>#DIV/0!</v>
      </c>
      <c r="TBC133" s="531" t="e">
        <f t="shared" ref="TBC133:TDN133" si="473">TBC116/(TBC52*10^5)</f>
        <v>#DIV/0!</v>
      </c>
      <c r="TBD133" s="531" t="e">
        <f t="shared" si="473"/>
        <v>#DIV/0!</v>
      </c>
      <c r="TBE133" s="531" t="e">
        <f t="shared" si="473"/>
        <v>#DIV/0!</v>
      </c>
      <c r="TBF133" s="531" t="e">
        <f t="shared" si="473"/>
        <v>#DIV/0!</v>
      </c>
      <c r="TBG133" s="531" t="e">
        <f t="shared" si="473"/>
        <v>#DIV/0!</v>
      </c>
      <c r="TBH133" s="531" t="e">
        <f t="shared" si="473"/>
        <v>#DIV/0!</v>
      </c>
      <c r="TBI133" s="531" t="e">
        <f t="shared" si="473"/>
        <v>#DIV/0!</v>
      </c>
      <c r="TBJ133" s="531" t="e">
        <f t="shared" si="473"/>
        <v>#DIV/0!</v>
      </c>
      <c r="TBK133" s="531" t="e">
        <f t="shared" si="473"/>
        <v>#DIV/0!</v>
      </c>
      <c r="TBL133" s="531" t="e">
        <f t="shared" si="473"/>
        <v>#DIV/0!</v>
      </c>
      <c r="TBM133" s="531" t="e">
        <f t="shared" si="473"/>
        <v>#DIV/0!</v>
      </c>
      <c r="TBN133" s="531" t="e">
        <f t="shared" si="473"/>
        <v>#DIV/0!</v>
      </c>
      <c r="TBO133" s="531" t="e">
        <f t="shared" si="473"/>
        <v>#DIV/0!</v>
      </c>
      <c r="TBP133" s="531" t="e">
        <f t="shared" si="473"/>
        <v>#DIV/0!</v>
      </c>
      <c r="TBQ133" s="531" t="e">
        <f t="shared" si="473"/>
        <v>#DIV/0!</v>
      </c>
      <c r="TBR133" s="531" t="e">
        <f t="shared" si="473"/>
        <v>#DIV/0!</v>
      </c>
      <c r="TBS133" s="531" t="e">
        <f t="shared" si="473"/>
        <v>#DIV/0!</v>
      </c>
      <c r="TBT133" s="531" t="e">
        <f t="shared" si="473"/>
        <v>#DIV/0!</v>
      </c>
      <c r="TBU133" s="531" t="e">
        <f t="shared" si="473"/>
        <v>#DIV/0!</v>
      </c>
      <c r="TBV133" s="531" t="e">
        <f t="shared" si="473"/>
        <v>#DIV/0!</v>
      </c>
      <c r="TBW133" s="531" t="e">
        <f t="shared" si="473"/>
        <v>#DIV/0!</v>
      </c>
      <c r="TBX133" s="531" t="e">
        <f t="shared" si="473"/>
        <v>#DIV/0!</v>
      </c>
      <c r="TBY133" s="531" t="e">
        <f t="shared" si="473"/>
        <v>#DIV/0!</v>
      </c>
      <c r="TBZ133" s="531" t="e">
        <f t="shared" si="473"/>
        <v>#DIV/0!</v>
      </c>
      <c r="TCA133" s="531" t="e">
        <f t="shared" si="473"/>
        <v>#DIV/0!</v>
      </c>
      <c r="TCB133" s="531" t="e">
        <f t="shared" si="473"/>
        <v>#DIV/0!</v>
      </c>
      <c r="TCC133" s="531" t="e">
        <f t="shared" si="473"/>
        <v>#DIV/0!</v>
      </c>
      <c r="TCD133" s="531" t="e">
        <f t="shared" si="473"/>
        <v>#DIV/0!</v>
      </c>
      <c r="TCE133" s="531" t="e">
        <f t="shared" si="473"/>
        <v>#DIV/0!</v>
      </c>
      <c r="TCF133" s="531" t="e">
        <f t="shared" si="473"/>
        <v>#DIV/0!</v>
      </c>
      <c r="TCG133" s="531" t="e">
        <f t="shared" si="473"/>
        <v>#DIV/0!</v>
      </c>
      <c r="TCH133" s="531" t="e">
        <f t="shared" si="473"/>
        <v>#DIV/0!</v>
      </c>
      <c r="TCI133" s="531" t="e">
        <f t="shared" si="473"/>
        <v>#DIV/0!</v>
      </c>
      <c r="TCJ133" s="531" t="e">
        <f t="shared" si="473"/>
        <v>#DIV/0!</v>
      </c>
      <c r="TCK133" s="531" t="e">
        <f t="shared" si="473"/>
        <v>#DIV/0!</v>
      </c>
      <c r="TCL133" s="531" t="e">
        <f t="shared" si="473"/>
        <v>#DIV/0!</v>
      </c>
      <c r="TCM133" s="531" t="e">
        <f t="shared" si="473"/>
        <v>#DIV/0!</v>
      </c>
      <c r="TCN133" s="531" t="e">
        <f t="shared" si="473"/>
        <v>#DIV/0!</v>
      </c>
      <c r="TCO133" s="531" t="e">
        <f t="shared" si="473"/>
        <v>#DIV/0!</v>
      </c>
      <c r="TCP133" s="531" t="e">
        <f t="shared" si="473"/>
        <v>#DIV/0!</v>
      </c>
      <c r="TCQ133" s="531" t="e">
        <f t="shared" si="473"/>
        <v>#DIV/0!</v>
      </c>
      <c r="TCR133" s="531" t="e">
        <f t="shared" si="473"/>
        <v>#DIV/0!</v>
      </c>
      <c r="TCS133" s="531" t="e">
        <f t="shared" si="473"/>
        <v>#DIV/0!</v>
      </c>
      <c r="TCT133" s="531" t="e">
        <f t="shared" si="473"/>
        <v>#DIV/0!</v>
      </c>
      <c r="TCU133" s="531" t="e">
        <f t="shared" si="473"/>
        <v>#DIV/0!</v>
      </c>
      <c r="TCV133" s="531" t="e">
        <f t="shared" si="473"/>
        <v>#DIV/0!</v>
      </c>
      <c r="TCW133" s="531" t="e">
        <f t="shared" si="473"/>
        <v>#DIV/0!</v>
      </c>
      <c r="TCX133" s="531" t="e">
        <f t="shared" si="473"/>
        <v>#DIV/0!</v>
      </c>
      <c r="TCY133" s="531" t="e">
        <f t="shared" si="473"/>
        <v>#DIV/0!</v>
      </c>
      <c r="TCZ133" s="531" t="e">
        <f t="shared" si="473"/>
        <v>#DIV/0!</v>
      </c>
      <c r="TDA133" s="531" t="e">
        <f t="shared" si="473"/>
        <v>#DIV/0!</v>
      </c>
      <c r="TDB133" s="531" t="e">
        <f t="shared" si="473"/>
        <v>#DIV/0!</v>
      </c>
      <c r="TDC133" s="531" t="e">
        <f t="shared" si="473"/>
        <v>#DIV/0!</v>
      </c>
      <c r="TDD133" s="531" t="e">
        <f t="shared" si="473"/>
        <v>#DIV/0!</v>
      </c>
      <c r="TDE133" s="531" t="e">
        <f t="shared" si="473"/>
        <v>#DIV/0!</v>
      </c>
      <c r="TDF133" s="531" t="e">
        <f t="shared" si="473"/>
        <v>#DIV/0!</v>
      </c>
      <c r="TDG133" s="531" t="e">
        <f t="shared" si="473"/>
        <v>#DIV/0!</v>
      </c>
      <c r="TDH133" s="531" t="e">
        <f t="shared" si="473"/>
        <v>#DIV/0!</v>
      </c>
      <c r="TDI133" s="531" t="e">
        <f t="shared" si="473"/>
        <v>#DIV/0!</v>
      </c>
      <c r="TDJ133" s="531" t="e">
        <f t="shared" si="473"/>
        <v>#DIV/0!</v>
      </c>
      <c r="TDK133" s="531" t="e">
        <f t="shared" si="473"/>
        <v>#DIV/0!</v>
      </c>
      <c r="TDL133" s="531" t="e">
        <f t="shared" si="473"/>
        <v>#DIV/0!</v>
      </c>
      <c r="TDM133" s="531" t="e">
        <f t="shared" si="473"/>
        <v>#DIV/0!</v>
      </c>
      <c r="TDN133" s="531" t="e">
        <f t="shared" si="473"/>
        <v>#DIV/0!</v>
      </c>
      <c r="TDO133" s="531" t="e">
        <f t="shared" ref="TDO133:TFZ133" si="474">TDO116/(TDO52*10^5)</f>
        <v>#DIV/0!</v>
      </c>
      <c r="TDP133" s="531" t="e">
        <f t="shared" si="474"/>
        <v>#DIV/0!</v>
      </c>
      <c r="TDQ133" s="531" t="e">
        <f t="shared" si="474"/>
        <v>#DIV/0!</v>
      </c>
      <c r="TDR133" s="531" t="e">
        <f t="shared" si="474"/>
        <v>#DIV/0!</v>
      </c>
      <c r="TDS133" s="531" t="e">
        <f t="shared" si="474"/>
        <v>#DIV/0!</v>
      </c>
      <c r="TDT133" s="531" t="e">
        <f t="shared" si="474"/>
        <v>#DIV/0!</v>
      </c>
      <c r="TDU133" s="531" t="e">
        <f t="shared" si="474"/>
        <v>#DIV/0!</v>
      </c>
      <c r="TDV133" s="531" t="e">
        <f t="shared" si="474"/>
        <v>#DIV/0!</v>
      </c>
      <c r="TDW133" s="531" t="e">
        <f t="shared" si="474"/>
        <v>#DIV/0!</v>
      </c>
      <c r="TDX133" s="531" t="e">
        <f t="shared" si="474"/>
        <v>#DIV/0!</v>
      </c>
      <c r="TDY133" s="531" t="e">
        <f t="shared" si="474"/>
        <v>#DIV/0!</v>
      </c>
      <c r="TDZ133" s="531" t="e">
        <f t="shared" si="474"/>
        <v>#DIV/0!</v>
      </c>
      <c r="TEA133" s="531" t="e">
        <f t="shared" si="474"/>
        <v>#DIV/0!</v>
      </c>
      <c r="TEB133" s="531" t="e">
        <f t="shared" si="474"/>
        <v>#DIV/0!</v>
      </c>
      <c r="TEC133" s="531" t="e">
        <f t="shared" si="474"/>
        <v>#DIV/0!</v>
      </c>
      <c r="TED133" s="531" t="e">
        <f t="shared" si="474"/>
        <v>#DIV/0!</v>
      </c>
      <c r="TEE133" s="531" t="e">
        <f t="shared" si="474"/>
        <v>#DIV/0!</v>
      </c>
      <c r="TEF133" s="531" t="e">
        <f t="shared" si="474"/>
        <v>#DIV/0!</v>
      </c>
      <c r="TEG133" s="531" t="e">
        <f t="shared" si="474"/>
        <v>#DIV/0!</v>
      </c>
      <c r="TEH133" s="531" t="e">
        <f t="shared" si="474"/>
        <v>#DIV/0!</v>
      </c>
      <c r="TEI133" s="531" t="e">
        <f t="shared" si="474"/>
        <v>#DIV/0!</v>
      </c>
      <c r="TEJ133" s="531" t="e">
        <f t="shared" si="474"/>
        <v>#DIV/0!</v>
      </c>
      <c r="TEK133" s="531" t="e">
        <f t="shared" si="474"/>
        <v>#DIV/0!</v>
      </c>
      <c r="TEL133" s="531" t="e">
        <f t="shared" si="474"/>
        <v>#DIV/0!</v>
      </c>
      <c r="TEM133" s="531" t="e">
        <f t="shared" si="474"/>
        <v>#DIV/0!</v>
      </c>
      <c r="TEN133" s="531" t="e">
        <f t="shared" si="474"/>
        <v>#DIV/0!</v>
      </c>
      <c r="TEO133" s="531" t="e">
        <f t="shared" si="474"/>
        <v>#DIV/0!</v>
      </c>
      <c r="TEP133" s="531" t="e">
        <f t="shared" si="474"/>
        <v>#DIV/0!</v>
      </c>
      <c r="TEQ133" s="531" t="e">
        <f t="shared" si="474"/>
        <v>#DIV/0!</v>
      </c>
      <c r="TER133" s="531" t="e">
        <f t="shared" si="474"/>
        <v>#DIV/0!</v>
      </c>
      <c r="TES133" s="531" t="e">
        <f t="shared" si="474"/>
        <v>#DIV/0!</v>
      </c>
      <c r="TET133" s="531" t="e">
        <f t="shared" si="474"/>
        <v>#DIV/0!</v>
      </c>
      <c r="TEU133" s="531" t="e">
        <f t="shared" si="474"/>
        <v>#DIV/0!</v>
      </c>
      <c r="TEV133" s="531" t="e">
        <f t="shared" si="474"/>
        <v>#DIV/0!</v>
      </c>
      <c r="TEW133" s="531" t="e">
        <f t="shared" si="474"/>
        <v>#DIV/0!</v>
      </c>
      <c r="TEX133" s="531" t="e">
        <f t="shared" si="474"/>
        <v>#DIV/0!</v>
      </c>
      <c r="TEY133" s="531" t="e">
        <f t="shared" si="474"/>
        <v>#DIV/0!</v>
      </c>
      <c r="TEZ133" s="531" t="e">
        <f t="shared" si="474"/>
        <v>#DIV/0!</v>
      </c>
      <c r="TFA133" s="531" t="e">
        <f t="shared" si="474"/>
        <v>#DIV/0!</v>
      </c>
      <c r="TFB133" s="531" t="e">
        <f t="shared" si="474"/>
        <v>#DIV/0!</v>
      </c>
      <c r="TFC133" s="531" t="e">
        <f t="shared" si="474"/>
        <v>#DIV/0!</v>
      </c>
      <c r="TFD133" s="531" t="e">
        <f t="shared" si="474"/>
        <v>#DIV/0!</v>
      </c>
      <c r="TFE133" s="531" t="e">
        <f t="shared" si="474"/>
        <v>#DIV/0!</v>
      </c>
      <c r="TFF133" s="531" t="e">
        <f t="shared" si="474"/>
        <v>#DIV/0!</v>
      </c>
      <c r="TFG133" s="531" t="e">
        <f t="shared" si="474"/>
        <v>#DIV/0!</v>
      </c>
      <c r="TFH133" s="531" t="e">
        <f t="shared" si="474"/>
        <v>#DIV/0!</v>
      </c>
      <c r="TFI133" s="531" t="e">
        <f t="shared" si="474"/>
        <v>#DIV/0!</v>
      </c>
      <c r="TFJ133" s="531" t="e">
        <f t="shared" si="474"/>
        <v>#DIV/0!</v>
      </c>
      <c r="TFK133" s="531" t="e">
        <f t="shared" si="474"/>
        <v>#DIV/0!</v>
      </c>
      <c r="TFL133" s="531" t="e">
        <f t="shared" si="474"/>
        <v>#DIV/0!</v>
      </c>
      <c r="TFM133" s="531" t="e">
        <f t="shared" si="474"/>
        <v>#DIV/0!</v>
      </c>
      <c r="TFN133" s="531" t="e">
        <f t="shared" si="474"/>
        <v>#DIV/0!</v>
      </c>
      <c r="TFO133" s="531" t="e">
        <f t="shared" si="474"/>
        <v>#DIV/0!</v>
      </c>
      <c r="TFP133" s="531" t="e">
        <f t="shared" si="474"/>
        <v>#DIV/0!</v>
      </c>
      <c r="TFQ133" s="531" t="e">
        <f t="shared" si="474"/>
        <v>#DIV/0!</v>
      </c>
      <c r="TFR133" s="531" t="e">
        <f t="shared" si="474"/>
        <v>#DIV/0!</v>
      </c>
      <c r="TFS133" s="531" t="e">
        <f t="shared" si="474"/>
        <v>#DIV/0!</v>
      </c>
      <c r="TFT133" s="531" t="e">
        <f t="shared" si="474"/>
        <v>#DIV/0!</v>
      </c>
      <c r="TFU133" s="531" t="e">
        <f t="shared" si="474"/>
        <v>#DIV/0!</v>
      </c>
      <c r="TFV133" s="531" t="e">
        <f t="shared" si="474"/>
        <v>#DIV/0!</v>
      </c>
      <c r="TFW133" s="531" t="e">
        <f t="shared" si="474"/>
        <v>#DIV/0!</v>
      </c>
      <c r="TFX133" s="531" t="e">
        <f t="shared" si="474"/>
        <v>#DIV/0!</v>
      </c>
      <c r="TFY133" s="531" t="e">
        <f t="shared" si="474"/>
        <v>#DIV/0!</v>
      </c>
      <c r="TFZ133" s="531" t="e">
        <f t="shared" si="474"/>
        <v>#DIV/0!</v>
      </c>
      <c r="TGA133" s="531" t="e">
        <f t="shared" ref="TGA133:TIL133" si="475">TGA116/(TGA52*10^5)</f>
        <v>#DIV/0!</v>
      </c>
      <c r="TGB133" s="531" t="e">
        <f t="shared" si="475"/>
        <v>#DIV/0!</v>
      </c>
      <c r="TGC133" s="531" t="e">
        <f t="shared" si="475"/>
        <v>#DIV/0!</v>
      </c>
      <c r="TGD133" s="531" t="e">
        <f t="shared" si="475"/>
        <v>#DIV/0!</v>
      </c>
      <c r="TGE133" s="531" t="e">
        <f t="shared" si="475"/>
        <v>#DIV/0!</v>
      </c>
      <c r="TGF133" s="531" t="e">
        <f t="shared" si="475"/>
        <v>#DIV/0!</v>
      </c>
      <c r="TGG133" s="531" t="e">
        <f t="shared" si="475"/>
        <v>#DIV/0!</v>
      </c>
      <c r="TGH133" s="531" t="e">
        <f t="shared" si="475"/>
        <v>#DIV/0!</v>
      </c>
      <c r="TGI133" s="531" t="e">
        <f t="shared" si="475"/>
        <v>#DIV/0!</v>
      </c>
      <c r="TGJ133" s="531" t="e">
        <f t="shared" si="475"/>
        <v>#DIV/0!</v>
      </c>
      <c r="TGK133" s="531" t="e">
        <f t="shared" si="475"/>
        <v>#DIV/0!</v>
      </c>
      <c r="TGL133" s="531" t="e">
        <f t="shared" si="475"/>
        <v>#DIV/0!</v>
      </c>
      <c r="TGM133" s="531" t="e">
        <f t="shared" si="475"/>
        <v>#DIV/0!</v>
      </c>
      <c r="TGN133" s="531" t="e">
        <f t="shared" si="475"/>
        <v>#DIV/0!</v>
      </c>
      <c r="TGO133" s="531" t="e">
        <f t="shared" si="475"/>
        <v>#DIV/0!</v>
      </c>
      <c r="TGP133" s="531" t="e">
        <f t="shared" si="475"/>
        <v>#DIV/0!</v>
      </c>
      <c r="TGQ133" s="531" t="e">
        <f t="shared" si="475"/>
        <v>#DIV/0!</v>
      </c>
      <c r="TGR133" s="531" t="e">
        <f t="shared" si="475"/>
        <v>#DIV/0!</v>
      </c>
      <c r="TGS133" s="531" t="e">
        <f t="shared" si="475"/>
        <v>#DIV/0!</v>
      </c>
      <c r="TGT133" s="531" t="e">
        <f t="shared" si="475"/>
        <v>#DIV/0!</v>
      </c>
      <c r="TGU133" s="531" t="e">
        <f t="shared" si="475"/>
        <v>#DIV/0!</v>
      </c>
      <c r="TGV133" s="531" t="e">
        <f t="shared" si="475"/>
        <v>#DIV/0!</v>
      </c>
      <c r="TGW133" s="531" t="e">
        <f t="shared" si="475"/>
        <v>#DIV/0!</v>
      </c>
      <c r="TGX133" s="531" t="e">
        <f t="shared" si="475"/>
        <v>#DIV/0!</v>
      </c>
      <c r="TGY133" s="531" t="e">
        <f t="shared" si="475"/>
        <v>#DIV/0!</v>
      </c>
      <c r="TGZ133" s="531" t="e">
        <f t="shared" si="475"/>
        <v>#DIV/0!</v>
      </c>
      <c r="THA133" s="531" t="e">
        <f t="shared" si="475"/>
        <v>#DIV/0!</v>
      </c>
      <c r="THB133" s="531" t="e">
        <f t="shared" si="475"/>
        <v>#DIV/0!</v>
      </c>
      <c r="THC133" s="531" t="e">
        <f t="shared" si="475"/>
        <v>#DIV/0!</v>
      </c>
      <c r="THD133" s="531" t="e">
        <f t="shared" si="475"/>
        <v>#DIV/0!</v>
      </c>
      <c r="THE133" s="531" t="e">
        <f t="shared" si="475"/>
        <v>#DIV/0!</v>
      </c>
      <c r="THF133" s="531" t="e">
        <f t="shared" si="475"/>
        <v>#DIV/0!</v>
      </c>
      <c r="THG133" s="531" t="e">
        <f t="shared" si="475"/>
        <v>#DIV/0!</v>
      </c>
      <c r="THH133" s="531" t="e">
        <f t="shared" si="475"/>
        <v>#DIV/0!</v>
      </c>
      <c r="THI133" s="531" t="e">
        <f t="shared" si="475"/>
        <v>#DIV/0!</v>
      </c>
      <c r="THJ133" s="531" t="e">
        <f t="shared" si="475"/>
        <v>#DIV/0!</v>
      </c>
      <c r="THK133" s="531" t="e">
        <f t="shared" si="475"/>
        <v>#DIV/0!</v>
      </c>
      <c r="THL133" s="531" t="e">
        <f t="shared" si="475"/>
        <v>#DIV/0!</v>
      </c>
      <c r="THM133" s="531" t="e">
        <f t="shared" si="475"/>
        <v>#DIV/0!</v>
      </c>
      <c r="THN133" s="531" t="e">
        <f t="shared" si="475"/>
        <v>#DIV/0!</v>
      </c>
      <c r="THO133" s="531" t="e">
        <f t="shared" si="475"/>
        <v>#DIV/0!</v>
      </c>
      <c r="THP133" s="531" t="e">
        <f t="shared" si="475"/>
        <v>#DIV/0!</v>
      </c>
      <c r="THQ133" s="531" t="e">
        <f t="shared" si="475"/>
        <v>#DIV/0!</v>
      </c>
      <c r="THR133" s="531" t="e">
        <f t="shared" si="475"/>
        <v>#DIV/0!</v>
      </c>
      <c r="THS133" s="531" t="e">
        <f t="shared" si="475"/>
        <v>#DIV/0!</v>
      </c>
      <c r="THT133" s="531" t="e">
        <f t="shared" si="475"/>
        <v>#DIV/0!</v>
      </c>
      <c r="THU133" s="531" t="e">
        <f t="shared" si="475"/>
        <v>#DIV/0!</v>
      </c>
      <c r="THV133" s="531" t="e">
        <f t="shared" si="475"/>
        <v>#DIV/0!</v>
      </c>
      <c r="THW133" s="531" t="e">
        <f t="shared" si="475"/>
        <v>#DIV/0!</v>
      </c>
      <c r="THX133" s="531" t="e">
        <f t="shared" si="475"/>
        <v>#DIV/0!</v>
      </c>
      <c r="THY133" s="531" t="e">
        <f t="shared" si="475"/>
        <v>#DIV/0!</v>
      </c>
      <c r="THZ133" s="531" t="e">
        <f t="shared" si="475"/>
        <v>#DIV/0!</v>
      </c>
      <c r="TIA133" s="531" t="e">
        <f t="shared" si="475"/>
        <v>#DIV/0!</v>
      </c>
      <c r="TIB133" s="531" t="e">
        <f t="shared" si="475"/>
        <v>#DIV/0!</v>
      </c>
      <c r="TIC133" s="531" t="e">
        <f t="shared" si="475"/>
        <v>#DIV/0!</v>
      </c>
      <c r="TID133" s="531" t="e">
        <f t="shared" si="475"/>
        <v>#DIV/0!</v>
      </c>
      <c r="TIE133" s="531" t="e">
        <f t="shared" si="475"/>
        <v>#DIV/0!</v>
      </c>
      <c r="TIF133" s="531" t="e">
        <f t="shared" si="475"/>
        <v>#DIV/0!</v>
      </c>
      <c r="TIG133" s="531" t="e">
        <f t="shared" si="475"/>
        <v>#DIV/0!</v>
      </c>
      <c r="TIH133" s="531" t="e">
        <f t="shared" si="475"/>
        <v>#DIV/0!</v>
      </c>
      <c r="TII133" s="531" t="e">
        <f t="shared" si="475"/>
        <v>#DIV/0!</v>
      </c>
      <c r="TIJ133" s="531" t="e">
        <f t="shared" si="475"/>
        <v>#DIV/0!</v>
      </c>
      <c r="TIK133" s="531" t="e">
        <f t="shared" si="475"/>
        <v>#DIV/0!</v>
      </c>
      <c r="TIL133" s="531" t="e">
        <f t="shared" si="475"/>
        <v>#DIV/0!</v>
      </c>
      <c r="TIM133" s="531" t="e">
        <f t="shared" ref="TIM133:TKX133" si="476">TIM116/(TIM52*10^5)</f>
        <v>#DIV/0!</v>
      </c>
      <c r="TIN133" s="531" t="e">
        <f t="shared" si="476"/>
        <v>#DIV/0!</v>
      </c>
      <c r="TIO133" s="531" t="e">
        <f t="shared" si="476"/>
        <v>#DIV/0!</v>
      </c>
      <c r="TIP133" s="531" t="e">
        <f t="shared" si="476"/>
        <v>#DIV/0!</v>
      </c>
      <c r="TIQ133" s="531" t="e">
        <f t="shared" si="476"/>
        <v>#DIV/0!</v>
      </c>
      <c r="TIR133" s="531" t="e">
        <f t="shared" si="476"/>
        <v>#DIV/0!</v>
      </c>
      <c r="TIS133" s="531" t="e">
        <f t="shared" si="476"/>
        <v>#DIV/0!</v>
      </c>
      <c r="TIT133" s="531" t="e">
        <f t="shared" si="476"/>
        <v>#DIV/0!</v>
      </c>
      <c r="TIU133" s="531" t="e">
        <f t="shared" si="476"/>
        <v>#DIV/0!</v>
      </c>
      <c r="TIV133" s="531" t="e">
        <f t="shared" si="476"/>
        <v>#DIV/0!</v>
      </c>
      <c r="TIW133" s="531" t="e">
        <f t="shared" si="476"/>
        <v>#DIV/0!</v>
      </c>
      <c r="TIX133" s="531" t="e">
        <f t="shared" si="476"/>
        <v>#DIV/0!</v>
      </c>
      <c r="TIY133" s="531" t="e">
        <f t="shared" si="476"/>
        <v>#DIV/0!</v>
      </c>
      <c r="TIZ133" s="531" t="e">
        <f t="shared" si="476"/>
        <v>#DIV/0!</v>
      </c>
      <c r="TJA133" s="531" t="e">
        <f t="shared" si="476"/>
        <v>#DIV/0!</v>
      </c>
      <c r="TJB133" s="531" t="e">
        <f t="shared" si="476"/>
        <v>#DIV/0!</v>
      </c>
      <c r="TJC133" s="531" t="e">
        <f t="shared" si="476"/>
        <v>#DIV/0!</v>
      </c>
      <c r="TJD133" s="531" t="e">
        <f t="shared" si="476"/>
        <v>#DIV/0!</v>
      </c>
      <c r="TJE133" s="531" t="e">
        <f t="shared" si="476"/>
        <v>#DIV/0!</v>
      </c>
      <c r="TJF133" s="531" t="e">
        <f t="shared" si="476"/>
        <v>#DIV/0!</v>
      </c>
      <c r="TJG133" s="531" t="e">
        <f t="shared" si="476"/>
        <v>#DIV/0!</v>
      </c>
      <c r="TJH133" s="531" t="e">
        <f t="shared" si="476"/>
        <v>#DIV/0!</v>
      </c>
      <c r="TJI133" s="531" t="e">
        <f t="shared" si="476"/>
        <v>#DIV/0!</v>
      </c>
      <c r="TJJ133" s="531" t="e">
        <f t="shared" si="476"/>
        <v>#DIV/0!</v>
      </c>
      <c r="TJK133" s="531" t="e">
        <f t="shared" si="476"/>
        <v>#DIV/0!</v>
      </c>
      <c r="TJL133" s="531" t="e">
        <f t="shared" si="476"/>
        <v>#DIV/0!</v>
      </c>
      <c r="TJM133" s="531" t="e">
        <f t="shared" si="476"/>
        <v>#DIV/0!</v>
      </c>
      <c r="TJN133" s="531" t="e">
        <f t="shared" si="476"/>
        <v>#DIV/0!</v>
      </c>
      <c r="TJO133" s="531" t="e">
        <f t="shared" si="476"/>
        <v>#DIV/0!</v>
      </c>
      <c r="TJP133" s="531" t="e">
        <f t="shared" si="476"/>
        <v>#DIV/0!</v>
      </c>
      <c r="TJQ133" s="531" t="e">
        <f t="shared" si="476"/>
        <v>#DIV/0!</v>
      </c>
      <c r="TJR133" s="531" t="e">
        <f t="shared" si="476"/>
        <v>#DIV/0!</v>
      </c>
      <c r="TJS133" s="531" t="e">
        <f t="shared" si="476"/>
        <v>#DIV/0!</v>
      </c>
      <c r="TJT133" s="531" t="e">
        <f t="shared" si="476"/>
        <v>#DIV/0!</v>
      </c>
      <c r="TJU133" s="531" t="e">
        <f t="shared" si="476"/>
        <v>#DIV/0!</v>
      </c>
      <c r="TJV133" s="531" t="e">
        <f t="shared" si="476"/>
        <v>#DIV/0!</v>
      </c>
      <c r="TJW133" s="531" t="e">
        <f t="shared" si="476"/>
        <v>#DIV/0!</v>
      </c>
      <c r="TJX133" s="531" t="e">
        <f t="shared" si="476"/>
        <v>#DIV/0!</v>
      </c>
      <c r="TJY133" s="531" t="e">
        <f t="shared" si="476"/>
        <v>#DIV/0!</v>
      </c>
      <c r="TJZ133" s="531" t="e">
        <f t="shared" si="476"/>
        <v>#DIV/0!</v>
      </c>
      <c r="TKA133" s="531" t="e">
        <f t="shared" si="476"/>
        <v>#DIV/0!</v>
      </c>
      <c r="TKB133" s="531" t="e">
        <f t="shared" si="476"/>
        <v>#DIV/0!</v>
      </c>
      <c r="TKC133" s="531" t="e">
        <f t="shared" si="476"/>
        <v>#DIV/0!</v>
      </c>
      <c r="TKD133" s="531" t="e">
        <f t="shared" si="476"/>
        <v>#DIV/0!</v>
      </c>
      <c r="TKE133" s="531" t="e">
        <f t="shared" si="476"/>
        <v>#DIV/0!</v>
      </c>
      <c r="TKF133" s="531" t="e">
        <f t="shared" si="476"/>
        <v>#DIV/0!</v>
      </c>
      <c r="TKG133" s="531" t="e">
        <f t="shared" si="476"/>
        <v>#DIV/0!</v>
      </c>
      <c r="TKH133" s="531" t="e">
        <f t="shared" si="476"/>
        <v>#DIV/0!</v>
      </c>
      <c r="TKI133" s="531" t="e">
        <f t="shared" si="476"/>
        <v>#DIV/0!</v>
      </c>
      <c r="TKJ133" s="531" t="e">
        <f t="shared" si="476"/>
        <v>#DIV/0!</v>
      </c>
      <c r="TKK133" s="531" t="e">
        <f t="shared" si="476"/>
        <v>#DIV/0!</v>
      </c>
      <c r="TKL133" s="531" t="e">
        <f t="shared" si="476"/>
        <v>#DIV/0!</v>
      </c>
      <c r="TKM133" s="531" t="e">
        <f t="shared" si="476"/>
        <v>#DIV/0!</v>
      </c>
      <c r="TKN133" s="531" t="e">
        <f t="shared" si="476"/>
        <v>#DIV/0!</v>
      </c>
      <c r="TKO133" s="531" t="e">
        <f t="shared" si="476"/>
        <v>#DIV/0!</v>
      </c>
      <c r="TKP133" s="531" t="e">
        <f t="shared" si="476"/>
        <v>#DIV/0!</v>
      </c>
      <c r="TKQ133" s="531" t="e">
        <f t="shared" si="476"/>
        <v>#DIV/0!</v>
      </c>
      <c r="TKR133" s="531" t="e">
        <f t="shared" si="476"/>
        <v>#DIV/0!</v>
      </c>
      <c r="TKS133" s="531" t="e">
        <f t="shared" si="476"/>
        <v>#DIV/0!</v>
      </c>
      <c r="TKT133" s="531" t="e">
        <f t="shared" si="476"/>
        <v>#DIV/0!</v>
      </c>
      <c r="TKU133" s="531" t="e">
        <f t="shared" si="476"/>
        <v>#DIV/0!</v>
      </c>
      <c r="TKV133" s="531" t="e">
        <f t="shared" si="476"/>
        <v>#DIV/0!</v>
      </c>
      <c r="TKW133" s="531" t="e">
        <f t="shared" si="476"/>
        <v>#DIV/0!</v>
      </c>
      <c r="TKX133" s="531" t="e">
        <f t="shared" si="476"/>
        <v>#DIV/0!</v>
      </c>
      <c r="TKY133" s="531" t="e">
        <f t="shared" ref="TKY133:TNJ133" si="477">TKY116/(TKY52*10^5)</f>
        <v>#DIV/0!</v>
      </c>
      <c r="TKZ133" s="531" t="e">
        <f t="shared" si="477"/>
        <v>#DIV/0!</v>
      </c>
      <c r="TLA133" s="531" t="e">
        <f t="shared" si="477"/>
        <v>#DIV/0!</v>
      </c>
      <c r="TLB133" s="531" t="e">
        <f t="shared" si="477"/>
        <v>#DIV/0!</v>
      </c>
      <c r="TLC133" s="531" t="e">
        <f t="shared" si="477"/>
        <v>#DIV/0!</v>
      </c>
      <c r="TLD133" s="531" t="e">
        <f t="shared" si="477"/>
        <v>#DIV/0!</v>
      </c>
      <c r="TLE133" s="531" t="e">
        <f t="shared" si="477"/>
        <v>#DIV/0!</v>
      </c>
      <c r="TLF133" s="531" t="e">
        <f t="shared" si="477"/>
        <v>#DIV/0!</v>
      </c>
      <c r="TLG133" s="531" t="e">
        <f t="shared" si="477"/>
        <v>#DIV/0!</v>
      </c>
      <c r="TLH133" s="531" t="e">
        <f t="shared" si="477"/>
        <v>#DIV/0!</v>
      </c>
      <c r="TLI133" s="531" t="e">
        <f t="shared" si="477"/>
        <v>#DIV/0!</v>
      </c>
      <c r="TLJ133" s="531" t="e">
        <f t="shared" si="477"/>
        <v>#DIV/0!</v>
      </c>
      <c r="TLK133" s="531" t="e">
        <f t="shared" si="477"/>
        <v>#DIV/0!</v>
      </c>
      <c r="TLL133" s="531" t="e">
        <f t="shared" si="477"/>
        <v>#DIV/0!</v>
      </c>
      <c r="TLM133" s="531" t="e">
        <f t="shared" si="477"/>
        <v>#DIV/0!</v>
      </c>
      <c r="TLN133" s="531" t="e">
        <f t="shared" si="477"/>
        <v>#DIV/0!</v>
      </c>
      <c r="TLO133" s="531" t="e">
        <f t="shared" si="477"/>
        <v>#DIV/0!</v>
      </c>
      <c r="TLP133" s="531" t="e">
        <f t="shared" si="477"/>
        <v>#DIV/0!</v>
      </c>
      <c r="TLQ133" s="531" t="e">
        <f t="shared" si="477"/>
        <v>#DIV/0!</v>
      </c>
      <c r="TLR133" s="531" t="e">
        <f t="shared" si="477"/>
        <v>#DIV/0!</v>
      </c>
      <c r="TLS133" s="531" t="e">
        <f t="shared" si="477"/>
        <v>#DIV/0!</v>
      </c>
      <c r="TLT133" s="531" t="e">
        <f t="shared" si="477"/>
        <v>#DIV/0!</v>
      </c>
      <c r="TLU133" s="531" t="e">
        <f t="shared" si="477"/>
        <v>#DIV/0!</v>
      </c>
      <c r="TLV133" s="531" t="e">
        <f t="shared" si="477"/>
        <v>#DIV/0!</v>
      </c>
      <c r="TLW133" s="531" t="e">
        <f t="shared" si="477"/>
        <v>#DIV/0!</v>
      </c>
      <c r="TLX133" s="531" t="e">
        <f t="shared" si="477"/>
        <v>#DIV/0!</v>
      </c>
      <c r="TLY133" s="531" t="e">
        <f t="shared" si="477"/>
        <v>#DIV/0!</v>
      </c>
      <c r="TLZ133" s="531" t="e">
        <f t="shared" si="477"/>
        <v>#DIV/0!</v>
      </c>
      <c r="TMA133" s="531" t="e">
        <f t="shared" si="477"/>
        <v>#DIV/0!</v>
      </c>
      <c r="TMB133" s="531" t="e">
        <f t="shared" si="477"/>
        <v>#DIV/0!</v>
      </c>
      <c r="TMC133" s="531" t="e">
        <f t="shared" si="477"/>
        <v>#DIV/0!</v>
      </c>
      <c r="TMD133" s="531" t="e">
        <f t="shared" si="477"/>
        <v>#DIV/0!</v>
      </c>
      <c r="TME133" s="531" t="e">
        <f t="shared" si="477"/>
        <v>#DIV/0!</v>
      </c>
      <c r="TMF133" s="531" t="e">
        <f t="shared" si="477"/>
        <v>#DIV/0!</v>
      </c>
      <c r="TMG133" s="531" t="e">
        <f t="shared" si="477"/>
        <v>#DIV/0!</v>
      </c>
      <c r="TMH133" s="531" t="e">
        <f t="shared" si="477"/>
        <v>#DIV/0!</v>
      </c>
      <c r="TMI133" s="531" t="e">
        <f t="shared" si="477"/>
        <v>#DIV/0!</v>
      </c>
      <c r="TMJ133" s="531" t="e">
        <f t="shared" si="477"/>
        <v>#DIV/0!</v>
      </c>
      <c r="TMK133" s="531" t="e">
        <f t="shared" si="477"/>
        <v>#DIV/0!</v>
      </c>
      <c r="TML133" s="531" t="e">
        <f t="shared" si="477"/>
        <v>#DIV/0!</v>
      </c>
      <c r="TMM133" s="531" t="e">
        <f t="shared" si="477"/>
        <v>#DIV/0!</v>
      </c>
      <c r="TMN133" s="531" t="e">
        <f t="shared" si="477"/>
        <v>#DIV/0!</v>
      </c>
      <c r="TMO133" s="531" t="e">
        <f t="shared" si="477"/>
        <v>#DIV/0!</v>
      </c>
      <c r="TMP133" s="531" t="e">
        <f t="shared" si="477"/>
        <v>#DIV/0!</v>
      </c>
      <c r="TMQ133" s="531" t="e">
        <f t="shared" si="477"/>
        <v>#DIV/0!</v>
      </c>
      <c r="TMR133" s="531" t="e">
        <f t="shared" si="477"/>
        <v>#DIV/0!</v>
      </c>
      <c r="TMS133" s="531" t="e">
        <f t="shared" si="477"/>
        <v>#DIV/0!</v>
      </c>
      <c r="TMT133" s="531" t="e">
        <f t="shared" si="477"/>
        <v>#DIV/0!</v>
      </c>
      <c r="TMU133" s="531" t="e">
        <f t="shared" si="477"/>
        <v>#DIV/0!</v>
      </c>
      <c r="TMV133" s="531" t="e">
        <f t="shared" si="477"/>
        <v>#DIV/0!</v>
      </c>
      <c r="TMW133" s="531" t="e">
        <f t="shared" si="477"/>
        <v>#DIV/0!</v>
      </c>
      <c r="TMX133" s="531" t="e">
        <f t="shared" si="477"/>
        <v>#DIV/0!</v>
      </c>
      <c r="TMY133" s="531" t="e">
        <f t="shared" si="477"/>
        <v>#DIV/0!</v>
      </c>
      <c r="TMZ133" s="531" t="e">
        <f t="shared" si="477"/>
        <v>#DIV/0!</v>
      </c>
      <c r="TNA133" s="531" t="e">
        <f t="shared" si="477"/>
        <v>#DIV/0!</v>
      </c>
      <c r="TNB133" s="531" t="e">
        <f t="shared" si="477"/>
        <v>#DIV/0!</v>
      </c>
      <c r="TNC133" s="531" t="e">
        <f t="shared" si="477"/>
        <v>#DIV/0!</v>
      </c>
      <c r="TND133" s="531" t="e">
        <f t="shared" si="477"/>
        <v>#DIV/0!</v>
      </c>
      <c r="TNE133" s="531" t="e">
        <f t="shared" si="477"/>
        <v>#DIV/0!</v>
      </c>
      <c r="TNF133" s="531" t="e">
        <f t="shared" si="477"/>
        <v>#DIV/0!</v>
      </c>
      <c r="TNG133" s="531" t="e">
        <f t="shared" si="477"/>
        <v>#DIV/0!</v>
      </c>
      <c r="TNH133" s="531" t="e">
        <f t="shared" si="477"/>
        <v>#DIV/0!</v>
      </c>
      <c r="TNI133" s="531" t="e">
        <f t="shared" si="477"/>
        <v>#DIV/0!</v>
      </c>
      <c r="TNJ133" s="531" t="e">
        <f t="shared" si="477"/>
        <v>#DIV/0!</v>
      </c>
      <c r="TNK133" s="531" t="e">
        <f t="shared" ref="TNK133:TPV133" si="478">TNK116/(TNK52*10^5)</f>
        <v>#DIV/0!</v>
      </c>
      <c r="TNL133" s="531" t="e">
        <f t="shared" si="478"/>
        <v>#DIV/0!</v>
      </c>
      <c r="TNM133" s="531" t="e">
        <f t="shared" si="478"/>
        <v>#DIV/0!</v>
      </c>
      <c r="TNN133" s="531" t="e">
        <f t="shared" si="478"/>
        <v>#DIV/0!</v>
      </c>
      <c r="TNO133" s="531" t="e">
        <f t="shared" si="478"/>
        <v>#DIV/0!</v>
      </c>
      <c r="TNP133" s="531" t="e">
        <f t="shared" si="478"/>
        <v>#DIV/0!</v>
      </c>
      <c r="TNQ133" s="531" t="e">
        <f t="shared" si="478"/>
        <v>#DIV/0!</v>
      </c>
      <c r="TNR133" s="531" t="e">
        <f t="shared" si="478"/>
        <v>#DIV/0!</v>
      </c>
      <c r="TNS133" s="531" t="e">
        <f t="shared" si="478"/>
        <v>#DIV/0!</v>
      </c>
      <c r="TNT133" s="531" t="e">
        <f t="shared" si="478"/>
        <v>#DIV/0!</v>
      </c>
      <c r="TNU133" s="531" t="e">
        <f t="shared" si="478"/>
        <v>#DIV/0!</v>
      </c>
      <c r="TNV133" s="531" t="e">
        <f t="shared" si="478"/>
        <v>#DIV/0!</v>
      </c>
      <c r="TNW133" s="531" t="e">
        <f t="shared" si="478"/>
        <v>#DIV/0!</v>
      </c>
      <c r="TNX133" s="531" t="e">
        <f t="shared" si="478"/>
        <v>#DIV/0!</v>
      </c>
      <c r="TNY133" s="531" t="e">
        <f t="shared" si="478"/>
        <v>#DIV/0!</v>
      </c>
      <c r="TNZ133" s="531" t="e">
        <f t="shared" si="478"/>
        <v>#DIV/0!</v>
      </c>
      <c r="TOA133" s="531" t="e">
        <f t="shared" si="478"/>
        <v>#DIV/0!</v>
      </c>
      <c r="TOB133" s="531" t="e">
        <f t="shared" si="478"/>
        <v>#DIV/0!</v>
      </c>
      <c r="TOC133" s="531" t="e">
        <f t="shared" si="478"/>
        <v>#DIV/0!</v>
      </c>
      <c r="TOD133" s="531" t="e">
        <f t="shared" si="478"/>
        <v>#DIV/0!</v>
      </c>
      <c r="TOE133" s="531" t="e">
        <f t="shared" si="478"/>
        <v>#DIV/0!</v>
      </c>
      <c r="TOF133" s="531" t="e">
        <f t="shared" si="478"/>
        <v>#DIV/0!</v>
      </c>
      <c r="TOG133" s="531" t="e">
        <f t="shared" si="478"/>
        <v>#DIV/0!</v>
      </c>
      <c r="TOH133" s="531" t="e">
        <f t="shared" si="478"/>
        <v>#DIV/0!</v>
      </c>
      <c r="TOI133" s="531" t="e">
        <f t="shared" si="478"/>
        <v>#DIV/0!</v>
      </c>
      <c r="TOJ133" s="531" t="e">
        <f t="shared" si="478"/>
        <v>#DIV/0!</v>
      </c>
      <c r="TOK133" s="531" t="e">
        <f t="shared" si="478"/>
        <v>#DIV/0!</v>
      </c>
      <c r="TOL133" s="531" t="e">
        <f t="shared" si="478"/>
        <v>#DIV/0!</v>
      </c>
      <c r="TOM133" s="531" t="e">
        <f t="shared" si="478"/>
        <v>#DIV/0!</v>
      </c>
      <c r="TON133" s="531" t="e">
        <f t="shared" si="478"/>
        <v>#DIV/0!</v>
      </c>
      <c r="TOO133" s="531" t="e">
        <f t="shared" si="478"/>
        <v>#DIV/0!</v>
      </c>
      <c r="TOP133" s="531" t="e">
        <f t="shared" si="478"/>
        <v>#DIV/0!</v>
      </c>
      <c r="TOQ133" s="531" t="e">
        <f t="shared" si="478"/>
        <v>#DIV/0!</v>
      </c>
      <c r="TOR133" s="531" t="e">
        <f t="shared" si="478"/>
        <v>#DIV/0!</v>
      </c>
      <c r="TOS133" s="531" t="e">
        <f t="shared" si="478"/>
        <v>#DIV/0!</v>
      </c>
      <c r="TOT133" s="531" t="e">
        <f t="shared" si="478"/>
        <v>#DIV/0!</v>
      </c>
      <c r="TOU133" s="531" t="e">
        <f t="shared" si="478"/>
        <v>#DIV/0!</v>
      </c>
      <c r="TOV133" s="531" t="e">
        <f t="shared" si="478"/>
        <v>#DIV/0!</v>
      </c>
      <c r="TOW133" s="531" t="e">
        <f t="shared" si="478"/>
        <v>#DIV/0!</v>
      </c>
      <c r="TOX133" s="531" t="e">
        <f t="shared" si="478"/>
        <v>#DIV/0!</v>
      </c>
      <c r="TOY133" s="531" t="e">
        <f t="shared" si="478"/>
        <v>#DIV/0!</v>
      </c>
      <c r="TOZ133" s="531" t="e">
        <f t="shared" si="478"/>
        <v>#DIV/0!</v>
      </c>
      <c r="TPA133" s="531" t="e">
        <f t="shared" si="478"/>
        <v>#DIV/0!</v>
      </c>
      <c r="TPB133" s="531" t="e">
        <f t="shared" si="478"/>
        <v>#DIV/0!</v>
      </c>
      <c r="TPC133" s="531" t="e">
        <f t="shared" si="478"/>
        <v>#DIV/0!</v>
      </c>
      <c r="TPD133" s="531" t="e">
        <f t="shared" si="478"/>
        <v>#DIV/0!</v>
      </c>
      <c r="TPE133" s="531" t="e">
        <f t="shared" si="478"/>
        <v>#DIV/0!</v>
      </c>
      <c r="TPF133" s="531" t="e">
        <f t="shared" si="478"/>
        <v>#DIV/0!</v>
      </c>
      <c r="TPG133" s="531" t="e">
        <f t="shared" si="478"/>
        <v>#DIV/0!</v>
      </c>
      <c r="TPH133" s="531" t="e">
        <f t="shared" si="478"/>
        <v>#DIV/0!</v>
      </c>
      <c r="TPI133" s="531" t="e">
        <f t="shared" si="478"/>
        <v>#DIV/0!</v>
      </c>
      <c r="TPJ133" s="531" t="e">
        <f t="shared" si="478"/>
        <v>#DIV/0!</v>
      </c>
      <c r="TPK133" s="531" t="e">
        <f t="shared" si="478"/>
        <v>#DIV/0!</v>
      </c>
      <c r="TPL133" s="531" t="e">
        <f t="shared" si="478"/>
        <v>#DIV/0!</v>
      </c>
      <c r="TPM133" s="531" t="e">
        <f t="shared" si="478"/>
        <v>#DIV/0!</v>
      </c>
      <c r="TPN133" s="531" t="e">
        <f t="shared" si="478"/>
        <v>#DIV/0!</v>
      </c>
      <c r="TPO133" s="531" t="e">
        <f t="shared" si="478"/>
        <v>#DIV/0!</v>
      </c>
      <c r="TPP133" s="531" t="e">
        <f t="shared" si="478"/>
        <v>#DIV/0!</v>
      </c>
      <c r="TPQ133" s="531" t="e">
        <f t="shared" si="478"/>
        <v>#DIV/0!</v>
      </c>
      <c r="TPR133" s="531" t="e">
        <f t="shared" si="478"/>
        <v>#DIV/0!</v>
      </c>
      <c r="TPS133" s="531" t="e">
        <f t="shared" si="478"/>
        <v>#DIV/0!</v>
      </c>
      <c r="TPT133" s="531" t="e">
        <f t="shared" si="478"/>
        <v>#DIV/0!</v>
      </c>
      <c r="TPU133" s="531" t="e">
        <f t="shared" si="478"/>
        <v>#DIV/0!</v>
      </c>
      <c r="TPV133" s="531" t="e">
        <f t="shared" si="478"/>
        <v>#DIV/0!</v>
      </c>
      <c r="TPW133" s="531" t="e">
        <f t="shared" ref="TPW133:TSH133" si="479">TPW116/(TPW52*10^5)</f>
        <v>#DIV/0!</v>
      </c>
      <c r="TPX133" s="531" t="e">
        <f t="shared" si="479"/>
        <v>#DIV/0!</v>
      </c>
      <c r="TPY133" s="531" t="e">
        <f t="shared" si="479"/>
        <v>#DIV/0!</v>
      </c>
      <c r="TPZ133" s="531" t="e">
        <f t="shared" si="479"/>
        <v>#DIV/0!</v>
      </c>
      <c r="TQA133" s="531" t="e">
        <f t="shared" si="479"/>
        <v>#DIV/0!</v>
      </c>
      <c r="TQB133" s="531" t="e">
        <f t="shared" si="479"/>
        <v>#DIV/0!</v>
      </c>
      <c r="TQC133" s="531" t="e">
        <f t="shared" si="479"/>
        <v>#DIV/0!</v>
      </c>
      <c r="TQD133" s="531" t="e">
        <f t="shared" si="479"/>
        <v>#DIV/0!</v>
      </c>
      <c r="TQE133" s="531" t="e">
        <f t="shared" si="479"/>
        <v>#DIV/0!</v>
      </c>
      <c r="TQF133" s="531" t="e">
        <f t="shared" si="479"/>
        <v>#DIV/0!</v>
      </c>
      <c r="TQG133" s="531" t="e">
        <f t="shared" si="479"/>
        <v>#DIV/0!</v>
      </c>
      <c r="TQH133" s="531" t="e">
        <f t="shared" si="479"/>
        <v>#DIV/0!</v>
      </c>
      <c r="TQI133" s="531" t="e">
        <f t="shared" si="479"/>
        <v>#DIV/0!</v>
      </c>
      <c r="TQJ133" s="531" t="e">
        <f t="shared" si="479"/>
        <v>#DIV/0!</v>
      </c>
      <c r="TQK133" s="531" t="e">
        <f t="shared" si="479"/>
        <v>#DIV/0!</v>
      </c>
      <c r="TQL133" s="531" t="e">
        <f t="shared" si="479"/>
        <v>#DIV/0!</v>
      </c>
      <c r="TQM133" s="531" t="e">
        <f t="shared" si="479"/>
        <v>#DIV/0!</v>
      </c>
      <c r="TQN133" s="531" t="e">
        <f t="shared" si="479"/>
        <v>#DIV/0!</v>
      </c>
      <c r="TQO133" s="531" t="e">
        <f t="shared" si="479"/>
        <v>#DIV/0!</v>
      </c>
      <c r="TQP133" s="531" t="e">
        <f t="shared" si="479"/>
        <v>#DIV/0!</v>
      </c>
      <c r="TQQ133" s="531" t="e">
        <f t="shared" si="479"/>
        <v>#DIV/0!</v>
      </c>
      <c r="TQR133" s="531" t="e">
        <f t="shared" si="479"/>
        <v>#DIV/0!</v>
      </c>
      <c r="TQS133" s="531" t="e">
        <f t="shared" si="479"/>
        <v>#DIV/0!</v>
      </c>
      <c r="TQT133" s="531" t="e">
        <f t="shared" si="479"/>
        <v>#DIV/0!</v>
      </c>
      <c r="TQU133" s="531" t="e">
        <f t="shared" si="479"/>
        <v>#DIV/0!</v>
      </c>
      <c r="TQV133" s="531" t="e">
        <f t="shared" si="479"/>
        <v>#DIV/0!</v>
      </c>
      <c r="TQW133" s="531" t="e">
        <f t="shared" si="479"/>
        <v>#DIV/0!</v>
      </c>
      <c r="TQX133" s="531" t="e">
        <f t="shared" si="479"/>
        <v>#DIV/0!</v>
      </c>
      <c r="TQY133" s="531" t="e">
        <f t="shared" si="479"/>
        <v>#DIV/0!</v>
      </c>
      <c r="TQZ133" s="531" t="e">
        <f t="shared" si="479"/>
        <v>#DIV/0!</v>
      </c>
      <c r="TRA133" s="531" t="e">
        <f t="shared" si="479"/>
        <v>#DIV/0!</v>
      </c>
      <c r="TRB133" s="531" t="e">
        <f t="shared" si="479"/>
        <v>#DIV/0!</v>
      </c>
      <c r="TRC133" s="531" t="e">
        <f t="shared" si="479"/>
        <v>#DIV/0!</v>
      </c>
      <c r="TRD133" s="531" t="e">
        <f t="shared" si="479"/>
        <v>#DIV/0!</v>
      </c>
      <c r="TRE133" s="531" t="e">
        <f t="shared" si="479"/>
        <v>#DIV/0!</v>
      </c>
      <c r="TRF133" s="531" t="e">
        <f t="shared" si="479"/>
        <v>#DIV/0!</v>
      </c>
      <c r="TRG133" s="531" t="e">
        <f t="shared" si="479"/>
        <v>#DIV/0!</v>
      </c>
      <c r="TRH133" s="531" t="e">
        <f t="shared" si="479"/>
        <v>#DIV/0!</v>
      </c>
      <c r="TRI133" s="531" t="e">
        <f t="shared" si="479"/>
        <v>#DIV/0!</v>
      </c>
      <c r="TRJ133" s="531" t="e">
        <f t="shared" si="479"/>
        <v>#DIV/0!</v>
      </c>
      <c r="TRK133" s="531" t="e">
        <f t="shared" si="479"/>
        <v>#DIV/0!</v>
      </c>
      <c r="TRL133" s="531" t="e">
        <f t="shared" si="479"/>
        <v>#DIV/0!</v>
      </c>
      <c r="TRM133" s="531" t="e">
        <f t="shared" si="479"/>
        <v>#DIV/0!</v>
      </c>
      <c r="TRN133" s="531" t="e">
        <f t="shared" si="479"/>
        <v>#DIV/0!</v>
      </c>
      <c r="TRO133" s="531" t="e">
        <f t="shared" si="479"/>
        <v>#DIV/0!</v>
      </c>
      <c r="TRP133" s="531" t="e">
        <f t="shared" si="479"/>
        <v>#DIV/0!</v>
      </c>
      <c r="TRQ133" s="531" t="e">
        <f t="shared" si="479"/>
        <v>#DIV/0!</v>
      </c>
      <c r="TRR133" s="531" t="e">
        <f t="shared" si="479"/>
        <v>#DIV/0!</v>
      </c>
      <c r="TRS133" s="531" t="e">
        <f t="shared" si="479"/>
        <v>#DIV/0!</v>
      </c>
      <c r="TRT133" s="531" t="e">
        <f t="shared" si="479"/>
        <v>#DIV/0!</v>
      </c>
      <c r="TRU133" s="531" t="e">
        <f t="shared" si="479"/>
        <v>#DIV/0!</v>
      </c>
      <c r="TRV133" s="531" t="e">
        <f t="shared" si="479"/>
        <v>#DIV/0!</v>
      </c>
      <c r="TRW133" s="531" t="e">
        <f t="shared" si="479"/>
        <v>#DIV/0!</v>
      </c>
      <c r="TRX133" s="531" t="e">
        <f t="shared" si="479"/>
        <v>#DIV/0!</v>
      </c>
      <c r="TRY133" s="531" t="e">
        <f t="shared" si="479"/>
        <v>#DIV/0!</v>
      </c>
      <c r="TRZ133" s="531" t="e">
        <f t="shared" si="479"/>
        <v>#DIV/0!</v>
      </c>
      <c r="TSA133" s="531" t="e">
        <f t="shared" si="479"/>
        <v>#DIV/0!</v>
      </c>
      <c r="TSB133" s="531" t="e">
        <f t="shared" si="479"/>
        <v>#DIV/0!</v>
      </c>
      <c r="TSC133" s="531" t="e">
        <f t="shared" si="479"/>
        <v>#DIV/0!</v>
      </c>
      <c r="TSD133" s="531" t="e">
        <f t="shared" si="479"/>
        <v>#DIV/0!</v>
      </c>
      <c r="TSE133" s="531" t="e">
        <f t="shared" si="479"/>
        <v>#DIV/0!</v>
      </c>
      <c r="TSF133" s="531" t="e">
        <f t="shared" si="479"/>
        <v>#DIV/0!</v>
      </c>
      <c r="TSG133" s="531" t="e">
        <f t="shared" si="479"/>
        <v>#DIV/0!</v>
      </c>
      <c r="TSH133" s="531" t="e">
        <f t="shared" si="479"/>
        <v>#DIV/0!</v>
      </c>
      <c r="TSI133" s="531" t="e">
        <f t="shared" ref="TSI133:TUT133" si="480">TSI116/(TSI52*10^5)</f>
        <v>#DIV/0!</v>
      </c>
      <c r="TSJ133" s="531" t="e">
        <f t="shared" si="480"/>
        <v>#DIV/0!</v>
      </c>
      <c r="TSK133" s="531" t="e">
        <f t="shared" si="480"/>
        <v>#DIV/0!</v>
      </c>
      <c r="TSL133" s="531" t="e">
        <f t="shared" si="480"/>
        <v>#DIV/0!</v>
      </c>
      <c r="TSM133" s="531" t="e">
        <f t="shared" si="480"/>
        <v>#DIV/0!</v>
      </c>
      <c r="TSN133" s="531" t="e">
        <f t="shared" si="480"/>
        <v>#DIV/0!</v>
      </c>
      <c r="TSO133" s="531" t="e">
        <f t="shared" si="480"/>
        <v>#DIV/0!</v>
      </c>
      <c r="TSP133" s="531" t="e">
        <f t="shared" si="480"/>
        <v>#DIV/0!</v>
      </c>
      <c r="TSQ133" s="531" t="e">
        <f t="shared" si="480"/>
        <v>#DIV/0!</v>
      </c>
      <c r="TSR133" s="531" t="e">
        <f t="shared" si="480"/>
        <v>#DIV/0!</v>
      </c>
      <c r="TSS133" s="531" t="e">
        <f t="shared" si="480"/>
        <v>#DIV/0!</v>
      </c>
      <c r="TST133" s="531" t="e">
        <f t="shared" si="480"/>
        <v>#DIV/0!</v>
      </c>
      <c r="TSU133" s="531" t="e">
        <f t="shared" si="480"/>
        <v>#DIV/0!</v>
      </c>
      <c r="TSV133" s="531" t="e">
        <f t="shared" si="480"/>
        <v>#DIV/0!</v>
      </c>
      <c r="TSW133" s="531" t="e">
        <f t="shared" si="480"/>
        <v>#DIV/0!</v>
      </c>
      <c r="TSX133" s="531" t="e">
        <f t="shared" si="480"/>
        <v>#DIV/0!</v>
      </c>
      <c r="TSY133" s="531" t="e">
        <f t="shared" si="480"/>
        <v>#DIV/0!</v>
      </c>
      <c r="TSZ133" s="531" t="e">
        <f t="shared" si="480"/>
        <v>#DIV/0!</v>
      </c>
      <c r="TTA133" s="531" t="e">
        <f t="shared" si="480"/>
        <v>#DIV/0!</v>
      </c>
      <c r="TTB133" s="531" t="e">
        <f t="shared" si="480"/>
        <v>#DIV/0!</v>
      </c>
      <c r="TTC133" s="531" t="e">
        <f t="shared" si="480"/>
        <v>#DIV/0!</v>
      </c>
      <c r="TTD133" s="531" t="e">
        <f t="shared" si="480"/>
        <v>#DIV/0!</v>
      </c>
      <c r="TTE133" s="531" t="e">
        <f t="shared" si="480"/>
        <v>#DIV/0!</v>
      </c>
      <c r="TTF133" s="531" t="e">
        <f t="shared" si="480"/>
        <v>#DIV/0!</v>
      </c>
      <c r="TTG133" s="531" t="e">
        <f t="shared" si="480"/>
        <v>#DIV/0!</v>
      </c>
      <c r="TTH133" s="531" t="e">
        <f t="shared" si="480"/>
        <v>#DIV/0!</v>
      </c>
      <c r="TTI133" s="531" t="e">
        <f t="shared" si="480"/>
        <v>#DIV/0!</v>
      </c>
      <c r="TTJ133" s="531" t="e">
        <f t="shared" si="480"/>
        <v>#DIV/0!</v>
      </c>
      <c r="TTK133" s="531" t="e">
        <f t="shared" si="480"/>
        <v>#DIV/0!</v>
      </c>
      <c r="TTL133" s="531" t="e">
        <f t="shared" si="480"/>
        <v>#DIV/0!</v>
      </c>
      <c r="TTM133" s="531" t="e">
        <f t="shared" si="480"/>
        <v>#DIV/0!</v>
      </c>
      <c r="TTN133" s="531" t="e">
        <f t="shared" si="480"/>
        <v>#DIV/0!</v>
      </c>
      <c r="TTO133" s="531" t="e">
        <f t="shared" si="480"/>
        <v>#DIV/0!</v>
      </c>
      <c r="TTP133" s="531" t="e">
        <f t="shared" si="480"/>
        <v>#DIV/0!</v>
      </c>
      <c r="TTQ133" s="531" t="e">
        <f t="shared" si="480"/>
        <v>#DIV/0!</v>
      </c>
      <c r="TTR133" s="531" t="e">
        <f t="shared" si="480"/>
        <v>#DIV/0!</v>
      </c>
      <c r="TTS133" s="531" t="e">
        <f t="shared" si="480"/>
        <v>#DIV/0!</v>
      </c>
      <c r="TTT133" s="531" t="e">
        <f t="shared" si="480"/>
        <v>#DIV/0!</v>
      </c>
      <c r="TTU133" s="531" t="e">
        <f t="shared" si="480"/>
        <v>#DIV/0!</v>
      </c>
      <c r="TTV133" s="531" t="e">
        <f t="shared" si="480"/>
        <v>#DIV/0!</v>
      </c>
      <c r="TTW133" s="531" t="e">
        <f t="shared" si="480"/>
        <v>#DIV/0!</v>
      </c>
      <c r="TTX133" s="531" t="e">
        <f t="shared" si="480"/>
        <v>#DIV/0!</v>
      </c>
      <c r="TTY133" s="531" t="e">
        <f t="shared" si="480"/>
        <v>#DIV/0!</v>
      </c>
      <c r="TTZ133" s="531" t="e">
        <f t="shared" si="480"/>
        <v>#DIV/0!</v>
      </c>
      <c r="TUA133" s="531" t="e">
        <f t="shared" si="480"/>
        <v>#DIV/0!</v>
      </c>
      <c r="TUB133" s="531" t="e">
        <f t="shared" si="480"/>
        <v>#DIV/0!</v>
      </c>
      <c r="TUC133" s="531" t="e">
        <f t="shared" si="480"/>
        <v>#DIV/0!</v>
      </c>
      <c r="TUD133" s="531" t="e">
        <f t="shared" si="480"/>
        <v>#DIV/0!</v>
      </c>
      <c r="TUE133" s="531" t="e">
        <f t="shared" si="480"/>
        <v>#DIV/0!</v>
      </c>
      <c r="TUF133" s="531" t="e">
        <f t="shared" si="480"/>
        <v>#DIV/0!</v>
      </c>
      <c r="TUG133" s="531" t="e">
        <f t="shared" si="480"/>
        <v>#DIV/0!</v>
      </c>
      <c r="TUH133" s="531" t="e">
        <f t="shared" si="480"/>
        <v>#DIV/0!</v>
      </c>
      <c r="TUI133" s="531" t="e">
        <f t="shared" si="480"/>
        <v>#DIV/0!</v>
      </c>
      <c r="TUJ133" s="531" t="e">
        <f t="shared" si="480"/>
        <v>#DIV/0!</v>
      </c>
      <c r="TUK133" s="531" t="e">
        <f t="shared" si="480"/>
        <v>#DIV/0!</v>
      </c>
      <c r="TUL133" s="531" t="e">
        <f t="shared" si="480"/>
        <v>#DIV/0!</v>
      </c>
      <c r="TUM133" s="531" t="e">
        <f t="shared" si="480"/>
        <v>#DIV/0!</v>
      </c>
      <c r="TUN133" s="531" t="e">
        <f t="shared" si="480"/>
        <v>#DIV/0!</v>
      </c>
      <c r="TUO133" s="531" t="e">
        <f t="shared" si="480"/>
        <v>#DIV/0!</v>
      </c>
      <c r="TUP133" s="531" t="e">
        <f t="shared" si="480"/>
        <v>#DIV/0!</v>
      </c>
      <c r="TUQ133" s="531" t="e">
        <f t="shared" si="480"/>
        <v>#DIV/0!</v>
      </c>
      <c r="TUR133" s="531" t="e">
        <f t="shared" si="480"/>
        <v>#DIV/0!</v>
      </c>
      <c r="TUS133" s="531" t="e">
        <f t="shared" si="480"/>
        <v>#DIV/0!</v>
      </c>
      <c r="TUT133" s="531" t="e">
        <f t="shared" si="480"/>
        <v>#DIV/0!</v>
      </c>
      <c r="TUU133" s="531" t="e">
        <f t="shared" ref="TUU133:TXF133" si="481">TUU116/(TUU52*10^5)</f>
        <v>#DIV/0!</v>
      </c>
      <c r="TUV133" s="531" t="e">
        <f t="shared" si="481"/>
        <v>#DIV/0!</v>
      </c>
      <c r="TUW133" s="531" t="e">
        <f t="shared" si="481"/>
        <v>#DIV/0!</v>
      </c>
      <c r="TUX133" s="531" t="e">
        <f t="shared" si="481"/>
        <v>#DIV/0!</v>
      </c>
      <c r="TUY133" s="531" t="e">
        <f t="shared" si="481"/>
        <v>#DIV/0!</v>
      </c>
      <c r="TUZ133" s="531" t="e">
        <f t="shared" si="481"/>
        <v>#DIV/0!</v>
      </c>
      <c r="TVA133" s="531" t="e">
        <f t="shared" si="481"/>
        <v>#DIV/0!</v>
      </c>
      <c r="TVB133" s="531" t="e">
        <f t="shared" si="481"/>
        <v>#DIV/0!</v>
      </c>
      <c r="TVC133" s="531" t="e">
        <f t="shared" si="481"/>
        <v>#DIV/0!</v>
      </c>
      <c r="TVD133" s="531" t="e">
        <f t="shared" si="481"/>
        <v>#DIV/0!</v>
      </c>
      <c r="TVE133" s="531" t="e">
        <f t="shared" si="481"/>
        <v>#DIV/0!</v>
      </c>
      <c r="TVF133" s="531" t="e">
        <f t="shared" si="481"/>
        <v>#DIV/0!</v>
      </c>
      <c r="TVG133" s="531" t="e">
        <f t="shared" si="481"/>
        <v>#DIV/0!</v>
      </c>
      <c r="TVH133" s="531" t="e">
        <f t="shared" si="481"/>
        <v>#DIV/0!</v>
      </c>
      <c r="TVI133" s="531" t="e">
        <f t="shared" si="481"/>
        <v>#DIV/0!</v>
      </c>
      <c r="TVJ133" s="531" t="e">
        <f t="shared" si="481"/>
        <v>#DIV/0!</v>
      </c>
      <c r="TVK133" s="531" t="e">
        <f t="shared" si="481"/>
        <v>#DIV/0!</v>
      </c>
      <c r="TVL133" s="531" t="e">
        <f t="shared" si="481"/>
        <v>#DIV/0!</v>
      </c>
      <c r="TVM133" s="531" t="e">
        <f t="shared" si="481"/>
        <v>#DIV/0!</v>
      </c>
      <c r="TVN133" s="531" t="e">
        <f t="shared" si="481"/>
        <v>#DIV/0!</v>
      </c>
      <c r="TVO133" s="531" t="e">
        <f t="shared" si="481"/>
        <v>#DIV/0!</v>
      </c>
      <c r="TVP133" s="531" t="e">
        <f t="shared" si="481"/>
        <v>#DIV/0!</v>
      </c>
      <c r="TVQ133" s="531" t="e">
        <f t="shared" si="481"/>
        <v>#DIV/0!</v>
      </c>
      <c r="TVR133" s="531" t="e">
        <f t="shared" si="481"/>
        <v>#DIV/0!</v>
      </c>
      <c r="TVS133" s="531" t="e">
        <f t="shared" si="481"/>
        <v>#DIV/0!</v>
      </c>
      <c r="TVT133" s="531" t="e">
        <f t="shared" si="481"/>
        <v>#DIV/0!</v>
      </c>
      <c r="TVU133" s="531" t="e">
        <f t="shared" si="481"/>
        <v>#DIV/0!</v>
      </c>
      <c r="TVV133" s="531" t="e">
        <f t="shared" si="481"/>
        <v>#DIV/0!</v>
      </c>
      <c r="TVW133" s="531" t="e">
        <f t="shared" si="481"/>
        <v>#DIV/0!</v>
      </c>
      <c r="TVX133" s="531" t="e">
        <f t="shared" si="481"/>
        <v>#DIV/0!</v>
      </c>
      <c r="TVY133" s="531" t="e">
        <f t="shared" si="481"/>
        <v>#DIV/0!</v>
      </c>
      <c r="TVZ133" s="531" t="e">
        <f t="shared" si="481"/>
        <v>#DIV/0!</v>
      </c>
      <c r="TWA133" s="531" t="e">
        <f t="shared" si="481"/>
        <v>#DIV/0!</v>
      </c>
      <c r="TWB133" s="531" t="e">
        <f t="shared" si="481"/>
        <v>#DIV/0!</v>
      </c>
      <c r="TWC133" s="531" t="e">
        <f t="shared" si="481"/>
        <v>#DIV/0!</v>
      </c>
      <c r="TWD133" s="531" t="e">
        <f t="shared" si="481"/>
        <v>#DIV/0!</v>
      </c>
      <c r="TWE133" s="531" t="e">
        <f t="shared" si="481"/>
        <v>#DIV/0!</v>
      </c>
      <c r="TWF133" s="531" t="e">
        <f t="shared" si="481"/>
        <v>#DIV/0!</v>
      </c>
      <c r="TWG133" s="531" t="e">
        <f t="shared" si="481"/>
        <v>#DIV/0!</v>
      </c>
      <c r="TWH133" s="531" t="e">
        <f t="shared" si="481"/>
        <v>#DIV/0!</v>
      </c>
      <c r="TWI133" s="531" t="e">
        <f t="shared" si="481"/>
        <v>#DIV/0!</v>
      </c>
      <c r="TWJ133" s="531" t="e">
        <f t="shared" si="481"/>
        <v>#DIV/0!</v>
      </c>
      <c r="TWK133" s="531" t="e">
        <f t="shared" si="481"/>
        <v>#DIV/0!</v>
      </c>
      <c r="TWL133" s="531" t="e">
        <f t="shared" si="481"/>
        <v>#DIV/0!</v>
      </c>
      <c r="TWM133" s="531" t="e">
        <f t="shared" si="481"/>
        <v>#DIV/0!</v>
      </c>
      <c r="TWN133" s="531" t="e">
        <f t="shared" si="481"/>
        <v>#DIV/0!</v>
      </c>
      <c r="TWO133" s="531" t="e">
        <f t="shared" si="481"/>
        <v>#DIV/0!</v>
      </c>
      <c r="TWP133" s="531" t="e">
        <f t="shared" si="481"/>
        <v>#DIV/0!</v>
      </c>
      <c r="TWQ133" s="531" t="e">
        <f t="shared" si="481"/>
        <v>#DIV/0!</v>
      </c>
      <c r="TWR133" s="531" t="e">
        <f t="shared" si="481"/>
        <v>#DIV/0!</v>
      </c>
      <c r="TWS133" s="531" t="e">
        <f t="shared" si="481"/>
        <v>#DIV/0!</v>
      </c>
      <c r="TWT133" s="531" t="e">
        <f t="shared" si="481"/>
        <v>#DIV/0!</v>
      </c>
      <c r="TWU133" s="531" t="e">
        <f t="shared" si="481"/>
        <v>#DIV/0!</v>
      </c>
      <c r="TWV133" s="531" t="e">
        <f t="shared" si="481"/>
        <v>#DIV/0!</v>
      </c>
      <c r="TWW133" s="531" t="e">
        <f t="shared" si="481"/>
        <v>#DIV/0!</v>
      </c>
      <c r="TWX133" s="531" t="e">
        <f t="shared" si="481"/>
        <v>#DIV/0!</v>
      </c>
      <c r="TWY133" s="531" t="e">
        <f t="shared" si="481"/>
        <v>#DIV/0!</v>
      </c>
      <c r="TWZ133" s="531" t="e">
        <f t="shared" si="481"/>
        <v>#DIV/0!</v>
      </c>
      <c r="TXA133" s="531" t="e">
        <f t="shared" si="481"/>
        <v>#DIV/0!</v>
      </c>
      <c r="TXB133" s="531" t="e">
        <f t="shared" si="481"/>
        <v>#DIV/0!</v>
      </c>
      <c r="TXC133" s="531" t="e">
        <f t="shared" si="481"/>
        <v>#DIV/0!</v>
      </c>
      <c r="TXD133" s="531" t="e">
        <f t="shared" si="481"/>
        <v>#DIV/0!</v>
      </c>
      <c r="TXE133" s="531" t="e">
        <f t="shared" si="481"/>
        <v>#DIV/0!</v>
      </c>
      <c r="TXF133" s="531" t="e">
        <f t="shared" si="481"/>
        <v>#DIV/0!</v>
      </c>
      <c r="TXG133" s="531" t="e">
        <f t="shared" ref="TXG133:TZR133" si="482">TXG116/(TXG52*10^5)</f>
        <v>#DIV/0!</v>
      </c>
      <c r="TXH133" s="531" t="e">
        <f t="shared" si="482"/>
        <v>#DIV/0!</v>
      </c>
      <c r="TXI133" s="531" t="e">
        <f t="shared" si="482"/>
        <v>#DIV/0!</v>
      </c>
      <c r="TXJ133" s="531" t="e">
        <f t="shared" si="482"/>
        <v>#DIV/0!</v>
      </c>
      <c r="TXK133" s="531" t="e">
        <f t="shared" si="482"/>
        <v>#DIV/0!</v>
      </c>
      <c r="TXL133" s="531" t="e">
        <f t="shared" si="482"/>
        <v>#DIV/0!</v>
      </c>
      <c r="TXM133" s="531" t="e">
        <f t="shared" si="482"/>
        <v>#DIV/0!</v>
      </c>
      <c r="TXN133" s="531" t="e">
        <f t="shared" si="482"/>
        <v>#DIV/0!</v>
      </c>
      <c r="TXO133" s="531" t="e">
        <f t="shared" si="482"/>
        <v>#DIV/0!</v>
      </c>
      <c r="TXP133" s="531" t="e">
        <f t="shared" si="482"/>
        <v>#DIV/0!</v>
      </c>
      <c r="TXQ133" s="531" t="e">
        <f t="shared" si="482"/>
        <v>#DIV/0!</v>
      </c>
      <c r="TXR133" s="531" t="e">
        <f t="shared" si="482"/>
        <v>#DIV/0!</v>
      </c>
      <c r="TXS133" s="531" t="e">
        <f t="shared" si="482"/>
        <v>#DIV/0!</v>
      </c>
      <c r="TXT133" s="531" t="e">
        <f t="shared" si="482"/>
        <v>#DIV/0!</v>
      </c>
      <c r="TXU133" s="531" t="e">
        <f t="shared" si="482"/>
        <v>#DIV/0!</v>
      </c>
      <c r="TXV133" s="531" t="e">
        <f t="shared" si="482"/>
        <v>#DIV/0!</v>
      </c>
      <c r="TXW133" s="531" t="e">
        <f t="shared" si="482"/>
        <v>#DIV/0!</v>
      </c>
      <c r="TXX133" s="531" t="e">
        <f t="shared" si="482"/>
        <v>#DIV/0!</v>
      </c>
      <c r="TXY133" s="531" t="e">
        <f t="shared" si="482"/>
        <v>#DIV/0!</v>
      </c>
      <c r="TXZ133" s="531" t="e">
        <f t="shared" si="482"/>
        <v>#DIV/0!</v>
      </c>
      <c r="TYA133" s="531" t="e">
        <f t="shared" si="482"/>
        <v>#DIV/0!</v>
      </c>
      <c r="TYB133" s="531" t="e">
        <f t="shared" si="482"/>
        <v>#DIV/0!</v>
      </c>
      <c r="TYC133" s="531" t="e">
        <f t="shared" si="482"/>
        <v>#DIV/0!</v>
      </c>
      <c r="TYD133" s="531" t="e">
        <f t="shared" si="482"/>
        <v>#DIV/0!</v>
      </c>
      <c r="TYE133" s="531" t="e">
        <f t="shared" si="482"/>
        <v>#DIV/0!</v>
      </c>
      <c r="TYF133" s="531" t="e">
        <f t="shared" si="482"/>
        <v>#DIV/0!</v>
      </c>
      <c r="TYG133" s="531" t="e">
        <f t="shared" si="482"/>
        <v>#DIV/0!</v>
      </c>
      <c r="TYH133" s="531" t="e">
        <f t="shared" si="482"/>
        <v>#DIV/0!</v>
      </c>
      <c r="TYI133" s="531" t="e">
        <f t="shared" si="482"/>
        <v>#DIV/0!</v>
      </c>
      <c r="TYJ133" s="531" t="e">
        <f t="shared" si="482"/>
        <v>#DIV/0!</v>
      </c>
      <c r="TYK133" s="531" t="e">
        <f t="shared" si="482"/>
        <v>#DIV/0!</v>
      </c>
      <c r="TYL133" s="531" t="e">
        <f t="shared" si="482"/>
        <v>#DIV/0!</v>
      </c>
      <c r="TYM133" s="531" t="e">
        <f t="shared" si="482"/>
        <v>#DIV/0!</v>
      </c>
      <c r="TYN133" s="531" t="e">
        <f t="shared" si="482"/>
        <v>#DIV/0!</v>
      </c>
      <c r="TYO133" s="531" t="e">
        <f t="shared" si="482"/>
        <v>#DIV/0!</v>
      </c>
      <c r="TYP133" s="531" t="e">
        <f t="shared" si="482"/>
        <v>#DIV/0!</v>
      </c>
      <c r="TYQ133" s="531" t="e">
        <f t="shared" si="482"/>
        <v>#DIV/0!</v>
      </c>
      <c r="TYR133" s="531" t="e">
        <f t="shared" si="482"/>
        <v>#DIV/0!</v>
      </c>
      <c r="TYS133" s="531" t="e">
        <f t="shared" si="482"/>
        <v>#DIV/0!</v>
      </c>
      <c r="TYT133" s="531" t="e">
        <f t="shared" si="482"/>
        <v>#DIV/0!</v>
      </c>
      <c r="TYU133" s="531" t="e">
        <f t="shared" si="482"/>
        <v>#DIV/0!</v>
      </c>
      <c r="TYV133" s="531" t="e">
        <f t="shared" si="482"/>
        <v>#DIV/0!</v>
      </c>
      <c r="TYW133" s="531" t="e">
        <f t="shared" si="482"/>
        <v>#DIV/0!</v>
      </c>
      <c r="TYX133" s="531" t="e">
        <f t="shared" si="482"/>
        <v>#DIV/0!</v>
      </c>
      <c r="TYY133" s="531" t="e">
        <f t="shared" si="482"/>
        <v>#DIV/0!</v>
      </c>
      <c r="TYZ133" s="531" t="e">
        <f t="shared" si="482"/>
        <v>#DIV/0!</v>
      </c>
      <c r="TZA133" s="531" t="e">
        <f t="shared" si="482"/>
        <v>#DIV/0!</v>
      </c>
      <c r="TZB133" s="531" t="e">
        <f t="shared" si="482"/>
        <v>#DIV/0!</v>
      </c>
      <c r="TZC133" s="531" t="e">
        <f t="shared" si="482"/>
        <v>#DIV/0!</v>
      </c>
      <c r="TZD133" s="531" t="e">
        <f t="shared" si="482"/>
        <v>#DIV/0!</v>
      </c>
      <c r="TZE133" s="531" t="e">
        <f t="shared" si="482"/>
        <v>#DIV/0!</v>
      </c>
      <c r="TZF133" s="531" t="e">
        <f t="shared" si="482"/>
        <v>#DIV/0!</v>
      </c>
      <c r="TZG133" s="531" t="e">
        <f t="shared" si="482"/>
        <v>#DIV/0!</v>
      </c>
      <c r="TZH133" s="531" t="e">
        <f t="shared" si="482"/>
        <v>#DIV/0!</v>
      </c>
      <c r="TZI133" s="531" t="e">
        <f t="shared" si="482"/>
        <v>#DIV/0!</v>
      </c>
      <c r="TZJ133" s="531" t="e">
        <f t="shared" si="482"/>
        <v>#DIV/0!</v>
      </c>
      <c r="TZK133" s="531" t="e">
        <f t="shared" si="482"/>
        <v>#DIV/0!</v>
      </c>
      <c r="TZL133" s="531" t="e">
        <f t="shared" si="482"/>
        <v>#DIV/0!</v>
      </c>
      <c r="TZM133" s="531" t="e">
        <f t="shared" si="482"/>
        <v>#DIV/0!</v>
      </c>
      <c r="TZN133" s="531" t="e">
        <f t="shared" si="482"/>
        <v>#DIV/0!</v>
      </c>
      <c r="TZO133" s="531" t="e">
        <f t="shared" si="482"/>
        <v>#DIV/0!</v>
      </c>
      <c r="TZP133" s="531" t="e">
        <f t="shared" si="482"/>
        <v>#DIV/0!</v>
      </c>
      <c r="TZQ133" s="531" t="e">
        <f t="shared" si="482"/>
        <v>#DIV/0!</v>
      </c>
      <c r="TZR133" s="531" t="e">
        <f t="shared" si="482"/>
        <v>#DIV/0!</v>
      </c>
      <c r="TZS133" s="531" t="e">
        <f t="shared" ref="TZS133:UCD133" si="483">TZS116/(TZS52*10^5)</f>
        <v>#DIV/0!</v>
      </c>
      <c r="TZT133" s="531" t="e">
        <f t="shared" si="483"/>
        <v>#DIV/0!</v>
      </c>
      <c r="TZU133" s="531" t="e">
        <f t="shared" si="483"/>
        <v>#DIV/0!</v>
      </c>
      <c r="TZV133" s="531" t="e">
        <f t="shared" si="483"/>
        <v>#DIV/0!</v>
      </c>
      <c r="TZW133" s="531" t="e">
        <f t="shared" si="483"/>
        <v>#DIV/0!</v>
      </c>
      <c r="TZX133" s="531" t="e">
        <f t="shared" si="483"/>
        <v>#DIV/0!</v>
      </c>
      <c r="TZY133" s="531" t="e">
        <f t="shared" si="483"/>
        <v>#DIV/0!</v>
      </c>
      <c r="TZZ133" s="531" t="e">
        <f t="shared" si="483"/>
        <v>#DIV/0!</v>
      </c>
      <c r="UAA133" s="531" t="e">
        <f t="shared" si="483"/>
        <v>#DIV/0!</v>
      </c>
      <c r="UAB133" s="531" t="e">
        <f t="shared" si="483"/>
        <v>#DIV/0!</v>
      </c>
      <c r="UAC133" s="531" t="e">
        <f t="shared" si="483"/>
        <v>#DIV/0!</v>
      </c>
      <c r="UAD133" s="531" t="e">
        <f t="shared" si="483"/>
        <v>#DIV/0!</v>
      </c>
      <c r="UAE133" s="531" t="e">
        <f t="shared" si="483"/>
        <v>#DIV/0!</v>
      </c>
      <c r="UAF133" s="531" t="e">
        <f t="shared" si="483"/>
        <v>#DIV/0!</v>
      </c>
      <c r="UAG133" s="531" t="e">
        <f t="shared" si="483"/>
        <v>#DIV/0!</v>
      </c>
      <c r="UAH133" s="531" t="e">
        <f t="shared" si="483"/>
        <v>#DIV/0!</v>
      </c>
      <c r="UAI133" s="531" t="e">
        <f t="shared" si="483"/>
        <v>#DIV/0!</v>
      </c>
      <c r="UAJ133" s="531" t="e">
        <f t="shared" si="483"/>
        <v>#DIV/0!</v>
      </c>
      <c r="UAK133" s="531" t="e">
        <f t="shared" si="483"/>
        <v>#DIV/0!</v>
      </c>
      <c r="UAL133" s="531" t="e">
        <f t="shared" si="483"/>
        <v>#DIV/0!</v>
      </c>
      <c r="UAM133" s="531" t="e">
        <f t="shared" si="483"/>
        <v>#DIV/0!</v>
      </c>
      <c r="UAN133" s="531" t="e">
        <f t="shared" si="483"/>
        <v>#DIV/0!</v>
      </c>
      <c r="UAO133" s="531" t="e">
        <f t="shared" si="483"/>
        <v>#DIV/0!</v>
      </c>
      <c r="UAP133" s="531" t="e">
        <f t="shared" si="483"/>
        <v>#DIV/0!</v>
      </c>
      <c r="UAQ133" s="531" t="e">
        <f t="shared" si="483"/>
        <v>#DIV/0!</v>
      </c>
      <c r="UAR133" s="531" t="e">
        <f t="shared" si="483"/>
        <v>#DIV/0!</v>
      </c>
      <c r="UAS133" s="531" t="e">
        <f t="shared" si="483"/>
        <v>#DIV/0!</v>
      </c>
      <c r="UAT133" s="531" t="e">
        <f t="shared" si="483"/>
        <v>#DIV/0!</v>
      </c>
      <c r="UAU133" s="531" t="e">
        <f t="shared" si="483"/>
        <v>#DIV/0!</v>
      </c>
      <c r="UAV133" s="531" t="e">
        <f t="shared" si="483"/>
        <v>#DIV/0!</v>
      </c>
      <c r="UAW133" s="531" t="e">
        <f t="shared" si="483"/>
        <v>#DIV/0!</v>
      </c>
      <c r="UAX133" s="531" t="e">
        <f t="shared" si="483"/>
        <v>#DIV/0!</v>
      </c>
      <c r="UAY133" s="531" t="e">
        <f t="shared" si="483"/>
        <v>#DIV/0!</v>
      </c>
      <c r="UAZ133" s="531" t="e">
        <f t="shared" si="483"/>
        <v>#DIV/0!</v>
      </c>
      <c r="UBA133" s="531" t="e">
        <f t="shared" si="483"/>
        <v>#DIV/0!</v>
      </c>
      <c r="UBB133" s="531" t="e">
        <f t="shared" si="483"/>
        <v>#DIV/0!</v>
      </c>
      <c r="UBC133" s="531" t="e">
        <f t="shared" si="483"/>
        <v>#DIV/0!</v>
      </c>
      <c r="UBD133" s="531" t="e">
        <f t="shared" si="483"/>
        <v>#DIV/0!</v>
      </c>
      <c r="UBE133" s="531" t="e">
        <f t="shared" si="483"/>
        <v>#DIV/0!</v>
      </c>
      <c r="UBF133" s="531" t="e">
        <f t="shared" si="483"/>
        <v>#DIV/0!</v>
      </c>
      <c r="UBG133" s="531" t="e">
        <f t="shared" si="483"/>
        <v>#DIV/0!</v>
      </c>
      <c r="UBH133" s="531" t="e">
        <f t="shared" si="483"/>
        <v>#DIV/0!</v>
      </c>
      <c r="UBI133" s="531" t="e">
        <f t="shared" si="483"/>
        <v>#DIV/0!</v>
      </c>
      <c r="UBJ133" s="531" t="e">
        <f t="shared" si="483"/>
        <v>#DIV/0!</v>
      </c>
      <c r="UBK133" s="531" t="e">
        <f t="shared" si="483"/>
        <v>#DIV/0!</v>
      </c>
      <c r="UBL133" s="531" t="e">
        <f t="shared" si="483"/>
        <v>#DIV/0!</v>
      </c>
      <c r="UBM133" s="531" t="e">
        <f t="shared" si="483"/>
        <v>#DIV/0!</v>
      </c>
      <c r="UBN133" s="531" t="e">
        <f t="shared" si="483"/>
        <v>#DIV/0!</v>
      </c>
      <c r="UBO133" s="531" t="e">
        <f t="shared" si="483"/>
        <v>#DIV/0!</v>
      </c>
      <c r="UBP133" s="531" t="e">
        <f t="shared" si="483"/>
        <v>#DIV/0!</v>
      </c>
      <c r="UBQ133" s="531" t="e">
        <f t="shared" si="483"/>
        <v>#DIV/0!</v>
      </c>
      <c r="UBR133" s="531" t="e">
        <f t="shared" si="483"/>
        <v>#DIV/0!</v>
      </c>
      <c r="UBS133" s="531" t="e">
        <f t="shared" si="483"/>
        <v>#DIV/0!</v>
      </c>
      <c r="UBT133" s="531" t="e">
        <f t="shared" si="483"/>
        <v>#DIV/0!</v>
      </c>
      <c r="UBU133" s="531" t="e">
        <f t="shared" si="483"/>
        <v>#DIV/0!</v>
      </c>
      <c r="UBV133" s="531" t="e">
        <f t="shared" si="483"/>
        <v>#DIV/0!</v>
      </c>
      <c r="UBW133" s="531" t="e">
        <f t="shared" si="483"/>
        <v>#DIV/0!</v>
      </c>
      <c r="UBX133" s="531" t="e">
        <f t="shared" si="483"/>
        <v>#DIV/0!</v>
      </c>
      <c r="UBY133" s="531" t="e">
        <f t="shared" si="483"/>
        <v>#DIV/0!</v>
      </c>
      <c r="UBZ133" s="531" t="e">
        <f t="shared" si="483"/>
        <v>#DIV/0!</v>
      </c>
      <c r="UCA133" s="531" t="e">
        <f t="shared" si="483"/>
        <v>#DIV/0!</v>
      </c>
      <c r="UCB133" s="531" t="e">
        <f t="shared" si="483"/>
        <v>#DIV/0!</v>
      </c>
      <c r="UCC133" s="531" t="e">
        <f t="shared" si="483"/>
        <v>#DIV/0!</v>
      </c>
      <c r="UCD133" s="531" t="e">
        <f t="shared" si="483"/>
        <v>#DIV/0!</v>
      </c>
      <c r="UCE133" s="531" t="e">
        <f t="shared" ref="UCE133:UEP133" si="484">UCE116/(UCE52*10^5)</f>
        <v>#DIV/0!</v>
      </c>
      <c r="UCF133" s="531" t="e">
        <f t="shared" si="484"/>
        <v>#DIV/0!</v>
      </c>
      <c r="UCG133" s="531" t="e">
        <f t="shared" si="484"/>
        <v>#DIV/0!</v>
      </c>
      <c r="UCH133" s="531" t="e">
        <f t="shared" si="484"/>
        <v>#DIV/0!</v>
      </c>
      <c r="UCI133" s="531" t="e">
        <f t="shared" si="484"/>
        <v>#DIV/0!</v>
      </c>
      <c r="UCJ133" s="531" t="e">
        <f t="shared" si="484"/>
        <v>#DIV/0!</v>
      </c>
      <c r="UCK133" s="531" t="e">
        <f t="shared" si="484"/>
        <v>#DIV/0!</v>
      </c>
      <c r="UCL133" s="531" t="e">
        <f t="shared" si="484"/>
        <v>#DIV/0!</v>
      </c>
      <c r="UCM133" s="531" t="e">
        <f t="shared" si="484"/>
        <v>#DIV/0!</v>
      </c>
      <c r="UCN133" s="531" t="e">
        <f t="shared" si="484"/>
        <v>#DIV/0!</v>
      </c>
      <c r="UCO133" s="531" t="e">
        <f t="shared" si="484"/>
        <v>#DIV/0!</v>
      </c>
      <c r="UCP133" s="531" t="e">
        <f t="shared" si="484"/>
        <v>#DIV/0!</v>
      </c>
      <c r="UCQ133" s="531" t="e">
        <f t="shared" si="484"/>
        <v>#DIV/0!</v>
      </c>
      <c r="UCR133" s="531" t="e">
        <f t="shared" si="484"/>
        <v>#DIV/0!</v>
      </c>
      <c r="UCS133" s="531" t="e">
        <f t="shared" si="484"/>
        <v>#DIV/0!</v>
      </c>
      <c r="UCT133" s="531" t="e">
        <f t="shared" si="484"/>
        <v>#DIV/0!</v>
      </c>
      <c r="UCU133" s="531" t="e">
        <f t="shared" si="484"/>
        <v>#DIV/0!</v>
      </c>
      <c r="UCV133" s="531" t="e">
        <f t="shared" si="484"/>
        <v>#DIV/0!</v>
      </c>
      <c r="UCW133" s="531" t="e">
        <f t="shared" si="484"/>
        <v>#DIV/0!</v>
      </c>
      <c r="UCX133" s="531" t="e">
        <f t="shared" si="484"/>
        <v>#DIV/0!</v>
      </c>
      <c r="UCY133" s="531" t="e">
        <f t="shared" si="484"/>
        <v>#DIV/0!</v>
      </c>
      <c r="UCZ133" s="531" t="e">
        <f t="shared" si="484"/>
        <v>#DIV/0!</v>
      </c>
      <c r="UDA133" s="531" t="e">
        <f t="shared" si="484"/>
        <v>#DIV/0!</v>
      </c>
      <c r="UDB133" s="531" t="e">
        <f t="shared" si="484"/>
        <v>#DIV/0!</v>
      </c>
      <c r="UDC133" s="531" t="e">
        <f t="shared" si="484"/>
        <v>#DIV/0!</v>
      </c>
      <c r="UDD133" s="531" t="e">
        <f t="shared" si="484"/>
        <v>#DIV/0!</v>
      </c>
      <c r="UDE133" s="531" t="e">
        <f t="shared" si="484"/>
        <v>#DIV/0!</v>
      </c>
      <c r="UDF133" s="531" t="e">
        <f t="shared" si="484"/>
        <v>#DIV/0!</v>
      </c>
      <c r="UDG133" s="531" t="e">
        <f t="shared" si="484"/>
        <v>#DIV/0!</v>
      </c>
      <c r="UDH133" s="531" t="e">
        <f t="shared" si="484"/>
        <v>#DIV/0!</v>
      </c>
      <c r="UDI133" s="531" t="e">
        <f t="shared" si="484"/>
        <v>#DIV/0!</v>
      </c>
      <c r="UDJ133" s="531" t="e">
        <f t="shared" si="484"/>
        <v>#DIV/0!</v>
      </c>
      <c r="UDK133" s="531" t="e">
        <f t="shared" si="484"/>
        <v>#DIV/0!</v>
      </c>
      <c r="UDL133" s="531" t="e">
        <f t="shared" si="484"/>
        <v>#DIV/0!</v>
      </c>
      <c r="UDM133" s="531" t="e">
        <f t="shared" si="484"/>
        <v>#DIV/0!</v>
      </c>
      <c r="UDN133" s="531" t="e">
        <f t="shared" si="484"/>
        <v>#DIV/0!</v>
      </c>
      <c r="UDO133" s="531" t="e">
        <f t="shared" si="484"/>
        <v>#DIV/0!</v>
      </c>
      <c r="UDP133" s="531" t="e">
        <f t="shared" si="484"/>
        <v>#DIV/0!</v>
      </c>
      <c r="UDQ133" s="531" t="e">
        <f t="shared" si="484"/>
        <v>#DIV/0!</v>
      </c>
      <c r="UDR133" s="531" t="e">
        <f t="shared" si="484"/>
        <v>#DIV/0!</v>
      </c>
      <c r="UDS133" s="531" t="e">
        <f t="shared" si="484"/>
        <v>#DIV/0!</v>
      </c>
      <c r="UDT133" s="531" t="e">
        <f t="shared" si="484"/>
        <v>#DIV/0!</v>
      </c>
      <c r="UDU133" s="531" t="e">
        <f t="shared" si="484"/>
        <v>#DIV/0!</v>
      </c>
      <c r="UDV133" s="531" t="e">
        <f t="shared" si="484"/>
        <v>#DIV/0!</v>
      </c>
      <c r="UDW133" s="531" t="e">
        <f t="shared" si="484"/>
        <v>#DIV/0!</v>
      </c>
      <c r="UDX133" s="531" t="e">
        <f t="shared" si="484"/>
        <v>#DIV/0!</v>
      </c>
      <c r="UDY133" s="531" t="e">
        <f t="shared" si="484"/>
        <v>#DIV/0!</v>
      </c>
      <c r="UDZ133" s="531" t="e">
        <f t="shared" si="484"/>
        <v>#DIV/0!</v>
      </c>
      <c r="UEA133" s="531" t="e">
        <f t="shared" si="484"/>
        <v>#DIV/0!</v>
      </c>
      <c r="UEB133" s="531" t="e">
        <f t="shared" si="484"/>
        <v>#DIV/0!</v>
      </c>
      <c r="UEC133" s="531" t="e">
        <f t="shared" si="484"/>
        <v>#DIV/0!</v>
      </c>
      <c r="UED133" s="531" t="e">
        <f t="shared" si="484"/>
        <v>#DIV/0!</v>
      </c>
      <c r="UEE133" s="531" t="e">
        <f t="shared" si="484"/>
        <v>#DIV/0!</v>
      </c>
      <c r="UEF133" s="531" t="e">
        <f t="shared" si="484"/>
        <v>#DIV/0!</v>
      </c>
      <c r="UEG133" s="531" t="e">
        <f t="shared" si="484"/>
        <v>#DIV/0!</v>
      </c>
      <c r="UEH133" s="531" t="e">
        <f t="shared" si="484"/>
        <v>#DIV/0!</v>
      </c>
      <c r="UEI133" s="531" t="e">
        <f t="shared" si="484"/>
        <v>#DIV/0!</v>
      </c>
      <c r="UEJ133" s="531" t="e">
        <f t="shared" si="484"/>
        <v>#DIV/0!</v>
      </c>
      <c r="UEK133" s="531" t="e">
        <f t="shared" si="484"/>
        <v>#DIV/0!</v>
      </c>
      <c r="UEL133" s="531" t="e">
        <f t="shared" si="484"/>
        <v>#DIV/0!</v>
      </c>
      <c r="UEM133" s="531" t="e">
        <f t="shared" si="484"/>
        <v>#DIV/0!</v>
      </c>
      <c r="UEN133" s="531" t="e">
        <f t="shared" si="484"/>
        <v>#DIV/0!</v>
      </c>
      <c r="UEO133" s="531" t="e">
        <f t="shared" si="484"/>
        <v>#DIV/0!</v>
      </c>
      <c r="UEP133" s="531" t="e">
        <f t="shared" si="484"/>
        <v>#DIV/0!</v>
      </c>
      <c r="UEQ133" s="531" t="e">
        <f t="shared" ref="UEQ133:UHB133" si="485">UEQ116/(UEQ52*10^5)</f>
        <v>#DIV/0!</v>
      </c>
      <c r="UER133" s="531" t="e">
        <f t="shared" si="485"/>
        <v>#DIV/0!</v>
      </c>
      <c r="UES133" s="531" t="e">
        <f t="shared" si="485"/>
        <v>#DIV/0!</v>
      </c>
      <c r="UET133" s="531" t="e">
        <f t="shared" si="485"/>
        <v>#DIV/0!</v>
      </c>
      <c r="UEU133" s="531" t="e">
        <f t="shared" si="485"/>
        <v>#DIV/0!</v>
      </c>
      <c r="UEV133" s="531" t="e">
        <f t="shared" si="485"/>
        <v>#DIV/0!</v>
      </c>
      <c r="UEW133" s="531" t="e">
        <f t="shared" si="485"/>
        <v>#DIV/0!</v>
      </c>
      <c r="UEX133" s="531" t="e">
        <f t="shared" si="485"/>
        <v>#DIV/0!</v>
      </c>
      <c r="UEY133" s="531" t="e">
        <f t="shared" si="485"/>
        <v>#DIV/0!</v>
      </c>
      <c r="UEZ133" s="531" t="e">
        <f t="shared" si="485"/>
        <v>#DIV/0!</v>
      </c>
      <c r="UFA133" s="531" t="e">
        <f t="shared" si="485"/>
        <v>#DIV/0!</v>
      </c>
      <c r="UFB133" s="531" t="e">
        <f t="shared" si="485"/>
        <v>#DIV/0!</v>
      </c>
      <c r="UFC133" s="531" t="e">
        <f t="shared" si="485"/>
        <v>#DIV/0!</v>
      </c>
      <c r="UFD133" s="531" t="e">
        <f t="shared" si="485"/>
        <v>#DIV/0!</v>
      </c>
      <c r="UFE133" s="531" t="e">
        <f t="shared" si="485"/>
        <v>#DIV/0!</v>
      </c>
      <c r="UFF133" s="531" t="e">
        <f t="shared" si="485"/>
        <v>#DIV/0!</v>
      </c>
      <c r="UFG133" s="531" t="e">
        <f t="shared" si="485"/>
        <v>#DIV/0!</v>
      </c>
      <c r="UFH133" s="531" t="e">
        <f t="shared" si="485"/>
        <v>#DIV/0!</v>
      </c>
      <c r="UFI133" s="531" t="e">
        <f t="shared" si="485"/>
        <v>#DIV/0!</v>
      </c>
      <c r="UFJ133" s="531" t="e">
        <f t="shared" si="485"/>
        <v>#DIV/0!</v>
      </c>
      <c r="UFK133" s="531" t="e">
        <f t="shared" si="485"/>
        <v>#DIV/0!</v>
      </c>
      <c r="UFL133" s="531" t="e">
        <f t="shared" si="485"/>
        <v>#DIV/0!</v>
      </c>
      <c r="UFM133" s="531" t="e">
        <f t="shared" si="485"/>
        <v>#DIV/0!</v>
      </c>
      <c r="UFN133" s="531" t="e">
        <f t="shared" si="485"/>
        <v>#DIV/0!</v>
      </c>
      <c r="UFO133" s="531" t="e">
        <f t="shared" si="485"/>
        <v>#DIV/0!</v>
      </c>
      <c r="UFP133" s="531" t="e">
        <f t="shared" si="485"/>
        <v>#DIV/0!</v>
      </c>
      <c r="UFQ133" s="531" t="e">
        <f t="shared" si="485"/>
        <v>#DIV/0!</v>
      </c>
      <c r="UFR133" s="531" t="e">
        <f t="shared" si="485"/>
        <v>#DIV/0!</v>
      </c>
      <c r="UFS133" s="531" t="e">
        <f t="shared" si="485"/>
        <v>#DIV/0!</v>
      </c>
      <c r="UFT133" s="531" t="e">
        <f t="shared" si="485"/>
        <v>#DIV/0!</v>
      </c>
      <c r="UFU133" s="531" t="e">
        <f t="shared" si="485"/>
        <v>#DIV/0!</v>
      </c>
      <c r="UFV133" s="531" t="e">
        <f t="shared" si="485"/>
        <v>#DIV/0!</v>
      </c>
      <c r="UFW133" s="531" t="e">
        <f t="shared" si="485"/>
        <v>#DIV/0!</v>
      </c>
      <c r="UFX133" s="531" t="e">
        <f t="shared" si="485"/>
        <v>#DIV/0!</v>
      </c>
      <c r="UFY133" s="531" t="e">
        <f t="shared" si="485"/>
        <v>#DIV/0!</v>
      </c>
      <c r="UFZ133" s="531" t="e">
        <f t="shared" si="485"/>
        <v>#DIV/0!</v>
      </c>
      <c r="UGA133" s="531" t="e">
        <f t="shared" si="485"/>
        <v>#DIV/0!</v>
      </c>
      <c r="UGB133" s="531" t="e">
        <f t="shared" si="485"/>
        <v>#DIV/0!</v>
      </c>
      <c r="UGC133" s="531" t="e">
        <f t="shared" si="485"/>
        <v>#DIV/0!</v>
      </c>
      <c r="UGD133" s="531" t="e">
        <f t="shared" si="485"/>
        <v>#DIV/0!</v>
      </c>
      <c r="UGE133" s="531" t="e">
        <f t="shared" si="485"/>
        <v>#DIV/0!</v>
      </c>
      <c r="UGF133" s="531" t="e">
        <f t="shared" si="485"/>
        <v>#DIV/0!</v>
      </c>
      <c r="UGG133" s="531" t="e">
        <f t="shared" si="485"/>
        <v>#DIV/0!</v>
      </c>
      <c r="UGH133" s="531" t="e">
        <f t="shared" si="485"/>
        <v>#DIV/0!</v>
      </c>
      <c r="UGI133" s="531" t="e">
        <f t="shared" si="485"/>
        <v>#DIV/0!</v>
      </c>
      <c r="UGJ133" s="531" t="e">
        <f t="shared" si="485"/>
        <v>#DIV/0!</v>
      </c>
      <c r="UGK133" s="531" t="e">
        <f t="shared" si="485"/>
        <v>#DIV/0!</v>
      </c>
      <c r="UGL133" s="531" t="e">
        <f t="shared" si="485"/>
        <v>#DIV/0!</v>
      </c>
      <c r="UGM133" s="531" t="e">
        <f t="shared" si="485"/>
        <v>#DIV/0!</v>
      </c>
      <c r="UGN133" s="531" t="e">
        <f t="shared" si="485"/>
        <v>#DIV/0!</v>
      </c>
      <c r="UGO133" s="531" t="e">
        <f t="shared" si="485"/>
        <v>#DIV/0!</v>
      </c>
      <c r="UGP133" s="531" t="e">
        <f t="shared" si="485"/>
        <v>#DIV/0!</v>
      </c>
      <c r="UGQ133" s="531" t="e">
        <f t="shared" si="485"/>
        <v>#DIV/0!</v>
      </c>
      <c r="UGR133" s="531" t="e">
        <f t="shared" si="485"/>
        <v>#DIV/0!</v>
      </c>
      <c r="UGS133" s="531" t="e">
        <f t="shared" si="485"/>
        <v>#DIV/0!</v>
      </c>
      <c r="UGT133" s="531" t="e">
        <f t="shared" si="485"/>
        <v>#DIV/0!</v>
      </c>
      <c r="UGU133" s="531" t="e">
        <f t="shared" si="485"/>
        <v>#DIV/0!</v>
      </c>
      <c r="UGV133" s="531" t="e">
        <f t="shared" si="485"/>
        <v>#DIV/0!</v>
      </c>
      <c r="UGW133" s="531" t="e">
        <f t="shared" si="485"/>
        <v>#DIV/0!</v>
      </c>
      <c r="UGX133" s="531" t="e">
        <f t="shared" si="485"/>
        <v>#DIV/0!</v>
      </c>
      <c r="UGY133" s="531" t="e">
        <f t="shared" si="485"/>
        <v>#DIV/0!</v>
      </c>
      <c r="UGZ133" s="531" t="e">
        <f t="shared" si="485"/>
        <v>#DIV/0!</v>
      </c>
      <c r="UHA133" s="531" t="e">
        <f t="shared" si="485"/>
        <v>#DIV/0!</v>
      </c>
      <c r="UHB133" s="531" t="e">
        <f t="shared" si="485"/>
        <v>#DIV/0!</v>
      </c>
      <c r="UHC133" s="531" t="e">
        <f t="shared" ref="UHC133:UJN133" si="486">UHC116/(UHC52*10^5)</f>
        <v>#DIV/0!</v>
      </c>
      <c r="UHD133" s="531" t="e">
        <f t="shared" si="486"/>
        <v>#DIV/0!</v>
      </c>
      <c r="UHE133" s="531" t="e">
        <f t="shared" si="486"/>
        <v>#DIV/0!</v>
      </c>
      <c r="UHF133" s="531" t="e">
        <f t="shared" si="486"/>
        <v>#DIV/0!</v>
      </c>
      <c r="UHG133" s="531" t="e">
        <f t="shared" si="486"/>
        <v>#DIV/0!</v>
      </c>
      <c r="UHH133" s="531" t="e">
        <f t="shared" si="486"/>
        <v>#DIV/0!</v>
      </c>
      <c r="UHI133" s="531" t="e">
        <f t="shared" si="486"/>
        <v>#DIV/0!</v>
      </c>
      <c r="UHJ133" s="531" t="e">
        <f t="shared" si="486"/>
        <v>#DIV/0!</v>
      </c>
      <c r="UHK133" s="531" t="e">
        <f t="shared" si="486"/>
        <v>#DIV/0!</v>
      </c>
      <c r="UHL133" s="531" t="e">
        <f t="shared" si="486"/>
        <v>#DIV/0!</v>
      </c>
      <c r="UHM133" s="531" t="e">
        <f t="shared" si="486"/>
        <v>#DIV/0!</v>
      </c>
      <c r="UHN133" s="531" t="e">
        <f t="shared" si="486"/>
        <v>#DIV/0!</v>
      </c>
      <c r="UHO133" s="531" t="e">
        <f t="shared" si="486"/>
        <v>#DIV/0!</v>
      </c>
      <c r="UHP133" s="531" t="e">
        <f t="shared" si="486"/>
        <v>#DIV/0!</v>
      </c>
      <c r="UHQ133" s="531" t="e">
        <f t="shared" si="486"/>
        <v>#DIV/0!</v>
      </c>
      <c r="UHR133" s="531" t="e">
        <f t="shared" si="486"/>
        <v>#DIV/0!</v>
      </c>
      <c r="UHS133" s="531" t="e">
        <f t="shared" si="486"/>
        <v>#DIV/0!</v>
      </c>
      <c r="UHT133" s="531" t="e">
        <f t="shared" si="486"/>
        <v>#DIV/0!</v>
      </c>
      <c r="UHU133" s="531" t="e">
        <f t="shared" si="486"/>
        <v>#DIV/0!</v>
      </c>
      <c r="UHV133" s="531" t="e">
        <f t="shared" si="486"/>
        <v>#DIV/0!</v>
      </c>
      <c r="UHW133" s="531" t="e">
        <f t="shared" si="486"/>
        <v>#DIV/0!</v>
      </c>
      <c r="UHX133" s="531" t="e">
        <f t="shared" si="486"/>
        <v>#DIV/0!</v>
      </c>
      <c r="UHY133" s="531" t="e">
        <f t="shared" si="486"/>
        <v>#DIV/0!</v>
      </c>
      <c r="UHZ133" s="531" t="e">
        <f t="shared" si="486"/>
        <v>#DIV/0!</v>
      </c>
      <c r="UIA133" s="531" t="e">
        <f t="shared" si="486"/>
        <v>#DIV/0!</v>
      </c>
      <c r="UIB133" s="531" t="e">
        <f t="shared" si="486"/>
        <v>#DIV/0!</v>
      </c>
      <c r="UIC133" s="531" t="e">
        <f t="shared" si="486"/>
        <v>#DIV/0!</v>
      </c>
      <c r="UID133" s="531" t="e">
        <f t="shared" si="486"/>
        <v>#DIV/0!</v>
      </c>
      <c r="UIE133" s="531" t="e">
        <f t="shared" si="486"/>
        <v>#DIV/0!</v>
      </c>
      <c r="UIF133" s="531" t="e">
        <f t="shared" si="486"/>
        <v>#DIV/0!</v>
      </c>
      <c r="UIG133" s="531" t="e">
        <f t="shared" si="486"/>
        <v>#DIV/0!</v>
      </c>
      <c r="UIH133" s="531" t="e">
        <f t="shared" si="486"/>
        <v>#DIV/0!</v>
      </c>
      <c r="UII133" s="531" t="e">
        <f t="shared" si="486"/>
        <v>#DIV/0!</v>
      </c>
      <c r="UIJ133" s="531" t="e">
        <f t="shared" si="486"/>
        <v>#DIV/0!</v>
      </c>
      <c r="UIK133" s="531" t="e">
        <f t="shared" si="486"/>
        <v>#DIV/0!</v>
      </c>
      <c r="UIL133" s="531" t="e">
        <f t="shared" si="486"/>
        <v>#DIV/0!</v>
      </c>
      <c r="UIM133" s="531" t="e">
        <f t="shared" si="486"/>
        <v>#DIV/0!</v>
      </c>
      <c r="UIN133" s="531" t="e">
        <f t="shared" si="486"/>
        <v>#DIV/0!</v>
      </c>
      <c r="UIO133" s="531" t="e">
        <f t="shared" si="486"/>
        <v>#DIV/0!</v>
      </c>
      <c r="UIP133" s="531" t="e">
        <f t="shared" si="486"/>
        <v>#DIV/0!</v>
      </c>
      <c r="UIQ133" s="531" t="e">
        <f t="shared" si="486"/>
        <v>#DIV/0!</v>
      </c>
      <c r="UIR133" s="531" t="e">
        <f t="shared" si="486"/>
        <v>#DIV/0!</v>
      </c>
      <c r="UIS133" s="531" t="e">
        <f t="shared" si="486"/>
        <v>#DIV/0!</v>
      </c>
      <c r="UIT133" s="531" t="e">
        <f t="shared" si="486"/>
        <v>#DIV/0!</v>
      </c>
      <c r="UIU133" s="531" t="e">
        <f t="shared" si="486"/>
        <v>#DIV/0!</v>
      </c>
      <c r="UIV133" s="531" t="e">
        <f t="shared" si="486"/>
        <v>#DIV/0!</v>
      </c>
      <c r="UIW133" s="531" t="e">
        <f t="shared" si="486"/>
        <v>#DIV/0!</v>
      </c>
      <c r="UIX133" s="531" t="e">
        <f t="shared" si="486"/>
        <v>#DIV/0!</v>
      </c>
      <c r="UIY133" s="531" t="e">
        <f t="shared" si="486"/>
        <v>#DIV/0!</v>
      </c>
      <c r="UIZ133" s="531" t="e">
        <f t="shared" si="486"/>
        <v>#DIV/0!</v>
      </c>
      <c r="UJA133" s="531" t="e">
        <f t="shared" si="486"/>
        <v>#DIV/0!</v>
      </c>
      <c r="UJB133" s="531" t="e">
        <f t="shared" si="486"/>
        <v>#DIV/0!</v>
      </c>
      <c r="UJC133" s="531" t="e">
        <f t="shared" si="486"/>
        <v>#DIV/0!</v>
      </c>
      <c r="UJD133" s="531" t="e">
        <f t="shared" si="486"/>
        <v>#DIV/0!</v>
      </c>
      <c r="UJE133" s="531" t="e">
        <f t="shared" si="486"/>
        <v>#DIV/0!</v>
      </c>
      <c r="UJF133" s="531" t="e">
        <f t="shared" si="486"/>
        <v>#DIV/0!</v>
      </c>
      <c r="UJG133" s="531" t="e">
        <f t="shared" si="486"/>
        <v>#DIV/0!</v>
      </c>
      <c r="UJH133" s="531" t="e">
        <f t="shared" si="486"/>
        <v>#DIV/0!</v>
      </c>
      <c r="UJI133" s="531" t="e">
        <f t="shared" si="486"/>
        <v>#DIV/0!</v>
      </c>
      <c r="UJJ133" s="531" t="e">
        <f t="shared" si="486"/>
        <v>#DIV/0!</v>
      </c>
      <c r="UJK133" s="531" t="e">
        <f t="shared" si="486"/>
        <v>#DIV/0!</v>
      </c>
      <c r="UJL133" s="531" t="e">
        <f t="shared" si="486"/>
        <v>#DIV/0!</v>
      </c>
      <c r="UJM133" s="531" t="e">
        <f t="shared" si="486"/>
        <v>#DIV/0!</v>
      </c>
      <c r="UJN133" s="531" t="e">
        <f t="shared" si="486"/>
        <v>#DIV/0!</v>
      </c>
      <c r="UJO133" s="531" t="e">
        <f t="shared" ref="UJO133:ULZ133" si="487">UJO116/(UJO52*10^5)</f>
        <v>#DIV/0!</v>
      </c>
      <c r="UJP133" s="531" t="e">
        <f t="shared" si="487"/>
        <v>#DIV/0!</v>
      </c>
      <c r="UJQ133" s="531" t="e">
        <f t="shared" si="487"/>
        <v>#DIV/0!</v>
      </c>
      <c r="UJR133" s="531" t="e">
        <f t="shared" si="487"/>
        <v>#DIV/0!</v>
      </c>
      <c r="UJS133" s="531" t="e">
        <f t="shared" si="487"/>
        <v>#DIV/0!</v>
      </c>
      <c r="UJT133" s="531" t="e">
        <f t="shared" si="487"/>
        <v>#DIV/0!</v>
      </c>
      <c r="UJU133" s="531" t="e">
        <f t="shared" si="487"/>
        <v>#DIV/0!</v>
      </c>
      <c r="UJV133" s="531" t="e">
        <f t="shared" si="487"/>
        <v>#DIV/0!</v>
      </c>
      <c r="UJW133" s="531" t="e">
        <f t="shared" si="487"/>
        <v>#DIV/0!</v>
      </c>
      <c r="UJX133" s="531" t="e">
        <f t="shared" si="487"/>
        <v>#DIV/0!</v>
      </c>
      <c r="UJY133" s="531" t="e">
        <f t="shared" si="487"/>
        <v>#DIV/0!</v>
      </c>
      <c r="UJZ133" s="531" t="e">
        <f t="shared" si="487"/>
        <v>#DIV/0!</v>
      </c>
      <c r="UKA133" s="531" t="e">
        <f t="shared" si="487"/>
        <v>#DIV/0!</v>
      </c>
      <c r="UKB133" s="531" t="e">
        <f t="shared" si="487"/>
        <v>#DIV/0!</v>
      </c>
      <c r="UKC133" s="531" t="e">
        <f t="shared" si="487"/>
        <v>#DIV/0!</v>
      </c>
      <c r="UKD133" s="531" t="e">
        <f t="shared" si="487"/>
        <v>#DIV/0!</v>
      </c>
      <c r="UKE133" s="531" t="e">
        <f t="shared" si="487"/>
        <v>#DIV/0!</v>
      </c>
      <c r="UKF133" s="531" t="e">
        <f t="shared" si="487"/>
        <v>#DIV/0!</v>
      </c>
      <c r="UKG133" s="531" t="e">
        <f t="shared" si="487"/>
        <v>#DIV/0!</v>
      </c>
      <c r="UKH133" s="531" t="e">
        <f t="shared" si="487"/>
        <v>#DIV/0!</v>
      </c>
      <c r="UKI133" s="531" t="e">
        <f t="shared" si="487"/>
        <v>#DIV/0!</v>
      </c>
      <c r="UKJ133" s="531" t="e">
        <f t="shared" si="487"/>
        <v>#DIV/0!</v>
      </c>
      <c r="UKK133" s="531" t="e">
        <f t="shared" si="487"/>
        <v>#DIV/0!</v>
      </c>
      <c r="UKL133" s="531" t="e">
        <f t="shared" si="487"/>
        <v>#DIV/0!</v>
      </c>
      <c r="UKM133" s="531" t="e">
        <f t="shared" si="487"/>
        <v>#DIV/0!</v>
      </c>
      <c r="UKN133" s="531" t="e">
        <f t="shared" si="487"/>
        <v>#DIV/0!</v>
      </c>
      <c r="UKO133" s="531" t="e">
        <f t="shared" si="487"/>
        <v>#DIV/0!</v>
      </c>
      <c r="UKP133" s="531" t="e">
        <f t="shared" si="487"/>
        <v>#DIV/0!</v>
      </c>
      <c r="UKQ133" s="531" t="e">
        <f t="shared" si="487"/>
        <v>#DIV/0!</v>
      </c>
      <c r="UKR133" s="531" t="e">
        <f t="shared" si="487"/>
        <v>#DIV/0!</v>
      </c>
      <c r="UKS133" s="531" t="e">
        <f t="shared" si="487"/>
        <v>#DIV/0!</v>
      </c>
      <c r="UKT133" s="531" t="e">
        <f t="shared" si="487"/>
        <v>#DIV/0!</v>
      </c>
      <c r="UKU133" s="531" t="e">
        <f t="shared" si="487"/>
        <v>#DIV/0!</v>
      </c>
      <c r="UKV133" s="531" t="e">
        <f t="shared" si="487"/>
        <v>#DIV/0!</v>
      </c>
      <c r="UKW133" s="531" t="e">
        <f t="shared" si="487"/>
        <v>#DIV/0!</v>
      </c>
      <c r="UKX133" s="531" t="e">
        <f t="shared" si="487"/>
        <v>#DIV/0!</v>
      </c>
      <c r="UKY133" s="531" t="e">
        <f t="shared" si="487"/>
        <v>#DIV/0!</v>
      </c>
      <c r="UKZ133" s="531" t="e">
        <f t="shared" si="487"/>
        <v>#DIV/0!</v>
      </c>
      <c r="ULA133" s="531" t="e">
        <f t="shared" si="487"/>
        <v>#DIV/0!</v>
      </c>
      <c r="ULB133" s="531" t="e">
        <f t="shared" si="487"/>
        <v>#DIV/0!</v>
      </c>
      <c r="ULC133" s="531" t="e">
        <f t="shared" si="487"/>
        <v>#DIV/0!</v>
      </c>
      <c r="ULD133" s="531" t="e">
        <f t="shared" si="487"/>
        <v>#DIV/0!</v>
      </c>
      <c r="ULE133" s="531" t="e">
        <f t="shared" si="487"/>
        <v>#DIV/0!</v>
      </c>
      <c r="ULF133" s="531" t="e">
        <f t="shared" si="487"/>
        <v>#DIV/0!</v>
      </c>
      <c r="ULG133" s="531" t="e">
        <f t="shared" si="487"/>
        <v>#DIV/0!</v>
      </c>
      <c r="ULH133" s="531" t="e">
        <f t="shared" si="487"/>
        <v>#DIV/0!</v>
      </c>
      <c r="ULI133" s="531" t="e">
        <f t="shared" si="487"/>
        <v>#DIV/0!</v>
      </c>
      <c r="ULJ133" s="531" t="e">
        <f t="shared" si="487"/>
        <v>#DIV/0!</v>
      </c>
      <c r="ULK133" s="531" t="e">
        <f t="shared" si="487"/>
        <v>#DIV/0!</v>
      </c>
      <c r="ULL133" s="531" t="e">
        <f t="shared" si="487"/>
        <v>#DIV/0!</v>
      </c>
      <c r="ULM133" s="531" t="e">
        <f t="shared" si="487"/>
        <v>#DIV/0!</v>
      </c>
      <c r="ULN133" s="531" t="e">
        <f t="shared" si="487"/>
        <v>#DIV/0!</v>
      </c>
      <c r="ULO133" s="531" t="e">
        <f t="shared" si="487"/>
        <v>#DIV/0!</v>
      </c>
      <c r="ULP133" s="531" t="e">
        <f t="shared" si="487"/>
        <v>#DIV/0!</v>
      </c>
      <c r="ULQ133" s="531" t="e">
        <f t="shared" si="487"/>
        <v>#DIV/0!</v>
      </c>
      <c r="ULR133" s="531" t="e">
        <f t="shared" si="487"/>
        <v>#DIV/0!</v>
      </c>
      <c r="ULS133" s="531" t="e">
        <f t="shared" si="487"/>
        <v>#DIV/0!</v>
      </c>
      <c r="ULT133" s="531" t="e">
        <f t="shared" si="487"/>
        <v>#DIV/0!</v>
      </c>
      <c r="ULU133" s="531" t="e">
        <f t="shared" si="487"/>
        <v>#DIV/0!</v>
      </c>
      <c r="ULV133" s="531" t="e">
        <f t="shared" si="487"/>
        <v>#DIV/0!</v>
      </c>
      <c r="ULW133" s="531" t="e">
        <f t="shared" si="487"/>
        <v>#DIV/0!</v>
      </c>
      <c r="ULX133" s="531" t="e">
        <f t="shared" si="487"/>
        <v>#DIV/0!</v>
      </c>
      <c r="ULY133" s="531" t="e">
        <f t="shared" si="487"/>
        <v>#DIV/0!</v>
      </c>
      <c r="ULZ133" s="531" t="e">
        <f t="shared" si="487"/>
        <v>#DIV/0!</v>
      </c>
      <c r="UMA133" s="531" t="e">
        <f t="shared" ref="UMA133:UOL133" si="488">UMA116/(UMA52*10^5)</f>
        <v>#DIV/0!</v>
      </c>
      <c r="UMB133" s="531" t="e">
        <f t="shared" si="488"/>
        <v>#DIV/0!</v>
      </c>
      <c r="UMC133" s="531" t="e">
        <f t="shared" si="488"/>
        <v>#DIV/0!</v>
      </c>
      <c r="UMD133" s="531" t="e">
        <f t="shared" si="488"/>
        <v>#DIV/0!</v>
      </c>
      <c r="UME133" s="531" t="e">
        <f t="shared" si="488"/>
        <v>#DIV/0!</v>
      </c>
      <c r="UMF133" s="531" t="e">
        <f t="shared" si="488"/>
        <v>#DIV/0!</v>
      </c>
      <c r="UMG133" s="531" t="e">
        <f t="shared" si="488"/>
        <v>#DIV/0!</v>
      </c>
      <c r="UMH133" s="531" t="e">
        <f t="shared" si="488"/>
        <v>#DIV/0!</v>
      </c>
      <c r="UMI133" s="531" t="e">
        <f t="shared" si="488"/>
        <v>#DIV/0!</v>
      </c>
      <c r="UMJ133" s="531" t="e">
        <f t="shared" si="488"/>
        <v>#DIV/0!</v>
      </c>
      <c r="UMK133" s="531" t="e">
        <f t="shared" si="488"/>
        <v>#DIV/0!</v>
      </c>
      <c r="UML133" s="531" t="e">
        <f t="shared" si="488"/>
        <v>#DIV/0!</v>
      </c>
      <c r="UMM133" s="531" t="e">
        <f t="shared" si="488"/>
        <v>#DIV/0!</v>
      </c>
      <c r="UMN133" s="531" t="e">
        <f t="shared" si="488"/>
        <v>#DIV/0!</v>
      </c>
      <c r="UMO133" s="531" t="e">
        <f t="shared" si="488"/>
        <v>#DIV/0!</v>
      </c>
      <c r="UMP133" s="531" t="e">
        <f t="shared" si="488"/>
        <v>#DIV/0!</v>
      </c>
      <c r="UMQ133" s="531" t="e">
        <f t="shared" si="488"/>
        <v>#DIV/0!</v>
      </c>
      <c r="UMR133" s="531" t="e">
        <f t="shared" si="488"/>
        <v>#DIV/0!</v>
      </c>
      <c r="UMS133" s="531" t="e">
        <f t="shared" si="488"/>
        <v>#DIV/0!</v>
      </c>
      <c r="UMT133" s="531" t="e">
        <f t="shared" si="488"/>
        <v>#DIV/0!</v>
      </c>
      <c r="UMU133" s="531" t="e">
        <f t="shared" si="488"/>
        <v>#DIV/0!</v>
      </c>
      <c r="UMV133" s="531" t="e">
        <f t="shared" si="488"/>
        <v>#DIV/0!</v>
      </c>
      <c r="UMW133" s="531" t="e">
        <f t="shared" si="488"/>
        <v>#DIV/0!</v>
      </c>
      <c r="UMX133" s="531" t="e">
        <f t="shared" si="488"/>
        <v>#DIV/0!</v>
      </c>
      <c r="UMY133" s="531" t="e">
        <f t="shared" si="488"/>
        <v>#DIV/0!</v>
      </c>
      <c r="UMZ133" s="531" t="e">
        <f t="shared" si="488"/>
        <v>#DIV/0!</v>
      </c>
      <c r="UNA133" s="531" t="e">
        <f t="shared" si="488"/>
        <v>#DIV/0!</v>
      </c>
      <c r="UNB133" s="531" t="e">
        <f t="shared" si="488"/>
        <v>#DIV/0!</v>
      </c>
      <c r="UNC133" s="531" t="e">
        <f t="shared" si="488"/>
        <v>#DIV/0!</v>
      </c>
      <c r="UND133" s="531" t="e">
        <f t="shared" si="488"/>
        <v>#DIV/0!</v>
      </c>
      <c r="UNE133" s="531" t="e">
        <f t="shared" si="488"/>
        <v>#DIV/0!</v>
      </c>
      <c r="UNF133" s="531" t="e">
        <f t="shared" si="488"/>
        <v>#DIV/0!</v>
      </c>
      <c r="UNG133" s="531" t="e">
        <f t="shared" si="488"/>
        <v>#DIV/0!</v>
      </c>
      <c r="UNH133" s="531" t="e">
        <f t="shared" si="488"/>
        <v>#DIV/0!</v>
      </c>
      <c r="UNI133" s="531" t="e">
        <f t="shared" si="488"/>
        <v>#DIV/0!</v>
      </c>
      <c r="UNJ133" s="531" t="e">
        <f t="shared" si="488"/>
        <v>#DIV/0!</v>
      </c>
      <c r="UNK133" s="531" t="e">
        <f t="shared" si="488"/>
        <v>#DIV/0!</v>
      </c>
      <c r="UNL133" s="531" t="e">
        <f t="shared" si="488"/>
        <v>#DIV/0!</v>
      </c>
      <c r="UNM133" s="531" t="e">
        <f t="shared" si="488"/>
        <v>#DIV/0!</v>
      </c>
      <c r="UNN133" s="531" t="e">
        <f t="shared" si="488"/>
        <v>#DIV/0!</v>
      </c>
      <c r="UNO133" s="531" t="e">
        <f t="shared" si="488"/>
        <v>#DIV/0!</v>
      </c>
      <c r="UNP133" s="531" t="e">
        <f t="shared" si="488"/>
        <v>#DIV/0!</v>
      </c>
      <c r="UNQ133" s="531" t="e">
        <f t="shared" si="488"/>
        <v>#DIV/0!</v>
      </c>
      <c r="UNR133" s="531" t="e">
        <f t="shared" si="488"/>
        <v>#DIV/0!</v>
      </c>
      <c r="UNS133" s="531" t="e">
        <f t="shared" si="488"/>
        <v>#DIV/0!</v>
      </c>
      <c r="UNT133" s="531" t="e">
        <f t="shared" si="488"/>
        <v>#DIV/0!</v>
      </c>
      <c r="UNU133" s="531" t="e">
        <f t="shared" si="488"/>
        <v>#DIV/0!</v>
      </c>
      <c r="UNV133" s="531" t="e">
        <f t="shared" si="488"/>
        <v>#DIV/0!</v>
      </c>
      <c r="UNW133" s="531" t="e">
        <f t="shared" si="488"/>
        <v>#DIV/0!</v>
      </c>
      <c r="UNX133" s="531" t="e">
        <f t="shared" si="488"/>
        <v>#DIV/0!</v>
      </c>
      <c r="UNY133" s="531" t="e">
        <f t="shared" si="488"/>
        <v>#DIV/0!</v>
      </c>
      <c r="UNZ133" s="531" t="e">
        <f t="shared" si="488"/>
        <v>#DIV/0!</v>
      </c>
      <c r="UOA133" s="531" t="e">
        <f t="shared" si="488"/>
        <v>#DIV/0!</v>
      </c>
      <c r="UOB133" s="531" t="e">
        <f t="shared" si="488"/>
        <v>#DIV/0!</v>
      </c>
      <c r="UOC133" s="531" t="e">
        <f t="shared" si="488"/>
        <v>#DIV/0!</v>
      </c>
      <c r="UOD133" s="531" t="e">
        <f t="shared" si="488"/>
        <v>#DIV/0!</v>
      </c>
      <c r="UOE133" s="531" t="e">
        <f t="shared" si="488"/>
        <v>#DIV/0!</v>
      </c>
      <c r="UOF133" s="531" t="e">
        <f t="shared" si="488"/>
        <v>#DIV/0!</v>
      </c>
      <c r="UOG133" s="531" t="e">
        <f t="shared" si="488"/>
        <v>#DIV/0!</v>
      </c>
      <c r="UOH133" s="531" t="e">
        <f t="shared" si="488"/>
        <v>#DIV/0!</v>
      </c>
      <c r="UOI133" s="531" t="e">
        <f t="shared" si="488"/>
        <v>#DIV/0!</v>
      </c>
      <c r="UOJ133" s="531" t="e">
        <f t="shared" si="488"/>
        <v>#DIV/0!</v>
      </c>
      <c r="UOK133" s="531" t="e">
        <f t="shared" si="488"/>
        <v>#DIV/0!</v>
      </c>
      <c r="UOL133" s="531" t="e">
        <f t="shared" si="488"/>
        <v>#DIV/0!</v>
      </c>
      <c r="UOM133" s="531" t="e">
        <f t="shared" ref="UOM133:UQX133" si="489">UOM116/(UOM52*10^5)</f>
        <v>#DIV/0!</v>
      </c>
      <c r="UON133" s="531" t="e">
        <f t="shared" si="489"/>
        <v>#DIV/0!</v>
      </c>
      <c r="UOO133" s="531" t="e">
        <f t="shared" si="489"/>
        <v>#DIV/0!</v>
      </c>
      <c r="UOP133" s="531" t="e">
        <f t="shared" si="489"/>
        <v>#DIV/0!</v>
      </c>
      <c r="UOQ133" s="531" t="e">
        <f t="shared" si="489"/>
        <v>#DIV/0!</v>
      </c>
      <c r="UOR133" s="531" t="e">
        <f t="shared" si="489"/>
        <v>#DIV/0!</v>
      </c>
      <c r="UOS133" s="531" t="e">
        <f t="shared" si="489"/>
        <v>#DIV/0!</v>
      </c>
      <c r="UOT133" s="531" t="e">
        <f t="shared" si="489"/>
        <v>#DIV/0!</v>
      </c>
      <c r="UOU133" s="531" t="e">
        <f t="shared" si="489"/>
        <v>#DIV/0!</v>
      </c>
      <c r="UOV133" s="531" t="e">
        <f t="shared" si="489"/>
        <v>#DIV/0!</v>
      </c>
      <c r="UOW133" s="531" t="e">
        <f t="shared" si="489"/>
        <v>#DIV/0!</v>
      </c>
      <c r="UOX133" s="531" t="e">
        <f t="shared" si="489"/>
        <v>#DIV/0!</v>
      </c>
      <c r="UOY133" s="531" t="e">
        <f t="shared" si="489"/>
        <v>#DIV/0!</v>
      </c>
      <c r="UOZ133" s="531" t="e">
        <f t="shared" si="489"/>
        <v>#DIV/0!</v>
      </c>
      <c r="UPA133" s="531" t="e">
        <f t="shared" si="489"/>
        <v>#DIV/0!</v>
      </c>
      <c r="UPB133" s="531" t="e">
        <f t="shared" si="489"/>
        <v>#DIV/0!</v>
      </c>
      <c r="UPC133" s="531" t="e">
        <f t="shared" si="489"/>
        <v>#DIV/0!</v>
      </c>
      <c r="UPD133" s="531" t="e">
        <f t="shared" si="489"/>
        <v>#DIV/0!</v>
      </c>
      <c r="UPE133" s="531" t="e">
        <f t="shared" si="489"/>
        <v>#DIV/0!</v>
      </c>
      <c r="UPF133" s="531" t="e">
        <f t="shared" si="489"/>
        <v>#DIV/0!</v>
      </c>
      <c r="UPG133" s="531" t="e">
        <f t="shared" si="489"/>
        <v>#DIV/0!</v>
      </c>
      <c r="UPH133" s="531" t="e">
        <f t="shared" si="489"/>
        <v>#DIV/0!</v>
      </c>
      <c r="UPI133" s="531" t="e">
        <f t="shared" si="489"/>
        <v>#DIV/0!</v>
      </c>
      <c r="UPJ133" s="531" t="e">
        <f t="shared" si="489"/>
        <v>#DIV/0!</v>
      </c>
      <c r="UPK133" s="531" t="e">
        <f t="shared" si="489"/>
        <v>#DIV/0!</v>
      </c>
      <c r="UPL133" s="531" t="e">
        <f t="shared" si="489"/>
        <v>#DIV/0!</v>
      </c>
      <c r="UPM133" s="531" t="e">
        <f t="shared" si="489"/>
        <v>#DIV/0!</v>
      </c>
      <c r="UPN133" s="531" t="e">
        <f t="shared" si="489"/>
        <v>#DIV/0!</v>
      </c>
      <c r="UPO133" s="531" t="e">
        <f t="shared" si="489"/>
        <v>#DIV/0!</v>
      </c>
      <c r="UPP133" s="531" t="e">
        <f t="shared" si="489"/>
        <v>#DIV/0!</v>
      </c>
      <c r="UPQ133" s="531" t="e">
        <f t="shared" si="489"/>
        <v>#DIV/0!</v>
      </c>
      <c r="UPR133" s="531" t="e">
        <f t="shared" si="489"/>
        <v>#DIV/0!</v>
      </c>
      <c r="UPS133" s="531" t="e">
        <f t="shared" si="489"/>
        <v>#DIV/0!</v>
      </c>
      <c r="UPT133" s="531" t="e">
        <f t="shared" si="489"/>
        <v>#DIV/0!</v>
      </c>
      <c r="UPU133" s="531" t="e">
        <f t="shared" si="489"/>
        <v>#DIV/0!</v>
      </c>
      <c r="UPV133" s="531" t="e">
        <f t="shared" si="489"/>
        <v>#DIV/0!</v>
      </c>
      <c r="UPW133" s="531" t="e">
        <f t="shared" si="489"/>
        <v>#DIV/0!</v>
      </c>
      <c r="UPX133" s="531" t="e">
        <f t="shared" si="489"/>
        <v>#DIV/0!</v>
      </c>
      <c r="UPY133" s="531" t="e">
        <f t="shared" si="489"/>
        <v>#DIV/0!</v>
      </c>
      <c r="UPZ133" s="531" t="e">
        <f t="shared" si="489"/>
        <v>#DIV/0!</v>
      </c>
      <c r="UQA133" s="531" t="e">
        <f t="shared" si="489"/>
        <v>#DIV/0!</v>
      </c>
      <c r="UQB133" s="531" t="e">
        <f t="shared" si="489"/>
        <v>#DIV/0!</v>
      </c>
      <c r="UQC133" s="531" t="e">
        <f t="shared" si="489"/>
        <v>#DIV/0!</v>
      </c>
      <c r="UQD133" s="531" t="e">
        <f t="shared" si="489"/>
        <v>#DIV/0!</v>
      </c>
      <c r="UQE133" s="531" t="e">
        <f t="shared" si="489"/>
        <v>#DIV/0!</v>
      </c>
      <c r="UQF133" s="531" t="e">
        <f t="shared" si="489"/>
        <v>#DIV/0!</v>
      </c>
      <c r="UQG133" s="531" t="e">
        <f t="shared" si="489"/>
        <v>#DIV/0!</v>
      </c>
      <c r="UQH133" s="531" t="e">
        <f t="shared" si="489"/>
        <v>#DIV/0!</v>
      </c>
      <c r="UQI133" s="531" t="e">
        <f t="shared" si="489"/>
        <v>#DIV/0!</v>
      </c>
      <c r="UQJ133" s="531" t="e">
        <f t="shared" si="489"/>
        <v>#DIV/0!</v>
      </c>
      <c r="UQK133" s="531" t="e">
        <f t="shared" si="489"/>
        <v>#DIV/0!</v>
      </c>
      <c r="UQL133" s="531" t="e">
        <f t="shared" si="489"/>
        <v>#DIV/0!</v>
      </c>
      <c r="UQM133" s="531" t="e">
        <f t="shared" si="489"/>
        <v>#DIV/0!</v>
      </c>
      <c r="UQN133" s="531" t="e">
        <f t="shared" si="489"/>
        <v>#DIV/0!</v>
      </c>
      <c r="UQO133" s="531" t="e">
        <f t="shared" si="489"/>
        <v>#DIV/0!</v>
      </c>
      <c r="UQP133" s="531" t="e">
        <f t="shared" si="489"/>
        <v>#DIV/0!</v>
      </c>
      <c r="UQQ133" s="531" t="e">
        <f t="shared" si="489"/>
        <v>#DIV/0!</v>
      </c>
      <c r="UQR133" s="531" t="e">
        <f t="shared" si="489"/>
        <v>#DIV/0!</v>
      </c>
      <c r="UQS133" s="531" t="e">
        <f t="shared" si="489"/>
        <v>#DIV/0!</v>
      </c>
      <c r="UQT133" s="531" t="e">
        <f t="shared" si="489"/>
        <v>#DIV/0!</v>
      </c>
      <c r="UQU133" s="531" t="e">
        <f t="shared" si="489"/>
        <v>#DIV/0!</v>
      </c>
      <c r="UQV133" s="531" t="e">
        <f t="shared" si="489"/>
        <v>#DIV/0!</v>
      </c>
      <c r="UQW133" s="531" t="e">
        <f t="shared" si="489"/>
        <v>#DIV/0!</v>
      </c>
      <c r="UQX133" s="531" t="e">
        <f t="shared" si="489"/>
        <v>#DIV/0!</v>
      </c>
      <c r="UQY133" s="531" t="e">
        <f t="shared" ref="UQY133:UTJ133" si="490">UQY116/(UQY52*10^5)</f>
        <v>#DIV/0!</v>
      </c>
      <c r="UQZ133" s="531" t="e">
        <f t="shared" si="490"/>
        <v>#DIV/0!</v>
      </c>
      <c r="URA133" s="531" t="e">
        <f t="shared" si="490"/>
        <v>#DIV/0!</v>
      </c>
      <c r="URB133" s="531" t="e">
        <f t="shared" si="490"/>
        <v>#DIV/0!</v>
      </c>
      <c r="URC133" s="531" t="e">
        <f t="shared" si="490"/>
        <v>#DIV/0!</v>
      </c>
      <c r="URD133" s="531" t="e">
        <f t="shared" si="490"/>
        <v>#DIV/0!</v>
      </c>
      <c r="URE133" s="531" t="e">
        <f t="shared" si="490"/>
        <v>#DIV/0!</v>
      </c>
      <c r="URF133" s="531" t="e">
        <f t="shared" si="490"/>
        <v>#DIV/0!</v>
      </c>
      <c r="URG133" s="531" t="e">
        <f t="shared" si="490"/>
        <v>#DIV/0!</v>
      </c>
      <c r="URH133" s="531" t="e">
        <f t="shared" si="490"/>
        <v>#DIV/0!</v>
      </c>
      <c r="URI133" s="531" t="e">
        <f t="shared" si="490"/>
        <v>#DIV/0!</v>
      </c>
      <c r="URJ133" s="531" t="e">
        <f t="shared" si="490"/>
        <v>#DIV/0!</v>
      </c>
      <c r="URK133" s="531" t="e">
        <f t="shared" si="490"/>
        <v>#DIV/0!</v>
      </c>
      <c r="URL133" s="531" t="e">
        <f t="shared" si="490"/>
        <v>#DIV/0!</v>
      </c>
      <c r="URM133" s="531" t="e">
        <f t="shared" si="490"/>
        <v>#DIV/0!</v>
      </c>
      <c r="URN133" s="531" t="e">
        <f t="shared" si="490"/>
        <v>#DIV/0!</v>
      </c>
      <c r="URO133" s="531" t="e">
        <f t="shared" si="490"/>
        <v>#DIV/0!</v>
      </c>
      <c r="URP133" s="531" t="e">
        <f t="shared" si="490"/>
        <v>#DIV/0!</v>
      </c>
      <c r="URQ133" s="531" t="e">
        <f t="shared" si="490"/>
        <v>#DIV/0!</v>
      </c>
      <c r="URR133" s="531" t="e">
        <f t="shared" si="490"/>
        <v>#DIV/0!</v>
      </c>
      <c r="URS133" s="531" t="e">
        <f t="shared" si="490"/>
        <v>#DIV/0!</v>
      </c>
      <c r="URT133" s="531" t="e">
        <f t="shared" si="490"/>
        <v>#DIV/0!</v>
      </c>
      <c r="URU133" s="531" t="e">
        <f t="shared" si="490"/>
        <v>#DIV/0!</v>
      </c>
      <c r="URV133" s="531" t="e">
        <f t="shared" si="490"/>
        <v>#DIV/0!</v>
      </c>
      <c r="URW133" s="531" t="e">
        <f t="shared" si="490"/>
        <v>#DIV/0!</v>
      </c>
      <c r="URX133" s="531" t="e">
        <f t="shared" si="490"/>
        <v>#DIV/0!</v>
      </c>
      <c r="URY133" s="531" t="e">
        <f t="shared" si="490"/>
        <v>#DIV/0!</v>
      </c>
      <c r="URZ133" s="531" t="e">
        <f t="shared" si="490"/>
        <v>#DIV/0!</v>
      </c>
      <c r="USA133" s="531" t="e">
        <f t="shared" si="490"/>
        <v>#DIV/0!</v>
      </c>
      <c r="USB133" s="531" t="e">
        <f t="shared" si="490"/>
        <v>#DIV/0!</v>
      </c>
      <c r="USC133" s="531" t="e">
        <f t="shared" si="490"/>
        <v>#DIV/0!</v>
      </c>
      <c r="USD133" s="531" t="e">
        <f t="shared" si="490"/>
        <v>#DIV/0!</v>
      </c>
      <c r="USE133" s="531" t="e">
        <f t="shared" si="490"/>
        <v>#DIV/0!</v>
      </c>
      <c r="USF133" s="531" t="e">
        <f t="shared" si="490"/>
        <v>#DIV/0!</v>
      </c>
      <c r="USG133" s="531" t="e">
        <f t="shared" si="490"/>
        <v>#DIV/0!</v>
      </c>
      <c r="USH133" s="531" t="e">
        <f t="shared" si="490"/>
        <v>#DIV/0!</v>
      </c>
      <c r="USI133" s="531" t="e">
        <f t="shared" si="490"/>
        <v>#DIV/0!</v>
      </c>
      <c r="USJ133" s="531" t="e">
        <f t="shared" si="490"/>
        <v>#DIV/0!</v>
      </c>
      <c r="USK133" s="531" t="e">
        <f t="shared" si="490"/>
        <v>#DIV/0!</v>
      </c>
      <c r="USL133" s="531" t="e">
        <f t="shared" si="490"/>
        <v>#DIV/0!</v>
      </c>
      <c r="USM133" s="531" t="e">
        <f t="shared" si="490"/>
        <v>#DIV/0!</v>
      </c>
      <c r="USN133" s="531" t="e">
        <f t="shared" si="490"/>
        <v>#DIV/0!</v>
      </c>
      <c r="USO133" s="531" t="e">
        <f t="shared" si="490"/>
        <v>#DIV/0!</v>
      </c>
      <c r="USP133" s="531" t="e">
        <f t="shared" si="490"/>
        <v>#DIV/0!</v>
      </c>
      <c r="USQ133" s="531" t="e">
        <f t="shared" si="490"/>
        <v>#DIV/0!</v>
      </c>
      <c r="USR133" s="531" t="e">
        <f t="shared" si="490"/>
        <v>#DIV/0!</v>
      </c>
      <c r="USS133" s="531" t="e">
        <f t="shared" si="490"/>
        <v>#DIV/0!</v>
      </c>
      <c r="UST133" s="531" t="e">
        <f t="shared" si="490"/>
        <v>#DIV/0!</v>
      </c>
      <c r="USU133" s="531" t="e">
        <f t="shared" si="490"/>
        <v>#DIV/0!</v>
      </c>
      <c r="USV133" s="531" t="e">
        <f t="shared" si="490"/>
        <v>#DIV/0!</v>
      </c>
      <c r="USW133" s="531" t="e">
        <f t="shared" si="490"/>
        <v>#DIV/0!</v>
      </c>
      <c r="USX133" s="531" t="e">
        <f t="shared" si="490"/>
        <v>#DIV/0!</v>
      </c>
      <c r="USY133" s="531" t="e">
        <f t="shared" si="490"/>
        <v>#DIV/0!</v>
      </c>
      <c r="USZ133" s="531" t="e">
        <f t="shared" si="490"/>
        <v>#DIV/0!</v>
      </c>
      <c r="UTA133" s="531" t="e">
        <f t="shared" si="490"/>
        <v>#DIV/0!</v>
      </c>
      <c r="UTB133" s="531" t="e">
        <f t="shared" si="490"/>
        <v>#DIV/0!</v>
      </c>
      <c r="UTC133" s="531" t="e">
        <f t="shared" si="490"/>
        <v>#DIV/0!</v>
      </c>
      <c r="UTD133" s="531" t="e">
        <f t="shared" si="490"/>
        <v>#DIV/0!</v>
      </c>
      <c r="UTE133" s="531" t="e">
        <f t="shared" si="490"/>
        <v>#DIV/0!</v>
      </c>
      <c r="UTF133" s="531" t="e">
        <f t="shared" si="490"/>
        <v>#DIV/0!</v>
      </c>
      <c r="UTG133" s="531" t="e">
        <f t="shared" si="490"/>
        <v>#DIV/0!</v>
      </c>
      <c r="UTH133" s="531" t="e">
        <f t="shared" si="490"/>
        <v>#DIV/0!</v>
      </c>
      <c r="UTI133" s="531" t="e">
        <f t="shared" si="490"/>
        <v>#DIV/0!</v>
      </c>
      <c r="UTJ133" s="531" t="e">
        <f t="shared" si="490"/>
        <v>#DIV/0!</v>
      </c>
      <c r="UTK133" s="531" t="e">
        <f t="shared" ref="UTK133:UVV133" si="491">UTK116/(UTK52*10^5)</f>
        <v>#DIV/0!</v>
      </c>
      <c r="UTL133" s="531" t="e">
        <f t="shared" si="491"/>
        <v>#DIV/0!</v>
      </c>
      <c r="UTM133" s="531" t="e">
        <f t="shared" si="491"/>
        <v>#DIV/0!</v>
      </c>
      <c r="UTN133" s="531" t="e">
        <f t="shared" si="491"/>
        <v>#DIV/0!</v>
      </c>
      <c r="UTO133" s="531" t="e">
        <f t="shared" si="491"/>
        <v>#DIV/0!</v>
      </c>
      <c r="UTP133" s="531" t="e">
        <f t="shared" si="491"/>
        <v>#DIV/0!</v>
      </c>
      <c r="UTQ133" s="531" t="e">
        <f t="shared" si="491"/>
        <v>#DIV/0!</v>
      </c>
      <c r="UTR133" s="531" t="e">
        <f t="shared" si="491"/>
        <v>#DIV/0!</v>
      </c>
      <c r="UTS133" s="531" t="e">
        <f t="shared" si="491"/>
        <v>#DIV/0!</v>
      </c>
      <c r="UTT133" s="531" t="e">
        <f t="shared" si="491"/>
        <v>#DIV/0!</v>
      </c>
      <c r="UTU133" s="531" t="e">
        <f t="shared" si="491"/>
        <v>#DIV/0!</v>
      </c>
      <c r="UTV133" s="531" t="e">
        <f t="shared" si="491"/>
        <v>#DIV/0!</v>
      </c>
      <c r="UTW133" s="531" t="e">
        <f t="shared" si="491"/>
        <v>#DIV/0!</v>
      </c>
      <c r="UTX133" s="531" t="e">
        <f t="shared" si="491"/>
        <v>#DIV/0!</v>
      </c>
      <c r="UTY133" s="531" t="e">
        <f t="shared" si="491"/>
        <v>#DIV/0!</v>
      </c>
      <c r="UTZ133" s="531" t="e">
        <f t="shared" si="491"/>
        <v>#DIV/0!</v>
      </c>
      <c r="UUA133" s="531" t="e">
        <f t="shared" si="491"/>
        <v>#DIV/0!</v>
      </c>
      <c r="UUB133" s="531" t="e">
        <f t="shared" si="491"/>
        <v>#DIV/0!</v>
      </c>
      <c r="UUC133" s="531" t="e">
        <f t="shared" si="491"/>
        <v>#DIV/0!</v>
      </c>
      <c r="UUD133" s="531" t="e">
        <f t="shared" si="491"/>
        <v>#DIV/0!</v>
      </c>
      <c r="UUE133" s="531" t="e">
        <f t="shared" si="491"/>
        <v>#DIV/0!</v>
      </c>
      <c r="UUF133" s="531" t="e">
        <f t="shared" si="491"/>
        <v>#DIV/0!</v>
      </c>
      <c r="UUG133" s="531" t="e">
        <f t="shared" si="491"/>
        <v>#DIV/0!</v>
      </c>
      <c r="UUH133" s="531" t="e">
        <f t="shared" si="491"/>
        <v>#DIV/0!</v>
      </c>
      <c r="UUI133" s="531" t="e">
        <f t="shared" si="491"/>
        <v>#DIV/0!</v>
      </c>
      <c r="UUJ133" s="531" t="e">
        <f t="shared" si="491"/>
        <v>#DIV/0!</v>
      </c>
      <c r="UUK133" s="531" t="e">
        <f t="shared" si="491"/>
        <v>#DIV/0!</v>
      </c>
      <c r="UUL133" s="531" t="e">
        <f t="shared" si="491"/>
        <v>#DIV/0!</v>
      </c>
      <c r="UUM133" s="531" t="e">
        <f t="shared" si="491"/>
        <v>#DIV/0!</v>
      </c>
      <c r="UUN133" s="531" t="e">
        <f t="shared" si="491"/>
        <v>#DIV/0!</v>
      </c>
      <c r="UUO133" s="531" t="e">
        <f t="shared" si="491"/>
        <v>#DIV/0!</v>
      </c>
      <c r="UUP133" s="531" t="e">
        <f t="shared" si="491"/>
        <v>#DIV/0!</v>
      </c>
      <c r="UUQ133" s="531" t="e">
        <f t="shared" si="491"/>
        <v>#DIV/0!</v>
      </c>
      <c r="UUR133" s="531" t="e">
        <f t="shared" si="491"/>
        <v>#DIV/0!</v>
      </c>
      <c r="UUS133" s="531" t="e">
        <f t="shared" si="491"/>
        <v>#DIV/0!</v>
      </c>
      <c r="UUT133" s="531" t="e">
        <f t="shared" si="491"/>
        <v>#DIV/0!</v>
      </c>
      <c r="UUU133" s="531" t="e">
        <f t="shared" si="491"/>
        <v>#DIV/0!</v>
      </c>
      <c r="UUV133" s="531" t="e">
        <f t="shared" si="491"/>
        <v>#DIV/0!</v>
      </c>
      <c r="UUW133" s="531" t="e">
        <f t="shared" si="491"/>
        <v>#DIV/0!</v>
      </c>
      <c r="UUX133" s="531" t="e">
        <f t="shared" si="491"/>
        <v>#DIV/0!</v>
      </c>
      <c r="UUY133" s="531" t="e">
        <f t="shared" si="491"/>
        <v>#DIV/0!</v>
      </c>
      <c r="UUZ133" s="531" t="e">
        <f t="shared" si="491"/>
        <v>#DIV/0!</v>
      </c>
      <c r="UVA133" s="531" t="e">
        <f t="shared" si="491"/>
        <v>#DIV/0!</v>
      </c>
      <c r="UVB133" s="531" t="e">
        <f t="shared" si="491"/>
        <v>#DIV/0!</v>
      </c>
      <c r="UVC133" s="531" t="e">
        <f t="shared" si="491"/>
        <v>#DIV/0!</v>
      </c>
      <c r="UVD133" s="531" t="e">
        <f t="shared" si="491"/>
        <v>#DIV/0!</v>
      </c>
      <c r="UVE133" s="531" t="e">
        <f t="shared" si="491"/>
        <v>#DIV/0!</v>
      </c>
      <c r="UVF133" s="531" t="e">
        <f t="shared" si="491"/>
        <v>#DIV/0!</v>
      </c>
      <c r="UVG133" s="531" t="e">
        <f t="shared" si="491"/>
        <v>#DIV/0!</v>
      </c>
      <c r="UVH133" s="531" t="e">
        <f t="shared" si="491"/>
        <v>#DIV/0!</v>
      </c>
      <c r="UVI133" s="531" t="e">
        <f t="shared" si="491"/>
        <v>#DIV/0!</v>
      </c>
      <c r="UVJ133" s="531" t="e">
        <f t="shared" si="491"/>
        <v>#DIV/0!</v>
      </c>
      <c r="UVK133" s="531" t="e">
        <f t="shared" si="491"/>
        <v>#DIV/0!</v>
      </c>
      <c r="UVL133" s="531" t="e">
        <f t="shared" si="491"/>
        <v>#DIV/0!</v>
      </c>
      <c r="UVM133" s="531" t="e">
        <f t="shared" si="491"/>
        <v>#DIV/0!</v>
      </c>
      <c r="UVN133" s="531" t="e">
        <f t="shared" si="491"/>
        <v>#DIV/0!</v>
      </c>
      <c r="UVO133" s="531" t="e">
        <f t="shared" si="491"/>
        <v>#DIV/0!</v>
      </c>
      <c r="UVP133" s="531" t="e">
        <f t="shared" si="491"/>
        <v>#DIV/0!</v>
      </c>
      <c r="UVQ133" s="531" t="e">
        <f t="shared" si="491"/>
        <v>#DIV/0!</v>
      </c>
      <c r="UVR133" s="531" t="e">
        <f t="shared" si="491"/>
        <v>#DIV/0!</v>
      </c>
      <c r="UVS133" s="531" t="e">
        <f t="shared" si="491"/>
        <v>#DIV/0!</v>
      </c>
      <c r="UVT133" s="531" t="e">
        <f t="shared" si="491"/>
        <v>#DIV/0!</v>
      </c>
      <c r="UVU133" s="531" t="e">
        <f t="shared" si="491"/>
        <v>#DIV/0!</v>
      </c>
      <c r="UVV133" s="531" t="e">
        <f t="shared" si="491"/>
        <v>#DIV/0!</v>
      </c>
      <c r="UVW133" s="531" t="e">
        <f t="shared" ref="UVW133:UYH133" si="492">UVW116/(UVW52*10^5)</f>
        <v>#DIV/0!</v>
      </c>
      <c r="UVX133" s="531" t="e">
        <f t="shared" si="492"/>
        <v>#DIV/0!</v>
      </c>
      <c r="UVY133" s="531" t="e">
        <f t="shared" si="492"/>
        <v>#DIV/0!</v>
      </c>
      <c r="UVZ133" s="531" t="e">
        <f t="shared" si="492"/>
        <v>#DIV/0!</v>
      </c>
      <c r="UWA133" s="531" t="e">
        <f t="shared" si="492"/>
        <v>#DIV/0!</v>
      </c>
      <c r="UWB133" s="531" t="e">
        <f t="shared" si="492"/>
        <v>#DIV/0!</v>
      </c>
      <c r="UWC133" s="531" t="e">
        <f t="shared" si="492"/>
        <v>#DIV/0!</v>
      </c>
      <c r="UWD133" s="531" t="e">
        <f t="shared" si="492"/>
        <v>#DIV/0!</v>
      </c>
      <c r="UWE133" s="531" t="e">
        <f t="shared" si="492"/>
        <v>#DIV/0!</v>
      </c>
      <c r="UWF133" s="531" t="e">
        <f t="shared" si="492"/>
        <v>#DIV/0!</v>
      </c>
      <c r="UWG133" s="531" t="e">
        <f t="shared" si="492"/>
        <v>#DIV/0!</v>
      </c>
      <c r="UWH133" s="531" t="e">
        <f t="shared" si="492"/>
        <v>#DIV/0!</v>
      </c>
      <c r="UWI133" s="531" t="e">
        <f t="shared" si="492"/>
        <v>#DIV/0!</v>
      </c>
      <c r="UWJ133" s="531" t="e">
        <f t="shared" si="492"/>
        <v>#DIV/0!</v>
      </c>
      <c r="UWK133" s="531" t="e">
        <f t="shared" si="492"/>
        <v>#DIV/0!</v>
      </c>
      <c r="UWL133" s="531" t="e">
        <f t="shared" si="492"/>
        <v>#DIV/0!</v>
      </c>
      <c r="UWM133" s="531" t="e">
        <f t="shared" si="492"/>
        <v>#DIV/0!</v>
      </c>
      <c r="UWN133" s="531" t="e">
        <f t="shared" si="492"/>
        <v>#DIV/0!</v>
      </c>
      <c r="UWO133" s="531" t="e">
        <f t="shared" si="492"/>
        <v>#DIV/0!</v>
      </c>
      <c r="UWP133" s="531" t="e">
        <f t="shared" si="492"/>
        <v>#DIV/0!</v>
      </c>
      <c r="UWQ133" s="531" t="e">
        <f t="shared" si="492"/>
        <v>#DIV/0!</v>
      </c>
      <c r="UWR133" s="531" t="e">
        <f t="shared" si="492"/>
        <v>#DIV/0!</v>
      </c>
      <c r="UWS133" s="531" t="e">
        <f t="shared" si="492"/>
        <v>#DIV/0!</v>
      </c>
      <c r="UWT133" s="531" t="e">
        <f t="shared" si="492"/>
        <v>#DIV/0!</v>
      </c>
      <c r="UWU133" s="531" t="e">
        <f t="shared" si="492"/>
        <v>#DIV/0!</v>
      </c>
      <c r="UWV133" s="531" t="e">
        <f t="shared" si="492"/>
        <v>#DIV/0!</v>
      </c>
      <c r="UWW133" s="531" t="e">
        <f t="shared" si="492"/>
        <v>#DIV/0!</v>
      </c>
      <c r="UWX133" s="531" t="e">
        <f t="shared" si="492"/>
        <v>#DIV/0!</v>
      </c>
      <c r="UWY133" s="531" t="e">
        <f t="shared" si="492"/>
        <v>#DIV/0!</v>
      </c>
      <c r="UWZ133" s="531" t="e">
        <f t="shared" si="492"/>
        <v>#DIV/0!</v>
      </c>
      <c r="UXA133" s="531" t="e">
        <f t="shared" si="492"/>
        <v>#DIV/0!</v>
      </c>
      <c r="UXB133" s="531" t="e">
        <f t="shared" si="492"/>
        <v>#DIV/0!</v>
      </c>
      <c r="UXC133" s="531" t="e">
        <f t="shared" si="492"/>
        <v>#DIV/0!</v>
      </c>
      <c r="UXD133" s="531" t="e">
        <f t="shared" si="492"/>
        <v>#DIV/0!</v>
      </c>
      <c r="UXE133" s="531" t="e">
        <f t="shared" si="492"/>
        <v>#DIV/0!</v>
      </c>
      <c r="UXF133" s="531" t="e">
        <f t="shared" si="492"/>
        <v>#DIV/0!</v>
      </c>
      <c r="UXG133" s="531" t="e">
        <f t="shared" si="492"/>
        <v>#DIV/0!</v>
      </c>
      <c r="UXH133" s="531" t="e">
        <f t="shared" si="492"/>
        <v>#DIV/0!</v>
      </c>
      <c r="UXI133" s="531" t="e">
        <f t="shared" si="492"/>
        <v>#DIV/0!</v>
      </c>
      <c r="UXJ133" s="531" t="e">
        <f t="shared" si="492"/>
        <v>#DIV/0!</v>
      </c>
      <c r="UXK133" s="531" t="e">
        <f t="shared" si="492"/>
        <v>#DIV/0!</v>
      </c>
      <c r="UXL133" s="531" t="e">
        <f t="shared" si="492"/>
        <v>#DIV/0!</v>
      </c>
      <c r="UXM133" s="531" t="e">
        <f t="shared" si="492"/>
        <v>#DIV/0!</v>
      </c>
      <c r="UXN133" s="531" t="e">
        <f t="shared" si="492"/>
        <v>#DIV/0!</v>
      </c>
      <c r="UXO133" s="531" t="e">
        <f t="shared" si="492"/>
        <v>#DIV/0!</v>
      </c>
      <c r="UXP133" s="531" t="e">
        <f t="shared" si="492"/>
        <v>#DIV/0!</v>
      </c>
      <c r="UXQ133" s="531" t="e">
        <f t="shared" si="492"/>
        <v>#DIV/0!</v>
      </c>
      <c r="UXR133" s="531" t="e">
        <f t="shared" si="492"/>
        <v>#DIV/0!</v>
      </c>
      <c r="UXS133" s="531" t="e">
        <f t="shared" si="492"/>
        <v>#DIV/0!</v>
      </c>
      <c r="UXT133" s="531" t="e">
        <f t="shared" si="492"/>
        <v>#DIV/0!</v>
      </c>
      <c r="UXU133" s="531" t="e">
        <f t="shared" si="492"/>
        <v>#DIV/0!</v>
      </c>
      <c r="UXV133" s="531" t="e">
        <f t="shared" si="492"/>
        <v>#DIV/0!</v>
      </c>
      <c r="UXW133" s="531" t="e">
        <f t="shared" si="492"/>
        <v>#DIV/0!</v>
      </c>
      <c r="UXX133" s="531" t="e">
        <f t="shared" si="492"/>
        <v>#DIV/0!</v>
      </c>
      <c r="UXY133" s="531" t="e">
        <f t="shared" si="492"/>
        <v>#DIV/0!</v>
      </c>
      <c r="UXZ133" s="531" t="e">
        <f t="shared" si="492"/>
        <v>#DIV/0!</v>
      </c>
      <c r="UYA133" s="531" t="e">
        <f t="shared" si="492"/>
        <v>#DIV/0!</v>
      </c>
      <c r="UYB133" s="531" t="e">
        <f t="shared" si="492"/>
        <v>#DIV/0!</v>
      </c>
      <c r="UYC133" s="531" t="e">
        <f t="shared" si="492"/>
        <v>#DIV/0!</v>
      </c>
      <c r="UYD133" s="531" t="e">
        <f t="shared" si="492"/>
        <v>#DIV/0!</v>
      </c>
      <c r="UYE133" s="531" t="e">
        <f t="shared" si="492"/>
        <v>#DIV/0!</v>
      </c>
      <c r="UYF133" s="531" t="e">
        <f t="shared" si="492"/>
        <v>#DIV/0!</v>
      </c>
      <c r="UYG133" s="531" t="e">
        <f t="shared" si="492"/>
        <v>#DIV/0!</v>
      </c>
      <c r="UYH133" s="531" t="e">
        <f t="shared" si="492"/>
        <v>#DIV/0!</v>
      </c>
      <c r="UYI133" s="531" t="e">
        <f t="shared" ref="UYI133:VAT133" si="493">UYI116/(UYI52*10^5)</f>
        <v>#DIV/0!</v>
      </c>
      <c r="UYJ133" s="531" t="e">
        <f t="shared" si="493"/>
        <v>#DIV/0!</v>
      </c>
      <c r="UYK133" s="531" t="e">
        <f t="shared" si="493"/>
        <v>#DIV/0!</v>
      </c>
      <c r="UYL133" s="531" t="e">
        <f t="shared" si="493"/>
        <v>#DIV/0!</v>
      </c>
      <c r="UYM133" s="531" t="e">
        <f t="shared" si="493"/>
        <v>#DIV/0!</v>
      </c>
      <c r="UYN133" s="531" t="e">
        <f t="shared" si="493"/>
        <v>#DIV/0!</v>
      </c>
      <c r="UYO133" s="531" t="e">
        <f t="shared" si="493"/>
        <v>#DIV/0!</v>
      </c>
      <c r="UYP133" s="531" t="e">
        <f t="shared" si="493"/>
        <v>#DIV/0!</v>
      </c>
      <c r="UYQ133" s="531" t="e">
        <f t="shared" si="493"/>
        <v>#DIV/0!</v>
      </c>
      <c r="UYR133" s="531" t="e">
        <f t="shared" si="493"/>
        <v>#DIV/0!</v>
      </c>
      <c r="UYS133" s="531" t="e">
        <f t="shared" si="493"/>
        <v>#DIV/0!</v>
      </c>
      <c r="UYT133" s="531" t="e">
        <f t="shared" si="493"/>
        <v>#DIV/0!</v>
      </c>
      <c r="UYU133" s="531" t="e">
        <f t="shared" si="493"/>
        <v>#DIV/0!</v>
      </c>
      <c r="UYV133" s="531" t="e">
        <f t="shared" si="493"/>
        <v>#DIV/0!</v>
      </c>
      <c r="UYW133" s="531" t="e">
        <f t="shared" si="493"/>
        <v>#DIV/0!</v>
      </c>
      <c r="UYX133" s="531" t="e">
        <f t="shared" si="493"/>
        <v>#DIV/0!</v>
      </c>
      <c r="UYY133" s="531" t="e">
        <f t="shared" si="493"/>
        <v>#DIV/0!</v>
      </c>
      <c r="UYZ133" s="531" t="e">
        <f t="shared" si="493"/>
        <v>#DIV/0!</v>
      </c>
      <c r="UZA133" s="531" t="e">
        <f t="shared" si="493"/>
        <v>#DIV/0!</v>
      </c>
      <c r="UZB133" s="531" t="e">
        <f t="shared" si="493"/>
        <v>#DIV/0!</v>
      </c>
      <c r="UZC133" s="531" t="e">
        <f t="shared" si="493"/>
        <v>#DIV/0!</v>
      </c>
      <c r="UZD133" s="531" t="e">
        <f t="shared" si="493"/>
        <v>#DIV/0!</v>
      </c>
      <c r="UZE133" s="531" t="e">
        <f t="shared" si="493"/>
        <v>#DIV/0!</v>
      </c>
      <c r="UZF133" s="531" t="e">
        <f t="shared" si="493"/>
        <v>#DIV/0!</v>
      </c>
      <c r="UZG133" s="531" t="e">
        <f t="shared" si="493"/>
        <v>#DIV/0!</v>
      </c>
      <c r="UZH133" s="531" t="e">
        <f t="shared" si="493"/>
        <v>#DIV/0!</v>
      </c>
      <c r="UZI133" s="531" t="e">
        <f t="shared" si="493"/>
        <v>#DIV/0!</v>
      </c>
      <c r="UZJ133" s="531" t="e">
        <f t="shared" si="493"/>
        <v>#DIV/0!</v>
      </c>
      <c r="UZK133" s="531" t="e">
        <f t="shared" si="493"/>
        <v>#DIV/0!</v>
      </c>
      <c r="UZL133" s="531" t="e">
        <f t="shared" si="493"/>
        <v>#DIV/0!</v>
      </c>
      <c r="UZM133" s="531" t="e">
        <f t="shared" si="493"/>
        <v>#DIV/0!</v>
      </c>
      <c r="UZN133" s="531" t="e">
        <f t="shared" si="493"/>
        <v>#DIV/0!</v>
      </c>
      <c r="UZO133" s="531" t="e">
        <f t="shared" si="493"/>
        <v>#DIV/0!</v>
      </c>
      <c r="UZP133" s="531" t="e">
        <f t="shared" si="493"/>
        <v>#DIV/0!</v>
      </c>
      <c r="UZQ133" s="531" t="e">
        <f t="shared" si="493"/>
        <v>#DIV/0!</v>
      </c>
      <c r="UZR133" s="531" t="e">
        <f t="shared" si="493"/>
        <v>#DIV/0!</v>
      </c>
      <c r="UZS133" s="531" t="e">
        <f t="shared" si="493"/>
        <v>#DIV/0!</v>
      </c>
      <c r="UZT133" s="531" t="e">
        <f t="shared" si="493"/>
        <v>#DIV/0!</v>
      </c>
      <c r="UZU133" s="531" t="e">
        <f t="shared" si="493"/>
        <v>#DIV/0!</v>
      </c>
      <c r="UZV133" s="531" t="e">
        <f t="shared" si="493"/>
        <v>#DIV/0!</v>
      </c>
      <c r="UZW133" s="531" t="e">
        <f t="shared" si="493"/>
        <v>#DIV/0!</v>
      </c>
      <c r="UZX133" s="531" t="e">
        <f t="shared" si="493"/>
        <v>#DIV/0!</v>
      </c>
      <c r="UZY133" s="531" t="e">
        <f t="shared" si="493"/>
        <v>#DIV/0!</v>
      </c>
      <c r="UZZ133" s="531" t="e">
        <f t="shared" si="493"/>
        <v>#DIV/0!</v>
      </c>
      <c r="VAA133" s="531" t="e">
        <f t="shared" si="493"/>
        <v>#DIV/0!</v>
      </c>
      <c r="VAB133" s="531" t="e">
        <f t="shared" si="493"/>
        <v>#DIV/0!</v>
      </c>
      <c r="VAC133" s="531" t="e">
        <f t="shared" si="493"/>
        <v>#DIV/0!</v>
      </c>
      <c r="VAD133" s="531" t="e">
        <f t="shared" si="493"/>
        <v>#DIV/0!</v>
      </c>
      <c r="VAE133" s="531" t="e">
        <f t="shared" si="493"/>
        <v>#DIV/0!</v>
      </c>
      <c r="VAF133" s="531" t="e">
        <f t="shared" si="493"/>
        <v>#DIV/0!</v>
      </c>
      <c r="VAG133" s="531" t="e">
        <f t="shared" si="493"/>
        <v>#DIV/0!</v>
      </c>
      <c r="VAH133" s="531" t="e">
        <f t="shared" si="493"/>
        <v>#DIV/0!</v>
      </c>
      <c r="VAI133" s="531" t="e">
        <f t="shared" si="493"/>
        <v>#DIV/0!</v>
      </c>
      <c r="VAJ133" s="531" t="e">
        <f t="shared" si="493"/>
        <v>#DIV/0!</v>
      </c>
      <c r="VAK133" s="531" t="e">
        <f t="shared" si="493"/>
        <v>#DIV/0!</v>
      </c>
      <c r="VAL133" s="531" t="e">
        <f t="shared" si="493"/>
        <v>#DIV/0!</v>
      </c>
      <c r="VAM133" s="531" t="e">
        <f t="shared" si="493"/>
        <v>#DIV/0!</v>
      </c>
      <c r="VAN133" s="531" t="e">
        <f t="shared" si="493"/>
        <v>#DIV/0!</v>
      </c>
      <c r="VAO133" s="531" t="e">
        <f t="shared" si="493"/>
        <v>#DIV/0!</v>
      </c>
      <c r="VAP133" s="531" t="e">
        <f t="shared" si="493"/>
        <v>#DIV/0!</v>
      </c>
      <c r="VAQ133" s="531" t="e">
        <f t="shared" si="493"/>
        <v>#DIV/0!</v>
      </c>
      <c r="VAR133" s="531" t="e">
        <f t="shared" si="493"/>
        <v>#DIV/0!</v>
      </c>
      <c r="VAS133" s="531" t="e">
        <f t="shared" si="493"/>
        <v>#DIV/0!</v>
      </c>
      <c r="VAT133" s="531" t="e">
        <f t="shared" si="493"/>
        <v>#DIV/0!</v>
      </c>
      <c r="VAU133" s="531" t="e">
        <f t="shared" ref="VAU133:VDF133" si="494">VAU116/(VAU52*10^5)</f>
        <v>#DIV/0!</v>
      </c>
      <c r="VAV133" s="531" t="e">
        <f t="shared" si="494"/>
        <v>#DIV/0!</v>
      </c>
      <c r="VAW133" s="531" t="e">
        <f t="shared" si="494"/>
        <v>#DIV/0!</v>
      </c>
      <c r="VAX133" s="531" t="e">
        <f t="shared" si="494"/>
        <v>#DIV/0!</v>
      </c>
      <c r="VAY133" s="531" t="e">
        <f t="shared" si="494"/>
        <v>#DIV/0!</v>
      </c>
      <c r="VAZ133" s="531" t="e">
        <f t="shared" si="494"/>
        <v>#DIV/0!</v>
      </c>
      <c r="VBA133" s="531" t="e">
        <f t="shared" si="494"/>
        <v>#DIV/0!</v>
      </c>
      <c r="VBB133" s="531" t="e">
        <f t="shared" si="494"/>
        <v>#DIV/0!</v>
      </c>
      <c r="VBC133" s="531" t="e">
        <f t="shared" si="494"/>
        <v>#DIV/0!</v>
      </c>
      <c r="VBD133" s="531" t="e">
        <f t="shared" si="494"/>
        <v>#DIV/0!</v>
      </c>
      <c r="VBE133" s="531" t="e">
        <f t="shared" si="494"/>
        <v>#DIV/0!</v>
      </c>
      <c r="VBF133" s="531" t="e">
        <f t="shared" si="494"/>
        <v>#DIV/0!</v>
      </c>
      <c r="VBG133" s="531" t="e">
        <f t="shared" si="494"/>
        <v>#DIV/0!</v>
      </c>
      <c r="VBH133" s="531" t="e">
        <f t="shared" si="494"/>
        <v>#DIV/0!</v>
      </c>
      <c r="VBI133" s="531" t="e">
        <f t="shared" si="494"/>
        <v>#DIV/0!</v>
      </c>
      <c r="VBJ133" s="531" t="e">
        <f t="shared" si="494"/>
        <v>#DIV/0!</v>
      </c>
      <c r="VBK133" s="531" t="e">
        <f t="shared" si="494"/>
        <v>#DIV/0!</v>
      </c>
      <c r="VBL133" s="531" t="e">
        <f t="shared" si="494"/>
        <v>#DIV/0!</v>
      </c>
      <c r="VBM133" s="531" t="e">
        <f t="shared" si="494"/>
        <v>#DIV/0!</v>
      </c>
      <c r="VBN133" s="531" t="e">
        <f t="shared" si="494"/>
        <v>#DIV/0!</v>
      </c>
      <c r="VBO133" s="531" t="e">
        <f t="shared" si="494"/>
        <v>#DIV/0!</v>
      </c>
      <c r="VBP133" s="531" t="e">
        <f t="shared" si="494"/>
        <v>#DIV/0!</v>
      </c>
      <c r="VBQ133" s="531" t="e">
        <f t="shared" si="494"/>
        <v>#DIV/0!</v>
      </c>
      <c r="VBR133" s="531" t="e">
        <f t="shared" si="494"/>
        <v>#DIV/0!</v>
      </c>
      <c r="VBS133" s="531" t="e">
        <f t="shared" si="494"/>
        <v>#DIV/0!</v>
      </c>
      <c r="VBT133" s="531" t="e">
        <f t="shared" si="494"/>
        <v>#DIV/0!</v>
      </c>
      <c r="VBU133" s="531" t="e">
        <f t="shared" si="494"/>
        <v>#DIV/0!</v>
      </c>
      <c r="VBV133" s="531" t="e">
        <f t="shared" si="494"/>
        <v>#DIV/0!</v>
      </c>
      <c r="VBW133" s="531" t="e">
        <f t="shared" si="494"/>
        <v>#DIV/0!</v>
      </c>
      <c r="VBX133" s="531" t="e">
        <f t="shared" si="494"/>
        <v>#DIV/0!</v>
      </c>
      <c r="VBY133" s="531" t="e">
        <f t="shared" si="494"/>
        <v>#DIV/0!</v>
      </c>
      <c r="VBZ133" s="531" t="e">
        <f t="shared" si="494"/>
        <v>#DIV/0!</v>
      </c>
      <c r="VCA133" s="531" t="e">
        <f t="shared" si="494"/>
        <v>#DIV/0!</v>
      </c>
      <c r="VCB133" s="531" t="e">
        <f t="shared" si="494"/>
        <v>#DIV/0!</v>
      </c>
      <c r="VCC133" s="531" t="e">
        <f t="shared" si="494"/>
        <v>#DIV/0!</v>
      </c>
      <c r="VCD133" s="531" t="e">
        <f t="shared" si="494"/>
        <v>#DIV/0!</v>
      </c>
      <c r="VCE133" s="531" t="e">
        <f t="shared" si="494"/>
        <v>#DIV/0!</v>
      </c>
      <c r="VCF133" s="531" t="e">
        <f t="shared" si="494"/>
        <v>#DIV/0!</v>
      </c>
      <c r="VCG133" s="531" t="e">
        <f t="shared" si="494"/>
        <v>#DIV/0!</v>
      </c>
      <c r="VCH133" s="531" t="e">
        <f t="shared" si="494"/>
        <v>#DIV/0!</v>
      </c>
      <c r="VCI133" s="531" t="e">
        <f t="shared" si="494"/>
        <v>#DIV/0!</v>
      </c>
      <c r="VCJ133" s="531" t="e">
        <f t="shared" si="494"/>
        <v>#DIV/0!</v>
      </c>
      <c r="VCK133" s="531" t="e">
        <f t="shared" si="494"/>
        <v>#DIV/0!</v>
      </c>
      <c r="VCL133" s="531" t="e">
        <f t="shared" si="494"/>
        <v>#DIV/0!</v>
      </c>
      <c r="VCM133" s="531" t="e">
        <f t="shared" si="494"/>
        <v>#DIV/0!</v>
      </c>
      <c r="VCN133" s="531" t="e">
        <f t="shared" si="494"/>
        <v>#DIV/0!</v>
      </c>
      <c r="VCO133" s="531" t="e">
        <f t="shared" si="494"/>
        <v>#DIV/0!</v>
      </c>
      <c r="VCP133" s="531" t="e">
        <f t="shared" si="494"/>
        <v>#DIV/0!</v>
      </c>
      <c r="VCQ133" s="531" t="e">
        <f t="shared" si="494"/>
        <v>#DIV/0!</v>
      </c>
      <c r="VCR133" s="531" t="e">
        <f t="shared" si="494"/>
        <v>#DIV/0!</v>
      </c>
      <c r="VCS133" s="531" t="e">
        <f t="shared" si="494"/>
        <v>#DIV/0!</v>
      </c>
      <c r="VCT133" s="531" t="e">
        <f t="shared" si="494"/>
        <v>#DIV/0!</v>
      </c>
      <c r="VCU133" s="531" t="e">
        <f t="shared" si="494"/>
        <v>#DIV/0!</v>
      </c>
      <c r="VCV133" s="531" t="e">
        <f t="shared" si="494"/>
        <v>#DIV/0!</v>
      </c>
      <c r="VCW133" s="531" t="e">
        <f t="shared" si="494"/>
        <v>#DIV/0!</v>
      </c>
      <c r="VCX133" s="531" t="e">
        <f t="shared" si="494"/>
        <v>#DIV/0!</v>
      </c>
      <c r="VCY133" s="531" t="e">
        <f t="shared" si="494"/>
        <v>#DIV/0!</v>
      </c>
      <c r="VCZ133" s="531" t="e">
        <f t="shared" si="494"/>
        <v>#DIV/0!</v>
      </c>
      <c r="VDA133" s="531" t="e">
        <f t="shared" si="494"/>
        <v>#DIV/0!</v>
      </c>
      <c r="VDB133" s="531" t="e">
        <f t="shared" si="494"/>
        <v>#DIV/0!</v>
      </c>
      <c r="VDC133" s="531" t="e">
        <f t="shared" si="494"/>
        <v>#DIV/0!</v>
      </c>
      <c r="VDD133" s="531" t="e">
        <f t="shared" si="494"/>
        <v>#DIV/0!</v>
      </c>
      <c r="VDE133" s="531" t="e">
        <f t="shared" si="494"/>
        <v>#DIV/0!</v>
      </c>
      <c r="VDF133" s="531" t="e">
        <f t="shared" si="494"/>
        <v>#DIV/0!</v>
      </c>
      <c r="VDG133" s="531" t="e">
        <f t="shared" ref="VDG133:VFR133" si="495">VDG116/(VDG52*10^5)</f>
        <v>#DIV/0!</v>
      </c>
      <c r="VDH133" s="531" t="e">
        <f t="shared" si="495"/>
        <v>#DIV/0!</v>
      </c>
      <c r="VDI133" s="531" t="e">
        <f t="shared" si="495"/>
        <v>#DIV/0!</v>
      </c>
      <c r="VDJ133" s="531" t="e">
        <f t="shared" si="495"/>
        <v>#DIV/0!</v>
      </c>
      <c r="VDK133" s="531" t="e">
        <f t="shared" si="495"/>
        <v>#DIV/0!</v>
      </c>
      <c r="VDL133" s="531" t="e">
        <f t="shared" si="495"/>
        <v>#DIV/0!</v>
      </c>
      <c r="VDM133" s="531" t="e">
        <f t="shared" si="495"/>
        <v>#DIV/0!</v>
      </c>
      <c r="VDN133" s="531" t="e">
        <f t="shared" si="495"/>
        <v>#DIV/0!</v>
      </c>
      <c r="VDO133" s="531" t="e">
        <f t="shared" si="495"/>
        <v>#DIV/0!</v>
      </c>
      <c r="VDP133" s="531" t="e">
        <f t="shared" si="495"/>
        <v>#DIV/0!</v>
      </c>
      <c r="VDQ133" s="531" t="e">
        <f t="shared" si="495"/>
        <v>#DIV/0!</v>
      </c>
      <c r="VDR133" s="531" t="e">
        <f t="shared" si="495"/>
        <v>#DIV/0!</v>
      </c>
      <c r="VDS133" s="531" t="e">
        <f t="shared" si="495"/>
        <v>#DIV/0!</v>
      </c>
      <c r="VDT133" s="531" t="e">
        <f t="shared" si="495"/>
        <v>#DIV/0!</v>
      </c>
      <c r="VDU133" s="531" t="e">
        <f t="shared" si="495"/>
        <v>#DIV/0!</v>
      </c>
      <c r="VDV133" s="531" t="e">
        <f t="shared" si="495"/>
        <v>#DIV/0!</v>
      </c>
      <c r="VDW133" s="531" t="e">
        <f t="shared" si="495"/>
        <v>#DIV/0!</v>
      </c>
      <c r="VDX133" s="531" t="e">
        <f t="shared" si="495"/>
        <v>#DIV/0!</v>
      </c>
      <c r="VDY133" s="531" t="e">
        <f t="shared" si="495"/>
        <v>#DIV/0!</v>
      </c>
      <c r="VDZ133" s="531" t="e">
        <f t="shared" si="495"/>
        <v>#DIV/0!</v>
      </c>
      <c r="VEA133" s="531" t="e">
        <f t="shared" si="495"/>
        <v>#DIV/0!</v>
      </c>
      <c r="VEB133" s="531" t="e">
        <f t="shared" si="495"/>
        <v>#DIV/0!</v>
      </c>
      <c r="VEC133" s="531" t="e">
        <f t="shared" si="495"/>
        <v>#DIV/0!</v>
      </c>
      <c r="VED133" s="531" t="e">
        <f t="shared" si="495"/>
        <v>#DIV/0!</v>
      </c>
      <c r="VEE133" s="531" t="e">
        <f t="shared" si="495"/>
        <v>#DIV/0!</v>
      </c>
      <c r="VEF133" s="531" t="e">
        <f t="shared" si="495"/>
        <v>#DIV/0!</v>
      </c>
      <c r="VEG133" s="531" t="e">
        <f t="shared" si="495"/>
        <v>#DIV/0!</v>
      </c>
      <c r="VEH133" s="531" t="e">
        <f t="shared" si="495"/>
        <v>#DIV/0!</v>
      </c>
      <c r="VEI133" s="531" t="e">
        <f t="shared" si="495"/>
        <v>#DIV/0!</v>
      </c>
      <c r="VEJ133" s="531" t="e">
        <f t="shared" si="495"/>
        <v>#DIV/0!</v>
      </c>
      <c r="VEK133" s="531" t="e">
        <f t="shared" si="495"/>
        <v>#DIV/0!</v>
      </c>
      <c r="VEL133" s="531" t="e">
        <f t="shared" si="495"/>
        <v>#DIV/0!</v>
      </c>
      <c r="VEM133" s="531" t="e">
        <f t="shared" si="495"/>
        <v>#DIV/0!</v>
      </c>
      <c r="VEN133" s="531" t="e">
        <f t="shared" si="495"/>
        <v>#DIV/0!</v>
      </c>
      <c r="VEO133" s="531" t="e">
        <f t="shared" si="495"/>
        <v>#DIV/0!</v>
      </c>
      <c r="VEP133" s="531" t="e">
        <f t="shared" si="495"/>
        <v>#DIV/0!</v>
      </c>
      <c r="VEQ133" s="531" t="e">
        <f t="shared" si="495"/>
        <v>#DIV/0!</v>
      </c>
      <c r="VER133" s="531" t="e">
        <f t="shared" si="495"/>
        <v>#DIV/0!</v>
      </c>
      <c r="VES133" s="531" t="e">
        <f t="shared" si="495"/>
        <v>#DIV/0!</v>
      </c>
      <c r="VET133" s="531" t="e">
        <f t="shared" si="495"/>
        <v>#DIV/0!</v>
      </c>
      <c r="VEU133" s="531" t="e">
        <f t="shared" si="495"/>
        <v>#DIV/0!</v>
      </c>
      <c r="VEV133" s="531" t="e">
        <f t="shared" si="495"/>
        <v>#DIV/0!</v>
      </c>
      <c r="VEW133" s="531" t="e">
        <f t="shared" si="495"/>
        <v>#DIV/0!</v>
      </c>
      <c r="VEX133" s="531" t="e">
        <f t="shared" si="495"/>
        <v>#DIV/0!</v>
      </c>
      <c r="VEY133" s="531" t="e">
        <f t="shared" si="495"/>
        <v>#DIV/0!</v>
      </c>
      <c r="VEZ133" s="531" t="e">
        <f t="shared" si="495"/>
        <v>#DIV/0!</v>
      </c>
      <c r="VFA133" s="531" t="e">
        <f t="shared" si="495"/>
        <v>#DIV/0!</v>
      </c>
      <c r="VFB133" s="531" t="e">
        <f t="shared" si="495"/>
        <v>#DIV/0!</v>
      </c>
      <c r="VFC133" s="531" t="e">
        <f t="shared" si="495"/>
        <v>#DIV/0!</v>
      </c>
      <c r="VFD133" s="531" t="e">
        <f t="shared" si="495"/>
        <v>#DIV/0!</v>
      </c>
      <c r="VFE133" s="531" t="e">
        <f t="shared" si="495"/>
        <v>#DIV/0!</v>
      </c>
      <c r="VFF133" s="531" t="e">
        <f t="shared" si="495"/>
        <v>#DIV/0!</v>
      </c>
      <c r="VFG133" s="531" t="e">
        <f t="shared" si="495"/>
        <v>#DIV/0!</v>
      </c>
      <c r="VFH133" s="531" t="e">
        <f t="shared" si="495"/>
        <v>#DIV/0!</v>
      </c>
      <c r="VFI133" s="531" t="e">
        <f t="shared" si="495"/>
        <v>#DIV/0!</v>
      </c>
      <c r="VFJ133" s="531" t="e">
        <f t="shared" si="495"/>
        <v>#DIV/0!</v>
      </c>
      <c r="VFK133" s="531" t="e">
        <f t="shared" si="495"/>
        <v>#DIV/0!</v>
      </c>
      <c r="VFL133" s="531" t="e">
        <f t="shared" si="495"/>
        <v>#DIV/0!</v>
      </c>
      <c r="VFM133" s="531" t="e">
        <f t="shared" si="495"/>
        <v>#DIV/0!</v>
      </c>
      <c r="VFN133" s="531" t="e">
        <f t="shared" si="495"/>
        <v>#DIV/0!</v>
      </c>
      <c r="VFO133" s="531" t="e">
        <f t="shared" si="495"/>
        <v>#DIV/0!</v>
      </c>
      <c r="VFP133" s="531" t="e">
        <f t="shared" si="495"/>
        <v>#DIV/0!</v>
      </c>
      <c r="VFQ133" s="531" t="e">
        <f t="shared" si="495"/>
        <v>#DIV/0!</v>
      </c>
      <c r="VFR133" s="531" t="e">
        <f t="shared" si="495"/>
        <v>#DIV/0!</v>
      </c>
      <c r="VFS133" s="531" t="e">
        <f t="shared" ref="VFS133:VID133" si="496">VFS116/(VFS52*10^5)</f>
        <v>#DIV/0!</v>
      </c>
      <c r="VFT133" s="531" t="e">
        <f t="shared" si="496"/>
        <v>#DIV/0!</v>
      </c>
      <c r="VFU133" s="531" t="e">
        <f t="shared" si="496"/>
        <v>#DIV/0!</v>
      </c>
      <c r="VFV133" s="531" t="e">
        <f t="shared" si="496"/>
        <v>#DIV/0!</v>
      </c>
      <c r="VFW133" s="531" t="e">
        <f t="shared" si="496"/>
        <v>#DIV/0!</v>
      </c>
      <c r="VFX133" s="531" t="e">
        <f t="shared" si="496"/>
        <v>#DIV/0!</v>
      </c>
      <c r="VFY133" s="531" t="e">
        <f t="shared" si="496"/>
        <v>#DIV/0!</v>
      </c>
      <c r="VFZ133" s="531" t="e">
        <f t="shared" si="496"/>
        <v>#DIV/0!</v>
      </c>
      <c r="VGA133" s="531" t="e">
        <f t="shared" si="496"/>
        <v>#DIV/0!</v>
      </c>
      <c r="VGB133" s="531" t="e">
        <f t="shared" si="496"/>
        <v>#DIV/0!</v>
      </c>
      <c r="VGC133" s="531" t="e">
        <f t="shared" si="496"/>
        <v>#DIV/0!</v>
      </c>
      <c r="VGD133" s="531" t="e">
        <f t="shared" si="496"/>
        <v>#DIV/0!</v>
      </c>
      <c r="VGE133" s="531" t="e">
        <f t="shared" si="496"/>
        <v>#DIV/0!</v>
      </c>
      <c r="VGF133" s="531" t="e">
        <f t="shared" si="496"/>
        <v>#DIV/0!</v>
      </c>
      <c r="VGG133" s="531" t="e">
        <f t="shared" si="496"/>
        <v>#DIV/0!</v>
      </c>
      <c r="VGH133" s="531" t="e">
        <f t="shared" si="496"/>
        <v>#DIV/0!</v>
      </c>
      <c r="VGI133" s="531" t="e">
        <f t="shared" si="496"/>
        <v>#DIV/0!</v>
      </c>
      <c r="VGJ133" s="531" t="e">
        <f t="shared" si="496"/>
        <v>#DIV/0!</v>
      </c>
      <c r="VGK133" s="531" t="e">
        <f t="shared" si="496"/>
        <v>#DIV/0!</v>
      </c>
      <c r="VGL133" s="531" t="e">
        <f t="shared" si="496"/>
        <v>#DIV/0!</v>
      </c>
      <c r="VGM133" s="531" t="e">
        <f t="shared" si="496"/>
        <v>#DIV/0!</v>
      </c>
      <c r="VGN133" s="531" t="e">
        <f t="shared" si="496"/>
        <v>#DIV/0!</v>
      </c>
      <c r="VGO133" s="531" t="e">
        <f t="shared" si="496"/>
        <v>#DIV/0!</v>
      </c>
      <c r="VGP133" s="531" t="e">
        <f t="shared" si="496"/>
        <v>#DIV/0!</v>
      </c>
      <c r="VGQ133" s="531" t="e">
        <f t="shared" si="496"/>
        <v>#DIV/0!</v>
      </c>
      <c r="VGR133" s="531" t="e">
        <f t="shared" si="496"/>
        <v>#DIV/0!</v>
      </c>
      <c r="VGS133" s="531" t="e">
        <f t="shared" si="496"/>
        <v>#DIV/0!</v>
      </c>
      <c r="VGT133" s="531" t="e">
        <f t="shared" si="496"/>
        <v>#DIV/0!</v>
      </c>
      <c r="VGU133" s="531" t="e">
        <f t="shared" si="496"/>
        <v>#DIV/0!</v>
      </c>
      <c r="VGV133" s="531" t="e">
        <f t="shared" si="496"/>
        <v>#DIV/0!</v>
      </c>
      <c r="VGW133" s="531" t="e">
        <f t="shared" si="496"/>
        <v>#DIV/0!</v>
      </c>
      <c r="VGX133" s="531" t="e">
        <f t="shared" si="496"/>
        <v>#DIV/0!</v>
      </c>
      <c r="VGY133" s="531" t="e">
        <f t="shared" si="496"/>
        <v>#DIV/0!</v>
      </c>
      <c r="VGZ133" s="531" t="e">
        <f t="shared" si="496"/>
        <v>#DIV/0!</v>
      </c>
      <c r="VHA133" s="531" t="e">
        <f t="shared" si="496"/>
        <v>#DIV/0!</v>
      </c>
      <c r="VHB133" s="531" t="e">
        <f t="shared" si="496"/>
        <v>#DIV/0!</v>
      </c>
      <c r="VHC133" s="531" t="e">
        <f t="shared" si="496"/>
        <v>#DIV/0!</v>
      </c>
      <c r="VHD133" s="531" t="e">
        <f t="shared" si="496"/>
        <v>#DIV/0!</v>
      </c>
      <c r="VHE133" s="531" t="e">
        <f t="shared" si="496"/>
        <v>#DIV/0!</v>
      </c>
      <c r="VHF133" s="531" t="e">
        <f t="shared" si="496"/>
        <v>#DIV/0!</v>
      </c>
      <c r="VHG133" s="531" t="e">
        <f t="shared" si="496"/>
        <v>#DIV/0!</v>
      </c>
      <c r="VHH133" s="531" t="e">
        <f t="shared" si="496"/>
        <v>#DIV/0!</v>
      </c>
      <c r="VHI133" s="531" t="e">
        <f t="shared" si="496"/>
        <v>#DIV/0!</v>
      </c>
      <c r="VHJ133" s="531" t="e">
        <f t="shared" si="496"/>
        <v>#DIV/0!</v>
      </c>
      <c r="VHK133" s="531" t="e">
        <f t="shared" si="496"/>
        <v>#DIV/0!</v>
      </c>
      <c r="VHL133" s="531" t="e">
        <f t="shared" si="496"/>
        <v>#DIV/0!</v>
      </c>
      <c r="VHM133" s="531" t="e">
        <f t="shared" si="496"/>
        <v>#DIV/0!</v>
      </c>
      <c r="VHN133" s="531" t="e">
        <f t="shared" si="496"/>
        <v>#DIV/0!</v>
      </c>
      <c r="VHO133" s="531" t="e">
        <f t="shared" si="496"/>
        <v>#DIV/0!</v>
      </c>
      <c r="VHP133" s="531" t="e">
        <f t="shared" si="496"/>
        <v>#DIV/0!</v>
      </c>
      <c r="VHQ133" s="531" t="e">
        <f t="shared" si="496"/>
        <v>#DIV/0!</v>
      </c>
      <c r="VHR133" s="531" t="e">
        <f t="shared" si="496"/>
        <v>#DIV/0!</v>
      </c>
      <c r="VHS133" s="531" t="e">
        <f t="shared" si="496"/>
        <v>#DIV/0!</v>
      </c>
      <c r="VHT133" s="531" t="e">
        <f t="shared" si="496"/>
        <v>#DIV/0!</v>
      </c>
      <c r="VHU133" s="531" t="e">
        <f t="shared" si="496"/>
        <v>#DIV/0!</v>
      </c>
      <c r="VHV133" s="531" t="e">
        <f t="shared" si="496"/>
        <v>#DIV/0!</v>
      </c>
      <c r="VHW133" s="531" t="e">
        <f t="shared" si="496"/>
        <v>#DIV/0!</v>
      </c>
      <c r="VHX133" s="531" t="e">
        <f t="shared" si="496"/>
        <v>#DIV/0!</v>
      </c>
      <c r="VHY133" s="531" t="e">
        <f t="shared" si="496"/>
        <v>#DIV/0!</v>
      </c>
      <c r="VHZ133" s="531" t="e">
        <f t="shared" si="496"/>
        <v>#DIV/0!</v>
      </c>
      <c r="VIA133" s="531" t="e">
        <f t="shared" si="496"/>
        <v>#DIV/0!</v>
      </c>
      <c r="VIB133" s="531" t="e">
        <f t="shared" si="496"/>
        <v>#DIV/0!</v>
      </c>
      <c r="VIC133" s="531" t="e">
        <f t="shared" si="496"/>
        <v>#DIV/0!</v>
      </c>
      <c r="VID133" s="531" t="e">
        <f t="shared" si="496"/>
        <v>#DIV/0!</v>
      </c>
      <c r="VIE133" s="531" t="e">
        <f t="shared" ref="VIE133:VKP133" si="497">VIE116/(VIE52*10^5)</f>
        <v>#DIV/0!</v>
      </c>
      <c r="VIF133" s="531" t="e">
        <f t="shared" si="497"/>
        <v>#DIV/0!</v>
      </c>
      <c r="VIG133" s="531" t="e">
        <f t="shared" si="497"/>
        <v>#DIV/0!</v>
      </c>
      <c r="VIH133" s="531" t="e">
        <f t="shared" si="497"/>
        <v>#DIV/0!</v>
      </c>
      <c r="VII133" s="531" t="e">
        <f t="shared" si="497"/>
        <v>#DIV/0!</v>
      </c>
      <c r="VIJ133" s="531" t="e">
        <f t="shared" si="497"/>
        <v>#DIV/0!</v>
      </c>
      <c r="VIK133" s="531" t="e">
        <f t="shared" si="497"/>
        <v>#DIV/0!</v>
      </c>
      <c r="VIL133" s="531" t="e">
        <f t="shared" si="497"/>
        <v>#DIV/0!</v>
      </c>
      <c r="VIM133" s="531" t="e">
        <f t="shared" si="497"/>
        <v>#DIV/0!</v>
      </c>
      <c r="VIN133" s="531" t="e">
        <f t="shared" si="497"/>
        <v>#DIV/0!</v>
      </c>
      <c r="VIO133" s="531" t="e">
        <f t="shared" si="497"/>
        <v>#DIV/0!</v>
      </c>
      <c r="VIP133" s="531" t="e">
        <f t="shared" si="497"/>
        <v>#DIV/0!</v>
      </c>
      <c r="VIQ133" s="531" t="e">
        <f t="shared" si="497"/>
        <v>#DIV/0!</v>
      </c>
      <c r="VIR133" s="531" t="e">
        <f t="shared" si="497"/>
        <v>#DIV/0!</v>
      </c>
      <c r="VIS133" s="531" t="e">
        <f t="shared" si="497"/>
        <v>#DIV/0!</v>
      </c>
      <c r="VIT133" s="531" t="e">
        <f t="shared" si="497"/>
        <v>#DIV/0!</v>
      </c>
      <c r="VIU133" s="531" t="e">
        <f t="shared" si="497"/>
        <v>#DIV/0!</v>
      </c>
      <c r="VIV133" s="531" t="e">
        <f t="shared" si="497"/>
        <v>#DIV/0!</v>
      </c>
      <c r="VIW133" s="531" t="e">
        <f t="shared" si="497"/>
        <v>#DIV/0!</v>
      </c>
      <c r="VIX133" s="531" t="e">
        <f t="shared" si="497"/>
        <v>#DIV/0!</v>
      </c>
      <c r="VIY133" s="531" t="e">
        <f t="shared" si="497"/>
        <v>#DIV/0!</v>
      </c>
      <c r="VIZ133" s="531" t="e">
        <f t="shared" si="497"/>
        <v>#DIV/0!</v>
      </c>
      <c r="VJA133" s="531" t="e">
        <f t="shared" si="497"/>
        <v>#DIV/0!</v>
      </c>
      <c r="VJB133" s="531" t="e">
        <f t="shared" si="497"/>
        <v>#DIV/0!</v>
      </c>
      <c r="VJC133" s="531" t="e">
        <f t="shared" si="497"/>
        <v>#DIV/0!</v>
      </c>
      <c r="VJD133" s="531" t="e">
        <f t="shared" si="497"/>
        <v>#DIV/0!</v>
      </c>
      <c r="VJE133" s="531" t="e">
        <f t="shared" si="497"/>
        <v>#DIV/0!</v>
      </c>
      <c r="VJF133" s="531" t="e">
        <f t="shared" si="497"/>
        <v>#DIV/0!</v>
      </c>
      <c r="VJG133" s="531" t="e">
        <f t="shared" si="497"/>
        <v>#DIV/0!</v>
      </c>
      <c r="VJH133" s="531" t="e">
        <f t="shared" si="497"/>
        <v>#DIV/0!</v>
      </c>
      <c r="VJI133" s="531" t="e">
        <f t="shared" si="497"/>
        <v>#DIV/0!</v>
      </c>
      <c r="VJJ133" s="531" t="e">
        <f t="shared" si="497"/>
        <v>#DIV/0!</v>
      </c>
      <c r="VJK133" s="531" t="e">
        <f t="shared" si="497"/>
        <v>#DIV/0!</v>
      </c>
      <c r="VJL133" s="531" t="e">
        <f t="shared" si="497"/>
        <v>#DIV/0!</v>
      </c>
      <c r="VJM133" s="531" t="e">
        <f t="shared" si="497"/>
        <v>#DIV/0!</v>
      </c>
      <c r="VJN133" s="531" t="e">
        <f t="shared" si="497"/>
        <v>#DIV/0!</v>
      </c>
      <c r="VJO133" s="531" t="e">
        <f t="shared" si="497"/>
        <v>#DIV/0!</v>
      </c>
      <c r="VJP133" s="531" t="e">
        <f t="shared" si="497"/>
        <v>#DIV/0!</v>
      </c>
      <c r="VJQ133" s="531" t="e">
        <f t="shared" si="497"/>
        <v>#DIV/0!</v>
      </c>
      <c r="VJR133" s="531" t="e">
        <f t="shared" si="497"/>
        <v>#DIV/0!</v>
      </c>
      <c r="VJS133" s="531" t="e">
        <f t="shared" si="497"/>
        <v>#DIV/0!</v>
      </c>
      <c r="VJT133" s="531" t="e">
        <f t="shared" si="497"/>
        <v>#DIV/0!</v>
      </c>
      <c r="VJU133" s="531" t="e">
        <f t="shared" si="497"/>
        <v>#DIV/0!</v>
      </c>
      <c r="VJV133" s="531" t="e">
        <f t="shared" si="497"/>
        <v>#DIV/0!</v>
      </c>
      <c r="VJW133" s="531" t="e">
        <f t="shared" si="497"/>
        <v>#DIV/0!</v>
      </c>
      <c r="VJX133" s="531" t="e">
        <f t="shared" si="497"/>
        <v>#DIV/0!</v>
      </c>
      <c r="VJY133" s="531" t="e">
        <f t="shared" si="497"/>
        <v>#DIV/0!</v>
      </c>
      <c r="VJZ133" s="531" t="e">
        <f t="shared" si="497"/>
        <v>#DIV/0!</v>
      </c>
      <c r="VKA133" s="531" t="e">
        <f t="shared" si="497"/>
        <v>#DIV/0!</v>
      </c>
      <c r="VKB133" s="531" t="e">
        <f t="shared" si="497"/>
        <v>#DIV/0!</v>
      </c>
      <c r="VKC133" s="531" t="e">
        <f t="shared" si="497"/>
        <v>#DIV/0!</v>
      </c>
      <c r="VKD133" s="531" t="e">
        <f t="shared" si="497"/>
        <v>#DIV/0!</v>
      </c>
      <c r="VKE133" s="531" t="e">
        <f t="shared" si="497"/>
        <v>#DIV/0!</v>
      </c>
      <c r="VKF133" s="531" t="e">
        <f t="shared" si="497"/>
        <v>#DIV/0!</v>
      </c>
      <c r="VKG133" s="531" t="e">
        <f t="shared" si="497"/>
        <v>#DIV/0!</v>
      </c>
      <c r="VKH133" s="531" t="e">
        <f t="shared" si="497"/>
        <v>#DIV/0!</v>
      </c>
      <c r="VKI133" s="531" t="e">
        <f t="shared" si="497"/>
        <v>#DIV/0!</v>
      </c>
      <c r="VKJ133" s="531" t="e">
        <f t="shared" si="497"/>
        <v>#DIV/0!</v>
      </c>
      <c r="VKK133" s="531" t="e">
        <f t="shared" si="497"/>
        <v>#DIV/0!</v>
      </c>
      <c r="VKL133" s="531" t="e">
        <f t="shared" si="497"/>
        <v>#DIV/0!</v>
      </c>
      <c r="VKM133" s="531" t="e">
        <f t="shared" si="497"/>
        <v>#DIV/0!</v>
      </c>
      <c r="VKN133" s="531" t="e">
        <f t="shared" si="497"/>
        <v>#DIV/0!</v>
      </c>
      <c r="VKO133" s="531" t="e">
        <f t="shared" si="497"/>
        <v>#DIV/0!</v>
      </c>
      <c r="VKP133" s="531" t="e">
        <f t="shared" si="497"/>
        <v>#DIV/0!</v>
      </c>
      <c r="VKQ133" s="531" t="e">
        <f t="shared" ref="VKQ133:VNB133" si="498">VKQ116/(VKQ52*10^5)</f>
        <v>#DIV/0!</v>
      </c>
      <c r="VKR133" s="531" t="e">
        <f t="shared" si="498"/>
        <v>#DIV/0!</v>
      </c>
      <c r="VKS133" s="531" t="e">
        <f t="shared" si="498"/>
        <v>#DIV/0!</v>
      </c>
      <c r="VKT133" s="531" t="e">
        <f t="shared" si="498"/>
        <v>#DIV/0!</v>
      </c>
      <c r="VKU133" s="531" t="e">
        <f t="shared" si="498"/>
        <v>#DIV/0!</v>
      </c>
      <c r="VKV133" s="531" t="e">
        <f t="shared" si="498"/>
        <v>#DIV/0!</v>
      </c>
      <c r="VKW133" s="531" t="e">
        <f t="shared" si="498"/>
        <v>#DIV/0!</v>
      </c>
      <c r="VKX133" s="531" t="e">
        <f t="shared" si="498"/>
        <v>#DIV/0!</v>
      </c>
      <c r="VKY133" s="531" t="e">
        <f t="shared" si="498"/>
        <v>#DIV/0!</v>
      </c>
      <c r="VKZ133" s="531" t="e">
        <f t="shared" si="498"/>
        <v>#DIV/0!</v>
      </c>
      <c r="VLA133" s="531" t="e">
        <f t="shared" si="498"/>
        <v>#DIV/0!</v>
      </c>
      <c r="VLB133" s="531" t="e">
        <f t="shared" si="498"/>
        <v>#DIV/0!</v>
      </c>
      <c r="VLC133" s="531" t="e">
        <f t="shared" si="498"/>
        <v>#DIV/0!</v>
      </c>
      <c r="VLD133" s="531" t="e">
        <f t="shared" si="498"/>
        <v>#DIV/0!</v>
      </c>
      <c r="VLE133" s="531" t="e">
        <f t="shared" si="498"/>
        <v>#DIV/0!</v>
      </c>
      <c r="VLF133" s="531" t="e">
        <f t="shared" si="498"/>
        <v>#DIV/0!</v>
      </c>
      <c r="VLG133" s="531" t="e">
        <f t="shared" si="498"/>
        <v>#DIV/0!</v>
      </c>
      <c r="VLH133" s="531" t="e">
        <f t="shared" si="498"/>
        <v>#DIV/0!</v>
      </c>
      <c r="VLI133" s="531" t="e">
        <f t="shared" si="498"/>
        <v>#DIV/0!</v>
      </c>
      <c r="VLJ133" s="531" t="e">
        <f t="shared" si="498"/>
        <v>#DIV/0!</v>
      </c>
      <c r="VLK133" s="531" t="e">
        <f t="shared" si="498"/>
        <v>#DIV/0!</v>
      </c>
      <c r="VLL133" s="531" t="e">
        <f t="shared" si="498"/>
        <v>#DIV/0!</v>
      </c>
      <c r="VLM133" s="531" t="e">
        <f t="shared" si="498"/>
        <v>#DIV/0!</v>
      </c>
      <c r="VLN133" s="531" t="e">
        <f t="shared" si="498"/>
        <v>#DIV/0!</v>
      </c>
      <c r="VLO133" s="531" t="e">
        <f t="shared" si="498"/>
        <v>#DIV/0!</v>
      </c>
      <c r="VLP133" s="531" t="e">
        <f t="shared" si="498"/>
        <v>#DIV/0!</v>
      </c>
      <c r="VLQ133" s="531" t="e">
        <f t="shared" si="498"/>
        <v>#DIV/0!</v>
      </c>
      <c r="VLR133" s="531" t="e">
        <f t="shared" si="498"/>
        <v>#DIV/0!</v>
      </c>
      <c r="VLS133" s="531" t="e">
        <f t="shared" si="498"/>
        <v>#DIV/0!</v>
      </c>
      <c r="VLT133" s="531" t="e">
        <f t="shared" si="498"/>
        <v>#DIV/0!</v>
      </c>
      <c r="VLU133" s="531" t="e">
        <f t="shared" si="498"/>
        <v>#DIV/0!</v>
      </c>
      <c r="VLV133" s="531" t="e">
        <f t="shared" si="498"/>
        <v>#DIV/0!</v>
      </c>
      <c r="VLW133" s="531" t="e">
        <f t="shared" si="498"/>
        <v>#DIV/0!</v>
      </c>
      <c r="VLX133" s="531" t="e">
        <f t="shared" si="498"/>
        <v>#DIV/0!</v>
      </c>
      <c r="VLY133" s="531" t="e">
        <f t="shared" si="498"/>
        <v>#DIV/0!</v>
      </c>
      <c r="VLZ133" s="531" t="e">
        <f t="shared" si="498"/>
        <v>#DIV/0!</v>
      </c>
      <c r="VMA133" s="531" t="e">
        <f t="shared" si="498"/>
        <v>#DIV/0!</v>
      </c>
      <c r="VMB133" s="531" t="e">
        <f t="shared" si="498"/>
        <v>#DIV/0!</v>
      </c>
      <c r="VMC133" s="531" t="e">
        <f t="shared" si="498"/>
        <v>#DIV/0!</v>
      </c>
      <c r="VMD133" s="531" t="e">
        <f t="shared" si="498"/>
        <v>#DIV/0!</v>
      </c>
      <c r="VME133" s="531" t="e">
        <f t="shared" si="498"/>
        <v>#DIV/0!</v>
      </c>
      <c r="VMF133" s="531" t="e">
        <f t="shared" si="498"/>
        <v>#DIV/0!</v>
      </c>
      <c r="VMG133" s="531" t="e">
        <f t="shared" si="498"/>
        <v>#DIV/0!</v>
      </c>
      <c r="VMH133" s="531" t="e">
        <f t="shared" si="498"/>
        <v>#DIV/0!</v>
      </c>
      <c r="VMI133" s="531" t="e">
        <f t="shared" si="498"/>
        <v>#DIV/0!</v>
      </c>
      <c r="VMJ133" s="531" t="e">
        <f t="shared" si="498"/>
        <v>#DIV/0!</v>
      </c>
      <c r="VMK133" s="531" t="e">
        <f t="shared" si="498"/>
        <v>#DIV/0!</v>
      </c>
      <c r="VML133" s="531" t="e">
        <f t="shared" si="498"/>
        <v>#DIV/0!</v>
      </c>
      <c r="VMM133" s="531" t="e">
        <f t="shared" si="498"/>
        <v>#DIV/0!</v>
      </c>
      <c r="VMN133" s="531" t="e">
        <f t="shared" si="498"/>
        <v>#DIV/0!</v>
      </c>
      <c r="VMO133" s="531" t="e">
        <f t="shared" si="498"/>
        <v>#DIV/0!</v>
      </c>
      <c r="VMP133" s="531" t="e">
        <f t="shared" si="498"/>
        <v>#DIV/0!</v>
      </c>
      <c r="VMQ133" s="531" t="e">
        <f t="shared" si="498"/>
        <v>#DIV/0!</v>
      </c>
      <c r="VMR133" s="531" t="e">
        <f t="shared" si="498"/>
        <v>#DIV/0!</v>
      </c>
      <c r="VMS133" s="531" t="e">
        <f t="shared" si="498"/>
        <v>#DIV/0!</v>
      </c>
      <c r="VMT133" s="531" t="e">
        <f t="shared" si="498"/>
        <v>#DIV/0!</v>
      </c>
      <c r="VMU133" s="531" t="e">
        <f t="shared" si="498"/>
        <v>#DIV/0!</v>
      </c>
      <c r="VMV133" s="531" t="e">
        <f t="shared" si="498"/>
        <v>#DIV/0!</v>
      </c>
      <c r="VMW133" s="531" t="e">
        <f t="shared" si="498"/>
        <v>#DIV/0!</v>
      </c>
      <c r="VMX133" s="531" t="e">
        <f t="shared" si="498"/>
        <v>#DIV/0!</v>
      </c>
      <c r="VMY133" s="531" t="e">
        <f t="shared" si="498"/>
        <v>#DIV/0!</v>
      </c>
      <c r="VMZ133" s="531" t="e">
        <f t="shared" si="498"/>
        <v>#DIV/0!</v>
      </c>
      <c r="VNA133" s="531" t="e">
        <f t="shared" si="498"/>
        <v>#DIV/0!</v>
      </c>
      <c r="VNB133" s="531" t="e">
        <f t="shared" si="498"/>
        <v>#DIV/0!</v>
      </c>
      <c r="VNC133" s="531" t="e">
        <f t="shared" ref="VNC133:VPN133" si="499">VNC116/(VNC52*10^5)</f>
        <v>#DIV/0!</v>
      </c>
      <c r="VND133" s="531" t="e">
        <f t="shared" si="499"/>
        <v>#DIV/0!</v>
      </c>
      <c r="VNE133" s="531" t="e">
        <f t="shared" si="499"/>
        <v>#DIV/0!</v>
      </c>
      <c r="VNF133" s="531" t="e">
        <f t="shared" si="499"/>
        <v>#DIV/0!</v>
      </c>
      <c r="VNG133" s="531" t="e">
        <f t="shared" si="499"/>
        <v>#DIV/0!</v>
      </c>
      <c r="VNH133" s="531" t="e">
        <f t="shared" si="499"/>
        <v>#DIV/0!</v>
      </c>
      <c r="VNI133" s="531" t="e">
        <f t="shared" si="499"/>
        <v>#DIV/0!</v>
      </c>
      <c r="VNJ133" s="531" t="e">
        <f t="shared" si="499"/>
        <v>#DIV/0!</v>
      </c>
      <c r="VNK133" s="531" t="e">
        <f t="shared" si="499"/>
        <v>#DIV/0!</v>
      </c>
      <c r="VNL133" s="531" t="e">
        <f t="shared" si="499"/>
        <v>#DIV/0!</v>
      </c>
      <c r="VNM133" s="531" t="e">
        <f t="shared" si="499"/>
        <v>#DIV/0!</v>
      </c>
      <c r="VNN133" s="531" t="e">
        <f t="shared" si="499"/>
        <v>#DIV/0!</v>
      </c>
      <c r="VNO133" s="531" t="e">
        <f t="shared" si="499"/>
        <v>#DIV/0!</v>
      </c>
      <c r="VNP133" s="531" t="e">
        <f t="shared" si="499"/>
        <v>#DIV/0!</v>
      </c>
      <c r="VNQ133" s="531" t="e">
        <f t="shared" si="499"/>
        <v>#DIV/0!</v>
      </c>
      <c r="VNR133" s="531" t="e">
        <f t="shared" si="499"/>
        <v>#DIV/0!</v>
      </c>
      <c r="VNS133" s="531" t="e">
        <f t="shared" si="499"/>
        <v>#DIV/0!</v>
      </c>
      <c r="VNT133" s="531" t="e">
        <f t="shared" si="499"/>
        <v>#DIV/0!</v>
      </c>
      <c r="VNU133" s="531" t="e">
        <f t="shared" si="499"/>
        <v>#DIV/0!</v>
      </c>
      <c r="VNV133" s="531" t="e">
        <f t="shared" si="499"/>
        <v>#DIV/0!</v>
      </c>
      <c r="VNW133" s="531" t="e">
        <f t="shared" si="499"/>
        <v>#DIV/0!</v>
      </c>
      <c r="VNX133" s="531" t="e">
        <f t="shared" si="499"/>
        <v>#DIV/0!</v>
      </c>
      <c r="VNY133" s="531" t="e">
        <f t="shared" si="499"/>
        <v>#DIV/0!</v>
      </c>
      <c r="VNZ133" s="531" t="e">
        <f t="shared" si="499"/>
        <v>#DIV/0!</v>
      </c>
      <c r="VOA133" s="531" t="e">
        <f t="shared" si="499"/>
        <v>#DIV/0!</v>
      </c>
      <c r="VOB133" s="531" t="e">
        <f t="shared" si="499"/>
        <v>#DIV/0!</v>
      </c>
      <c r="VOC133" s="531" t="e">
        <f t="shared" si="499"/>
        <v>#DIV/0!</v>
      </c>
      <c r="VOD133" s="531" t="e">
        <f t="shared" si="499"/>
        <v>#DIV/0!</v>
      </c>
      <c r="VOE133" s="531" t="e">
        <f t="shared" si="499"/>
        <v>#DIV/0!</v>
      </c>
      <c r="VOF133" s="531" t="e">
        <f t="shared" si="499"/>
        <v>#DIV/0!</v>
      </c>
      <c r="VOG133" s="531" t="e">
        <f t="shared" si="499"/>
        <v>#DIV/0!</v>
      </c>
      <c r="VOH133" s="531" t="e">
        <f t="shared" si="499"/>
        <v>#DIV/0!</v>
      </c>
      <c r="VOI133" s="531" t="e">
        <f t="shared" si="499"/>
        <v>#DIV/0!</v>
      </c>
      <c r="VOJ133" s="531" t="e">
        <f t="shared" si="499"/>
        <v>#DIV/0!</v>
      </c>
      <c r="VOK133" s="531" t="e">
        <f t="shared" si="499"/>
        <v>#DIV/0!</v>
      </c>
      <c r="VOL133" s="531" t="e">
        <f t="shared" si="499"/>
        <v>#DIV/0!</v>
      </c>
      <c r="VOM133" s="531" t="e">
        <f t="shared" si="499"/>
        <v>#DIV/0!</v>
      </c>
      <c r="VON133" s="531" t="e">
        <f t="shared" si="499"/>
        <v>#DIV/0!</v>
      </c>
      <c r="VOO133" s="531" t="e">
        <f t="shared" si="499"/>
        <v>#DIV/0!</v>
      </c>
      <c r="VOP133" s="531" t="e">
        <f t="shared" si="499"/>
        <v>#DIV/0!</v>
      </c>
      <c r="VOQ133" s="531" t="e">
        <f t="shared" si="499"/>
        <v>#DIV/0!</v>
      </c>
      <c r="VOR133" s="531" t="e">
        <f t="shared" si="499"/>
        <v>#DIV/0!</v>
      </c>
      <c r="VOS133" s="531" t="e">
        <f t="shared" si="499"/>
        <v>#DIV/0!</v>
      </c>
      <c r="VOT133" s="531" t="e">
        <f t="shared" si="499"/>
        <v>#DIV/0!</v>
      </c>
      <c r="VOU133" s="531" t="e">
        <f t="shared" si="499"/>
        <v>#DIV/0!</v>
      </c>
      <c r="VOV133" s="531" t="e">
        <f t="shared" si="499"/>
        <v>#DIV/0!</v>
      </c>
      <c r="VOW133" s="531" t="e">
        <f t="shared" si="499"/>
        <v>#DIV/0!</v>
      </c>
      <c r="VOX133" s="531" t="e">
        <f t="shared" si="499"/>
        <v>#DIV/0!</v>
      </c>
      <c r="VOY133" s="531" t="e">
        <f t="shared" si="499"/>
        <v>#DIV/0!</v>
      </c>
      <c r="VOZ133" s="531" t="e">
        <f t="shared" si="499"/>
        <v>#DIV/0!</v>
      </c>
      <c r="VPA133" s="531" t="e">
        <f t="shared" si="499"/>
        <v>#DIV/0!</v>
      </c>
      <c r="VPB133" s="531" t="e">
        <f t="shared" si="499"/>
        <v>#DIV/0!</v>
      </c>
      <c r="VPC133" s="531" t="e">
        <f t="shared" si="499"/>
        <v>#DIV/0!</v>
      </c>
      <c r="VPD133" s="531" t="e">
        <f t="shared" si="499"/>
        <v>#DIV/0!</v>
      </c>
      <c r="VPE133" s="531" t="e">
        <f t="shared" si="499"/>
        <v>#DIV/0!</v>
      </c>
      <c r="VPF133" s="531" t="e">
        <f t="shared" si="499"/>
        <v>#DIV/0!</v>
      </c>
      <c r="VPG133" s="531" t="e">
        <f t="shared" si="499"/>
        <v>#DIV/0!</v>
      </c>
      <c r="VPH133" s="531" t="e">
        <f t="shared" si="499"/>
        <v>#DIV/0!</v>
      </c>
      <c r="VPI133" s="531" t="e">
        <f t="shared" si="499"/>
        <v>#DIV/0!</v>
      </c>
      <c r="VPJ133" s="531" t="e">
        <f t="shared" si="499"/>
        <v>#DIV/0!</v>
      </c>
      <c r="VPK133" s="531" t="e">
        <f t="shared" si="499"/>
        <v>#DIV/0!</v>
      </c>
      <c r="VPL133" s="531" t="e">
        <f t="shared" si="499"/>
        <v>#DIV/0!</v>
      </c>
      <c r="VPM133" s="531" t="e">
        <f t="shared" si="499"/>
        <v>#DIV/0!</v>
      </c>
      <c r="VPN133" s="531" t="e">
        <f t="shared" si="499"/>
        <v>#DIV/0!</v>
      </c>
      <c r="VPO133" s="531" t="e">
        <f t="shared" ref="VPO133:VRZ133" si="500">VPO116/(VPO52*10^5)</f>
        <v>#DIV/0!</v>
      </c>
      <c r="VPP133" s="531" t="e">
        <f t="shared" si="500"/>
        <v>#DIV/0!</v>
      </c>
      <c r="VPQ133" s="531" t="e">
        <f t="shared" si="500"/>
        <v>#DIV/0!</v>
      </c>
      <c r="VPR133" s="531" t="e">
        <f t="shared" si="500"/>
        <v>#DIV/0!</v>
      </c>
      <c r="VPS133" s="531" t="e">
        <f t="shared" si="500"/>
        <v>#DIV/0!</v>
      </c>
      <c r="VPT133" s="531" t="e">
        <f t="shared" si="500"/>
        <v>#DIV/0!</v>
      </c>
      <c r="VPU133" s="531" t="e">
        <f t="shared" si="500"/>
        <v>#DIV/0!</v>
      </c>
      <c r="VPV133" s="531" t="e">
        <f t="shared" si="500"/>
        <v>#DIV/0!</v>
      </c>
      <c r="VPW133" s="531" t="e">
        <f t="shared" si="500"/>
        <v>#DIV/0!</v>
      </c>
      <c r="VPX133" s="531" t="e">
        <f t="shared" si="500"/>
        <v>#DIV/0!</v>
      </c>
      <c r="VPY133" s="531" t="e">
        <f t="shared" si="500"/>
        <v>#DIV/0!</v>
      </c>
      <c r="VPZ133" s="531" t="e">
        <f t="shared" si="500"/>
        <v>#DIV/0!</v>
      </c>
      <c r="VQA133" s="531" t="e">
        <f t="shared" si="500"/>
        <v>#DIV/0!</v>
      </c>
      <c r="VQB133" s="531" t="e">
        <f t="shared" si="500"/>
        <v>#DIV/0!</v>
      </c>
      <c r="VQC133" s="531" t="e">
        <f t="shared" si="500"/>
        <v>#DIV/0!</v>
      </c>
      <c r="VQD133" s="531" t="e">
        <f t="shared" si="500"/>
        <v>#DIV/0!</v>
      </c>
      <c r="VQE133" s="531" t="e">
        <f t="shared" si="500"/>
        <v>#DIV/0!</v>
      </c>
      <c r="VQF133" s="531" t="e">
        <f t="shared" si="500"/>
        <v>#DIV/0!</v>
      </c>
      <c r="VQG133" s="531" t="e">
        <f t="shared" si="500"/>
        <v>#DIV/0!</v>
      </c>
      <c r="VQH133" s="531" t="e">
        <f t="shared" si="500"/>
        <v>#DIV/0!</v>
      </c>
      <c r="VQI133" s="531" t="e">
        <f t="shared" si="500"/>
        <v>#DIV/0!</v>
      </c>
      <c r="VQJ133" s="531" t="e">
        <f t="shared" si="500"/>
        <v>#DIV/0!</v>
      </c>
      <c r="VQK133" s="531" t="e">
        <f t="shared" si="500"/>
        <v>#DIV/0!</v>
      </c>
      <c r="VQL133" s="531" t="e">
        <f t="shared" si="500"/>
        <v>#DIV/0!</v>
      </c>
      <c r="VQM133" s="531" t="e">
        <f t="shared" si="500"/>
        <v>#DIV/0!</v>
      </c>
      <c r="VQN133" s="531" t="e">
        <f t="shared" si="500"/>
        <v>#DIV/0!</v>
      </c>
      <c r="VQO133" s="531" t="e">
        <f t="shared" si="500"/>
        <v>#DIV/0!</v>
      </c>
      <c r="VQP133" s="531" t="e">
        <f t="shared" si="500"/>
        <v>#DIV/0!</v>
      </c>
      <c r="VQQ133" s="531" t="e">
        <f t="shared" si="500"/>
        <v>#DIV/0!</v>
      </c>
      <c r="VQR133" s="531" t="e">
        <f t="shared" si="500"/>
        <v>#DIV/0!</v>
      </c>
      <c r="VQS133" s="531" t="e">
        <f t="shared" si="500"/>
        <v>#DIV/0!</v>
      </c>
      <c r="VQT133" s="531" t="e">
        <f t="shared" si="500"/>
        <v>#DIV/0!</v>
      </c>
      <c r="VQU133" s="531" t="e">
        <f t="shared" si="500"/>
        <v>#DIV/0!</v>
      </c>
      <c r="VQV133" s="531" t="e">
        <f t="shared" si="500"/>
        <v>#DIV/0!</v>
      </c>
      <c r="VQW133" s="531" t="e">
        <f t="shared" si="500"/>
        <v>#DIV/0!</v>
      </c>
      <c r="VQX133" s="531" t="e">
        <f t="shared" si="500"/>
        <v>#DIV/0!</v>
      </c>
      <c r="VQY133" s="531" t="e">
        <f t="shared" si="500"/>
        <v>#DIV/0!</v>
      </c>
      <c r="VQZ133" s="531" t="e">
        <f t="shared" si="500"/>
        <v>#DIV/0!</v>
      </c>
      <c r="VRA133" s="531" t="e">
        <f t="shared" si="500"/>
        <v>#DIV/0!</v>
      </c>
      <c r="VRB133" s="531" t="e">
        <f t="shared" si="500"/>
        <v>#DIV/0!</v>
      </c>
      <c r="VRC133" s="531" t="e">
        <f t="shared" si="500"/>
        <v>#DIV/0!</v>
      </c>
      <c r="VRD133" s="531" t="e">
        <f t="shared" si="500"/>
        <v>#DIV/0!</v>
      </c>
      <c r="VRE133" s="531" t="e">
        <f t="shared" si="500"/>
        <v>#DIV/0!</v>
      </c>
      <c r="VRF133" s="531" t="e">
        <f t="shared" si="500"/>
        <v>#DIV/0!</v>
      </c>
      <c r="VRG133" s="531" t="e">
        <f t="shared" si="500"/>
        <v>#DIV/0!</v>
      </c>
      <c r="VRH133" s="531" t="e">
        <f t="shared" si="500"/>
        <v>#DIV/0!</v>
      </c>
      <c r="VRI133" s="531" t="e">
        <f t="shared" si="500"/>
        <v>#DIV/0!</v>
      </c>
      <c r="VRJ133" s="531" t="e">
        <f t="shared" si="500"/>
        <v>#DIV/0!</v>
      </c>
      <c r="VRK133" s="531" t="e">
        <f t="shared" si="500"/>
        <v>#DIV/0!</v>
      </c>
      <c r="VRL133" s="531" t="e">
        <f t="shared" si="500"/>
        <v>#DIV/0!</v>
      </c>
      <c r="VRM133" s="531" t="e">
        <f t="shared" si="500"/>
        <v>#DIV/0!</v>
      </c>
      <c r="VRN133" s="531" t="e">
        <f t="shared" si="500"/>
        <v>#DIV/0!</v>
      </c>
      <c r="VRO133" s="531" t="e">
        <f t="shared" si="500"/>
        <v>#DIV/0!</v>
      </c>
      <c r="VRP133" s="531" t="e">
        <f t="shared" si="500"/>
        <v>#DIV/0!</v>
      </c>
      <c r="VRQ133" s="531" t="e">
        <f t="shared" si="500"/>
        <v>#DIV/0!</v>
      </c>
      <c r="VRR133" s="531" t="e">
        <f t="shared" si="500"/>
        <v>#DIV/0!</v>
      </c>
      <c r="VRS133" s="531" t="e">
        <f t="shared" si="500"/>
        <v>#DIV/0!</v>
      </c>
      <c r="VRT133" s="531" t="e">
        <f t="shared" si="500"/>
        <v>#DIV/0!</v>
      </c>
      <c r="VRU133" s="531" t="e">
        <f t="shared" si="500"/>
        <v>#DIV/0!</v>
      </c>
      <c r="VRV133" s="531" t="e">
        <f t="shared" si="500"/>
        <v>#DIV/0!</v>
      </c>
      <c r="VRW133" s="531" t="e">
        <f t="shared" si="500"/>
        <v>#DIV/0!</v>
      </c>
      <c r="VRX133" s="531" t="e">
        <f t="shared" si="500"/>
        <v>#DIV/0!</v>
      </c>
      <c r="VRY133" s="531" t="e">
        <f t="shared" si="500"/>
        <v>#DIV/0!</v>
      </c>
      <c r="VRZ133" s="531" t="e">
        <f t="shared" si="500"/>
        <v>#DIV/0!</v>
      </c>
      <c r="VSA133" s="531" t="e">
        <f t="shared" ref="VSA133:VUL133" si="501">VSA116/(VSA52*10^5)</f>
        <v>#DIV/0!</v>
      </c>
      <c r="VSB133" s="531" t="e">
        <f t="shared" si="501"/>
        <v>#DIV/0!</v>
      </c>
      <c r="VSC133" s="531" t="e">
        <f t="shared" si="501"/>
        <v>#DIV/0!</v>
      </c>
      <c r="VSD133" s="531" t="e">
        <f t="shared" si="501"/>
        <v>#DIV/0!</v>
      </c>
      <c r="VSE133" s="531" t="e">
        <f t="shared" si="501"/>
        <v>#DIV/0!</v>
      </c>
      <c r="VSF133" s="531" t="e">
        <f t="shared" si="501"/>
        <v>#DIV/0!</v>
      </c>
      <c r="VSG133" s="531" t="e">
        <f t="shared" si="501"/>
        <v>#DIV/0!</v>
      </c>
      <c r="VSH133" s="531" t="e">
        <f t="shared" si="501"/>
        <v>#DIV/0!</v>
      </c>
      <c r="VSI133" s="531" t="e">
        <f t="shared" si="501"/>
        <v>#DIV/0!</v>
      </c>
      <c r="VSJ133" s="531" t="e">
        <f t="shared" si="501"/>
        <v>#DIV/0!</v>
      </c>
      <c r="VSK133" s="531" t="e">
        <f t="shared" si="501"/>
        <v>#DIV/0!</v>
      </c>
      <c r="VSL133" s="531" t="e">
        <f t="shared" si="501"/>
        <v>#DIV/0!</v>
      </c>
      <c r="VSM133" s="531" t="e">
        <f t="shared" si="501"/>
        <v>#DIV/0!</v>
      </c>
      <c r="VSN133" s="531" t="e">
        <f t="shared" si="501"/>
        <v>#DIV/0!</v>
      </c>
      <c r="VSO133" s="531" t="e">
        <f t="shared" si="501"/>
        <v>#DIV/0!</v>
      </c>
      <c r="VSP133" s="531" t="e">
        <f t="shared" si="501"/>
        <v>#DIV/0!</v>
      </c>
      <c r="VSQ133" s="531" t="e">
        <f t="shared" si="501"/>
        <v>#DIV/0!</v>
      </c>
      <c r="VSR133" s="531" t="e">
        <f t="shared" si="501"/>
        <v>#DIV/0!</v>
      </c>
      <c r="VSS133" s="531" t="e">
        <f t="shared" si="501"/>
        <v>#DIV/0!</v>
      </c>
      <c r="VST133" s="531" t="e">
        <f t="shared" si="501"/>
        <v>#DIV/0!</v>
      </c>
      <c r="VSU133" s="531" t="e">
        <f t="shared" si="501"/>
        <v>#DIV/0!</v>
      </c>
      <c r="VSV133" s="531" t="e">
        <f t="shared" si="501"/>
        <v>#DIV/0!</v>
      </c>
      <c r="VSW133" s="531" t="e">
        <f t="shared" si="501"/>
        <v>#DIV/0!</v>
      </c>
      <c r="VSX133" s="531" t="e">
        <f t="shared" si="501"/>
        <v>#DIV/0!</v>
      </c>
      <c r="VSY133" s="531" t="e">
        <f t="shared" si="501"/>
        <v>#DIV/0!</v>
      </c>
      <c r="VSZ133" s="531" t="e">
        <f t="shared" si="501"/>
        <v>#DIV/0!</v>
      </c>
      <c r="VTA133" s="531" t="e">
        <f t="shared" si="501"/>
        <v>#DIV/0!</v>
      </c>
      <c r="VTB133" s="531" t="e">
        <f t="shared" si="501"/>
        <v>#DIV/0!</v>
      </c>
      <c r="VTC133" s="531" t="e">
        <f t="shared" si="501"/>
        <v>#DIV/0!</v>
      </c>
      <c r="VTD133" s="531" t="e">
        <f t="shared" si="501"/>
        <v>#DIV/0!</v>
      </c>
      <c r="VTE133" s="531" t="e">
        <f t="shared" si="501"/>
        <v>#DIV/0!</v>
      </c>
      <c r="VTF133" s="531" t="e">
        <f t="shared" si="501"/>
        <v>#DIV/0!</v>
      </c>
      <c r="VTG133" s="531" t="e">
        <f t="shared" si="501"/>
        <v>#DIV/0!</v>
      </c>
      <c r="VTH133" s="531" t="e">
        <f t="shared" si="501"/>
        <v>#DIV/0!</v>
      </c>
      <c r="VTI133" s="531" t="e">
        <f t="shared" si="501"/>
        <v>#DIV/0!</v>
      </c>
      <c r="VTJ133" s="531" t="e">
        <f t="shared" si="501"/>
        <v>#DIV/0!</v>
      </c>
      <c r="VTK133" s="531" t="e">
        <f t="shared" si="501"/>
        <v>#DIV/0!</v>
      </c>
      <c r="VTL133" s="531" t="e">
        <f t="shared" si="501"/>
        <v>#DIV/0!</v>
      </c>
      <c r="VTM133" s="531" t="e">
        <f t="shared" si="501"/>
        <v>#DIV/0!</v>
      </c>
      <c r="VTN133" s="531" t="e">
        <f t="shared" si="501"/>
        <v>#DIV/0!</v>
      </c>
      <c r="VTO133" s="531" t="e">
        <f t="shared" si="501"/>
        <v>#DIV/0!</v>
      </c>
      <c r="VTP133" s="531" t="e">
        <f t="shared" si="501"/>
        <v>#DIV/0!</v>
      </c>
      <c r="VTQ133" s="531" t="e">
        <f t="shared" si="501"/>
        <v>#DIV/0!</v>
      </c>
      <c r="VTR133" s="531" t="e">
        <f t="shared" si="501"/>
        <v>#DIV/0!</v>
      </c>
      <c r="VTS133" s="531" t="e">
        <f t="shared" si="501"/>
        <v>#DIV/0!</v>
      </c>
      <c r="VTT133" s="531" t="e">
        <f t="shared" si="501"/>
        <v>#DIV/0!</v>
      </c>
      <c r="VTU133" s="531" t="e">
        <f t="shared" si="501"/>
        <v>#DIV/0!</v>
      </c>
      <c r="VTV133" s="531" t="e">
        <f t="shared" si="501"/>
        <v>#DIV/0!</v>
      </c>
      <c r="VTW133" s="531" t="e">
        <f t="shared" si="501"/>
        <v>#DIV/0!</v>
      </c>
      <c r="VTX133" s="531" t="e">
        <f t="shared" si="501"/>
        <v>#DIV/0!</v>
      </c>
      <c r="VTY133" s="531" t="e">
        <f t="shared" si="501"/>
        <v>#DIV/0!</v>
      </c>
      <c r="VTZ133" s="531" t="e">
        <f t="shared" si="501"/>
        <v>#DIV/0!</v>
      </c>
      <c r="VUA133" s="531" t="e">
        <f t="shared" si="501"/>
        <v>#DIV/0!</v>
      </c>
      <c r="VUB133" s="531" t="e">
        <f t="shared" si="501"/>
        <v>#DIV/0!</v>
      </c>
      <c r="VUC133" s="531" t="e">
        <f t="shared" si="501"/>
        <v>#DIV/0!</v>
      </c>
      <c r="VUD133" s="531" t="e">
        <f t="shared" si="501"/>
        <v>#DIV/0!</v>
      </c>
      <c r="VUE133" s="531" t="e">
        <f t="shared" si="501"/>
        <v>#DIV/0!</v>
      </c>
      <c r="VUF133" s="531" t="e">
        <f t="shared" si="501"/>
        <v>#DIV/0!</v>
      </c>
      <c r="VUG133" s="531" t="e">
        <f t="shared" si="501"/>
        <v>#DIV/0!</v>
      </c>
      <c r="VUH133" s="531" t="e">
        <f t="shared" si="501"/>
        <v>#DIV/0!</v>
      </c>
      <c r="VUI133" s="531" t="e">
        <f t="shared" si="501"/>
        <v>#DIV/0!</v>
      </c>
      <c r="VUJ133" s="531" t="e">
        <f t="shared" si="501"/>
        <v>#DIV/0!</v>
      </c>
      <c r="VUK133" s="531" t="e">
        <f t="shared" si="501"/>
        <v>#DIV/0!</v>
      </c>
      <c r="VUL133" s="531" t="e">
        <f t="shared" si="501"/>
        <v>#DIV/0!</v>
      </c>
      <c r="VUM133" s="531" t="e">
        <f t="shared" ref="VUM133:VWX133" si="502">VUM116/(VUM52*10^5)</f>
        <v>#DIV/0!</v>
      </c>
      <c r="VUN133" s="531" t="e">
        <f t="shared" si="502"/>
        <v>#DIV/0!</v>
      </c>
      <c r="VUO133" s="531" t="e">
        <f t="shared" si="502"/>
        <v>#DIV/0!</v>
      </c>
      <c r="VUP133" s="531" t="e">
        <f t="shared" si="502"/>
        <v>#DIV/0!</v>
      </c>
      <c r="VUQ133" s="531" t="e">
        <f t="shared" si="502"/>
        <v>#DIV/0!</v>
      </c>
      <c r="VUR133" s="531" t="e">
        <f t="shared" si="502"/>
        <v>#DIV/0!</v>
      </c>
      <c r="VUS133" s="531" t="e">
        <f t="shared" si="502"/>
        <v>#DIV/0!</v>
      </c>
      <c r="VUT133" s="531" t="e">
        <f t="shared" si="502"/>
        <v>#DIV/0!</v>
      </c>
      <c r="VUU133" s="531" t="e">
        <f t="shared" si="502"/>
        <v>#DIV/0!</v>
      </c>
      <c r="VUV133" s="531" t="e">
        <f t="shared" si="502"/>
        <v>#DIV/0!</v>
      </c>
      <c r="VUW133" s="531" t="e">
        <f t="shared" si="502"/>
        <v>#DIV/0!</v>
      </c>
      <c r="VUX133" s="531" t="e">
        <f t="shared" si="502"/>
        <v>#DIV/0!</v>
      </c>
      <c r="VUY133" s="531" t="e">
        <f t="shared" si="502"/>
        <v>#DIV/0!</v>
      </c>
      <c r="VUZ133" s="531" t="e">
        <f t="shared" si="502"/>
        <v>#DIV/0!</v>
      </c>
      <c r="VVA133" s="531" t="e">
        <f t="shared" si="502"/>
        <v>#DIV/0!</v>
      </c>
      <c r="VVB133" s="531" t="e">
        <f t="shared" si="502"/>
        <v>#DIV/0!</v>
      </c>
      <c r="VVC133" s="531" t="e">
        <f t="shared" si="502"/>
        <v>#DIV/0!</v>
      </c>
      <c r="VVD133" s="531" t="e">
        <f t="shared" si="502"/>
        <v>#DIV/0!</v>
      </c>
      <c r="VVE133" s="531" t="e">
        <f t="shared" si="502"/>
        <v>#DIV/0!</v>
      </c>
      <c r="VVF133" s="531" t="e">
        <f t="shared" si="502"/>
        <v>#DIV/0!</v>
      </c>
      <c r="VVG133" s="531" t="e">
        <f t="shared" si="502"/>
        <v>#DIV/0!</v>
      </c>
      <c r="VVH133" s="531" t="e">
        <f t="shared" si="502"/>
        <v>#DIV/0!</v>
      </c>
      <c r="VVI133" s="531" t="e">
        <f t="shared" si="502"/>
        <v>#DIV/0!</v>
      </c>
      <c r="VVJ133" s="531" t="e">
        <f t="shared" si="502"/>
        <v>#DIV/0!</v>
      </c>
      <c r="VVK133" s="531" t="e">
        <f t="shared" si="502"/>
        <v>#DIV/0!</v>
      </c>
      <c r="VVL133" s="531" t="e">
        <f t="shared" si="502"/>
        <v>#DIV/0!</v>
      </c>
      <c r="VVM133" s="531" t="e">
        <f t="shared" si="502"/>
        <v>#DIV/0!</v>
      </c>
      <c r="VVN133" s="531" t="e">
        <f t="shared" si="502"/>
        <v>#DIV/0!</v>
      </c>
      <c r="VVO133" s="531" t="e">
        <f t="shared" si="502"/>
        <v>#DIV/0!</v>
      </c>
      <c r="VVP133" s="531" t="e">
        <f t="shared" si="502"/>
        <v>#DIV/0!</v>
      </c>
      <c r="VVQ133" s="531" t="e">
        <f t="shared" si="502"/>
        <v>#DIV/0!</v>
      </c>
      <c r="VVR133" s="531" t="e">
        <f t="shared" si="502"/>
        <v>#DIV/0!</v>
      </c>
      <c r="VVS133" s="531" t="e">
        <f t="shared" si="502"/>
        <v>#DIV/0!</v>
      </c>
      <c r="VVT133" s="531" t="e">
        <f t="shared" si="502"/>
        <v>#DIV/0!</v>
      </c>
      <c r="VVU133" s="531" t="e">
        <f t="shared" si="502"/>
        <v>#DIV/0!</v>
      </c>
      <c r="VVV133" s="531" t="e">
        <f t="shared" si="502"/>
        <v>#DIV/0!</v>
      </c>
      <c r="VVW133" s="531" t="e">
        <f t="shared" si="502"/>
        <v>#DIV/0!</v>
      </c>
      <c r="VVX133" s="531" t="e">
        <f t="shared" si="502"/>
        <v>#DIV/0!</v>
      </c>
      <c r="VVY133" s="531" t="e">
        <f t="shared" si="502"/>
        <v>#DIV/0!</v>
      </c>
      <c r="VVZ133" s="531" t="e">
        <f t="shared" si="502"/>
        <v>#DIV/0!</v>
      </c>
      <c r="VWA133" s="531" t="e">
        <f t="shared" si="502"/>
        <v>#DIV/0!</v>
      </c>
      <c r="VWB133" s="531" t="e">
        <f t="shared" si="502"/>
        <v>#DIV/0!</v>
      </c>
      <c r="VWC133" s="531" t="e">
        <f t="shared" si="502"/>
        <v>#DIV/0!</v>
      </c>
      <c r="VWD133" s="531" t="e">
        <f t="shared" si="502"/>
        <v>#DIV/0!</v>
      </c>
      <c r="VWE133" s="531" t="e">
        <f t="shared" si="502"/>
        <v>#DIV/0!</v>
      </c>
      <c r="VWF133" s="531" t="e">
        <f t="shared" si="502"/>
        <v>#DIV/0!</v>
      </c>
      <c r="VWG133" s="531" t="e">
        <f t="shared" si="502"/>
        <v>#DIV/0!</v>
      </c>
      <c r="VWH133" s="531" t="e">
        <f t="shared" si="502"/>
        <v>#DIV/0!</v>
      </c>
      <c r="VWI133" s="531" t="e">
        <f t="shared" si="502"/>
        <v>#DIV/0!</v>
      </c>
      <c r="VWJ133" s="531" t="e">
        <f t="shared" si="502"/>
        <v>#DIV/0!</v>
      </c>
      <c r="VWK133" s="531" t="e">
        <f t="shared" si="502"/>
        <v>#DIV/0!</v>
      </c>
      <c r="VWL133" s="531" t="e">
        <f t="shared" si="502"/>
        <v>#DIV/0!</v>
      </c>
      <c r="VWM133" s="531" t="e">
        <f t="shared" si="502"/>
        <v>#DIV/0!</v>
      </c>
      <c r="VWN133" s="531" t="e">
        <f t="shared" si="502"/>
        <v>#DIV/0!</v>
      </c>
      <c r="VWO133" s="531" t="e">
        <f t="shared" si="502"/>
        <v>#DIV/0!</v>
      </c>
      <c r="VWP133" s="531" t="e">
        <f t="shared" si="502"/>
        <v>#DIV/0!</v>
      </c>
      <c r="VWQ133" s="531" t="e">
        <f t="shared" si="502"/>
        <v>#DIV/0!</v>
      </c>
      <c r="VWR133" s="531" t="e">
        <f t="shared" si="502"/>
        <v>#DIV/0!</v>
      </c>
      <c r="VWS133" s="531" t="e">
        <f t="shared" si="502"/>
        <v>#DIV/0!</v>
      </c>
      <c r="VWT133" s="531" t="e">
        <f t="shared" si="502"/>
        <v>#DIV/0!</v>
      </c>
      <c r="VWU133" s="531" t="e">
        <f t="shared" si="502"/>
        <v>#DIV/0!</v>
      </c>
      <c r="VWV133" s="531" t="e">
        <f t="shared" si="502"/>
        <v>#DIV/0!</v>
      </c>
      <c r="VWW133" s="531" t="e">
        <f t="shared" si="502"/>
        <v>#DIV/0!</v>
      </c>
      <c r="VWX133" s="531" t="e">
        <f t="shared" si="502"/>
        <v>#DIV/0!</v>
      </c>
      <c r="VWY133" s="531" t="e">
        <f t="shared" ref="VWY133:VZJ133" si="503">VWY116/(VWY52*10^5)</f>
        <v>#DIV/0!</v>
      </c>
      <c r="VWZ133" s="531" t="e">
        <f t="shared" si="503"/>
        <v>#DIV/0!</v>
      </c>
      <c r="VXA133" s="531" t="e">
        <f t="shared" si="503"/>
        <v>#DIV/0!</v>
      </c>
      <c r="VXB133" s="531" t="e">
        <f t="shared" si="503"/>
        <v>#DIV/0!</v>
      </c>
      <c r="VXC133" s="531" t="e">
        <f t="shared" si="503"/>
        <v>#DIV/0!</v>
      </c>
      <c r="VXD133" s="531" t="e">
        <f t="shared" si="503"/>
        <v>#DIV/0!</v>
      </c>
      <c r="VXE133" s="531" t="e">
        <f t="shared" si="503"/>
        <v>#DIV/0!</v>
      </c>
      <c r="VXF133" s="531" t="e">
        <f t="shared" si="503"/>
        <v>#DIV/0!</v>
      </c>
      <c r="VXG133" s="531" t="e">
        <f t="shared" si="503"/>
        <v>#DIV/0!</v>
      </c>
      <c r="VXH133" s="531" t="e">
        <f t="shared" si="503"/>
        <v>#DIV/0!</v>
      </c>
      <c r="VXI133" s="531" t="e">
        <f t="shared" si="503"/>
        <v>#DIV/0!</v>
      </c>
      <c r="VXJ133" s="531" t="e">
        <f t="shared" si="503"/>
        <v>#DIV/0!</v>
      </c>
      <c r="VXK133" s="531" t="e">
        <f t="shared" si="503"/>
        <v>#DIV/0!</v>
      </c>
      <c r="VXL133" s="531" t="e">
        <f t="shared" si="503"/>
        <v>#DIV/0!</v>
      </c>
      <c r="VXM133" s="531" t="e">
        <f t="shared" si="503"/>
        <v>#DIV/0!</v>
      </c>
      <c r="VXN133" s="531" t="e">
        <f t="shared" si="503"/>
        <v>#DIV/0!</v>
      </c>
      <c r="VXO133" s="531" t="e">
        <f t="shared" si="503"/>
        <v>#DIV/0!</v>
      </c>
      <c r="VXP133" s="531" t="e">
        <f t="shared" si="503"/>
        <v>#DIV/0!</v>
      </c>
      <c r="VXQ133" s="531" t="e">
        <f t="shared" si="503"/>
        <v>#DIV/0!</v>
      </c>
      <c r="VXR133" s="531" t="e">
        <f t="shared" si="503"/>
        <v>#DIV/0!</v>
      </c>
      <c r="VXS133" s="531" t="e">
        <f t="shared" si="503"/>
        <v>#DIV/0!</v>
      </c>
      <c r="VXT133" s="531" t="e">
        <f t="shared" si="503"/>
        <v>#DIV/0!</v>
      </c>
      <c r="VXU133" s="531" t="e">
        <f t="shared" si="503"/>
        <v>#DIV/0!</v>
      </c>
      <c r="VXV133" s="531" t="e">
        <f t="shared" si="503"/>
        <v>#DIV/0!</v>
      </c>
      <c r="VXW133" s="531" t="e">
        <f t="shared" si="503"/>
        <v>#DIV/0!</v>
      </c>
      <c r="VXX133" s="531" t="e">
        <f t="shared" si="503"/>
        <v>#DIV/0!</v>
      </c>
      <c r="VXY133" s="531" t="e">
        <f t="shared" si="503"/>
        <v>#DIV/0!</v>
      </c>
      <c r="VXZ133" s="531" t="e">
        <f t="shared" si="503"/>
        <v>#DIV/0!</v>
      </c>
      <c r="VYA133" s="531" t="e">
        <f t="shared" si="503"/>
        <v>#DIV/0!</v>
      </c>
      <c r="VYB133" s="531" t="e">
        <f t="shared" si="503"/>
        <v>#DIV/0!</v>
      </c>
      <c r="VYC133" s="531" t="e">
        <f t="shared" si="503"/>
        <v>#DIV/0!</v>
      </c>
      <c r="VYD133" s="531" t="e">
        <f t="shared" si="503"/>
        <v>#DIV/0!</v>
      </c>
      <c r="VYE133" s="531" t="e">
        <f t="shared" si="503"/>
        <v>#DIV/0!</v>
      </c>
      <c r="VYF133" s="531" t="e">
        <f t="shared" si="503"/>
        <v>#DIV/0!</v>
      </c>
      <c r="VYG133" s="531" t="e">
        <f t="shared" si="503"/>
        <v>#DIV/0!</v>
      </c>
      <c r="VYH133" s="531" t="e">
        <f t="shared" si="503"/>
        <v>#DIV/0!</v>
      </c>
      <c r="VYI133" s="531" t="e">
        <f t="shared" si="503"/>
        <v>#DIV/0!</v>
      </c>
      <c r="VYJ133" s="531" t="e">
        <f t="shared" si="503"/>
        <v>#DIV/0!</v>
      </c>
      <c r="VYK133" s="531" t="e">
        <f t="shared" si="503"/>
        <v>#DIV/0!</v>
      </c>
      <c r="VYL133" s="531" t="e">
        <f t="shared" si="503"/>
        <v>#DIV/0!</v>
      </c>
      <c r="VYM133" s="531" t="e">
        <f t="shared" si="503"/>
        <v>#DIV/0!</v>
      </c>
      <c r="VYN133" s="531" t="e">
        <f t="shared" si="503"/>
        <v>#DIV/0!</v>
      </c>
      <c r="VYO133" s="531" t="e">
        <f t="shared" si="503"/>
        <v>#DIV/0!</v>
      </c>
      <c r="VYP133" s="531" t="e">
        <f t="shared" si="503"/>
        <v>#DIV/0!</v>
      </c>
      <c r="VYQ133" s="531" t="e">
        <f t="shared" si="503"/>
        <v>#DIV/0!</v>
      </c>
      <c r="VYR133" s="531" t="e">
        <f t="shared" si="503"/>
        <v>#DIV/0!</v>
      </c>
      <c r="VYS133" s="531" t="e">
        <f t="shared" si="503"/>
        <v>#DIV/0!</v>
      </c>
      <c r="VYT133" s="531" t="e">
        <f t="shared" si="503"/>
        <v>#DIV/0!</v>
      </c>
      <c r="VYU133" s="531" t="e">
        <f t="shared" si="503"/>
        <v>#DIV/0!</v>
      </c>
      <c r="VYV133" s="531" t="e">
        <f t="shared" si="503"/>
        <v>#DIV/0!</v>
      </c>
      <c r="VYW133" s="531" t="e">
        <f t="shared" si="503"/>
        <v>#DIV/0!</v>
      </c>
      <c r="VYX133" s="531" t="e">
        <f t="shared" si="503"/>
        <v>#DIV/0!</v>
      </c>
      <c r="VYY133" s="531" t="e">
        <f t="shared" si="503"/>
        <v>#DIV/0!</v>
      </c>
      <c r="VYZ133" s="531" t="e">
        <f t="shared" si="503"/>
        <v>#DIV/0!</v>
      </c>
      <c r="VZA133" s="531" t="e">
        <f t="shared" si="503"/>
        <v>#DIV/0!</v>
      </c>
      <c r="VZB133" s="531" t="e">
        <f t="shared" si="503"/>
        <v>#DIV/0!</v>
      </c>
      <c r="VZC133" s="531" t="e">
        <f t="shared" si="503"/>
        <v>#DIV/0!</v>
      </c>
      <c r="VZD133" s="531" t="e">
        <f t="shared" si="503"/>
        <v>#DIV/0!</v>
      </c>
      <c r="VZE133" s="531" t="e">
        <f t="shared" si="503"/>
        <v>#DIV/0!</v>
      </c>
      <c r="VZF133" s="531" t="e">
        <f t="shared" si="503"/>
        <v>#DIV/0!</v>
      </c>
      <c r="VZG133" s="531" t="e">
        <f t="shared" si="503"/>
        <v>#DIV/0!</v>
      </c>
      <c r="VZH133" s="531" t="e">
        <f t="shared" si="503"/>
        <v>#DIV/0!</v>
      </c>
      <c r="VZI133" s="531" t="e">
        <f t="shared" si="503"/>
        <v>#DIV/0!</v>
      </c>
      <c r="VZJ133" s="531" t="e">
        <f t="shared" si="503"/>
        <v>#DIV/0!</v>
      </c>
      <c r="VZK133" s="531" t="e">
        <f t="shared" ref="VZK133:WBV133" si="504">VZK116/(VZK52*10^5)</f>
        <v>#DIV/0!</v>
      </c>
      <c r="VZL133" s="531" t="e">
        <f t="shared" si="504"/>
        <v>#DIV/0!</v>
      </c>
      <c r="VZM133" s="531" t="e">
        <f t="shared" si="504"/>
        <v>#DIV/0!</v>
      </c>
      <c r="VZN133" s="531" t="e">
        <f t="shared" si="504"/>
        <v>#DIV/0!</v>
      </c>
      <c r="VZO133" s="531" t="e">
        <f t="shared" si="504"/>
        <v>#DIV/0!</v>
      </c>
      <c r="VZP133" s="531" t="e">
        <f t="shared" si="504"/>
        <v>#DIV/0!</v>
      </c>
      <c r="VZQ133" s="531" t="e">
        <f t="shared" si="504"/>
        <v>#DIV/0!</v>
      </c>
      <c r="VZR133" s="531" t="e">
        <f t="shared" si="504"/>
        <v>#DIV/0!</v>
      </c>
      <c r="VZS133" s="531" t="e">
        <f t="shared" si="504"/>
        <v>#DIV/0!</v>
      </c>
      <c r="VZT133" s="531" t="e">
        <f t="shared" si="504"/>
        <v>#DIV/0!</v>
      </c>
      <c r="VZU133" s="531" t="e">
        <f t="shared" si="504"/>
        <v>#DIV/0!</v>
      </c>
      <c r="VZV133" s="531" t="e">
        <f t="shared" si="504"/>
        <v>#DIV/0!</v>
      </c>
      <c r="VZW133" s="531" t="e">
        <f t="shared" si="504"/>
        <v>#DIV/0!</v>
      </c>
      <c r="VZX133" s="531" t="e">
        <f t="shared" si="504"/>
        <v>#DIV/0!</v>
      </c>
      <c r="VZY133" s="531" t="e">
        <f t="shared" si="504"/>
        <v>#DIV/0!</v>
      </c>
      <c r="VZZ133" s="531" t="e">
        <f t="shared" si="504"/>
        <v>#DIV/0!</v>
      </c>
      <c r="WAA133" s="531" t="e">
        <f t="shared" si="504"/>
        <v>#DIV/0!</v>
      </c>
      <c r="WAB133" s="531" t="e">
        <f t="shared" si="504"/>
        <v>#DIV/0!</v>
      </c>
      <c r="WAC133" s="531" t="e">
        <f t="shared" si="504"/>
        <v>#DIV/0!</v>
      </c>
      <c r="WAD133" s="531" t="e">
        <f t="shared" si="504"/>
        <v>#DIV/0!</v>
      </c>
      <c r="WAE133" s="531" t="e">
        <f t="shared" si="504"/>
        <v>#DIV/0!</v>
      </c>
      <c r="WAF133" s="531" t="e">
        <f t="shared" si="504"/>
        <v>#DIV/0!</v>
      </c>
      <c r="WAG133" s="531" t="e">
        <f t="shared" si="504"/>
        <v>#DIV/0!</v>
      </c>
      <c r="WAH133" s="531" t="e">
        <f t="shared" si="504"/>
        <v>#DIV/0!</v>
      </c>
      <c r="WAI133" s="531" t="e">
        <f t="shared" si="504"/>
        <v>#DIV/0!</v>
      </c>
      <c r="WAJ133" s="531" t="e">
        <f t="shared" si="504"/>
        <v>#DIV/0!</v>
      </c>
      <c r="WAK133" s="531" t="e">
        <f t="shared" si="504"/>
        <v>#DIV/0!</v>
      </c>
      <c r="WAL133" s="531" t="e">
        <f t="shared" si="504"/>
        <v>#DIV/0!</v>
      </c>
      <c r="WAM133" s="531" t="e">
        <f t="shared" si="504"/>
        <v>#DIV/0!</v>
      </c>
      <c r="WAN133" s="531" t="e">
        <f t="shared" si="504"/>
        <v>#DIV/0!</v>
      </c>
      <c r="WAO133" s="531" t="e">
        <f t="shared" si="504"/>
        <v>#DIV/0!</v>
      </c>
      <c r="WAP133" s="531" t="e">
        <f t="shared" si="504"/>
        <v>#DIV/0!</v>
      </c>
      <c r="WAQ133" s="531" t="e">
        <f t="shared" si="504"/>
        <v>#DIV/0!</v>
      </c>
      <c r="WAR133" s="531" t="e">
        <f t="shared" si="504"/>
        <v>#DIV/0!</v>
      </c>
      <c r="WAS133" s="531" t="e">
        <f t="shared" si="504"/>
        <v>#DIV/0!</v>
      </c>
      <c r="WAT133" s="531" t="e">
        <f t="shared" si="504"/>
        <v>#DIV/0!</v>
      </c>
      <c r="WAU133" s="531" t="e">
        <f t="shared" si="504"/>
        <v>#DIV/0!</v>
      </c>
      <c r="WAV133" s="531" t="e">
        <f t="shared" si="504"/>
        <v>#DIV/0!</v>
      </c>
      <c r="WAW133" s="531" t="e">
        <f t="shared" si="504"/>
        <v>#DIV/0!</v>
      </c>
      <c r="WAX133" s="531" t="e">
        <f t="shared" si="504"/>
        <v>#DIV/0!</v>
      </c>
      <c r="WAY133" s="531" t="e">
        <f t="shared" si="504"/>
        <v>#DIV/0!</v>
      </c>
      <c r="WAZ133" s="531" t="e">
        <f t="shared" si="504"/>
        <v>#DIV/0!</v>
      </c>
      <c r="WBA133" s="531" t="e">
        <f t="shared" si="504"/>
        <v>#DIV/0!</v>
      </c>
      <c r="WBB133" s="531" t="e">
        <f t="shared" si="504"/>
        <v>#DIV/0!</v>
      </c>
      <c r="WBC133" s="531" t="e">
        <f t="shared" si="504"/>
        <v>#DIV/0!</v>
      </c>
      <c r="WBD133" s="531" t="e">
        <f t="shared" si="504"/>
        <v>#DIV/0!</v>
      </c>
      <c r="WBE133" s="531" t="e">
        <f t="shared" si="504"/>
        <v>#DIV/0!</v>
      </c>
      <c r="WBF133" s="531" t="e">
        <f t="shared" si="504"/>
        <v>#DIV/0!</v>
      </c>
      <c r="WBG133" s="531" t="e">
        <f t="shared" si="504"/>
        <v>#DIV/0!</v>
      </c>
      <c r="WBH133" s="531" t="e">
        <f t="shared" si="504"/>
        <v>#DIV/0!</v>
      </c>
      <c r="WBI133" s="531" t="e">
        <f t="shared" si="504"/>
        <v>#DIV/0!</v>
      </c>
      <c r="WBJ133" s="531" t="e">
        <f t="shared" si="504"/>
        <v>#DIV/0!</v>
      </c>
      <c r="WBK133" s="531" t="e">
        <f t="shared" si="504"/>
        <v>#DIV/0!</v>
      </c>
      <c r="WBL133" s="531" t="e">
        <f t="shared" si="504"/>
        <v>#DIV/0!</v>
      </c>
      <c r="WBM133" s="531" t="e">
        <f t="shared" si="504"/>
        <v>#DIV/0!</v>
      </c>
      <c r="WBN133" s="531" t="e">
        <f t="shared" si="504"/>
        <v>#DIV/0!</v>
      </c>
      <c r="WBO133" s="531" t="e">
        <f t="shared" si="504"/>
        <v>#DIV/0!</v>
      </c>
      <c r="WBP133" s="531" t="e">
        <f t="shared" si="504"/>
        <v>#DIV/0!</v>
      </c>
      <c r="WBQ133" s="531" t="e">
        <f t="shared" si="504"/>
        <v>#DIV/0!</v>
      </c>
      <c r="WBR133" s="531" t="e">
        <f t="shared" si="504"/>
        <v>#DIV/0!</v>
      </c>
      <c r="WBS133" s="531" t="e">
        <f t="shared" si="504"/>
        <v>#DIV/0!</v>
      </c>
      <c r="WBT133" s="531" t="e">
        <f t="shared" si="504"/>
        <v>#DIV/0!</v>
      </c>
      <c r="WBU133" s="531" t="e">
        <f t="shared" si="504"/>
        <v>#DIV/0!</v>
      </c>
      <c r="WBV133" s="531" t="e">
        <f t="shared" si="504"/>
        <v>#DIV/0!</v>
      </c>
      <c r="WBW133" s="531" t="e">
        <f t="shared" ref="WBW133:WEH133" si="505">WBW116/(WBW52*10^5)</f>
        <v>#DIV/0!</v>
      </c>
      <c r="WBX133" s="531" t="e">
        <f t="shared" si="505"/>
        <v>#DIV/0!</v>
      </c>
      <c r="WBY133" s="531" t="e">
        <f t="shared" si="505"/>
        <v>#DIV/0!</v>
      </c>
      <c r="WBZ133" s="531" t="e">
        <f t="shared" si="505"/>
        <v>#DIV/0!</v>
      </c>
      <c r="WCA133" s="531" t="e">
        <f t="shared" si="505"/>
        <v>#DIV/0!</v>
      </c>
      <c r="WCB133" s="531" t="e">
        <f t="shared" si="505"/>
        <v>#DIV/0!</v>
      </c>
      <c r="WCC133" s="531" t="e">
        <f t="shared" si="505"/>
        <v>#DIV/0!</v>
      </c>
      <c r="WCD133" s="531" t="e">
        <f t="shared" si="505"/>
        <v>#DIV/0!</v>
      </c>
      <c r="WCE133" s="531" t="e">
        <f t="shared" si="505"/>
        <v>#DIV/0!</v>
      </c>
      <c r="WCF133" s="531" t="e">
        <f t="shared" si="505"/>
        <v>#DIV/0!</v>
      </c>
      <c r="WCG133" s="531" t="e">
        <f t="shared" si="505"/>
        <v>#DIV/0!</v>
      </c>
      <c r="WCH133" s="531" t="e">
        <f t="shared" si="505"/>
        <v>#DIV/0!</v>
      </c>
      <c r="WCI133" s="531" t="e">
        <f t="shared" si="505"/>
        <v>#DIV/0!</v>
      </c>
      <c r="WCJ133" s="531" t="e">
        <f t="shared" si="505"/>
        <v>#DIV/0!</v>
      </c>
      <c r="WCK133" s="531" t="e">
        <f t="shared" si="505"/>
        <v>#DIV/0!</v>
      </c>
      <c r="WCL133" s="531" t="e">
        <f t="shared" si="505"/>
        <v>#DIV/0!</v>
      </c>
      <c r="WCM133" s="531" t="e">
        <f t="shared" si="505"/>
        <v>#DIV/0!</v>
      </c>
      <c r="WCN133" s="531" t="e">
        <f t="shared" si="505"/>
        <v>#DIV/0!</v>
      </c>
      <c r="WCO133" s="531" t="e">
        <f t="shared" si="505"/>
        <v>#DIV/0!</v>
      </c>
      <c r="WCP133" s="531" t="e">
        <f t="shared" si="505"/>
        <v>#DIV/0!</v>
      </c>
      <c r="WCQ133" s="531" t="e">
        <f t="shared" si="505"/>
        <v>#DIV/0!</v>
      </c>
      <c r="WCR133" s="531" t="e">
        <f t="shared" si="505"/>
        <v>#DIV/0!</v>
      </c>
      <c r="WCS133" s="531" t="e">
        <f t="shared" si="505"/>
        <v>#DIV/0!</v>
      </c>
      <c r="WCT133" s="531" t="e">
        <f t="shared" si="505"/>
        <v>#DIV/0!</v>
      </c>
      <c r="WCU133" s="531" t="e">
        <f t="shared" si="505"/>
        <v>#DIV/0!</v>
      </c>
      <c r="WCV133" s="531" t="e">
        <f t="shared" si="505"/>
        <v>#DIV/0!</v>
      </c>
      <c r="WCW133" s="531" t="e">
        <f t="shared" si="505"/>
        <v>#DIV/0!</v>
      </c>
      <c r="WCX133" s="531" t="e">
        <f t="shared" si="505"/>
        <v>#DIV/0!</v>
      </c>
      <c r="WCY133" s="531" t="e">
        <f t="shared" si="505"/>
        <v>#DIV/0!</v>
      </c>
      <c r="WCZ133" s="531" t="e">
        <f t="shared" si="505"/>
        <v>#DIV/0!</v>
      </c>
      <c r="WDA133" s="531" t="e">
        <f t="shared" si="505"/>
        <v>#DIV/0!</v>
      </c>
      <c r="WDB133" s="531" t="e">
        <f t="shared" si="505"/>
        <v>#DIV/0!</v>
      </c>
      <c r="WDC133" s="531" t="e">
        <f t="shared" si="505"/>
        <v>#DIV/0!</v>
      </c>
      <c r="WDD133" s="531" t="e">
        <f t="shared" si="505"/>
        <v>#DIV/0!</v>
      </c>
      <c r="WDE133" s="531" t="e">
        <f t="shared" si="505"/>
        <v>#DIV/0!</v>
      </c>
      <c r="WDF133" s="531" t="e">
        <f t="shared" si="505"/>
        <v>#DIV/0!</v>
      </c>
      <c r="WDG133" s="531" t="e">
        <f t="shared" si="505"/>
        <v>#DIV/0!</v>
      </c>
      <c r="WDH133" s="531" t="e">
        <f t="shared" si="505"/>
        <v>#DIV/0!</v>
      </c>
      <c r="WDI133" s="531" t="e">
        <f t="shared" si="505"/>
        <v>#DIV/0!</v>
      </c>
      <c r="WDJ133" s="531" t="e">
        <f t="shared" si="505"/>
        <v>#DIV/0!</v>
      </c>
      <c r="WDK133" s="531" t="e">
        <f t="shared" si="505"/>
        <v>#DIV/0!</v>
      </c>
      <c r="WDL133" s="531" t="e">
        <f t="shared" si="505"/>
        <v>#DIV/0!</v>
      </c>
      <c r="WDM133" s="531" t="e">
        <f t="shared" si="505"/>
        <v>#DIV/0!</v>
      </c>
      <c r="WDN133" s="531" t="e">
        <f t="shared" si="505"/>
        <v>#DIV/0!</v>
      </c>
      <c r="WDO133" s="531" t="e">
        <f t="shared" si="505"/>
        <v>#DIV/0!</v>
      </c>
      <c r="WDP133" s="531" t="e">
        <f t="shared" si="505"/>
        <v>#DIV/0!</v>
      </c>
      <c r="WDQ133" s="531" t="e">
        <f t="shared" si="505"/>
        <v>#DIV/0!</v>
      </c>
      <c r="WDR133" s="531" t="e">
        <f t="shared" si="505"/>
        <v>#DIV/0!</v>
      </c>
      <c r="WDS133" s="531" t="e">
        <f t="shared" si="505"/>
        <v>#DIV/0!</v>
      </c>
      <c r="WDT133" s="531" t="e">
        <f t="shared" si="505"/>
        <v>#DIV/0!</v>
      </c>
      <c r="WDU133" s="531" t="e">
        <f t="shared" si="505"/>
        <v>#DIV/0!</v>
      </c>
      <c r="WDV133" s="531" t="e">
        <f t="shared" si="505"/>
        <v>#DIV/0!</v>
      </c>
      <c r="WDW133" s="531" t="e">
        <f t="shared" si="505"/>
        <v>#DIV/0!</v>
      </c>
      <c r="WDX133" s="531" t="e">
        <f t="shared" si="505"/>
        <v>#DIV/0!</v>
      </c>
      <c r="WDY133" s="531" t="e">
        <f t="shared" si="505"/>
        <v>#DIV/0!</v>
      </c>
      <c r="WDZ133" s="531" t="e">
        <f t="shared" si="505"/>
        <v>#DIV/0!</v>
      </c>
      <c r="WEA133" s="531" t="e">
        <f t="shared" si="505"/>
        <v>#DIV/0!</v>
      </c>
      <c r="WEB133" s="531" t="e">
        <f t="shared" si="505"/>
        <v>#DIV/0!</v>
      </c>
      <c r="WEC133" s="531" t="e">
        <f t="shared" si="505"/>
        <v>#DIV/0!</v>
      </c>
      <c r="WED133" s="531" t="e">
        <f t="shared" si="505"/>
        <v>#DIV/0!</v>
      </c>
      <c r="WEE133" s="531" t="e">
        <f t="shared" si="505"/>
        <v>#DIV/0!</v>
      </c>
      <c r="WEF133" s="531" t="e">
        <f t="shared" si="505"/>
        <v>#DIV/0!</v>
      </c>
      <c r="WEG133" s="531" t="e">
        <f t="shared" si="505"/>
        <v>#DIV/0!</v>
      </c>
      <c r="WEH133" s="531" t="e">
        <f t="shared" si="505"/>
        <v>#DIV/0!</v>
      </c>
      <c r="WEI133" s="531" t="e">
        <f t="shared" ref="WEI133:WGT133" si="506">WEI116/(WEI52*10^5)</f>
        <v>#DIV/0!</v>
      </c>
      <c r="WEJ133" s="531" t="e">
        <f t="shared" si="506"/>
        <v>#DIV/0!</v>
      </c>
      <c r="WEK133" s="531" t="e">
        <f t="shared" si="506"/>
        <v>#DIV/0!</v>
      </c>
      <c r="WEL133" s="531" t="e">
        <f t="shared" si="506"/>
        <v>#DIV/0!</v>
      </c>
      <c r="WEM133" s="531" t="e">
        <f t="shared" si="506"/>
        <v>#DIV/0!</v>
      </c>
      <c r="WEN133" s="531" t="e">
        <f t="shared" si="506"/>
        <v>#DIV/0!</v>
      </c>
      <c r="WEO133" s="531" t="e">
        <f t="shared" si="506"/>
        <v>#DIV/0!</v>
      </c>
      <c r="WEP133" s="531" t="e">
        <f t="shared" si="506"/>
        <v>#DIV/0!</v>
      </c>
      <c r="WEQ133" s="531" t="e">
        <f t="shared" si="506"/>
        <v>#DIV/0!</v>
      </c>
      <c r="WER133" s="531" t="e">
        <f t="shared" si="506"/>
        <v>#DIV/0!</v>
      </c>
      <c r="WES133" s="531" t="e">
        <f t="shared" si="506"/>
        <v>#DIV/0!</v>
      </c>
      <c r="WET133" s="531" t="e">
        <f t="shared" si="506"/>
        <v>#DIV/0!</v>
      </c>
      <c r="WEU133" s="531" t="e">
        <f t="shared" si="506"/>
        <v>#DIV/0!</v>
      </c>
      <c r="WEV133" s="531" t="e">
        <f t="shared" si="506"/>
        <v>#DIV/0!</v>
      </c>
      <c r="WEW133" s="531" t="e">
        <f t="shared" si="506"/>
        <v>#DIV/0!</v>
      </c>
      <c r="WEX133" s="531" t="e">
        <f t="shared" si="506"/>
        <v>#DIV/0!</v>
      </c>
      <c r="WEY133" s="531" t="e">
        <f t="shared" si="506"/>
        <v>#DIV/0!</v>
      </c>
      <c r="WEZ133" s="531" t="e">
        <f t="shared" si="506"/>
        <v>#DIV/0!</v>
      </c>
      <c r="WFA133" s="531" t="e">
        <f t="shared" si="506"/>
        <v>#DIV/0!</v>
      </c>
      <c r="WFB133" s="531" t="e">
        <f t="shared" si="506"/>
        <v>#DIV/0!</v>
      </c>
      <c r="WFC133" s="531" t="e">
        <f t="shared" si="506"/>
        <v>#DIV/0!</v>
      </c>
      <c r="WFD133" s="531" t="e">
        <f t="shared" si="506"/>
        <v>#DIV/0!</v>
      </c>
      <c r="WFE133" s="531" t="e">
        <f t="shared" si="506"/>
        <v>#DIV/0!</v>
      </c>
      <c r="WFF133" s="531" t="e">
        <f t="shared" si="506"/>
        <v>#DIV/0!</v>
      </c>
      <c r="WFG133" s="531" t="e">
        <f t="shared" si="506"/>
        <v>#DIV/0!</v>
      </c>
      <c r="WFH133" s="531" t="e">
        <f t="shared" si="506"/>
        <v>#DIV/0!</v>
      </c>
      <c r="WFI133" s="531" t="e">
        <f t="shared" si="506"/>
        <v>#DIV/0!</v>
      </c>
      <c r="WFJ133" s="531" t="e">
        <f t="shared" si="506"/>
        <v>#DIV/0!</v>
      </c>
      <c r="WFK133" s="531" t="e">
        <f t="shared" si="506"/>
        <v>#DIV/0!</v>
      </c>
      <c r="WFL133" s="531" t="e">
        <f t="shared" si="506"/>
        <v>#DIV/0!</v>
      </c>
      <c r="WFM133" s="531" t="e">
        <f t="shared" si="506"/>
        <v>#DIV/0!</v>
      </c>
      <c r="WFN133" s="531" t="e">
        <f t="shared" si="506"/>
        <v>#DIV/0!</v>
      </c>
      <c r="WFO133" s="531" t="e">
        <f t="shared" si="506"/>
        <v>#DIV/0!</v>
      </c>
      <c r="WFP133" s="531" t="e">
        <f t="shared" si="506"/>
        <v>#DIV/0!</v>
      </c>
      <c r="WFQ133" s="531" t="e">
        <f t="shared" si="506"/>
        <v>#DIV/0!</v>
      </c>
      <c r="WFR133" s="531" t="e">
        <f t="shared" si="506"/>
        <v>#DIV/0!</v>
      </c>
      <c r="WFS133" s="531" t="e">
        <f t="shared" si="506"/>
        <v>#DIV/0!</v>
      </c>
      <c r="WFT133" s="531" t="e">
        <f t="shared" si="506"/>
        <v>#DIV/0!</v>
      </c>
      <c r="WFU133" s="531" t="e">
        <f t="shared" si="506"/>
        <v>#DIV/0!</v>
      </c>
      <c r="WFV133" s="531" t="e">
        <f t="shared" si="506"/>
        <v>#DIV/0!</v>
      </c>
      <c r="WFW133" s="531" t="e">
        <f t="shared" si="506"/>
        <v>#DIV/0!</v>
      </c>
      <c r="WFX133" s="531" t="e">
        <f t="shared" si="506"/>
        <v>#DIV/0!</v>
      </c>
      <c r="WFY133" s="531" t="e">
        <f t="shared" si="506"/>
        <v>#DIV/0!</v>
      </c>
      <c r="WFZ133" s="531" t="e">
        <f t="shared" si="506"/>
        <v>#DIV/0!</v>
      </c>
      <c r="WGA133" s="531" t="e">
        <f t="shared" si="506"/>
        <v>#DIV/0!</v>
      </c>
      <c r="WGB133" s="531" t="e">
        <f t="shared" si="506"/>
        <v>#DIV/0!</v>
      </c>
      <c r="WGC133" s="531" t="e">
        <f t="shared" si="506"/>
        <v>#DIV/0!</v>
      </c>
      <c r="WGD133" s="531" t="e">
        <f t="shared" si="506"/>
        <v>#DIV/0!</v>
      </c>
      <c r="WGE133" s="531" t="e">
        <f t="shared" si="506"/>
        <v>#DIV/0!</v>
      </c>
      <c r="WGF133" s="531" t="e">
        <f t="shared" si="506"/>
        <v>#DIV/0!</v>
      </c>
      <c r="WGG133" s="531" t="e">
        <f t="shared" si="506"/>
        <v>#DIV/0!</v>
      </c>
      <c r="WGH133" s="531" t="e">
        <f t="shared" si="506"/>
        <v>#DIV/0!</v>
      </c>
      <c r="WGI133" s="531" t="e">
        <f t="shared" si="506"/>
        <v>#DIV/0!</v>
      </c>
      <c r="WGJ133" s="531" t="e">
        <f t="shared" si="506"/>
        <v>#DIV/0!</v>
      </c>
      <c r="WGK133" s="531" t="e">
        <f t="shared" si="506"/>
        <v>#DIV/0!</v>
      </c>
      <c r="WGL133" s="531" t="e">
        <f t="shared" si="506"/>
        <v>#DIV/0!</v>
      </c>
      <c r="WGM133" s="531" t="e">
        <f t="shared" si="506"/>
        <v>#DIV/0!</v>
      </c>
      <c r="WGN133" s="531" t="e">
        <f t="shared" si="506"/>
        <v>#DIV/0!</v>
      </c>
      <c r="WGO133" s="531" t="e">
        <f t="shared" si="506"/>
        <v>#DIV/0!</v>
      </c>
      <c r="WGP133" s="531" t="e">
        <f t="shared" si="506"/>
        <v>#DIV/0!</v>
      </c>
      <c r="WGQ133" s="531" t="e">
        <f t="shared" si="506"/>
        <v>#DIV/0!</v>
      </c>
      <c r="WGR133" s="531" t="e">
        <f t="shared" si="506"/>
        <v>#DIV/0!</v>
      </c>
      <c r="WGS133" s="531" t="e">
        <f t="shared" si="506"/>
        <v>#DIV/0!</v>
      </c>
      <c r="WGT133" s="531" t="e">
        <f t="shared" si="506"/>
        <v>#DIV/0!</v>
      </c>
      <c r="WGU133" s="531" t="e">
        <f t="shared" ref="WGU133:WJF133" si="507">WGU116/(WGU52*10^5)</f>
        <v>#DIV/0!</v>
      </c>
      <c r="WGV133" s="531" t="e">
        <f t="shared" si="507"/>
        <v>#DIV/0!</v>
      </c>
      <c r="WGW133" s="531" t="e">
        <f t="shared" si="507"/>
        <v>#DIV/0!</v>
      </c>
      <c r="WGX133" s="531" t="e">
        <f t="shared" si="507"/>
        <v>#DIV/0!</v>
      </c>
      <c r="WGY133" s="531" t="e">
        <f t="shared" si="507"/>
        <v>#DIV/0!</v>
      </c>
      <c r="WGZ133" s="531" t="e">
        <f t="shared" si="507"/>
        <v>#DIV/0!</v>
      </c>
      <c r="WHA133" s="531" t="e">
        <f t="shared" si="507"/>
        <v>#DIV/0!</v>
      </c>
      <c r="WHB133" s="531" t="e">
        <f t="shared" si="507"/>
        <v>#DIV/0!</v>
      </c>
      <c r="WHC133" s="531" t="e">
        <f t="shared" si="507"/>
        <v>#DIV/0!</v>
      </c>
      <c r="WHD133" s="531" t="e">
        <f t="shared" si="507"/>
        <v>#DIV/0!</v>
      </c>
      <c r="WHE133" s="531" t="e">
        <f t="shared" si="507"/>
        <v>#DIV/0!</v>
      </c>
      <c r="WHF133" s="531" t="e">
        <f t="shared" si="507"/>
        <v>#DIV/0!</v>
      </c>
      <c r="WHG133" s="531" t="e">
        <f t="shared" si="507"/>
        <v>#DIV/0!</v>
      </c>
      <c r="WHH133" s="531" t="e">
        <f t="shared" si="507"/>
        <v>#DIV/0!</v>
      </c>
      <c r="WHI133" s="531" t="e">
        <f t="shared" si="507"/>
        <v>#DIV/0!</v>
      </c>
      <c r="WHJ133" s="531" t="e">
        <f t="shared" si="507"/>
        <v>#DIV/0!</v>
      </c>
      <c r="WHK133" s="531" t="e">
        <f t="shared" si="507"/>
        <v>#DIV/0!</v>
      </c>
      <c r="WHL133" s="531" t="e">
        <f t="shared" si="507"/>
        <v>#DIV/0!</v>
      </c>
      <c r="WHM133" s="531" t="e">
        <f t="shared" si="507"/>
        <v>#DIV/0!</v>
      </c>
      <c r="WHN133" s="531" t="e">
        <f t="shared" si="507"/>
        <v>#DIV/0!</v>
      </c>
      <c r="WHO133" s="531" t="e">
        <f t="shared" si="507"/>
        <v>#DIV/0!</v>
      </c>
      <c r="WHP133" s="531" t="e">
        <f t="shared" si="507"/>
        <v>#DIV/0!</v>
      </c>
      <c r="WHQ133" s="531" t="e">
        <f t="shared" si="507"/>
        <v>#DIV/0!</v>
      </c>
      <c r="WHR133" s="531" t="e">
        <f t="shared" si="507"/>
        <v>#DIV/0!</v>
      </c>
      <c r="WHS133" s="531" t="e">
        <f t="shared" si="507"/>
        <v>#DIV/0!</v>
      </c>
      <c r="WHT133" s="531" t="e">
        <f t="shared" si="507"/>
        <v>#DIV/0!</v>
      </c>
      <c r="WHU133" s="531" t="e">
        <f t="shared" si="507"/>
        <v>#DIV/0!</v>
      </c>
      <c r="WHV133" s="531" t="e">
        <f t="shared" si="507"/>
        <v>#DIV/0!</v>
      </c>
      <c r="WHW133" s="531" t="e">
        <f t="shared" si="507"/>
        <v>#DIV/0!</v>
      </c>
      <c r="WHX133" s="531" t="e">
        <f t="shared" si="507"/>
        <v>#DIV/0!</v>
      </c>
      <c r="WHY133" s="531" t="e">
        <f t="shared" si="507"/>
        <v>#DIV/0!</v>
      </c>
      <c r="WHZ133" s="531" t="e">
        <f t="shared" si="507"/>
        <v>#DIV/0!</v>
      </c>
      <c r="WIA133" s="531" t="e">
        <f t="shared" si="507"/>
        <v>#DIV/0!</v>
      </c>
      <c r="WIB133" s="531" t="e">
        <f t="shared" si="507"/>
        <v>#DIV/0!</v>
      </c>
      <c r="WIC133" s="531" t="e">
        <f t="shared" si="507"/>
        <v>#DIV/0!</v>
      </c>
      <c r="WID133" s="531" t="e">
        <f t="shared" si="507"/>
        <v>#DIV/0!</v>
      </c>
      <c r="WIE133" s="531" t="e">
        <f t="shared" si="507"/>
        <v>#DIV/0!</v>
      </c>
      <c r="WIF133" s="531" t="e">
        <f t="shared" si="507"/>
        <v>#DIV/0!</v>
      </c>
      <c r="WIG133" s="531" t="e">
        <f t="shared" si="507"/>
        <v>#DIV/0!</v>
      </c>
      <c r="WIH133" s="531" t="e">
        <f t="shared" si="507"/>
        <v>#DIV/0!</v>
      </c>
      <c r="WII133" s="531" t="e">
        <f t="shared" si="507"/>
        <v>#DIV/0!</v>
      </c>
      <c r="WIJ133" s="531" t="e">
        <f t="shared" si="507"/>
        <v>#DIV/0!</v>
      </c>
      <c r="WIK133" s="531" t="e">
        <f t="shared" si="507"/>
        <v>#DIV/0!</v>
      </c>
      <c r="WIL133" s="531" t="e">
        <f t="shared" si="507"/>
        <v>#DIV/0!</v>
      </c>
      <c r="WIM133" s="531" t="e">
        <f t="shared" si="507"/>
        <v>#DIV/0!</v>
      </c>
      <c r="WIN133" s="531" t="e">
        <f t="shared" si="507"/>
        <v>#DIV/0!</v>
      </c>
      <c r="WIO133" s="531" t="e">
        <f t="shared" si="507"/>
        <v>#DIV/0!</v>
      </c>
      <c r="WIP133" s="531" t="e">
        <f t="shared" si="507"/>
        <v>#DIV/0!</v>
      </c>
      <c r="WIQ133" s="531" t="e">
        <f t="shared" si="507"/>
        <v>#DIV/0!</v>
      </c>
      <c r="WIR133" s="531" t="e">
        <f t="shared" si="507"/>
        <v>#DIV/0!</v>
      </c>
      <c r="WIS133" s="531" t="e">
        <f t="shared" si="507"/>
        <v>#DIV/0!</v>
      </c>
      <c r="WIT133" s="531" t="e">
        <f t="shared" si="507"/>
        <v>#DIV/0!</v>
      </c>
      <c r="WIU133" s="531" t="e">
        <f t="shared" si="507"/>
        <v>#DIV/0!</v>
      </c>
      <c r="WIV133" s="531" t="e">
        <f t="shared" si="507"/>
        <v>#DIV/0!</v>
      </c>
      <c r="WIW133" s="531" t="e">
        <f t="shared" si="507"/>
        <v>#DIV/0!</v>
      </c>
      <c r="WIX133" s="531" t="e">
        <f t="shared" si="507"/>
        <v>#DIV/0!</v>
      </c>
      <c r="WIY133" s="531" t="e">
        <f t="shared" si="507"/>
        <v>#DIV/0!</v>
      </c>
      <c r="WIZ133" s="531" t="e">
        <f t="shared" si="507"/>
        <v>#DIV/0!</v>
      </c>
      <c r="WJA133" s="531" t="e">
        <f t="shared" si="507"/>
        <v>#DIV/0!</v>
      </c>
      <c r="WJB133" s="531" t="e">
        <f t="shared" si="507"/>
        <v>#DIV/0!</v>
      </c>
      <c r="WJC133" s="531" t="e">
        <f t="shared" si="507"/>
        <v>#DIV/0!</v>
      </c>
      <c r="WJD133" s="531" t="e">
        <f t="shared" si="507"/>
        <v>#DIV/0!</v>
      </c>
      <c r="WJE133" s="531" t="e">
        <f t="shared" si="507"/>
        <v>#DIV/0!</v>
      </c>
      <c r="WJF133" s="531" t="e">
        <f t="shared" si="507"/>
        <v>#DIV/0!</v>
      </c>
      <c r="WJG133" s="531" t="e">
        <f t="shared" ref="WJG133:WLR133" si="508">WJG116/(WJG52*10^5)</f>
        <v>#DIV/0!</v>
      </c>
      <c r="WJH133" s="531" t="e">
        <f t="shared" si="508"/>
        <v>#DIV/0!</v>
      </c>
      <c r="WJI133" s="531" t="e">
        <f t="shared" si="508"/>
        <v>#DIV/0!</v>
      </c>
      <c r="WJJ133" s="531" t="e">
        <f t="shared" si="508"/>
        <v>#DIV/0!</v>
      </c>
      <c r="WJK133" s="531" t="e">
        <f t="shared" si="508"/>
        <v>#DIV/0!</v>
      </c>
      <c r="WJL133" s="531" t="e">
        <f t="shared" si="508"/>
        <v>#DIV/0!</v>
      </c>
      <c r="WJM133" s="531" t="e">
        <f t="shared" si="508"/>
        <v>#DIV/0!</v>
      </c>
      <c r="WJN133" s="531" t="e">
        <f t="shared" si="508"/>
        <v>#DIV/0!</v>
      </c>
      <c r="WJO133" s="531" t="e">
        <f t="shared" si="508"/>
        <v>#DIV/0!</v>
      </c>
      <c r="WJP133" s="531" t="e">
        <f t="shared" si="508"/>
        <v>#DIV/0!</v>
      </c>
      <c r="WJQ133" s="531" t="e">
        <f t="shared" si="508"/>
        <v>#DIV/0!</v>
      </c>
      <c r="WJR133" s="531" t="e">
        <f t="shared" si="508"/>
        <v>#DIV/0!</v>
      </c>
      <c r="WJS133" s="531" t="e">
        <f t="shared" si="508"/>
        <v>#DIV/0!</v>
      </c>
      <c r="WJT133" s="531" t="e">
        <f t="shared" si="508"/>
        <v>#DIV/0!</v>
      </c>
      <c r="WJU133" s="531" t="e">
        <f t="shared" si="508"/>
        <v>#DIV/0!</v>
      </c>
      <c r="WJV133" s="531" t="e">
        <f t="shared" si="508"/>
        <v>#DIV/0!</v>
      </c>
      <c r="WJW133" s="531" t="e">
        <f t="shared" si="508"/>
        <v>#DIV/0!</v>
      </c>
      <c r="WJX133" s="531" t="e">
        <f t="shared" si="508"/>
        <v>#DIV/0!</v>
      </c>
      <c r="WJY133" s="531" t="e">
        <f t="shared" si="508"/>
        <v>#DIV/0!</v>
      </c>
      <c r="WJZ133" s="531" t="e">
        <f t="shared" si="508"/>
        <v>#DIV/0!</v>
      </c>
      <c r="WKA133" s="531" t="e">
        <f t="shared" si="508"/>
        <v>#DIV/0!</v>
      </c>
      <c r="WKB133" s="531" t="e">
        <f t="shared" si="508"/>
        <v>#DIV/0!</v>
      </c>
      <c r="WKC133" s="531" t="e">
        <f t="shared" si="508"/>
        <v>#DIV/0!</v>
      </c>
      <c r="WKD133" s="531" t="e">
        <f t="shared" si="508"/>
        <v>#DIV/0!</v>
      </c>
      <c r="WKE133" s="531" t="e">
        <f t="shared" si="508"/>
        <v>#DIV/0!</v>
      </c>
      <c r="WKF133" s="531" t="e">
        <f t="shared" si="508"/>
        <v>#DIV/0!</v>
      </c>
      <c r="WKG133" s="531" t="e">
        <f t="shared" si="508"/>
        <v>#DIV/0!</v>
      </c>
      <c r="WKH133" s="531" t="e">
        <f t="shared" si="508"/>
        <v>#DIV/0!</v>
      </c>
      <c r="WKI133" s="531" t="e">
        <f t="shared" si="508"/>
        <v>#DIV/0!</v>
      </c>
      <c r="WKJ133" s="531" t="e">
        <f t="shared" si="508"/>
        <v>#DIV/0!</v>
      </c>
      <c r="WKK133" s="531" t="e">
        <f t="shared" si="508"/>
        <v>#DIV/0!</v>
      </c>
      <c r="WKL133" s="531" t="e">
        <f t="shared" si="508"/>
        <v>#DIV/0!</v>
      </c>
      <c r="WKM133" s="531" t="e">
        <f t="shared" si="508"/>
        <v>#DIV/0!</v>
      </c>
      <c r="WKN133" s="531" t="e">
        <f t="shared" si="508"/>
        <v>#DIV/0!</v>
      </c>
      <c r="WKO133" s="531" t="e">
        <f t="shared" si="508"/>
        <v>#DIV/0!</v>
      </c>
      <c r="WKP133" s="531" t="e">
        <f t="shared" si="508"/>
        <v>#DIV/0!</v>
      </c>
      <c r="WKQ133" s="531" t="e">
        <f t="shared" si="508"/>
        <v>#DIV/0!</v>
      </c>
      <c r="WKR133" s="531" t="e">
        <f t="shared" si="508"/>
        <v>#DIV/0!</v>
      </c>
      <c r="WKS133" s="531" t="e">
        <f t="shared" si="508"/>
        <v>#DIV/0!</v>
      </c>
      <c r="WKT133" s="531" t="e">
        <f t="shared" si="508"/>
        <v>#DIV/0!</v>
      </c>
      <c r="WKU133" s="531" t="e">
        <f t="shared" si="508"/>
        <v>#DIV/0!</v>
      </c>
      <c r="WKV133" s="531" t="e">
        <f t="shared" si="508"/>
        <v>#DIV/0!</v>
      </c>
      <c r="WKW133" s="531" t="e">
        <f t="shared" si="508"/>
        <v>#DIV/0!</v>
      </c>
      <c r="WKX133" s="531" t="e">
        <f t="shared" si="508"/>
        <v>#DIV/0!</v>
      </c>
      <c r="WKY133" s="531" t="e">
        <f t="shared" si="508"/>
        <v>#DIV/0!</v>
      </c>
      <c r="WKZ133" s="531" t="e">
        <f t="shared" si="508"/>
        <v>#DIV/0!</v>
      </c>
      <c r="WLA133" s="531" t="e">
        <f t="shared" si="508"/>
        <v>#DIV/0!</v>
      </c>
      <c r="WLB133" s="531" t="e">
        <f t="shared" si="508"/>
        <v>#DIV/0!</v>
      </c>
      <c r="WLC133" s="531" t="e">
        <f t="shared" si="508"/>
        <v>#DIV/0!</v>
      </c>
      <c r="WLD133" s="531" t="e">
        <f t="shared" si="508"/>
        <v>#DIV/0!</v>
      </c>
      <c r="WLE133" s="531" t="e">
        <f t="shared" si="508"/>
        <v>#DIV/0!</v>
      </c>
      <c r="WLF133" s="531" t="e">
        <f t="shared" si="508"/>
        <v>#DIV/0!</v>
      </c>
      <c r="WLG133" s="531" t="e">
        <f t="shared" si="508"/>
        <v>#DIV/0!</v>
      </c>
      <c r="WLH133" s="531" t="e">
        <f t="shared" si="508"/>
        <v>#DIV/0!</v>
      </c>
      <c r="WLI133" s="531" t="e">
        <f t="shared" si="508"/>
        <v>#DIV/0!</v>
      </c>
      <c r="WLJ133" s="531" t="e">
        <f t="shared" si="508"/>
        <v>#DIV/0!</v>
      </c>
      <c r="WLK133" s="531" t="e">
        <f t="shared" si="508"/>
        <v>#DIV/0!</v>
      </c>
      <c r="WLL133" s="531" t="e">
        <f t="shared" si="508"/>
        <v>#DIV/0!</v>
      </c>
      <c r="WLM133" s="531" t="e">
        <f t="shared" si="508"/>
        <v>#DIV/0!</v>
      </c>
      <c r="WLN133" s="531" t="e">
        <f t="shared" si="508"/>
        <v>#DIV/0!</v>
      </c>
      <c r="WLO133" s="531" t="e">
        <f t="shared" si="508"/>
        <v>#DIV/0!</v>
      </c>
      <c r="WLP133" s="531" t="e">
        <f t="shared" si="508"/>
        <v>#DIV/0!</v>
      </c>
      <c r="WLQ133" s="531" t="e">
        <f t="shared" si="508"/>
        <v>#DIV/0!</v>
      </c>
      <c r="WLR133" s="531" t="e">
        <f t="shared" si="508"/>
        <v>#DIV/0!</v>
      </c>
      <c r="WLS133" s="531" t="e">
        <f t="shared" ref="WLS133:WOD133" si="509">WLS116/(WLS52*10^5)</f>
        <v>#DIV/0!</v>
      </c>
      <c r="WLT133" s="531" t="e">
        <f t="shared" si="509"/>
        <v>#DIV/0!</v>
      </c>
      <c r="WLU133" s="531" t="e">
        <f t="shared" si="509"/>
        <v>#DIV/0!</v>
      </c>
      <c r="WLV133" s="531" t="e">
        <f t="shared" si="509"/>
        <v>#DIV/0!</v>
      </c>
      <c r="WLW133" s="531" t="e">
        <f t="shared" si="509"/>
        <v>#DIV/0!</v>
      </c>
      <c r="WLX133" s="531" t="e">
        <f t="shared" si="509"/>
        <v>#DIV/0!</v>
      </c>
      <c r="WLY133" s="531" t="e">
        <f t="shared" si="509"/>
        <v>#DIV/0!</v>
      </c>
      <c r="WLZ133" s="531" t="e">
        <f t="shared" si="509"/>
        <v>#DIV/0!</v>
      </c>
      <c r="WMA133" s="531" t="e">
        <f t="shared" si="509"/>
        <v>#DIV/0!</v>
      </c>
      <c r="WMB133" s="531" t="e">
        <f t="shared" si="509"/>
        <v>#DIV/0!</v>
      </c>
      <c r="WMC133" s="531" t="e">
        <f t="shared" si="509"/>
        <v>#DIV/0!</v>
      </c>
      <c r="WMD133" s="531" t="e">
        <f t="shared" si="509"/>
        <v>#DIV/0!</v>
      </c>
      <c r="WME133" s="531" t="e">
        <f t="shared" si="509"/>
        <v>#DIV/0!</v>
      </c>
      <c r="WMF133" s="531" t="e">
        <f t="shared" si="509"/>
        <v>#DIV/0!</v>
      </c>
      <c r="WMG133" s="531" t="e">
        <f t="shared" si="509"/>
        <v>#DIV/0!</v>
      </c>
      <c r="WMH133" s="531" t="e">
        <f t="shared" si="509"/>
        <v>#DIV/0!</v>
      </c>
      <c r="WMI133" s="531" t="e">
        <f t="shared" si="509"/>
        <v>#DIV/0!</v>
      </c>
      <c r="WMJ133" s="531" t="e">
        <f t="shared" si="509"/>
        <v>#DIV/0!</v>
      </c>
      <c r="WMK133" s="531" t="e">
        <f t="shared" si="509"/>
        <v>#DIV/0!</v>
      </c>
      <c r="WML133" s="531" t="e">
        <f t="shared" si="509"/>
        <v>#DIV/0!</v>
      </c>
      <c r="WMM133" s="531" t="e">
        <f t="shared" si="509"/>
        <v>#DIV/0!</v>
      </c>
      <c r="WMN133" s="531" t="e">
        <f t="shared" si="509"/>
        <v>#DIV/0!</v>
      </c>
      <c r="WMO133" s="531" t="e">
        <f t="shared" si="509"/>
        <v>#DIV/0!</v>
      </c>
      <c r="WMP133" s="531" t="e">
        <f t="shared" si="509"/>
        <v>#DIV/0!</v>
      </c>
      <c r="WMQ133" s="531" t="e">
        <f t="shared" si="509"/>
        <v>#DIV/0!</v>
      </c>
      <c r="WMR133" s="531" t="e">
        <f t="shared" si="509"/>
        <v>#DIV/0!</v>
      </c>
      <c r="WMS133" s="531" t="e">
        <f t="shared" si="509"/>
        <v>#DIV/0!</v>
      </c>
      <c r="WMT133" s="531" t="e">
        <f t="shared" si="509"/>
        <v>#DIV/0!</v>
      </c>
      <c r="WMU133" s="531" t="e">
        <f t="shared" si="509"/>
        <v>#DIV/0!</v>
      </c>
      <c r="WMV133" s="531" t="e">
        <f t="shared" si="509"/>
        <v>#DIV/0!</v>
      </c>
      <c r="WMW133" s="531" t="e">
        <f t="shared" si="509"/>
        <v>#DIV/0!</v>
      </c>
      <c r="WMX133" s="531" t="e">
        <f t="shared" si="509"/>
        <v>#DIV/0!</v>
      </c>
      <c r="WMY133" s="531" t="e">
        <f t="shared" si="509"/>
        <v>#DIV/0!</v>
      </c>
      <c r="WMZ133" s="531" t="e">
        <f t="shared" si="509"/>
        <v>#DIV/0!</v>
      </c>
      <c r="WNA133" s="531" t="e">
        <f t="shared" si="509"/>
        <v>#DIV/0!</v>
      </c>
      <c r="WNB133" s="531" t="e">
        <f t="shared" si="509"/>
        <v>#DIV/0!</v>
      </c>
      <c r="WNC133" s="531" t="e">
        <f t="shared" si="509"/>
        <v>#DIV/0!</v>
      </c>
      <c r="WND133" s="531" t="e">
        <f t="shared" si="509"/>
        <v>#DIV/0!</v>
      </c>
      <c r="WNE133" s="531" t="e">
        <f t="shared" si="509"/>
        <v>#DIV/0!</v>
      </c>
      <c r="WNF133" s="531" t="e">
        <f t="shared" si="509"/>
        <v>#DIV/0!</v>
      </c>
      <c r="WNG133" s="531" t="e">
        <f t="shared" si="509"/>
        <v>#DIV/0!</v>
      </c>
      <c r="WNH133" s="531" t="e">
        <f t="shared" si="509"/>
        <v>#DIV/0!</v>
      </c>
      <c r="WNI133" s="531" t="e">
        <f t="shared" si="509"/>
        <v>#DIV/0!</v>
      </c>
      <c r="WNJ133" s="531" t="e">
        <f t="shared" si="509"/>
        <v>#DIV/0!</v>
      </c>
      <c r="WNK133" s="531" t="e">
        <f t="shared" si="509"/>
        <v>#DIV/0!</v>
      </c>
      <c r="WNL133" s="531" t="e">
        <f t="shared" si="509"/>
        <v>#DIV/0!</v>
      </c>
      <c r="WNM133" s="531" t="e">
        <f t="shared" si="509"/>
        <v>#DIV/0!</v>
      </c>
      <c r="WNN133" s="531" t="e">
        <f t="shared" si="509"/>
        <v>#DIV/0!</v>
      </c>
      <c r="WNO133" s="531" t="e">
        <f t="shared" si="509"/>
        <v>#DIV/0!</v>
      </c>
      <c r="WNP133" s="531" t="e">
        <f t="shared" si="509"/>
        <v>#DIV/0!</v>
      </c>
      <c r="WNQ133" s="531" t="e">
        <f t="shared" si="509"/>
        <v>#DIV/0!</v>
      </c>
      <c r="WNR133" s="531" t="e">
        <f t="shared" si="509"/>
        <v>#DIV/0!</v>
      </c>
      <c r="WNS133" s="531" t="e">
        <f t="shared" si="509"/>
        <v>#DIV/0!</v>
      </c>
      <c r="WNT133" s="531" t="e">
        <f t="shared" si="509"/>
        <v>#DIV/0!</v>
      </c>
      <c r="WNU133" s="531" t="e">
        <f t="shared" si="509"/>
        <v>#DIV/0!</v>
      </c>
      <c r="WNV133" s="531" t="e">
        <f t="shared" si="509"/>
        <v>#DIV/0!</v>
      </c>
      <c r="WNW133" s="531" t="e">
        <f t="shared" si="509"/>
        <v>#DIV/0!</v>
      </c>
      <c r="WNX133" s="531" t="e">
        <f t="shared" si="509"/>
        <v>#DIV/0!</v>
      </c>
      <c r="WNY133" s="531" t="e">
        <f t="shared" si="509"/>
        <v>#DIV/0!</v>
      </c>
      <c r="WNZ133" s="531" t="e">
        <f t="shared" si="509"/>
        <v>#DIV/0!</v>
      </c>
      <c r="WOA133" s="531" t="e">
        <f t="shared" si="509"/>
        <v>#DIV/0!</v>
      </c>
      <c r="WOB133" s="531" t="e">
        <f t="shared" si="509"/>
        <v>#DIV/0!</v>
      </c>
      <c r="WOC133" s="531" t="e">
        <f t="shared" si="509"/>
        <v>#DIV/0!</v>
      </c>
      <c r="WOD133" s="531" t="e">
        <f t="shared" si="509"/>
        <v>#DIV/0!</v>
      </c>
      <c r="WOE133" s="531" t="e">
        <f t="shared" ref="WOE133:WQP133" si="510">WOE116/(WOE52*10^5)</f>
        <v>#DIV/0!</v>
      </c>
      <c r="WOF133" s="531" t="e">
        <f t="shared" si="510"/>
        <v>#DIV/0!</v>
      </c>
      <c r="WOG133" s="531" t="e">
        <f t="shared" si="510"/>
        <v>#DIV/0!</v>
      </c>
      <c r="WOH133" s="531" t="e">
        <f t="shared" si="510"/>
        <v>#DIV/0!</v>
      </c>
      <c r="WOI133" s="531" t="e">
        <f t="shared" si="510"/>
        <v>#DIV/0!</v>
      </c>
      <c r="WOJ133" s="531" t="e">
        <f t="shared" si="510"/>
        <v>#DIV/0!</v>
      </c>
      <c r="WOK133" s="531" t="e">
        <f t="shared" si="510"/>
        <v>#DIV/0!</v>
      </c>
      <c r="WOL133" s="531" t="e">
        <f t="shared" si="510"/>
        <v>#DIV/0!</v>
      </c>
      <c r="WOM133" s="531" t="e">
        <f t="shared" si="510"/>
        <v>#DIV/0!</v>
      </c>
      <c r="WON133" s="531" t="e">
        <f t="shared" si="510"/>
        <v>#DIV/0!</v>
      </c>
      <c r="WOO133" s="531" t="e">
        <f t="shared" si="510"/>
        <v>#DIV/0!</v>
      </c>
      <c r="WOP133" s="531" t="e">
        <f t="shared" si="510"/>
        <v>#DIV/0!</v>
      </c>
      <c r="WOQ133" s="531" t="e">
        <f t="shared" si="510"/>
        <v>#DIV/0!</v>
      </c>
      <c r="WOR133" s="531" t="e">
        <f t="shared" si="510"/>
        <v>#DIV/0!</v>
      </c>
      <c r="WOS133" s="531" t="e">
        <f t="shared" si="510"/>
        <v>#DIV/0!</v>
      </c>
      <c r="WOT133" s="531" t="e">
        <f t="shared" si="510"/>
        <v>#DIV/0!</v>
      </c>
      <c r="WOU133" s="531" t="e">
        <f t="shared" si="510"/>
        <v>#DIV/0!</v>
      </c>
      <c r="WOV133" s="531" t="e">
        <f t="shared" si="510"/>
        <v>#DIV/0!</v>
      </c>
      <c r="WOW133" s="531" t="e">
        <f t="shared" si="510"/>
        <v>#DIV/0!</v>
      </c>
      <c r="WOX133" s="531" t="e">
        <f t="shared" si="510"/>
        <v>#DIV/0!</v>
      </c>
      <c r="WOY133" s="531" t="e">
        <f t="shared" si="510"/>
        <v>#DIV/0!</v>
      </c>
      <c r="WOZ133" s="531" t="e">
        <f t="shared" si="510"/>
        <v>#DIV/0!</v>
      </c>
      <c r="WPA133" s="531" t="e">
        <f t="shared" si="510"/>
        <v>#DIV/0!</v>
      </c>
      <c r="WPB133" s="531" t="e">
        <f t="shared" si="510"/>
        <v>#DIV/0!</v>
      </c>
      <c r="WPC133" s="531" t="e">
        <f t="shared" si="510"/>
        <v>#DIV/0!</v>
      </c>
      <c r="WPD133" s="531" t="e">
        <f t="shared" si="510"/>
        <v>#DIV/0!</v>
      </c>
      <c r="WPE133" s="531" t="e">
        <f t="shared" si="510"/>
        <v>#DIV/0!</v>
      </c>
      <c r="WPF133" s="531" t="e">
        <f t="shared" si="510"/>
        <v>#DIV/0!</v>
      </c>
      <c r="WPG133" s="531" t="e">
        <f t="shared" si="510"/>
        <v>#DIV/0!</v>
      </c>
      <c r="WPH133" s="531" t="e">
        <f t="shared" si="510"/>
        <v>#DIV/0!</v>
      </c>
      <c r="WPI133" s="531" t="e">
        <f t="shared" si="510"/>
        <v>#DIV/0!</v>
      </c>
      <c r="WPJ133" s="531" t="e">
        <f t="shared" si="510"/>
        <v>#DIV/0!</v>
      </c>
      <c r="WPK133" s="531" t="e">
        <f t="shared" si="510"/>
        <v>#DIV/0!</v>
      </c>
      <c r="WPL133" s="531" t="e">
        <f t="shared" si="510"/>
        <v>#DIV/0!</v>
      </c>
      <c r="WPM133" s="531" t="e">
        <f t="shared" si="510"/>
        <v>#DIV/0!</v>
      </c>
      <c r="WPN133" s="531" t="e">
        <f t="shared" si="510"/>
        <v>#DIV/0!</v>
      </c>
      <c r="WPO133" s="531" t="e">
        <f t="shared" si="510"/>
        <v>#DIV/0!</v>
      </c>
      <c r="WPP133" s="531" t="e">
        <f t="shared" si="510"/>
        <v>#DIV/0!</v>
      </c>
      <c r="WPQ133" s="531" t="e">
        <f t="shared" si="510"/>
        <v>#DIV/0!</v>
      </c>
      <c r="WPR133" s="531" t="e">
        <f t="shared" si="510"/>
        <v>#DIV/0!</v>
      </c>
      <c r="WPS133" s="531" t="e">
        <f t="shared" si="510"/>
        <v>#DIV/0!</v>
      </c>
      <c r="WPT133" s="531" t="e">
        <f t="shared" si="510"/>
        <v>#DIV/0!</v>
      </c>
      <c r="WPU133" s="531" t="e">
        <f t="shared" si="510"/>
        <v>#DIV/0!</v>
      </c>
      <c r="WPV133" s="531" t="e">
        <f t="shared" si="510"/>
        <v>#DIV/0!</v>
      </c>
      <c r="WPW133" s="531" t="e">
        <f t="shared" si="510"/>
        <v>#DIV/0!</v>
      </c>
      <c r="WPX133" s="531" t="e">
        <f t="shared" si="510"/>
        <v>#DIV/0!</v>
      </c>
      <c r="WPY133" s="531" t="e">
        <f t="shared" si="510"/>
        <v>#DIV/0!</v>
      </c>
      <c r="WPZ133" s="531" t="e">
        <f t="shared" si="510"/>
        <v>#DIV/0!</v>
      </c>
      <c r="WQA133" s="531" t="e">
        <f t="shared" si="510"/>
        <v>#DIV/0!</v>
      </c>
      <c r="WQB133" s="531" t="e">
        <f t="shared" si="510"/>
        <v>#DIV/0!</v>
      </c>
      <c r="WQC133" s="531" t="e">
        <f t="shared" si="510"/>
        <v>#DIV/0!</v>
      </c>
      <c r="WQD133" s="531" t="e">
        <f t="shared" si="510"/>
        <v>#DIV/0!</v>
      </c>
      <c r="WQE133" s="531" t="e">
        <f t="shared" si="510"/>
        <v>#DIV/0!</v>
      </c>
      <c r="WQF133" s="531" t="e">
        <f t="shared" si="510"/>
        <v>#DIV/0!</v>
      </c>
      <c r="WQG133" s="531" t="e">
        <f t="shared" si="510"/>
        <v>#DIV/0!</v>
      </c>
      <c r="WQH133" s="531" t="e">
        <f t="shared" si="510"/>
        <v>#DIV/0!</v>
      </c>
      <c r="WQI133" s="531" t="e">
        <f t="shared" si="510"/>
        <v>#DIV/0!</v>
      </c>
      <c r="WQJ133" s="531" t="e">
        <f t="shared" si="510"/>
        <v>#DIV/0!</v>
      </c>
      <c r="WQK133" s="531" t="e">
        <f t="shared" si="510"/>
        <v>#DIV/0!</v>
      </c>
      <c r="WQL133" s="531" t="e">
        <f t="shared" si="510"/>
        <v>#DIV/0!</v>
      </c>
      <c r="WQM133" s="531" t="e">
        <f t="shared" si="510"/>
        <v>#DIV/0!</v>
      </c>
      <c r="WQN133" s="531" t="e">
        <f t="shared" si="510"/>
        <v>#DIV/0!</v>
      </c>
      <c r="WQO133" s="531" t="e">
        <f t="shared" si="510"/>
        <v>#DIV/0!</v>
      </c>
      <c r="WQP133" s="531" t="e">
        <f t="shared" si="510"/>
        <v>#DIV/0!</v>
      </c>
      <c r="WQQ133" s="531" t="e">
        <f t="shared" ref="WQQ133:WTB133" si="511">WQQ116/(WQQ52*10^5)</f>
        <v>#DIV/0!</v>
      </c>
      <c r="WQR133" s="531" t="e">
        <f t="shared" si="511"/>
        <v>#DIV/0!</v>
      </c>
      <c r="WQS133" s="531" t="e">
        <f t="shared" si="511"/>
        <v>#DIV/0!</v>
      </c>
      <c r="WQT133" s="531" t="e">
        <f t="shared" si="511"/>
        <v>#DIV/0!</v>
      </c>
      <c r="WQU133" s="531" t="e">
        <f t="shared" si="511"/>
        <v>#DIV/0!</v>
      </c>
      <c r="WQV133" s="531" t="e">
        <f t="shared" si="511"/>
        <v>#DIV/0!</v>
      </c>
      <c r="WQW133" s="531" t="e">
        <f t="shared" si="511"/>
        <v>#DIV/0!</v>
      </c>
      <c r="WQX133" s="531" t="e">
        <f t="shared" si="511"/>
        <v>#DIV/0!</v>
      </c>
      <c r="WQY133" s="531" t="e">
        <f t="shared" si="511"/>
        <v>#DIV/0!</v>
      </c>
      <c r="WQZ133" s="531" t="e">
        <f t="shared" si="511"/>
        <v>#DIV/0!</v>
      </c>
      <c r="WRA133" s="531" t="e">
        <f t="shared" si="511"/>
        <v>#DIV/0!</v>
      </c>
      <c r="WRB133" s="531" t="e">
        <f t="shared" si="511"/>
        <v>#DIV/0!</v>
      </c>
      <c r="WRC133" s="531" t="e">
        <f t="shared" si="511"/>
        <v>#DIV/0!</v>
      </c>
      <c r="WRD133" s="531" t="e">
        <f t="shared" si="511"/>
        <v>#DIV/0!</v>
      </c>
      <c r="WRE133" s="531" t="e">
        <f t="shared" si="511"/>
        <v>#DIV/0!</v>
      </c>
      <c r="WRF133" s="531" t="e">
        <f t="shared" si="511"/>
        <v>#DIV/0!</v>
      </c>
      <c r="WRG133" s="531" t="e">
        <f t="shared" si="511"/>
        <v>#DIV/0!</v>
      </c>
      <c r="WRH133" s="531" t="e">
        <f t="shared" si="511"/>
        <v>#DIV/0!</v>
      </c>
      <c r="WRI133" s="531" t="e">
        <f t="shared" si="511"/>
        <v>#DIV/0!</v>
      </c>
      <c r="WRJ133" s="531" t="e">
        <f t="shared" si="511"/>
        <v>#DIV/0!</v>
      </c>
      <c r="WRK133" s="531" t="e">
        <f t="shared" si="511"/>
        <v>#DIV/0!</v>
      </c>
      <c r="WRL133" s="531" t="e">
        <f t="shared" si="511"/>
        <v>#DIV/0!</v>
      </c>
      <c r="WRM133" s="531" t="e">
        <f t="shared" si="511"/>
        <v>#DIV/0!</v>
      </c>
      <c r="WRN133" s="531" t="e">
        <f t="shared" si="511"/>
        <v>#DIV/0!</v>
      </c>
      <c r="WRO133" s="531" t="e">
        <f t="shared" si="511"/>
        <v>#DIV/0!</v>
      </c>
      <c r="WRP133" s="531" t="e">
        <f t="shared" si="511"/>
        <v>#DIV/0!</v>
      </c>
      <c r="WRQ133" s="531" t="e">
        <f t="shared" si="511"/>
        <v>#DIV/0!</v>
      </c>
      <c r="WRR133" s="531" t="e">
        <f t="shared" si="511"/>
        <v>#DIV/0!</v>
      </c>
      <c r="WRS133" s="531" t="e">
        <f t="shared" si="511"/>
        <v>#DIV/0!</v>
      </c>
      <c r="WRT133" s="531" t="e">
        <f t="shared" si="511"/>
        <v>#DIV/0!</v>
      </c>
      <c r="WRU133" s="531" t="e">
        <f t="shared" si="511"/>
        <v>#DIV/0!</v>
      </c>
      <c r="WRV133" s="531" t="e">
        <f t="shared" si="511"/>
        <v>#DIV/0!</v>
      </c>
      <c r="WRW133" s="531" t="e">
        <f t="shared" si="511"/>
        <v>#DIV/0!</v>
      </c>
      <c r="WRX133" s="531" t="e">
        <f t="shared" si="511"/>
        <v>#DIV/0!</v>
      </c>
      <c r="WRY133" s="531" t="e">
        <f t="shared" si="511"/>
        <v>#DIV/0!</v>
      </c>
      <c r="WRZ133" s="531" t="e">
        <f t="shared" si="511"/>
        <v>#DIV/0!</v>
      </c>
      <c r="WSA133" s="531" t="e">
        <f t="shared" si="511"/>
        <v>#DIV/0!</v>
      </c>
      <c r="WSB133" s="531" t="e">
        <f t="shared" si="511"/>
        <v>#DIV/0!</v>
      </c>
      <c r="WSC133" s="531" t="e">
        <f t="shared" si="511"/>
        <v>#DIV/0!</v>
      </c>
      <c r="WSD133" s="531" t="e">
        <f t="shared" si="511"/>
        <v>#DIV/0!</v>
      </c>
      <c r="WSE133" s="531" t="e">
        <f t="shared" si="511"/>
        <v>#DIV/0!</v>
      </c>
      <c r="WSF133" s="531" t="e">
        <f t="shared" si="511"/>
        <v>#DIV/0!</v>
      </c>
      <c r="WSG133" s="531" t="e">
        <f t="shared" si="511"/>
        <v>#DIV/0!</v>
      </c>
      <c r="WSH133" s="531" t="e">
        <f t="shared" si="511"/>
        <v>#DIV/0!</v>
      </c>
      <c r="WSI133" s="531" t="e">
        <f t="shared" si="511"/>
        <v>#DIV/0!</v>
      </c>
      <c r="WSJ133" s="531" t="e">
        <f t="shared" si="511"/>
        <v>#DIV/0!</v>
      </c>
      <c r="WSK133" s="531" t="e">
        <f t="shared" si="511"/>
        <v>#DIV/0!</v>
      </c>
      <c r="WSL133" s="531" t="e">
        <f t="shared" si="511"/>
        <v>#DIV/0!</v>
      </c>
      <c r="WSM133" s="531" t="e">
        <f t="shared" si="511"/>
        <v>#DIV/0!</v>
      </c>
      <c r="WSN133" s="531" t="e">
        <f t="shared" si="511"/>
        <v>#DIV/0!</v>
      </c>
      <c r="WSO133" s="531" t="e">
        <f t="shared" si="511"/>
        <v>#DIV/0!</v>
      </c>
      <c r="WSP133" s="531" t="e">
        <f t="shared" si="511"/>
        <v>#DIV/0!</v>
      </c>
      <c r="WSQ133" s="531" t="e">
        <f t="shared" si="511"/>
        <v>#DIV/0!</v>
      </c>
      <c r="WSR133" s="531" t="e">
        <f t="shared" si="511"/>
        <v>#DIV/0!</v>
      </c>
      <c r="WSS133" s="531" t="e">
        <f t="shared" si="511"/>
        <v>#DIV/0!</v>
      </c>
      <c r="WST133" s="531" t="e">
        <f t="shared" si="511"/>
        <v>#DIV/0!</v>
      </c>
      <c r="WSU133" s="531" t="e">
        <f t="shared" si="511"/>
        <v>#DIV/0!</v>
      </c>
      <c r="WSV133" s="531" t="e">
        <f t="shared" si="511"/>
        <v>#DIV/0!</v>
      </c>
      <c r="WSW133" s="531" t="e">
        <f t="shared" si="511"/>
        <v>#DIV/0!</v>
      </c>
      <c r="WSX133" s="531" t="e">
        <f t="shared" si="511"/>
        <v>#DIV/0!</v>
      </c>
      <c r="WSY133" s="531" t="e">
        <f t="shared" si="511"/>
        <v>#DIV/0!</v>
      </c>
      <c r="WSZ133" s="531" t="e">
        <f t="shared" si="511"/>
        <v>#DIV/0!</v>
      </c>
      <c r="WTA133" s="531" t="e">
        <f t="shared" si="511"/>
        <v>#DIV/0!</v>
      </c>
      <c r="WTB133" s="531" t="e">
        <f t="shared" si="511"/>
        <v>#DIV/0!</v>
      </c>
      <c r="WTC133" s="531" t="e">
        <f t="shared" ref="WTC133:WVN133" si="512">WTC116/(WTC52*10^5)</f>
        <v>#DIV/0!</v>
      </c>
      <c r="WTD133" s="531" t="e">
        <f t="shared" si="512"/>
        <v>#DIV/0!</v>
      </c>
      <c r="WTE133" s="531" t="e">
        <f t="shared" si="512"/>
        <v>#DIV/0!</v>
      </c>
      <c r="WTF133" s="531" t="e">
        <f t="shared" si="512"/>
        <v>#DIV/0!</v>
      </c>
      <c r="WTG133" s="531" t="e">
        <f t="shared" si="512"/>
        <v>#DIV/0!</v>
      </c>
      <c r="WTH133" s="531" t="e">
        <f t="shared" si="512"/>
        <v>#DIV/0!</v>
      </c>
      <c r="WTI133" s="531" t="e">
        <f t="shared" si="512"/>
        <v>#DIV/0!</v>
      </c>
      <c r="WTJ133" s="531" t="e">
        <f t="shared" si="512"/>
        <v>#DIV/0!</v>
      </c>
      <c r="WTK133" s="531" t="e">
        <f t="shared" si="512"/>
        <v>#DIV/0!</v>
      </c>
      <c r="WTL133" s="531" t="e">
        <f t="shared" si="512"/>
        <v>#DIV/0!</v>
      </c>
      <c r="WTM133" s="531" t="e">
        <f t="shared" si="512"/>
        <v>#DIV/0!</v>
      </c>
      <c r="WTN133" s="531" t="e">
        <f t="shared" si="512"/>
        <v>#DIV/0!</v>
      </c>
      <c r="WTO133" s="531" t="e">
        <f t="shared" si="512"/>
        <v>#DIV/0!</v>
      </c>
      <c r="WTP133" s="531" t="e">
        <f t="shared" si="512"/>
        <v>#DIV/0!</v>
      </c>
      <c r="WTQ133" s="531" t="e">
        <f t="shared" si="512"/>
        <v>#DIV/0!</v>
      </c>
      <c r="WTR133" s="531" t="e">
        <f t="shared" si="512"/>
        <v>#DIV/0!</v>
      </c>
      <c r="WTS133" s="531" t="e">
        <f t="shared" si="512"/>
        <v>#DIV/0!</v>
      </c>
      <c r="WTT133" s="531" t="e">
        <f t="shared" si="512"/>
        <v>#DIV/0!</v>
      </c>
      <c r="WTU133" s="531" t="e">
        <f t="shared" si="512"/>
        <v>#DIV/0!</v>
      </c>
      <c r="WTV133" s="531" t="e">
        <f t="shared" si="512"/>
        <v>#DIV/0!</v>
      </c>
      <c r="WTW133" s="531" t="e">
        <f t="shared" si="512"/>
        <v>#DIV/0!</v>
      </c>
      <c r="WTX133" s="531" t="e">
        <f t="shared" si="512"/>
        <v>#DIV/0!</v>
      </c>
      <c r="WTY133" s="531" t="e">
        <f t="shared" si="512"/>
        <v>#DIV/0!</v>
      </c>
      <c r="WTZ133" s="531" t="e">
        <f t="shared" si="512"/>
        <v>#DIV/0!</v>
      </c>
      <c r="WUA133" s="531" t="e">
        <f t="shared" si="512"/>
        <v>#DIV/0!</v>
      </c>
      <c r="WUB133" s="531" t="e">
        <f t="shared" si="512"/>
        <v>#DIV/0!</v>
      </c>
      <c r="WUC133" s="531" t="e">
        <f t="shared" si="512"/>
        <v>#DIV/0!</v>
      </c>
      <c r="WUD133" s="531" t="e">
        <f t="shared" si="512"/>
        <v>#DIV/0!</v>
      </c>
      <c r="WUE133" s="531" t="e">
        <f t="shared" si="512"/>
        <v>#DIV/0!</v>
      </c>
      <c r="WUF133" s="531" t="e">
        <f t="shared" si="512"/>
        <v>#DIV/0!</v>
      </c>
      <c r="WUG133" s="531" t="e">
        <f t="shared" si="512"/>
        <v>#DIV/0!</v>
      </c>
      <c r="WUH133" s="531" t="e">
        <f t="shared" si="512"/>
        <v>#DIV/0!</v>
      </c>
      <c r="WUI133" s="531" t="e">
        <f t="shared" si="512"/>
        <v>#DIV/0!</v>
      </c>
      <c r="WUJ133" s="531" t="e">
        <f t="shared" si="512"/>
        <v>#DIV/0!</v>
      </c>
      <c r="WUK133" s="531" t="e">
        <f t="shared" si="512"/>
        <v>#DIV/0!</v>
      </c>
      <c r="WUL133" s="531" t="e">
        <f t="shared" si="512"/>
        <v>#DIV/0!</v>
      </c>
      <c r="WUM133" s="531" t="e">
        <f t="shared" si="512"/>
        <v>#DIV/0!</v>
      </c>
      <c r="WUN133" s="531" t="e">
        <f t="shared" si="512"/>
        <v>#DIV/0!</v>
      </c>
      <c r="WUO133" s="531" t="e">
        <f t="shared" si="512"/>
        <v>#DIV/0!</v>
      </c>
      <c r="WUP133" s="531" t="e">
        <f t="shared" si="512"/>
        <v>#DIV/0!</v>
      </c>
      <c r="WUQ133" s="531" t="e">
        <f t="shared" si="512"/>
        <v>#DIV/0!</v>
      </c>
      <c r="WUR133" s="531" t="e">
        <f t="shared" si="512"/>
        <v>#DIV/0!</v>
      </c>
      <c r="WUS133" s="531" t="e">
        <f t="shared" si="512"/>
        <v>#DIV/0!</v>
      </c>
      <c r="WUT133" s="531" t="e">
        <f t="shared" si="512"/>
        <v>#DIV/0!</v>
      </c>
      <c r="WUU133" s="531" t="e">
        <f t="shared" si="512"/>
        <v>#DIV/0!</v>
      </c>
      <c r="WUV133" s="531" t="e">
        <f t="shared" si="512"/>
        <v>#DIV/0!</v>
      </c>
      <c r="WUW133" s="531" t="e">
        <f t="shared" si="512"/>
        <v>#DIV/0!</v>
      </c>
      <c r="WUX133" s="531" t="e">
        <f t="shared" si="512"/>
        <v>#DIV/0!</v>
      </c>
      <c r="WUY133" s="531" t="e">
        <f t="shared" si="512"/>
        <v>#DIV/0!</v>
      </c>
      <c r="WUZ133" s="531" t="e">
        <f t="shared" si="512"/>
        <v>#DIV/0!</v>
      </c>
      <c r="WVA133" s="531" t="e">
        <f t="shared" si="512"/>
        <v>#DIV/0!</v>
      </c>
      <c r="WVB133" s="531" t="e">
        <f t="shared" si="512"/>
        <v>#DIV/0!</v>
      </c>
      <c r="WVC133" s="531" t="e">
        <f t="shared" si="512"/>
        <v>#DIV/0!</v>
      </c>
      <c r="WVD133" s="531" t="e">
        <f t="shared" si="512"/>
        <v>#DIV/0!</v>
      </c>
      <c r="WVE133" s="531" t="e">
        <f t="shared" si="512"/>
        <v>#DIV/0!</v>
      </c>
      <c r="WVF133" s="531" t="e">
        <f t="shared" si="512"/>
        <v>#DIV/0!</v>
      </c>
      <c r="WVG133" s="531" t="e">
        <f t="shared" si="512"/>
        <v>#DIV/0!</v>
      </c>
      <c r="WVH133" s="531" t="e">
        <f t="shared" si="512"/>
        <v>#DIV/0!</v>
      </c>
      <c r="WVI133" s="531" t="e">
        <f t="shared" si="512"/>
        <v>#DIV/0!</v>
      </c>
      <c r="WVJ133" s="531" t="e">
        <f t="shared" si="512"/>
        <v>#DIV/0!</v>
      </c>
      <c r="WVK133" s="531" t="e">
        <f t="shared" si="512"/>
        <v>#DIV/0!</v>
      </c>
      <c r="WVL133" s="531" t="e">
        <f t="shared" si="512"/>
        <v>#DIV/0!</v>
      </c>
      <c r="WVM133" s="531" t="e">
        <f t="shared" si="512"/>
        <v>#DIV/0!</v>
      </c>
      <c r="WVN133" s="531" t="e">
        <f t="shared" si="512"/>
        <v>#DIV/0!</v>
      </c>
      <c r="WVO133" s="531" t="e">
        <f t="shared" ref="WVO133:WXZ133" si="513">WVO116/(WVO52*10^5)</f>
        <v>#DIV/0!</v>
      </c>
      <c r="WVP133" s="531" t="e">
        <f t="shared" si="513"/>
        <v>#DIV/0!</v>
      </c>
      <c r="WVQ133" s="531" t="e">
        <f t="shared" si="513"/>
        <v>#DIV/0!</v>
      </c>
      <c r="WVR133" s="531" t="e">
        <f t="shared" si="513"/>
        <v>#DIV/0!</v>
      </c>
      <c r="WVS133" s="531" t="e">
        <f t="shared" si="513"/>
        <v>#DIV/0!</v>
      </c>
      <c r="WVT133" s="531" t="e">
        <f t="shared" si="513"/>
        <v>#DIV/0!</v>
      </c>
      <c r="WVU133" s="531" t="e">
        <f t="shared" si="513"/>
        <v>#DIV/0!</v>
      </c>
      <c r="WVV133" s="531" t="e">
        <f t="shared" si="513"/>
        <v>#DIV/0!</v>
      </c>
      <c r="WVW133" s="531" t="e">
        <f t="shared" si="513"/>
        <v>#DIV/0!</v>
      </c>
      <c r="WVX133" s="531" t="e">
        <f t="shared" si="513"/>
        <v>#DIV/0!</v>
      </c>
      <c r="WVY133" s="531" t="e">
        <f t="shared" si="513"/>
        <v>#DIV/0!</v>
      </c>
      <c r="WVZ133" s="531" t="e">
        <f t="shared" si="513"/>
        <v>#DIV/0!</v>
      </c>
      <c r="WWA133" s="531" t="e">
        <f t="shared" si="513"/>
        <v>#DIV/0!</v>
      </c>
      <c r="WWB133" s="531" t="e">
        <f t="shared" si="513"/>
        <v>#DIV/0!</v>
      </c>
      <c r="WWC133" s="531" t="e">
        <f t="shared" si="513"/>
        <v>#DIV/0!</v>
      </c>
      <c r="WWD133" s="531" t="e">
        <f t="shared" si="513"/>
        <v>#DIV/0!</v>
      </c>
      <c r="WWE133" s="531" t="e">
        <f t="shared" si="513"/>
        <v>#DIV/0!</v>
      </c>
      <c r="WWF133" s="531" t="e">
        <f t="shared" si="513"/>
        <v>#DIV/0!</v>
      </c>
      <c r="WWG133" s="531" t="e">
        <f t="shared" si="513"/>
        <v>#DIV/0!</v>
      </c>
      <c r="WWH133" s="531" t="e">
        <f t="shared" si="513"/>
        <v>#DIV/0!</v>
      </c>
      <c r="WWI133" s="531" t="e">
        <f t="shared" si="513"/>
        <v>#DIV/0!</v>
      </c>
      <c r="WWJ133" s="531" t="e">
        <f t="shared" si="513"/>
        <v>#DIV/0!</v>
      </c>
      <c r="WWK133" s="531" t="e">
        <f t="shared" si="513"/>
        <v>#DIV/0!</v>
      </c>
      <c r="WWL133" s="531" t="e">
        <f t="shared" si="513"/>
        <v>#DIV/0!</v>
      </c>
      <c r="WWM133" s="531" t="e">
        <f t="shared" si="513"/>
        <v>#DIV/0!</v>
      </c>
      <c r="WWN133" s="531" t="e">
        <f t="shared" si="513"/>
        <v>#DIV/0!</v>
      </c>
      <c r="WWO133" s="531" t="e">
        <f t="shared" si="513"/>
        <v>#DIV/0!</v>
      </c>
      <c r="WWP133" s="531" t="e">
        <f t="shared" si="513"/>
        <v>#DIV/0!</v>
      </c>
      <c r="WWQ133" s="531" t="e">
        <f t="shared" si="513"/>
        <v>#DIV/0!</v>
      </c>
      <c r="WWR133" s="531" t="e">
        <f t="shared" si="513"/>
        <v>#DIV/0!</v>
      </c>
      <c r="WWS133" s="531" t="e">
        <f t="shared" si="513"/>
        <v>#DIV/0!</v>
      </c>
      <c r="WWT133" s="531" t="e">
        <f t="shared" si="513"/>
        <v>#DIV/0!</v>
      </c>
      <c r="WWU133" s="531" t="e">
        <f t="shared" si="513"/>
        <v>#DIV/0!</v>
      </c>
      <c r="WWV133" s="531" t="e">
        <f t="shared" si="513"/>
        <v>#DIV/0!</v>
      </c>
      <c r="WWW133" s="531" t="e">
        <f t="shared" si="513"/>
        <v>#DIV/0!</v>
      </c>
      <c r="WWX133" s="531" t="e">
        <f t="shared" si="513"/>
        <v>#DIV/0!</v>
      </c>
      <c r="WWY133" s="531" t="e">
        <f t="shared" si="513"/>
        <v>#DIV/0!</v>
      </c>
      <c r="WWZ133" s="531" t="e">
        <f t="shared" si="513"/>
        <v>#DIV/0!</v>
      </c>
      <c r="WXA133" s="531" t="e">
        <f t="shared" si="513"/>
        <v>#DIV/0!</v>
      </c>
      <c r="WXB133" s="531" t="e">
        <f t="shared" si="513"/>
        <v>#DIV/0!</v>
      </c>
      <c r="WXC133" s="531" t="e">
        <f t="shared" si="513"/>
        <v>#DIV/0!</v>
      </c>
      <c r="WXD133" s="531" t="e">
        <f t="shared" si="513"/>
        <v>#DIV/0!</v>
      </c>
      <c r="WXE133" s="531" t="e">
        <f t="shared" si="513"/>
        <v>#DIV/0!</v>
      </c>
      <c r="WXF133" s="531" t="e">
        <f t="shared" si="513"/>
        <v>#DIV/0!</v>
      </c>
      <c r="WXG133" s="531" t="e">
        <f t="shared" si="513"/>
        <v>#DIV/0!</v>
      </c>
      <c r="WXH133" s="531" t="e">
        <f t="shared" si="513"/>
        <v>#DIV/0!</v>
      </c>
      <c r="WXI133" s="531" t="e">
        <f t="shared" si="513"/>
        <v>#DIV/0!</v>
      </c>
      <c r="WXJ133" s="531" t="e">
        <f t="shared" si="513"/>
        <v>#DIV/0!</v>
      </c>
      <c r="WXK133" s="531" t="e">
        <f t="shared" si="513"/>
        <v>#DIV/0!</v>
      </c>
      <c r="WXL133" s="531" t="e">
        <f t="shared" si="513"/>
        <v>#DIV/0!</v>
      </c>
      <c r="WXM133" s="531" t="e">
        <f t="shared" si="513"/>
        <v>#DIV/0!</v>
      </c>
      <c r="WXN133" s="531" t="e">
        <f t="shared" si="513"/>
        <v>#DIV/0!</v>
      </c>
      <c r="WXO133" s="531" t="e">
        <f t="shared" si="513"/>
        <v>#DIV/0!</v>
      </c>
      <c r="WXP133" s="531" t="e">
        <f t="shared" si="513"/>
        <v>#DIV/0!</v>
      </c>
      <c r="WXQ133" s="531" t="e">
        <f t="shared" si="513"/>
        <v>#DIV/0!</v>
      </c>
      <c r="WXR133" s="531" t="e">
        <f t="shared" si="513"/>
        <v>#DIV/0!</v>
      </c>
      <c r="WXS133" s="531" t="e">
        <f t="shared" si="513"/>
        <v>#DIV/0!</v>
      </c>
      <c r="WXT133" s="531" t="e">
        <f t="shared" si="513"/>
        <v>#DIV/0!</v>
      </c>
      <c r="WXU133" s="531" t="e">
        <f t="shared" si="513"/>
        <v>#DIV/0!</v>
      </c>
      <c r="WXV133" s="531" t="e">
        <f t="shared" si="513"/>
        <v>#DIV/0!</v>
      </c>
      <c r="WXW133" s="531" t="e">
        <f t="shared" si="513"/>
        <v>#DIV/0!</v>
      </c>
      <c r="WXX133" s="531" t="e">
        <f t="shared" si="513"/>
        <v>#DIV/0!</v>
      </c>
      <c r="WXY133" s="531" t="e">
        <f t="shared" si="513"/>
        <v>#DIV/0!</v>
      </c>
      <c r="WXZ133" s="531" t="e">
        <f t="shared" si="513"/>
        <v>#DIV/0!</v>
      </c>
      <c r="WYA133" s="531" t="e">
        <f t="shared" ref="WYA133:XAL133" si="514">WYA116/(WYA52*10^5)</f>
        <v>#DIV/0!</v>
      </c>
      <c r="WYB133" s="531" t="e">
        <f t="shared" si="514"/>
        <v>#DIV/0!</v>
      </c>
      <c r="WYC133" s="531" t="e">
        <f t="shared" si="514"/>
        <v>#DIV/0!</v>
      </c>
      <c r="WYD133" s="531" t="e">
        <f t="shared" si="514"/>
        <v>#DIV/0!</v>
      </c>
      <c r="WYE133" s="531" t="e">
        <f t="shared" si="514"/>
        <v>#DIV/0!</v>
      </c>
      <c r="WYF133" s="531" t="e">
        <f t="shared" si="514"/>
        <v>#DIV/0!</v>
      </c>
      <c r="WYG133" s="531" t="e">
        <f t="shared" si="514"/>
        <v>#DIV/0!</v>
      </c>
      <c r="WYH133" s="531" t="e">
        <f t="shared" si="514"/>
        <v>#DIV/0!</v>
      </c>
      <c r="WYI133" s="531" t="e">
        <f t="shared" si="514"/>
        <v>#DIV/0!</v>
      </c>
      <c r="WYJ133" s="531" t="e">
        <f t="shared" si="514"/>
        <v>#DIV/0!</v>
      </c>
      <c r="WYK133" s="531" t="e">
        <f t="shared" si="514"/>
        <v>#DIV/0!</v>
      </c>
      <c r="WYL133" s="531" t="e">
        <f t="shared" si="514"/>
        <v>#DIV/0!</v>
      </c>
      <c r="WYM133" s="531" t="e">
        <f t="shared" si="514"/>
        <v>#DIV/0!</v>
      </c>
      <c r="WYN133" s="531" t="e">
        <f t="shared" si="514"/>
        <v>#DIV/0!</v>
      </c>
      <c r="WYO133" s="531" t="e">
        <f t="shared" si="514"/>
        <v>#DIV/0!</v>
      </c>
      <c r="WYP133" s="531" t="e">
        <f t="shared" si="514"/>
        <v>#DIV/0!</v>
      </c>
      <c r="WYQ133" s="531" t="e">
        <f t="shared" si="514"/>
        <v>#DIV/0!</v>
      </c>
      <c r="WYR133" s="531" t="e">
        <f t="shared" si="514"/>
        <v>#DIV/0!</v>
      </c>
      <c r="WYS133" s="531" t="e">
        <f t="shared" si="514"/>
        <v>#DIV/0!</v>
      </c>
      <c r="WYT133" s="531" t="e">
        <f t="shared" si="514"/>
        <v>#DIV/0!</v>
      </c>
      <c r="WYU133" s="531" t="e">
        <f t="shared" si="514"/>
        <v>#DIV/0!</v>
      </c>
      <c r="WYV133" s="531" t="e">
        <f t="shared" si="514"/>
        <v>#DIV/0!</v>
      </c>
      <c r="WYW133" s="531" t="e">
        <f t="shared" si="514"/>
        <v>#DIV/0!</v>
      </c>
      <c r="WYX133" s="531" t="e">
        <f t="shared" si="514"/>
        <v>#DIV/0!</v>
      </c>
      <c r="WYY133" s="531" t="e">
        <f t="shared" si="514"/>
        <v>#DIV/0!</v>
      </c>
      <c r="WYZ133" s="531" t="e">
        <f t="shared" si="514"/>
        <v>#DIV/0!</v>
      </c>
      <c r="WZA133" s="531" t="e">
        <f t="shared" si="514"/>
        <v>#DIV/0!</v>
      </c>
      <c r="WZB133" s="531" t="e">
        <f t="shared" si="514"/>
        <v>#DIV/0!</v>
      </c>
      <c r="WZC133" s="531" t="e">
        <f t="shared" si="514"/>
        <v>#DIV/0!</v>
      </c>
      <c r="WZD133" s="531" t="e">
        <f t="shared" si="514"/>
        <v>#DIV/0!</v>
      </c>
      <c r="WZE133" s="531" t="e">
        <f t="shared" si="514"/>
        <v>#DIV/0!</v>
      </c>
      <c r="WZF133" s="531" t="e">
        <f t="shared" si="514"/>
        <v>#DIV/0!</v>
      </c>
      <c r="WZG133" s="531" t="e">
        <f t="shared" si="514"/>
        <v>#DIV/0!</v>
      </c>
      <c r="WZH133" s="531" t="e">
        <f t="shared" si="514"/>
        <v>#DIV/0!</v>
      </c>
      <c r="WZI133" s="531" t="e">
        <f t="shared" si="514"/>
        <v>#DIV/0!</v>
      </c>
      <c r="WZJ133" s="531" t="e">
        <f t="shared" si="514"/>
        <v>#DIV/0!</v>
      </c>
      <c r="WZK133" s="531" t="e">
        <f t="shared" si="514"/>
        <v>#DIV/0!</v>
      </c>
      <c r="WZL133" s="531" t="e">
        <f t="shared" si="514"/>
        <v>#DIV/0!</v>
      </c>
      <c r="WZM133" s="531" t="e">
        <f t="shared" si="514"/>
        <v>#DIV/0!</v>
      </c>
      <c r="WZN133" s="531" t="e">
        <f t="shared" si="514"/>
        <v>#DIV/0!</v>
      </c>
      <c r="WZO133" s="531" t="e">
        <f t="shared" si="514"/>
        <v>#DIV/0!</v>
      </c>
      <c r="WZP133" s="531" t="e">
        <f t="shared" si="514"/>
        <v>#DIV/0!</v>
      </c>
      <c r="WZQ133" s="531" t="e">
        <f t="shared" si="514"/>
        <v>#DIV/0!</v>
      </c>
      <c r="WZR133" s="531" t="e">
        <f t="shared" si="514"/>
        <v>#DIV/0!</v>
      </c>
      <c r="WZS133" s="531" t="e">
        <f t="shared" si="514"/>
        <v>#DIV/0!</v>
      </c>
      <c r="WZT133" s="531" t="e">
        <f t="shared" si="514"/>
        <v>#DIV/0!</v>
      </c>
      <c r="WZU133" s="531" t="e">
        <f t="shared" si="514"/>
        <v>#DIV/0!</v>
      </c>
      <c r="WZV133" s="531" t="e">
        <f t="shared" si="514"/>
        <v>#DIV/0!</v>
      </c>
      <c r="WZW133" s="531" t="e">
        <f t="shared" si="514"/>
        <v>#DIV/0!</v>
      </c>
      <c r="WZX133" s="531" t="e">
        <f t="shared" si="514"/>
        <v>#DIV/0!</v>
      </c>
      <c r="WZY133" s="531" t="e">
        <f t="shared" si="514"/>
        <v>#DIV/0!</v>
      </c>
      <c r="WZZ133" s="531" t="e">
        <f t="shared" si="514"/>
        <v>#DIV/0!</v>
      </c>
      <c r="XAA133" s="531" t="e">
        <f t="shared" si="514"/>
        <v>#DIV/0!</v>
      </c>
      <c r="XAB133" s="531" t="e">
        <f t="shared" si="514"/>
        <v>#DIV/0!</v>
      </c>
      <c r="XAC133" s="531" t="e">
        <f t="shared" si="514"/>
        <v>#DIV/0!</v>
      </c>
      <c r="XAD133" s="531" t="e">
        <f t="shared" si="514"/>
        <v>#DIV/0!</v>
      </c>
      <c r="XAE133" s="531" t="e">
        <f t="shared" si="514"/>
        <v>#DIV/0!</v>
      </c>
      <c r="XAF133" s="531" t="e">
        <f t="shared" si="514"/>
        <v>#DIV/0!</v>
      </c>
      <c r="XAG133" s="531" t="e">
        <f t="shared" si="514"/>
        <v>#DIV/0!</v>
      </c>
      <c r="XAH133" s="531" t="e">
        <f t="shared" si="514"/>
        <v>#DIV/0!</v>
      </c>
      <c r="XAI133" s="531" t="e">
        <f t="shared" si="514"/>
        <v>#DIV/0!</v>
      </c>
      <c r="XAJ133" s="531" t="e">
        <f t="shared" si="514"/>
        <v>#DIV/0!</v>
      </c>
      <c r="XAK133" s="531" t="e">
        <f t="shared" si="514"/>
        <v>#DIV/0!</v>
      </c>
      <c r="XAL133" s="531" t="e">
        <f t="shared" si="514"/>
        <v>#DIV/0!</v>
      </c>
      <c r="XAM133" s="531" t="e">
        <f t="shared" ref="XAM133:XCX133" si="515">XAM116/(XAM52*10^5)</f>
        <v>#DIV/0!</v>
      </c>
      <c r="XAN133" s="531" t="e">
        <f t="shared" si="515"/>
        <v>#DIV/0!</v>
      </c>
      <c r="XAO133" s="531" t="e">
        <f t="shared" si="515"/>
        <v>#DIV/0!</v>
      </c>
      <c r="XAP133" s="531" t="e">
        <f t="shared" si="515"/>
        <v>#DIV/0!</v>
      </c>
      <c r="XAQ133" s="531" t="e">
        <f t="shared" si="515"/>
        <v>#DIV/0!</v>
      </c>
      <c r="XAR133" s="531" t="e">
        <f t="shared" si="515"/>
        <v>#DIV/0!</v>
      </c>
      <c r="XAS133" s="531" t="e">
        <f t="shared" si="515"/>
        <v>#DIV/0!</v>
      </c>
      <c r="XAT133" s="531" t="e">
        <f t="shared" si="515"/>
        <v>#DIV/0!</v>
      </c>
      <c r="XAU133" s="531" t="e">
        <f t="shared" si="515"/>
        <v>#DIV/0!</v>
      </c>
      <c r="XAV133" s="531" t="e">
        <f t="shared" si="515"/>
        <v>#DIV/0!</v>
      </c>
      <c r="XAW133" s="531" t="e">
        <f t="shared" si="515"/>
        <v>#DIV/0!</v>
      </c>
      <c r="XAX133" s="531" t="e">
        <f t="shared" si="515"/>
        <v>#DIV/0!</v>
      </c>
      <c r="XAY133" s="531" t="e">
        <f t="shared" si="515"/>
        <v>#DIV/0!</v>
      </c>
      <c r="XAZ133" s="531" t="e">
        <f t="shared" si="515"/>
        <v>#DIV/0!</v>
      </c>
      <c r="XBA133" s="531" t="e">
        <f t="shared" si="515"/>
        <v>#DIV/0!</v>
      </c>
      <c r="XBB133" s="531" t="e">
        <f t="shared" si="515"/>
        <v>#DIV/0!</v>
      </c>
      <c r="XBC133" s="531" t="e">
        <f t="shared" si="515"/>
        <v>#DIV/0!</v>
      </c>
      <c r="XBD133" s="531" t="e">
        <f t="shared" si="515"/>
        <v>#DIV/0!</v>
      </c>
      <c r="XBE133" s="531" t="e">
        <f t="shared" si="515"/>
        <v>#DIV/0!</v>
      </c>
      <c r="XBF133" s="531" t="e">
        <f t="shared" si="515"/>
        <v>#DIV/0!</v>
      </c>
      <c r="XBG133" s="531" t="e">
        <f t="shared" si="515"/>
        <v>#DIV/0!</v>
      </c>
      <c r="XBH133" s="531" t="e">
        <f t="shared" si="515"/>
        <v>#DIV/0!</v>
      </c>
      <c r="XBI133" s="531" t="e">
        <f t="shared" si="515"/>
        <v>#DIV/0!</v>
      </c>
      <c r="XBJ133" s="531" t="e">
        <f t="shared" si="515"/>
        <v>#DIV/0!</v>
      </c>
      <c r="XBK133" s="531" t="e">
        <f t="shared" si="515"/>
        <v>#DIV/0!</v>
      </c>
      <c r="XBL133" s="531" t="e">
        <f t="shared" si="515"/>
        <v>#DIV/0!</v>
      </c>
      <c r="XBM133" s="531" t="e">
        <f t="shared" si="515"/>
        <v>#DIV/0!</v>
      </c>
      <c r="XBN133" s="531" t="e">
        <f t="shared" si="515"/>
        <v>#DIV/0!</v>
      </c>
      <c r="XBO133" s="531" t="e">
        <f t="shared" si="515"/>
        <v>#DIV/0!</v>
      </c>
      <c r="XBP133" s="531" t="e">
        <f t="shared" si="515"/>
        <v>#DIV/0!</v>
      </c>
      <c r="XBQ133" s="531" t="e">
        <f t="shared" si="515"/>
        <v>#DIV/0!</v>
      </c>
      <c r="XBR133" s="531" t="e">
        <f t="shared" si="515"/>
        <v>#DIV/0!</v>
      </c>
      <c r="XBS133" s="531" t="e">
        <f t="shared" si="515"/>
        <v>#DIV/0!</v>
      </c>
      <c r="XBT133" s="531" t="e">
        <f t="shared" si="515"/>
        <v>#DIV/0!</v>
      </c>
      <c r="XBU133" s="531" t="e">
        <f t="shared" si="515"/>
        <v>#DIV/0!</v>
      </c>
      <c r="XBV133" s="531" t="e">
        <f t="shared" si="515"/>
        <v>#DIV/0!</v>
      </c>
      <c r="XBW133" s="531" t="e">
        <f t="shared" si="515"/>
        <v>#DIV/0!</v>
      </c>
      <c r="XBX133" s="531" t="e">
        <f t="shared" si="515"/>
        <v>#DIV/0!</v>
      </c>
      <c r="XBY133" s="531" t="e">
        <f t="shared" si="515"/>
        <v>#DIV/0!</v>
      </c>
      <c r="XBZ133" s="531" t="e">
        <f t="shared" si="515"/>
        <v>#DIV/0!</v>
      </c>
      <c r="XCA133" s="531" t="e">
        <f t="shared" si="515"/>
        <v>#DIV/0!</v>
      </c>
      <c r="XCB133" s="531" t="e">
        <f t="shared" si="515"/>
        <v>#DIV/0!</v>
      </c>
      <c r="XCC133" s="531" t="e">
        <f t="shared" si="515"/>
        <v>#DIV/0!</v>
      </c>
      <c r="XCD133" s="531" t="e">
        <f t="shared" si="515"/>
        <v>#DIV/0!</v>
      </c>
      <c r="XCE133" s="531" t="e">
        <f t="shared" si="515"/>
        <v>#DIV/0!</v>
      </c>
      <c r="XCF133" s="531" t="e">
        <f t="shared" si="515"/>
        <v>#DIV/0!</v>
      </c>
      <c r="XCG133" s="531" t="e">
        <f t="shared" si="515"/>
        <v>#DIV/0!</v>
      </c>
      <c r="XCH133" s="531" t="e">
        <f t="shared" si="515"/>
        <v>#DIV/0!</v>
      </c>
      <c r="XCI133" s="531" t="e">
        <f t="shared" si="515"/>
        <v>#DIV/0!</v>
      </c>
      <c r="XCJ133" s="531" t="e">
        <f t="shared" si="515"/>
        <v>#DIV/0!</v>
      </c>
      <c r="XCK133" s="531" t="e">
        <f t="shared" si="515"/>
        <v>#DIV/0!</v>
      </c>
      <c r="XCL133" s="531" t="e">
        <f t="shared" si="515"/>
        <v>#DIV/0!</v>
      </c>
      <c r="XCM133" s="531" t="e">
        <f t="shared" si="515"/>
        <v>#DIV/0!</v>
      </c>
      <c r="XCN133" s="531" t="e">
        <f t="shared" si="515"/>
        <v>#DIV/0!</v>
      </c>
      <c r="XCO133" s="531" t="e">
        <f t="shared" si="515"/>
        <v>#DIV/0!</v>
      </c>
      <c r="XCP133" s="531" t="e">
        <f t="shared" si="515"/>
        <v>#DIV/0!</v>
      </c>
      <c r="XCQ133" s="531" t="e">
        <f t="shared" si="515"/>
        <v>#DIV/0!</v>
      </c>
      <c r="XCR133" s="531" t="e">
        <f t="shared" si="515"/>
        <v>#DIV/0!</v>
      </c>
      <c r="XCS133" s="531" t="e">
        <f t="shared" si="515"/>
        <v>#DIV/0!</v>
      </c>
      <c r="XCT133" s="531" t="e">
        <f t="shared" si="515"/>
        <v>#DIV/0!</v>
      </c>
      <c r="XCU133" s="531" t="e">
        <f t="shared" si="515"/>
        <v>#DIV/0!</v>
      </c>
      <c r="XCV133" s="531" t="e">
        <f t="shared" si="515"/>
        <v>#DIV/0!</v>
      </c>
      <c r="XCW133" s="531" t="e">
        <f t="shared" si="515"/>
        <v>#DIV/0!</v>
      </c>
      <c r="XCX133" s="531" t="e">
        <f t="shared" si="515"/>
        <v>#DIV/0!</v>
      </c>
      <c r="XCY133" s="531" t="e">
        <f t="shared" ref="XCY133:XFD133" si="516">XCY116/(XCY52*10^5)</f>
        <v>#DIV/0!</v>
      </c>
      <c r="XCZ133" s="531" t="e">
        <f t="shared" si="516"/>
        <v>#DIV/0!</v>
      </c>
      <c r="XDA133" s="531" t="e">
        <f t="shared" si="516"/>
        <v>#DIV/0!</v>
      </c>
      <c r="XDB133" s="531" t="e">
        <f t="shared" si="516"/>
        <v>#DIV/0!</v>
      </c>
      <c r="XDC133" s="531" t="e">
        <f t="shared" si="516"/>
        <v>#DIV/0!</v>
      </c>
      <c r="XDD133" s="531" t="e">
        <f t="shared" si="516"/>
        <v>#DIV/0!</v>
      </c>
      <c r="XDE133" s="531" t="e">
        <f t="shared" si="516"/>
        <v>#DIV/0!</v>
      </c>
      <c r="XDF133" s="531" t="e">
        <f t="shared" si="516"/>
        <v>#DIV/0!</v>
      </c>
      <c r="XDG133" s="531" t="e">
        <f t="shared" si="516"/>
        <v>#DIV/0!</v>
      </c>
      <c r="XDH133" s="531" t="e">
        <f t="shared" si="516"/>
        <v>#DIV/0!</v>
      </c>
      <c r="XDI133" s="531" t="e">
        <f t="shared" si="516"/>
        <v>#DIV/0!</v>
      </c>
      <c r="XDJ133" s="531" t="e">
        <f t="shared" si="516"/>
        <v>#DIV/0!</v>
      </c>
      <c r="XDK133" s="531" t="e">
        <f t="shared" si="516"/>
        <v>#DIV/0!</v>
      </c>
      <c r="XDL133" s="531" t="e">
        <f t="shared" si="516"/>
        <v>#DIV/0!</v>
      </c>
      <c r="XDM133" s="531" t="e">
        <f t="shared" si="516"/>
        <v>#DIV/0!</v>
      </c>
      <c r="XDN133" s="531" t="e">
        <f t="shared" si="516"/>
        <v>#DIV/0!</v>
      </c>
      <c r="XDO133" s="531" t="e">
        <f t="shared" si="516"/>
        <v>#DIV/0!</v>
      </c>
      <c r="XDP133" s="531" t="e">
        <f t="shared" si="516"/>
        <v>#DIV/0!</v>
      </c>
      <c r="XDQ133" s="531" t="e">
        <f t="shared" si="516"/>
        <v>#DIV/0!</v>
      </c>
      <c r="XDR133" s="531" t="e">
        <f t="shared" si="516"/>
        <v>#DIV/0!</v>
      </c>
      <c r="XDS133" s="531" t="e">
        <f t="shared" si="516"/>
        <v>#DIV/0!</v>
      </c>
      <c r="XDT133" s="531" t="e">
        <f t="shared" si="516"/>
        <v>#DIV/0!</v>
      </c>
      <c r="XDU133" s="531" t="e">
        <f t="shared" si="516"/>
        <v>#DIV/0!</v>
      </c>
      <c r="XDV133" s="531" t="e">
        <f t="shared" si="516"/>
        <v>#DIV/0!</v>
      </c>
      <c r="XDW133" s="531" t="e">
        <f t="shared" si="516"/>
        <v>#DIV/0!</v>
      </c>
      <c r="XDX133" s="531" t="e">
        <f t="shared" si="516"/>
        <v>#DIV/0!</v>
      </c>
      <c r="XDY133" s="531" t="e">
        <f t="shared" si="516"/>
        <v>#DIV/0!</v>
      </c>
      <c r="XDZ133" s="531" t="e">
        <f t="shared" si="516"/>
        <v>#DIV/0!</v>
      </c>
      <c r="XEA133" s="531" t="e">
        <f t="shared" si="516"/>
        <v>#DIV/0!</v>
      </c>
      <c r="XEB133" s="531" t="e">
        <f t="shared" si="516"/>
        <v>#DIV/0!</v>
      </c>
      <c r="XEC133" s="531" t="e">
        <f t="shared" si="516"/>
        <v>#DIV/0!</v>
      </c>
      <c r="XED133" s="531" t="e">
        <f t="shared" si="516"/>
        <v>#DIV/0!</v>
      </c>
      <c r="XEE133" s="531" t="e">
        <f t="shared" si="516"/>
        <v>#DIV/0!</v>
      </c>
      <c r="XEF133" s="531" t="e">
        <f t="shared" si="516"/>
        <v>#DIV/0!</v>
      </c>
      <c r="XEG133" s="531" t="e">
        <f t="shared" si="516"/>
        <v>#DIV/0!</v>
      </c>
      <c r="XEH133" s="531" t="e">
        <f t="shared" si="516"/>
        <v>#DIV/0!</v>
      </c>
      <c r="XEI133" s="531" t="e">
        <f t="shared" si="516"/>
        <v>#DIV/0!</v>
      </c>
      <c r="XEJ133" s="531" t="e">
        <f t="shared" si="516"/>
        <v>#DIV/0!</v>
      </c>
      <c r="XEK133" s="531" t="e">
        <f t="shared" si="516"/>
        <v>#DIV/0!</v>
      </c>
      <c r="XEL133" s="531" t="e">
        <f t="shared" si="516"/>
        <v>#DIV/0!</v>
      </c>
      <c r="XEM133" s="531" t="e">
        <f t="shared" si="516"/>
        <v>#DIV/0!</v>
      </c>
      <c r="XEN133" s="531" t="e">
        <f t="shared" si="516"/>
        <v>#DIV/0!</v>
      </c>
      <c r="XEO133" s="531" t="e">
        <f t="shared" si="516"/>
        <v>#DIV/0!</v>
      </c>
      <c r="XEP133" s="531" t="e">
        <f t="shared" si="516"/>
        <v>#DIV/0!</v>
      </c>
      <c r="XEQ133" s="531" t="e">
        <f t="shared" si="516"/>
        <v>#DIV/0!</v>
      </c>
      <c r="XER133" s="531" t="e">
        <f t="shared" si="516"/>
        <v>#DIV/0!</v>
      </c>
      <c r="XES133" s="531" t="e">
        <f t="shared" si="516"/>
        <v>#DIV/0!</v>
      </c>
      <c r="XET133" s="531" t="e">
        <f t="shared" si="516"/>
        <v>#DIV/0!</v>
      </c>
      <c r="XEU133" s="531" t="e">
        <f t="shared" si="516"/>
        <v>#DIV/0!</v>
      </c>
      <c r="XEV133" s="531" t="e">
        <f t="shared" si="516"/>
        <v>#DIV/0!</v>
      </c>
      <c r="XEW133" s="531" t="e">
        <f t="shared" si="516"/>
        <v>#DIV/0!</v>
      </c>
      <c r="XEX133" s="531" t="e">
        <f t="shared" si="516"/>
        <v>#DIV/0!</v>
      </c>
      <c r="XEY133" s="531" t="e">
        <f t="shared" si="516"/>
        <v>#DIV/0!</v>
      </c>
      <c r="XEZ133" s="531" t="e">
        <f t="shared" si="516"/>
        <v>#DIV/0!</v>
      </c>
      <c r="XFA133" s="531" t="e">
        <f t="shared" si="516"/>
        <v>#DIV/0!</v>
      </c>
      <c r="XFB133" s="531" t="e">
        <f t="shared" si="516"/>
        <v>#DIV/0!</v>
      </c>
      <c r="XFC133" s="531" t="e">
        <f t="shared" si="516"/>
        <v>#DIV/0!</v>
      </c>
      <c r="XFD133" s="531" t="e">
        <f t="shared" si="516"/>
        <v>#DIV/0!</v>
      </c>
    </row>
    <row r="134" spans="1:16384" ht="15" customHeight="1" thickBot="1" x14ac:dyDescent="0.4">
      <c r="A134" s="133"/>
      <c r="B134" s="205"/>
      <c r="C134" s="205"/>
      <c r="D134" s="133"/>
      <c r="E134" s="205"/>
      <c r="F134" s="476"/>
    </row>
    <row r="135" spans="1:16384" ht="56.5" customHeight="1" thickBot="1" x14ac:dyDescent="0.4">
      <c r="A135" s="905">
        <v>21.2</v>
      </c>
      <c r="B135" s="906" t="s">
        <v>2280</v>
      </c>
      <c r="C135" s="907"/>
      <c r="D135" s="534" t="s">
        <v>2281</v>
      </c>
      <c r="E135" s="535">
        <f>IFERROR(IF($C$4="Clinkerization","NA",(E128/(E27*10^5))),0)</f>
        <v>0</v>
      </c>
      <c r="F135" s="535">
        <f>IFERROR(IF($C$4="Clinkerization","NA",(F128/(F27*10^5))),0)</f>
        <v>0</v>
      </c>
    </row>
    <row r="136" spans="1:16384" ht="42.5" customHeight="1" thickBot="1" x14ac:dyDescent="0.4">
      <c r="A136" s="905">
        <v>22.2</v>
      </c>
      <c r="B136" s="906" t="s">
        <v>2282</v>
      </c>
      <c r="C136" s="907"/>
      <c r="D136" s="534" t="s">
        <v>2283</v>
      </c>
      <c r="E136" s="535">
        <f>IFERROR(IF($C$4="Clinkerization","NA",(E128/(E28*10^5))),0)</f>
        <v>0</v>
      </c>
      <c r="F136" s="535">
        <f>IFERROR(IF($C$4="Clinkerization","NA",(F128/(F28*10^5))),0)</f>
        <v>0</v>
      </c>
    </row>
    <row r="137" spans="1:16384" x14ac:dyDescent="0.35">
      <c r="A137" s="144"/>
      <c r="F137" s="35"/>
    </row>
    <row r="138" spans="1:16384" ht="14.25" customHeight="1" x14ac:dyDescent="0.35">
      <c r="A138" s="1062" t="s">
        <v>2284</v>
      </c>
      <c r="B138" s="1044"/>
      <c r="C138" s="1044"/>
      <c r="D138" s="1063"/>
      <c r="E138" s="1044"/>
      <c r="F138" s="1030"/>
    </row>
    <row r="139" spans="1:16384" x14ac:dyDescent="0.35">
      <c r="A139" s="1039"/>
      <c r="B139" s="1044"/>
      <c r="C139" s="1044"/>
      <c r="D139" s="1063"/>
      <c r="E139" s="1044"/>
      <c r="F139" s="1030"/>
    </row>
    <row r="140" spans="1:16384" x14ac:dyDescent="0.35">
      <c r="A140" s="1039"/>
      <c r="B140" s="1044"/>
      <c r="C140" s="1044"/>
      <c r="D140" s="1063"/>
      <c r="E140" s="1044"/>
      <c r="F140" s="1030"/>
    </row>
    <row r="141" spans="1:16384" x14ac:dyDescent="0.35">
      <c r="A141" s="1039"/>
      <c r="B141" s="1044"/>
      <c r="C141" s="1044"/>
      <c r="D141" s="1063"/>
      <c r="E141" s="1044"/>
      <c r="F141" s="1030"/>
    </row>
    <row r="142" spans="1:16384" x14ac:dyDescent="0.35">
      <c r="A142" s="1039"/>
      <c r="B142" s="1044"/>
      <c r="C142" s="1044"/>
      <c r="D142" s="1063"/>
      <c r="E142" s="1044"/>
      <c r="F142" s="1030"/>
    </row>
    <row r="143" spans="1:16384" x14ac:dyDescent="0.35">
      <c r="A143" s="145"/>
      <c r="B143" s="146"/>
      <c r="C143" s="147"/>
      <c r="D143" s="148"/>
      <c r="E143" s="147"/>
      <c r="F143" s="149"/>
    </row>
    <row r="144" spans="1:16384" x14ac:dyDescent="0.35">
      <c r="A144" s="145"/>
      <c r="B144" s="146"/>
      <c r="C144" s="147"/>
      <c r="D144" s="146" t="s">
        <v>2065</v>
      </c>
      <c r="E144" s="146"/>
      <c r="F144" s="150"/>
    </row>
    <row r="145" spans="1:6" x14ac:dyDescent="0.35">
      <c r="A145" s="145"/>
      <c r="B145" s="151" t="s">
        <v>2121</v>
      </c>
      <c r="C145" s="147"/>
      <c r="D145" s="148"/>
      <c r="E145" s="147"/>
      <c r="F145" s="149"/>
    </row>
    <row r="146" spans="1:6" x14ac:dyDescent="0.35">
      <c r="A146" s="145"/>
      <c r="B146" s="151"/>
      <c r="C146" s="147"/>
      <c r="D146" s="148"/>
      <c r="E146" s="147"/>
      <c r="F146" s="149"/>
    </row>
    <row r="147" spans="1:6" x14ac:dyDescent="0.35">
      <c r="A147" s="145"/>
      <c r="B147" s="289" t="s">
        <v>2122</v>
      </c>
      <c r="C147" s="147"/>
      <c r="D147" s="148"/>
      <c r="E147" s="147"/>
      <c r="F147" s="149"/>
    </row>
    <row r="148" spans="1:6" ht="15" customHeight="1" thickBot="1" x14ac:dyDescent="0.4">
      <c r="A148" s="152"/>
      <c r="B148" s="153"/>
      <c r="C148" s="153"/>
      <c r="D148" s="154"/>
      <c r="E148" s="153"/>
      <c r="F148" s="155"/>
    </row>
    <row r="149" spans="1:6" ht="14.25" hidden="1" customHeight="1" x14ac:dyDescent="0.35"/>
    <row r="150" spans="1:6" ht="14.25" hidden="1" customHeight="1" x14ac:dyDescent="0.35"/>
    <row r="151" spans="1:6" ht="14.25" hidden="1" customHeight="1" x14ac:dyDescent="0.35"/>
    <row r="152" spans="1:6" ht="14.25" hidden="1" customHeight="1" x14ac:dyDescent="0.35"/>
    <row r="153" spans="1:6" ht="14.25" hidden="1" customHeight="1" x14ac:dyDescent="0.35"/>
    <row r="154" spans="1:6" ht="14.25" hidden="1" customHeight="1" x14ac:dyDescent="0.35"/>
    <row r="155" spans="1:6" ht="14.25" hidden="1" customHeight="1" x14ac:dyDescent="0.35"/>
    <row r="156" spans="1:6" ht="14.25" hidden="1" customHeight="1" x14ac:dyDescent="0.35"/>
    <row r="157" spans="1:6" ht="14.25" hidden="1" customHeight="1" x14ac:dyDescent="0.35"/>
    <row r="158" spans="1:6" ht="14.25" hidden="1" customHeight="1" x14ac:dyDescent="0.35"/>
    <row r="159" spans="1:6" ht="14.25" hidden="1" customHeight="1" x14ac:dyDescent="0.35"/>
    <row r="160" spans="1:6" ht="14.25" hidden="1" customHeight="1" x14ac:dyDescent="0.35"/>
    <row r="161" spans="1:4" ht="14.25" hidden="1" customHeight="1" x14ac:dyDescent="0.35"/>
    <row r="162" spans="1:4" ht="14.25" hidden="1" customHeight="1" x14ac:dyDescent="0.35"/>
    <row r="163" spans="1:4" ht="14.25" hidden="1" customHeight="1" x14ac:dyDescent="0.35"/>
    <row r="164" spans="1:4" ht="14.25" hidden="1" customHeight="1" x14ac:dyDescent="0.35"/>
    <row r="165" spans="1:4" ht="14.25" hidden="1" customHeight="1" x14ac:dyDescent="0.35"/>
    <row r="166" spans="1:4" ht="14.25" hidden="1" customHeight="1" x14ac:dyDescent="0.35"/>
    <row r="167" spans="1:4" ht="14.25" hidden="1" customHeight="1" x14ac:dyDescent="0.35"/>
    <row r="168" spans="1:4" ht="14.25" hidden="1" customHeight="1" x14ac:dyDescent="0.35"/>
    <row r="169" spans="1:4" ht="14.25" hidden="1" customHeight="1" x14ac:dyDescent="0.35">
      <c r="A169" s="12"/>
      <c r="D169" s="12"/>
    </row>
    <row r="170" spans="1:4" ht="14.25" hidden="1" customHeight="1" x14ac:dyDescent="0.35">
      <c r="A170" s="12"/>
      <c r="D170" s="12"/>
    </row>
    <row r="171" spans="1:4" ht="14.25" hidden="1" customHeight="1" x14ac:dyDescent="0.35">
      <c r="A171" s="12"/>
      <c r="D171" s="12"/>
    </row>
    <row r="172" spans="1:4" ht="14.25" hidden="1" customHeight="1" x14ac:dyDescent="0.35">
      <c r="A172" s="12"/>
      <c r="D172" s="12"/>
    </row>
    <row r="173" spans="1:4" ht="14.25" hidden="1" customHeight="1" x14ac:dyDescent="0.35">
      <c r="A173" s="12"/>
      <c r="D173" s="12"/>
    </row>
    <row r="174" spans="1:4" ht="14.25" hidden="1" customHeight="1" x14ac:dyDescent="0.35">
      <c r="A174" s="12"/>
      <c r="D174" s="12"/>
    </row>
    <row r="175" spans="1:4" ht="14.25" hidden="1" customHeight="1" x14ac:dyDescent="0.35">
      <c r="A175" s="12"/>
      <c r="D175" s="12"/>
    </row>
    <row r="176" spans="1:4" ht="14.25" hidden="1" customHeight="1" x14ac:dyDescent="0.35">
      <c r="A176" s="12"/>
      <c r="D176" s="12"/>
    </row>
    <row r="177" s="12" customFormat="1" ht="14.25" hidden="1" customHeight="1" x14ac:dyDescent="0.35"/>
    <row r="178" s="12" customFormat="1" ht="14.25" hidden="1" customHeight="1" x14ac:dyDescent="0.35"/>
    <row r="179" s="12" customFormat="1" ht="14.25" hidden="1" customHeight="1" x14ac:dyDescent="0.35"/>
    <row r="180" s="12" customFormat="1" ht="14.25" hidden="1" customHeight="1" x14ac:dyDescent="0.35"/>
    <row r="181" s="12" customFormat="1" ht="14.25" hidden="1" customHeight="1" x14ac:dyDescent="0.35"/>
    <row r="182" s="12" customFormat="1" ht="14.25" hidden="1" customHeight="1" x14ac:dyDescent="0.35"/>
    <row r="183" s="12" customFormat="1" ht="14.25" hidden="1" customHeight="1" x14ac:dyDescent="0.35"/>
    <row r="184" s="12" customFormat="1" ht="14.25" hidden="1" customHeight="1" x14ac:dyDescent="0.35"/>
    <row r="185" s="12" customFormat="1" ht="14.25" hidden="1" customHeight="1" x14ac:dyDescent="0.35"/>
    <row r="186" s="12" customFormat="1" ht="14.25" hidden="1" customHeight="1" x14ac:dyDescent="0.35"/>
    <row r="187" s="12" customFormat="1" ht="14.25" hidden="1" customHeight="1" x14ac:dyDescent="0.35"/>
    <row r="188" s="12" customFormat="1" ht="14.25" hidden="1" customHeight="1" x14ac:dyDescent="0.35"/>
    <row r="189" s="12" customFormat="1" ht="14.25" hidden="1" customHeight="1" x14ac:dyDescent="0.35"/>
    <row r="190" s="12" customFormat="1" ht="14.25" hidden="1" customHeight="1" x14ac:dyDescent="0.35"/>
    <row r="191" s="12" customFormat="1" ht="14.25" hidden="1" customHeight="1" x14ac:dyDescent="0.35"/>
    <row r="192" s="12" customFormat="1" ht="14.25" hidden="1" customHeight="1" x14ac:dyDescent="0.35"/>
    <row r="193" s="12" customFormat="1" ht="14.25" hidden="1" customHeight="1" x14ac:dyDescent="0.35"/>
    <row r="194" s="12" customFormat="1" ht="14.25" hidden="1" customHeight="1" x14ac:dyDescent="0.35"/>
    <row r="195" s="12" customFormat="1" ht="14.25" hidden="1" customHeight="1" x14ac:dyDescent="0.35"/>
    <row r="196" s="12" customFormat="1" ht="14.25" hidden="1" customHeight="1" x14ac:dyDescent="0.35"/>
    <row r="197" s="12" customFormat="1" ht="14.25" hidden="1" customHeight="1" x14ac:dyDescent="0.35"/>
    <row r="198" s="12" customFormat="1" hidden="1" x14ac:dyDescent="0.35"/>
    <row r="199" s="12" customFormat="1" hidden="1" x14ac:dyDescent="0.35"/>
    <row r="200" s="12" customFormat="1" hidden="1" x14ac:dyDescent="0.35"/>
    <row r="201" s="12" customFormat="1" hidden="1" x14ac:dyDescent="0.35"/>
    <row r="202" s="12" customFormat="1" hidden="1" x14ac:dyDescent="0.35"/>
    <row r="203" s="12" customFormat="1" hidden="1" x14ac:dyDescent="0.35"/>
    <row r="204" s="12" customFormat="1" hidden="1" x14ac:dyDescent="0.35"/>
    <row r="205" s="12" customFormat="1" hidden="1" x14ac:dyDescent="0.35"/>
  </sheetData>
  <sheetProtection algorithmName="SHA-512" hashValue="75cHwt2N5uf/6ZRLIKqTGmH/dANiZSwBKkfHStCRUP5KBw0JcPhhi2vNiZmKt+nYBztJhHAjejHBMylGrFxrfA==" saltValue="FOjbqBSScP83ktruG0pURg==" spinCount="100000" sheet="1" objects="1" scenarios="1"/>
  <mergeCells count="7">
    <mergeCell ref="A4:B4"/>
    <mergeCell ref="A2:F2"/>
    <mergeCell ref="A1:F1"/>
    <mergeCell ref="B67:C67"/>
    <mergeCell ref="A138:F142"/>
    <mergeCell ref="B57:C57"/>
    <mergeCell ref="A3:B3"/>
  </mergeCells>
  <pageMargins left="0" right="0.11811023622047249" top="0.15748031496062989" bottom="0.55118110236220474" header="0.31496062992125978" footer="0.31496062992125978"/>
  <pageSetup paperSize="9" scale="80" orientation="landscape"/>
  <headerFooter>
    <oddFooter>&amp;C&amp;P&amp;RNote: Not to be quoted and not to be published without prior permission</oddFooter>
  </headerFooter>
  <rowBreaks count="2" manualBreakCount="2">
    <brk id="51" max="5" man="1"/>
    <brk id="78" max="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S113"/>
  <sheetViews>
    <sheetView topLeftCell="A70" workbookViewId="0">
      <selection activeCell="F34" sqref="F34"/>
    </sheetView>
  </sheetViews>
  <sheetFormatPr defaultRowHeight="14.5" x14ac:dyDescent="0.35"/>
  <cols>
    <col min="1" max="1" width="6.1796875" bestFit="1" customWidth="1"/>
    <col min="2" max="2" width="37.453125" bestFit="1" customWidth="1"/>
    <col min="3" max="3" width="12.81640625" style="1" bestFit="1" customWidth="1"/>
    <col min="4" max="4" width="12.81640625" customWidth="1"/>
    <col min="5" max="5" width="14.1796875" customWidth="1"/>
    <col min="6" max="6" width="9.1796875" style="1" customWidth="1"/>
    <col min="7" max="7" width="11.81640625" style="1" customWidth="1"/>
    <col min="8" max="8" width="14" style="1" customWidth="1"/>
    <col min="9" max="9" width="9.81640625" style="1" customWidth="1"/>
    <col min="10" max="10" width="12" style="1" customWidth="1"/>
    <col min="11" max="11" width="13.54296875" style="1" customWidth="1"/>
    <col min="12" max="13" width="17.81640625" style="1" customWidth="1"/>
    <col min="15" max="15" width="20.81640625" bestFit="1" customWidth="1"/>
    <col min="16" max="16" width="16" customWidth="1"/>
    <col min="17" max="17" width="16.54296875" customWidth="1"/>
    <col min="19" max="19" width="12" bestFit="1" customWidth="1"/>
    <col min="20" max="20" width="19" customWidth="1"/>
  </cols>
  <sheetData>
    <row r="1" spans="1:19" x14ac:dyDescent="0.35">
      <c r="A1" s="1074" t="s">
        <v>2285</v>
      </c>
      <c r="B1" s="930"/>
      <c r="C1" s="930"/>
      <c r="D1" s="930"/>
      <c r="E1" s="930"/>
      <c r="F1" s="930"/>
      <c r="G1" s="930"/>
      <c r="H1" s="930"/>
      <c r="I1" s="931"/>
      <c r="J1" s="449"/>
      <c r="K1" s="449"/>
      <c r="L1" s="449"/>
      <c r="M1" s="449"/>
      <c r="P1" s="446"/>
    </row>
    <row r="2" spans="1:19" x14ac:dyDescent="0.35">
      <c r="A2" s="1071" t="s">
        <v>2286</v>
      </c>
      <c r="B2" s="1071" t="s">
        <v>2287</v>
      </c>
      <c r="C2" s="1070" t="s">
        <v>2288</v>
      </c>
      <c r="D2" s="930"/>
      <c r="E2" s="931"/>
      <c r="F2" s="1070" t="s">
        <v>2289</v>
      </c>
      <c r="G2" s="930"/>
      <c r="H2" s="931"/>
      <c r="I2" s="1070" t="s">
        <v>2290</v>
      </c>
      <c r="J2" s="930"/>
      <c r="K2" s="931"/>
      <c r="O2" s="450" t="s">
        <v>2291</v>
      </c>
      <c r="P2" s="451">
        <v>238845896.6275</v>
      </c>
      <c r="Q2" s="452" t="s">
        <v>2292</v>
      </c>
    </row>
    <row r="3" spans="1:19" x14ac:dyDescent="0.35">
      <c r="A3" s="949"/>
      <c r="B3" s="949"/>
      <c r="C3" s="453" t="s">
        <v>2293</v>
      </c>
      <c r="D3" s="453" t="s">
        <v>2294</v>
      </c>
      <c r="E3" s="453" t="s">
        <v>1605</v>
      </c>
      <c r="F3" s="453" t="s">
        <v>2295</v>
      </c>
      <c r="G3" s="453" t="s">
        <v>2296</v>
      </c>
      <c r="H3" s="453" t="s">
        <v>2297</v>
      </c>
      <c r="I3" s="454" t="s">
        <v>2298</v>
      </c>
      <c r="J3" s="453" t="s">
        <v>2299</v>
      </c>
      <c r="K3" s="453" t="s">
        <v>2300</v>
      </c>
    </row>
    <row r="4" spans="1:19" x14ac:dyDescent="0.35">
      <c r="A4" s="5">
        <v>1</v>
      </c>
      <c r="B4" s="227" t="s">
        <v>2301</v>
      </c>
      <c r="C4" s="455">
        <v>73.3</v>
      </c>
      <c r="D4" s="456">
        <f t="shared" ref="D4:D35" si="0">C4/$P$10</f>
        <v>3.0689243999999478</v>
      </c>
      <c r="E4" s="457">
        <f t="shared" ref="E4:E35" si="1">C4*1000*1000/$P$2</f>
        <v>0.30689243999999477</v>
      </c>
      <c r="F4" s="455">
        <v>3</v>
      </c>
      <c r="G4" s="458">
        <f t="shared" ref="G4:G35" si="2">F4*1000/($P$2)</f>
        <v>1.2560399999999786E-5</v>
      </c>
      <c r="H4" s="459">
        <f t="shared" ref="H4:H35" si="3">G4*$E$61</f>
        <v>2.6376839999999553E-4</v>
      </c>
      <c r="I4" s="455">
        <v>0.6</v>
      </c>
      <c r="J4" s="460">
        <f t="shared" ref="J4:J35" si="4">I4*1000/$P$2</f>
        <v>2.5120799999999572E-6</v>
      </c>
      <c r="K4" s="459">
        <f t="shared" ref="K4:K35" si="5">J4*$E$62</f>
        <v>7.7874479999998666E-4</v>
      </c>
      <c r="L4" s="445"/>
      <c r="M4" s="445"/>
      <c r="O4" s="461" t="s">
        <v>1026</v>
      </c>
      <c r="P4" s="462" t="s">
        <v>2302</v>
      </c>
      <c r="Q4" s="461" t="s">
        <v>1011</v>
      </c>
    </row>
    <row r="5" spans="1:19" x14ac:dyDescent="0.35">
      <c r="A5" s="5">
        <v>2</v>
      </c>
      <c r="B5" s="227" t="s">
        <v>2303</v>
      </c>
      <c r="C5" s="455">
        <v>77</v>
      </c>
      <c r="D5" s="456">
        <f t="shared" si="0"/>
        <v>3.2238359999999453</v>
      </c>
      <c r="E5" s="457">
        <f t="shared" si="1"/>
        <v>0.3223835999999945</v>
      </c>
      <c r="F5" s="455">
        <v>3</v>
      </c>
      <c r="G5" s="458">
        <f t="shared" si="2"/>
        <v>1.2560399999999786E-5</v>
      </c>
      <c r="H5" s="459">
        <f t="shared" si="3"/>
        <v>2.6376839999999553E-4</v>
      </c>
      <c r="I5" s="455">
        <v>0.6</v>
      </c>
      <c r="J5" s="460">
        <f t="shared" si="4"/>
        <v>2.5120799999999572E-6</v>
      </c>
      <c r="K5" s="459">
        <f t="shared" si="5"/>
        <v>7.7874479999998666E-4</v>
      </c>
      <c r="L5" s="445"/>
      <c r="M5" s="445"/>
      <c r="O5" s="452" t="str">
        <f>O6</f>
        <v>Other Bituminous Coal</v>
      </c>
      <c r="P5" s="463">
        <f>C28</f>
        <v>94.6</v>
      </c>
      <c r="Q5" s="452" t="s">
        <v>2304</v>
      </c>
    </row>
    <row r="6" spans="1:19" x14ac:dyDescent="0.35">
      <c r="A6" s="5">
        <v>3</v>
      </c>
      <c r="B6" s="227" t="s">
        <v>2305</v>
      </c>
      <c r="C6" s="455">
        <v>64.2</v>
      </c>
      <c r="D6" s="456">
        <f t="shared" si="0"/>
        <v>2.6879255999999545</v>
      </c>
      <c r="E6" s="457">
        <f t="shared" si="1"/>
        <v>0.26879255999999541</v>
      </c>
      <c r="F6" s="455">
        <v>3</v>
      </c>
      <c r="G6" s="458">
        <f t="shared" si="2"/>
        <v>1.2560399999999786E-5</v>
      </c>
      <c r="H6" s="459">
        <f t="shared" si="3"/>
        <v>2.6376839999999553E-4</v>
      </c>
      <c r="I6" s="455">
        <v>0.6</v>
      </c>
      <c r="J6" s="460">
        <f t="shared" si="4"/>
        <v>2.5120799999999572E-6</v>
      </c>
      <c r="K6" s="459">
        <f t="shared" si="5"/>
        <v>7.7874479999998666E-4</v>
      </c>
      <c r="L6" s="445"/>
      <c r="M6" s="445"/>
      <c r="O6" s="452" t="str">
        <f>B28</f>
        <v>Other Bituminous Coal</v>
      </c>
      <c r="P6" s="451">
        <f>10^6*P5/P2</f>
        <v>0.39607127999999325</v>
      </c>
      <c r="Q6" s="452" t="s">
        <v>2306</v>
      </c>
    </row>
    <row r="7" spans="1:19" x14ac:dyDescent="0.35">
      <c r="A7" s="5">
        <v>4</v>
      </c>
      <c r="B7" s="227" t="s">
        <v>2307</v>
      </c>
      <c r="C7" s="455">
        <v>69.3</v>
      </c>
      <c r="D7" s="456">
        <f t="shared" si="0"/>
        <v>2.9014523999999509</v>
      </c>
      <c r="E7" s="457">
        <f t="shared" si="1"/>
        <v>0.29014523999999509</v>
      </c>
      <c r="F7" s="455">
        <v>3</v>
      </c>
      <c r="G7" s="458">
        <f t="shared" si="2"/>
        <v>1.2560399999999786E-5</v>
      </c>
      <c r="H7" s="459">
        <f t="shared" si="3"/>
        <v>2.6376839999999553E-4</v>
      </c>
      <c r="I7" s="455">
        <v>0.6</v>
      </c>
      <c r="J7" s="460">
        <f t="shared" si="4"/>
        <v>2.5120799999999572E-6</v>
      </c>
      <c r="K7" s="459">
        <f t="shared" si="5"/>
        <v>7.7874479999998666E-4</v>
      </c>
      <c r="L7" s="445"/>
      <c r="M7" s="445"/>
      <c r="O7" s="452" t="str">
        <f>O5</f>
        <v>Other Bituminous Coal</v>
      </c>
      <c r="P7" s="463">
        <v>4500</v>
      </c>
      <c r="Q7" s="452" t="s">
        <v>1867</v>
      </c>
    </row>
    <row r="8" spans="1:19" x14ac:dyDescent="0.35">
      <c r="A8" s="5">
        <v>5</v>
      </c>
      <c r="B8" s="227" t="s">
        <v>2308</v>
      </c>
      <c r="C8" s="455">
        <v>70</v>
      </c>
      <c r="D8" s="456">
        <f t="shared" si="0"/>
        <v>2.9307599999999505</v>
      </c>
      <c r="E8" s="457">
        <f t="shared" si="1"/>
        <v>0.29307599999999501</v>
      </c>
      <c r="F8" s="455">
        <v>3</v>
      </c>
      <c r="G8" s="458">
        <f t="shared" si="2"/>
        <v>1.2560399999999786E-5</v>
      </c>
      <c r="H8" s="459">
        <f t="shared" si="3"/>
        <v>2.6376839999999553E-4</v>
      </c>
      <c r="I8" s="455">
        <v>0.6</v>
      </c>
      <c r="J8" s="460">
        <f t="shared" si="4"/>
        <v>2.5120799999999572E-6</v>
      </c>
      <c r="K8" s="459">
        <f t="shared" si="5"/>
        <v>7.7874479999998666E-4</v>
      </c>
      <c r="L8" s="445"/>
      <c r="M8" s="445"/>
      <c r="O8" s="452" t="str">
        <f>O7</f>
        <v>Other Bituminous Coal</v>
      </c>
      <c r="P8" s="464">
        <f>P6*P7</f>
        <v>1782.3207599999696</v>
      </c>
      <c r="Q8" s="452" t="s">
        <v>2309</v>
      </c>
    </row>
    <row r="9" spans="1:19" x14ac:dyDescent="0.35">
      <c r="A9" s="5">
        <v>6</v>
      </c>
      <c r="B9" s="227" t="s">
        <v>2310</v>
      </c>
      <c r="C9" s="455">
        <v>70</v>
      </c>
      <c r="D9" s="456">
        <f t="shared" si="0"/>
        <v>2.9307599999999505</v>
      </c>
      <c r="E9" s="457">
        <f t="shared" si="1"/>
        <v>0.29307599999999501</v>
      </c>
      <c r="F9" s="455">
        <v>3</v>
      </c>
      <c r="G9" s="458">
        <f t="shared" si="2"/>
        <v>1.2560399999999786E-5</v>
      </c>
      <c r="H9" s="459">
        <f t="shared" si="3"/>
        <v>2.6376839999999553E-4</v>
      </c>
      <c r="I9" s="455">
        <v>0.6</v>
      </c>
      <c r="J9" s="460">
        <f t="shared" si="4"/>
        <v>2.5120799999999572E-6</v>
      </c>
      <c r="K9" s="459">
        <f t="shared" si="5"/>
        <v>7.7874479999998666E-4</v>
      </c>
      <c r="L9" s="445"/>
      <c r="M9" s="445"/>
      <c r="O9" s="452" t="str">
        <f>O8</f>
        <v>Other Bituminous Coal</v>
      </c>
      <c r="P9" s="464">
        <f>P8/1000</f>
        <v>1.7823207599999695</v>
      </c>
      <c r="Q9" s="452" t="s">
        <v>2311</v>
      </c>
    </row>
    <row r="10" spans="1:19" x14ac:dyDescent="0.35">
      <c r="A10" s="5">
        <v>7</v>
      </c>
      <c r="B10" s="227" t="s">
        <v>2312</v>
      </c>
      <c r="C10" s="455">
        <v>71.5</v>
      </c>
      <c r="D10" s="456">
        <f t="shared" si="0"/>
        <v>2.9935619999999492</v>
      </c>
      <c r="E10" s="457">
        <f t="shared" si="1"/>
        <v>0.29935619999999491</v>
      </c>
      <c r="F10" s="455">
        <v>3</v>
      </c>
      <c r="G10" s="458">
        <f t="shared" si="2"/>
        <v>1.2560399999999786E-5</v>
      </c>
      <c r="H10" s="459">
        <f t="shared" si="3"/>
        <v>2.6376839999999553E-4</v>
      </c>
      <c r="I10" s="455">
        <v>0.6</v>
      </c>
      <c r="J10" s="460">
        <f t="shared" si="4"/>
        <v>2.5120799999999572E-6</v>
      </c>
      <c r="K10" s="459">
        <f t="shared" si="5"/>
        <v>7.7874479999998666E-4</v>
      </c>
      <c r="L10" s="445"/>
      <c r="M10" s="445"/>
      <c r="O10" s="453" t="s">
        <v>2291</v>
      </c>
      <c r="P10" s="542">
        <f>P2/10000/1000</f>
        <v>23.884589662749999</v>
      </c>
      <c r="Q10" s="453" t="s">
        <v>2313</v>
      </c>
    </row>
    <row r="11" spans="1:19" x14ac:dyDescent="0.35">
      <c r="A11" s="5">
        <v>8</v>
      </c>
      <c r="B11" s="227" t="s">
        <v>2314</v>
      </c>
      <c r="C11" s="455">
        <v>71.900000000000006</v>
      </c>
      <c r="D11" s="456">
        <f t="shared" si="0"/>
        <v>3.0103091999999494</v>
      </c>
      <c r="E11" s="457">
        <f t="shared" si="1"/>
        <v>0.30103091999999487</v>
      </c>
      <c r="F11" s="455">
        <v>3</v>
      </c>
      <c r="G11" s="458">
        <f t="shared" si="2"/>
        <v>1.2560399999999786E-5</v>
      </c>
      <c r="H11" s="459">
        <f t="shared" si="3"/>
        <v>2.6376839999999553E-4</v>
      </c>
      <c r="I11" s="455">
        <v>0.6</v>
      </c>
      <c r="J11" s="460">
        <f t="shared" si="4"/>
        <v>2.5120799999999572E-6</v>
      </c>
      <c r="K11" s="459">
        <f t="shared" si="5"/>
        <v>7.7874479999998666E-4</v>
      </c>
      <c r="L11" s="445"/>
      <c r="M11" s="445"/>
    </row>
    <row r="12" spans="1:19" x14ac:dyDescent="0.35">
      <c r="A12" s="5">
        <v>9</v>
      </c>
      <c r="B12" s="227" t="s">
        <v>2315</v>
      </c>
      <c r="C12" s="455">
        <v>73.3</v>
      </c>
      <c r="D12" s="456">
        <f t="shared" si="0"/>
        <v>3.0689243999999478</v>
      </c>
      <c r="E12" s="457">
        <f t="shared" si="1"/>
        <v>0.30689243999999477</v>
      </c>
      <c r="F12" s="455">
        <v>3</v>
      </c>
      <c r="G12" s="458">
        <f t="shared" si="2"/>
        <v>1.2560399999999786E-5</v>
      </c>
      <c r="H12" s="459">
        <f t="shared" si="3"/>
        <v>2.6376839999999553E-4</v>
      </c>
      <c r="I12" s="455">
        <v>0.6</v>
      </c>
      <c r="J12" s="460">
        <f t="shared" si="4"/>
        <v>2.5120799999999572E-6</v>
      </c>
      <c r="K12" s="459">
        <f t="shared" si="5"/>
        <v>7.7874479999998666E-4</v>
      </c>
      <c r="L12" s="445"/>
      <c r="M12" s="445"/>
      <c r="O12" s="541"/>
      <c r="P12" s="446"/>
    </row>
    <row r="13" spans="1:19" x14ac:dyDescent="0.35">
      <c r="A13" s="5">
        <v>10</v>
      </c>
      <c r="B13" s="227" t="s">
        <v>2316</v>
      </c>
      <c r="C13" s="455">
        <v>74.099999999999994</v>
      </c>
      <c r="D13" s="456">
        <f t="shared" si="0"/>
        <v>3.1024187999999473</v>
      </c>
      <c r="E13" s="457">
        <f t="shared" si="1"/>
        <v>0.31024187999999475</v>
      </c>
      <c r="F13" s="455">
        <v>3</v>
      </c>
      <c r="G13" s="458">
        <f t="shared" si="2"/>
        <v>1.2560399999999786E-5</v>
      </c>
      <c r="H13" s="459">
        <f t="shared" si="3"/>
        <v>2.6376839999999553E-4</v>
      </c>
      <c r="I13" s="455">
        <v>0.6</v>
      </c>
      <c r="J13" s="460">
        <f t="shared" si="4"/>
        <v>2.5120799999999572E-6</v>
      </c>
      <c r="K13" s="459">
        <f t="shared" si="5"/>
        <v>7.7874479999998666E-4</v>
      </c>
      <c r="L13" s="445"/>
      <c r="M13" s="445"/>
    </row>
    <row r="14" spans="1:19" x14ac:dyDescent="0.35">
      <c r="A14" s="5">
        <v>11</v>
      </c>
      <c r="B14" s="227" t="s">
        <v>2317</v>
      </c>
      <c r="C14" s="455">
        <v>77.400000000000006</v>
      </c>
      <c r="D14" s="456">
        <f t="shared" si="0"/>
        <v>3.2405831999999455</v>
      </c>
      <c r="E14" s="457">
        <f t="shared" si="1"/>
        <v>0.32405831999999452</v>
      </c>
      <c r="F14" s="455">
        <v>3</v>
      </c>
      <c r="G14" s="458">
        <f t="shared" si="2"/>
        <v>1.2560399999999786E-5</v>
      </c>
      <c r="H14" s="459">
        <f t="shared" si="3"/>
        <v>2.6376839999999553E-4</v>
      </c>
      <c r="I14" s="455">
        <v>0.6</v>
      </c>
      <c r="J14" s="460">
        <f t="shared" si="4"/>
        <v>2.5120799999999572E-6</v>
      </c>
      <c r="K14" s="459">
        <f t="shared" si="5"/>
        <v>7.7874479999998666E-4</v>
      </c>
      <c r="L14" s="445"/>
      <c r="M14" s="445"/>
      <c r="O14" s="539"/>
      <c r="P14" s="540"/>
    </row>
    <row r="15" spans="1:19" x14ac:dyDescent="0.35">
      <c r="A15" s="5">
        <v>12</v>
      </c>
      <c r="B15" s="227" t="s">
        <v>2318</v>
      </c>
      <c r="C15" s="455">
        <v>63.1</v>
      </c>
      <c r="D15" s="456">
        <f t="shared" si="0"/>
        <v>2.6418707999999551</v>
      </c>
      <c r="E15" s="457">
        <f t="shared" si="1"/>
        <v>0.26418707999999552</v>
      </c>
      <c r="F15" s="455">
        <v>3</v>
      </c>
      <c r="G15" s="458">
        <f t="shared" si="2"/>
        <v>1.2560399999999786E-5</v>
      </c>
      <c r="H15" s="459">
        <f t="shared" si="3"/>
        <v>2.6376839999999553E-4</v>
      </c>
      <c r="I15" s="455">
        <v>0.6</v>
      </c>
      <c r="J15" s="460">
        <f t="shared" si="4"/>
        <v>2.5120799999999572E-6</v>
      </c>
      <c r="K15" s="459">
        <f t="shared" si="5"/>
        <v>7.7874479999998666E-4</v>
      </c>
      <c r="L15" s="445"/>
      <c r="M15" s="445"/>
    </row>
    <row r="16" spans="1:19" x14ac:dyDescent="0.35">
      <c r="A16" s="5">
        <v>13</v>
      </c>
      <c r="B16" s="227" t="s">
        <v>2319</v>
      </c>
      <c r="C16" s="455">
        <v>61.6</v>
      </c>
      <c r="D16" s="456">
        <f t="shared" si="0"/>
        <v>2.5790687999999564</v>
      </c>
      <c r="E16" s="457">
        <f t="shared" si="1"/>
        <v>0.25790687999999562</v>
      </c>
      <c r="F16" s="455">
        <v>3</v>
      </c>
      <c r="G16" s="458">
        <f t="shared" si="2"/>
        <v>1.2560399999999786E-5</v>
      </c>
      <c r="H16" s="459">
        <f t="shared" si="3"/>
        <v>2.6376839999999553E-4</v>
      </c>
      <c r="I16" s="455">
        <v>0.6</v>
      </c>
      <c r="J16" s="460">
        <f t="shared" si="4"/>
        <v>2.5120799999999572E-6</v>
      </c>
      <c r="K16" s="459">
        <f t="shared" si="5"/>
        <v>7.7874479999998666E-4</v>
      </c>
      <c r="L16" s="445"/>
      <c r="M16" s="445"/>
      <c r="S16" s="465"/>
    </row>
    <row r="17" spans="1:16" x14ac:dyDescent="0.35">
      <c r="A17" s="5">
        <v>14</v>
      </c>
      <c r="B17" s="227" t="s">
        <v>2320</v>
      </c>
      <c r="C17" s="455">
        <v>73.3</v>
      </c>
      <c r="D17" s="456">
        <f t="shared" si="0"/>
        <v>3.0689243999999478</v>
      </c>
      <c r="E17" s="457">
        <f t="shared" si="1"/>
        <v>0.30689243999999477</v>
      </c>
      <c r="F17" s="455">
        <v>3</v>
      </c>
      <c r="G17" s="458">
        <f t="shared" si="2"/>
        <v>1.2560399999999786E-5</v>
      </c>
      <c r="H17" s="459">
        <f t="shared" si="3"/>
        <v>2.6376839999999553E-4</v>
      </c>
      <c r="I17" s="455">
        <v>0.6</v>
      </c>
      <c r="J17" s="460">
        <f t="shared" si="4"/>
        <v>2.5120799999999572E-6</v>
      </c>
      <c r="K17" s="459">
        <f t="shared" si="5"/>
        <v>7.7874479999998666E-4</v>
      </c>
      <c r="L17" s="445"/>
      <c r="M17" s="445"/>
    </row>
    <row r="18" spans="1:16" x14ac:dyDescent="0.35">
      <c r="A18" s="5">
        <v>15</v>
      </c>
      <c r="B18" s="227" t="s">
        <v>2321</v>
      </c>
      <c r="C18" s="455">
        <v>80.7</v>
      </c>
      <c r="D18" s="456">
        <f t="shared" si="0"/>
        <v>3.3787475999999428</v>
      </c>
      <c r="E18" s="457">
        <f t="shared" si="1"/>
        <v>0.33787475999999428</v>
      </c>
      <c r="F18" s="455">
        <v>3</v>
      </c>
      <c r="G18" s="458">
        <f t="shared" si="2"/>
        <v>1.2560399999999786E-5</v>
      </c>
      <c r="H18" s="459">
        <f t="shared" si="3"/>
        <v>2.6376839999999553E-4</v>
      </c>
      <c r="I18" s="455">
        <v>0.6</v>
      </c>
      <c r="J18" s="460">
        <f t="shared" si="4"/>
        <v>2.5120799999999572E-6</v>
      </c>
      <c r="K18" s="459">
        <f t="shared" si="5"/>
        <v>7.7874479999998666E-4</v>
      </c>
      <c r="L18" s="445"/>
      <c r="M18" s="445"/>
    </row>
    <row r="19" spans="1:16" x14ac:dyDescent="0.35">
      <c r="A19" s="5">
        <v>16</v>
      </c>
      <c r="B19" s="227" t="s">
        <v>2322</v>
      </c>
      <c r="C19" s="455">
        <v>73.3</v>
      </c>
      <c r="D19" s="456">
        <f t="shared" si="0"/>
        <v>3.0689243999999478</v>
      </c>
      <c r="E19" s="457">
        <f t="shared" si="1"/>
        <v>0.30689243999999477</v>
      </c>
      <c r="F19" s="455">
        <v>3</v>
      </c>
      <c r="G19" s="458">
        <f t="shared" si="2"/>
        <v>1.2560399999999786E-5</v>
      </c>
      <c r="H19" s="459">
        <f t="shared" si="3"/>
        <v>2.6376839999999553E-4</v>
      </c>
      <c r="I19" s="455">
        <v>0.6</v>
      </c>
      <c r="J19" s="460">
        <f t="shared" si="4"/>
        <v>2.5120799999999572E-6</v>
      </c>
      <c r="K19" s="459">
        <f t="shared" si="5"/>
        <v>7.7874479999998666E-4</v>
      </c>
      <c r="L19" s="445"/>
      <c r="M19" s="445"/>
    </row>
    <row r="20" spans="1:16" x14ac:dyDescent="0.35">
      <c r="A20" s="5">
        <v>17</v>
      </c>
      <c r="B20" s="227" t="s">
        <v>2323</v>
      </c>
      <c r="C20" s="455">
        <v>97.5</v>
      </c>
      <c r="D20" s="456">
        <f t="shared" si="0"/>
        <v>4.082129999999931</v>
      </c>
      <c r="E20" s="457">
        <f t="shared" si="1"/>
        <v>0.40821299999999305</v>
      </c>
      <c r="F20" s="455">
        <v>3</v>
      </c>
      <c r="G20" s="458">
        <f t="shared" si="2"/>
        <v>1.2560399999999786E-5</v>
      </c>
      <c r="H20" s="459">
        <f t="shared" si="3"/>
        <v>2.6376839999999553E-4</v>
      </c>
      <c r="I20" s="455">
        <v>0.6</v>
      </c>
      <c r="J20" s="460">
        <f t="shared" si="4"/>
        <v>2.5120799999999572E-6</v>
      </c>
      <c r="K20" s="459">
        <f t="shared" si="5"/>
        <v>7.7874479999998666E-4</v>
      </c>
      <c r="L20" s="445"/>
      <c r="M20" s="445"/>
    </row>
    <row r="21" spans="1:16" x14ac:dyDescent="0.35">
      <c r="A21" s="5">
        <v>18</v>
      </c>
      <c r="B21" s="227" t="s">
        <v>2324</v>
      </c>
      <c r="C21" s="455">
        <v>73.3</v>
      </c>
      <c r="D21" s="456">
        <f t="shared" si="0"/>
        <v>3.0689243999999478</v>
      </c>
      <c r="E21" s="457">
        <f t="shared" si="1"/>
        <v>0.30689243999999477</v>
      </c>
      <c r="F21" s="455">
        <v>3</v>
      </c>
      <c r="G21" s="458">
        <f t="shared" si="2"/>
        <v>1.2560399999999786E-5</v>
      </c>
      <c r="H21" s="459">
        <f t="shared" si="3"/>
        <v>2.6376839999999553E-4</v>
      </c>
      <c r="I21" s="455">
        <v>0.6</v>
      </c>
      <c r="J21" s="460">
        <f t="shared" si="4"/>
        <v>2.5120799999999572E-6</v>
      </c>
      <c r="K21" s="459">
        <f t="shared" si="5"/>
        <v>7.7874479999998666E-4</v>
      </c>
      <c r="L21" s="445"/>
      <c r="M21" s="445"/>
    </row>
    <row r="22" spans="1:16" x14ac:dyDescent="0.35">
      <c r="A22" s="5">
        <v>19</v>
      </c>
      <c r="B22" s="227" t="s">
        <v>2325</v>
      </c>
      <c r="C22" s="455">
        <v>57.6</v>
      </c>
      <c r="D22" s="456">
        <f t="shared" si="0"/>
        <v>2.411596799999959</v>
      </c>
      <c r="E22" s="457">
        <f t="shared" si="1"/>
        <v>0.24115967999999591</v>
      </c>
      <c r="F22" s="455">
        <v>3</v>
      </c>
      <c r="G22" s="458">
        <f t="shared" si="2"/>
        <v>1.2560399999999786E-5</v>
      </c>
      <c r="H22" s="459">
        <f t="shared" si="3"/>
        <v>2.6376839999999553E-4</v>
      </c>
      <c r="I22" s="455">
        <v>0.6</v>
      </c>
      <c r="J22" s="460">
        <f t="shared" si="4"/>
        <v>2.5120799999999572E-6</v>
      </c>
      <c r="K22" s="459">
        <f t="shared" si="5"/>
        <v>7.7874479999998666E-4</v>
      </c>
      <c r="L22" s="445"/>
      <c r="M22" s="445"/>
    </row>
    <row r="23" spans="1:16" x14ac:dyDescent="0.35">
      <c r="A23" s="5">
        <v>20</v>
      </c>
      <c r="B23" s="227" t="s">
        <v>2326</v>
      </c>
      <c r="C23" s="455">
        <v>73.3</v>
      </c>
      <c r="D23" s="456">
        <f t="shared" si="0"/>
        <v>3.0689243999999478</v>
      </c>
      <c r="E23" s="457">
        <f t="shared" si="1"/>
        <v>0.30689243999999477</v>
      </c>
      <c r="F23" s="455">
        <v>3</v>
      </c>
      <c r="G23" s="458">
        <f t="shared" si="2"/>
        <v>1.2560399999999786E-5</v>
      </c>
      <c r="H23" s="459">
        <f t="shared" si="3"/>
        <v>2.6376839999999553E-4</v>
      </c>
      <c r="I23" s="455">
        <v>0.6</v>
      </c>
      <c r="J23" s="460">
        <f t="shared" si="4"/>
        <v>2.5120799999999572E-6</v>
      </c>
      <c r="K23" s="459">
        <f t="shared" si="5"/>
        <v>7.7874479999998666E-4</v>
      </c>
      <c r="L23" s="445"/>
      <c r="M23" s="445"/>
    </row>
    <row r="24" spans="1:16" x14ac:dyDescent="0.35">
      <c r="A24" s="5">
        <v>21</v>
      </c>
      <c r="B24" s="227" t="s">
        <v>2327</v>
      </c>
      <c r="C24" s="455">
        <v>73.3</v>
      </c>
      <c r="D24" s="456">
        <f t="shared" si="0"/>
        <v>3.0689243999999478</v>
      </c>
      <c r="E24" s="457">
        <f t="shared" si="1"/>
        <v>0.30689243999999477</v>
      </c>
      <c r="F24" s="455">
        <v>3</v>
      </c>
      <c r="G24" s="458">
        <f t="shared" si="2"/>
        <v>1.2560399999999786E-5</v>
      </c>
      <c r="H24" s="459">
        <f t="shared" si="3"/>
        <v>2.6376839999999553E-4</v>
      </c>
      <c r="I24" s="455">
        <v>0.6</v>
      </c>
      <c r="J24" s="460">
        <f t="shared" si="4"/>
        <v>2.5120799999999572E-6</v>
      </c>
      <c r="K24" s="459">
        <f t="shared" si="5"/>
        <v>7.7874479999998666E-4</v>
      </c>
      <c r="L24" s="445"/>
      <c r="M24" s="445"/>
    </row>
    <row r="25" spans="1:16" x14ac:dyDescent="0.35">
      <c r="A25" s="5">
        <v>22</v>
      </c>
      <c r="B25" s="227" t="s">
        <v>2328</v>
      </c>
      <c r="C25" s="455">
        <v>73.3</v>
      </c>
      <c r="D25" s="456">
        <f t="shared" si="0"/>
        <v>3.0689243999999478</v>
      </c>
      <c r="E25" s="457">
        <f t="shared" si="1"/>
        <v>0.30689243999999477</v>
      </c>
      <c r="F25" s="455">
        <v>3</v>
      </c>
      <c r="G25" s="458">
        <f t="shared" si="2"/>
        <v>1.2560399999999786E-5</v>
      </c>
      <c r="H25" s="459">
        <f t="shared" si="3"/>
        <v>2.6376839999999553E-4</v>
      </c>
      <c r="I25" s="455">
        <v>0.6</v>
      </c>
      <c r="J25" s="460">
        <f t="shared" si="4"/>
        <v>2.5120799999999572E-6</v>
      </c>
      <c r="K25" s="459">
        <f t="shared" si="5"/>
        <v>7.7874479999998666E-4</v>
      </c>
      <c r="L25" s="445"/>
      <c r="M25" s="445"/>
    </row>
    <row r="26" spans="1:16" x14ac:dyDescent="0.35">
      <c r="A26" s="5">
        <v>23</v>
      </c>
      <c r="B26" s="227" t="s">
        <v>2329</v>
      </c>
      <c r="C26" s="455">
        <v>98.3</v>
      </c>
      <c r="D26" s="456">
        <f t="shared" si="0"/>
        <v>4.1156243999999305</v>
      </c>
      <c r="E26" s="457">
        <f t="shared" si="1"/>
        <v>0.41156243999999303</v>
      </c>
      <c r="F26" s="455">
        <v>1</v>
      </c>
      <c r="G26" s="458">
        <f t="shared" si="2"/>
        <v>4.1867999999999291E-6</v>
      </c>
      <c r="H26" s="459">
        <f t="shared" si="3"/>
        <v>8.7922799999998514E-5</v>
      </c>
      <c r="I26" s="455">
        <v>1.5</v>
      </c>
      <c r="J26" s="460">
        <f t="shared" si="4"/>
        <v>6.2801999999998929E-6</v>
      </c>
      <c r="K26" s="459">
        <f t="shared" si="5"/>
        <v>1.9468619999999668E-3</v>
      </c>
      <c r="L26" s="445"/>
      <c r="M26" s="445"/>
    </row>
    <row r="27" spans="1:16" x14ac:dyDescent="0.35">
      <c r="A27" s="5">
        <v>24</v>
      </c>
      <c r="B27" s="227" t="s">
        <v>2330</v>
      </c>
      <c r="C27" s="455">
        <v>94.6</v>
      </c>
      <c r="D27" s="456">
        <f t="shared" si="0"/>
        <v>3.9607127999999325</v>
      </c>
      <c r="E27" s="457">
        <f t="shared" si="1"/>
        <v>0.39607127999999325</v>
      </c>
      <c r="F27" s="455">
        <v>1</v>
      </c>
      <c r="G27" s="458">
        <f t="shared" si="2"/>
        <v>4.1867999999999291E-6</v>
      </c>
      <c r="H27" s="459">
        <f t="shared" si="3"/>
        <v>8.7922799999998514E-5</v>
      </c>
      <c r="I27" s="455">
        <v>1.5</v>
      </c>
      <c r="J27" s="460">
        <f t="shared" si="4"/>
        <v>6.2801999999998929E-6</v>
      </c>
      <c r="K27" s="459">
        <f t="shared" si="5"/>
        <v>1.9468619999999668E-3</v>
      </c>
      <c r="L27" s="445"/>
      <c r="M27" s="445"/>
    </row>
    <row r="28" spans="1:16" x14ac:dyDescent="0.35">
      <c r="A28" s="5">
        <v>25</v>
      </c>
      <c r="B28" s="227" t="s">
        <v>1685</v>
      </c>
      <c r="C28" s="455">
        <v>94.6</v>
      </c>
      <c r="D28" s="456">
        <f t="shared" si="0"/>
        <v>3.9607127999999325</v>
      </c>
      <c r="E28" s="457">
        <f t="shared" si="1"/>
        <v>0.39607127999999325</v>
      </c>
      <c r="F28" s="455">
        <v>1</v>
      </c>
      <c r="G28" s="458">
        <f t="shared" si="2"/>
        <v>4.1867999999999291E-6</v>
      </c>
      <c r="H28" s="459">
        <f t="shared" si="3"/>
        <v>8.7922799999998514E-5</v>
      </c>
      <c r="I28" s="455">
        <v>1.5</v>
      </c>
      <c r="J28" s="460">
        <f t="shared" si="4"/>
        <v>6.2801999999998929E-6</v>
      </c>
      <c r="K28" s="459">
        <f t="shared" si="5"/>
        <v>1.9468619999999668E-3</v>
      </c>
      <c r="L28" s="445"/>
      <c r="M28" s="445"/>
    </row>
    <row r="29" spans="1:16" x14ac:dyDescent="0.35">
      <c r="A29" s="5">
        <v>26</v>
      </c>
      <c r="B29" s="227" t="s">
        <v>2331</v>
      </c>
      <c r="C29" s="455">
        <v>96.1</v>
      </c>
      <c r="D29" s="456">
        <f t="shared" si="0"/>
        <v>4.0235147999999317</v>
      </c>
      <c r="E29" s="457">
        <f t="shared" si="1"/>
        <v>0.40235147999999316</v>
      </c>
      <c r="F29" s="455">
        <v>1</v>
      </c>
      <c r="G29" s="458">
        <f t="shared" si="2"/>
        <v>4.1867999999999291E-6</v>
      </c>
      <c r="H29" s="459">
        <f t="shared" si="3"/>
        <v>8.7922799999998514E-5</v>
      </c>
      <c r="I29" s="455">
        <v>1.5</v>
      </c>
      <c r="J29" s="460">
        <f t="shared" si="4"/>
        <v>6.2801999999998929E-6</v>
      </c>
      <c r="K29" s="459">
        <f t="shared" si="5"/>
        <v>1.9468619999999668E-3</v>
      </c>
      <c r="L29" s="445"/>
      <c r="M29" s="445"/>
      <c r="P29" s="466"/>
    </row>
    <row r="30" spans="1:16" x14ac:dyDescent="0.35">
      <c r="A30" s="5">
        <v>27</v>
      </c>
      <c r="B30" s="227" t="s">
        <v>35</v>
      </c>
      <c r="C30" s="455">
        <v>101</v>
      </c>
      <c r="D30" s="456">
        <f t="shared" si="0"/>
        <v>4.2286679999999279</v>
      </c>
      <c r="E30" s="457">
        <f t="shared" si="1"/>
        <v>0.42286679999999283</v>
      </c>
      <c r="F30" s="455">
        <v>1</v>
      </c>
      <c r="G30" s="458">
        <f t="shared" si="2"/>
        <v>4.1867999999999291E-6</v>
      </c>
      <c r="H30" s="459">
        <f t="shared" si="3"/>
        <v>8.7922799999998514E-5</v>
      </c>
      <c r="I30" s="455">
        <v>1.5</v>
      </c>
      <c r="J30" s="460">
        <f t="shared" si="4"/>
        <v>6.2801999999998929E-6</v>
      </c>
      <c r="K30" s="459">
        <f t="shared" si="5"/>
        <v>1.9468619999999668E-3</v>
      </c>
      <c r="L30" s="445"/>
      <c r="M30" s="445"/>
    </row>
    <row r="31" spans="1:16" x14ac:dyDescent="0.35">
      <c r="A31" s="5">
        <v>28</v>
      </c>
      <c r="B31" s="227" t="s">
        <v>2332</v>
      </c>
      <c r="C31" s="455">
        <v>107</v>
      </c>
      <c r="D31" s="456">
        <f t="shared" si="0"/>
        <v>4.4798759999999245</v>
      </c>
      <c r="E31" s="457">
        <f t="shared" si="1"/>
        <v>0.44798759999999238</v>
      </c>
      <c r="F31" s="455">
        <v>1</v>
      </c>
      <c r="G31" s="458">
        <f t="shared" si="2"/>
        <v>4.1867999999999291E-6</v>
      </c>
      <c r="H31" s="459">
        <f t="shared" si="3"/>
        <v>8.7922799999998514E-5</v>
      </c>
      <c r="I31" s="455">
        <v>1.5</v>
      </c>
      <c r="J31" s="460">
        <f t="shared" si="4"/>
        <v>6.2801999999998929E-6</v>
      </c>
      <c r="K31" s="459">
        <f t="shared" si="5"/>
        <v>1.9468619999999668E-3</v>
      </c>
      <c r="L31" s="445"/>
      <c r="M31" s="445"/>
    </row>
    <row r="32" spans="1:16" x14ac:dyDescent="0.35">
      <c r="A32" s="5">
        <v>29</v>
      </c>
      <c r="B32" s="227" t="s">
        <v>2333</v>
      </c>
      <c r="C32" s="455">
        <v>97.5</v>
      </c>
      <c r="D32" s="456">
        <f t="shared" si="0"/>
        <v>4.082129999999931</v>
      </c>
      <c r="E32" s="457">
        <f t="shared" si="1"/>
        <v>0.40821299999999305</v>
      </c>
      <c r="F32" s="455">
        <v>1</v>
      </c>
      <c r="G32" s="458">
        <f t="shared" si="2"/>
        <v>4.1867999999999291E-6</v>
      </c>
      <c r="H32" s="459">
        <f t="shared" si="3"/>
        <v>8.7922799999998514E-5</v>
      </c>
      <c r="I32" s="455">
        <v>1.5</v>
      </c>
      <c r="J32" s="460">
        <f t="shared" si="4"/>
        <v>6.2801999999998929E-6</v>
      </c>
      <c r="K32" s="459">
        <f t="shared" si="5"/>
        <v>1.9468619999999668E-3</v>
      </c>
      <c r="L32" s="445"/>
      <c r="M32" s="445"/>
    </row>
    <row r="33" spans="1:13" x14ac:dyDescent="0.35">
      <c r="A33" s="5">
        <v>30</v>
      </c>
      <c r="B33" s="227" t="s">
        <v>2334</v>
      </c>
      <c r="C33" s="455">
        <v>97.5</v>
      </c>
      <c r="D33" s="456">
        <f t="shared" si="0"/>
        <v>4.082129999999931</v>
      </c>
      <c r="E33" s="457">
        <f t="shared" si="1"/>
        <v>0.40821299999999305</v>
      </c>
      <c r="F33" s="455">
        <v>1</v>
      </c>
      <c r="G33" s="458">
        <f t="shared" si="2"/>
        <v>4.1867999999999291E-6</v>
      </c>
      <c r="H33" s="459">
        <f t="shared" si="3"/>
        <v>8.7922799999998514E-5</v>
      </c>
      <c r="I33" s="455">
        <v>1.5</v>
      </c>
      <c r="J33" s="460">
        <f t="shared" si="4"/>
        <v>6.2801999999998929E-6</v>
      </c>
      <c r="K33" s="459">
        <f t="shared" si="5"/>
        <v>1.9468619999999668E-3</v>
      </c>
      <c r="L33" s="445"/>
      <c r="M33" s="445"/>
    </row>
    <row r="34" spans="1:13" x14ac:dyDescent="0.35">
      <c r="A34" s="5">
        <v>31</v>
      </c>
      <c r="B34" s="227" t="s">
        <v>2335</v>
      </c>
      <c r="C34" s="455">
        <v>107</v>
      </c>
      <c r="D34" s="456">
        <f t="shared" si="0"/>
        <v>4.4798759999999245</v>
      </c>
      <c r="E34" s="457">
        <f t="shared" si="1"/>
        <v>0.44798759999999238</v>
      </c>
      <c r="F34" s="455">
        <v>1</v>
      </c>
      <c r="G34" s="458">
        <f t="shared" si="2"/>
        <v>4.1867999999999291E-6</v>
      </c>
      <c r="H34" s="459">
        <f t="shared" si="3"/>
        <v>8.7922799999998514E-5</v>
      </c>
      <c r="I34" s="455">
        <v>1.5</v>
      </c>
      <c r="J34" s="460">
        <f t="shared" si="4"/>
        <v>6.2801999999998929E-6</v>
      </c>
      <c r="K34" s="459">
        <f t="shared" si="5"/>
        <v>1.9468619999999668E-3</v>
      </c>
      <c r="L34" s="445"/>
      <c r="M34" s="445"/>
    </row>
    <row r="35" spans="1:13" x14ac:dyDescent="0.35">
      <c r="A35" s="5">
        <v>32</v>
      </c>
      <c r="B35" s="227" t="s">
        <v>2336</v>
      </c>
      <c r="C35" s="455">
        <v>107</v>
      </c>
      <c r="D35" s="456">
        <f t="shared" si="0"/>
        <v>4.4798759999999245</v>
      </c>
      <c r="E35" s="457">
        <f t="shared" si="1"/>
        <v>0.44798759999999238</v>
      </c>
      <c r="F35" s="455">
        <v>1</v>
      </c>
      <c r="G35" s="458">
        <f t="shared" si="2"/>
        <v>4.1867999999999291E-6</v>
      </c>
      <c r="H35" s="459">
        <f t="shared" si="3"/>
        <v>8.7922799999998514E-5</v>
      </c>
      <c r="I35" s="455">
        <v>0.1</v>
      </c>
      <c r="J35" s="460">
        <f t="shared" si="4"/>
        <v>4.1867999999999289E-7</v>
      </c>
      <c r="K35" s="459">
        <f t="shared" si="5"/>
        <v>1.297907999999978E-4</v>
      </c>
      <c r="L35" s="445"/>
      <c r="M35" s="445"/>
    </row>
    <row r="36" spans="1:13" x14ac:dyDescent="0.35">
      <c r="A36" s="5">
        <v>33</v>
      </c>
      <c r="B36" s="227" t="s">
        <v>2337</v>
      </c>
      <c r="C36" s="455">
        <v>80.7</v>
      </c>
      <c r="D36" s="456">
        <f t="shared" ref="D36:D67" si="6">C36/$P$10</f>
        <v>3.3787475999999428</v>
      </c>
      <c r="E36" s="457">
        <f t="shared" ref="E36:E56" si="7">C36*1000*1000/$P$2</f>
        <v>0.33787475999999428</v>
      </c>
      <c r="F36" s="455">
        <v>1</v>
      </c>
      <c r="G36" s="458">
        <f t="shared" ref="G36:G67" si="8">F36*1000/($P$2)</f>
        <v>4.1867999999999291E-6</v>
      </c>
      <c r="H36" s="459">
        <f t="shared" ref="H36:H67" si="9">G36*$E$61</f>
        <v>8.7922799999998514E-5</v>
      </c>
      <c r="I36" s="455">
        <v>1.5</v>
      </c>
      <c r="J36" s="460">
        <f t="shared" ref="J36:J67" si="10">I36*1000/$P$2</f>
        <v>6.2801999999998929E-6</v>
      </c>
      <c r="K36" s="459">
        <f t="shared" ref="K36:K67" si="11">J36*$E$62</f>
        <v>1.9468619999999668E-3</v>
      </c>
      <c r="L36" s="445"/>
      <c r="M36" s="445"/>
    </row>
    <row r="37" spans="1:13" x14ac:dyDescent="0.35">
      <c r="A37" s="5">
        <v>34</v>
      </c>
      <c r="B37" s="227" t="s">
        <v>2338</v>
      </c>
      <c r="C37" s="455">
        <v>44.4</v>
      </c>
      <c r="D37" s="456">
        <f t="shared" si="6"/>
        <v>1.8589391999999685</v>
      </c>
      <c r="E37" s="457">
        <f t="shared" si="7"/>
        <v>0.18589391999999685</v>
      </c>
      <c r="F37" s="455">
        <v>1</v>
      </c>
      <c r="G37" s="458">
        <f t="shared" si="8"/>
        <v>4.1867999999999291E-6</v>
      </c>
      <c r="H37" s="459">
        <f t="shared" si="9"/>
        <v>8.7922799999998514E-5</v>
      </c>
      <c r="I37" s="455">
        <v>0.1</v>
      </c>
      <c r="J37" s="460">
        <f t="shared" si="10"/>
        <v>4.1867999999999289E-7</v>
      </c>
      <c r="K37" s="459">
        <f t="shared" si="11"/>
        <v>1.297907999999978E-4</v>
      </c>
      <c r="L37" s="445"/>
      <c r="M37" s="445"/>
    </row>
    <row r="38" spans="1:13" x14ac:dyDescent="0.35">
      <c r="A38" s="5">
        <v>35</v>
      </c>
      <c r="B38" s="227" t="s">
        <v>2339</v>
      </c>
      <c r="C38" s="455">
        <v>44.4</v>
      </c>
      <c r="D38" s="456">
        <f t="shared" si="6"/>
        <v>1.8589391999999685</v>
      </c>
      <c r="E38" s="457">
        <f t="shared" si="7"/>
        <v>0.18589391999999685</v>
      </c>
      <c r="F38" s="455">
        <v>1</v>
      </c>
      <c r="G38" s="458">
        <f t="shared" si="8"/>
        <v>4.1867999999999291E-6</v>
      </c>
      <c r="H38" s="459">
        <f t="shared" si="9"/>
        <v>8.7922799999998514E-5</v>
      </c>
      <c r="I38" s="455">
        <v>0.1</v>
      </c>
      <c r="J38" s="460">
        <f t="shared" si="10"/>
        <v>4.1867999999999289E-7</v>
      </c>
      <c r="K38" s="459">
        <f t="shared" si="11"/>
        <v>1.297907999999978E-4</v>
      </c>
      <c r="L38" s="445"/>
      <c r="M38" s="445"/>
    </row>
    <row r="39" spans="1:13" x14ac:dyDescent="0.35">
      <c r="A39" s="5">
        <v>36</v>
      </c>
      <c r="B39" s="227" t="s">
        <v>2340</v>
      </c>
      <c r="C39" s="455">
        <v>260</v>
      </c>
      <c r="D39" s="456">
        <f t="shared" si="6"/>
        <v>10.885679999999816</v>
      </c>
      <c r="E39" s="457">
        <f t="shared" si="7"/>
        <v>1.0885679999999816</v>
      </c>
      <c r="F39" s="455">
        <v>1</v>
      </c>
      <c r="G39" s="458">
        <f t="shared" si="8"/>
        <v>4.1867999999999291E-6</v>
      </c>
      <c r="H39" s="459">
        <f t="shared" si="9"/>
        <v>8.7922799999998514E-5</v>
      </c>
      <c r="I39" s="455">
        <v>0.1</v>
      </c>
      <c r="J39" s="460">
        <f t="shared" si="10"/>
        <v>4.1867999999999289E-7</v>
      </c>
      <c r="K39" s="459">
        <f t="shared" si="11"/>
        <v>1.297907999999978E-4</v>
      </c>
      <c r="L39" s="445"/>
      <c r="M39" s="445"/>
    </row>
    <row r="40" spans="1:13" x14ac:dyDescent="0.35">
      <c r="A40" s="5">
        <v>37</v>
      </c>
      <c r="B40" s="227" t="s">
        <v>2341</v>
      </c>
      <c r="C40" s="455">
        <v>182</v>
      </c>
      <c r="D40" s="456">
        <f t="shared" si="6"/>
        <v>7.6199759999998706</v>
      </c>
      <c r="E40" s="457">
        <f t="shared" si="7"/>
        <v>0.76199759999998706</v>
      </c>
      <c r="F40" s="455">
        <v>1</v>
      </c>
      <c r="G40" s="458">
        <f t="shared" si="8"/>
        <v>4.1867999999999291E-6</v>
      </c>
      <c r="H40" s="459">
        <f t="shared" si="9"/>
        <v>8.7922799999998514E-5</v>
      </c>
      <c r="I40" s="455">
        <v>0.1</v>
      </c>
      <c r="J40" s="460">
        <f t="shared" si="10"/>
        <v>4.1867999999999289E-7</v>
      </c>
      <c r="K40" s="459">
        <f t="shared" si="11"/>
        <v>1.297907999999978E-4</v>
      </c>
      <c r="L40" s="445"/>
      <c r="M40" s="445"/>
    </row>
    <row r="41" spans="1:13" x14ac:dyDescent="0.35">
      <c r="A41" s="5">
        <v>38</v>
      </c>
      <c r="B41" s="227" t="s">
        <v>2342</v>
      </c>
      <c r="C41" s="455">
        <v>56.1</v>
      </c>
      <c r="D41" s="456">
        <f t="shared" si="6"/>
        <v>2.3487947999999603</v>
      </c>
      <c r="E41" s="457">
        <f t="shared" si="7"/>
        <v>0.234879479999996</v>
      </c>
      <c r="F41" s="455">
        <v>1</v>
      </c>
      <c r="G41" s="458">
        <f t="shared" si="8"/>
        <v>4.1867999999999291E-6</v>
      </c>
      <c r="H41" s="459">
        <f t="shared" si="9"/>
        <v>8.7922799999998514E-5</v>
      </c>
      <c r="I41" s="455">
        <v>0.1</v>
      </c>
      <c r="J41" s="460">
        <f t="shared" si="10"/>
        <v>4.1867999999999289E-7</v>
      </c>
      <c r="K41" s="459">
        <f t="shared" si="11"/>
        <v>1.297907999999978E-4</v>
      </c>
      <c r="L41" s="445"/>
      <c r="M41" s="445"/>
    </row>
    <row r="42" spans="1:13" x14ac:dyDescent="0.35">
      <c r="A42" s="5">
        <v>39</v>
      </c>
      <c r="B42" s="227" t="s">
        <v>2343</v>
      </c>
      <c r="C42" s="455">
        <v>91.7</v>
      </c>
      <c r="D42" s="456">
        <f t="shared" si="6"/>
        <v>3.839295599999935</v>
      </c>
      <c r="E42" s="457">
        <f t="shared" si="7"/>
        <v>0.38392955999999345</v>
      </c>
      <c r="F42" s="455">
        <v>30</v>
      </c>
      <c r="G42" s="458">
        <f t="shared" si="8"/>
        <v>1.2560399999999786E-4</v>
      </c>
      <c r="H42" s="459">
        <f t="shared" si="9"/>
        <v>2.6376839999999548E-3</v>
      </c>
      <c r="I42" s="455">
        <v>4</v>
      </c>
      <c r="J42" s="460">
        <f t="shared" si="10"/>
        <v>1.6747199999999717E-5</v>
      </c>
      <c r="K42" s="459">
        <f t="shared" si="11"/>
        <v>5.1916319999999122E-3</v>
      </c>
      <c r="L42" s="445"/>
      <c r="M42" s="445"/>
    </row>
    <row r="43" spans="1:13" x14ac:dyDescent="0.35">
      <c r="A43" s="5">
        <v>40</v>
      </c>
      <c r="B43" s="227" t="s">
        <v>2344</v>
      </c>
      <c r="C43" s="455">
        <v>143</v>
      </c>
      <c r="D43" s="456">
        <f t="shared" si="6"/>
        <v>5.9871239999998984</v>
      </c>
      <c r="E43" s="457">
        <f t="shared" si="7"/>
        <v>0.59871239999998982</v>
      </c>
      <c r="F43" s="455">
        <v>30</v>
      </c>
      <c r="G43" s="458">
        <f t="shared" si="8"/>
        <v>1.2560399999999786E-4</v>
      </c>
      <c r="H43" s="459">
        <f t="shared" si="9"/>
        <v>2.6376839999999548E-3</v>
      </c>
      <c r="I43" s="455">
        <v>4</v>
      </c>
      <c r="J43" s="460">
        <f t="shared" si="10"/>
        <v>1.6747199999999717E-5</v>
      </c>
      <c r="K43" s="459">
        <f t="shared" si="11"/>
        <v>5.1916319999999122E-3</v>
      </c>
      <c r="L43" s="445"/>
      <c r="M43" s="445"/>
    </row>
    <row r="44" spans="1:13" x14ac:dyDescent="0.35">
      <c r="A44" s="5">
        <v>41</v>
      </c>
      <c r="B44" s="227" t="s">
        <v>2345</v>
      </c>
      <c r="C44" s="455">
        <v>73.3</v>
      </c>
      <c r="D44" s="456">
        <f t="shared" si="6"/>
        <v>3.0689243999999478</v>
      </c>
      <c r="E44" s="457">
        <f t="shared" si="7"/>
        <v>0.30689243999999477</v>
      </c>
      <c r="F44" s="455">
        <v>30</v>
      </c>
      <c r="G44" s="458">
        <f t="shared" si="8"/>
        <v>1.2560399999999786E-4</v>
      </c>
      <c r="H44" s="459">
        <f t="shared" si="9"/>
        <v>2.6376839999999548E-3</v>
      </c>
      <c r="I44" s="455">
        <v>4</v>
      </c>
      <c r="J44" s="460">
        <f t="shared" si="10"/>
        <v>1.6747199999999717E-5</v>
      </c>
      <c r="K44" s="459">
        <f t="shared" si="11"/>
        <v>5.1916319999999122E-3</v>
      </c>
      <c r="L44" s="445"/>
      <c r="M44" s="445"/>
    </row>
    <row r="45" spans="1:13" x14ac:dyDescent="0.35">
      <c r="A45" s="5">
        <v>42</v>
      </c>
      <c r="B45" s="227" t="s">
        <v>2346</v>
      </c>
      <c r="C45" s="455">
        <v>106</v>
      </c>
      <c r="D45" s="456">
        <f t="shared" si="6"/>
        <v>4.4380079999999245</v>
      </c>
      <c r="E45" s="457">
        <f t="shared" si="7"/>
        <v>0.44380079999999245</v>
      </c>
      <c r="F45" s="455">
        <v>1</v>
      </c>
      <c r="G45" s="458">
        <f t="shared" si="8"/>
        <v>4.1867999999999291E-6</v>
      </c>
      <c r="H45" s="459">
        <f t="shared" si="9"/>
        <v>8.7922799999998514E-5</v>
      </c>
      <c r="I45" s="455">
        <v>1.5</v>
      </c>
      <c r="J45" s="460">
        <f t="shared" si="10"/>
        <v>6.2801999999998929E-6</v>
      </c>
      <c r="K45" s="459">
        <f t="shared" si="11"/>
        <v>1.9468619999999668E-3</v>
      </c>
      <c r="L45" s="445"/>
      <c r="M45" s="445"/>
    </row>
    <row r="46" spans="1:13" x14ac:dyDescent="0.35">
      <c r="A46" s="5">
        <v>43</v>
      </c>
      <c r="B46" s="227" t="s">
        <v>2347</v>
      </c>
      <c r="C46" s="455">
        <v>112</v>
      </c>
      <c r="D46" s="456">
        <f t="shared" si="6"/>
        <v>4.6892159999999201</v>
      </c>
      <c r="E46" s="457">
        <f t="shared" si="7"/>
        <v>0.46892159999999206</v>
      </c>
      <c r="F46" s="455">
        <v>30</v>
      </c>
      <c r="G46" s="458">
        <f t="shared" si="8"/>
        <v>1.2560399999999786E-4</v>
      </c>
      <c r="H46" s="459">
        <f t="shared" si="9"/>
        <v>2.6376839999999548E-3</v>
      </c>
      <c r="I46" s="455">
        <v>4</v>
      </c>
      <c r="J46" s="460">
        <f t="shared" si="10"/>
        <v>1.6747199999999717E-5</v>
      </c>
      <c r="K46" s="459">
        <f t="shared" si="11"/>
        <v>5.1916319999999122E-3</v>
      </c>
      <c r="L46" s="445"/>
      <c r="M46" s="445"/>
    </row>
    <row r="47" spans="1:13" x14ac:dyDescent="0.35">
      <c r="A47" s="5">
        <v>44</v>
      </c>
      <c r="B47" s="227" t="s">
        <v>2348</v>
      </c>
      <c r="C47" s="455">
        <v>95.3</v>
      </c>
      <c r="D47" s="456">
        <f t="shared" si="6"/>
        <v>3.9900203999999322</v>
      </c>
      <c r="E47" s="457">
        <f t="shared" si="7"/>
        <v>0.39900203999999323</v>
      </c>
      <c r="F47" s="455">
        <v>3</v>
      </c>
      <c r="G47" s="458">
        <f t="shared" si="8"/>
        <v>1.2560399999999786E-5</v>
      </c>
      <c r="H47" s="459">
        <f t="shared" si="9"/>
        <v>2.6376839999999553E-4</v>
      </c>
      <c r="I47" s="455">
        <v>2</v>
      </c>
      <c r="J47" s="460">
        <f t="shared" si="10"/>
        <v>8.3735999999998583E-6</v>
      </c>
      <c r="K47" s="459">
        <f t="shared" si="11"/>
        <v>2.5958159999999561E-3</v>
      </c>
      <c r="L47" s="445"/>
      <c r="M47" s="445"/>
    </row>
    <row r="48" spans="1:13" x14ac:dyDescent="0.35">
      <c r="A48" s="5">
        <v>45</v>
      </c>
      <c r="B48" s="227" t="s">
        <v>2349</v>
      </c>
      <c r="C48" s="455">
        <v>100</v>
      </c>
      <c r="D48" s="456">
        <f t="shared" si="6"/>
        <v>4.1867999999999288</v>
      </c>
      <c r="E48" s="457">
        <f t="shared" si="7"/>
        <v>0.41867999999999289</v>
      </c>
      <c r="F48" s="455">
        <v>30</v>
      </c>
      <c r="G48" s="458">
        <f t="shared" si="8"/>
        <v>1.2560399999999786E-4</v>
      </c>
      <c r="H48" s="459">
        <f t="shared" si="9"/>
        <v>2.6376839999999548E-3</v>
      </c>
      <c r="I48" s="455">
        <v>4</v>
      </c>
      <c r="J48" s="460">
        <f t="shared" si="10"/>
        <v>1.6747199999999717E-5</v>
      </c>
      <c r="K48" s="459">
        <f t="shared" si="11"/>
        <v>5.1916319999999122E-3</v>
      </c>
      <c r="L48" s="445"/>
      <c r="M48" s="445"/>
    </row>
    <row r="49" spans="1:13" x14ac:dyDescent="0.35">
      <c r="A49" s="5">
        <v>46</v>
      </c>
      <c r="B49" s="227" t="s">
        <v>2350</v>
      </c>
      <c r="C49" s="455">
        <v>112</v>
      </c>
      <c r="D49" s="456">
        <f t="shared" si="6"/>
        <v>4.6892159999999201</v>
      </c>
      <c r="E49" s="457">
        <f t="shared" si="7"/>
        <v>0.46892159999999206</v>
      </c>
      <c r="F49" s="455">
        <v>200</v>
      </c>
      <c r="G49" s="458">
        <f t="shared" si="8"/>
        <v>8.3735999999998579E-4</v>
      </c>
      <c r="H49" s="459">
        <f t="shared" si="9"/>
        <v>1.7584559999999701E-2</v>
      </c>
      <c r="I49" s="455">
        <v>4</v>
      </c>
      <c r="J49" s="460">
        <f t="shared" si="10"/>
        <v>1.6747199999999717E-5</v>
      </c>
      <c r="K49" s="459">
        <f t="shared" si="11"/>
        <v>5.1916319999999122E-3</v>
      </c>
      <c r="L49" s="445"/>
      <c r="M49" s="445"/>
    </row>
    <row r="50" spans="1:13" x14ac:dyDescent="0.35">
      <c r="A50" s="5">
        <v>47</v>
      </c>
      <c r="B50" s="227" t="s">
        <v>2351</v>
      </c>
      <c r="C50" s="455">
        <v>70.8</v>
      </c>
      <c r="D50" s="456">
        <f t="shared" si="6"/>
        <v>2.9642543999999496</v>
      </c>
      <c r="E50" s="457">
        <f t="shared" si="7"/>
        <v>0.29642543999999499</v>
      </c>
      <c r="F50" s="455">
        <v>3</v>
      </c>
      <c r="G50" s="458">
        <f t="shared" si="8"/>
        <v>1.2560399999999786E-5</v>
      </c>
      <c r="H50" s="459">
        <f t="shared" si="9"/>
        <v>2.6376839999999553E-4</v>
      </c>
      <c r="I50" s="455">
        <v>0.6</v>
      </c>
      <c r="J50" s="460">
        <f t="shared" si="10"/>
        <v>2.5120799999999572E-6</v>
      </c>
      <c r="K50" s="459">
        <f t="shared" si="11"/>
        <v>7.7874479999998666E-4</v>
      </c>
      <c r="L50" s="445"/>
      <c r="M50" s="445"/>
    </row>
    <row r="51" spans="1:13" x14ac:dyDescent="0.35">
      <c r="A51" s="5">
        <v>48</v>
      </c>
      <c r="B51" s="227" t="s">
        <v>2352</v>
      </c>
      <c r="C51" s="455">
        <v>70.8</v>
      </c>
      <c r="D51" s="456">
        <f t="shared" si="6"/>
        <v>2.9642543999999496</v>
      </c>
      <c r="E51" s="457">
        <f t="shared" si="7"/>
        <v>0.29642543999999499</v>
      </c>
      <c r="F51" s="455">
        <v>3</v>
      </c>
      <c r="G51" s="458">
        <f t="shared" si="8"/>
        <v>1.2560399999999786E-5</v>
      </c>
      <c r="H51" s="459">
        <f t="shared" si="9"/>
        <v>2.6376839999999553E-4</v>
      </c>
      <c r="I51" s="455">
        <v>0.6</v>
      </c>
      <c r="J51" s="460">
        <f t="shared" si="10"/>
        <v>2.5120799999999572E-6</v>
      </c>
      <c r="K51" s="459">
        <f t="shared" si="11"/>
        <v>7.7874479999998666E-4</v>
      </c>
      <c r="L51" s="445"/>
      <c r="M51" s="445"/>
    </row>
    <row r="52" spans="1:13" x14ac:dyDescent="0.35">
      <c r="A52" s="5">
        <v>49</v>
      </c>
      <c r="B52" s="227" t="s">
        <v>2353</v>
      </c>
      <c r="C52" s="455">
        <v>79.599999999999994</v>
      </c>
      <c r="D52" s="456">
        <f t="shared" si="6"/>
        <v>3.3326927999999434</v>
      </c>
      <c r="E52" s="457">
        <f t="shared" si="7"/>
        <v>0.33326927999999434</v>
      </c>
      <c r="F52" s="455">
        <v>3</v>
      </c>
      <c r="G52" s="458">
        <f t="shared" si="8"/>
        <v>1.2560399999999786E-5</v>
      </c>
      <c r="H52" s="459">
        <f t="shared" si="9"/>
        <v>2.6376839999999553E-4</v>
      </c>
      <c r="I52" s="455">
        <v>0.6</v>
      </c>
      <c r="J52" s="460">
        <f t="shared" si="10"/>
        <v>2.5120799999999572E-6</v>
      </c>
      <c r="K52" s="459">
        <f t="shared" si="11"/>
        <v>7.7874479999998666E-4</v>
      </c>
      <c r="L52" s="445"/>
      <c r="M52" s="445"/>
    </row>
    <row r="53" spans="1:13" x14ac:dyDescent="0.35">
      <c r="A53" s="5">
        <v>50</v>
      </c>
      <c r="B53" s="227" t="s">
        <v>2354</v>
      </c>
      <c r="C53" s="455">
        <v>54.6</v>
      </c>
      <c r="D53" s="456">
        <f t="shared" si="6"/>
        <v>2.2859927999999612</v>
      </c>
      <c r="E53" s="457">
        <f t="shared" si="7"/>
        <v>0.2285992799999961</v>
      </c>
      <c r="F53" s="455">
        <v>1</v>
      </c>
      <c r="G53" s="458">
        <f t="shared" si="8"/>
        <v>4.1867999999999291E-6</v>
      </c>
      <c r="H53" s="459">
        <f t="shared" si="9"/>
        <v>8.7922799999998514E-5</v>
      </c>
      <c r="I53" s="455">
        <v>0.1</v>
      </c>
      <c r="J53" s="460">
        <f t="shared" si="10"/>
        <v>4.1867999999999289E-7</v>
      </c>
      <c r="K53" s="459">
        <f t="shared" si="11"/>
        <v>1.297907999999978E-4</v>
      </c>
      <c r="L53" s="445"/>
      <c r="M53" s="445"/>
    </row>
    <row r="54" spans="1:13" x14ac:dyDescent="0.35">
      <c r="A54" s="5">
        <v>51</v>
      </c>
      <c r="B54" s="227" t="s">
        <v>2355</v>
      </c>
      <c r="C54" s="455">
        <v>54.6</v>
      </c>
      <c r="D54" s="456">
        <f t="shared" si="6"/>
        <v>2.2859927999999612</v>
      </c>
      <c r="E54" s="457">
        <f t="shared" si="7"/>
        <v>0.2285992799999961</v>
      </c>
      <c r="F54" s="455">
        <v>1</v>
      </c>
      <c r="G54" s="458">
        <f t="shared" si="8"/>
        <v>4.1867999999999291E-6</v>
      </c>
      <c r="H54" s="459">
        <f t="shared" si="9"/>
        <v>8.7922799999998514E-5</v>
      </c>
      <c r="I54" s="455">
        <v>0.1</v>
      </c>
      <c r="J54" s="460">
        <f t="shared" si="10"/>
        <v>4.1867999999999289E-7</v>
      </c>
      <c r="K54" s="459">
        <f t="shared" si="11"/>
        <v>1.297907999999978E-4</v>
      </c>
      <c r="L54" s="445"/>
      <c r="M54" s="445"/>
    </row>
    <row r="55" spans="1:13" x14ac:dyDescent="0.35">
      <c r="A55" s="5">
        <v>52</v>
      </c>
      <c r="B55" s="227" t="s">
        <v>2356</v>
      </c>
      <c r="C55" s="455">
        <v>54.6</v>
      </c>
      <c r="D55" s="456">
        <f t="shared" si="6"/>
        <v>2.2859927999999612</v>
      </c>
      <c r="E55" s="457">
        <f t="shared" si="7"/>
        <v>0.2285992799999961</v>
      </c>
      <c r="F55" s="455">
        <v>1</v>
      </c>
      <c r="G55" s="458">
        <f t="shared" si="8"/>
        <v>4.1867999999999291E-6</v>
      </c>
      <c r="H55" s="459">
        <f t="shared" si="9"/>
        <v>8.7922799999998514E-5</v>
      </c>
      <c r="I55" s="455">
        <v>0.1</v>
      </c>
      <c r="J55" s="460">
        <f t="shared" si="10"/>
        <v>4.1867999999999289E-7</v>
      </c>
      <c r="K55" s="459">
        <f t="shared" si="11"/>
        <v>1.297907999999978E-4</v>
      </c>
      <c r="L55" s="445"/>
      <c r="M55" s="445"/>
    </row>
    <row r="56" spans="1:13" x14ac:dyDescent="0.35">
      <c r="A56" s="5">
        <v>53</v>
      </c>
      <c r="B56" s="227" t="s">
        <v>2357</v>
      </c>
      <c r="C56" s="455">
        <v>100</v>
      </c>
      <c r="D56" s="456">
        <f t="shared" si="6"/>
        <v>4.1867999999999288</v>
      </c>
      <c r="E56" s="457">
        <f t="shared" si="7"/>
        <v>0.41867999999999289</v>
      </c>
      <c r="F56" s="455">
        <v>30</v>
      </c>
      <c r="G56" s="458">
        <f t="shared" si="8"/>
        <v>1.2560399999999786E-4</v>
      </c>
      <c r="H56" s="459">
        <f t="shared" si="9"/>
        <v>2.6376839999999548E-3</v>
      </c>
      <c r="I56" s="455">
        <v>4</v>
      </c>
      <c r="J56" s="460">
        <f t="shared" si="10"/>
        <v>1.6747199999999717E-5</v>
      </c>
      <c r="K56" s="459">
        <f t="shared" si="11"/>
        <v>5.1916319999999122E-3</v>
      </c>
      <c r="L56" s="445"/>
      <c r="M56" s="445"/>
    </row>
    <row r="58" spans="1:13" x14ac:dyDescent="0.35">
      <c r="A58" s="1075" t="s">
        <v>2358</v>
      </c>
      <c r="B58" s="930"/>
      <c r="C58" s="930"/>
      <c r="D58" s="930"/>
      <c r="E58" s="931"/>
      <c r="F58" s="443"/>
      <c r="G58" s="443"/>
      <c r="H58" s="443"/>
      <c r="I58" s="443"/>
      <c r="J58" s="449"/>
      <c r="K58" s="449"/>
      <c r="L58" s="449"/>
      <c r="M58" s="449"/>
    </row>
    <row r="59" spans="1:13" x14ac:dyDescent="0.35">
      <c r="A59" s="467" t="s">
        <v>2286</v>
      </c>
      <c r="B59" s="1073" t="s">
        <v>2359</v>
      </c>
      <c r="C59" s="930"/>
      <c r="D59" s="931"/>
      <c r="E59" s="468" t="s">
        <v>2360</v>
      </c>
    </row>
    <row r="60" spans="1:13" x14ac:dyDescent="0.35">
      <c r="A60" s="5">
        <v>1</v>
      </c>
      <c r="B60" s="1068" t="s">
        <v>2288</v>
      </c>
      <c r="C60" s="930"/>
      <c r="D60" s="931"/>
      <c r="E60" s="5">
        <v>1</v>
      </c>
    </row>
    <row r="61" spans="1:13" x14ac:dyDescent="0.35">
      <c r="A61" s="5">
        <v>2</v>
      </c>
      <c r="B61" s="1068" t="s">
        <v>2289</v>
      </c>
      <c r="C61" s="930"/>
      <c r="D61" s="931"/>
      <c r="E61" s="5">
        <v>21</v>
      </c>
    </row>
    <row r="62" spans="1:13" x14ac:dyDescent="0.35">
      <c r="A62" s="5">
        <v>3</v>
      </c>
      <c r="B62" s="1068" t="s">
        <v>2290</v>
      </c>
      <c r="C62" s="930"/>
      <c r="D62" s="931"/>
      <c r="E62" s="5">
        <v>310</v>
      </c>
    </row>
    <row r="63" spans="1:13" x14ac:dyDescent="0.35">
      <c r="A63" s="5">
        <v>4</v>
      </c>
      <c r="B63" s="1068" t="s">
        <v>2361</v>
      </c>
      <c r="C63" s="930"/>
      <c r="D63" s="931"/>
      <c r="E63" s="5">
        <v>6630</v>
      </c>
    </row>
    <row r="64" spans="1:13" x14ac:dyDescent="0.35">
      <c r="A64" s="5">
        <v>5</v>
      </c>
      <c r="B64" s="1068" t="s">
        <v>2362</v>
      </c>
      <c r="C64" s="930"/>
      <c r="D64" s="931"/>
      <c r="E64" s="5">
        <v>11100</v>
      </c>
    </row>
    <row r="65" spans="1:13" x14ac:dyDescent="0.35">
      <c r="A65" s="5">
        <v>6</v>
      </c>
      <c r="B65" s="1068" t="s">
        <v>2363</v>
      </c>
      <c r="C65" s="930"/>
      <c r="D65" s="931"/>
      <c r="E65" s="5">
        <v>9200</v>
      </c>
    </row>
    <row r="66" spans="1:13" x14ac:dyDescent="0.35">
      <c r="A66" s="5">
        <v>7</v>
      </c>
      <c r="B66" s="1068" t="s">
        <v>2364</v>
      </c>
      <c r="C66" s="930"/>
      <c r="D66" s="931"/>
      <c r="E66" s="5">
        <v>7910</v>
      </c>
    </row>
    <row r="68" spans="1:13" x14ac:dyDescent="0.35">
      <c r="A68" s="1072" t="s">
        <v>2365</v>
      </c>
      <c r="B68" s="930"/>
      <c r="C68" s="930"/>
      <c r="D68" s="930"/>
      <c r="E68" s="931"/>
      <c r="F68" s="443"/>
      <c r="G68" s="443"/>
      <c r="H68" s="443"/>
      <c r="I68" s="443"/>
      <c r="J68" s="449"/>
      <c r="K68" s="449"/>
      <c r="L68" s="449"/>
      <c r="M68" s="449"/>
    </row>
    <row r="69" spans="1:13" x14ac:dyDescent="0.35">
      <c r="A69" s="452" t="s">
        <v>2286</v>
      </c>
      <c r="B69" s="452" t="s">
        <v>1002</v>
      </c>
      <c r="C69" s="1076" t="s">
        <v>2366</v>
      </c>
      <c r="D69" s="930"/>
      <c r="E69" s="448" t="s">
        <v>2367</v>
      </c>
      <c r="F69" s="449"/>
    </row>
    <row r="70" spans="1:13" x14ac:dyDescent="0.35">
      <c r="A70" s="5">
        <v>1</v>
      </c>
      <c r="B70" s="227" t="s">
        <v>2368</v>
      </c>
      <c r="C70" s="1066" t="s">
        <v>2369</v>
      </c>
      <c r="D70" s="930"/>
      <c r="E70" s="5">
        <v>0.5292</v>
      </c>
      <c r="F70" s="571" t="s">
        <v>2370</v>
      </c>
    </row>
    <row r="71" spans="1:13" x14ac:dyDescent="0.35">
      <c r="A71" s="5">
        <v>2</v>
      </c>
      <c r="B71" s="227" t="s">
        <v>2371</v>
      </c>
      <c r="C71" s="1066" t="s">
        <v>2372</v>
      </c>
      <c r="D71" s="930"/>
      <c r="E71" s="5">
        <v>0.44</v>
      </c>
    </row>
    <row r="72" spans="1:13" x14ac:dyDescent="0.35">
      <c r="A72" s="5">
        <v>3</v>
      </c>
      <c r="B72" s="227" t="s">
        <v>2373</v>
      </c>
      <c r="C72" s="1066" t="s">
        <v>2372</v>
      </c>
      <c r="D72" s="930"/>
      <c r="E72" s="5">
        <v>7.0000000000000007E-2</v>
      </c>
    </row>
    <row r="73" spans="1:13" x14ac:dyDescent="0.35">
      <c r="A73" s="5">
        <v>4</v>
      </c>
      <c r="B73" s="227" t="s">
        <v>2374</v>
      </c>
      <c r="C73" s="1066" t="s">
        <v>2375</v>
      </c>
      <c r="D73" s="930"/>
      <c r="E73" s="5">
        <v>0.4</v>
      </c>
    </row>
    <row r="74" spans="1:13" x14ac:dyDescent="0.35">
      <c r="A74" s="5">
        <v>5</v>
      </c>
      <c r="B74" s="227" t="s">
        <v>2376</v>
      </c>
      <c r="C74" s="1066" t="s">
        <v>2375</v>
      </c>
      <c r="D74" s="930"/>
      <c r="E74" s="5">
        <v>1.6</v>
      </c>
    </row>
    <row r="75" spans="1:13" x14ac:dyDescent="0.35">
      <c r="A75" s="5">
        <v>6</v>
      </c>
      <c r="B75" s="227" t="s">
        <v>2377</v>
      </c>
      <c r="C75" s="1066" t="s">
        <v>2375</v>
      </c>
      <c r="D75" s="930"/>
      <c r="E75" s="5">
        <v>0.8</v>
      </c>
    </row>
    <row r="76" spans="1:13" x14ac:dyDescent="0.35">
      <c r="A76" s="5">
        <v>7</v>
      </c>
      <c r="B76" s="227" t="s">
        <v>2378</v>
      </c>
      <c r="C76" s="1066" t="s">
        <v>2375</v>
      </c>
      <c r="D76" s="930"/>
      <c r="E76" s="5">
        <v>0.4</v>
      </c>
    </row>
    <row r="77" spans="1:13" x14ac:dyDescent="0.35">
      <c r="A77" s="5">
        <v>8</v>
      </c>
      <c r="B77" s="227" t="s">
        <v>2379</v>
      </c>
      <c r="C77" s="1066" t="s">
        <v>2380</v>
      </c>
      <c r="D77" s="930"/>
      <c r="E77" s="5">
        <v>0.04</v>
      </c>
    </row>
    <row r="78" spans="1:13" x14ac:dyDescent="0.35">
      <c r="A78" s="5">
        <v>9</v>
      </c>
      <c r="B78" s="227" t="s">
        <v>2381</v>
      </c>
      <c r="C78" s="1066" t="s">
        <v>2380</v>
      </c>
      <c r="D78" s="930"/>
      <c r="E78" s="5">
        <v>0.4</v>
      </c>
    </row>
    <row r="79" spans="1:13" x14ac:dyDescent="0.35">
      <c r="A79" s="5">
        <v>10</v>
      </c>
      <c r="B79" s="227" t="s">
        <v>2382</v>
      </c>
      <c r="C79" s="1066" t="s">
        <v>2380</v>
      </c>
      <c r="D79" s="930"/>
      <c r="E79" s="5">
        <v>0.04</v>
      </c>
    </row>
    <row r="80" spans="1:13" x14ac:dyDescent="0.35">
      <c r="A80" s="5">
        <v>11</v>
      </c>
      <c r="B80" s="227" t="s">
        <v>2383</v>
      </c>
      <c r="C80" s="1066" t="s">
        <v>2380</v>
      </c>
      <c r="D80" s="930"/>
      <c r="E80" s="5">
        <v>0.03</v>
      </c>
    </row>
    <row r="81" spans="1:13" x14ac:dyDescent="0.35">
      <c r="A81" s="5">
        <v>12</v>
      </c>
      <c r="B81" s="227" t="s">
        <v>2384</v>
      </c>
      <c r="C81" s="1067" t="s">
        <v>2385</v>
      </c>
      <c r="D81" s="930"/>
      <c r="E81" s="5">
        <v>0.14299999999999999</v>
      </c>
    </row>
    <row r="82" spans="1:13" x14ac:dyDescent="0.35">
      <c r="A82" s="5">
        <v>13</v>
      </c>
      <c r="B82" s="227" t="s">
        <v>2386</v>
      </c>
      <c r="C82" s="1067" t="s">
        <v>2385</v>
      </c>
      <c r="D82" s="930"/>
      <c r="E82" s="5">
        <v>0.27200000000000002</v>
      </c>
    </row>
    <row r="83" spans="1:13" x14ac:dyDescent="0.35">
      <c r="A83" s="5">
        <v>14</v>
      </c>
      <c r="B83" s="227" t="s">
        <v>2387</v>
      </c>
      <c r="C83" s="1067" t="s">
        <v>2385</v>
      </c>
      <c r="D83" s="930"/>
      <c r="E83" s="5">
        <v>9.1999999999999998E-2</v>
      </c>
    </row>
    <row r="84" spans="1:13" x14ac:dyDescent="0.35">
      <c r="A84" s="5">
        <v>15</v>
      </c>
      <c r="B84" s="227" t="s">
        <v>2388</v>
      </c>
      <c r="C84" s="1067" t="s">
        <v>2385</v>
      </c>
      <c r="D84" s="930"/>
      <c r="E84" s="5">
        <v>9.9000000000000005E-2</v>
      </c>
    </row>
    <row r="85" spans="1:13" x14ac:dyDescent="0.35">
      <c r="A85" s="5">
        <v>16</v>
      </c>
      <c r="B85" s="227" t="s">
        <v>2389</v>
      </c>
      <c r="C85" s="1066" t="s">
        <v>2390</v>
      </c>
      <c r="D85" s="930"/>
      <c r="E85" s="5">
        <v>0.121</v>
      </c>
    </row>
    <row r="86" spans="1:13" x14ac:dyDescent="0.35">
      <c r="A86" s="5">
        <v>17</v>
      </c>
      <c r="B86" s="227" t="s">
        <v>2389</v>
      </c>
      <c r="C86" s="1066" t="s">
        <v>2390</v>
      </c>
      <c r="D86" s="930"/>
      <c r="E86" s="5">
        <v>0.252</v>
      </c>
    </row>
    <row r="87" spans="1:13" x14ac:dyDescent="0.35">
      <c r="A87" s="5">
        <v>18</v>
      </c>
      <c r="B87" s="227" t="s">
        <v>2389</v>
      </c>
      <c r="C87" s="1066" t="s">
        <v>2390</v>
      </c>
      <c r="D87" s="930"/>
      <c r="E87" s="5">
        <v>5.2999999999999999E-2</v>
      </c>
    </row>
    <row r="88" spans="1:13" x14ac:dyDescent="0.35">
      <c r="A88" s="5">
        <v>19</v>
      </c>
      <c r="B88" s="227" t="s">
        <v>2389</v>
      </c>
      <c r="C88" s="1066" t="s">
        <v>2390</v>
      </c>
      <c r="D88" s="930"/>
      <c r="E88" s="5">
        <v>8.5000000000000006E-2</v>
      </c>
    </row>
    <row r="89" spans="1:13" s="12" customFormat="1" x14ac:dyDescent="0.35">
      <c r="F89" s="23"/>
      <c r="G89" s="23"/>
      <c r="H89" s="23"/>
      <c r="I89" s="23"/>
      <c r="J89" s="23"/>
      <c r="K89" s="23"/>
      <c r="L89" s="23"/>
      <c r="M89" s="23"/>
    </row>
    <row r="91" spans="1:13" x14ac:dyDescent="0.35">
      <c r="A91" s="1072" t="s">
        <v>2391</v>
      </c>
      <c r="B91" s="930"/>
      <c r="C91" s="930"/>
      <c r="D91" s="930"/>
      <c r="E91" s="931"/>
      <c r="F91" s="443"/>
      <c r="G91" s="443"/>
      <c r="H91" s="443"/>
      <c r="I91" s="443"/>
      <c r="J91" s="449"/>
      <c r="K91" s="449"/>
      <c r="L91" s="449"/>
      <c r="M91" s="449"/>
    </row>
    <row r="92" spans="1:13" x14ac:dyDescent="0.35">
      <c r="A92" s="227" t="s">
        <v>2392</v>
      </c>
      <c r="B92" s="227" t="s">
        <v>2393</v>
      </c>
      <c r="C92" s="961" t="s">
        <v>1011</v>
      </c>
      <c r="D92" s="931"/>
      <c r="E92" s="5" t="s">
        <v>2367</v>
      </c>
    </row>
    <row r="93" spans="1:13" x14ac:dyDescent="0.35">
      <c r="A93" s="5">
        <v>1</v>
      </c>
      <c r="B93" s="227" t="s">
        <v>1303</v>
      </c>
      <c r="C93" s="961" t="s">
        <v>2394</v>
      </c>
      <c r="D93" s="931"/>
      <c r="E93" s="5">
        <v>0.44</v>
      </c>
    </row>
    <row r="94" spans="1:13" x14ac:dyDescent="0.35">
      <c r="A94" s="5">
        <v>2</v>
      </c>
      <c r="B94" s="227" t="s">
        <v>2395</v>
      </c>
      <c r="C94" s="961" t="s">
        <v>2394</v>
      </c>
      <c r="D94" s="931"/>
      <c r="E94" s="5">
        <v>0.52200000000000002</v>
      </c>
    </row>
    <row r="95" spans="1:13" x14ac:dyDescent="0.35">
      <c r="A95" s="5">
        <v>3</v>
      </c>
      <c r="B95" s="227" t="s">
        <v>1304</v>
      </c>
      <c r="C95" s="961" t="s">
        <v>2394</v>
      </c>
      <c r="D95" s="931"/>
      <c r="E95" s="5">
        <v>0.41499999999999998</v>
      </c>
    </row>
    <row r="96" spans="1:13" x14ac:dyDescent="0.35">
      <c r="A96" s="5">
        <v>4</v>
      </c>
      <c r="B96" s="227" t="s">
        <v>1306</v>
      </c>
      <c r="C96" s="961" t="s">
        <v>2394</v>
      </c>
      <c r="D96" s="931"/>
      <c r="E96" s="5">
        <v>0.223</v>
      </c>
    </row>
    <row r="97" spans="1:5" x14ac:dyDescent="0.35">
      <c r="A97" s="5">
        <v>5</v>
      </c>
      <c r="B97" s="227" t="s">
        <v>1307</v>
      </c>
      <c r="C97" s="961" t="s">
        <v>2394</v>
      </c>
      <c r="D97" s="931"/>
      <c r="E97" s="5">
        <v>0.59599999999999997</v>
      </c>
    </row>
    <row r="98" spans="1:5" x14ac:dyDescent="0.35">
      <c r="A98" s="5">
        <v>6</v>
      </c>
      <c r="B98" s="227" t="s">
        <v>1308</v>
      </c>
      <c r="C98" s="961" t="s">
        <v>2394</v>
      </c>
      <c r="D98" s="931"/>
      <c r="E98" s="5">
        <v>0.318</v>
      </c>
    </row>
    <row r="99" spans="1:5" x14ac:dyDescent="0.35">
      <c r="A99" s="5">
        <v>7</v>
      </c>
      <c r="B99" s="227" t="s">
        <v>2396</v>
      </c>
      <c r="C99" s="961" t="s">
        <v>2394</v>
      </c>
      <c r="D99" s="931"/>
      <c r="E99" s="5">
        <v>0.29799999999999999</v>
      </c>
    </row>
    <row r="100" spans="1:5" x14ac:dyDescent="0.35">
      <c r="A100" s="5">
        <v>8</v>
      </c>
      <c r="B100" s="227" t="s">
        <v>2397</v>
      </c>
      <c r="C100" s="961" t="s">
        <v>2394</v>
      </c>
      <c r="D100" s="931"/>
      <c r="E100" s="5">
        <v>0.52400000000000002</v>
      </c>
    </row>
    <row r="101" spans="1:5" x14ac:dyDescent="0.35">
      <c r="A101" s="5">
        <v>9</v>
      </c>
      <c r="B101" s="227" t="s">
        <v>2398</v>
      </c>
      <c r="C101" s="961" t="s">
        <v>2394</v>
      </c>
      <c r="D101" s="931"/>
      <c r="E101" s="5">
        <v>0.38</v>
      </c>
    </row>
    <row r="102" spans="1:5" x14ac:dyDescent="0.35">
      <c r="A102" s="5">
        <v>10</v>
      </c>
      <c r="B102" s="227" t="s">
        <v>2399</v>
      </c>
      <c r="C102" s="961" t="s">
        <v>2394</v>
      </c>
      <c r="D102" s="931"/>
      <c r="E102" s="5">
        <v>0.73280000000000001</v>
      </c>
    </row>
    <row r="105" spans="1:5" ht="15" customHeight="1" thickBot="1" x14ac:dyDescent="0.4">
      <c r="A105" s="1072" t="s">
        <v>2400</v>
      </c>
      <c r="B105" s="930"/>
      <c r="C105" s="930"/>
      <c r="D105" s="930"/>
      <c r="E105" s="931"/>
    </row>
    <row r="106" spans="1:5" ht="15.5" customHeight="1" x14ac:dyDescent="0.35">
      <c r="A106" s="432">
        <v>1</v>
      </c>
      <c r="B106" s="444" t="s">
        <v>1303</v>
      </c>
      <c r="C106" s="1069" t="s">
        <v>2401</v>
      </c>
      <c r="D106" s="931"/>
      <c r="E106" s="488">
        <v>100.0869</v>
      </c>
    </row>
    <row r="107" spans="1:5" ht="15.5" customHeight="1" x14ac:dyDescent="0.35">
      <c r="A107" s="432">
        <f t="shared" ref="A107:A112" si="12">A106+1</f>
        <v>2</v>
      </c>
      <c r="B107" s="444" t="s">
        <v>2395</v>
      </c>
      <c r="C107" s="1069" t="s">
        <v>2401</v>
      </c>
      <c r="D107" s="931"/>
      <c r="E107" s="489">
        <v>84.313899000000006</v>
      </c>
    </row>
    <row r="108" spans="1:5" x14ac:dyDescent="0.35">
      <c r="A108" s="432">
        <f t="shared" si="12"/>
        <v>3</v>
      </c>
      <c r="B108" s="444" t="s">
        <v>1925</v>
      </c>
      <c r="C108" s="1069" t="s">
        <v>2401</v>
      </c>
      <c r="D108" s="931"/>
      <c r="E108" s="489">
        <v>56.077399999999997</v>
      </c>
    </row>
    <row r="109" spans="1:5" x14ac:dyDescent="0.35">
      <c r="A109" s="432">
        <f t="shared" si="12"/>
        <v>4</v>
      </c>
      <c r="B109" s="444" t="s">
        <v>1927</v>
      </c>
      <c r="C109" s="1069" t="s">
        <v>2401</v>
      </c>
      <c r="D109" s="931"/>
      <c r="E109" s="489">
        <v>40.304400000000001</v>
      </c>
    </row>
    <row r="110" spans="1:5" ht="15.5" customHeight="1" x14ac:dyDescent="0.35">
      <c r="A110" s="432">
        <f t="shared" si="12"/>
        <v>5</v>
      </c>
      <c r="B110" s="444" t="s">
        <v>2402</v>
      </c>
      <c r="C110" s="1069" t="s">
        <v>2401</v>
      </c>
      <c r="D110" s="931"/>
      <c r="E110" s="489">
        <v>44.009500000000003</v>
      </c>
    </row>
    <row r="111" spans="1:5" x14ac:dyDescent="0.35">
      <c r="A111" s="432">
        <f t="shared" si="12"/>
        <v>6</v>
      </c>
      <c r="B111" s="444" t="s">
        <v>2403</v>
      </c>
      <c r="C111" s="1069" t="s">
        <v>2401</v>
      </c>
      <c r="D111" s="931"/>
      <c r="E111" s="489">
        <v>40.078000000000003</v>
      </c>
    </row>
    <row r="112" spans="1:5" x14ac:dyDescent="0.35">
      <c r="A112" s="432">
        <f t="shared" si="12"/>
        <v>7</v>
      </c>
      <c r="B112" s="444" t="s">
        <v>2404</v>
      </c>
      <c r="C112" s="1069" t="s">
        <v>2401</v>
      </c>
      <c r="D112" s="931"/>
      <c r="E112" s="489">
        <v>24.305</v>
      </c>
    </row>
    <row r="113" spans="1:5" ht="43.5" customHeight="1" x14ac:dyDescent="0.35">
      <c r="A113" s="52">
        <v>8</v>
      </c>
      <c r="B113" s="3" t="s">
        <v>2405</v>
      </c>
      <c r="C113" s="950" t="s">
        <v>1923</v>
      </c>
      <c r="D113" s="931"/>
      <c r="E113" s="199">
        <f>E110/E108</f>
        <v>0.78479922392978285</v>
      </c>
    </row>
  </sheetData>
  <sheetProtection algorithmName="SHA-512" hashValue="2UJ3q/aECsPPo6ADmbmQCdCTgnbY14MhoQuUcq/xqXT+Sm4ULnYgqQkwHMkQfkke4BsqKMU7dE2g7hjsyY0IHw==" saltValue="XxVJHf8m60jbVFvy63tHug==" spinCount="100000" sheet="1" objects="1" scenarios="1"/>
  <mergeCells count="57">
    <mergeCell ref="A1:I1"/>
    <mergeCell ref="C111:D111"/>
    <mergeCell ref="C102:D102"/>
    <mergeCell ref="A58:E58"/>
    <mergeCell ref="C78:D78"/>
    <mergeCell ref="C69:D69"/>
    <mergeCell ref="C87:D87"/>
    <mergeCell ref="I2:K2"/>
    <mergeCell ref="C82:D82"/>
    <mergeCell ref="C72:D72"/>
    <mergeCell ref="C81:D81"/>
    <mergeCell ref="A68:E68"/>
    <mergeCell ref="A2:A3"/>
    <mergeCell ref="C96:D96"/>
    <mergeCell ref="C80:D80"/>
    <mergeCell ref="B64:D64"/>
    <mergeCell ref="A105:E105"/>
    <mergeCell ref="B63:D63"/>
    <mergeCell ref="C95:D95"/>
    <mergeCell ref="C76:D76"/>
    <mergeCell ref="C71:D71"/>
    <mergeCell ref="B62:D62"/>
    <mergeCell ref="C70:D70"/>
    <mergeCell ref="A91:E91"/>
    <mergeCell ref="B59:D59"/>
    <mergeCell ref="B66:D66"/>
    <mergeCell ref="C113:D113"/>
    <mergeCell ref="C109:D109"/>
    <mergeCell ref="C85:D85"/>
    <mergeCell ref="C100:D100"/>
    <mergeCell ref="C112:D112"/>
    <mergeCell ref="C94:D94"/>
    <mergeCell ref="C93:D93"/>
    <mergeCell ref="C99:D99"/>
    <mergeCell ref="C110:D110"/>
    <mergeCell ref="C106:D106"/>
    <mergeCell ref="C108:D108"/>
    <mergeCell ref="C98:D98"/>
    <mergeCell ref="C107:D107"/>
    <mergeCell ref="F2:H2"/>
    <mergeCell ref="B2:B3"/>
    <mergeCell ref="C74:D74"/>
    <mergeCell ref="C97:D97"/>
    <mergeCell ref="C88:D88"/>
    <mergeCell ref="C79:D79"/>
    <mergeCell ref="C73:D73"/>
    <mergeCell ref="C2:E2"/>
    <mergeCell ref="C75:D75"/>
    <mergeCell ref="C84:D84"/>
    <mergeCell ref="B65:D65"/>
    <mergeCell ref="C77:D77"/>
    <mergeCell ref="C101:D101"/>
    <mergeCell ref="C83:D83"/>
    <mergeCell ref="C86:D86"/>
    <mergeCell ref="B60:D60"/>
    <mergeCell ref="C92:D92"/>
    <mergeCell ref="B61:D6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L766"/>
  <sheetViews>
    <sheetView zoomScale="90" zoomScaleNormal="90" workbookViewId="0">
      <selection activeCell="C3" sqref="C3:J3"/>
    </sheetView>
  </sheetViews>
  <sheetFormatPr defaultColWidth="9.1796875" defaultRowHeight="14.5" customHeight="1" zeroHeight="1" x14ac:dyDescent="0.35"/>
  <cols>
    <col min="1" max="1" width="8.453125" customWidth="1"/>
    <col min="2" max="2" width="96.453125" bestFit="1" customWidth="1"/>
    <col min="3" max="3" width="25.453125" customWidth="1"/>
    <col min="4" max="4" width="15.1796875" bestFit="1" customWidth="1"/>
    <col min="5" max="7" width="15.1796875" customWidth="1"/>
    <col min="8" max="8" width="15.54296875" customWidth="1"/>
    <col min="9" max="9" width="18.1796875" customWidth="1"/>
    <col min="10" max="10" width="40.54296875" customWidth="1"/>
    <col min="11" max="11" width="18" customWidth="1"/>
    <col min="12" max="12" width="9.1796875" hidden="1" customWidth="1"/>
  </cols>
  <sheetData>
    <row r="1" spans="1:10" ht="33" customHeight="1" x14ac:dyDescent="0.35">
      <c r="A1" s="974" t="s">
        <v>2406</v>
      </c>
      <c r="B1" s="930"/>
      <c r="C1" s="930"/>
      <c r="D1" s="930"/>
      <c r="E1" s="930"/>
      <c r="F1" s="930"/>
      <c r="G1" s="930"/>
      <c r="H1" s="930"/>
      <c r="I1" s="930"/>
      <c r="J1" s="931"/>
    </row>
    <row r="2" spans="1:10" ht="33" customHeight="1" x14ac:dyDescent="0.35">
      <c r="A2" s="1080" t="str">
        <f>'General Information'!A2:G2</f>
        <v>Sector :-  Cement Sector</v>
      </c>
      <c r="B2" s="930"/>
      <c r="C2" s="930"/>
      <c r="D2" s="930"/>
      <c r="E2" s="930"/>
      <c r="F2" s="930"/>
      <c r="G2" s="930"/>
      <c r="H2" s="930"/>
      <c r="I2" s="930"/>
      <c r="J2" s="931"/>
    </row>
    <row r="3" spans="1:10" ht="29.15" customHeight="1" x14ac:dyDescent="0.35">
      <c r="A3" s="1078" t="str">
        <f>CONCATENATE('General Information'!B3,H2)</f>
        <v>Obligated Entity Name</v>
      </c>
      <c r="B3" s="931"/>
      <c r="C3" s="1078" t="str">
        <f>'General Information'!C3 &amp;"  "&amp;   'General Information'!C8</f>
        <v xml:space="preserve">  </v>
      </c>
      <c r="D3" s="930"/>
      <c r="E3" s="930"/>
      <c r="F3" s="930"/>
      <c r="G3" s="930"/>
      <c r="H3" s="930"/>
      <c r="I3" s="930"/>
      <c r="J3" s="931"/>
    </row>
    <row r="4" spans="1:10" ht="43.5" customHeight="1" x14ac:dyDescent="0.35">
      <c r="A4" s="411" t="s">
        <v>1171</v>
      </c>
      <c r="B4" s="418" t="s">
        <v>1172</v>
      </c>
      <c r="C4" s="411" t="s">
        <v>1989</v>
      </c>
      <c r="D4" s="411" t="s">
        <v>1011</v>
      </c>
      <c r="E4" s="411" t="s">
        <v>2407</v>
      </c>
      <c r="F4" s="411" t="s">
        <v>2408</v>
      </c>
      <c r="G4" s="411" t="s">
        <v>2409</v>
      </c>
      <c r="H4" s="419" t="s">
        <v>2410</v>
      </c>
      <c r="I4" s="419" t="s">
        <v>2411</v>
      </c>
      <c r="J4" s="419" t="s">
        <v>1176</v>
      </c>
    </row>
    <row r="5" spans="1:10" hidden="1" x14ac:dyDescent="0.35">
      <c r="A5" s="404"/>
      <c r="B5" s="410"/>
      <c r="C5" s="420"/>
      <c r="D5" s="404"/>
      <c r="E5" s="404" t="s">
        <v>2412</v>
      </c>
      <c r="F5" s="404" t="s">
        <v>2412</v>
      </c>
      <c r="G5" s="383" t="s">
        <v>2412</v>
      </c>
      <c r="H5" s="421"/>
      <c r="I5" s="383" t="s">
        <v>2413</v>
      </c>
      <c r="J5" s="422"/>
    </row>
    <row r="6" spans="1:10" s="417" customFormat="1" x14ac:dyDescent="0.35">
      <c r="A6" s="414" t="s">
        <v>65</v>
      </c>
      <c r="B6" s="415" t="s">
        <v>2007</v>
      </c>
      <c r="C6" s="416"/>
      <c r="D6" s="416"/>
      <c r="E6" s="416"/>
      <c r="F6" s="414"/>
      <c r="G6" s="423"/>
      <c r="H6" s="423"/>
      <c r="I6" s="414"/>
      <c r="J6" s="414"/>
    </row>
    <row r="7" spans="1:10" x14ac:dyDescent="0.35">
      <c r="A7" s="2"/>
      <c r="B7" s="3" t="s">
        <v>1291</v>
      </c>
      <c r="C7" s="412" t="s">
        <v>2008</v>
      </c>
      <c r="D7" s="413" t="s">
        <v>1999</v>
      </c>
      <c r="E7" s="409"/>
      <c r="F7" s="413"/>
      <c r="G7" s="424"/>
      <c r="H7" s="424"/>
      <c r="I7" s="413"/>
      <c r="J7" s="413"/>
    </row>
    <row r="8" spans="1:10" ht="29" customHeight="1" x14ac:dyDescent="0.35">
      <c r="A8" s="2"/>
      <c r="B8" s="3" t="s">
        <v>2009</v>
      </c>
      <c r="C8" s="412" t="s">
        <v>2010</v>
      </c>
      <c r="D8" s="413" t="s">
        <v>2002</v>
      </c>
      <c r="E8" s="413">
        <f>E7*0.785</f>
        <v>0</v>
      </c>
      <c r="F8" s="413"/>
      <c r="G8" s="424"/>
      <c r="H8" s="424"/>
      <c r="I8" s="413"/>
      <c r="J8" s="413"/>
    </row>
    <row r="9" spans="1:10" ht="15.75" customHeight="1" x14ac:dyDescent="0.35">
      <c r="A9" s="3"/>
      <c r="B9" s="3"/>
      <c r="C9" s="412"/>
      <c r="D9" s="413"/>
      <c r="E9" s="413"/>
      <c r="F9" s="413"/>
      <c r="G9" s="424"/>
      <c r="H9" s="424"/>
      <c r="I9" s="413"/>
      <c r="J9" s="413"/>
    </row>
    <row r="10" spans="1:10" ht="15.75" customHeight="1" x14ac:dyDescent="0.35">
      <c r="A10" s="414" t="s">
        <v>251</v>
      </c>
      <c r="B10" s="415" t="s">
        <v>2414</v>
      </c>
      <c r="C10" s="414"/>
      <c r="D10" s="415"/>
      <c r="E10" s="414"/>
      <c r="F10" s="415"/>
      <c r="G10" s="414"/>
      <c r="H10" s="415"/>
      <c r="I10" s="414"/>
      <c r="J10" s="415"/>
    </row>
    <row r="11" spans="1:10" ht="15.75" customHeight="1" x14ac:dyDescent="0.35">
      <c r="A11" s="2"/>
      <c r="B11" s="3" t="s">
        <v>2415</v>
      </c>
      <c r="C11" s="412" t="s">
        <v>56</v>
      </c>
      <c r="D11" s="413" t="s">
        <v>2055</v>
      </c>
      <c r="E11" s="425"/>
      <c r="F11" s="413"/>
      <c r="G11" s="424"/>
      <c r="H11" s="424"/>
      <c r="I11" s="413"/>
      <c r="J11" s="413"/>
    </row>
    <row r="12" spans="1:10" ht="15.75" customHeight="1" x14ac:dyDescent="0.35">
      <c r="A12" s="2"/>
      <c r="B12" s="407" t="s">
        <v>1299</v>
      </c>
      <c r="C12" s="412" t="s">
        <v>56</v>
      </c>
      <c r="D12" s="413" t="s">
        <v>2055</v>
      </c>
      <c r="E12" s="425"/>
      <c r="F12" s="413"/>
      <c r="G12" s="424"/>
      <c r="H12" s="424"/>
      <c r="I12" s="413"/>
      <c r="J12" s="413"/>
    </row>
    <row r="13" spans="1:10" ht="15.75" customHeight="1" x14ac:dyDescent="0.35">
      <c r="A13" s="2"/>
      <c r="B13" s="407" t="s">
        <v>1300</v>
      </c>
      <c r="C13" s="412" t="s">
        <v>56</v>
      </c>
      <c r="D13" s="413" t="s">
        <v>2055</v>
      </c>
      <c r="E13" s="425"/>
      <c r="F13" s="413"/>
      <c r="G13" s="424"/>
      <c r="H13" s="424"/>
      <c r="I13" s="413"/>
      <c r="J13" s="413"/>
    </row>
    <row r="14" spans="1:10" ht="15.75" customHeight="1" x14ac:dyDescent="0.35">
      <c r="A14" s="2"/>
      <c r="B14" s="407" t="s">
        <v>2053</v>
      </c>
      <c r="C14" s="412" t="s">
        <v>56</v>
      </c>
      <c r="D14" s="413" t="s">
        <v>1057</v>
      </c>
      <c r="E14" s="425"/>
      <c r="F14" s="413"/>
      <c r="G14" s="424"/>
      <c r="H14" s="424"/>
      <c r="I14" s="413"/>
      <c r="J14" s="413"/>
    </row>
    <row r="15" spans="1:10" ht="15.75" customHeight="1" x14ac:dyDescent="0.35">
      <c r="A15" s="2"/>
      <c r="B15" s="3" t="s">
        <v>2416</v>
      </c>
      <c r="C15" s="412" t="s">
        <v>1474</v>
      </c>
      <c r="D15" s="413" t="s">
        <v>2417</v>
      </c>
      <c r="E15" s="425">
        <f>E8*1000</f>
        <v>0</v>
      </c>
      <c r="F15" s="413"/>
      <c r="G15" s="424"/>
      <c r="H15" s="424"/>
      <c r="I15" s="413"/>
      <c r="J15" s="413"/>
    </row>
    <row r="16" spans="1:10" ht="15.75" customHeight="1" x14ac:dyDescent="0.35">
      <c r="A16" s="2"/>
      <c r="B16" s="3" t="s">
        <v>1302</v>
      </c>
      <c r="C16" s="412" t="s">
        <v>1474</v>
      </c>
      <c r="D16" s="413" t="s">
        <v>1057</v>
      </c>
      <c r="E16" s="426"/>
      <c r="F16" s="413"/>
      <c r="G16" s="424"/>
      <c r="H16" s="424"/>
      <c r="I16" s="413"/>
      <c r="J16" s="413"/>
    </row>
    <row r="17" spans="1:10" ht="15.75" customHeight="1" x14ac:dyDescent="0.35">
      <c r="A17" s="2"/>
      <c r="B17" s="3" t="s">
        <v>2022</v>
      </c>
      <c r="C17" s="412" t="s">
        <v>1474</v>
      </c>
      <c r="D17" s="413" t="s">
        <v>1999</v>
      </c>
      <c r="E17" s="427"/>
      <c r="F17" s="413"/>
      <c r="G17" s="424"/>
      <c r="H17" s="424"/>
      <c r="I17" s="413"/>
      <c r="J17" s="413"/>
    </row>
    <row r="18" spans="1:10" ht="15.75" customHeight="1" x14ac:dyDescent="0.35">
      <c r="A18" s="2"/>
      <c r="B18" s="3" t="s">
        <v>2418</v>
      </c>
      <c r="C18" s="412" t="s">
        <v>2419</v>
      </c>
      <c r="D18" s="413" t="s">
        <v>1999</v>
      </c>
      <c r="E18" s="428">
        <f>E11*E17</f>
        <v>0</v>
      </c>
      <c r="F18" s="413"/>
      <c r="G18" s="424"/>
      <c r="H18" s="424"/>
      <c r="I18" s="413"/>
      <c r="J18" s="413"/>
    </row>
    <row r="19" spans="1:10" ht="15.75" customHeight="1" x14ac:dyDescent="0.35">
      <c r="A19" s="2"/>
      <c r="B19" s="3" t="s">
        <v>2420</v>
      </c>
      <c r="C19" s="412" t="s">
        <v>2419</v>
      </c>
      <c r="D19" s="413" t="s">
        <v>2421</v>
      </c>
      <c r="E19" s="428">
        <f>E15*E11/1000</f>
        <v>0</v>
      </c>
      <c r="F19" s="413"/>
      <c r="G19" s="424"/>
      <c r="H19" s="424"/>
      <c r="I19" s="413"/>
      <c r="J19" s="413"/>
    </row>
    <row r="20" spans="1:10" ht="15.75" customHeight="1" x14ac:dyDescent="0.35">
      <c r="A20" s="2"/>
      <c r="B20" s="3" t="s">
        <v>2422</v>
      </c>
      <c r="C20" s="412" t="s">
        <v>2419</v>
      </c>
      <c r="D20" s="413" t="s">
        <v>2421</v>
      </c>
      <c r="E20" s="428">
        <f>E12*E15/1000</f>
        <v>0</v>
      </c>
      <c r="F20" s="413"/>
      <c r="G20" s="424"/>
      <c r="H20" s="424"/>
      <c r="I20" s="413"/>
      <c r="J20" s="413"/>
    </row>
    <row r="21" spans="1:10" ht="15.75" customHeight="1" x14ac:dyDescent="0.35">
      <c r="A21" s="2"/>
      <c r="B21" s="3" t="s">
        <v>2423</v>
      </c>
      <c r="C21" s="412" t="s">
        <v>2419</v>
      </c>
      <c r="D21" s="413" t="s">
        <v>2421</v>
      </c>
      <c r="E21" s="431">
        <f>E13*E15/1000*E14/100</f>
        <v>0</v>
      </c>
      <c r="F21" s="413"/>
      <c r="G21" s="424"/>
      <c r="H21" s="424"/>
      <c r="I21" s="413"/>
      <c r="J21" s="413"/>
    </row>
    <row r="22" spans="1:10" ht="15.75" customHeight="1" x14ac:dyDescent="0.35">
      <c r="A22" s="2"/>
      <c r="B22" s="3" t="s">
        <v>2424</v>
      </c>
      <c r="C22" s="412"/>
      <c r="D22" s="413"/>
      <c r="E22" s="429">
        <f>E16*E18*44/12/100</f>
        <v>0</v>
      </c>
      <c r="F22" s="413"/>
      <c r="G22" s="424"/>
      <c r="H22" s="424"/>
      <c r="I22" s="413"/>
      <c r="J22" s="413"/>
    </row>
    <row r="23" spans="1:10" ht="15.75" customHeight="1" x14ac:dyDescent="0.35">
      <c r="A23" s="2"/>
      <c r="B23" s="3" t="s">
        <v>2059</v>
      </c>
      <c r="C23" s="412" t="s">
        <v>2419</v>
      </c>
      <c r="D23" s="413" t="s">
        <v>2421</v>
      </c>
      <c r="E23" s="430">
        <f>E22+E21+E20+E19</f>
        <v>0</v>
      </c>
      <c r="F23" s="413"/>
      <c r="G23" s="424"/>
      <c r="H23" s="424"/>
      <c r="I23" s="413"/>
      <c r="J23" s="413"/>
    </row>
    <row r="24" spans="1:10" ht="15.75" customHeight="1" x14ac:dyDescent="0.35">
      <c r="A24" s="3"/>
      <c r="B24" s="3"/>
      <c r="C24" s="412"/>
      <c r="D24" s="413"/>
      <c r="E24" s="413"/>
      <c r="F24" s="413"/>
      <c r="G24" s="424"/>
      <c r="H24" s="424"/>
      <c r="I24" s="413"/>
      <c r="J24" s="413"/>
    </row>
    <row r="25" spans="1:10" s="417" customFormat="1" x14ac:dyDescent="0.35">
      <c r="A25" s="433" t="s">
        <v>290</v>
      </c>
      <c r="B25" s="434" t="s">
        <v>2425</v>
      </c>
      <c r="C25" s="435"/>
      <c r="D25" s="414"/>
      <c r="E25" s="414"/>
      <c r="F25" s="414"/>
      <c r="G25" s="423"/>
      <c r="H25" s="423"/>
      <c r="I25" s="414"/>
      <c r="J25" s="414"/>
    </row>
    <row r="26" spans="1:10" s="417" customFormat="1" x14ac:dyDescent="0.35">
      <c r="A26" s="436" t="s">
        <v>292</v>
      </c>
      <c r="B26" s="437" t="s">
        <v>2426</v>
      </c>
      <c r="C26" s="435"/>
      <c r="D26" s="414"/>
      <c r="E26" s="414"/>
      <c r="F26" s="414"/>
      <c r="G26" s="423"/>
      <c r="H26" s="423"/>
      <c r="I26" s="414"/>
      <c r="J26" s="414"/>
    </row>
    <row r="27" spans="1:10" x14ac:dyDescent="0.35">
      <c r="A27" s="438"/>
      <c r="B27" s="3" t="s">
        <v>2427</v>
      </c>
      <c r="C27" s="412" t="s">
        <v>1999</v>
      </c>
      <c r="D27" s="413" t="s">
        <v>2428</v>
      </c>
      <c r="E27" s="413"/>
      <c r="F27" s="413"/>
      <c r="G27" s="424"/>
      <c r="H27" s="424"/>
      <c r="I27" s="413"/>
      <c r="J27" s="413"/>
    </row>
    <row r="28" spans="1:10" x14ac:dyDescent="0.35">
      <c r="A28" s="438"/>
      <c r="B28" s="3" t="s">
        <v>2015</v>
      </c>
      <c r="C28" s="412" t="s">
        <v>1999</v>
      </c>
      <c r="D28" s="413" t="s">
        <v>1057</v>
      </c>
      <c r="E28" s="413"/>
      <c r="F28" s="413"/>
      <c r="G28" s="424"/>
      <c r="H28" s="424"/>
      <c r="I28" s="413"/>
      <c r="J28" s="413"/>
    </row>
    <row r="29" spans="1:10" x14ac:dyDescent="0.35">
      <c r="A29" s="438"/>
      <c r="B29" s="3" t="s">
        <v>2017</v>
      </c>
      <c r="C29" s="412" t="s">
        <v>1999</v>
      </c>
      <c r="D29" s="413" t="s">
        <v>1057</v>
      </c>
      <c r="E29" s="413"/>
      <c r="F29" s="413"/>
      <c r="G29" s="424"/>
      <c r="H29" s="424"/>
      <c r="I29" s="413"/>
      <c r="J29" s="413"/>
    </row>
    <row r="30" spans="1:10" x14ac:dyDescent="0.35">
      <c r="A30" s="438"/>
      <c r="B30" s="3" t="s">
        <v>2429</v>
      </c>
      <c r="C30" s="412"/>
      <c r="D30" s="413" t="s">
        <v>2430</v>
      </c>
      <c r="E30" s="413">
        <f>E28*E27</f>
        <v>0</v>
      </c>
      <c r="F30" s="413"/>
      <c r="G30" s="424"/>
      <c r="H30" s="424"/>
      <c r="I30" s="413"/>
      <c r="J30" s="413"/>
    </row>
    <row r="31" spans="1:10" x14ac:dyDescent="0.35">
      <c r="A31" s="438"/>
      <c r="B31" s="3" t="s">
        <v>2431</v>
      </c>
      <c r="C31" s="412"/>
      <c r="D31" s="413" t="s">
        <v>2432</v>
      </c>
      <c r="E31" s="413">
        <f>E29*E27</f>
        <v>0</v>
      </c>
      <c r="F31" s="413"/>
      <c r="G31" s="424"/>
      <c r="H31" s="424"/>
      <c r="I31" s="413"/>
      <c r="J31" s="413"/>
    </row>
    <row r="32" spans="1:10" ht="29" customHeight="1" x14ac:dyDescent="0.35">
      <c r="A32" s="436" t="s">
        <v>366</v>
      </c>
      <c r="B32" s="437" t="s">
        <v>2433</v>
      </c>
      <c r="C32" s="414"/>
      <c r="D32" s="414"/>
      <c r="E32" s="414"/>
      <c r="F32" s="423"/>
      <c r="G32" s="423"/>
      <c r="H32" s="414"/>
      <c r="I32" s="414"/>
      <c r="J32" s="413"/>
    </row>
    <row r="33" spans="1:10" x14ac:dyDescent="0.35">
      <c r="A33" s="438"/>
      <c r="B33" s="3" t="s">
        <v>2434</v>
      </c>
      <c r="C33" s="3" t="s">
        <v>2435</v>
      </c>
      <c r="D33" s="227"/>
      <c r="E33" s="227"/>
      <c r="F33" s="413"/>
      <c r="G33" s="424"/>
      <c r="H33" s="424"/>
      <c r="I33" s="413"/>
      <c r="J33" s="413"/>
    </row>
    <row r="34" spans="1:10" x14ac:dyDescent="0.35">
      <c r="A34" s="3"/>
      <c r="B34" s="3" t="s">
        <v>2436</v>
      </c>
      <c r="C34" s="3" t="s">
        <v>2437</v>
      </c>
      <c r="D34" s="413"/>
      <c r="E34" s="413"/>
      <c r="F34" s="413"/>
      <c r="G34" s="424"/>
      <c r="H34" s="424"/>
      <c r="I34" s="413"/>
      <c r="J34" s="413"/>
    </row>
    <row r="35" spans="1:10" x14ac:dyDescent="0.35">
      <c r="A35" s="3"/>
      <c r="B35" s="3" t="s">
        <v>2438</v>
      </c>
      <c r="C35" s="3" t="s">
        <v>2437</v>
      </c>
      <c r="D35" s="413"/>
      <c r="E35" s="413"/>
      <c r="F35" s="413"/>
      <c r="G35" s="424"/>
      <c r="H35" s="424"/>
      <c r="I35" s="413"/>
      <c r="J35" s="413"/>
    </row>
    <row r="36" spans="1:10" x14ac:dyDescent="0.35">
      <c r="A36" s="3"/>
      <c r="B36" s="3" t="s">
        <v>2439</v>
      </c>
      <c r="C36" s="3" t="s">
        <v>2440</v>
      </c>
      <c r="D36" s="413"/>
      <c r="E36" s="413"/>
      <c r="F36" s="413"/>
      <c r="G36" s="424"/>
      <c r="H36" s="424"/>
      <c r="I36" s="413"/>
      <c r="J36" s="413"/>
    </row>
    <row r="37" spans="1:10" x14ac:dyDescent="0.35">
      <c r="A37" s="3"/>
      <c r="B37" s="3" t="s">
        <v>2441</v>
      </c>
      <c r="C37" s="3" t="s">
        <v>2440</v>
      </c>
      <c r="D37" s="424"/>
      <c r="E37" s="424"/>
      <c r="F37" s="424"/>
      <c r="G37" s="424"/>
      <c r="H37" s="424"/>
      <c r="I37" s="424"/>
      <c r="J37" s="424"/>
    </row>
    <row r="38" spans="1:10" x14ac:dyDescent="0.35">
      <c r="A38" s="436" t="s">
        <v>463</v>
      </c>
      <c r="B38" s="437" t="s">
        <v>2032</v>
      </c>
      <c r="C38" s="3"/>
      <c r="D38" s="413"/>
      <c r="E38" s="413"/>
      <c r="F38" s="413"/>
      <c r="G38" s="424"/>
      <c r="H38" s="424"/>
      <c r="I38" s="413"/>
      <c r="J38" s="413"/>
    </row>
    <row r="39" spans="1:10" x14ac:dyDescent="0.35">
      <c r="A39" s="439"/>
      <c r="B39" s="3" t="s">
        <v>2442</v>
      </c>
      <c r="C39" s="3" t="s">
        <v>2435</v>
      </c>
      <c r="D39" s="413"/>
      <c r="E39" s="413"/>
      <c r="F39" s="413"/>
      <c r="G39" s="424"/>
      <c r="H39" s="424"/>
      <c r="I39" s="1079"/>
      <c r="J39" s="931"/>
    </row>
    <row r="40" spans="1:10" ht="15" customHeight="1" x14ac:dyDescent="0.35">
      <c r="A40" s="3"/>
      <c r="B40" s="3" t="s">
        <v>2443</v>
      </c>
      <c r="C40" s="3" t="s">
        <v>2437</v>
      </c>
      <c r="D40" s="227"/>
      <c r="E40" s="227"/>
      <c r="F40" s="405"/>
      <c r="G40" s="440"/>
      <c r="H40" s="440"/>
      <c r="I40" s="405"/>
      <c r="J40" s="405"/>
    </row>
    <row r="41" spans="1:10" x14ac:dyDescent="0.35">
      <c r="A41" s="3"/>
      <c r="B41" s="3" t="s">
        <v>2444</v>
      </c>
      <c r="C41" s="3" t="s">
        <v>2437</v>
      </c>
      <c r="D41" s="227"/>
      <c r="E41" s="227"/>
      <c r="F41" s="405"/>
      <c r="G41" s="440"/>
      <c r="H41" s="440"/>
      <c r="I41" s="405"/>
      <c r="J41" s="405"/>
    </row>
    <row r="42" spans="1:10" ht="15" customHeight="1" x14ac:dyDescent="0.35">
      <c r="A42" s="438"/>
      <c r="B42" s="3" t="s">
        <v>2033</v>
      </c>
      <c r="C42" s="3" t="s">
        <v>2440</v>
      </c>
      <c r="D42" s="413"/>
      <c r="E42" s="413"/>
      <c r="F42" s="405"/>
      <c r="G42" s="440"/>
      <c r="H42" s="440"/>
      <c r="I42" s="405"/>
      <c r="J42" s="405"/>
    </row>
    <row r="43" spans="1:10" ht="15.5" customHeight="1" x14ac:dyDescent="0.35">
      <c r="A43" s="438"/>
      <c r="B43" s="3" t="s">
        <v>2034</v>
      </c>
      <c r="C43" s="3" t="s">
        <v>2440</v>
      </c>
      <c r="D43" s="413"/>
      <c r="E43" s="413"/>
      <c r="F43" s="405"/>
      <c r="G43" s="405"/>
      <c r="H43" s="440"/>
      <c r="I43" s="1077"/>
      <c r="J43" s="964"/>
    </row>
    <row r="44" spans="1:10" hidden="1" x14ac:dyDescent="0.35">
      <c r="A44" s="440"/>
      <c r="B44" s="3"/>
      <c r="C44" s="441"/>
      <c r="D44" s="405"/>
      <c r="E44" s="405"/>
      <c r="F44" s="405"/>
      <c r="G44" s="405"/>
      <c r="H44" s="440"/>
      <c r="I44" s="440"/>
      <c r="J44" s="440"/>
    </row>
    <row r="45" spans="1:10" hidden="1" x14ac:dyDescent="0.35">
      <c r="A45" s="440"/>
      <c r="B45" s="3"/>
      <c r="C45" s="441"/>
      <c r="D45" s="405"/>
      <c r="E45" s="405"/>
      <c r="F45" s="405"/>
      <c r="G45" s="405"/>
      <c r="H45" s="440"/>
      <c r="I45" s="440"/>
      <c r="J45" s="440"/>
    </row>
    <row r="46" spans="1:10" hidden="1" x14ac:dyDescent="0.35">
      <c r="A46" s="440"/>
      <c r="B46" s="3"/>
      <c r="C46" s="441"/>
      <c r="D46" s="405"/>
      <c r="E46" s="405"/>
      <c r="F46" s="405"/>
      <c r="G46" s="405"/>
      <c r="H46" s="440"/>
      <c r="I46" s="440"/>
      <c r="J46" s="440"/>
    </row>
    <row r="47" spans="1:10" ht="15.5" hidden="1" customHeight="1" x14ac:dyDescent="0.35">
      <c r="A47" s="440"/>
      <c r="B47" s="3"/>
      <c r="C47" s="441"/>
      <c r="D47" s="405"/>
      <c r="E47" s="405"/>
      <c r="F47" s="405"/>
      <c r="G47" s="405"/>
      <c r="H47" s="440"/>
      <c r="I47" s="1077"/>
      <c r="J47" s="964"/>
    </row>
    <row r="48" spans="1:10" hidden="1" x14ac:dyDescent="0.35">
      <c r="A48" s="440"/>
      <c r="B48" s="3"/>
      <c r="C48" s="441"/>
      <c r="D48" s="405"/>
      <c r="E48" s="405"/>
      <c r="F48" s="405"/>
      <c r="G48" s="405"/>
      <c r="H48" s="440"/>
      <c r="I48" s="440"/>
      <c r="J48" s="440"/>
    </row>
    <row r="49" spans="1:10" ht="15" customHeight="1" x14ac:dyDescent="0.35">
      <c r="A49" s="436" t="s">
        <v>468</v>
      </c>
      <c r="B49" s="442" t="s">
        <v>2036</v>
      </c>
      <c r="C49" s="227"/>
      <c r="D49" s="227"/>
      <c r="E49" s="227"/>
      <c r="F49" s="227"/>
      <c r="G49" s="227"/>
      <c r="H49" s="227"/>
      <c r="I49" s="227"/>
      <c r="J49" s="227"/>
    </row>
    <row r="50" spans="1:10" ht="15.5" customHeight="1" x14ac:dyDescent="0.35">
      <c r="A50" s="227"/>
      <c r="B50" s="3" t="s">
        <v>2037</v>
      </c>
      <c r="C50" s="3" t="s">
        <v>2038</v>
      </c>
      <c r="D50" s="432"/>
      <c r="E50" s="227"/>
      <c r="F50" s="227"/>
      <c r="G50" s="227"/>
      <c r="H50" s="227"/>
      <c r="I50" s="227"/>
      <c r="J50" s="227"/>
    </row>
    <row r="51" spans="1:10" ht="15.5" customHeight="1" x14ac:dyDescent="0.35">
      <c r="A51" s="227"/>
      <c r="B51" s="3" t="s">
        <v>2039</v>
      </c>
      <c r="C51" s="3" t="s">
        <v>2038</v>
      </c>
      <c r="D51" s="432"/>
      <c r="E51" s="227"/>
      <c r="F51" s="227"/>
      <c r="G51" s="227"/>
      <c r="H51" s="227"/>
      <c r="I51" s="227"/>
      <c r="J51" s="227"/>
    </row>
    <row r="52" spans="1:10" ht="15.5" customHeight="1" x14ac:dyDescent="0.35">
      <c r="A52" s="227"/>
      <c r="B52" s="3" t="s">
        <v>2040</v>
      </c>
      <c r="C52" s="3" t="s">
        <v>2038</v>
      </c>
      <c r="D52" s="432"/>
      <c r="E52" s="227"/>
      <c r="F52" s="227"/>
      <c r="G52" s="227"/>
      <c r="H52" s="227"/>
      <c r="I52" s="227"/>
      <c r="J52" s="227"/>
    </row>
    <row r="53" spans="1:10" ht="15.5" customHeight="1" x14ac:dyDescent="0.35">
      <c r="A53" s="227"/>
      <c r="B53" s="3" t="s">
        <v>2041</v>
      </c>
      <c r="C53" s="3" t="s">
        <v>2038</v>
      </c>
      <c r="D53" s="432"/>
      <c r="E53" s="227"/>
      <c r="F53" s="227"/>
      <c r="G53" s="227"/>
      <c r="H53" s="227"/>
      <c r="I53" s="227"/>
      <c r="J53" s="227"/>
    </row>
    <row r="54" spans="1:10" ht="15.5" customHeight="1" x14ac:dyDescent="0.35">
      <c r="A54" s="227"/>
      <c r="B54" s="3" t="s">
        <v>2044</v>
      </c>
      <c r="C54" s="3" t="s">
        <v>2045</v>
      </c>
      <c r="D54" s="227"/>
      <c r="E54" s="227"/>
      <c r="F54" s="227"/>
      <c r="G54" s="227"/>
      <c r="H54" s="227"/>
      <c r="I54" s="227"/>
      <c r="J54" s="227"/>
    </row>
    <row r="55" spans="1:10" ht="15.5" customHeight="1" x14ac:dyDescent="0.35">
      <c r="A55" s="227"/>
      <c r="B55" s="3" t="s">
        <v>2046</v>
      </c>
      <c r="C55" s="3" t="s">
        <v>2045</v>
      </c>
      <c r="D55" s="3"/>
      <c r="E55" s="227"/>
      <c r="F55" s="227"/>
      <c r="G55" s="227"/>
      <c r="H55" s="227"/>
      <c r="I55" s="227"/>
      <c r="J55" s="227"/>
    </row>
    <row r="56" spans="1:10" ht="15.75" customHeight="1" x14ac:dyDescent="0.35">
      <c r="A56" s="227"/>
      <c r="B56" s="3" t="s">
        <v>2445</v>
      </c>
      <c r="C56" s="3" t="s">
        <v>2045</v>
      </c>
      <c r="D56" s="3"/>
      <c r="E56" s="227"/>
      <c r="F56" s="227"/>
      <c r="G56" s="227"/>
      <c r="H56" s="227"/>
      <c r="I56" s="227"/>
      <c r="J56" s="227"/>
    </row>
    <row r="77" ht="14.5" customHeight="1" x14ac:dyDescent="0.35"/>
    <row r="78" ht="14.5" customHeight="1" x14ac:dyDescent="0.35"/>
    <row r="79" ht="14.5" customHeight="1" x14ac:dyDescent="0.35"/>
    <row r="80" ht="14.5" customHeight="1" x14ac:dyDescent="0.35"/>
    <row r="484" hidden="1" x14ac:dyDescent="0.35"/>
    <row r="763" ht="14.5" customHeight="1" x14ac:dyDescent="0.35"/>
    <row r="764" ht="14.5" customHeight="1" x14ac:dyDescent="0.35"/>
    <row r="765" ht="14.5" customHeight="1" x14ac:dyDescent="0.35"/>
    <row r="766" ht="14.5" customHeight="1" x14ac:dyDescent="0.35"/>
  </sheetData>
  <mergeCells count="7">
    <mergeCell ref="I43:J43"/>
    <mergeCell ref="A1:J1"/>
    <mergeCell ref="C3:J3"/>
    <mergeCell ref="I47:J47"/>
    <mergeCell ref="I39:J39"/>
    <mergeCell ref="A2:J2"/>
    <mergeCell ref="A3:B3"/>
  </mergeCells>
  <conditionalFormatting sqref="H5 J5">
    <cfRule type="cellIs" dxfId="1" priority="1" stopIfTrue="1" operator="equal">
      <formula>"NA"</formula>
    </cfRule>
    <cfRule type="cellIs" dxfId="0" priority="2" stopIfTrue="1" operator="equal">
      <formula>"NA"</formula>
    </cfRule>
  </conditionalFormatting>
  <printOptions horizontalCentered="1"/>
  <pageMargins left="0.23622047244094491" right="0" top="0.23622047244094491" bottom="0.43307086614173229" header="0.31496062992125978" footer="0.31496062992125978"/>
  <pageSetup paperSize="9" scale="63" fitToHeight="3" orientation="landscape" horizontalDpi="4294967295" verticalDpi="4294967295"/>
  <headerFooter>
    <oddFooter>&amp;CPage &amp;P of &amp;N&amp;RNote: Not to be quoted and not to be published without prior permission</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dimension ref="A1:P29"/>
  <sheetViews>
    <sheetView zoomScale="86" zoomScaleNormal="86" workbookViewId="0">
      <selection activeCell="I36" sqref="I36"/>
    </sheetView>
  </sheetViews>
  <sheetFormatPr defaultColWidth="0" defaultRowHeight="14.5" x14ac:dyDescent="0.35"/>
  <cols>
    <col min="1" max="1" width="8.81640625" style="1" customWidth="1"/>
    <col min="2" max="2" width="29.81640625" customWidth="1"/>
    <col min="3" max="3" width="15.453125" customWidth="1"/>
    <col min="4" max="4" width="16.453125" customWidth="1"/>
    <col min="5" max="5" width="13.81640625" bestFit="1" customWidth="1"/>
    <col min="6" max="6" width="11.54296875" style="1" customWidth="1"/>
    <col min="7" max="7" width="11.81640625" style="1" customWidth="1"/>
    <col min="8" max="8" width="11.453125" style="1" customWidth="1"/>
    <col min="9" max="9" width="10.81640625" style="1" customWidth="1"/>
    <col min="10" max="10" width="15.453125" style="1" customWidth="1"/>
    <col min="11" max="11" width="14.54296875" style="1" customWidth="1"/>
    <col min="12" max="12" width="20.54296875" customWidth="1"/>
    <col min="13" max="13" width="16.54296875" customWidth="1"/>
    <col min="14" max="15" width="8.81640625" hidden="1" customWidth="1"/>
    <col min="16" max="16" width="12" hidden="1" customWidth="1"/>
    <col min="17" max="17" width="8.81640625" hidden="1" customWidth="1"/>
    <col min="18" max="16384" width="8.81640625" hidden="1"/>
  </cols>
  <sheetData>
    <row r="1" spans="1:13" ht="26" customHeight="1" x14ac:dyDescent="0.35">
      <c r="A1" s="1084" t="s">
        <v>2446</v>
      </c>
      <c r="B1" s="955"/>
      <c r="C1" s="955"/>
      <c r="D1" s="955"/>
      <c r="E1" s="955"/>
      <c r="F1" s="955"/>
      <c r="G1" s="955"/>
      <c r="H1" s="955"/>
      <c r="I1" s="955"/>
      <c r="J1" s="955"/>
      <c r="K1" s="955"/>
      <c r="L1" s="955"/>
      <c r="M1" s="955"/>
    </row>
    <row r="2" spans="1:13" ht="18" customHeight="1" x14ac:dyDescent="0.35">
      <c r="A2" s="1086" t="str">
        <f>CONCATENATE('General Information'!B3,F3)</f>
        <v>Obligated Entity Name</v>
      </c>
      <c r="B2" s="930"/>
      <c r="C2" s="930"/>
      <c r="D2" s="931"/>
      <c r="E2" s="1082" t="str">
        <f>'Form-Sb'!C3</f>
        <v xml:space="preserve">  </v>
      </c>
      <c r="F2" s="930"/>
      <c r="G2" s="930"/>
      <c r="H2" s="930"/>
      <c r="I2" s="930"/>
      <c r="J2" s="930"/>
      <c r="K2" s="930"/>
      <c r="L2" s="930"/>
      <c r="M2" s="931"/>
    </row>
    <row r="3" spans="1:13" s="4" customFormat="1" ht="29" customHeight="1" x14ac:dyDescent="0.35">
      <c r="A3" s="1085"/>
      <c r="B3" s="930"/>
      <c r="C3" s="930"/>
      <c r="D3" s="930"/>
      <c r="E3" s="930"/>
      <c r="F3" s="930"/>
      <c r="G3" s="930"/>
      <c r="H3" s="930"/>
      <c r="I3" s="931"/>
      <c r="J3" s="6" t="s">
        <v>2447</v>
      </c>
      <c r="K3" s="6" t="s">
        <v>2447</v>
      </c>
      <c r="L3" s="1081"/>
      <c r="M3" s="931"/>
    </row>
    <row r="4" spans="1:13" s="8" customFormat="1" ht="43.5" customHeight="1" x14ac:dyDescent="0.35">
      <c r="A4" s="1083" t="s">
        <v>43</v>
      </c>
      <c r="B4" s="1083" t="s">
        <v>2448</v>
      </c>
      <c r="C4" s="195" t="s">
        <v>2449</v>
      </c>
      <c r="D4" s="1083" t="s">
        <v>2450</v>
      </c>
      <c r="E4" s="7" t="s">
        <v>2451</v>
      </c>
      <c r="F4" s="6" t="s">
        <v>2452</v>
      </c>
      <c r="G4" s="6" t="s">
        <v>2453</v>
      </c>
      <c r="H4" s="6" t="s">
        <v>2454</v>
      </c>
      <c r="I4" s="6" t="s">
        <v>1518</v>
      </c>
      <c r="J4" s="6" t="s">
        <v>2455</v>
      </c>
      <c r="K4" s="6" t="s">
        <v>2456</v>
      </c>
      <c r="L4" s="7" t="s">
        <v>1176</v>
      </c>
      <c r="M4" s="1083" t="s">
        <v>2457</v>
      </c>
    </row>
    <row r="5" spans="1:13" s="11" customFormat="1" ht="29" customHeight="1" x14ac:dyDescent="0.35">
      <c r="A5" s="949"/>
      <c r="B5" s="949"/>
      <c r="C5" s="196"/>
      <c r="D5" s="949"/>
      <c r="E5" s="10" t="s">
        <v>1119</v>
      </c>
      <c r="F5" s="9" t="s">
        <v>1485</v>
      </c>
      <c r="G5" s="6" t="s">
        <v>2458</v>
      </c>
      <c r="H5" s="9" t="s">
        <v>1485</v>
      </c>
      <c r="I5" s="6" t="s">
        <v>2459</v>
      </c>
      <c r="J5" s="6" t="s">
        <v>2460</v>
      </c>
      <c r="K5" s="6" t="s">
        <v>2461</v>
      </c>
      <c r="L5" s="10"/>
      <c r="M5" s="949"/>
    </row>
    <row r="6" spans="1:13" x14ac:dyDescent="0.35">
      <c r="A6" s="262"/>
      <c r="B6" s="263"/>
      <c r="C6" s="263"/>
      <c r="D6" s="263"/>
      <c r="E6" s="263"/>
      <c r="F6" s="32"/>
      <c r="G6" s="32"/>
      <c r="H6" s="32"/>
      <c r="I6" s="32"/>
      <c r="J6" s="32"/>
      <c r="K6" s="32"/>
      <c r="L6" s="263"/>
      <c r="M6" s="263"/>
    </row>
    <row r="7" spans="1:13" x14ac:dyDescent="0.35">
      <c r="A7" s="262"/>
      <c r="B7" s="263"/>
      <c r="C7" s="263"/>
      <c r="D7" s="263"/>
      <c r="E7" s="263"/>
      <c r="F7" s="32"/>
      <c r="G7" s="32"/>
      <c r="H7" s="32"/>
      <c r="I7" s="32"/>
      <c r="J7" s="32"/>
      <c r="K7" s="32"/>
      <c r="L7" s="263"/>
      <c r="M7" s="263"/>
    </row>
    <row r="8" spans="1:13" x14ac:dyDescent="0.35">
      <c r="A8" s="262"/>
      <c r="B8" s="263"/>
      <c r="C8" s="263"/>
      <c r="D8" s="263"/>
      <c r="E8" s="263"/>
      <c r="F8" s="32"/>
      <c r="G8" s="32"/>
      <c r="H8" s="32"/>
      <c r="I8" s="32"/>
      <c r="J8" s="32"/>
      <c r="K8" s="32"/>
      <c r="L8" s="263"/>
      <c r="M8" s="263"/>
    </row>
    <row r="9" spans="1:13" x14ac:dyDescent="0.35">
      <c r="A9" s="262"/>
      <c r="B9" s="263"/>
      <c r="C9" s="263"/>
      <c r="D9" s="263"/>
      <c r="E9" s="263"/>
      <c r="F9" s="32"/>
      <c r="G9" s="32"/>
      <c r="H9" s="32"/>
      <c r="I9" s="32"/>
      <c r="J9" s="32"/>
      <c r="K9" s="32"/>
      <c r="L9" s="263"/>
      <c r="M9" s="263"/>
    </row>
    <row r="10" spans="1:13" x14ac:dyDescent="0.35">
      <c r="A10" s="262"/>
      <c r="B10" s="263"/>
      <c r="C10" s="263"/>
      <c r="D10" s="263"/>
      <c r="E10" s="263"/>
      <c r="F10" s="32"/>
      <c r="G10" s="32"/>
      <c r="H10" s="32"/>
      <c r="I10" s="32"/>
      <c r="J10" s="32"/>
      <c r="K10" s="32"/>
      <c r="L10" s="263"/>
      <c r="M10" s="263"/>
    </row>
    <row r="11" spans="1:13" x14ac:dyDescent="0.35">
      <c r="A11" s="262"/>
      <c r="B11" s="263"/>
      <c r="C11" s="263"/>
      <c r="D11" s="263"/>
      <c r="E11" s="263"/>
      <c r="F11" s="32"/>
      <c r="G11" s="32"/>
      <c r="H11" s="32"/>
      <c r="I11" s="32"/>
      <c r="J11" s="32"/>
      <c r="K11" s="32"/>
      <c r="L11" s="263"/>
      <c r="M11" s="263"/>
    </row>
    <row r="12" spans="1:13" x14ac:dyDescent="0.35">
      <c r="A12" s="262"/>
      <c r="B12" s="263"/>
      <c r="C12" s="263"/>
      <c r="D12" s="263"/>
      <c r="E12" s="263"/>
      <c r="F12" s="32"/>
      <c r="G12" s="32"/>
      <c r="H12" s="32"/>
      <c r="I12" s="32"/>
      <c r="J12" s="32"/>
      <c r="K12" s="32"/>
      <c r="L12" s="263"/>
      <c r="M12" s="263"/>
    </row>
    <row r="13" spans="1:13" x14ac:dyDescent="0.35">
      <c r="A13" s="262"/>
      <c r="B13" s="263"/>
      <c r="C13" s="263"/>
      <c r="D13" s="263"/>
      <c r="E13" s="263"/>
      <c r="F13" s="32"/>
      <c r="G13" s="32"/>
      <c r="H13" s="32"/>
      <c r="I13" s="32"/>
      <c r="J13" s="32"/>
      <c r="K13" s="32"/>
      <c r="L13" s="263"/>
      <c r="M13" s="263"/>
    </row>
    <row r="14" spans="1:13" x14ac:dyDescent="0.35">
      <c r="A14" s="262"/>
      <c r="B14" s="263"/>
      <c r="C14" s="263"/>
      <c r="D14" s="263"/>
      <c r="E14" s="263"/>
      <c r="F14" s="32"/>
      <c r="G14" s="32"/>
      <c r="H14" s="32"/>
      <c r="I14" s="32"/>
      <c r="J14" s="32"/>
      <c r="K14" s="32"/>
      <c r="L14" s="263"/>
      <c r="M14" s="263"/>
    </row>
    <row r="15" spans="1:13" x14ac:dyDescent="0.35">
      <c r="A15" s="262"/>
      <c r="B15" s="263"/>
      <c r="C15" s="263"/>
      <c r="D15" s="263"/>
      <c r="E15" s="263"/>
      <c r="F15" s="32"/>
      <c r="G15" s="32"/>
      <c r="H15" s="32"/>
      <c r="I15" s="32"/>
      <c r="J15" s="32"/>
      <c r="K15" s="32"/>
      <c r="L15" s="263"/>
      <c r="M15" s="263"/>
    </row>
    <row r="16" spans="1:13" x14ac:dyDescent="0.35">
      <c r="A16" s="262"/>
      <c r="B16" s="263"/>
      <c r="C16" s="263"/>
      <c r="D16" s="263"/>
      <c r="E16" s="263"/>
      <c r="F16" s="32"/>
      <c r="G16" s="32"/>
      <c r="H16" s="32"/>
      <c r="I16" s="32"/>
      <c r="J16" s="32"/>
      <c r="K16" s="32"/>
      <c r="L16" s="263"/>
      <c r="M16" s="263"/>
    </row>
    <row r="17" spans="1:13" x14ac:dyDescent="0.35">
      <c r="A17" s="262"/>
      <c r="B17" s="263"/>
      <c r="C17" s="263"/>
      <c r="D17" s="263"/>
      <c r="E17" s="263"/>
      <c r="F17" s="32"/>
      <c r="G17" s="32"/>
      <c r="H17" s="32"/>
      <c r="I17" s="32"/>
      <c r="J17" s="32"/>
      <c r="K17" s="32"/>
      <c r="L17" s="263"/>
      <c r="M17" s="263"/>
    </row>
    <row r="18" spans="1:13" x14ac:dyDescent="0.35">
      <c r="A18" s="262"/>
      <c r="B18" s="263"/>
      <c r="C18" s="263"/>
      <c r="D18" s="263"/>
      <c r="E18" s="263"/>
      <c r="F18" s="32"/>
      <c r="G18" s="32"/>
      <c r="H18" s="32"/>
      <c r="I18" s="32"/>
      <c r="J18" s="32"/>
      <c r="K18" s="32"/>
      <c r="L18" s="263"/>
      <c r="M18" s="263"/>
    </row>
    <row r="19" spans="1:13" x14ac:dyDescent="0.35">
      <c r="A19" s="262"/>
      <c r="B19" s="263"/>
      <c r="C19" s="263"/>
      <c r="D19" s="263"/>
      <c r="E19" s="263"/>
      <c r="F19" s="32"/>
      <c r="G19" s="32"/>
      <c r="H19" s="32"/>
      <c r="I19" s="32"/>
      <c r="J19" s="32"/>
      <c r="K19" s="32"/>
      <c r="L19" s="263"/>
      <c r="M19" s="263"/>
    </row>
    <row r="20" spans="1:13" x14ac:dyDescent="0.35">
      <c r="A20" s="262"/>
      <c r="B20" s="263"/>
      <c r="C20" s="263"/>
      <c r="D20" s="263"/>
      <c r="E20" s="263"/>
      <c r="F20" s="32"/>
      <c r="G20" s="32"/>
      <c r="H20" s="32"/>
      <c r="I20" s="32"/>
      <c r="J20" s="32"/>
      <c r="K20" s="32"/>
      <c r="L20" s="263"/>
      <c r="M20" s="263"/>
    </row>
    <row r="21" spans="1:13" x14ac:dyDescent="0.35">
      <c r="A21" s="262"/>
      <c r="B21" s="263"/>
      <c r="C21" s="263"/>
      <c r="D21" s="263"/>
      <c r="E21" s="263"/>
      <c r="F21" s="32"/>
      <c r="G21" s="32"/>
      <c r="H21" s="32"/>
      <c r="I21" s="32"/>
      <c r="J21" s="32"/>
      <c r="K21" s="32"/>
      <c r="L21" s="263"/>
      <c r="M21" s="263"/>
    </row>
    <row r="22" spans="1:13" x14ac:dyDescent="0.35">
      <c r="A22" s="262"/>
      <c r="B22" s="263"/>
      <c r="C22" s="263"/>
      <c r="D22" s="263"/>
      <c r="E22" s="263"/>
      <c r="F22" s="32"/>
      <c r="G22" s="32"/>
      <c r="H22" s="32"/>
      <c r="I22" s="32"/>
      <c r="J22" s="32"/>
      <c r="K22" s="32"/>
      <c r="L22" s="263"/>
      <c r="M22" s="263"/>
    </row>
    <row r="23" spans="1:13" x14ac:dyDescent="0.35">
      <c r="A23" s="262"/>
      <c r="B23" s="263"/>
      <c r="C23" s="263"/>
      <c r="D23" s="263"/>
      <c r="E23" s="263"/>
      <c r="F23" s="32"/>
      <c r="G23" s="32"/>
      <c r="H23" s="32"/>
      <c r="I23" s="32"/>
      <c r="J23" s="32"/>
      <c r="K23" s="32"/>
      <c r="L23" s="263"/>
      <c r="M23" s="263"/>
    </row>
    <row r="24" spans="1:13" x14ac:dyDescent="0.35">
      <c r="A24" s="262"/>
      <c r="B24" s="263"/>
      <c r="C24" s="263"/>
      <c r="D24" s="263"/>
      <c r="E24" s="263"/>
      <c r="F24" s="32"/>
      <c r="G24" s="32"/>
      <c r="H24" s="32"/>
      <c r="I24" s="32"/>
      <c r="J24" s="32"/>
      <c r="K24" s="32"/>
      <c r="L24" s="263"/>
      <c r="M24" s="263"/>
    </row>
    <row r="25" spans="1:13" x14ac:dyDescent="0.35">
      <c r="A25" s="262"/>
      <c r="B25" s="263"/>
      <c r="C25" s="263"/>
      <c r="D25" s="263"/>
      <c r="E25" s="263"/>
      <c r="F25" s="32"/>
      <c r="G25" s="32"/>
      <c r="H25" s="32"/>
      <c r="I25" s="32"/>
      <c r="J25" s="32"/>
      <c r="K25" s="32"/>
      <c r="L25" s="263"/>
      <c r="M25" s="263"/>
    </row>
    <row r="26" spans="1:13" x14ac:dyDescent="0.35">
      <c r="A26" s="262"/>
      <c r="B26" s="263"/>
      <c r="C26" s="263"/>
      <c r="D26" s="263"/>
      <c r="E26" s="263"/>
      <c r="F26" s="32"/>
      <c r="G26" s="32"/>
      <c r="H26" s="32"/>
      <c r="I26" s="32"/>
      <c r="J26" s="32"/>
      <c r="K26" s="32"/>
      <c r="L26" s="263"/>
      <c r="M26" s="263"/>
    </row>
    <row r="27" spans="1:13" x14ac:dyDescent="0.35">
      <c r="A27" s="1087" t="s">
        <v>2462</v>
      </c>
      <c r="B27" s="930"/>
      <c r="C27" s="930"/>
      <c r="D27" s="930"/>
      <c r="E27" s="931"/>
      <c r="F27" s="194">
        <f t="shared" ref="F27:K27" si="0">SUM(F6:F26)</f>
        <v>0</v>
      </c>
      <c r="G27" s="194">
        <f t="shared" si="0"/>
        <v>0</v>
      </c>
      <c r="H27" s="194">
        <f t="shared" si="0"/>
        <v>0</v>
      </c>
      <c r="I27" s="194">
        <f t="shared" si="0"/>
        <v>0</v>
      </c>
      <c r="J27" s="194">
        <f t="shared" si="0"/>
        <v>0</v>
      </c>
      <c r="K27" s="194">
        <f t="shared" si="0"/>
        <v>0</v>
      </c>
      <c r="L27" s="193"/>
      <c r="M27" s="193"/>
    </row>
    <row r="28" spans="1:13" x14ac:dyDescent="0.35">
      <c r="A28" s="1" t="s">
        <v>2463</v>
      </c>
      <c r="B28" t="s">
        <v>2464</v>
      </c>
    </row>
    <row r="29" spans="1:13" x14ac:dyDescent="0.35">
      <c r="A29" s="1" t="s">
        <v>2465</v>
      </c>
      <c r="B29" t="s">
        <v>2466</v>
      </c>
    </row>
  </sheetData>
  <sheetProtection sheet="1" formatCells="0" formatColumns="0" formatRows="0" insertRows="0"/>
  <mergeCells count="10">
    <mergeCell ref="A27:E27"/>
    <mergeCell ref="L3:M3"/>
    <mergeCell ref="E2:M2"/>
    <mergeCell ref="M4:M5"/>
    <mergeCell ref="A1:M1"/>
    <mergeCell ref="B4:B5"/>
    <mergeCell ref="A4:A5"/>
    <mergeCell ref="D4:D5"/>
    <mergeCell ref="A3:I3"/>
    <mergeCell ref="A2:D2"/>
  </mergeCells>
  <dataValidations count="1">
    <dataValidation type="decimal" operator="greaterThan" showErrorMessage="1" errorTitle="Text Alert" error="Please do not enter text" promptTitle="Numeric Input" prompt="Please enter numeric values or leave blank" sqref="F6:K26" xr:uid="{00000000-0002-0000-0A00-000000000000}">
      <formula1>-1</formula1>
    </dataValidation>
  </dataValidations>
  <pageMargins left="0.31496062992125978" right="0.31496062992125978" top="0.15748031496062989" bottom="0.35433070866141742" header="0.31496062992125978" footer="0.31496062992125978"/>
  <pageSetup paperSize="9" scale="71" orientation="landscape" horizontalDpi="4294967295" verticalDpi="4294967295"/>
  <headerFooter>
    <oddFooter>&amp;C&amp;P&amp;RNote: Not to be quoted and not to be published without prior permission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Q29"/>
  <sheetViews>
    <sheetView zoomScale="78" zoomScaleNormal="78" workbookViewId="0">
      <selection activeCell="H40" sqref="H40"/>
    </sheetView>
  </sheetViews>
  <sheetFormatPr defaultColWidth="0" defaultRowHeight="14.5" x14ac:dyDescent="0.35"/>
  <cols>
    <col min="1" max="1" width="8.81640625" style="1" customWidth="1"/>
    <col min="2" max="2" width="24.81640625" customWidth="1"/>
    <col min="3" max="3" width="15" customWidth="1"/>
    <col min="4" max="5" width="18.54296875" customWidth="1"/>
    <col min="6" max="6" width="13.81640625" bestFit="1" customWidth="1"/>
    <col min="7" max="7" width="11.54296875" style="1" customWidth="1"/>
    <col min="8" max="8" width="11.81640625" style="1" customWidth="1"/>
    <col min="9" max="9" width="11.453125" style="1" customWidth="1"/>
    <col min="10" max="10" width="10.81640625" style="1" customWidth="1"/>
    <col min="11" max="11" width="15.453125" style="1" customWidth="1"/>
    <col min="12" max="12" width="14.54296875" style="1" customWidth="1"/>
    <col min="13" max="13" width="22.81640625" customWidth="1"/>
    <col min="14" max="14" width="20.54296875" customWidth="1"/>
    <col min="15" max="16" width="8.81640625" hidden="1" customWidth="1"/>
    <col min="17" max="17" width="12" hidden="1" customWidth="1"/>
    <col min="18" max="18" width="8.81640625" hidden="1" customWidth="1"/>
    <col min="19" max="16384" width="8.81640625" hidden="1"/>
  </cols>
  <sheetData>
    <row r="1" spans="1:14" ht="26" customHeight="1" x14ac:dyDescent="0.35">
      <c r="A1" s="1084" t="s">
        <v>2467</v>
      </c>
      <c r="B1" s="955"/>
      <c r="C1" s="955"/>
      <c r="D1" s="955"/>
      <c r="E1" s="955"/>
      <c r="F1" s="955"/>
      <c r="G1" s="955"/>
      <c r="H1" s="955"/>
      <c r="I1" s="955"/>
      <c r="J1" s="955"/>
      <c r="K1" s="955"/>
      <c r="L1" s="955"/>
      <c r="M1" s="955"/>
      <c r="N1" s="955"/>
    </row>
    <row r="2" spans="1:14" ht="27" customHeight="1" x14ac:dyDescent="0.35">
      <c r="A2" s="1086" t="str">
        <f>CONCATENATE('General Information'!B3,F3)</f>
        <v>Obligated Entity Name</v>
      </c>
      <c r="B2" s="930"/>
      <c r="C2" s="930"/>
      <c r="D2" s="931"/>
      <c r="E2" s="1089" t="str">
        <f>'Form-Sb'!C3</f>
        <v xml:space="preserve">  </v>
      </c>
      <c r="F2" s="930"/>
      <c r="G2" s="930"/>
      <c r="H2" s="930"/>
      <c r="I2" s="930"/>
      <c r="J2" s="930"/>
      <c r="K2" s="930"/>
      <c r="L2" s="930"/>
      <c r="M2" s="930"/>
      <c r="N2" s="930"/>
    </row>
    <row r="3" spans="1:14" s="4" customFormat="1" ht="29" customHeight="1" x14ac:dyDescent="0.35">
      <c r="A3" s="1085"/>
      <c r="B3" s="930"/>
      <c r="C3" s="930"/>
      <c r="D3" s="930"/>
      <c r="E3" s="930"/>
      <c r="F3" s="930"/>
      <c r="G3" s="930"/>
      <c r="H3" s="930"/>
      <c r="I3" s="930"/>
      <c r="J3" s="931"/>
      <c r="K3" s="6" t="s">
        <v>2447</v>
      </c>
      <c r="L3" s="6" t="s">
        <v>2447</v>
      </c>
      <c r="M3" s="1088"/>
      <c r="N3" s="930"/>
    </row>
    <row r="4" spans="1:14" s="8" customFormat="1" ht="43.5" customHeight="1" x14ac:dyDescent="0.35">
      <c r="A4" s="1083" t="s">
        <v>43</v>
      </c>
      <c r="B4" s="1083" t="s">
        <v>2448</v>
      </c>
      <c r="C4" s="195" t="s">
        <v>2449</v>
      </c>
      <c r="D4" s="1083" t="s">
        <v>2450</v>
      </c>
      <c r="E4" s="6" t="s">
        <v>2468</v>
      </c>
      <c r="F4" s="6" t="s">
        <v>2451</v>
      </c>
      <c r="G4" s="6" t="s">
        <v>2452</v>
      </c>
      <c r="H4" s="6" t="s">
        <v>2453</v>
      </c>
      <c r="I4" s="6" t="s">
        <v>2454</v>
      </c>
      <c r="J4" s="6" t="s">
        <v>1518</v>
      </c>
      <c r="K4" s="6" t="s">
        <v>2455</v>
      </c>
      <c r="L4" s="6" t="s">
        <v>2456</v>
      </c>
      <c r="M4" s="7" t="s">
        <v>1176</v>
      </c>
      <c r="N4" s="7" t="s">
        <v>1177</v>
      </c>
    </row>
    <row r="5" spans="1:14" s="11" customFormat="1" ht="29" customHeight="1" x14ac:dyDescent="0.35">
      <c r="A5" s="949"/>
      <c r="B5" s="949"/>
      <c r="C5" s="196"/>
      <c r="D5" s="949"/>
      <c r="E5" s="9" t="s">
        <v>1119</v>
      </c>
      <c r="F5" s="9" t="s">
        <v>1119</v>
      </c>
      <c r="G5" s="9" t="s">
        <v>1485</v>
      </c>
      <c r="H5" s="6" t="s">
        <v>2458</v>
      </c>
      <c r="I5" s="9" t="s">
        <v>1485</v>
      </c>
      <c r="J5" s="6" t="s">
        <v>2459</v>
      </c>
      <c r="K5" s="6" t="s">
        <v>2460</v>
      </c>
      <c r="L5" s="6" t="s">
        <v>2461</v>
      </c>
      <c r="M5" s="10"/>
      <c r="N5" s="10"/>
    </row>
    <row r="6" spans="1:14" s="12" customFormat="1" x14ac:dyDescent="0.35">
      <c r="A6" s="31"/>
      <c r="B6" s="264"/>
      <c r="C6" s="264"/>
      <c r="D6" s="264"/>
      <c r="E6" s="264"/>
      <c r="F6" s="264"/>
      <c r="G6" s="32"/>
      <c r="H6" s="32"/>
      <c r="I6" s="32"/>
      <c r="J6" s="32"/>
      <c r="K6" s="32"/>
      <c r="L6" s="32"/>
      <c r="M6" s="30"/>
      <c r="N6" s="264"/>
    </row>
    <row r="7" spans="1:14" s="12" customFormat="1" x14ac:dyDescent="0.35">
      <c r="A7" s="31"/>
      <c r="B7" s="264"/>
      <c r="C7" s="264"/>
      <c r="D7" s="264"/>
      <c r="E7" s="264"/>
      <c r="F7" s="264"/>
      <c r="G7" s="32"/>
      <c r="H7" s="32"/>
      <c r="I7" s="32"/>
      <c r="J7" s="32"/>
      <c r="K7" s="32"/>
      <c r="L7" s="32"/>
      <c r="M7" s="264"/>
      <c r="N7" s="264"/>
    </row>
    <row r="8" spans="1:14" s="12" customFormat="1" x14ac:dyDescent="0.35">
      <c r="A8" s="31"/>
      <c r="B8" s="264"/>
      <c r="C8" s="264"/>
      <c r="D8" s="264"/>
      <c r="E8" s="264"/>
      <c r="F8" s="264"/>
      <c r="G8" s="32"/>
      <c r="H8" s="32"/>
      <c r="I8" s="32"/>
      <c r="J8" s="32"/>
      <c r="K8" s="32"/>
      <c r="L8" s="32"/>
      <c r="M8" s="264"/>
      <c r="N8" s="264"/>
    </row>
    <row r="9" spans="1:14" s="12" customFormat="1" x14ac:dyDescent="0.35">
      <c r="A9" s="31"/>
      <c r="B9" s="264"/>
      <c r="C9" s="264"/>
      <c r="D9" s="264"/>
      <c r="E9" s="264"/>
      <c r="F9" s="264"/>
      <c r="G9" s="32"/>
      <c r="H9" s="32"/>
      <c r="I9" s="32"/>
      <c r="J9" s="32"/>
      <c r="K9" s="32"/>
      <c r="L9" s="32"/>
      <c r="M9" s="264"/>
      <c r="N9" s="264"/>
    </row>
    <row r="10" spans="1:14" s="12" customFormat="1" x14ac:dyDescent="0.35">
      <c r="A10" s="31"/>
      <c r="B10" s="264"/>
      <c r="C10" s="264"/>
      <c r="D10" s="264"/>
      <c r="E10" s="264"/>
      <c r="F10" s="264"/>
      <c r="G10" s="32"/>
      <c r="H10" s="32"/>
      <c r="I10" s="32"/>
      <c r="J10" s="32"/>
      <c r="K10" s="32"/>
      <c r="L10" s="32"/>
      <c r="M10" s="264"/>
      <c r="N10" s="264"/>
    </row>
    <row r="11" spans="1:14" s="12" customFormat="1" x14ac:dyDescent="0.35">
      <c r="A11" s="31"/>
      <c r="B11" s="264"/>
      <c r="C11" s="264"/>
      <c r="D11" s="264"/>
      <c r="E11" s="264"/>
      <c r="F11" s="264"/>
      <c r="G11" s="32"/>
      <c r="H11" s="32"/>
      <c r="I11" s="32"/>
      <c r="J11" s="32"/>
      <c r="K11" s="32"/>
      <c r="L11" s="32"/>
      <c r="M11" s="264"/>
      <c r="N11" s="264"/>
    </row>
    <row r="12" spans="1:14" s="12" customFormat="1" x14ac:dyDescent="0.35">
      <c r="A12" s="31"/>
      <c r="B12" s="264"/>
      <c r="C12" s="264"/>
      <c r="D12" s="264"/>
      <c r="E12" s="264"/>
      <c r="F12" s="264"/>
      <c r="G12" s="32"/>
      <c r="H12" s="32"/>
      <c r="I12" s="32"/>
      <c r="J12" s="32"/>
      <c r="K12" s="32"/>
      <c r="L12" s="32"/>
      <c r="M12" s="264"/>
      <c r="N12" s="264"/>
    </row>
    <row r="13" spans="1:14" s="12" customFormat="1" x14ac:dyDescent="0.35">
      <c r="A13" s="31"/>
      <c r="B13" s="264"/>
      <c r="C13" s="264"/>
      <c r="D13" s="264"/>
      <c r="E13" s="264"/>
      <c r="F13" s="264"/>
      <c r="G13" s="32"/>
      <c r="H13" s="32"/>
      <c r="I13" s="32"/>
      <c r="J13" s="32"/>
      <c r="K13" s="32"/>
      <c r="L13" s="32"/>
      <c r="M13" s="264"/>
      <c r="N13" s="264"/>
    </row>
    <row r="14" spans="1:14" s="12" customFormat="1" x14ac:dyDescent="0.35">
      <c r="A14" s="31"/>
      <c r="B14" s="264"/>
      <c r="C14" s="264"/>
      <c r="D14" s="264"/>
      <c r="E14" s="264"/>
      <c r="F14" s="264"/>
      <c r="G14" s="32"/>
      <c r="H14" s="32"/>
      <c r="I14" s="32"/>
      <c r="J14" s="32"/>
      <c r="K14" s="32"/>
      <c r="L14" s="32"/>
      <c r="M14" s="264"/>
      <c r="N14" s="264"/>
    </row>
    <row r="15" spans="1:14" s="12" customFormat="1" x14ac:dyDescent="0.35">
      <c r="A15" s="31"/>
      <c r="B15" s="264"/>
      <c r="C15" s="264"/>
      <c r="D15" s="264"/>
      <c r="E15" s="264"/>
      <c r="F15" s="264"/>
      <c r="G15" s="32"/>
      <c r="H15" s="32"/>
      <c r="I15" s="32"/>
      <c r="J15" s="32"/>
      <c r="K15" s="32"/>
      <c r="L15" s="32"/>
      <c r="M15" s="264"/>
      <c r="N15" s="264"/>
    </row>
    <row r="16" spans="1:14" s="12" customFormat="1" x14ac:dyDescent="0.35">
      <c r="A16" s="31"/>
      <c r="B16" s="264"/>
      <c r="C16" s="264"/>
      <c r="D16" s="264"/>
      <c r="E16" s="264"/>
      <c r="F16" s="264"/>
      <c r="G16" s="32"/>
      <c r="H16" s="32"/>
      <c r="I16" s="32"/>
      <c r="J16" s="32"/>
      <c r="K16" s="32"/>
      <c r="L16" s="32"/>
      <c r="M16" s="264"/>
      <c r="N16" s="264"/>
    </row>
    <row r="17" spans="1:14" s="12" customFormat="1" x14ac:dyDescent="0.35">
      <c r="A17" s="31"/>
      <c r="B17" s="264"/>
      <c r="C17" s="264"/>
      <c r="D17" s="264"/>
      <c r="E17" s="264"/>
      <c r="F17" s="264"/>
      <c r="G17" s="32"/>
      <c r="H17" s="32"/>
      <c r="I17" s="32"/>
      <c r="J17" s="32"/>
      <c r="K17" s="32"/>
      <c r="L17" s="32"/>
      <c r="M17" s="264"/>
      <c r="N17" s="264"/>
    </row>
    <row r="18" spans="1:14" s="12" customFormat="1" x14ac:dyDescent="0.35">
      <c r="A18" s="31"/>
      <c r="B18" s="264"/>
      <c r="C18" s="264"/>
      <c r="D18" s="264"/>
      <c r="E18" s="264"/>
      <c r="F18" s="264"/>
      <c r="G18" s="32"/>
      <c r="H18" s="32"/>
      <c r="I18" s="32"/>
      <c r="J18" s="32"/>
      <c r="K18" s="32"/>
      <c r="L18" s="32"/>
      <c r="M18" s="264"/>
      <c r="N18" s="264"/>
    </row>
    <row r="19" spans="1:14" s="12" customFormat="1" x14ac:dyDescent="0.35">
      <c r="A19" s="31"/>
      <c r="B19" s="264"/>
      <c r="C19" s="264"/>
      <c r="D19" s="264"/>
      <c r="E19" s="264"/>
      <c r="F19" s="264"/>
      <c r="G19" s="32"/>
      <c r="H19" s="32"/>
      <c r="I19" s="32"/>
      <c r="J19" s="32"/>
      <c r="K19" s="32"/>
      <c r="L19" s="32"/>
      <c r="M19" s="264"/>
      <c r="N19" s="264"/>
    </row>
    <row r="20" spans="1:14" s="12" customFormat="1" x14ac:dyDescent="0.35">
      <c r="A20" s="31"/>
      <c r="B20" s="264"/>
      <c r="C20" s="264"/>
      <c r="D20" s="264"/>
      <c r="E20" s="264"/>
      <c r="F20" s="264"/>
      <c r="G20" s="32"/>
      <c r="H20" s="32"/>
      <c r="I20" s="32"/>
      <c r="J20" s="32"/>
      <c r="K20" s="32"/>
      <c r="L20" s="32"/>
      <c r="M20" s="264"/>
      <c r="N20" s="264"/>
    </row>
    <row r="21" spans="1:14" s="12" customFormat="1" x14ac:dyDescent="0.35">
      <c r="A21" s="31"/>
      <c r="B21" s="264"/>
      <c r="C21" s="264"/>
      <c r="D21" s="264"/>
      <c r="E21" s="264"/>
      <c r="F21" s="264"/>
      <c r="G21" s="32"/>
      <c r="H21" s="32"/>
      <c r="I21" s="32"/>
      <c r="J21" s="32"/>
      <c r="K21" s="32"/>
      <c r="L21" s="32"/>
      <c r="M21" s="264"/>
      <c r="N21" s="264"/>
    </row>
    <row r="22" spans="1:14" s="12" customFormat="1" x14ac:dyDescent="0.35">
      <c r="A22" s="31"/>
      <c r="B22" s="264"/>
      <c r="C22" s="264"/>
      <c r="D22" s="264"/>
      <c r="E22" s="264"/>
      <c r="F22" s="264"/>
      <c r="G22" s="32"/>
      <c r="H22" s="32"/>
      <c r="I22" s="32"/>
      <c r="J22" s="32"/>
      <c r="K22" s="32"/>
      <c r="L22" s="32"/>
      <c r="M22" s="264"/>
      <c r="N22" s="264"/>
    </row>
    <row r="23" spans="1:14" s="12" customFormat="1" x14ac:dyDescent="0.35">
      <c r="A23" s="31"/>
      <c r="B23" s="264"/>
      <c r="C23" s="264"/>
      <c r="D23" s="264"/>
      <c r="E23" s="264"/>
      <c r="F23" s="264"/>
      <c r="G23" s="32"/>
      <c r="H23" s="32"/>
      <c r="I23" s="32"/>
      <c r="J23" s="32"/>
      <c r="K23" s="32"/>
      <c r="L23" s="32"/>
      <c r="M23" s="264"/>
      <c r="N23" s="264"/>
    </row>
    <row r="24" spans="1:14" s="12" customFormat="1" x14ac:dyDescent="0.35">
      <c r="A24" s="31"/>
      <c r="B24" s="264"/>
      <c r="C24" s="264"/>
      <c r="D24" s="264"/>
      <c r="E24" s="264"/>
      <c r="F24" s="264"/>
      <c r="G24" s="32"/>
      <c r="H24" s="32"/>
      <c r="I24" s="32"/>
      <c r="J24" s="32"/>
      <c r="K24" s="32"/>
      <c r="L24" s="32"/>
      <c r="M24" s="264"/>
      <c r="N24" s="264"/>
    </row>
    <row r="25" spans="1:14" s="12" customFormat="1" x14ac:dyDescent="0.35">
      <c r="A25" s="31"/>
      <c r="B25" s="264"/>
      <c r="C25" s="264"/>
      <c r="D25" s="264"/>
      <c r="E25" s="264"/>
      <c r="F25" s="264"/>
      <c r="G25" s="32"/>
      <c r="H25" s="32"/>
      <c r="I25" s="32"/>
      <c r="J25" s="32"/>
      <c r="K25" s="32"/>
      <c r="L25" s="32"/>
      <c r="M25" s="264"/>
      <c r="N25" s="264"/>
    </row>
    <row r="26" spans="1:14" s="12" customFormat="1" x14ac:dyDescent="0.35">
      <c r="A26" s="31"/>
      <c r="B26" s="264"/>
      <c r="C26" s="264"/>
      <c r="D26" s="264"/>
      <c r="E26" s="264"/>
      <c r="F26" s="264"/>
      <c r="G26" s="32"/>
      <c r="H26" s="32"/>
      <c r="I26" s="32"/>
      <c r="J26" s="32"/>
      <c r="K26" s="32"/>
      <c r="L26" s="32"/>
      <c r="M26" s="264"/>
      <c r="N26" s="264"/>
    </row>
    <row r="27" spans="1:14" x14ac:dyDescent="0.35">
      <c r="A27" s="1087" t="s">
        <v>2462</v>
      </c>
      <c r="B27" s="930"/>
      <c r="C27" s="930"/>
      <c r="D27" s="930"/>
      <c r="E27" s="930"/>
      <c r="F27" s="931"/>
      <c r="G27" s="194">
        <f t="shared" ref="G27:L27" si="0">SUM(G6:G26)</f>
        <v>0</v>
      </c>
      <c r="H27" s="194">
        <f t="shared" si="0"/>
        <v>0</v>
      </c>
      <c r="I27" s="194">
        <f t="shared" si="0"/>
        <v>0</v>
      </c>
      <c r="J27" s="194">
        <f t="shared" si="0"/>
        <v>0</v>
      </c>
      <c r="K27" s="194">
        <f t="shared" si="0"/>
        <v>0</v>
      </c>
      <c r="L27" s="194">
        <f t="shared" si="0"/>
        <v>0</v>
      </c>
      <c r="M27" s="193"/>
      <c r="N27" s="193"/>
    </row>
    <row r="28" spans="1:14" x14ac:dyDescent="0.35">
      <c r="A28" s="1" t="s">
        <v>2463</v>
      </c>
      <c r="B28" t="s">
        <v>2464</v>
      </c>
    </row>
    <row r="29" spans="1:14" x14ac:dyDescent="0.35">
      <c r="A29" s="1" t="s">
        <v>2465</v>
      </c>
      <c r="B29" t="s">
        <v>2466</v>
      </c>
    </row>
  </sheetData>
  <sheetProtection sheet="1" objects="1" scenarios="1" formatCells="0" formatColumns="0" formatRows="0" insertRows="0"/>
  <mergeCells count="9">
    <mergeCell ref="M3:N3"/>
    <mergeCell ref="A2:D2"/>
    <mergeCell ref="E2:N2"/>
    <mergeCell ref="A1:N1"/>
    <mergeCell ref="B4:B5"/>
    <mergeCell ref="A4:A5"/>
    <mergeCell ref="D4:D5"/>
    <mergeCell ref="A3:J3"/>
    <mergeCell ref="A27:F27"/>
  </mergeCells>
  <dataValidations count="1">
    <dataValidation type="decimal" operator="greaterThan" showErrorMessage="1" errorTitle="Text Alert" error="Please do not enter text" promptTitle="Numeric Input" prompt="Please enter numeric values or leave blank" sqref="G6:L26" xr:uid="{00000000-0002-0000-0B00-000000000000}">
      <formula1>-1</formula1>
    </dataValidation>
  </dataValidations>
  <pageMargins left="0.51181102362204722" right="0.51181102362204722" top="0.35433070866141742" bottom="0.35433070866141742" header="0.31496062992125978" footer="0.31496062992125978"/>
  <pageSetup paperSize="9" scale="62" orientation="landscape" horizontalDpi="4294967295" verticalDpi="4294967295"/>
  <headerFooter>
    <oddFooter>&amp;C&amp;P&amp;RNote: Not to be quoted and not to be published without prior permission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N33"/>
  <sheetViews>
    <sheetView workbookViewId="0">
      <selection activeCell="B10" sqref="B10"/>
    </sheetView>
  </sheetViews>
  <sheetFormatPr defaultRowHeight="14.5" x14ac:dyDescent="0.35"/>
  <cols>
    <col min="2" max="2" width="35.453125" customWidth="1"/>
    <col min="3" max="3" width="25.54296875" customWidth="1"/>
    <col min="4" max="4" width="14.54296875" customWidth="1"/>
    <col min="5" max="5" width="12.453125" customWidth="1"/>
    <col min="6" max="6" width="12.54296875" customWidth="1"/>
    <col min="7" max="7" width="11.54296875" customWidth="1"/>
    <col min="8" max="8" width="12.54296875" customWidth="1"/>
    <col min="10" max="10" width="12" customWidth="1"/>
    <col min="11" max="11" width="11.54296875" customWidth="1"/>
    <col min="12" max="12" width="12.453125" customWidth="1"/>
    <col min="13" max="13" width="10.81640625" customWidth="1"/>
    <col min="14" max="14" width="12.453125" customWidth="1"/>
  </cols>
  <sheetData>
    <row r="1" spans="1:14" ht="23.5" customHeight="1" x14ac:dyDescent="0.35">
      <c r="A1" s="1091" t="s">
        <v>2469</v>
      </c>
      <c r="B1" s="941"/>
      <c r="C1" s="941"/>
      <c r="D1" s="941"/>
      <c r="E1" s="941"/>
      <c r="F1" s="941"/>
      <c r="G1" s="941"/>
      <c r="H1" s="941"/>
      <c r="I1" s="941"/>
      <c r="J1" s="941"/>
      <c r="K1" s="941"/>
      <c r="L1" s="941"/>
      <c r="M1" s="941"/>
      <c r="N1" s="941"/>
    </row>
    <row r="2" spans="1:14" ht="18.5" customHeight="1" x14ac:dyDescent="0.35">
      <c r="A2" s="1097" t="str">
        <f>'Summary Sheet'!A3:B3</f>
        <v>Obligated Entity Name</v>
      </c>
      <c r="B2" s="936"/>
      <c r="C2" s="1094" t="str">
        <f>'Summary Sheet'!C3</f>
        <v xml:space="preserve">  </v>
      </c>
      <c r="D2" s="930"/>
      <c r="E2" s="930"/>
      <c r="F2" s="930"/>
      <c r="G2" s="930"/>
      <c r="H2" s="930"/>
      <c r="I2" s="930"/>
      <c r="J2" s="930"/>
      <c r="K2" s="930"/>
      <c r="L2" s="930"/>
      <c r="M2" s="930"/>
      <c r="N2" s="931"/>
    </row>
    <row r="3" spans="1:14" x14ac:dyDescent="0.35">
      <c r="A3" s="1095" t="s">
        <v>2470</v>
      </c>
      <c r="B3" s="931"/>
      <c r="C3" s="1100" t="s">
        <v>1512</v>
      </c>
      <c r="D3" s="931"/>
      <c r="E3" s="36" t="str">
        <f>'Form-Sb'!H881</f>
        <v>No</v>
      </c>
      <c r="F3" s="36">
        <f>'Form-Sb'!I881</f>
        <v>0</v>
      </c>
      <c r="G3" s="1086"/>
      <c r="H3" s="930"/>
      <c r="I3" s="930"/>
      <c r="J3" s="930"/>
      <c r="K3" s="930"/>
      <c r="L3" s="930"/>
      <c r="M3" s="930"/>
      <c r="N3" s="931"/>
    </row>
    <row r="4" spans="1:14" ht="18.5" customHeight="1" x14ac:dyDescent="0.35">
      <c r="A4" s="1068"/>
      <c r="B4" s="931"/>
      <c r="C4" s="5"/>
      <c r="D4" s="269"/>
      <c r="E4" s="1093" t="s">
        <v>2471</v>
      </c>
      <c r="F4" s="931"/>
      <c r="G4" s="1098" t="s">
        <v>2472</v>
      </c>
      <c r="H4" s="931"/>
      <c r="I4" s="1093" t="s">
        <v>2473</v>
      </c>
      <c r="J4" s="931"/>
      <c r="K4" s="1093" t="s">
        <v>2474</v>
      </c>
      <c r="L4" s="931"/>
      <c r="M4" s="1093" t="s">
        <v>2475</v>
      </c>
      <c r="N4" s="931"/>
    </row>
    <row r="5" spans="1:14" ht="43.5" customHeight="1" x14ac:dyDescent="0.35">
      <c r="A5" s="13" t="s">
        <v>2124</v>
      </c>
      <c r="B5" s="14" t="s">
        <v>999</v>
      </c>
      <c r="C5" s="14" t="s">
        <v>2476</v>
      </c>
      <c r="D5" s="14" t="s">
        <v>2477</v>
      </c>
      <c r="E5" s="185" t="str">
        <f>'Base line Parameters'!E5</f>
        <v>Baseline Year(s)</v>
      </c>
      <c r="F5" s="185" t="str">
        <f>'Base line Parameters'!F5</f>
        <v xml:space="preserve">Current/Assessment /Target Year   </v>
      </c>
      <c r="G5" s="15" t="s">
        <v>2478</v>
      </c>
      <c r="H5" s="185" t="str">
        <f>F5</f>
        <v xml:space="preserve">Current/Assessment /Target Year   </v>
      </c>
      <c r="I5" s="15" t="s">
        <v>2478</v>
      </c>
      <c r="J5" s="185" t="str">
        <f>F5</f>
        <v xml:space="preserve">Current/Assessment /Target Year   </v>
      </c>
      <c r="K5" s="15" t="s">
        <v>2478</v>
      </c>
      <c r="L5" s="185" t="str">
        <f>F5</f>
        <v xml:space="preserve">Current/Assessment /Target Year   </v>
      </c>
      <c r="M5" s="15" t="s">
        <v>2478</v>
      </c>
      <c r="N5" s="185" t="str">
        <f>F5</f>
        <v xml:space="preserve">Current/Assessment /Target Year   </v>
      </c>
    </row>
    <row r="6" spans="1:14" x14ac:dyDescent="0.35">
      <c r="A6" s="52"/>
      <c r="B6" s="16" t="s">
        <v>2479</v>
      </c>
      <c r="C6" s="16" t="s">
        <v>2480</v>
      </c>
      <c r="D6" s="16" t="s">
        <v>2481</v>
      </c>
      <c r="E6" s="17">
        <f>'Form-Sb'!H122</f>
        <v>0</v>
      </c>
      <c r="F6" s="17">
        <f>'Form-Sb'!I122</f>
        <v>0</v>
      </c>
      <c r="G6" s="17">
        <f>'Form-Sb'!H137</f>
        <v>0</v>
      </c>
      <c r="H6" s="17">
        <f>'Form-Sb'!I137</f>
        <v>0</v>
      </c>
      <c r="I6" s="17">
        <f>'Form-Sb'!H152</f>
        <v>0</v>
      </c>
      <c r="J6" s="17">
        <f>'Form-Sb'!I152</f>
        <v>0</v>
      </c>
      <c r="K6" s="17">
        <f>'Form-Sb'!H167</f>
        <v>0</v>
      </c>
      <c r="L6" s="17">
        <f>'Form-Sb'!I167</f>
        <v>0</v>
      </c>
      <c r="M6" s="17">
        <f>'Form-Sb'!H182</f>
        <v>0</v>
      </c>
      <c r="N6" s="17">
        <f>'Form-Sb'!I182</f>
        <v>0</v>
      </c>
    </row>
    <row r="7" spans="1:14" x14ac:dyDescent="0.35">
      <c r="A7" s="52"/>
      <c r="B7" s="16" t="s">
        <v>2482</v>
      </c>
      <c r="C7" s="16" t="s">
        <v>2483</v>
      </c>
      <c r="D7" s="16" t="s">
        <v>1060</v>
      </c>
      <c r="E7" s="17">
        <f>'Base line Parameters'!$E$65</f>
        <v>0</v>
      </c>
      <c r="F7" s="17">
        <f>'Base line Parameters'!$F$65</f>
        <v>0</v>
      </c>
      <c r="G7" s="17">
        <f>'Base line Parameters'!$E$65</f>
        <v>0</v>
      </c>
      <c r="H7" s="17">
        <f>'Base line Parameters'!$F$65</f>
        <v>0</v>
      </c>
      <c r="I7" s="17">
        <f>'Base line Parameters'!$E$65</f>
        <v>0</v>
      </c>
      <c r="J7" s="17">
        <f>'Base line Parameters'!$F$65</f>
        <v>0</v>
      </c>
      <c r="K7" s="17">
        <f>'Base line Parameters'!$E$65</f>
        <v>0</v>
      </c>
      <c r="L7" s="17">
        <f>'Base line Parameters'!$F$65</f>
        <v>0</v>
      </c>
      <c r="M7" s="17">
        <f>'Base line Parameters'!$E$65</f>
        <v>0</v>
      </c>
      <c r="N7" s="17">
        <f>'Base line Parameters'!$F$65</f>
        <v>0</v>
      </c>
    </row>
    <row r="8" spans="1:14" x14ac:dyDescent="0.35">
      <c r="A8" s="52"/>
      <c r="B8" s="16" t="s">
        <v>2484</v>
      </c>
      <c r="C8" s="16" t="s">
        <v>2485</v>
      </c>
      <c r="D8" s="16" t="s">
        <v>1519</v>
      </c>
      <c r="E8" s="17">
        <f>'Form-Sb'!H125</f>
        <v>0</v>
      </c>
      <c r="F8" s="17">
        <f>'Form-Sb'!I125</f>
        <v>0</v>
      </c>
      <c r="G8" s="17">
        <f>'Form-Sb'!H140</f>
        <v>0</v>
      </c>
      <c r="H8" s="17">
        <f>'Form-Sb'!I140</f>
        <v>0</v>
      </c>
      <c r="I8" s="17">
        <f>'Form-Sb'!H155</f>
        <v>0</v>
      </c>
      <c r="J8" s="17">
        <f>'Form-Sb'!I155</f>
        <v>0</v>
      </c>
      <c r="K8" s="17">
        <f>'Form-Sb'!H170</f>
        <v>0</v>
      </c>
      <c r="L8" s="17">
        <f>'Form-Sb'!I170</f>
        <v>0</v>
      </c>
      <c r="M8" s="17">
        <f>'Form-Sb'!H185</f>
        <v>0</v>
      </c>
      <c r="N8" s="17">
        <f>'Form-Sb'!I185</f>
        <v>0</v>
      </c>
    </row>
    <row r="9" spans="1:14" x14ac:dyDescent="0.35">
      <c r="A9" s="52"/>
      <c r="B9" s="16" t="s">
        <v>2486</v>
      </c>
      <c r="C9" s="16" t="s">
        <v>2487</v>
      </c>
      <c r="D9" s="16" t="s">
        <v>2488</v>
      </c>
      <c r="E9" s="17">
        <f t="shared" ref="E9:N9" si="0">IF(E8=0, 0, E6/(E8))</f>
        <v>0</v>
      </c>
      <c r="F9" s="17">
        <f t="shared" si="0"/>
        <v>0</v>
      </c>
      <c r="G9" s="17">
        <f t="shared" si="0"/>
        <v>0</v>
      </c>
      <c r="H9" s="17">
        <f t="shared" si="0"/>
        <v>0</v>
      </c>
      <c r="I9" s="17">
        <f t="shared" si="0"/>
        <v>0</v>
      </c>
      <c r="J9" s="17">
        <f t="shared" si="0"/>
        <v>0</v>
      </c>
      <c r="K9" s="17">
        <f t="shared" si="0"/>
        <v>0</v>
      </c>
      <c r="L9" s="17">
        <f t="shared" si="0"/>
        <v>0</v>
      </c>
      <c r="M9" s="17">
        <f t="shared" si="0"/>
        <v>0</v>
      </c>
      <c r="N9" s="17">
        <f t="shared" si="0"/>
        <v>0</v>
      </c>
    </row>
    <row r="10" spans="1:14" ht="29" customHeight="1" x14ac:dyDescent="0.35">
      <c r="A10" s="52"/>
      <c r="B10" s="18" t="s">
        <v>2489</v>
      </c>
      <c r="C10" s="16" t="s">
        <v>2490</v>
      </c>
      <c r="D10" s="16" t="s">
        <v>1333</v>
      </c>
      <c r="E10" s="17">
        <f>'Form-Sb'!H131</f>
        <v>0</v>
      </c>
      <c r="F10" s="17">
        <f>'Form-Sb'!I131</f>
        <v>0</v>
      </c>
      <c r="G10" s="270">
        <f>'Form-Sb'!H146</f>
        <v>0</v>
      </c>
      <c r="H10" s="270">
        <f>'Form-Sb'!I146</f>
        <v>0</v>
      </c>
      <c r="I10" s="270">
        <f>'Form-Sb'!H161</f>
        <v>0</v>
      </c>
      <c r="J10" s="270">
        <f>'Form-Sb'!I161</f>
        <v>0</v>
      </c>
      <c r="K10" s="270">
        <f>'Form-Sb'!H176</f>
        <v>0</v>
      </c>
      <c r="L10" s="270">
        <f>'Form-Sb'!I176</f>
        <v>0</v>
      </c>
      <c r="M10" s="270">
        <f>'Form-Sb'!H191</f>
        <v>0</v>
      </c>
      <c r="N10" s="270">
        <f>'Form-Sb'!I191</f>
        <v>0</v>
      </c>
    </row>
    <row r="11" spans="1:14" ht="29" customHeight="1" x14ac:dyDescent="0.35">
      <c r="A11" s="52"/>
      <c r="B11" s="271" t="s">
        <v>2491</v>
      </c>
      <c r="C11" s="16" t="s">
        <v>2492</v>
      </c>
      <c r="D11" s="272" t="s">
        <v>2493</v>
      </c>
      <c r="E11" s="273">
        <f>'Form-Sb'!H132</f>
        <v>0</v>
      </c>
      <c r="F11" s="273">
        <f>'Form-Sb'!I132</f>
        <v>0</v>
      </c>
      <c r="G11" s="270">
        <f>'Form-Sb'!H147</f>
        <v>0</v>
      </c>
      <c r="H11" s="270">
        <f>'Form-Sb'!I147</f>
        <v>0</v>
      </c>
      <c r="I11" s="270">
        <f>'Form-Sb'!H162</f>
        <v>0</v>
      </c>
      <c r="J11" s="270">
        <f>'Form-Sb'!I162</f>
        <v>0</v>
      </c>
      <c r="K11" s="270">
        <f>'Form-Sb'!H177</f>
        <v>0</v>
      </c>
      <c r="L11" s="270">
        <f>'Form-Sb'!I177</f>
        <v>0</v>
      </c>
      <c r="M11" s="270">
        <f>'Form-Sb'!H192</f>
        <v>0</v>
      </c>
      <c r="N11" s="270">
        <f>'Form-Sb'!I192</f>
        <v>0</v>
      </c>
    </row>
    <row r="12" spans="1:14" ht="29" customHeight="1" x14ac:dyDescent="0.35">
      <c r="A12" s="52"/>
      <c r="B12" s="271" t="s">
        <v>2494</v>
      </c>
      <c r="C12" s="16" t="s">
        <v>2495</v>
      </c>
      <c r="D12" s="272" t="s">
        <v>2493</v>
      </c>
      <c r="E12" s="273">
        <f>'Form-Sb'!H129</f>
        <v>0</v>
      </c>
      <c r="F12" s="273">
        <f>'Form-Sb'!I129</f>
        <v>0</v>
      </c>
      <c r="G12" s="17">
        <f>'Form-Sb'!H144</f>
        <v>0</v>
      </c>
      <c r="H12" s="17">
        <f>'Form-Sb'!I144</f>
        <v>0</v>
      </c>
      <c r="I12" s="17">
        <f>'Form-Sb'!H159</f>
        <v>0</v>
      </c>
      <c r="J12" s="17">
        <f>'Form-Sb'!I159</f>
        <v>0</v>
      </c>
      <c r="K12" s="17">
        <f>'Form-Sb'!H174</f>
        <v>0</v>
      </c>
      <c r="L12" s="17">
        <f>'Form-Sb'!I174</f>
        <v>0</v>
      </c>
      <c r="M12" s="17">
        <f>'Form-Sb'!H189</f>
        <v>0</v>
      </c>
      <c r="N12" s="17">
        <f>'Form-Sb'!I189</f>
        <v>0</v>
      </c>
    </row>
    <row r="13" spans="1:14" x14ac:dyDescent="0.35">
      <c r="A13" s="1086" t="s">
        <v>2496</v>
      </c>
      <c r="B13" s="930"/>
      <c r="C13" s="930"/>
      <c r="D13" s="930"/>
      <c r="E13" s="930"/>
      <c r="F13" s="930"/>
      <c r="G13" s="930"/>
      <c r="H13" s="930"/>
      <c r="I13" s="930"/>
      <c r="J13" s="930"/>
      <c r="K13" s="930"/>
      <c r="L13" s="930"/>
      <c r="M13" s="930"/>
      <c r="N13" s="931"/>
    </row>
    <row r="14" spans="1:14" ht="43.5" customHeight="1" x14ac:dyDescent="0.35">
      <c r="A14" s="52"/>
      <c r="B14" s="16" t="s">
        <v>2497</v>
      </c>
      <c r="C14" s="274" t="s">
        <v>2498</v>
      </c>
      <c r="D14" s="16" t="s">
        <v>2499</v>
      </c>
      <c r="E14" s="17">
        <f>'Form-Sb'!H123</f>
        <v>0</v>
      </c>
      <c r="F14" s="17">
        <f>IF(F9&lt;E9, E14+0.4673*(E9-F9),E14)</f>
        <v>0</v>
      </c>
      <c r="G14" s="17">
        <f>'Form-Sb'!H138</f>
        <v>0</v>
      </c>
      <c r="H14" s="17">
        <f>IF(H9&lt;G9, G14+0.4673*(G9-H9),G14)</f>
        <v>0</v>
      </c>
      <c r="I14" s="17">
        <f>'Form-Sb'!H153</f>
        <v>0</v>
      </c>
      <c r="J14" s="17">
        <f>IF(J9&lt;I9, I14+0.4673*(I9-J9),I14)</f>
        <v>0</v>
      </c>
      <c r="K14" s="17">
        <f>'Form-Sb'!H168</f>
        <v>0</v>
      </c>
      <c r="L14" s="17">
        <f>IF(L9&lt;K9, K14+0.4673*(K9-L9),K14)</f>
        <v>0</v>
      </c>
      <c r="M14" s="17">
        <f>'Form-Sb'!H183</f>
        <v>0</v>
      </c>
      <c r="N14" s="17">
        <f>IF(N9&lt;M9, M14+0.4673*(M9-N9),M14)</f>
        <v>0</v>
      </c>
    </row>
    <row r="15" spans="1:14" ht="29" customHeight="1" x14ac:dyDescent="0.35">
      <c r="A15" s="52"/>
      <c r="B15" s="16" t="s">
        <v>2500</v>
      </c>
      <c r="C15" s="18" t="s">
        <v>2501</v>
      </c>
      <c r="D15" s="16" t="s">
        <v>2499</v>
      </c>
      <c r="E15" s="17"/>
      <c r="F15" s="17">
        <f>F14-E14</f>
        <v>0</v>
      </c>
      <c r="G15" s="17"/>
      <c r="H15" s="17">
        <f>H14-G14</f>
        <v>0</v>
      </c>
      <c r="I15" s="17"/>
      <c r="J15" s="17">
        <f>J14-I14</f>
        <v>0</v>
      </c>
      <c r="K15" s="17"/>
      <c r="L15" s="17">
        <f>L14-K14</f>
        <v>0</v>
      </c>
      <c r="M15" s="17"/>
      <c r="N15" s="17">
        <f>N14-M14</f>
        <v>0</v>
      </c>
    </row>
    <row r="16" spans="1:14" ht="43.5" customHeight="1" x14ac:dyDescent="0.35">
      <c r="A16" s="259"/>
      <c r="B16" s="22" t="s">
        <v>2502</v>
      </c>
      <c r="C16" s="275" t="s">
        <v>2503</v>
      </c>
      <c r="D16" s="14" t="s">
        <v>1139</v>
      </c>
      <c r="E16" s="276"/>
      <c r="F16" s="276">
        <f>(0.1829*F9+197.41)*(F10-E10)</f>
        <v>0</v>
      </c>
      <c r="G16" s="276"/>
      <c r="H16" s="276">
        <f>(0.1829*H9+197.41)*(H10-G10)</f>
        <v>0</v>
      </c>
      <c r="I16" s="276"/>
      <c r="J16" s="276">
        <f>(0.1829*J9+197.41)*(J10-I10)</f>
        <v>0</v>
      </c>
      <c r="K16" s="276"/>
      <c r="L16" s="276">
        <f>(0.1829*L9+197.41)*(L10-K10)</f>
        <v>0</v>
      </c>
      <c r="M16" s="276"/>
      <c r="N16" s="276">
        <f>(0.1829*N9+197.41)*(N10-M10)</f>
        <v>0</v>
      </c>
    </row>
    <row r="17" spans="1:14" ht="29" customHeight="1" x14ac:dyDescent="0.35">
      <c r="A17" s="13"/>
      <c r="B17" s="22" t="s">
        <v>2504</v>
      </c>
      <c r="C17" s="14" t="s">
        <v>2505</v>
      </c>
      <c r="D17" s="14" t="s">
        <v>1139</v>
      </c>
      <c r="E17" s="277"/>
      <c r="F17" s="277">
        <f>F6*F15/1000</f>
        <v>0</v>
      </c>
      <c r="G17" s="277"/>
      <c r="H17" s="277">
        <f>H6*H15/1000</f>
        <v>0</v>
      </c>
      <c r="I17" s="277"/>
      <c r="J17" s="277">
        <f>J6*J15/1000</f>
        <v>0</v>
      </c>
      <c r="K17" s="277"/>
      <c r="L17" s="277">
        <f>L6*L15/1000</f>
        <v>0</v>
      </c>
      <c r="M17" s="277"/>
      <c r="N17" s="277">
        <f>N6*N15/1000</f>
        <v>0</v>
      </c>
    </row>
    <row r="18" spans="1:14" x14ac:dyDescent="0.35">
      <c r="A18" s="52"/>
      <c r="B18" s="20"/>
      <c r="C18" s="20"/>
      <c r="D18" s="20"/>
      <c r="E18" s="20"/>
      <c r="F18" s="20"/>
      <c r="G18" s="20"/>
      <c r="H18" s="20"/>
      <c r="I18" s="20"/>
      <c r="J18" s="20"/>
      <c r="K18" s="20"/>
      <c r="L18" s="20"/>
      <c r="M18" s="20"/>
      <c r="N18" s="20"/>
    </row>
    <row r="19" spans="1:14" x14ac:dyDescent="0.35">
      <c r="A19" s="1086" t="s">
        <v>2506</v>
      </c>
      <c r="B19" s="930"/>
      <c r="C19" s="930"/>
      <c r="D19" s="930"/>
      <c r="E19" s="930"/>
      <c r="F19" s="930"/>
      <c r="G19" s="930"/>
      <c r="H19" s="930"/>
      <c r="I19" s="930"/>
      <c r="J19" s="930"/>
      <c r="K19" s="930"/>
      <c r="L19" s="930"/>
      <c r="M19" s="930"/>
      <c r="N19" s="931"/>
    </row>
    <row r="20" spans="1:14" ht="43.5" customHeight="1" x14ac:dyDescent="0.35">
      <c r="A20" s="52"/>
      <c r="B20" s="20" t="s">
        <v>2507</v>
      </c>
      <c r="C20" s="3" t="s">
        <v>2508</v>
      </c>
      <c r="D20" s="20" t="s">
        <v>2509</v>
      </c>
      <c r="E20" s="17">
        <f>'Form-Sb'!H124</f>
        <v>0</v>
      </c>
      <c r="F20" s="17">
        <f>IF(F9&lt;E9, E20+0.0943*(E9-F9), E20)</f>
        <v>0</v>
      </c>
      <c r="G20" s="17">
        <f>'Form-Sb'!H139</f>
        <v>0</v>
      </c>
      <c r="H20" s="17">
        <f>IF(H9&lt;G9, G20+0.0943*(G9-H9), G20)</f>
        <v>0</v>
      </c>
      <c r="I20" s="17">
        <f>'Form-Sb'!H154</f>
        <v>0</v>
      </c>
      <c r="J20" s="17">
        <f>IF(J9&lt;I9, I20+0.0943*(I9-J9), I20)</f>
        <v>0</v>
      </c>
      <c r="K20" s="17">
        <f>'Form-Sb'!H169</f>
        <v>0</v>
      </c>
      <c r="L20" s="17">
        <f>IF(L9&lt;K9, K20+0.0943*(K9-L9), K20)</f>
        <v>0</v>
      </c>
      <c r="M20" s="17">
        <f>'Form-Sb'!H184</f>
        <v>0</v>
      </c>
      <c r="N20" s="17">
        <f>IF(N9&lt;M9, M20+0.0943*(M9-N9), M20)</f>
        <v>0</v>
      </c>
    </row>
    <row r="21" spans="1:14" ht="29" customHeight="1" x14ac:dyDescent="0.35">
      <c r="A21" s="52"/>
      <c r="B21" s="20" t="s">
        <v>2510</v>
      </c>
      <c r="C21" s="3" t="s">
        <v>2511</v>
      </c>
      <c r="D21" s="20" t="s">
        <v>2509</v>
      </c>
      <c r="E21" s="278"/>
      <c r="F21" s="17">
        <f>F20-E20</f>
        <v>0</v>
      </c>
      <c r="G21" s="279"/>
      <c r="H21" s="17">
        <f>H20-G20</f>
        <v>0</v>
      </c>
      <c r="I21" s="279"/>
      <c r="J21" s="17">
        <f>J20-I20</f>
        <v>0</v>
      </c>
      <c r="K21" s="279"/>
      <c r="L21" s="17">
        <f>L20-K20</f>
        <v>0</v>
      </c>
      <c r="M21" s="279"/>
      <c r="N21" s="17">
        <f>N20-M20</f>
        <v>0</v>
      </c>
    </row>
    <row r="22" spans="1:14" ht="43.5" customHeight="1" x14ac:dyDescent="0.35">
      <c r="A22" s="13"/>
      <c r="B22" s="22" t="s">
        <v>2512</v>
      </c>
      <c r="C22" s="24" t="s">
        <v>2513</v>
      </c>
      <c r="D22" s="14" t="s">
        <v>1139</v>
      </c>
      <c r="E22" s="280"/>
      <c r="F22" s="277">
        <f>F6*F21*F7/10^6</f>
        <v>0</v>
      </c>
      <c r="G22" s="281"/>
      <c r="H22" s="277">
        <f>H6*H21*H7/10^6</f>
        <v>0</v>
      </c>
      <c r="I22" s="281"/>
      <c r="J22" s="277">
        <f>J6*J21*J7/10^6</f>
        <v>0</v>
      </c>
      <c r="K22" s="281"/>
      <c r="L22" s="277">
        <f>L6*L21*L7/10^6</f>
        <v>0</v>
      </c>
      <c r="M22" s="281"/>
      <c r="N22" s="277">
        <f>N6*N21*N7/10^6</f>
        <v>0</v>
      </c>
    </row>
    <row r="23" spans="1:14" ht="58" customHeight="1" x14ac:dyDescent="0.35">
      <c r="A23" s="13"/>
      <c r="B23" s="22" t="s">
        <v>2514</v>
      </c>
      <c r="C23" s="25" t="s">
        <v>2515</v>
      </c>
      <c r="D23" s="14" t="s">
        <v>1139</v>
      </c>
      <c r="E23" s="280"/>
      <c r="F23" s="277">
        <f>IF(F11&gt;E11,(F11-E11)*F7/10, (F11-E11)*E7/10)</f>
        <v>0</v>
      </c>
      <c r="G23" s="281"/>
      <c r="H23" s="277">
        <f>IF(H11&gt;G11,(H11-G11)*H7/10, (H11-G11)*G7/10)</f>
        <v>0</v>
      </c>
      <c r="I23" s="281"/>
      <c r="J23" s="277">
        <f>IF(J11&gt;I11,(J11-I11)*J7/10, (J11-I11)*I7/10)</f>
        <v>0</v>
      </c>
      <c r="K23" s="281"/>
      <c r="L23" s="277">
        <f>IF(L11&gt;K11,(L11-K11)*L7/10, (L11-K11)*K7/10)</f>
        <v>0</v>
      </c>
      <c r="M23" s="281"/>
      <c r="N23" s="277">
        <f>IF(N11&gt;M11,(N11-M11)*N7/10, (N11-M11)*M7/10)</f>
        <v>0</v>
      </c>
    </row>
    <row r="24" spans="1:14" ht="58" customHeight="1" x14ac:dyDescent="0.35">
      <c r="A24" s="13"/>
      <c r="B24" s="22" t="s">
        <v>2516</v>
      </c>
      <c r="C24" s="25" t="s">
        <v>2517</v>
      </c>
      <c r="D24" s="14" t="s">
        <v>1139</v>
      </c>
      <c r="E24" s="280"/>
      <c r="F24" s="277">
        <f>IF(F12&gt;E12,(F12-E12)*F7/10, (F12-E12)*E7/10)</f>
        <v>0</v>
      </c>
      <c r="G24" s="281"/>
      <c r="H24" s="277">
        <f>IF(H12&gt;G12,(H12-G12)*H7/10, (H12-G12)*G7/10)</f>
        <v>0</v>
      </c>
      <c r="I24" s="281"/>
      <c r="J24" s="277">
        <f>IF(J12&gt;I12,(J12-I12)*J7/10, (J12-I12)*I7/10)</f>
        <v>0</v>
      </c>
      <c r="K24" s="281"/>
      <c r="L24" s="277">
        <f>IF(L12&gt;K12,(L12-K12)*L7/10, (L12-K12)*K7/10)</f>
        <v>0</v>
      </c>
      <c r="M24" s="281"/>
      <c r="N24" s="277">
        <f>IF(N12&gt;M12,(N12-M12)*N7/10, (N12-M12)*M7/10)</f>
        <v>0</v>
      </c>
    </row>
    <row r="25" spans="1:14" ht="43.5" customHeight="1" x14ac:dyDescent="0.35">
      <c r="A25" s="13"/>
      <c r="B25" s="22" t="s">
        <v>2518</v>
      </c>
      <c r="C25" s="24" t="s">
        <v>2519</v>
      </c>
      <c r="D25" s="14" t="s">
        <v>1139</v>
      </c>
      <c r="E25" s="280"/>
      <c r="F25" s="277">
        <f>F16+F17+F22+F23+F24</f>
        <v>0</v>
      </c>
      <c r="G25" s="281"/>
      <c r="H25" s="277">
        <f>H16+H17+H22+H23+H24</f>
        <v>0</v>
      </c>
      <c r="I25" s="281"/>
      <c r="J25" s="277">
        <f>J16+J17+J22+J23+J24</f>
        <v>0</v>
      </c>
      <c r="K25" s="281"/>
      <c r="L25" s="277">
        <f>L16+L17+L22+L23+L24</f>
        <v>0</v>
      </c>
      <c r="M25" s="281"/>
      <c r="N25" s="277">
        <f>N16+N17+N22+N23+N24</f>
        <v>0</v>
      </c>
    </row>
    <row r="26" spans="1:14" ht="43.5" customHeight="1" x14ac:dyDescent="0.35">
      <c r="A26" s="13"/>
      <c r="B26" s="22" t="s">
        <v>2520</v>
      </c>
      <c r="C26" s="25" t="s">
        <v>2521</v>
      </c>
      <c r="D26" s="14" t="s">
        <v>1139</v>
      </c>
      <c r="E26" s="282">
        <f>IF(AND(E3="yes",F3="Yes"),F25+H25+J25+L25+N25,0)</f>
        <v>0</v>
      </c>
      <c r="F26" s="283"/>
      <c r="G26" s="283"/>
      <c r="H26" s="283"/>
      <c r="I26" s="283"/>
      <c r="J26" s="283"/>
      <c r="K26" s="283"/>
      <c r="L26" s="283"/>
      <c r="M26" s="283"/>
      <c r="N26" s="284"/>
    </row>
    <row r="27" spans="1:14" x14ac:dyDescent="0.35">
      <c r="A27" s="23" t="s">
        <v>2522</v>
      </c>
      <c r="B27" s="12"/>
      <c r="C27" s="12"/>
      <c r="D27" s="12"/>
      <c r="E27" s="12"/>
      <c r="F27" s="12"/>
      <c r="G27" s="12"/>
      <c r="H27" s="12"/>
      <c r="I27" s="12"/>
      <c r="J27" s="12"/>
      <c r="K27" s="12"/>
      <c r="L27" s="12"/>
      <c r="M27" s="12"/>
      <c r="N27" s="12"/>
    </row>
    <row r="28" spans="1:14" x14ac:dyDescent="0.35">
      <c r="A28" s="285"/>
      <c r="B28" s="1092" t="s">
        <v>2523</v>
      </c>
      <c r="C28" s="938"/>
      <c r="D28" s="938"/>
      <c r="E28" s="286"/>
      <c r="F28" s="286"/>
      <c r="G28" s="286"/>
      <c r="H28" s="286"/>
      <c r="I28" s="286"/>
      <c r="J28" s="286"/>
      <c r="K28" s="286"/>
      <c r="L28" s="286"/>
      <c r="M28" s="286"/>
      <c r="N28" s="286"/>
    </row>
    <row r="29" spans="1:14" x14ac:dyDescent="0.35">
      <c r="A29" s="285"/>
      <c r="B29" s="1090" t="s">
        <v>2524</v>
      </c>
      <c r="C29" s="938"/>
      <c r="D29" s="938"/>
      <c r="E29" s="286"/>
      <c r="F29" s="286"/>
      <c r="G29" s="286"/>
      <c r="H29" s="286"/>
      <c r="I29" s="286"/>
      <c r="J29" s="286"/>
      <c r="K29" s="286"/>
      <c r="L29" s="286"/>
      <c r="M29" s="286"/>
      <c r="N29" s="286"/>
    </row>
    <row r="30" spans="1:14" x14ac:dyDescent="0.35">
      <c r="A30" s="285"/>
      <c r="B30" s="1090" t="s">
        <v>2525</v>
      </c>
      <c r="C30" s="938"/>
      <c r="D30" s="938"/>
      <c r="E30" s="286"/>
      <c r="F30" s="286"/>
      <c r="G30" s="286"/>
      <c r="H30" s="286"/>
      <c r="I30" s="286"/>
      <c r="J30" s="286"/>
      <c r="K30" s="286"/>
      <c r="L30" s="286"/>
      <c r="M30" s="286"/>
      <c r="N30" s="286"/>
    </row>
    <row r="31" spans="1:14" x14ac:dyDescent="0.35">
      <c r="A31" s="285"/>
      <c r="B31" s="1099" t="s">
        <v>2526</v>
      </c>
      <c r="C31" s="938"/>
      <c r="D31" s="938"/>
      <c r="E31" s="286"/>
      <c r="F31" s="286"/>
      <c r="G31" s="286"/>
      <c r="H31" s="286"/>
      <c r="I31" s="286"/>
      <c r="J31" s="286"/>
      <c r="K31" s="286"/>
      <c r="L31" s="286"/>
      <c r="M31" s="286"/>
      <c r="N31" s="286"/>
    </row>
    <row r="32" spans="1:14" x14ac:dyDescent="0.35">
      <c r="A32" s="285"/>
      <c r="B32" s="1090" t="s">
        <v>2527</v>
      </c>
      <c r="C32" s="938"/>
      <c r="D32" s="938"/>
      <c r="E32" s="286"/>
      <c r="F32" s="286"/>
      <c r="G32" s="286"/>
      <c r="H32" s="286"/>
      <c r="I32" s="286"/>
      <c r="J32" s="286"/>
      <c r="K32" s="286"/>
      <c r="L32" s="286"/>
      <c r="M32" s="286"/>
      <c r="N32" s="286"/>
    </row>
    <row r="33" spans="1:4" ht="29.5" customHeight="1" x14ac:dyDescent="0.35">
      <c r="A33" s="287" t="s">
        <v>2528</v>
      </c>
      <c r="B33" s="1096" t="s">
        <v>2529</v>
      </c>
      <c r="C33" s="938"/>
      <c r="D33" s="938"/>
    </row>
  </sheetData>
  <sheetProtection sheet="1"/>
  <mergeCells count="20">
    <mergeCell ref="B30:D30"/>
    <mergeCell ref="A3:B3"/>
    <mergeCell ref="B33:D33"/>
    <mergeCell ref="G3:N3"/>
    <mergeCell ref="A2:B2"/>
    <mergeCell ref="B32:D32"/>
    <mergeCell ref="A4:B4"/>
    <mergeCell ref="G4:H4"/>
    <mergeCell ref="I4:J4"/>
    <mergeCell ref="M4:N4"/>
    <mergeCell ref="B31:D31"/>
    <mergeCell ref="A19:N19"/>
    <mergeCell ref="K4:L4"/>
    <mergeCell ref="C3:D3"/>
    <mergeCell ref="A13:N13"/>
    <mergeCell ref="B29:D29"/>
    <mergeCell ref="A1:N1"/>
    <mergeCell ref="B28:D28"/>
    <mergeCell ref="E4:F4"/>
    <mergeCell ref="C2:N2"/>
  </mergeCells>
  <pageMargins left="0.31496062992125978" right="0.11811023622047249" top="0" bottom="0" header="0.31496062992125978" footer="0.31496062992125978"/>
  <pageSetup paperSize="9" scale="65" orientation="landscape" horizontalDpi="4294967295" verticalDpi="4294967295"/>
  <headerFooter>
    <oddFooter>&amp;C&amp;P&amp;RNote: Not to be quoted and not to be published without prior permission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1"/>
  <dimension ref="A1:F14"/>
  <sheetViews>
    <sheetView topLeftCell="A3" workbookViewId="0">
      <selection activeCell="E11" sqref="E11"/>
    </sheetView>
  </sheetViews>
  <sheetFormatPr defaultColWidth="0" defaultRowHeight="14.5" zeroHeight="1" x14ac:dyDescent="0.35"/>
  <cols>
    <col min="1" max="1" width="5.81640625" style="1" customWidth="1"/>
    <col min="2" max="2" width="33.81640625" customWidth="1"/>
    <col min="3" max="3" width="27.54296875" customWidth="1"/>
    <col min="4" max="4" width="13.453125" customWidth="1"/>
    <col min="5" max="5" width="12.81640625" customWidth="1"/>
    <col min="6" max="6" width="16.453125" customWidth="1"/>
  </cols>
  <sheetData>
    <row r="1" spans="1:6" s="156" customFormat="1" ht="23.5" customHeight="1" x14ac:dyDescent="0.55000000000000004">
      <c r="A1" s="1102" t="s">
        <v>2530</v>
      </c>
      <c r="B1" s="930"/>
      <c r="C1" s="930"/>
      <c r="D1" s="930"/>
      <c r="E1" s="930"/>
      <c r="F1" s="931"/>
    </row>
    <row r="2" spans="1:6" s="157" customFormat="1" ht="18.5" customHeight="1" x14ac:dyDescent="0.45">
      <c r="A2" s="1103" t="str">
        <f>'Summary Sheet'!A3:B3</f>
        <v>Obligated Entity Name</v>
      </c>
      <c r="B2" s="931"/>
      <c r="C2" s="1101" t="str">
        <f>'Summary Sheet'!C3:D3</f>
        <v xml:space="preserve">  </v>
      </c>
      <c r="D2" s="930"/>
      <c r="E2" s="930"/>
      <c r="F2" s="931"/>
    </row>
    <row r="3" spans="1:6" x14ac:dyDescent="0.35">
      <c r="A3" s="1068" t="s">
        <v>2470</v>
      </c>
      <c r="B3" s="931"/>
      <c r="C3" s="5" t="s">
        <v>1512</v>
      </c>
      <c r="D3" s="158"/>
      <c r="E3" s="158" t="str">
        <f>'Form-Sb'!H882</f>
        <v>No</v>
      </c>
      <c r="F3" s="159">
        <f>'Form-Sb'!I882</f>
        <v>0</v>
      </c>
    </row>
    <row r="4" spans="1:6" ht="29" customHeight="1" x14ac:dyDescent="0.35">
      <c r="A4" s="15" t="s">
        <v>2124</v>
      </c>
      <c r="B4" s="22" t="s">
        <v>999</v>
      </c>
      <c r="C4" s="22" t="s">
        <v>2476</v>
      </c>
      <c r="D4" s="22" t="s">
        <v>2477</v>
      </c>
      <c r="E4" s="185" t="str">
        <f>'Base line Parameters'!E5</f>
        <v>Baseline Year(s)</v>
      </c>
      <c r="F4" s="185" t="str">
        <f>'Base line Parameters'!F5</f>
        <v xml:space="preserve">Current/Assessment /Target Year   </v>
      </c>
    </row>
    <row r="5" spans="1:6" x14ac:dyDescent="0.35">
      <c r="A5" s="160"/>
      <c r="B5" s="161" t="s">
        <v>2531</v>
      </c>
      <c r="C5" s="161" t="s">
        <v>2532</v>
      </c>
      <c r="D5" s="161" t="s">
        <v>1336</v>
      </c>
      <c r="E5" s="162">
        <f>'Form-Sb'!H322</f>
        <v>953.28</v>
      </c>
      <c r="F5" s="162">
        <f>'Form-Sb'!I322</f>
        <v>0</v>
      </c>
    </row>
    <row r="6" spans="1:6" x14ac:dyDescent="0.35">
      <c r="A6" s="52"/>
      <c r="B6" s="16" t="s">
        <v>2533</v>
      </c>
      <c r="C6" s="161" t="s">
        <v>2534</v>
      </c>
      <c r="D6" s="16" t="s">
        <v>1060</v>
      </c>
      <c r="E6" s="163">
        <f>'Form-Sb'!H824</f>
        <v>0</v>
      </c>
      <c r="F6" s="163">
        <f>'Form-Sb'!I824</f>
        <v>0</v>
      </c>
    </row>
    <row r="7" spans="1:6" x14ac:dyDescent="0.35">
      <c r="A7" s="52"/>
      <c r="B7" s="16" t="s">
        <v>1934</v>
      </c>
      <c r="C7" s="161" t="s">
        <v>2535</v>
      </c>
      <c r="D7" s="16" t="s">
        <v>1057</v>
      </c>
      <c r="E7" s="163">
        <f>'Form-Sb'!H848</f>
        <v>0</v>
      </c>
      <c r="F7" s="163">
        <f>'Form-Sb'!I848</f>
        <v>0</v>
      </c>
    </row>
    <row r="8" spans="1:6" x14ac:dyDescent="0.35">
      <c r="A8" s="52"/>
      <c r="B8" s="16" t="s">
        <v>1936</v>
      </c>
      <c r="C8" s="161" t="s">
        <v>2536</v>
      </c>
      <c r="D8" s="16" t="s">
        <v>1057</v>
      </c>
      <c r="E8" s="163">
        <f>'Form-Sb'!H849</f>
        <v>0</v>
      </c>
      <c r="F8" s="163">
        <f>'Form-Sb'!I849</f>
        <v>0</v>
      </c>
    </row>
    <row r="9" spans="1:6" x14ac:dyDescent="0.35">
      <c r="A9" s="52"/>
      <c r="B9" s="16" t="s">
        <v>1937</v>
      </c>
      <c r="C9" s="161" t="s">
        <v>2537</v>
      </c>
      <c r="D9" s="16" t="s">
        <v>1057</v>
      </c>
      <c r="E9" s="163">
        <f>'Form-Sb'!H850</f>
        <v>0</v>
      </c>
      <c r="F9" s="163">
        <f>'Form-Sb'!I850</f>
        <v>0</v>
      </c>
    </row>
    <row r="10" spans="1:6" x14ac:dyDescent="0.35">
      <c r="A10" s="52"/>
      <c r="B10" s="16" t="s">
        <v>1938</v>
      </c>
      <c r="C10" s="161" t="s">
        <v>2538</v>
      </c>
      <c r="D10" s="16" t="s">
        <v>1867</v>
      </c>
      <c r="E10" s="163">
        <f>'Form-Sb'!H851</f>
        <v>0</v>
      </c>
      <c r="F10" s="163">
        <f>'Form-Sb'!I851</f>
        <v>0</v>
      </c>
    </row>
    <row r="11" spans="1:6" ht="29" customHeight="1" x14ac:dyDescent="0.35">
      <c r="A11" s="52"/>
      <c r="B11" s="16" t="s">
        <v>2539</v>
      </c>
      <c r="C11" s="18" t="s">
        <v>2540</v>
      </c>
      <c r="D11" s="16" t="s">
        <v>1057</v>
      </c>
      <c r="E11" s="164">
        <f>IF(E10=0, 0, 92.5-(50*E7+630*(E8+9*E9))/E10)</f>
        <v>0</v>
      </c>
      <c r="F11" s="164">
        <f>IF(F10=0, 0, 92.5-(50*F7+630*(F8+9*F9))/F10)</f>
        <v>0</v>
      </c>
    </row>
    <row r="12" spans="1:6" x14ac:dyDescent="0.35">
      <c r="A12" s="52"/>
      <c r="B12" s="18" t="s">
        <v>2541</v>
      </c>
      <c r="C12" s="16" t="s">
        <v>2542</v>
      </c>
      <c r="D12" s="16" t="s">
        <v>1060</v>
      </c>
      <c r="E12" s="163"/>
      <c r="F12" s="164">
        <f>IF(F11=0, 0, E6*E11/F11)</f>
        <v>0</v>
      </c>
    </row>
    <row r="13" spans="1:6" x14ac:dyDescent="0.35">
      <c r="A13" s="52"/>
      <c r="B13" s="18" t="s">
        <v>2543</v>
      </c>
      <c r="C13" s="16" t="s">
        <v>2544</v>
      </c>
      <c r="D13" s="16" t="s">
        <v>1060</v>
      </c>
      <c r="E13" s="163"/>
      <c r="F13" s="164">
        <f>IF(F12=0, 0, F12-$E$6)</f>
        <v>0</v>
      </c>
    </row>
    <row r="14" spans="1:6" ht="29" customHeight="1" x14ac:dyDescent="0.35">
      <c r="A14" s="13"/>
      <c r="B14" s="22" t="s">
        <v>2545</v>
      </c>
      <c r="C14" s="14" t="s">
        <v>2546</v>
      </c>
      <c r="D14" s="14" t="s">
        <v>1139</v>
      </c>
      <c r="E14" s="165"/>
      <c r="F14" s="166">
        <f>IF(AND(E3="Yes",F3="Yes"),IF(F13*F5/10&gt;0,F13*F5/10,0),0)</f>
        <v>0</v>
      </c>
    </row>
  </sheetData>
  <sheetProtection sheet="1"/>
  <mergeCells count="4">
    <mergeCell ref="C2:F2"/>
    <mergeCell ref="A3:B3"/>
    <mergeCell ref="A1:F1"/>
    <mergeCell ref="A2:B2"/>
  </mergeCells>
  <printOptions horizontalCentered="1"/>
  <pageMargins left="0.11811023622047249" right="0.11811023622047249" top="0.74803149606299213" bottom="0.74803149606299213" header="0.31496062992125978" footer="0.31496062992125978"/>
  <pageSetup paperSize="9" scale="95" orientation="landscape"/>
  <headerFooter>
    <oddFooter>&amp;C&amp;P&amp;RNote: Not to be quoted and not to be published without prior permission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4"/>
  <dimension ref="A1:F14"/>
  <sheetViews>
    <sheetView workbookViewId="0">
      <selection activeCell="E9" sqref="E9"/>
    </sheetView>
  </sheetViews>
  <sheetFormatPr defaultColWidth="0" defaultRowHeight="14.5" zeroHeight="1" x14ac:dyDescent="0.35"/>
  <cols>
    <col min="1" max="1" width="5.81640625" style="1" customWidth="1"/>
    <col min="2" max="2" width="32" customWidth="1"/>
    <col min="3" max="3" width="28.453125" customWidth="1"/>
    <col min="4" max="4" width="17.1796875" customWidth="1"/>
    <col min="5" max="5" width="13.1796875" style="1" bestFit="1" customWidth="1"/>
    <col min="6" max="6" width="16.1796875" style="23" bestFit="1" customWidth="1"/>
  </cols>
  <sheetData>
    <row r="1" spans="1:6" ht="23.5" customHeight="1" x14ac:dyDescent="0.55000000000000004">
      <c r="A1" s="1102" t="s">
        <v>2547</v>
      </c>
      <c r="B1" s="930"/>
      <c r="C1" s="930"/>
      <c r="D1" s="930"/>
      <c r="E1" s="930"/>
      <c r="F1" s="931"/>
    </row>
    <row r="2" spans="1:6" ht="18.5" customHeight="1" x14ac:dyDescent="0.45">
      <c r="A2" s="1101" t="str">
        <f>'NF-2 Fuel Quality in CPP'!A2:B2</f>
        <v>Obligated Entity Name</v>
      </c>
      <c r="B2" s="931"/>
      <c r="C2" s="1101" t="str">
        <f>'NF-2 Fuel Quality in CPP'!C2:F2</f>
        <v xml:space="preserve">  </v>
      </c>
      <c r="D2" s="930"/>
      <c r="E2" s="930"/>
      <c r="F2" s="931"/>
    </row>
    <row r="3" spans="1:6" x14ac:dyDescent="0.35">
      <c r="A3" s="1068" t="s">
        <v>2470</v>
      </c>
      <c r="B3" s="931"/>
      <c r="C3" s="5" t="s">
        <v>1512</v>
      </c>
      <c r="D3" s="5"/>
      <c r="E3" s="5" t="str">
        <f>'Form-Sb'!H883</f>
        <v>No</v>
      </c>
      <c r="F3" s="5">
        <f>'Form-Sb'!I883</f>
        <v>0</v>
      </c>
    </row>
    <row r="4" spans="1:6" ht="29" customHeight="1" x14ac:dyDescent="0.35">
      <c r="A4" s="15" t="s">
        <v>2124</v>
      </c>
      <c r="B4" s="22" t="s">
        <v>999</v>
      </c>
      <c r="C4" s="22" t="s">
        <v>2476</v>
      </c>
      <c r="D4" s="22" t="s">
        <v>2477</v>
      </c>
      <c r="E4" s="185" t="str">
        <f>'Base line Parameters'!E5</f>
        <v>Baseline Year(s)</v>
      </c>
      <c r="F4" s="185" t="str">
        <f>'Base line Parameters'!F5</f>
        <v xml:space="preserve">Current/Assessment /Target Year   </v>
      </c>
    </row>
    <row r="5" spans="1:6" x14ac:dyDescent="0.35">
      <c r="A5" s="52"/>
      <c r="B5" s="16" t="s">
        <v>2548</v>
      </c>
      <c r="C5" s="16" t="s">
        <v>2549</v>
      </c>
      <c r="D5" s="16" t="s">
        <v>2127</v>
      </c>
      <c r="E5" s="163">
        <f>'Form-Sb'!H33/10^5</f>
        <v>0</v>
      </c>
      <c r="F5" s="163">
        <f>'Form-Sb'!I33/10^5</f>
        <v>0</v>
      </c>
    </row>
    <row r="6" spans="1:6" x14ac:dyDescent="0.35">
      <c r="A6" s="52"/>
      <c r="B6" s="16" t="s">
        <v>2550</v>
      </c>
      <c r="C6" s="16" t="s">
        <v>2551</v>
      </c>
      <c r="D6" s="16" t="s">
        <v>1867</v>
      </c>
      <c r="E6" s="163" t="e">
        <f>'Form-Sb'!H829</f>
        <v>#DIV/0!</v>
      </c>
      <c r="F6" s="163">
        <f>'Form-Sb'!I829</f>
        <v>0</v>
      </c>
    </row>
    <row r="7" spans="1:6" x14ac:dyDescent="0.35">
      <c r="A7" s="52"/>
      <c r="B7" s="16" t="s">
        <v>2552</v>
      </c>
      <c r="C7" s="16" t="s">
        <v>2553</v>
      </c>
      <c r="D7" s="16" t="s">
        <v>2554</v>
      </c>
      <c r="E7" s="167">
        <f>'Form-Sb'!H830</f>
        <v>0</v>
      </c>
      <c r="F7" s="163">
        <f>'Form-Sb'!I830</f>
        <v>0</v>
      </c>
    </row>
    <row r="8" spans="1:6" x14ac:dyDescent="0.35">
      <c r="A8" s="52"/>
      <c r="B8" s="16" t="s">
        <v>2482</v>
      </c>
      <c r="C8" s="16" t="s">
        <v>2483</v>
      </c>
      <c r="D8" s="16" t="s">
        <v>1060</v>
      </c>
      <c r="E8" s="163">
        <f>'Base line Parameters'!E65</f>
        <v>0</v>
      </c>
      <c r="F8" s="163">
        <f>'Base line Parameters'!F65</f>
        <v>0</v>
      </c>
    </row>
    <row r="9" spans="1:6" ht="43.5" customHeight="1" x14ac:dyDescent="0.35">
      <c r="A9" s="52"/>
      <c r="B9" s="16" t="s">
        <v>2555</v>
      </c>
      <c r="C9" s="18" t="s">
        <v>2556</v>
      </c>
      <c r="D9" s="16" t="s">
        <v>1057</v>
      </c>
      <c r="E9" s="164">
        <f>IF('Form-Sb'!H633=0, 0, 'Form-Sb'!H434*100/('Form-Sb'!H816))</f>
        <v>0</v>
      </c>
      <c r="F9" s="164">
        <f>IF('Form-Sb'!I633=0, 0, 'Form-Sb'!I434*100/('Form-Sb'!I816))</f>
        <v>0</v>
      </c>
    </row>
    <row r="10" spans="1:6" x14ac:dyDescent="0.35">
      <c r="A10" s="52"/>
      <c r="B10" s="16" t="s">
        <v>2557</v>
      </c>
      <c r="C10" s="18" t="s">
        <v>2558</v>
      </c>
      <c r="D10" s="16" t="s">
        <v>2559</v>
      </c>
      <c r="E10" s="163"/>
      <c r="F10" s="199" t="e">
        <f>E6+0.0954*(F9-E9)</f>
        <v>#DIV/0!</v>
      </c>
    </row>
    <row r="11" spans="1:6" x14ac:dyDescent="0.35">
      <c r="A11" s="52"/>
      <c r="B11" s="16" t="s">
        <v>2560</v>
      </c>
      <c r="C11" s="18" t="s">
        <v>2561</v>
      </c>
      <c r="D11" s="168" t="s">
        <v>2562</v>
      </c>
      <c r="E11" s="163"/>
      <c r="F11" s="199">
        <f>E7+0.022*(F9-E9)</f>
        <v>0</v>
      </c>
    </row>
    <row r="12" spans="1:6" x14ac:dyDescent="0.35">
      <c r="A12" s="52"/>
      <c r="B12" s="18" t="s">
        <v>2563</v>
      </c>
      <c r="C12" s="16" t="s">
        <v>2564</v>
      </c>
      <c r="D12" s="16" t="s">
        <v>1139</v>
      </c>
      <c r="E12" s="163"/>
      <c r="F12" s="199" t="e">
        <f>(F10-E6)*F5*100</f>
        <v>#DIV/0!</v>
      </c>
    </row>
    <row r="13" spans="1:6" x14ac:dyDescent="0.35">
      <c r="A13" s="52"/>
      <c r="B13" s="18" t="s">
        <v>2565</v>
      </c>
      <c r="C13" s="16" t="s">
        <v>2566</v>
      </c>
      <c r="D13" s="16" t="s">
        <v>1138</v>
      </c>
      <c r="E13" s="163"/>
      <c r="F13" s="17">
        <f>(F11-E7)*F5/10</f>
        <v>0</v>
      </c>
    </row>
    <row r="14" spans="1:6" ht="49.5" customHeight="1" x14ac:dyDescent="0.35">
      <c r="A14" s="13"/>
      <c r="B14" s="22" t="s">
        <v>2567</v>
      </c>
      <c r="C14" s="14" t="s">
        <v>2568</v>
      </c>
      <c r="D14" s="14" t="s">
        <v>1139</v>
      </c>
      <c r="E14" s="165"/>
      <c r="F14" s="166">
        <f>IF(AND(E3="yes",F3="yes"),F12+F13*F8,0)</f>
        <v>0</v>
      </c>
    </row>
  </sheetData>
  <sheetProtection sheet="1"/>
  <mergeCells count="4">
    <mergeCell ref="C2:F2"/>
    <mergeCell ref="A3:B3"/>
    <mergeCell ref="A1:F1"/>
    <mergeCell ref="A2:B2"/>
  </mergeCells>
  <printOptions horizontalCentered="1"/>
  <pageMargins left="0.11811023622047249" right="0" top="0.74803149606299213" bottom="0.55118110236220474" header="0.31496062992125978" footer="0.31496062992125978"/>
  <pageSetup paperSize="9" scale="96" orientation="landscape"/>
  <headerFooter>
    <oddFooter>&amp;C&amp;P&amp;RNote: Not to be quoted and not to be published without prior permission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dimension ref="A1:F13"/>
  <sheetViews>
    <sheetView workbookViewId="0">
      <selection activeCell="E3" sqref="E3"/>
    </sheetView>
  </sheetViews>
  <sheetFormatPr defaultColWidth="0" defaultRowHeight="14.5" zeroHeight="1" x14ac:dyDescent="0.35"/>
  <cols>
    <col min="1" max="1" width="9.1796875" style="174" customWidth="1"/>
    <col min="2" max="2" width="26.54296875" style="174" customWidth="1"/>
    <col min="3" max="3" width="32" style="174" customWidth="1"/>
    <col min="4" max="4" width="12.1796875" style="318" customWidth="1"/>
    <col min="5" max="5" width="11.54296875" style="174" customWidth="1"/>
    <col min="6" max="6" width="13.54296875" style="174" customWidth="1"/>
    <col min="7" max="7" width="13" style="12" hidden="1" customWidth="1"/>
    <col min="8" max="16384" width="13" style="12" hidden="1"/>
  </cols>
  <sheetData>
    <row r="1" spans="1:6" ht="23.5" customHeight="1" x14ac:dyDescent="0.35">
      <c r="A1" s="1105" t="s">
        <v>2569</v>
      </c>
      <c r="B1" s="930"/>
      <c r="C1" s="930"/>
      <c r="D1" s="930"/>
      <c r="E1" s="930"/>
      <c r="F1" s="931"/>
    </row>
    <row r="2" spans="1:6" s="169" customFormat="1" ht="18.5" customHeight="1" x14ac:dyDescent="0.35">
      <c r="A2" s="1106" t="str">
        <f>'NF-3 Petcoke'!A2:B2</f>
        <v>Obligated Entity Name</v>
      </c>
      <c r="B2" s="930"/>
      <c r="C2" s="1104" t="str">
        <f>'NF-3 Petcoke'!C2:F2</f>
        <v xml:space="preserve">  </v>
      </c>
      <c r="D2" s="930"/>
      <c r="E2" s="930"/>
      <c r="F2" s="931"/>
    </row>
    <row r="3" spans="1:6" x14ac:dyDescent="0.35">
      <c r="A3" s="1068" t="s">
        <v>2470</v>
      </c>
      <c r="B3" s="931"/>
      <c r="C3" s="5" t="s">
        <v>1512</v>
      </c>
      <c r="D3" s="158"/>
      <c r="E3" s="158" t="str">
        <f>'Form-Sb'!H884</f>
        <v>No</v>
      </c>
      <c r="F3" s="159">
        <f>'Form-Sb'!I884</f>
        <v>0</v>
      </c>
    </row>
    <row r="4" spans="1:6" ht="43.5" customHeight="1" x14ac:dyDescent="0.35">
      <c r="A4" s="15" t="s">
        <v>2124</v>
      </c>
      <c r="B4" s="25" t="s">
        <v>2570</v>
      </c>
      <c r="C4" s="25" t="s">
        <v>2571</v>
      </c>
      <c r="D4" s="15" t="s">
        <v>1011</v>
      </c>
      <c r="E4" s="261" t="str">
        <f>'Base line Parameters'!E5</f>
        <v>Baseline Year(s)</v>
      </c>
      <c r="F4" s="261" t="str">
        <f>'Base line Parameters'!F5</f>
        <v xml:space="preserve">Current/Assessment /Target Year   </v>
      </c>
    </row>
    <row r="5" spans="1:6" ht="43.5" customHeight="1" x14ac:dyDescent="0.35">
      <c r="A5" s="2"/>
      <c r="B5" s="3" t="s">
        <v>2572</v>
      </c>
      <c r="C5" s="3" t="s">
        <v>2573</v>
      </c>
      <c r="D5" s="2" t="s">
        <v>1057</v>
      </c>
      <c r="E5" s="170">
        <f>'Form-Sb'!H331</f>
        <v>0</v>
      </c>
      <c r="F5" s="170">
        <f>'Form-Sb'!I331</f>
        <v>0</v>
      </c>
    </row>
    <row r="6" spans="1:6" x14ac:dyDescent="0.35">
      <c r="A6" s="2"/>
      <c r="B6" s="3" t="s">
        <v>2574</v>
      </c>
      <c r="C6" s="3" t="s">
        <v>2575</v>
      </c>
      <c r="D6" s="2" t="s">
        <v>1060</v>
      </c>
      <c r="E6" s="170">
        <f>'Form-Sb'!H824</f>
        <v>0</v>
      </c>
      <c r="F6" s="170">
        <f>'Form-Sb'!I824</f>
        <v>0</v>
      </c>
    </row>
    <row r="7" spans="1:6" x14ac:dyDescent="0.35">
      <c r="A7" s="2"/>
      <c r="B7" s="3" t="s">
        <v>2576</v>
      </c>
      <c r="C7" s="3" t="s">
        <v>2577</v>
      </c>
      <c r="D7" s="2" t="s">
        <v>2493</v>
      </c>
      <c r="E7" s="170"/>
      <c r="F7" s="170">
        <f>'Form-Sb'!I322</f>
        <v>0</v>
      </c>
    </row>
    <row r="8" spans="1:6" x14ac:dyDescent="0.35">
      <c r="A8" s="2"/>
      <c r="B8" s="3" t="s">
        <v>2578</v>
      </c>
      <c r="C8" s="3" t="s">
        <v>2579</v>
      </c>
      <c r="D8" s="2" t="s">
        <v>1057</v>
      </c>
      <c r="E8" s="171">
        <f>0.0016*E5^2-0.3815*E5+21.959</f>
        <v>21.959</v>
      </c>
      <c r="F8" s="171">
        <f>0.0016*F5^2-0.3815*F5+21.959</f>
        <v>21.959</v>
      </c>
    </row>
    <row r="9" spans="1:6" ht="29" customHeight="1" x14ac:dyDescent="0.35">
      <c r="A9" s="2"/>
      <c r="B9" s="3" t="s">
        <v>2580</v>
      </c>
      <c r="C9" s="3" t="s">
        <v>2581</v>
      </c>
      <c r="D9" s="2" t="s">
        <v>1057</v>
      </c>
      <c r="E9" s="170"/>
      <c r="F9" s="172">
        <f>F8-E8</f>
        <v>0</v>
      </c>
    </row>
    <row r="10" spans="1:6" ht="29" customHeight="1" x14ac:dyDescent="0.35">
      <c r="A10" s="2"/>
      <c r="B10" s="3" t="s">
        <v>2582</v>
      </c>
      <c r="C10" s="3" t="s">
        <v>2583</v>
      </c>
      <c r="D10" s="2" t="s">
        <v>1057</v>
      </c>
      <c r="E10" s="170"/>
      <c r="F10" s="170">
        <f>'Form-Sb'!I332</f>
        <v>0</v>
      </c>
    </row>
    <row r="11" spans="1:6" ht="43.5" customHeight="1" x14ac:dyDescent="0.35">
      <c r="A11" s="2"/>
      <c r="B11" s="3" t="s">
        <v>2584</v>
      </c>
      <c r="C11" s="3" t="s">
        <v>2585</v>
      </c>
      <c r="D11" s="2" t="s">
        <v>1057</v>
      </c>
      <c r="E11" s="170"/>
      <c r="F11" s="172">
        <f>F9*F10/100</f>
        <v>0</v>
      </c>
    </row>
    <row r="12" spans="1:6" x14ac:dyDescent="0.35">
      <c r="A12" s="2"/>
      <c r="B12" s="3" t="s">
        <v>2586</v>
      </c>
      <c r="C12" s="3" t="s">
        <v>2587</v>
      </c>
      <c r="D12" s="2" t="s">
        <v>1060</v>
      </c>
      <c r="E12" s="170"/>
      <c r="F12" s="170">
        <f>F6*(1-F11%)</f>
        <v>0</v>
      </c>
    </row>
    <row r="13" spans="1:6" x14ac:dyDescent="0.35">
      <c r="A13" s="15"/>
      <c r="B13" s="25" t="s">
        <v>2588</v>
      </c>
      <c r="C13" s="25" t="s">
        <v>2589</v>
      </c>
      <c r="D13" s="15" t="s">
        <v>1139</v>
      </c>
      <c r="E13" s="173"/>
      <c r="F13" s="173">
        <f>IF(AND(E3="yes",F3="yes"),IF(F9&gt;0,F7*(F6-F12)/10,0),0)</f>
        <v>0</v>
      </c>
    </row>
  </sheetData>
  <sheetProtection sheet="1"/>
  <mergeCells count="4">
    <mergeCell ref="C2:F2"/>
    <mergeCell ref="A3:B3"/>
    <mergeCell ref="A1:F1"/>
    <mergeCell ref="A2:B2"/>
  </mergeCells>
  <printOptions horizontalCentered="1"/>
  <pageMargins left="0.11811023622047249" right="0" top="0.74803149606299213" bottom="0.74803149606299213" header="0.31496062992125978" footer="0.31496062992125978"/>
  <pageSetup scale="98" orientation="landscape"/>
  <headerFooter>
    <oddFooter>&amp;C&amp;P&amp;RNote: Not to be quoted and not to be published without prior permission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6"/>
  <dimension ref="A1:F55"/>
  <sheetViews>
    <sheetView topLeftCell="A24" workbookViewId="0">
      <selection activeCell="E35" sqref="E35"/>
    </sheetView>
  </sheetViews>
  <sheetFormatPr defaultColWidth="0" defaultRowHeight="14.5" zeroHeight="1" x14ac:dyDescent="0.35"/>
  <cols>
    <col min="1" max="1" width="5.81640625" style="12" customWidth="1"/>
    <col min="2" max="2" width="30.1796875" style="12" customWidth="1"/>
    <col min="3" max="3" width="28.453125" style="12" customWidth="1"/>
    <col min="4" max="4" width="14.1796875" style="12" customWidth="1"/>
    <col min="5" max="5" width="16.1796875" style="12" customWidth="1"/>
    <col min="6" max="6" width="17.453125" style="12" customWidth="1"/>
    <col min="7" max="7" width="13" style="12" hidden="1" customWidth="1"/>
    <col min="8" max="16384" width="13" style="12" hidden="1"/>
  </cols>
  <sheetData>
    <row r="1" spans="1:6" ht="23.5" customHeight="1" x14ac:dyDescent="0.35">
      <c r="A1" s="1108" t="s">
        <v>2590</v>
      </c>
      <c r="B1" s="930"/>
      <c r="C1" s="930"/>
      <c r="D1" s="930"/>
      <c r="E1" s="930"/>
      <c r="F1" s="931"/>
    </row>
    <row r="2" spans="1:6" s="169" customFormat="1" ht="18.5" customHeight="1" x14ac:dyDescent="0.35">
      <c r="A2" s="1094" t="str">
        <f>'NF-4 PLF'!A2:B2</f>
        <v>Obligated Entity Name</v>
      </c>
      <c r="B2" s="931"/>
      <c r="C2" s="1093" t="str">
        <f>'NF-4 PLF'!C2:F2</f>
        <v xml:space="preserve">  </v>
      </c>
      <c r="D2" s="930"/>
      <c r="E2" s="930"/>
      <c r="F2" s="931"/>
    </row>
    <row r="3" spans="1:6" s="169" customFormat="1" ht="18.5" customHeight="1" x14ac:dyDescent="0.35">
      <c r="A3" s="1107" t="s">
        <v>2470</v>
      </c>
      <c r="B3" s="931"/>
      <c r="C3" s="52" t="s">
        <v>1512</v>
      </c>
      <c r="D3" s="288"/>
      <c r="E3" s="288" t="str">
        <f>'Form-Sb'!H885</f>
        <v>No</v>
      </c>
      <c r="F3" s="311">
        <f>'Form-Sb'!I885</f>
        <v>0</v>
      </c>
    </row>
    <row r="4" spans="1:6" s="318" customFormat="1" ht="29.15" customHeight="1" x14ac:dyDescent="0.35">
      <c r="A4" s="15" t="s">
        <v>2124</v>
      </c>
      <c r="B4" s="15" t="s">
        <v>999</v>
      </c>
      <c r="C4" s="15" t="s">
        <v>2476</v>
      </c>
      <c r="D4" s="15" t="s">
        <v>2477</v>
      </c>
      <c r="E4" s="185" t="str">
        <f>'Base line Parameters'!E5</f>
        <v>Baseline Year(s)</v>
      </c>
      <c r="F4" s="185" t="str">
        <f>'Base line Parameters'!F5</f>
        <v xml:space="preserve">Current/Assessment /Target Year   </v>
      </c>
    </row>
    <row r="5" spans="1:6" s="177" customFormat="1" x14ac:dyDescent="0.35">
      <c r="A5" s="175"/>
      <c r="B5" s="175" t="s">
        <v>2591</v>
      </c>
      <c r="C5" s="175" t="s">
        <v>56</v>
      </c>
      <c r="D5" s="28" t="s">
        <v>1336</v>
      </c>
      <c r="E5" s="176">
        <f>E6+E7+E8+E9+E10</f>
        <v>953.28</v>
      </c>
      <c r="F5" s="176">
        <f>F6+F7+F8+F9+F10</f>
        <v>0</v>
      </c>
    </row>
    <row r="6" spans="1:6" x14ac:dyDescent="0.35">
      <c r="A6" s="16" t="s">
        <v>2592</v>
      </c>
      <c r="B6" s="178" t="s">
        <v>2593</v>
      </c>
      <c r="C6" s="16" t="s">
        <v>2594</v>
      </c>
      <c r="D6" s="16" t="s">
        <v>1336</v>
      </c>
      <c r="E6" s="17">
        <f>'Form-Sb'!H222</f>
        <v>0</v>
      </c>
      <c r="F6" s="17">
        <f>'Form-Sb'!I222</f>
        <v>0</v>
      </c>
    </row>
    <row r="7" spans="1:6" x14ac:dyDescent="0.35">
      <c r="A7" s="179" t="s">
        <v>2595</v>
      </c>
      <c r="B7" s="178" t="s">
        <v>2596</v>
      </c>
      <c r="C7" s="16" t="s">
        <v>2597</v>
      </c>
      <c r="D7" s="16" t="s">
        <v>1336</v>
      </c>
      <c r="E7" s="17">
        <f>'Form-Sb'!H233</f>
        <v>0</v>
      </c>
      <c r="F7" s="17">
        <f>'Form-Sb'!I233</f>
        <v>0</v>
      </c>
    </row>
    <row r="8" spans="1:6" ht="29" customHeight="1" x14ac:dyDescent="0.35">
      <c r="A8" s="16" t="s">
        <v>2598</v>
      </c>
      <c r="B8" s="178" t="s">
        <v>2599</v>
      </c>
      <c r="C8" s="16" t="s">
        <v>2532</v>
      </c>
      <c r="D8" s="16" t="s">
        <v>1336</v>
      </c>
      <c r="E8" s="17">
        <f>'Form-Sb'!H322</f>
        <v>953.28</v>
      </c>
      <c r="F8" s="17">
        <f>'Form-Sb'!I322</f>
        <v>0</v>
      </c>
    </row>
    <row r="9" spans="1:6" ht="29" customHeight="1" x14ac:dyDescent="0.35">
      <c r="A9" s="16" t="s">
        <v>2600</v>
      </c>
      <c r="B9" s="178" t="s">
        <v>2601</v>
      </c>
      <c r="C9" s="16" t="s">
        <v>2602</v>
      </c>
      <c r="D9" s="16" t="s">
        <v>1336</v>
      </c>
      <c r="E9" s="17">
        <f>'Form-Sb'!H336</f>
        <v>0</v>
      </c>
      <c r="F9" s="17">
        <f>'Form-Sb'!I336</f>
        <v>0</v>
      </c>
    </row>
    <row r="10" spans="1:6" x14ac:dyDescent="0.35">
      <c r="A10" s="16" t="s">
        <v>2603</v>
      </c>
      <c r="B10" s="178" t="s">
        <v>2604</v>
      </c>
      <c r="C10" s="16" t="s">
        <v>2605</v>
      </c>
      <c r="D10" s="16" t="s">
        <v>1336</v>
      </c>
      <c r="E10" s="17">
        <f>'Form-Sb'!H344</f>
        <v>0</v>
      </c>
      <c r="F10" s="17">
        <f>'Form-Sb'!I344</f>
        <v>0</v>
      </c>
    </row>
    <row r="11" spans="1:6" x14ac:dyDescent="0.35">
      <c r="A11" s="16" t="s">
        <v>2606</v>
      </c>
      <c r="B11" s="178" t="s">
        <v>2607</v>
      </c>
      <c r="C11" s="16"/>
      <c r="D11" s="16" t="s">
        <v>1336</v>
      </c>
      <c r="E11" s="17">
        <f>'Form-Sb'!H352</f>
        <v>0</v>
      </c>
      <c r="F11" s="17">
        <f>'Form-Sb'!I352</f>
        <v>0</v>
      </c>
    </row>
    <row r="12" spans="1:6" x14ac:dyDescent="0.35">
      <c r="A12" s="322"/>
      <c r="B12" s="323"/>
      <c r="C12" s="322"/>
      <c r="D12" s="322"/>
      <c r="E12" s="324"/>
      <c r="F12" s="324"/>
    </row>
    <row r="13" spans="1:6" x14ac:dyDescent="0.35">
      <c r="A13" s="16"/>
      <c r="B13" s="178" t="s">
        <v>2608</v>
      </c>
      <c r="C13" s="16" t="s">
        <v>2609</v>
      </c>
      <c r="D13" s="16" t="s">
        <v>1336</v>
      </c>
      <c r="E13" s="17">
        <f>'Form-Sb'!H382</f>
        <v>0</v>
      </c>
      <c r="F13" s="17">
        <f>'Form-Sb'!I382</f>
        <v>0</v>
      </c>
    </row>
    <row r="14" spans="1:6" s="326" customFormat="1" x14ac:dyDescent="0.35">
      <c r="A14" s="255"/>
      <c r="B14" s="325"/>
      <c r="C14" s="255"/>
      <c r="D14" s="255"/>
      <c r="E14" s="276"/>
      <c r="F14" s="276"/>
    </row>
    <row r="15" spans="1:6" s="177" customFormat="1" ht="29" customHeight="1" x14ac:dyDescent="0.35">
      <c r="A15" s="28"/>
      <c r="B15" s="180" t="s">
        <v>2610</v>
      </c>
      <c r="C15" s="28" t="s">
        <v>2611</v>
      </c>
      <c r="D15" s="28" t="s">
        <v>1336</v>
      </c>
      <c r="E15" s="182">
        <f>'Form-Sb'!H384</f>
        <v>953.28</v>
      </c>
      <c r="F15" s="182">
        <f>'Form-Sb'!I384</f>
        <v>0</v>
      </c>
    </row>
    <row r="16" spans="1:6" x14ac:dyDescent="0.35">
      <c r="A16" s="16" t="s">
        <v>2612</v>
      </c>
      <c r="B16" s="178" t="s">
        <v>2593</v>
      </c>
      <c r="C16" s="16" t="s">
        <v>2613</v>
      </c>
      <c r="D16" s="16" t="s">
        <v>1336</v>
      </c>
      <c r="E16" s="17">
        <f>E6</f>
        <v>0</v>
      </c>
      <c r="F16" s="17">
        <f>F6</f>
        <v>0</v>
      </c>
    </row>
    <row r="17" spans="1:6" x14ac:dyDescent="0.35">
      <c r="A17" s="16" t="s">
        <v>2614</v>
      </c>
      <c r="B17" s="178" t="s">
        <v>2596</v>
      </c>
      <c r="C17" s="16" t="s">
        <v>2615</v>
      </c>
      <c r="D17" s="16" t="s">
        <v>1336</v>
      </c>
      <c r="E17" s="17">
        <f>IF(AND(E7&gt;E8,E7&gt;E9,E7&gt;E10),E7-E13,E7)</f>
        <v>0</v>
      </c>
      <c r="F17" s="17">
        <f>IF(AND(F7&gt;F8,F7&gt;F9,F7&gt;F10),F7-F13,F7)</f>
        <v>0</v>
      </c>
    </row>
    <row r="18" spans="1:6" ht="29" customHeight="1" x14ac:dyDescent="0.35">
      <c r="A18" s="16" t="s">
        <v>2616</v>
      </c>
      <c r="B18" s="178" t="s">
        <v>2617</v>
      </c>
      <c r="C18" s="18" t="s">
        <v>2618</v>
      </c>
      <c r="D18" s="16" t="s">
        <v>1336</v>
      </c>
      <c r="E18" s="199">
        <f>IF(AND(E8&gt;E7,E8&gt;E9,E8&gt;E10),E8-E13,E8)</f>
        <v>953.28</v>
      </c>
      <c r="F18" s="199">
        <f>IF(AND(F8&gt;F7,F8&gt;F9,F8&gt;F10),F8-F13,F8)</f>
        <v>0</v>
      </c>
    </row>
    <row r="19" spans="1:6" ht="29" customHeight="1" x14ac:dyDescent="0.35">
      <c r="A19" s="16" t="s">
        <v>2619</v>
      </c>
      <c r="B19" s="178" t="s">
        <v>2620</v>
      </c>
      <c r="C19" s="18" t="s">
        <v>2621</v>
      </c>
      <c r="D19" s="16" t="s">
        <v>1336</v>
      </c>
      <c r="E19" s="17">
        <f>IF(AND(E9&gt;E7,E9&gt;E8,E9&gt;E10),E9-E13,E9)</f>
        <v>0</v>
      </c>
      <c r="F19" s="17">
        <f>IF(AND(F9&gt;F7,F9&gt;F8,F9&gt;F10),F9-F13,F9)</f>
        <v>0</v>
      </c>
    </row>
    <row r="20" spans="1:6" ht="29" customHeight="1" x14ac:dyDescent="0.35">
      <c r="A20" s="16" t="s">
        <v>2622</v>
      </c>
      <c r="B20" s="178" t="s">
        <v>2623</v>
      </c>
      <c r="C20" s="18" t="s">
        <v>2624</v>
      </c>
      <c r="D20" s="16" t="s">
        <v>1336</v>
      </c>
      <c r="E20" s="17">
        <f>IF(AND(E10&gt;E7,E10&gt;E8,E10&gt;E9),E10-E13,E10)</f>
        <v>0</v>
      </c>
      <c r="F20" s="17">
        <f>IF(AND(F10&gt;F7,F10&gt;F8,F10&gt;F9),F10-F13,F10)</f>
        <v>0</v>
      </c>
    </row>
    <row r="21" spans="1:6" ht="29" customHeight="1" x14ac:dyDescent="0.35">
      <c r="A21" s="16" t="s">
        <v>2625</v>
      </c>
      <c r="B21" s="178" t="s">
        <v>2626</v>
      </c>
      <c r="C21" s="18"/>
      <c r="D21" s="16" t="s">
        <v>1336</v>
      </c>
      <c r="E21" s="17">
        <f>E11</f>
        <v>0</v>
      </c>
      <c r="F21" s="17">
        <f>F11</f>
        <v>0</v>
      </c>
    </row>
    <row r="22" spans="1:6" s="326" customFormat="1" x14ac:dyDescent="0.35">
      <c r="A22" s="255"/>
      <c r="B22" s="325"/>
      <c r="C22" s="275"/>
      <c r="D22" s="255"/>
      <c r="E22" s="276"/>
      <c r="F22" s="276"/>
    </row>
    <row r="23" spans="1:6" s="177" customFormat="1" ht="29" customHeight="1" x14ac:dyDescent="0.35">
      <c r="A23" s="28"/>
      <c r="B23" s="180" t="s">
        <v>2627</v>
      </c>
      <c r="C23" s="181" t="s">
        <v>2628</v>
      </c>
      <c r="D23" s="28" t="s">
        <v>1336</v>
      </c>
      <c r="E23" s="182">
        <f>E15-E20</f>
        <v>953.28</v>
      </c>
      <c r="F23" s="182">
        <f>F15-F20</f>
        <v>0</v>
      </c>
    </row>
    <row r="24" spans="1:6" x14ac:dyDescent="0.35">
      <c r="A24" s="179"/>
      <c r="B24" s="16" t="s">
        <v>2629</v>
      </c>
      <c r="C24" s="18" t="s">
        <v>2630</v>
      </c>
      <c r="D24" s="16" t="s">
        <v>1060</v>
      </c>
      <c r="E24" s="17">
        <f>'Base line Parameters'!E78</f>
        <v>3208</v>
      </c>
      <c r="F24" s="17">
        <f>'Base line Parameters'!F78</f>
        <v>3208</v>
      </c>
    </row>
    <row r="25" spans="1:6" x14ac:dyDescent="0.35">
      <c r="A25" s="16"/>
      <c r="B25" s="16" t="s">
        <v>2631</v>
      </c>
      <c r="C25" s="16" t="s">
        <v>2632</v>
      </c>
      <c r="D25" s="16" t="s">
        <v>1060</v>
      </c>
      <c r="E25" s="17">
        <f>'Form-Sb'!H823</f>
        <v>0</v>
      </c>
      <c r="F25" s="17">
        <f>IF(F40&lt;1,E25,'Form-Sb'!I823)</f>
        <v>0</v>
      </c>
    </row>
    <row r="26" spans="1:6" x14ac:dyDescent="0.35">
      <c r="A26" s="16"/>
      <c r="B26" s="16" t="s">
        <v>2633</v>
      </c>
      <c r="C26" s="16" t="s">
        <v>2534</v>
      </c>
      <c r="D26" s="16" t="s">
        <v>1060</v>
      </c>
      <c r="E26" s="17">
        <f>'Form-Sb'!H824</f>
        <v>0</v>
      </c>
      <c r="F26" s="17">
        <f>IF(F41=0,E26,'Form-Sb'!I824)</f>
        <v>0</v>
      </c>
    </row>
    <row r="27" spans="1:6" x14ac:dyDescent="0.35">
      <c r="A27" s="16"/>
      <c r="B27" s="16" t="s">
        <v>2634</v>
      </c>
      <c r="C27" s="16" t="s">
        <v>2635</v>
      </c>
      <c r="D27" s="16" t="s">
        <v>1060</v>
      </c>
      <c r="E27" s="17">
        <f>'Form-Sb'!H825</f>
        <v>0</v>
      </c>
      <c r="F27" s="17">
        <f>IF(F42=0,E27,'Form-Sb'!I825)</f>
        <v>0</v>
      </c>
    </row>
    <row r="28" spans="1:6" x14ac:dyDescent="0.35">
      <c r="A28" s="16"/>
      <c r="B28" s="16" t="s">
        <v>2636</v>
      </c>
      <c r="C28" s="16"/>
      <c r="D28" s="16" t="s">
        <v>1060</v>
      </c>
      <c r="E28" s="17">
        <f>'Form-Sb'!H353</f>
        <v>0</v>
      </c>
      <c r="F28" s="17">
        <f>'Form-Sb'!I353</f>
        <v>0</v>
      </c>
    </row>
    <row r="29" spans="1:6" x14ac:dyDescent="0.35">
      <c r="A29" s="255"/>
      <c r="B29" s="275"/>
      <c r="C29" s="255"/>
      <c r="D29" s="255"/>
      <c r="E29" s="276"/>
      <c r="F29" s="276"/>
    </row>
    <row r="30" spans="1:6" x14ac:dyDescent="0.35">
      <c r="A30" s="16"/>
      <c r="B30" s="18" t="s">
        <v>2637</v>
      </c>
      <c r="C30" s="16" t="s">
        <v>2638</v>
      </c>
      <c r="D30" s="16" t="s">
        <v>1057</v>
      </c>
      <c r="E30" s="17">
        <f>'Form-Sb'!H235</f>
        <v>0</v>
      </c>
      <c r="F30" s="17">
        <f>'Form-Sb'!I235</f>
        <v>0</v>
      </c>
    </row>
    <row r="31" spans="1:6" x14ac:dyDescent="0.35">
      <c r="A31" s="16"/>
      <c r="B31" s="18" t="s">
        <v>2639</v>
      </c>
      <c r="C31" s="16" t="s">
        <v>2640</v>
      </c>
      <c r="D31" s="16" t="s">
        <v>1057</v>
      </c>
      <c r="E31" s="17">
        <f>'Form-Sb'!H323</f>
        <v>0</v>
      </c>
      <c r="F31" s="17">
        <f>'Form-Sb'!I323</f>
        <v>0</v>
      </c>
    </row>
    <row r="32" spans="1:6" x14ac:dyDescent="0.35">
      <c r="A32" s="16"/>
      <c r="B32" s="18" t="s">
        <v>2641</v>
      </c>
      <c r="C32" s="16" t="s">
        <v>2642</v>
      </c>
      <c r="D32" s="16" t="s">
        <v>1057</v>
      </c>
      <c r="E32" s="17">
        <f>'Form-Sb'!H337</f>
        <v>0</v>
      </c>
      <c r="F32" s="17">
        <f>'Form-Sb'!I337</f>
        <v>0</v>
      </c>
    </row>
    <row r="33" spans="1:6" x14ac:dyDescent="0.35">
      <c r="A33" s="255"/>
      <c r="B33" s="275"/>
      <c r="C33" s="255"/>
      <c r="D33" s="255"/>
      <c r="E33" s="276"/>
      <c r="F33" s="276"/>
    </row>
    <row r="34" spans="1:6" x14ac:dyDescent="0.35">
      <c r="A34" s="16"/>
      <c r="B34" s="16" t="s">
        <v>2643</v>
      </c>
      <c r="C34" s="16" t="s">
        <v>2644</v>
      </c>
      <c r="D34" s="16" t="s">
        <v>1060</v>
      </c>
      <c r="E34" s="17">
        <f t="shared" ref="E34:F36" si="0">E25/(1-E30/100)</f>
        <v>0</v>
      </c>
      <c r="F34" s="17">
        <f t="shared" si="0"/>
        <v>0</v>
      </c>
    </row>
    <row r="35" spans="1:6" x14ac:dyDescent="0.35">
      <c r="A35" s="16"/>
      <c r="B35" s="16" t="s">
        <v>2645</v>
      </c>
      <c r="C35" s="16" t="s">
        <v>2646</v>
      </c>
      <c r="D35" s="16" t="s">
        <v>1060</v>
      </c>
      <c r="E35" s="17">
        <f t="shared" si="0"/>
        <v>0</v>
      </c>
      <c r="F35" s="17">
        <f t="shared" si="0"/>
        <v>0</v>
      </c>
    </row>
    <row r="36" spans="1:6" x14ac:dyDescent="0.35">
      <c r="A36" s="16"/>
      <c r="B36" s="16" t="s">
        <v>2647</v>
      </c>
      <c r="C36" s="16" t="s">
        <v>2648</v>
      </c>
      <c r="D36" s="16" t="s">
        <v>1060</v>
      </c>
      <c r="E36" s="17">
        <f t="shared" si="0"/>
        <v>0</v>
      </c>
      <c r="F36" s="17">
        <f t="shared" si="0"/>
        <v>0</v>
      </c>
    </row>
    <row r="37" spans="1:6" x14ac:dyDescent="0.35">
      <c r="A37" s="16"/>
      <c r="B37" s="16" t="s">
        <v>2649</v>
      </c>
      <c r="C37" s="339" t="s">
        <v>2650</v>
      </c>
      <c r="D37" s="16" t="s">
        <v>1060</v>
      </c>
      <c r="E37" s="17">
        <f>E28</f>
        <v>0</v>
      </c>
      <c r="F37" s="17">
        <f>F28</f>
        <v>0</v>
      </c>
    </row>
    <row r="38" spans="1:6" x14ac:dyDescent="0.35">
      <c r="A38" s="255"/>
      <c r="B38" s="255"/>
      <c r="C38" s="255"/>
      <c r="D38" s="255"/>
      <c r="E38" s="276"/>
      <c r="F38" s="276"/>
    </row>
    <row r="39" spans="1:6" x14ac:dyDescent="0.35">
      <c r="A39" s="179"/>
      <c r="B39" s="18" t="s">
        <v>2651</v>
      </c>
      <c r="C39" s="16" t="s">
        <v>2652</v>
      </c>
      <c r="D39" s="16" t="s">
        <v>1057</v>
      </c>
      <c r="E39" s="183">
        <f>IFERROR((E16*100/$E$23),0)</f>
        <v>0</v>
      </c>
      <c r="F39" s="183">
        <f>IFERROR((F16*100/$F$23),0)</f>
        <v>0</v>
      </c>
    </row>
    <row r="40" spans="1:6" x14ac:dyDescent="0.35">
      <c r="A40" s="179"/>
      <c r="B40" s="18" t="s">
        <v>2653</v>
      </c>
      <c r="C40" s="16" t="s">
        <v>2654</v>
      </c>
      <c r="D40" s="16" t="s">
        <v>1057</v>
      </c>
      <c r="E40" s="183">
        <f>IFERROR((E17*100/$E$23),0)</f>
        <v>0</v>
      </c>
      <c r="F40" s="183">
        <f>IFERROR((F17*100/$F$23),0)</f>
        <v>0</v>
      </c>
    </row>
    <row r="41" spans="1:6" x14ac:dyDescent="0.35">
      <c r="A41" s="179"/>
      <c r="B41" s="18" t="s">
        <v>2655</v>
      </c>
      <c r="C41" s="16" t="s">
        <v>2656</v>
      </c>
      <c r="D41" s="16" t="s">
        <v>1057</v>
      </c>
      <c r="E41" s="183">
        <f>IFERROR((E18*100/$E$23),0)</f>
        <v>100</v>
      </c>
      <c r="F41" s="183">
        <f>IFERROR((F18*100/$F$23),0)</f>
        <v>0</v>
      </c>
    </row>
    <row r="42" spans="1:6" x14ac:dyDescent="0.35">
      <c r="A42" s="179"/>
      <c r="B42" s="18" t="s">
        <v>2657</v>
      </c>
      <c r="C42" s="16" t="s">
        <v>2658</v>
      </c>
      <c r="D42" s="16" t="s">
        <v>1057</v>
      </c>
      <c r="E42" s="183">
        <f>IFERROR((E19*100/$E$23),0)</f>
        <v>0</v>
      </c>
      <c r="F42" s="183">
        <f>IFERROR((F19*100/$F$23),0)</f>
        <v>0</v>
      </c>
    </row>
    <row r="43" spans="1:6" x14ac:dyDescent="0.35">
      <c r="A43" s="179"/>
      <c r="B43" s="18" t="s">
        <v>2659</v>
      </c>
      <c r="C43" s="16" t="s">
        <v>2660</v>
      </c>
      <c r="D43" s="16" t="s">
        <v>1057</v>
      </c>
      <c r="E43" s="183">
        <f>IFERROR((E21*100/$E$23),0)</f>
        <v>0</v>
      </c>
      <c r="F43" s="183">
        <f>IFERROR((F21*100/$F$23),0)</f>
        <v>0</v>
      </c>
    </row>
    <row r="44" spans="1:6" x14ac:dyDescent="0.35">
      <c r="A44" s="255"/>
      <c r="B44" s="275"/>
      <c r="C44" s="255"/>
      <c r="D44" s="255"/>
      <c r="E44" s="327"/>
      <c r="F44" s="327"/>
    </row>
    <row r="45" spans="1:6" ht="29" customHeight="1" x14ac:dyDescent="0.35">
      <c r="A45" s="179"/>
      <c r="B45" s="16" t="s">
        <v>2661</v>
      </c>
      <c r="C45" s="18" t="s">
        <v>2662</v>
      </c>
      <c r="D45" s="16" t="s">
        <v>1060</v>
      </c>
      <c r="E45" s="17">
        <f>IFERROR((E16*E24+E17*E25+E18*E26+E19*E27+E21*E28)/E23,0)</f>
        <v>0</v>
      </c>
      <c r="F45" s="17">
        <f>IFERROR((F16*F24+F17*F25+F18*F26+F19*F27+F21*F28)/F23,0)</f>
        <v>0</v>
      </c>
    </row>
    <row r="46" spans="1:6" ht="43.5" customHeight="1" x14ac:dyDescent="0.35">
      <c r="A46" s="16"/>
      <c r="B46" s="16" t="s">
        <v>2663</v>
      </c>
      <c r="C46" s="18" t="s">
        <v>2664</v>
      </c>
      <c r="D46" s="16" t="s">
        <v>1060</v>
      </c>
      <c r="E46" s="17"/>
      <c r="F46" s="17">
        <f>(F24*$E$39+F25*$E$40+F26*$E$41+F27*$E$42+F28*E43)/100</f>
        <v>0</v>
      </c>
    </row>
    <row r="47" spans="1:6" x14ac:dyDescent="0.35">
      <c r="A47" s="255"/>
      <c r="B47" s="255"/>
      <c r="C47" s="275"/>
      <c r="D47" s="255"/>
      <c r="E47" s="276"/>
      <c r="F47" s="276"/>
    </row>
    <row r="48" spans="1:6" ht="29" customHeight="1" x14ac:dyDescent="0.35">
      <c r="A48" s="28"/>
      <c r="B48" s="181" t="s">
        <v>2665</v>
      </c>
      <c r="C48" s="181" t="s">
        <v>2666</v>
      </c>
      <c r="D48" s="28" t="s">
        <v>1139</v>
      </c>
      <c r="E48" s="182"/>
      <c r="F48" s="182">
        <f>F23*(F45-F46)/10</f>
        <v>0</v>
      </c>
    </row>
    <row r="49" spans="1:6" x14ac:dyDescent="0.35">
      <c r="A49" s="14"/>
      <c r="B49" s="403" t="s">
        <v>2220</v>
      </c>
      <c r="C49" s="14"/>
      <c r="D49" s="14" t="s">
        <v>1139</v>
      </c>
      <c r="E49" s="277"/>
      <c r="F49" s="277">
        <f>F48</f>
        <v>0</v>
      </c>
    </row>
    <row r="50" spans="1:6" x14ac:dyDescent="0.35">
      <c r="A50" s="16"/>
      <c r="B50" s="16"/>
      <c r="C50" s="20"/>
      <c r="D50" s="20"/>
      <c r="E50" s="20"/>
      <c r="F50" s="20"/>
    </row>
    <row r="51" spans="1:6" x14ac:dyDescent="0.35">
      <c r="A51" s="490"/>
      <c r="B51" s="490" t="s">
        <v>2643</v>
      </c>
      <c r="C51" s="491"/>
      <c r="D51" s="491" t="s">
        <v>2667</v>
      </c>
      <c r="E51" s="492">
        <f>E34*'Emission Factor &amp; GWP Backup'!E13/1000</f>
        <v>0</v>
      </c>
      <c r="F51" s="492">
        <f>F34*'Emission Factor &amp; GWP Backup'!F13/1000</f>
        <v>0</v>
      </c>
    </row>
    <row r="52" spans="1:6" x14ac:dyDescent="0.35">
      <c r="A52" s="490"/>
      <c r="B52" s="490" t="s">
        <v>2645</v>
      </c>
      <c r="C52" s="491"/>
      <c r="D52" s="491" t="s">
        <v>2667</v>
      </c>
      <c r="E52" s="492">
        <f>E35*'Emission Factor &amp; GWP Backup'!E28/1000</f>
        <v>0</v>
      </c>
      <c r="F52" s="492">
        <f>F35*'Emission Factor &amp; GWP Backup'!F28/1000</f>
        <v>0</v>
      </c>
    </row>
    <row r="53" spans="1:6" x14ac:dyDescent="0.35">
      <c r="A53" s="490"/>
      <c r="B53" s="490" t="s">
        <v>2647</v>
      </c>
      <c r="C53" s="491"/>
      <c r="D53" s="491" t="s">
        <v>2667</v>
      </c>
      <c r="E53" s="408">
        <f>E36*'Emission Factor &amp; GWP Backup'!E41/1000</f>
        <v>0</v>
      </c>
      <c r="F53" s="408">
        <f>F36*'Emission Factor &amp; GWP Backup'!F41/1000</f>
        <v>0</v>
      </c>
    </row>
    <row r="54" spans="1:6" x14ac:dyDescent="0.35">
      <c r="A54" s="490"/>
      <c r="B54" s="490" t="s">
        <v>2649</v>
      </c>
      <c r="C54" s="491"/>
      <c r="D54" s="491" t="s">
        <v>2667</v>
      </c>
      <c r="E54" s="408">
        <f>E37*'Emission Factor &amp; GWP Backup'!E28/1000</f>
        <v>0</v>
      </c>
      <c r="F54" s="408">
        <f>F37*'Emission Factor &amp; GWP Backup'!F28/1000</f>
        <v>0</v>
      </c>
    </row>
    <row r="55" spans="1:6" x14ac:dyDescent="0.35">
      <c r="A55" s="490"/>
      <c r="B55" s="491" t="s">
        <v>2482</v>
      </c>
      <c r="C55" s="491"/>
      <c r="D55" s="491" t="s">
        <v>2667</v>
      </c>
      <c r="E55" s="493">
        <f>IFERROR((E51*E17+E52*E8+E53*E9+E54*E11)/(E7+E8+E9+E11),0)</f>
        <v>0</v>
      </c>
      <c r="F55" s="493">
        <f>IFERROR((F51*F17+F52*F8+F53*F9+F54*F11)/(F7+F8+F9+F11),0)</f>
        <v>0</v>
      </c>
    </row>
  </sheetData>
  <sheetProtection algorithmName="SHA-512" hashValue="Diz7l/YwTM0LgGKhV3ZU4inNl2+C3RN/PVhuEmQQvOvHbKxY6ItzCJ6LYWhHnqNJkhO+8jY7YcSO2uivx2omEg==" saltValue="8WrLe+jzwUNavXeA9gxAHA==" spinCount="100000" sheet="1" objects="1" scenarios="1"/>
  <mergeCells count="4">
    <mergeCell ref="C2:F2"/>
    <mergeCell ref="A3:B3"/>
    <mergeCell ref="A1:F1"/>
    <mergeCell ref="A2:B2"/>
  </mergeCells>
  <printOptions horizontalCentered="1"/>
  <pageMargins left="0.11811023622047249" right="0" top="0.35433070866141742" bottom="0.39370078740157483" header="0.31496062992125978" footer="0.31496062992125978"/>
  <pageSetup paperSize="9" scale="89" orientation="landscape"/>
  <headerFooter>
    <oddFooter>&amp;C&amp;P&amp;RNote: Not to be quoted and not to be published without prior permission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7"/>
  <dimension ref="A1:F38"/>
  <sheetViews>
    <sheetView tabSelected="1" zoomScale="62" zoomScaleNormal="82" workbookViewId="0">
      <selection activeCell="F14" sqref="F14"/>
    </sheetView>
  </sheetViews>
  <sheetFormatPr defaultColWidth="0" defaultRowHeight="14.5" zeroHeight="1" x14ac:dyDescent="0.35"/>
  <cols>
    <col min="1" max="1" width="5.81640625" style="191" customWidth="1"/>
    <col min="2" max="2" width="41.1796875" style="192" customWidth="1"/>
    <col min="3" max="3" width="28.453125" style="192" customWidth="1"/>
    <col min="4" max="4" width="14.1796875" style="192" customWidth="1"/>
    <col min="5" max="5" width="17.453125" style="192" customWidth="1"/>
    <col min="6" max="6" width="16.453125" style="192" customWidth="1"/>
    <col min="7" max="7" width="13" style="12" hidden="1" customWidth="1"/>
    <col min="8" max="16384" width="13" style="12" hidden="1"/>
  </cols>
  <sheetData>
    <row r="1" spans="1:6" ht="23.5" customHeight="1" x14ac:dyDescent="0.35">
      <c r="A1" s="1110" t="s">
        <v>2668</v>
      </c>
      <c r="B1" s="930"/>
      <c r="C1" s="930"/>
      <c r="D1" s="930"/>
      <c r="E1" s="930"/>
      <c r="F1" s="931"/>
    </row>
    <row r="2" spans="1:6" s="169" customFormat="1" ht="18.5" customHeight="1" x14ac:dyDescent="0.35">
      <c r="A2" s="1109" t="str">
        <f>'NF-5 Power Mix'!A2:B2</f>
        <v>Obligated Entity Name</v>
      </c>
      <c r="B2" s="931"/>
      <c r="C2" s="1109" t="str">
        <f>'NF-5 Power Mix'!C2:F2</f>
        <v xml:space="preserve">  </v>
      </c>
      <c r="D2" s="930"/>
      <c r="E2" s="930"/>
      <c r="F2" s="931"/>
    </row>
    <row r="3" spans="1:6" s="169" customFormat="1" ht="18.5" customHeight="1" x14ac:dyDescent="0.35">
      <c r="A3" s="1107" t="s">
        <v>2470</v>
      </c>
      <c r="B3" s="931"/>
      <c r="C3" s="52" t="s">
        <v>1512</v>
      </c>
      <c r="D3" s="52"/>
      <c r="E3" s="52" t="str">
        <f>'Form-Sb'!H886</f>
        <v>No</v>
      </c>
      <c r="F3" s="52">
        <f>'Form-Sb'!I886</f>
        <v>0</v>
      </c>
    </row>
    <row r="4" spans="1:6" s="174" customFormat="1" ht="27.65" customHeight="1" x14ac:dyDescent="0.35">
      <c r="A4" s="173" t="s">
        <v>2124</v>
      </c>
      <c r="B4" s="184" t="s">
        <v>999</v>
      </c>
      <c r="C4" s="184" t="s">
        <v>2476</v>
      </c>
      <c r="D4" s="184" t="s">
        <v>2477</v>
      </c>
      <c r="E4" s="185" t="str">
        <f>'Base line Parameters'!E5</f>
        <v>Baseline Year(s)</v>
      </c>
      <c r="F4" s="185" t="str">
        <f>'Base line Parameters'!F5</f>
        <v xml:space="preserve">Current/Assessment /Target Year   </v>
      </c>
    </row>
    <row r="5" spans="1:6" x14ac:dyDescent="0.35">
      <c r="A5" s="164"/>
      <c r="B5" s="186" t="s">
        <v>2548</v>
      </c>
      <c r="C5" s="186" t="s">
        <v>2669</v>
      </c>
      <c r="D5" s="186" t="s">
        <v>2670</v>
      </c>
      <c r="E5" s="17">
        <f>'Summary Sheet'!E7</f>
        <v>0</v>
      </c>
      <c r="F5" s="17">
        <f>'Summary Sheet'!F7</f>
        <v>0</v>
      </c>
    </row>
    <row r="6" spans="1:6" x14ac:dyDescent="0.35">
      <c r="A6" s="164"/>
      <c r="B6" s="186" t="s">
        <v>2671</v>
      </c>
      <c r="C6" s="186" t="s">
        <v>2672</v>
      </c>
      <c r="D6" s="186" t="s">
        <v>2670</v>
      </c>
      <c r="E6" s="17">
        <f>'Summary Sheet'!E8</f>
        <v>0</v>
      </c>
      <c r="F6" s="17">
        <f>'Summary Sheet'!F8</f>
        <v>0</v>
      </c>
    </row>
    <row r="7" spans="1:6" x14ac:dyDescent="0.35">
      <c r="A7" s="164"/>
      <c r="B7" s="186" t="s">
        <v>2076</v>
      </c>
      <c r="C7" s="186" t="s">
        <v>2673</v>
      </c>
      <c r="D7" s="186" t="s">
        <v>2670</v>
      </c>
      <c r="E7" s="17">
        <f>'Summary Sheet'!E15</f>
        <v>0</v>
      </c>
      <c r="F7" s="17">
        <f>'Summary Sheet'!F15</f>
        <v>0</v>
      </c>
    </row>
    <row r="8" spans="1:6" x14ac:dyDescent="0.35">
      <c r="A8" s="164"/>
      <c r="B8" s="186" t="s">
        <v>2077</v>
      </c>
      <c r="C8" s="186" t="s">
        <v>2674</v>
      </c>
      <c r="D8" s="186" t="s">
        <v>2670</v>
      </c>
      <c r="E8" s="17">
        <f>'Summary Sheet'!E16</f>
        <v>0</v>
      </c>
      <c r="F8" s="17">
        <f>'Summary Sheet'!F16</f>
        <v>0</v>
      </c>
    </row>
    <row r="9" spans="1:6" x14ac:dyDescent="0.35">
      <c r="A9" s="164"/>
      <c r="B9" s="186" t="s">
        <v>2078</v>
      </c>
      <c r="C9" s="186" t="s">
        <v>2675</v>
      </c>
      <c r="D9" s="186" t="s">
        <v>2670</v>
      </c>
      <c r="E9" s="17">
        <f>'Summary Sheet'!E17</f>
        <v>0</v>
      </c>
      <c r="F9" s="17">
        <f>'Summary Sheet'!F17</f>
        <v>0</v>
      </c>
    </row>
    <row r="10" spans="1:6" x14ac:dyDescent="0.35">
      <c r="A10" s="164"/>
      <c r="B10" s="186" t="s">
        <v>2079</v>
      </c>
      <c r="C10" s="186" t="s">
        <v>2675</v>
      </c>
      <c r="D10" s="186" t="s">
        <v>2670</v>
      </c>
      <c r="E10" s="17">
        <f>'Summary Sheet'!E18</f>
        <v>0</v>
      </c>
      <c r="F10" s="17">
        <f>'Summary Sheet'!F18</f>
        <v>0</v>
      </c>
    </row>
    <row r="11" spans="1:6" x14ac:dyDescent="0.35">
      <c r="A11" s="319"/>
      <c r="B11" s="321"/>
      <c r="C11" s="321"/>
      <c r="D11" s="321"/>
      <c r="E11" s="276"/>
      <c r="F11" s="276"/>
    </row>
    <row r="12" spans="1:6" ht="29" customHeight="1" x14ac:dyDescent="0.35">
      <c r="A12" s="164"/>
      <c r="B12" s="186" t="s">
        <v>2676</v>
      </c>
      <c r="C12" s="187" t="s">
        <v>2677</v>
      </c>
      <c r="D12" s="186" t="s">
        <v>1283</v>
      </c>
      <c r="E12" s="199">
        <f>IF('Form-Sb'!H91=0,'Form-Sb'!I91,'Form-Sb'!H91)</f>
        <v>0</v>
      </c>
      <c r="F12" s="21">
        <f>IF(F7=0,0,'Form-Sb'!I91)</f>
        <v>0</v>
      </c>
    </row>
    <row r="13" spans="1:6" ht="29" customHeight="1" x14ac:dyDescent="0.35">
      <c r="A13" s="164"/>
      <c r="B13" s="186" t="s">
        <v>2678</v>
      </c>
      <c r="C13" s="187" t="s">
        <v>2160</v>
      </c>
      <c r="D13" s="186" t="s">
        <v>1283</v>
      </c>
      <c r="E13" s="21">
        <f>IF(E8=0,0,'Form-Sb'!H92)</f>
        <v>0</v>
      </c>
      <c r="F13" s="21">
        <f>IF(F8=0,0,'Form-Sb'!I92)</f>
        <v>0</v>
      </c>
    </row>
    <row r="14" spans="1:6" ht="29" customHeight="1" x14ac:dyDescent="0.35">
      <c r="A14" s="164"/>
      <c r="B14" s="187" t="s">
        <v>2679</v>
      </c>
      <c r="C14" s="187" t="s">
        <v>2162</v>
      </c>
      <c r="D14" s="186" t="s">
        <v>1283</v>
      </c>
      <c r="E14" s="21">
        <f>IF(E9=0,0,'Form-Sb'!H93)</f>
        <v>0</v>
      </c>
      <c r="F14" s="21">
        <f>IF(F9=0,0,'Form-Sb'!I93)</f>
        <v>0</v>
      </c>
    </row>
    <row r="15" spans="1:6" ht="43.5" customHeight="1" x14ac:dyDescent="0.35">
      <c r="A15" s="188"/>
      <c r="B15" s="187" t="s">
        <v>2680</v>
      </c>
      <c r="C15" s="187" t="s">
        <v>2164</v>
      </c>
      <c r="D15" s="186" t="s">
        <v>1283</v>
      </c>
      <c r="E15" s="21">
        <f>IF(E10=0,0,'Form-Sb'!H94)</f>
        <v>0</v>
      </c>
      <c r="F15" s="21">
        <f>IF(F10=0,0,'Form-Sb'!I94)</f>
        <v>0</v>
      </c>
    </row>
    <row r="16" spans="1:6" x14ac:dyDescent="0.35">
      <c r="A16" s="188"/>
      <c r="B16" s="187"/>
      <c r="C16" s="187"/>
      <c r="D16" s="186"/>
      <c r="E16" s="21"/>
      <c r="F16" s="21"/>
    </row>
    <row r="17" spans="1:6" x14ac:dyDescent="0.35">
      <c r="A17" s="188"/>
      <c r="B17" s="187"/>
      <c r="C17" s="187"/>
      <c r="D17" s="186"/>
      <c r="E17" s="21"/>
      <c r="F17" s="21"/>
    </row>
    <row r="18" spans="1:6" x14ac:dyDescent="0.35">
      <c r="A18" s="188"/>
      <c r="B18" s="187"/>
      <c r="C18" s="187"/>
      <c r="D18" s="186"/>
      <c r="E18" s="21"/>
      <c r="F18" s="21"/>
    </row>
    <row r="19" spans="1:6" x14ac:dyDescent="0.35">
      <c r="A19" s="340"/>
      <c r="B19" s="341"/>
      <c r="C19" s="341"/>
      <c r="D19" s="321"/>
      <c r="E19" s="342"/>
      <c r="F19" s="342"/>
    </row>
    <row r="20" spans="1:6" ht="33.75" customHeight="1" x14ac:dyDescent="0.35">
      <c r="A20" s="188"/>
      <c r="B20" s="189" t="s">
        <v>2190</v>
      </c>
      <c r="C20" s="186" t="s">
        <v>2681</v>
      </c>
      <c r="D20" s="186" t="s">
        <v>2670</v>
      </c>
      <c r="E20" s="17">
        <f>'Summary Sheet'!E52</f>
        <v>0</v>
      </c>
      <c r="F20" s="17">
        <f>'Summary Sheet'!F52</f>
        <v>0</v>
      </c>
    </row>
    <row r="21" spans="1:6" x14ac:dyDescent="0.35">
      <c r="A21" s="164"/>
      <c r="B21" s="187" t="s">
        <v>2185</v>
      </c>
      <c r="C21" s="186" t="s">
        <v>2682</v>
      </c>
      <c r="D21" s="186" t="s">
        <v>2670</v>
      </c>
      <c r="E21" s="17">
        <f>'Summary Sheet'!E49</f>
        <v>0</v>
      </c>
      <c r="F21" s="17">
        <f>'Summary Sheet'!F49</f>
        <v>0</v>
      </c>
    </row>
    <row r="22" spans="1:6" x14ac:dyDescent="0.35">
      <c r="A22" s="319"/>
      <c r="B22" s="341"/>
      <c r="C22" s="321"/>
      <c r="D22" s="343"/>
      <c r="E22" s="276"/>
      <c r="F22" s="276"/>
    </row>
    <row r="23" spans="1:6" x14ac:dyDescent="0.35">
      <c r="A23" s="164"/>
      <c r="B23" s="34" t="s">
        <v>1901</v>
      </c>
      <c r="C23" s="186" t="s">
        <v>2683</v>
      </c>
      <c r="D23" s="33" t="s">
        <v>1902</v>
      </c>
      <c r="E23" s="17" t="e">
        <f>'Summary Sheet'!E54</f>
        <v>#DIV/0!</v>
      </c>
      <c r="F23" s="17">
        <f>'Summary Sheet'!F54</f>
        <v>0</v>
      </c>
    </row>
    <row r="24" spans="1:6" ht="29" customHeight="1" x14ac:dyDescent="0.35">
      <c r="A24" s="164"/>
      <c r="B24" s="34" t="s">
        <v>1904</v>
      </c>
      <c r="C24" s="186" t="s">
        <v>2684</v>
      </c>
      <c r="D24" s="33" t="s">
        <v>1905</v>
      </c>
      <c r="E24" s="17">
        <f>'Summary Sheet'!E55</f>
        <v>0</v>
      </c>
      <c r="F24" s="17">
        <f>'Summary Sheet'!F55</f>
        <v>0</v>
      </c>
    </row>
    <row r="25" spans="1:6" ht="29" customHeight="1" x14ac:dyDescent="0.35">
      <c r="A25" s="164"/>
      <c r="B25" s="34" t="s">
        <v>1906</v>
      </c>
      <c r="C25" s="186" t="s">
        <v>2685</v>
      </c>
      <c r="D25" s="33" t="s">
        <v>1907</v>
      </c>
      <c r="E25" s="17">
        <f>'Summary Sheet'!E56</f>
        <v>29.876666666666665</v>
      </c>
      <c r="F25" s="17">
        <f>'Summary Sheet'!F56</f>
        <v>0</v>
      </c>
    </row>
    <row r="26" spans="1:6" x14ac:dyDescent="0.35">
      <c r="A26" s="164"/>
      <c r="B26" s="190" t="s">
        <v>2686</v>
      </c>
      <c r="C26" s="186" t="s">
        <v>2687</v>
      </c>
      <c r="D26" s="186" t="s">
        <v>2688</v>
      </c>
      <c r="E26" s="17">
        <f>'Base line Parameters'!E65</f>
        <v>0</v>
      </c>
      <c r="F26" s="17">
        <f>'Base line Parameters'!F65</f>
        <v>0</v>
      </c>
    </row>
    <row r="27" spans="1:6" x14ac:dyDescent="0.35">
      <c r="A27" s="319"/>
      <c r="B27" s="320"/>
      <c r="C27" s="321"/>
      <c r="D27" s="321"/>
      <c r="E27" s="276"/>
      <c r="F27" s="276"/>
    </row>
    <row r="28" spans="1:6" ht="39.75" customHeight="1" x14ac:dyDescent="0.35">
      <c r="A28" s="164"/>
      <c r="B28" s="190" t="s">
        <v>2689</v>
      </c>
      <c r="C28" s="187" t="s">
        <v>2690</v>
      </c>
      <c r="D28" s="186" t="s">
        <v>1283</v>
      </c>
      <c r="E28" s="21">
        <f>IFERROR((E8*E13+E9*E14+E10*E15)/(E8+E9+E10), 0)</f>
        <v>0</v>
      </c>
      <c r="F28" s="21">
        <f>IFERROR((F8*F13+F9*F14+F10*F15)/(F8+F9+F10), 0)</f>
        <v>0</v>
      </c>
    </row>
    <row r="29" spans="1:6" x14ac:dyDescent="0.35">
      <c r="A29" s="164"/>
      <c r="B29" s="187" t="s">
        <v>2691</v>
      </c>
      <c r="C29" s="187" t="s">
        <v>2692</v>
      </c>
      <c r="D29" s="186" t="s">
        <v>1139</v>
      </c>
      <c r="E29" s="17">
        <f>(E20-E21-E6)*E25*E26/10</f>
        <v>0</v>
      </c>
      <c r="F29" s="17">
        <f>(F20-F21-F6)*F25*F26/10</f>
        <v>0</v>
      </c>
    </row>
    <row r="30" spans="1:6" ht="29" customHeight="1" x14ac:dyDescent="0.35">
      <c r="A30" s="166"/>
      <c r="B30" s="197" t="s">
        <v>2693</v>
      </c>
      <c r="C30" s="400" t="s">
        <v>2694</v>
      </c>
      <c r="D30" s="198" t="s">
        <v>1139</v>
      </c>
      <c r="E30" s="182"/>
      <c r="F30" s="182">
        <f>E29-F29</f>
        <v>0</v>
      </c>
    </row>
    <row r="31" spans="1:6" x14ac:dyDescent="0.35">
      <c r="A31" s="166"/>
      <c r="B31" s="184"/>
      <c r="C31" s="184"/>
      <c r="D31" s="344"/>
      <c r="E31" s="277"/>
      <c r="F31" s="277"/>
    </row>
    <row r="32" spans="1:6" ht="43.5" customHeight="1" x14ac:dyDescent="0.35">
      <c r="A32" s="164"/>
      <c r="B32" s="187" t="s">
        <v>2695</v>
      </c>
      <c r="C32" s="187" t="s">
        <v>2696</v>
      </c>
      <c r="D32" s="186" t="s">
        <v>2670</v>
      </c>
      <c r="E32" s="17"/>
      <c r="F32" s="21">
        <f>IF(E8=0,F8*(F12-F13),F8*((F12-F13)-(E12-E13)))</f>
        <v>0</v>
      </c>
    </row>
    <row r="33" spans="1:6" ht="43.5" customHeight="1" x14ac:dyDescent="0.35">
      <c r="A33" s="164"/>
      <c r="B33" s="187" t="s">
        <v>2697</v>
      </c>
      <c r="C33" s="187" t="s">
        <v>2698</v>
      </c>
      <c r="D33" s="186" t="s">
        <v>2670</v>
      </c>
      <c r="E33" s="17"/>
      <c r="F33" s="21">
        <f>IF(E9=0,F9*(F12-F14),F9*((F12-F14)-(E12-E14)))</f>
        <v>0</v>
      </c>
    </row>
    <row r="34" spans="1:6" ht="43.5" customHeight="1" x14ac:dyDescent="0.35">
      <c r="A34" s="164"/>
      <c r="B34" s="187" t="s">
        <v>2699</v>
      </c>
      <c r="C34" s="187" t="s">
        <v>2700</v>
      </c>
      <c r="D34" s="186" t="s">
        <v>2670</v>
      </c>
      <c r="E34" s="17"/>
      <c r="F34" s="21">
        <f>IF(E10=0,F10*(F12-F15),F10*((F12-F15)-(E12-E15)))</f>
        <v>0</v>
      </c>
    </row>
    <row r="35" spans="1:6" ht="43.5" customHeight="1" x14ac:dyDescent="0.35">
      <c r="A35" s="164"/>
      <c r="B35" s="187" t="s">
        <v>2701</v>
      </c>
      <c r="C35" s="187" t="s">
        <v>2702</v>
      </c>
      <c r="D35" s="186" t="s">
        <v>2670</v>
      </c>
      <c r="E35" s="17"/>
      <c r="F35" s="21">
        <f>SUM(F32:F34)</f>
        <v>0</v>
      </c>
    </row>
    <row r="36" spans="1:6" x14ac:dyDescent="0.35">
      <c r="A36" s="319"/>
      <c r="B36" s="341"/>
      <c r="C36" s="341"/>
      <c r="D36" s="321"/>
      <c r="E36" s="276"/>
      <c r="F36" s="342"/>
    </row>
    <row r="37" spans="1:6" ht="43.5" customHeight="1" x14ac:dyDescent="0.35">
      <c r="A37" s="166"/>
      <c r="B37" s="197" t="s">
        <v>2703</v>
      </c>
      <c r="C37" s="400" t="s">
        <v>2704</v>
      </c>
      <c r="D37" s="198" t="s">
        <v>1139</v>
      </c>
      <c r="E37" s="182"/>
      <c r="F37" s="182">
        <f>F35*(F23*1000+F24*F26)/10</f>
        <v>0</v>
      </c>
    </row>
    <row r="38" spans="1:6" x14ac:dyDescent="0.35">
      <c r="A38" s="166"/>
      <c r="B38" s="184" t="s">
        <v>2705</v>
      </c>
      <c r="C38" s="184" t="s">
        <v>2706</v>
      </c>
      <c r="D38" s="184" t="s">
        <v>1139</v>
      </c>
      <c r="E38" s="184"/>
      <c r="F38" s="185">
        <f>IF(AND(E3="yes",F3="yes"),F30+F37,0)</f>
        <v>0</v>
      </c>
    </row>
  </sheetData>
  <sheetProtection algorithmName="SHA-512" hashValue="kPujOYfX3bMBxvn2Zy4oRTj0yG9S1fITUoLoCZ0NYXKRqKqNzOBiodt5IbGqFdpNb0siNRZbU5htYuQhbkInTg==" saltValue="9rLwLbg5eD2nhW0Ny+SLIg==" spinCount="100000" sheet="1" objects="1" scenarios="1"/>
  <mergeCells count="4">
    <mergeCell ref="C2:F2"/>
    <mergeCell ref="A3:B3"/>
    <mergeCell ref="A1:F1"/>
    <mergeCell ref="A2:B2"/>
  </mergeCells>
  <printOptions horizontalCentered="1"/>
  <pageMargins left="0.11811023622047249" right="0" top="0.35433070866141742" bottom="0.55118110236220474" header="0.31496062992125978" footer="0.31496062992125978"/>
  <pageSetup paperSize="9" orientation="landscape"/>
  <headerFooter>
    <oddFooter>&amp;C&amp;P&amp;RNote: Not to be quoted and not to be published without prior permission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dimension ref="A1:F45"/>
  <sheetViews>
    <sheetView topLeftCell="A21" workbookViewId="0">
      <selection activeCell="F33" sqref="F33"/>
    </sheetView>
  </sheetViews>
  <sheetFormatPr defaultColWidth="0" defaultRowHeight="14.15" customHeight="1" zeroHeight="1" x14ac:dyDescent="0.35"/>
  <cols>
    <col min="1" max="1" width="9.1796875" style="174" customWidth="1"/>
    <col min="2" max="2" width="40.54296875" style="174" customWidth="1"/>
    <col min="3" max="3" width="27.54296875" style="174" customWidth="1"/>
    <col min="4" max="4" width="17.54296875" style="174" customWidth="1"/>
    <col min="5" max="5" width="11.54296875" style="174" customWidth="1"/>
    <col min="6" max="6" width="13.54296875" style="174" customWidth="1"/>
    <col min="7" max="7" width="13" style="12" hidden="1" customWidth="1"/>
    <col min="8" max="16384" width="13" style="12" hidden="1"/>
  </cols>
  <sheetData>
    <row r="1" spans="1:6" ht="23.5" customHeight="1" x14ac:dyDescent="0.35">
      <c r="A1" s="1105" t="s">
        <v>2707</v>
      </c>
      <c r="B1" s="930"/>
      <c r="C1" s="930"/>
      <c r="D1" s="930"/>
      <c r="E1" s="930"/>
      <c r="F1" s="931"/>
    </row>
    <row r="2" spans="1:6" s="169" customFormat="1" ht="18.5" customHeight="1" x14ac:dyDescent="0.35">
      <c r="A2" s="1111" t="str">
        <f>'NF-3 Petcoke'!A2:B2</f>
        <v>Obligated Entity Name</v>
      </c>
      <c r="B2" s="930"/>
      <c r="C2" s="1104" t="str">
        <f>'NF-3 Petcoke'!C2:F2</f>
        <v xml:space="preserve">  </v>
      </c>
      <c r="D2" s="930"/>
      <c r="E2" s="930"/>
      <c r="F2" s="931"/>
    </row>
    <row r="3" spans="1:6" s="169" customFormat="1" ht="18.5" customHeight="1" x14ac:dyDescent="0.35">
      <c r="A3" s="1107" t="s">
        <v>2470</v>
      </c>
      <c r="B3" s="931"/>
      <c r="C3" s="52" t="s">
        <v>1512</v>
      </c>
      <c r="D3" s="288"/>
      <c r="E3" s="288" t="str">
        <f>'Form-Sb'!H887</f>
        <v>No</v>
      </c>
      <c r="F3" s="288">
        <f>'Form-Sb'!I887</f>
        <v>0</v>
      </c>
    </row>
    <row r="4" spans="1:6" ht="43.5" customHeight="1" x14ac:dyDescent="0.35">
      <c r="A4" s="15" t="s">
        <v>2124</v>
      </c>
      <c r="B4" s="25" t="s">
        <v>2570</v>
      </c>
      <c r="C4" s="25" t="s">
        <v>2571</v>
      </c>
      <c r="D4" s="25" t="s">
        <v>1011</v>
      </c>
      <c r="E4" s="261" t="str">
        <f>'Base line Parameters'!E5</f>
        <v>Baseline Year(s)</v>
      </c>
      <c r="F4" s="261" t="str">
        <f>'Base line Parameters'!F5</f>
        <v xml:space="preserve">Current/Assessment /Target Year   </v>
      </c>
    </row>
    <row r="5" spans="1:6" ht="14.5" customHeight="1" x14ac:dyDescent="0.35">
      <c r="A5" s="211"/>
      <c r="B5" s="212" t="s">
        <v>2482</v>
      </c>
      <c r="C5" s="212" t="s">
        <v>2708</v>
      </c>
      <c r="D5" s="212" t="s">
        <v>1897</v>
      </c>
      <c r="E5" s="213">
        <f>'Base line Parameters'!E65</f>
        <v>0</v>
      </c>
      <c r="F5" s="213">
        <f>'Base line Parameters'!F65</f>
        <v>0</v>
      </c>
    </row>
    <row r="6" spans="1:6" ht="14.5" customHeight="1" x14ac:dyDescent="0.35">
      <c r="A6" s="211"/>
      <c r="B6" s="212" t="s">
        <v>2709</v>
      </c>
      <c r="C6" s="212" t="s">
        <v>2710</v>
      </c>
      <c r="D6" s="212" t="s">
        <v>1867</v>
      </c>
      <c r="E6" s="213">
        <f>'Form-Sb'!H585</f>
        <v>0</v>
      </c>
      <c r="F6" s="213">
        <f>'Form-Sb'!I585</f>
        <v>0</v>
      </c>
    </row>
    <row r="7" spans="1:6" ht="14.5" customHeight="1" x14ac:dyDescent="0.35">
      <c r="A7" s="211"/>
      <c r="B7" s="212" t="s">
        <v>2711</v>
      </c>
      <c r="C7" s="212" t="s">
        <v>2712</v>
      </c>
      <c r="D7" s="212" t="s">
        <v>1867</v>
      </c>
      <c r="E7" s="213">
        <f>'Form-Sb'!H610</f>
        <v>0</v>
      </c>
      <c r="F7" s="213">
        <f>'Form-Sb'!I610</f>
        <v>0</v>
      </c>
    </row>
    <row r="8" spans="1:6" ht="14.5" customHeight="1" x14ac:dyDescent="0.35">
      <c r="A8" s="211"/>
      <c r="B8" s="212" t="s">
        <v>2713</v>
      </c>
      <c r="C8" s="212" t="s">
        <v>2714</v>
      </c>
      <c r="D8" s="212" t="s">
        <v>1867</v>
      </c>
      <c r="E8" s="213">
        <f>'Form-Sb'!H742</f>
        <v>0</v>
      </c>
      <c r="F8" s="213">
        <f>'Form-Sb'!I742</f>
        <v>0</v>
      </c>
    </row>
    <row r="9" spans="1:6" ht="14.5" customHeight="1" x14ac:dyDescent="0.35">
      <c r="A9" s="211"/>
      <c r="B9" s="212" t="s">
        <v>2715</v>
      </c>
      <c r="C9" s="212" t="s">
        <v>2716</v>
      </c>
      <c r="D9" s="212" t="s">
        <v>1897</v>
      </c>
      <c r="E9" s="213">
        <f>'NF-5 Power Mix'!E35</f>
        <v>0</v>
      </c>
      <c r="F9" s="213">
        <f>'NF-5 Power Mix'!F35</f>
        <v>0</v>
      </c>
    </row>
    <row r="10" spans="1:6" ht="14.5" customHeight="1" x14ac:dyDescent="0.35">
      <c r="A10" s="214"/>
      <c r="B10" s="215"/>
      <c r="C10" s="215"/>
      <c r="D10" s="215"/>
      <c r="E10" s="216"/>
      <c r="F10" s="216"/>
    </row>
    <row r="11" spans="1:6" ht="43.5" customHeight="1" x14ac:dyDescent="0.35">
      <c r="A11" s="211"/>
      <c r="B11" s="212" t="s">
        <v>1481</v>
      </c>
      <c r="C11" s="212" t="s">
        <v>2717</v>
      </c>
      <c r="D11" s="212" t="s">
        <v>1482</v>
      </c>
      <c r="E11" s="213"/>
      <c r="F11" s="213">
        <f>'Form-Sb'!I213</f>
        <v>0</v>
      </c>
    </row>
    <row r="12" spans="1:6" ht="29" customHeight="1" x14ac:dyDescent="0.35">
      <c r="A12" s="211"/>
      <c r="B12" s="212" t="s">
        <v>1483</v>
      </c>
      <c r="C12" s="212" t="s">
        <v>2718</v>
      </c>
      <c r="D12" s="212" t="s">
        <v>1482</v>
      </c>
      <c r="E12" s="213"/>
      <c r="F12" s="213">
        <f>'Form-Sb'!I214</f>
        <v>0</v>
      </c>
    </row>
    <row r="13" spans="1:6" ht="29" customHeight="1" x14ac:dyDescent="0.35">
      <c r="A13" s="211"/>
      <c r="B13" s="212" t="s">
        <v>2228</v>
      </c>
      <c r="C13" s="212" t="s">
        <v>2719</v>
      </c>
      <c r="D13" s="212" t="s">
        <v>2720</v>
      </c>
      <c r="E13" s="213">
        <f>'Summary Sheet'!E77</f>
        <v>0</v>
      </c>
      <c r="F13" s="213">
        <f>'Summary Sheet'!F77</f>
        <v>0</v>
      </c>
    </row>
    <row r="14" spans="1:6" ht="29" customHeight="1" x14ac:dyDescent="0.35">
      <c r="A14" s="211"/>
      <c r="B14" s="30" t="s">
        <v>2721</v>
      </c>
      <c r="C14" s="212" t="s">
        <v>2722</v>
      </c>
      <c r="D14" s="212" t="s">
        <v>2723</v>
      </c>
      <c r="E14" s="221">
        <f>'Form-Sb'!H219</f>
        <v>0</v>
      </c>
      <c r="F14" s="213"/>
    </row>
    <row r="15" spans="1:6" ht="29" customHeight="1" x14ac:dyDescent="0.35">
      <c r="A15" s="211"/>
      <c r="B15" s="30" t="s">
        <v>1495</v>
      </c>
      <c r="C15" s="212" t="s">
        <v>2724</v>
      </c>
      <c r="D15" s="212" t="s">
        <v>2428</v>
      </c>
      <c r="E15" s="213">
        <f>'Form-Sb'!H220</f>
        <v>0</v>
      </c>
      <c r="F15" s="213"/>
    </row>
    <row r="16" spans="1:6" ht="14.5" customHeight="1" x14ac:dyDescent="0.35">
      <c r="A16" s="214"/>
      <c r="B16" s="215"/>
      <c r="C16" s="215"/>
      <c r="D16" s="215"/>
      <c r="E16" s="216"/>
      <c r="F16" s="216"/>
    </row>
    <row r="17" spans="1:6" s="20" customFormat="1" ht="29" customHeight="1" x14ac:dyDescent="0.35">
      <c r="A17" s="2"/>
      <c r="B17" s="26" t="s">
        <v>2725</v>
      </c>
      <c r="C17" s="212" t="s">
        <v>2726</v>
      </c>
      <c r="D17" s="3" t="s">
        <v>1139</v>
      </c>
      <c r="E17" s="170"/>
      <c r="F17" s="170">
        <f>('Form-Sb'!I855*F5/10)+'Form-Sb'!I856</f>
        <v>0</v>
      </c>
    </row>
    <row r="18" spans="1:6" s="20" customFormat="1" ht="29" customHeight="1" x14ac:dyDescent="0.35">
      <c r="A18" s="2"/>
      <c r="B18" s="19" t="s">
        <v>2727</v>
      </c>
      <c r="C18" s="212" t="s">
        <v>2728</v>
      </c>
      <c r="D18" s="3" t="s">
        <v>1139</v>
      </c>
      <c r="E18" s="170"/>
      <c r="F18" s="170">
        <f>'Form-Sb'!I859*E6/10^3</f>
        <v>0</v>
      </c>
    </row>
    <row r="19" spans="1:6" s="20" customFormat="1" ht="29" customHeight="1" x14ac:dyDescent="0.35">
      <c r="A19" s="2"/>
      <c r="B19" s="19" t="s">
        <v>2729</v>
      </c>
      <c r="C19" s="212" t="s">
        <v>2730</v>
      </c>
      <c r="D19" s="3" t="s">
        <v>1139</v>
      </c>
      <c r="E19" s="170"/>
      <c r="F19" s="170">
        <f>'Form-Sb'!I860*E7/10^3</f>
        <v>0</v>
      </c>
    </row>
    <row r="20" spans="1:6" s="20" customFormat="1" ht="29" customHeight="1" x14ac:dyDescent="0.35">
      <c r="A20" s="2"/>
      <c r="B20" s="26" t="s">
        <v>2731</v>
      </c>
      <c r="C20" s="212" t="s">
        <v>2732</v>
      </c>
      <c r="D20" s="3" t="s">
        <v>1139</v>
      </c>
      <c r="E20" s="170"/>
      <c r="F20" s="170">
        <f>'Form-Sb'!I861*E8/10^3</f>
        <v>0</v>
      </c>
    </row>
    <row r="21" spans="1:6" ht="43.5" customHeight="1" x14ac:dyDescent="0.35">
      <c r="A21" s="2"/>
      <c r="B21" s="26" t="s">
        <v>2733</v>
      </c>
      <c r="C21" s="212" t="s">
        <v>2734</v>
      </c>
      <c r="D21" s="217" t="s">
        <v>1139</v>
      </c>
      <c r="E21" s="218"/>
      <c r="F21" s="218">
        <f>('Form-Sb'!I863*F5/10)+'Form-Sb'!I864</f>
        <v>0</v>
      </c>
    </row>
    <row r="22" spans="1:6" ht="43.5" customHeight="1" x14ac:dyDescent="0.35">
      <c r="A22" s="2"/>
      <c r="B22" s="19" t="s">
        <v>2735</v>
      </c>
      <c r="C22" s="212" t="s">
        <v>2736</v>
      </c>
      <c r="D22" s="3" t="s">
        <v>1139</v>
      </c>
      <c r="E22" s="170"/>
      <c r="F22" s="172">
        <f>('Form-Sb'!I866*'NF-7 Others'!F5/10)+'Form-Sb'!I867</f>
        <v>0</v>
      </c>
    </row>
    <row r="23" spans="1:6" ht="58" customHeight="1" x14ac:dyDescent="0.35">
      <c r="A23" s="2"/>
      <c r="B23" s="19" t="s">
        <v>2737</v>
      </c>
      <c r="C23" s="212" t="s">
        <v>2738</v>
      </c>
      <c r="D23" s="3" t="s">
        <v>1139</v>
      </c>
      <c r="E23" s="170"/>
      <c r="F23" s="170">
        <f>('Form-Sb'!I870*'NF-7 Others'!F5/10)+'Form-Sb'!I871</f>
        <v>0</v>
      </c>
    </row>
    <row r="24" spans="1:6" ht="29" customHeight="1" x14ac:dyDescent="0.35">
      <c r="A24" s="2"/>
      <c r="B24" s="19" t="s">
        <v>2739</v>
      </c>
      <c r="C24" s="212" t="s">
        <v>2740</v>
      </c>
      <c r="D24" s="3" t="s">
        <v>1139</v>
      </c>
      <c r="E24" s="170"/>
      <c r="F24" s="172">
        <f>('Form-Sb'!I875*F5/10)+'Form-Sb'!I876</f>
        <v>0</v>
      </c>
    </row>
    <row r="25" spans="1:6" ht="43.5" customHeight="1" x14ac:dyDescent="0.35">
      <c r="A25" s="2"/>
      <c r="B25" s="19" t="s">
        <v>2741</v>
      </c>
      <c r="C25" s="212" t="s">
        <v>2742</v>
      </c>
      <c r="D25" s="3" t="s">
        <v>1139</v>
      </c>
      <c r="E25" s="170"/>
      <c r="F25" s="305">
        <f>'Form-Sb'!I872*F5/10</f>
        <v>0</v>
      </c>
    </row>
    <row r="26" spans="1:6" ht="14.5" customHeight="1" x14ac:dyDescent="0.35">
      <c r="A26" s="15"/>
      <c r="B26" s="25" t="s">
        <v>2588</v>
      </c>
      <c r="C26" s="25"/>
      <c r="D26" s="25" t="s">
        <v>2743</v>
      </c>
      <c r="E26" s="173"/>
      <c r="F26" s="173">
        <f>IF(AND(E3="yes",F3="yes"),SUM(F17:F24),0)</f>
        <v>0</v>
      </c>
    </row>
    <row r="27" spans="1:6" ht="14.5" customHeight="1" x14ac:dyDescent="0.35">
      <c r="A27" s="1086" t="s">
        <v>2744</v>
      </c>
      <c r="B27" s="930"/>
      <c r="C27" s="930"/>
      <c r="D27" s="930"/>
      <c r="E27" s="930"/>
      <c r="F27" s="931"/>
    </row>
    <row r="28" spans="1:6" ht="29" customHeight="1" x14ac:dyDescent="0.35">
      <c r="A28" s="2"/>
      <c r="B28" s="212" t="s">
        <v>2745</v>
      </c>
      <c r="C28" s="217" t="s">
        <v>2746</v>
      </c>
      <c r="D28" s="3" t="s">
        <v>2747</v>
      </c>
      <c r="E28" s="171">
        <f>E14*10000</f>
        <v>0</v>
      </c>
      <c r="F28" s="170"/>
    </row>
    <row r="29" spans="1:6" ht="14.5" customHeight="1" x14ac:dyDescent="0.35">
      <c r="A29" s="2"/>
      <c r="B29" s="212" t="s">
        <v>2745</v>
      </c>
      <c r="C29" s="217" t="s">
        <v>2748</v>
      </c>
      <c r="D29" s="3" t="s">
        <v>1139</v>
      </c>
      <c r="E29" s="23">
        <f>E28*E15*1000/10^6</f>
        <v>0</v>
      </c>
      <c r="F29" s="170"/>
    </row>
    <row r="30" spans="1:6" ht="29" customHeight="1" x14ac:dyDescent="0.35">
      <c r="A30" s="2"/>
      <c r="B30" s="212" t="s">
        <v>2749</v>
      </c>
      <c r="C30" s="217" t="s">
        <v>2750</v>
      </c>
      <c r="D30" s="3" t="s">
        <v>2747</v>
      </c>
      <c r="E30" s="171"/>
      <c r="F30" s="170">
        <f>E13-F13</f>
        <v>0</v>
      </c>
    </row>
    <row r="31" spans="1:6" ht="14.5" customHeight="1" x14ac:dyDescent="0.35">
      <c r="A31" s="2"/>
      <c r="B31" s="212" t="s">
        <v>2749</v>
      </c>
      <c r="C31" s="217" t="s">
        <v>2751</v>
      </c>
      <c r="D31" s="3" t="s">
        <v>1139</v>
      </c>
      <c r="E31" s="171"/>
      <c r="F31" s="223">
        <f>F30*E15*1000/10^6</f>
        <v>0</v>
      </c>
    </row>
    <row r="32" spans="1:6" ht="29" customHeight="1" x14ac:dyDescent="0.35">
      <c r="A32" s="2"/>
      <c r="B32" s="212" t="s">
        <v>2752</v>
      </c>
      <c r="C32" s="217" t="s">
        <v>2753</v>
      </c>
      <c r="D32" s="3" t="s">
        <v>2747</v>
      </c>
      <c r="E32" s="171"/>
      <c r="F32" s="170">
        <f>F30-E28</f>
        <v>0</v>
      </c>
    </row>
    <row r="33" spans="1:6" ht="29" customHeight="1" x14ac:dyDescent="0.35">
      <c r="A33" s="2"/>
      <c r="B33" s="212" t="s">
        <v>2752</v>
      </c>
      <c r="C33" s="217" t="s">
        <v>2754</v>
      </c>
      <c r="D33" s="3" t="s">
        <v>1139</v>
      </c>
      <c r="E33" s="171"/>
      <c r="F33" s="17">
        <f>F31-E29</f>
        <v>0</v>
      </c>
    </row>
    <row r="34" spans="1:6" ht="58" customHeight="1" x14ac:dyDescent="0.35">
      <c r="A34" s="2"/>
      <c r="B34" s="212" t="s">
        <v>2755</v>
      </c>
      <c r="C34" s="217" t="s">
        <v>2756</v>
      </c>
      <c r="D34" s="3" t="s">
        <v>1139</v>
      </c>
      <c r="E34" s="171"/>
      <c r="F34" s="223">
        <f>IF(F9=0,(F11+F12)*1000*2717/10^6,(F11+F12)*1000*F9/10^6)</f>
        <v>0</v>
      </c>
    </row>
    <row r="35" spans="1:6" s="177" customFormat="1" ht="43.5" customHeight="1" x14ac:dyDescent="0.35">
      <c r="A35" s="15"/>
      <c r="B35" s="219" t="s">
        <v>2757</v>
      </c>
      <c r="C35" s="220" t="s">
        <v>2758</v>
      </c>
      <c r="D35" s="25" t="s">
        <v>1139</v>
      </c>
      <c r="E35" s="173"/>
      <c r="F35" s="185">
        <f>IF(F32&lt;=0,0,IF(F34&gt;F33,F33,F34))</f>
        <v>0</v>
      </c>
    </row>
    <row r="36" spans="1:6" ht="14.5" customHeight="1" x14ac:dyDescent="0.35">
      <c r="A36" s="2"/>
      <c r="B36" s="26"/>
      <c r="C36" s="217"/>
      <c r="D36" s="3"/>
      <c r="E36" s="170"/>
      <c r="F36" s="172"/>
    </row>
    <row r="37" spans="1:6" ht="14.5" customHeight="1" x14ac:dyDescent="0.35">
      <c r="A37" s="12"/>
      <c r="B37" s="12"/>
      <c r="C37" s="12"/>
      <c r="D37" s="12"/>
      <c r="E37" s="12"/>
      <c r="F37" s="12"/>
    </row>
    <row r="38" spans="1:6" ht="14.5" customHeight="1" x14ac:dyDescent="0.35">
      <c r="A38" s="12"/>
      <c r="B38" s="12"/>
      <c r="C38" s="12"/>
      <c r="D38" s="12"/>
      <c r="E38" s="12"/>
      <c r="F38" s="12"/>
    </row>
    <row r="39" spans="1:6" ht="14.5" customHeight="1" x14ac:dyDescent="0.35">
      <c r="A39" s="12"/>
      <c r="B39" s="12"/>
      <c r="C39" s="12"/>
      <c r="D39" s="12"/>
      <c r="E39" s="222"/>
      <c r="F39" s="12"/>
    </row>
    <row r="40" spans="1:6" ht="14.15" customHeight="1" x14ac:dyDescent="0.35">
      <c r="A40" s="12"/>
      <c r="B40" s="12"/>
      <c r="C40" s="12"/>
      <c r="D40" s="12"/>
      <c r="E40" s="222"/>
      <c r="F40" s="12"/>
    </row>
    <row r="41" spans="1:6" ht="14.15" customHeight="1" x14ac:dyDescent="0.35">
      <c r="A41" s="12"/>
      <c r="B41" s="12"/>
      <c r="C41" s="12"/>
      <c r="D41" s="12"/>
      <c r="E41" s="12"/>
      <c r="F41" s="12"/>
    </row>
    <row r="42" spans="1:6" ht="14.15" customHeight="1" x14ac:dyDescent="0.35">
      <c r="A42" s="12"/>
      <c r="B42" s="12"/>
      <c r="C42" s="12"/>
      <c r="D42" s="12"/>
      <c r="E42" s="12"/>
      <c r="F42" s="12"/>
    </row>
    <row r="43" spans="1:6" ht="14.15" customHeight="1" x14ac:dyDescent="0.35">
      <c r="A43" s="12"/>
      <c r="B43" s="12"/>
      <c r="C43" s="12"/>
      <c r="D43" s="12"/>
      <c r="E43" s="12"/>
      <c r="F43" s="12"/>
    </row>
    <row r="44" spans="1:6" ht="14.15" customHeight="1" x14ac:dyDescent="0.35">
      <c r="A44" s="12"/>
      <c r="B44" s="12"/>
      <c r="C44" s="12"/>
      <c r="D44" s="12"/>
      <c r="E44" s="12"/>
      <c r="F44" s="12"/>
    </row>
    <row r="45" spans="1:6" ht="14.15" customHeight="1" x14ac:dyDescent="0.35">
      <c r="A45" s="12"/>
      <c r="B45" s="12"/>
      <c r="C45" s="12"/>
      <c r="D45" s="12"/>
      <c r="E45" s="12"/>
      <c r="F45" s="12"/>
    </row>
  </sheetData>
  <sheetProtection sheet="1"/>
  <mergeCells count="5">
    <mergeCell ref="A2:B2"/>
    <mergeCell ref="A1:F1"/>
    <mergeCell ref="A27:F27"/>
    <mergeCell ref="C2:F2"/>
    <mergeCell ref="A3:B3"/>
  </mergeCells>
  <printOptions horizontalCentered="1"/>
  <pageMargins left="0.11811023622047249" right="0" top="0.74803149606299213" bottom="0.74803149606299213" header="0.31496062992125978" footer="0.31496062992125978"/>
  <pageSetup scale="98" orientation="landscape"/>
  <headerFooter>
    <oddFooter>&amp;C&amp;P&amp;RNote: Not to be quoted and not to be published without prior permission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9"/>
  <dimension ref="A1:CX33"/>
  <sheetViews>
    <sheetView workbookViewId="0">
      <selection activeCell="E9" sqref="E9:F9"/>
    </sheetView>
  </sheetViews>
  <sheetFormatPr defaultRowHeight="14.5" x14ac:dyDescent="0.35"/>
  <cols>
    <col min="2" max="2" width="33.453125" customWidth="1"/>
    <col min="3" max="3" width="22.453125" customWidth="1"/>
    <col min="4" max="4" width="11.453125" customWidth="1"/>
    <col min="5" max="5" width="11.1796875" customWidth="1"/>
    <col min="6" max="6" width="13.453125" customWidth="1"/>
    <col min="7" max="7" width="12" bestFit="1" customWidth="1"/>
    <col min="9" max="9" width="12" bestFit="1" customWidth="1"/>
  </cols>
  <sheetData>
    <row r="1" spans="1:102" ht="23.5" customHeight="1" x14ac:dyDescent="0.35">
      <c r="A1" s="1105" t="s">
        <v>2759</v>
      </c>
      <c r="B1" s="930"/>
      <c r="C1" s="930"/>
      <c r="D1" s="930"/>
      <c r="E1" s="930"/>
      <c r="F1" s="931"/>
      <c r="G1" s="389"/>
      <c r="H1" s="389"/>
      <c r="I1" s="389"/>
      <c r="J1" s="389"/>
      <c r="K1" s="389"/>
      <c r="L1" s="389"/>
      <c r="M1" s="389"/>
      <c r="N1" s="389"/>
      <c r="O1" s="389"/>
      <c r="P1" s="389"/>
      <c r="Q1" s="389"/>
      <c r="R1" s="389"/>
      <c r="S1" s="389"/>
      <c r="T1" s="389"/>
      <c r="U1" s="389"/>
      <c r="V1" s="389"/>
      <c r="W1" s="389"/>
      <c r="X1" s="389"/>
      <c r="Y1" s="389"/>
      <c r="Z1" s="389"/>
      <c r="AA1" s="389"/>
      <c r="AB1" s="389"/>
      <c r="AC1" s="389"/>
      <c r="AD1" s="389"/>
      <c r="AE1" s="389"/>
      <c r="AF1" s="389"/>
      <c r="AG1" s="389"/>
      <c r="AH1" s="389"/>
      <c r="AI1" s="389"/>
      <c r="AJ1" s="389"/>
      <c r="AK1" s="389"/>
      <c r="AL1" s="389"/>
      <c r="AM1" s="389"/>
      <c r="AN1" s="389"/>
      <c r="AO1" s="389"/>
      <c r="AP1" s="389"/>
      <c r="AQ1" s="389"/>
      <c r="AR1" s="389"/>
      <c r="AS1" s="389"/>
      <c r="AT1" s="389"/>
      <c r="AU1" s="389"/>
      <c r="AV1" s="389"/>
      <c r="AW1" s="389"/>
      <c r="AX1" s="389"/>
      <c r="AY1" s="389"/>
      <c r="AZ1" s="389"/>
      <c r="BA1" s="389"/>
      <c r="BB1" s="389"/>
      <c r="BC1" s="389"/>
      <c r="BD1" s="389"/>
      <c r="BE1" s="389"/>
      <c r="BF1" s="389"/>
      <c r="BG1" s="389"/>
      <c r="BH1" s="389"/>
      <c r="BI1" s="389"/>
      <c r="BJ1" s="389"/>
      <c r="BK1" s="389"/>
      <c r="BL1" s="389"/>
      <c r="BM1" s="389"/>
      <c r="BN1" s="389"/>
      <c r="BO1" s="389"/>
      <c r="BP1" s="389"/>
      <c r="BQ1" s="389"/>
      <c r="BR1" s="389"/>
      <c r="BS1" s="389"/>
      <c r="BT1" s="389"/>
      <c r="BU1" s="389"/>
      <c r="BV1" s="389"/>
      <c r="BW1" s="389"/>
      <c r="BX1" s="389"/>
      <c r="BY1" s="389"/>
      <c r="BZ1" s="389"/>
      <c r="CA1" s="389"/>
      <c r="CB1" s="389"/>
      <c r="CC1" s="389"/>
      <c r="CD1" s="389"/>
      <c r="CE1" s="389"/>
      <c r="CF1" s="389"/>
      <c r="CG1" s="389"/>
      <c r="CH1" s="389"/>
      <c r="CI1" s="389"/>
      <c r="CJ1" s="389"/>
      <c r="CK1" s="389"/>
      <c r="CL1" s="389"/>
      <c r="CM1" s="389"/>
      <c r="CN1" s="389"/>
      <c r="CO1" s="389"/>
      <c r="CP1" s="389"/>
      <c r="CQ1" s="389"/>
      <c r="CR1" s="389"/>
      <c r="CS1" s="389"/>
      <c r="CT1" s="389"/>
      <c r="CU1" s="389"/>
      <c r="CV1" s="389"/>
      <c r="CW1" s="389"/>
      <c r="CX1" s="389"/>
    </row>
    <row r="2" spans="1:102" ht="18.5" customHeight="1" x14ac:dyDescent="0.35">
      <c r="A2" s="1111" t="str">
        <f>'NF-7 Others'!A2:B2</f>
        <v>Obligated Entity Name</v>
      </c>
      <c r="B2" s="930"/>
      <c r="C2" s="1104" t="str">
        <f>'NF-7 Others'!C2:F2</f>
        <v xml:space="preserve">  </v>
      </c>
      <c r="D2" s="930"/>
      <c r="E2" s="930"/>
      <c r="F2" s="931"/>
      <c r="G2" s="389"/>
      <c r="H2" s="389"/>
      <c r="I2" s="389"/>
      <c r="J2" s="389"/>
      <c r="K2" s="389"/>
      <c r="L2" s="389"/>
      <c r="M2" s="389"/>
      <c r="N2" s="389"/>
      <c r="O2" s="389"/>
      <c r="P2" s="389"/>
      <c r="Q2" s="389"/>
      <c r="R2" s="389"/>
      <c r="S2" s="389"/>
      <c r="T2" s="389"/>
      <c r="U2" s="389"/>
      <c r="V2" s="389"/>
      <c r="W2" s="389"/>
      <c r="X2" s="389"/>
      <c r="Y2" s="389"/>
      <c r="Z2" s="389"/>
      <c r="AA2" s="389"/>
      <c r="AB2" s="389"/>
      <c r="AC2" s="389"/>
      <c r="AD2" s="389"/>
      <c r="AE2" s="389"/>
      <c r="AF2" s="389"/>
      <c r="AG2" s="389"/>
      <c r="AH2" s="389"/>
      <c r="AI2" s="389"/>
      <c r="AJ2" s="389"/>
      <c r="AK2" s="389"/>
      <c r="AL2" s="389"/>
      <c r="AM2" s="389"/>
      <c r="AN2" s="389"/>
      <c r="AO2" s="389"/>
      <c r="AP2" s="389"/>
      <c r="AQ2" s="389"/>
      <c r="AR2" s="389"/>
      <c r="AS2" s="389"/>
      <c r="AT2" s="389"/>
      <c r="AU2" s="389"/>
      <c r="AV2" s="389"/>
      <c r="AW2" s="389"/>
      <c r="AX2" s="389"/>
      <c r="AY2" s="389"/>
      <c r="AZ2" s="389"/>
      <c r="BA2" s="389"/>
      <c r="BB2" s="389"/>
      <c r="BC2" s="389"/>
      <c r="BD2" s="389"/>
      <c r="BE2" s="389"/>
      <c r="BF2" s="389"/>
      <c r="BG2" s="389"/>
      <c r="BH2" s="389"/>
      <c r="BI2" s="389"/>
      <c r="BJ2" s="389"/>
      <c r="BK2" s="389"/>
      <c r="BL2" s="389"/>
      <c r="BM2" s="389"/>
      <c r="BN2" s="389"/>
      <c r="BO2" s="389"/>
      <c r="BP2" s="389"/>
      <c r="BQ2" s="389"/>
      <c r="BR2" s="389"/>
      <c r="BS2" s="389"/>
      <c r="BT2" s="389"/>
      <c r="BU2" s="389"/>
      <c r="BV2" s="389"/>
      <c r="BW2" s="389"/>
      <c r="BX2" s="389"/>
      <c r="BY2" s="389"/>
      <c r="BZ2" s="389"/>
      <c r="CA2" s="389"/>
      <c r="CB2" s="389"/>
      <c r="CC2" s="389"/>
      <c r="CD2" s="389"/>
      <c r="CE2" s="389"/>
      <c r="CF2" s="389"/>
      <c r="CG2" s="389"/>
      <c r="CH2" s="389"/>
      <c r="CI2" s="389"/>
      <c r="CJ2" s="389"/>
      <c r="CK2" s="389"/>
      <c r="CL2" s="389"/>
      <c r="CM2" s="389"/>
      <c r="CN2" s="389"/>
      <c r="CO2" s="389"/>
      <c r="CP2" s="389"/>
      <c r="CQ2" s="389"/>
      <c r="CR2" s="389"/>
      <c r="CS2" s="389"/>
      <c r="CT2" s="389"/>
      <c r="CU2" s="389"/>
      <c r="CV2" s="389"/>
      <c r="CW2" s="389"/>
      <c r="CX2" s="389"/>
    </row>
    <row r="3" spans="1:102" ht="30.75" customHeight="1" x14ac:dyDescent="0.35">
      <c r="A3" s="1114" t="s">
        <v>2470</v>
      </c>
      <c r="B3" s="931"/>
      <c r="C3" s="52" t="s">
        <v>1512</v>
      </c>
      <c r="D3" s="52"/>
      <c r="E3" s="17" t="str">
        <f>'Form-Sb'!H888</f>
        <v>No</v>
      </c>
      <c r="F3" s="17">
        <f>'Form-Sb'!I888</f>
        <v>0</v>
      </c>
      <c r="G3" s="389"/>
      <c r="H3" s="389"/>
      <c r="I3" s="389"/>
      <c r="J3" s="389"/>
      <c r="K3" s="389"/>
      <c r="L3" s="389"/>
      <c r="M3" s="389"/>
      <c r="N3" s="389"/>
      <c r="O3" s="389"/>
      <c r="P3" s="389"/>
      <c r="Q3" s="389"/>
      <c r="R3" s="389"/>
      <c r="S3" s="389"/>
      <c r="T3" s="389"/>
      <c r="U3" s="389"/>
      <c r="V3" s="389"/>
      <c r="W3" s="389"/>
      <c r="X3" s="389"/>
      <c r="Y3" s="389"/>
      <c r="Z3" s="389"/>
      <c r="AA3" s="389"/>
      <c r="AB3" s="389"/>
      <c r="AC3" s="389"/>
      <c r="AD3" s="389"/>
      <c r="AE3" s="389"/>
      <c r="AF3" s="389"/>
      <c r="AG3" s="389"/>
      <c r="AH3" s="389"/>
      <c r="AI3" s="389"/>
      <c r="AJ3" s="389"/>
      <c r="AK3" s="389"/>
      <c r="AL3" s="389"/>
      <c r="AM3" s="389"/>
      <c r="AN3" s="389"/>
      <c r="AO3" s="389"/>
      <c r="AP3" s="389"/>
      <c r="AQ3" s="389"/>
      <c r="AR3" s="389"/>
      <c r="AS3" s="389"/>
      <c r="AT3" s="389"/>
      <c r="AU3" s="389"/>
      <c r="AV3" s="389"/>
      <c r="AW3" s="389"/>
      <c r="AX3" s="389"/>
      <c r="AY3" s="389"/>
      <c r="AZ3" s="389"/>
      <c r="BA3" s="389"/>
      <c r="BB3" s="389"/>
      <c r="BC3" s="389"/>
      <c r="BD3" s="389"/>
      <c r="BE3" s="389"/>
      <c r="BF3" s="389"/>
      <c r="BG3" s="389"/>
      <c r="BH3" s="389"/>
      <c r="BI3" s="389"/>
      <c r="BJ3" s="389"/>
      <c r="BK3" s="389"/>
      <c r="BL3" s="389"/>
      <c r="BM3" s="389"/>
      <c r="BN3" s="389"/>
      <c r="BO3" s="389"/>
      <c r="BP3" s="389"/>
      <c r="BQ3" s="389"/>
      <c r="BR3" s="389"/>
      <c r="BS3" s="389"/>
      <c r="BT3" s="389"/>
      <c r="BU3" s="389"/>
      <c r="BV3" s="389"/>
      <c r="BW3" s="389"/>
      <c r="BX3" s="389"/>
      <c r="BY3" s="389"/>
      <c r="BZ3" s="389"/>
      <c r="CA3" s="389"/>
      <c r="CB3" s="389"/>
      <c r="CC3" s="389"/>
      <c r="CD3" s="389"/>
      <c r="CE3" s="389"/>
      <c r="CF3" s="389"/>
      <c r="CG3" s="389"/>
      <c r="CH3" s="389"/>
      <c r="CI3" s="389"/>
      <c r="CJ3" s="389"/>
      <c r="CK3" s="389"/>
      <c r="CL3" s="389"/>
      <c r="CM3" s="389"/>
      <c r="CN3" s="389"/>
      <c r="CO3" s="389"/>
      <c r="CP3" s="389"/>
      <c r="CQ3" s="389"/>
      <c r="CR3" s="389"/>
      <c r="CS3" s="389"/>
      <c r="CT3" s="389"/>
      <c r="CU3" s="389"/>
      <c r="CV3" s="389"/>
      <c r="CW3" s="389"/>
      <c r="CX3" s="389"/>
    </row>
    <row r="4" spans="1:102" ht="29" customHeight="1" x14ac:dyDescent="0.35">
      <c r="A4" s="391" t="s">
        <v>2124</v>
      </c>
      <c r="B4" s="384" t="s">
        <v>999</v>
      </c>
      <c r="C4" s="384" t="s">
        <v>2476</v>
      </c>
      <c r="D4" s="384" t="s">
        <v>2477</v>
      </c>
      <c r="E4" s="384" t="s">
        <v>2760</v>
      </c>
      <c r="F4" s="392" t="s">
        <v>2761</v>
      </c>
      <c r="G4" s="389"/>
      <c r="H4" s="389"/>
      <c r="I4" s="389"/>
      <c r="J4" s="389"/>
      <c r="K4" s="389"/>
      <c r="L4" s="389"/>
      <c r="M4" s="389"/>
      <c r="N4" s="389"/>
      <c r="O4" s="389"/>
      <c r="P4" s="389"/>
      <c r="Q4" s="389"/>
      <c r="R4" s="389"/>
      <c r="S4" s="389"/>
      <c r="T4" s="389"/>
      <c r="U4" s="389"/>
      <c r="V4" s="389"/>
      <c r="W4" s="389"/>
      <c r="X4" s="389"/>
      <c r="Y4" s="389"/>
      <c r="Z4" s="389"/>
      <c r="AA4" s="389"/>
      <c r="AB4" s="389"/>
      <c r="AC4" s="389"/>
      <c r="AD4" s="389"/>
      <c r="AE4" s="389"/>
      <c r="AF4" s="389"/>
      <c r="AG4" s="389"/>
      <c r="AH4" s="389"/>
      <c r="AI4" s="389"/>
      <c r="AJ4" s="389"/>
      <c r="AK4" s="389"/>
      <c r="AL4" s="389"/>
      <c r="AM4" s="389"/>
      <c r="AN4" s="389"/>
      <c r="AO4" s="389"/>
      <c r="AP4" s="389"/>
      <c r="AQ4" s="389"/>
      <c r="AR4" s="389"/>
      <c r="AS4" s="389"/>
      <c r="AT4" s="389"/>
      <c r="AU4" s="389"/>
      <c r="AV4" s="389"/>
      <c r="AW4" s="389"/>
      <c r="AX4" s="389"/>
      <c r="AY4" s="389"/>
      <c r="AZ4" s="389"/>
      <c r="BA4" s="389"/>
      <c r="BB4" s="389"/>
      <c r="BC4" s="389"/>
      <c r="BD4" s="389"/>
      <c r="BE4" s="389"/>
      <c r="BF4" s="389"/>
      <c r="BG4" s="389"/>
      <c r="BH4" s="389"/>
      <c r="BI4" s="389"/>
      <c r="BJ4" s="389"/>
      <c r="BK4" s="389"/>
      <c r="BL4" s="389"/>
      <c r="BM4" s="389"/>
      <c r="BN4" s="389"/>
      <c r="BO4" s="389"/>
      <c r="BP4" s="389"/>
      <c r="BQ4" s="389"/>
      <c r="BR4" s="389"/>
      <c r="BS4" s="389"/>
      <c r="BT4" s="389"/>
      <c r="BU4" s="389"/>
      <c r="BV4" s="389"/>
      <c r="BW4" s="389"/>
      <c r="BX4" s="389"/>
      <c r="BY4" s="389"/>
      <c r="BZ4" s="389"/>
      <c r="CA4" s="389"/>
      <c r="CB4" s="389"/>
      <c r="CC4" s="389"/>
      <c r="CD4" s="389"/>
      <c r="CE4" s="389"/>
      <c r="CF4" s="389"/>
      <c r="CG4" s="389"/>
      <c r="CH4" s="389"/>
      <c r="CI4" s="389"/>
      <c r="CJ4" s="389"/>
      <c r="CK4" s="389"/>
      <c r="CL4" s="389"/>
      <c r="CM4" s="389"/>
      <c r="CN4" s="389"/>
      <c r="CO4" s="389"/>
      <c r="CP4" s="389"/>
      <c r="CQ4" s="389"/>
      <c r="CR4" s="389"/>
      <c r="CS4" s="389"/>
      <c r="CT4" s="389"/>
      <c r="CU4" s="389"/>
      <c r="CV4" s="389"/>
      <c r="CW4" s="389"/>
      <c r="CX4" s="389"/>
    </row>
    <row r="5" spans="1:102" ht="31.5" customHeight="1" x14ac:dyDescent="0.35">
      <c r="A5" s="258"/>
      <c r="B5" s="16" t="s">
        <v>2548</v>
      </c>
      <c r="C5" s="52" t="s">
        <v>56</v>
      </c>
      <c r="D5" s="52" t="s">
        <v>2762</v>
      </c>
      <c r="E5" s="164">
        <f>'Form-Sb'!H33</f>
        <v>0</v>
      </c>
      <c r="F5" s="393">
        <f>'Form-Sb'!I33</f>
        <v>0</v>
      </c>
      <c r="G5" s="389"/>
      <c r="H5" s="389"/>
      <c r="I5" s="389"/>
      <c r="J5" s="389"/>
      <c r="K5" s="389"/>
      <c r="L5" s="389"/>
      <c r="M5" s="389"/>
      <c r="N5" s="389"/>
      <c r="O5" s="389"/>
      <c r="P5" s="389"/>
      <c r="Q5" s="389"/>
      <c r="R5" s="389"/>
      <c r="S5" s="389"/>
      <c r="T5" s="389"/>
      <c r="U5" s="389"/>
      <c r="V5" s="389"/>
      <c r="W5" s="389"/>
      <c r="X5" s="389"/>
      <c r="Y5" s="389"/>
      <c r="Z5" s="389"/>
      <c r="AA5" s="389"/>
      <c r="AB5" s="389"/>
      <c r="AC5" s="389"/>
      <c r="AD5" s="389"/>
      <c r="AE5" s="389"/>
      <c r="AF5" s="389"/>
      <c r="AG5" s="389"/>
      <c r="AH5" s="389"/>
      <c r="AI5" s="389"/>
      <c r="AJ5" s="389"/>
      <c r="AK5" s="389"/>
      <c r="AL5" s="389"/>
      <c r="AM5" s="389"/>
      <c r="AN5" s="389"/>
      <c r="AO5" s="389"/>
      <c r="AP5" s="389"/>
      <c r="AQ5" s="389"/>
      <c r="AR5" s="389"/>
      <c r="AS5" s="389"/>
      <c r="AT5" s="389"/>
      <c r="AU5" s="389"/>
      <c r="AV5" s="389"/>
      <c r="AW5" s="389"/>
      <c r="AX5" s="389"/>
      <c r="AY5" s="389"/>
      <c r="AZ5" s="389"/>
      <c r="BA5" s="389"/>
      <c r="BB5" s="389"/>
      <c r="BC5" s="389"/>
      <c r="BD5" s="389"/>
      <c r="BE5" s="389"/>
      <c r="BF5" s="389"/>
      <c r="BG5" s="389"/>
      <c r="BH5" s="389"/>
      <c r="BI5" s="389"/>
      <c r="BJ5" s="389"/>
      <c r="BK5" s="389"/>
      <c r="BL5" s="389"/>
      <c r="BM5" s="389"/>
      <c r="BN5" s="389"/>
      <c r="BO5" s="389"/>
      <c r="BP5" s="389"/>
      <c r="BQ5" s="389"/>
      <c r="BR5" s="389"/>
      <c r="BS5" s="389"/>
      <c r="BT5" s="389"/>
      <c r="BU5" s="389"/>
      <c r="BV5" s="389"/>
      <c r="BW5" s="389"/>
      <c r="BX5" s="389"/>
      <c r="BY5" s="389"/>
      <c r="BZ5" s="389"/>
      <c r="CA5" s="389"/>
      <c r="CB5" s="389"/>
      <c r="CC5" s="389"/>
      <c r="CD5" s="389"/>
      <c r="CE5" s="389"/>
      <c r="CF5" s="389"/>
      <c r="CG5" s="389"/>
      <c r="CH5" s="389"/>
      <c r="CI5" s="389"/>
      <c r="CJ5" s="389"/>
      <c r="CK5" s="389"/>
      <c r="CL5" s="389"/>
      <c r="CM5" s="389"/>
      <c r="CN5" s="389"/>
      <c r="CO5" s="389"/>
      <c r="CP5" s="389"/>
      <c r="CQ5" s="389"/>
      <c r="CR5" s="389"/>
      <c r="CS5" s="389"/>
      <c r="CT5" s="389"/>
      <c r="CU5" s="389"/>
      <c r="CV5" s="389"/>
      <c r="CW5" s="389"/>
      <c r="CX5" s="389"/>
    </row>
    <row r="6" spans="1:102" ht="34.5" customHeight="1" x14ac:dyDescent="0.35">
      <c r="A6" s="258"/>
      <c r="B6" s="16" t="s">
        <v>2763</v>
      </c>
      <c r="C6" s="52" t="s">
        <v>56</v>
      </c>
      <c r="D6" s="52" t="s">
        <v>2762</v>
      </c>
      <c r="E6" s="17">
        <f>'Form-Sb'!H134+'Form-Sb'!H149+'Form-Sb'!H164+'Form-Sb'!H179+'Form-Sb'!H194</f>
        <v>0</v>
      </c>
      <c r="F6" s="67">
        <f>'Form-Sb'!I134+'Form-Sb'!I149+'Form-Sb'!I164+'Form-Sb'!I179+'Form-Sb'!I194</f>
        <v>0</v>
      </c>
      <c r="G6" s="389"/>
      <c r="H6" s="389"/>
      <c r="I6" s="389"/>
      <c r="J6" s="389"/>
      <c r="K6" s="389"/>
      <c r="L6" s="389"/>
      <c r="M6" s="389"/>
      <c r="N6" s="389"/>
      <c r="O6" s="389"/>
      <c r="P6" s="389"/>
      <c r="Q6" s="389"/>
      <c r="R6" s="389"/>
      <c r="S6" s="389"/>
      <c r="T6" s="389"/>
      <c r="U6" s="389"/>
      <c r="V6" s="389"/>
      <c r="W6" s="389"/>
      <c r="X6" s="389"/>
      <c r="Y6" s="389"/>
      <c r="Z6" s="389"/>
      <c r="AA6" s="389"/>
      <c r="AB6" s="389"/>
      <c r="AC6" s="389"/>
      <c r="AD6" s="389"/>
      <c r="AE6" s="389"/>
      <c r="AF6" s="389"/>
      <c r="AG6" s="389"/>
      <c r="AH6" s="389"/>
      <c r="AI6" s="389"/>
      <c r="AJ6" s="389"/>
      <c r="AK6" s="389"/>
      <c r="AL6" s="389"/>
      <c r="AM6" s="389"/>
      <c r="AN6" s="389"/>
      <c r="AO6" s="389"/>
      <c r="AP6" s="389"/>
      <c r="AQ6" s="389"/>
      <c r="AR6" s="389"/>
      <c r="AS6" s="389"/>
      <c r="AT6" s="389"/>
      <c r="AU6" s="389"/>
      <c r="AV6" s="389"/>
      <c r="AW6" s="389"/>
      <c r="AX6" s="389"/>
      <c r="AY6" s="389"/>
      <c r="AZ6" s="389"/>
      <c r="BA6" s="389"/>
      <c r="BB6" s="389"/>
      <c r="BC6" s="389"/>
      <c r="BD6" s="389"/>
      <c r="BE6" s="389"/>
      <c r="BF6" s="389"/>
      <c r="BG6" s="389"/>
      <c r="BH6" s="389"/>
      <c r="BI6" s="389"/>
      <c r="BJ6" s="389"/>
      <c r="BK6" s="389"/>
      <c r="BL6" s="389"/>
      <c r="BM6" s="389"/>
      <c r="BN6" s="389"/>
      <c r="BO6" s="389"/>
      <c r="BP6" s="389"/>
      <c r="BQ6" s="389"/>
      <c r="BR6" s="389"/>
      <c r="BS6" s="389"/>
      <c r="BT6" s="389"/>
      <c r="BU6" s="389"/>
      <c r="BV6" s="389"/>
      <c r="BW6" s="389"/>
      <c r="BX6" s="389"/>
      <c r="BY6" s="389"/>
      <c r="BZ6" s="389"/>
      <c r="CA6" s="389"/>
      <c r="CB6" s="389"/>
      <c r="CC6" s="389"/>
      <c r="CD6" s="389"/>
      <c r="CE6" s="389"/>
      <c r="CF6" s="389"/>
      <c r="CG6" s="389"/>
      <c r="CH6" s="389"/>
      <c r="CI6" s="389"/>
      <c r="CJ6" s="389"/>
      <c r="CK6" s="389"/>
      <c r="CL6" s="389"/>
      <c r="CM6" s="389"/>
      <c r="CN6" s="389"/>
      <c r="CO6" s="389"/>
      <c r="CP6" s="389"/>
      <c r="CQ6" s="389"/>
      <c r="CR6" s="389"/>
      <c r="CS6" s="389"/>
      <c r="CT6" s="389"/>
      <c r="CU6" s="389"/>
      <c r="CV6" s="389"/>
      <c r="CW6" s="389"/>
      <c r="CX6" s="389"/>
    </row>
    <row r="7" spans="1:102" ht="34.5" customHeight="1" x14ac:dyDescent="0.35">
      <c r="A7" s="258"/>
      <c r="B7" s="16" t="s">
        <v>2764</v>
      </c>
      <c r="C7" s="52" t="s">
        <v>56</v>
      </c>
      <c r="D7" s="2" t="s">
        <v>1921</v>
      </c>
      <c r="E7" s="164">
        <f>'Form-Sb'!H840</f>
        <v>0</v>
      </c>
      <c r="F7" s="393">
        <f>'Form-Sb'!I840</f>
        <v>0</v>
      </c>
      <c r="G7" s="389"/>
      <c r="H7" s="389"/>
      <c r="I7" s="389"/>
      <c r="J7" s="389"/>
      <c r="K7" s="389"/>
      <c r="L7" s="389"/>
      <c r="M7" s="389"/>
      <c r="N7" s="389"/>
      <c r="O7" s="389"/>
      <c r="P7" s="389"/>
      <c r="Q7" s="389"/>
      <c r="R7" s="389"/>
      <c r="S7" s="389"/>
      <c r="T7" s="389"/>
      <c r="U7" s="389"/>
      <c r="V7" s="389"/>
      <c r="W7" s="389"/>
      <c r="X7" s="389"/>
      <c r="Y7" s="389"/>
      <c r="Z7" s="389"/>
      <c r="AA7" s="389"/>
      <c r="AB7" s="389"/>
      <c r="AC7" s="389"/>
      <c r="AD7" s="389"/>
      <c r="AE7" s="389"/>
      <c r="AF7" s="389"/>
      <c r="AG7" s="389"/>
      <c r="AH7" s="389"/>
      <c r="AI7" s="389"/>
      <c r="AJ7" s="389"/>
      <c r="AK7" s="389"/>
      <c r="AL7" s="389"/>
      <c r="AM7" s="389"/>
      <c r="AN7" s="389"/>
      <c r="AO7" s="389"/>
      <c r="AP7" s="389"/>
      <c r="AQ7" s="389"/>
      <c r="AR7" s="389"/>
      <c r="AS7" s="389"/>
      <c r="AT7" s="389"/>
      <c r="AU7" s="389"/>
      <c r="AV7" s="389"/>
      <c r="AW7" s="389"/>
      <c r="AX7" s="389"/>
      <c r="AY7" s="389"/>
      <c r="AZ7" s="389"/>
      <c r="BA7" s="389"/>
      <c r="BB7" s="389"/>
      <c r="BC7" s="389"/>
      <c r="BD7" s="389"/>
      <c r="BE7" s="389"/>
      <c r="BF7" s="389"/>
      <c r="BG7" s="389"/>
      <c r="BH7" s="389"/>
      <c r="BI7" s="389"/>
      <c r="BJ7" s="389"/>
      <c r="BK7" s="389"/>
      <c r="BL7" s="389"/>
      <c r="BM7" s="389"/>
      <c r="BN7" s="389"/>
      <c r="BO7" s="389"/>
      <c r="BP7" s="389"/>
      <c r="BQ7" s="389"/>
      <c r="BR7" s="389"/>
      <c r="BS7" s="389"/>
      <c r="BT7" s="389"/>
      <c r="BU7" s="389"/>
      <c r="BV7" s="389"/>
      <c r="BW7" s="389"/>
      <c r="BX7" s="389"/>
      <c r="BY7" s="389"/>
      <c r="BZ7" s="389"/>
      <c r="CA7" s="389"/>
      <c r="CB7" s="389"/>
      <c r="CC7" s="389"/>
      <c r="CD7" s="389"/>
      <c r="CE7" s="389"/>
      <c r="CF7" s="389"/>
      <c r="CG7" s="389"/>
      <c r="CH7" s="389"/>
      <c r="CI7" s="389"/>
      <c r="CJ7" s="389"/>
      <c r="CK7" s="389"/>
      <c r="CL7" s="389"/>
      <c r="CM7" s="389"/>
      <c r="CN7" s="389"/>
      <c r="CO7" s="389"/>
      <c r="CP7" s="389"/>
      <c r="CQ7" s="389"/>
      <c r="CR7" s="389"/>
      <c r="CS7" s="389"/>
      <c r="CT7" s="389"/>
      <c r="CU7" s="389"/>
      <c r="CV7" s="389"/>
      <c r="CW7" s="389"/>
      <c r="CX7" s="389"/>
    </row>
    <row r="8" spans="1:102" ht="36" customHeight="1" x14ac:dyDescent="0.35">
      <c r="A8" s="258"/>
      <c r="B8" s="16" t="s">
        <v>2765</v>
      </c>
      <c r="C8" s="52" t="s">
        <v>56</v>
      </c>
      <c r="D8" s="52" t="s">
        <v>2554</v>
      </c>
      <c r="E8" s="164">
        <f>IFERROR(('Form-Sb'!G135*'Form-Sb'!G134+'Form-Sb'!G150*'Form-Sb'!G149+'Form-Sb'!G165*'Form-Sb'!G164+'Form-Sb'!G180*'Form-Sb'!G179+'Form-Sb'!G195*'Form-Sb'!G194)/('Form-Sb'!G134+'Form-Sb'!G149+'Form-Sb'!G164+'Form-Sb'!G179+'Form-Sb'!G194),0)</f>
        <v>0</v>
      </c>
      <c r="F8" s="164">
        <f>IFERROR(('Form-Sb'!H135*'Form-Sb'!H134+'Form-Sb'!H150*'Form-Sb'!H149+'Form-Sb'!H165*'Form-Sb'!H164+'Form-Sb'!H180*'Form-Sb'!H179+'Form-Sb'!H195*'Form-Sb'!H194)/('Form-Sb'!H134+'Form-Sb'!H149+'Form-Sb'!H164+'Form-Sb'!H179+'Form-Sb'!H194),0)</f>
        <v>0</v>
      </c>
      <c r="G8" s="389"/>
      <c r="H8" s="389"/>
      <c r="I8" s="389"/>
      <c r="J8" s="389"/>
      <c r="K8" s="389"/>
      <c r="L8" s="389"/>
      <c r="M8" s="389"/>
      <c r="N8" s="389"/>
      <c r="O8" s="389"/>
      <c r="P8" s="389"/>
      <c r="Q8" s="389"/>
      <c r="R8" s="389"/>
      <c r="S8" s="389"/>
      <c r="T8" s="389"/>
      <c r="U8" s="389"/>
      <c r="V8" s="389"/>
      <c r="W8" s="389"/>
      <c r="X8" s="389"/>
      <c r="Y8" s="389"/>
      <c r="Z8" s="389"/>
      <c r="AA8" s="389"/>
      <c r="AB8" s="389"/>
      <c r="AC8" s="389"/>
      <c r="AD8" s="389"/>
      <c r="AE8" s="389"/>
      <c r="AF8" s="389"/>
      <c r="AG8" s="389"/>
      <c r="AH8" s="389"/>
      <c r="AI8" s="389"/>
      <c r="AJ8" s="389"/>
      <c r="AK8" s="389"/>
      <c r="AL8" s="389"/>
      <c r="AM8" s="389"/>
      <c r="AN8" s="389"/>
      <c r="AO8" s="389"/>
      <c r="AP8" s="389"/>
      <c r="AQ8" s="389"/>
      <c r="AR8" s="389"/>
      <c r="AS8" s="389"/>
      <c r="AT8" s="389"/>
      <c r="AU8" s="389"/>
      <c r="AV8" s="389"/>
      <c r="AW8" s="389"/>
      <c r="AX8" s="389"/>
      <c r="AY8" s="389"/>
      <c r="AZ8" s="389"/>
      <c r="BA8" s="389"/>
      <c r="BB8" s="389"/>
      <c r="BC8" s="389"/>
      <c r="BD8" s="389"/>
      <c r="BE8" s="389"/>
      <c r="BF8" s="389"/>
      <c r="BG8" s="389"/>
      <c r="BH8" s="389"/>
      <c r="BI8" s="389"/>
      <c r="BJ8" s="389"/>
      <c r="BK8" s="389"/>
      <c r="BL8" s="389"/>
      <c r="BM8" s="389"/>
      <c r="BN8" s="389"/>
      <c r="BO8" s="389"/>
      <c r="BP8" s="389"/>
      <c r="BQ8" s="389"/>
      <c r="BR8" s="389"/>
      <c r="BS8" s="389"/>
      <c r="BT8" s="389"/>
      <c r="BU8" s="389"/>
      <c r="BV8" s="389"/>
      <c r="BW8" s="389"/>
      <c r="BX8" s="389"/>
      <c r="BY8" s="389"/>
      <c r="BZ8" s="389"/>
      <c r="CA8" s="389"/>
      <c r="CB8" s="389"/>
      <c r="CC8" s="389"/>
      <c r="CD8" s="389"/>
      <c r="CE8" s="389"/>
      <c r="CF8" s="389"/>
      <c r="CG8" s="389"/>
      <c r="CH8" s="389"/>
      <c r="CI8" s="389"/>
      <c r="CJ8" s="389"/>
      <c r="CK8" s="389"/>
      <c r="CL8" s="389"/>
      <c r="CM8" s="389"/>
      <c r="CN8" s="389"/>
      <c r="CO8" s="389"/>
      <c r="CP8" s="389"/>
      <c r="CQ8" s="389"/>
      <c r="CR8" s="389"/>
      <c r="CS8" s="389"/>
      <c r="CT8" s="389"/>
      <c r="CU8" s="389"/>
      <c r="CV8" s="389"/>
      <c r="CW8" s="389"/>
      <c r="CX8" s="389"/>
    </row>
    <row r="9" spans="1:102" ht="60" customHeight="1" x14ac:dyDescent="0.35">
      <c r="A9" s="258"/>
      <c r="B9" s="18" t="s">
        <v>2766</v>
      </c>
      <c r="C9" s="388" t="s">
        <v>2767</v>
      </c>
      <c r="D9" s="52" t="s">
        <v>2768</v>
      </c>
      <c r="E9" s="1113">
        <f>IF(E7=F7,0,(0.8426*((F7-E7)/E7))+0.0344)*F8</f>
        <v>0</v>
      </c>
      <c r="F9" s="931"/>
      <c r="G9" s="389"/>
      <c r="H9" s="390"/>
      <c r="I9" s="389"/>
      <c r="J9" s="389"/>
      <c r="K9" s="389"/>
      <c r="L9" s="389"/>
      <c r="M9" s="389"/>
      <c r="N9" s="389"/>
      <c r="O9" s="389"/>
      <c r="P9" s="389"/>
      <c r="Q9" s="389"/>
      <c r="R9" s="389"/>
      <c r="S9" s="389"/>
      <c r="T9" s="389"/>
      <c r="U9" s="389"/>
      <c r="V9" s="389"/>
      <c r="W9" s="389"/>
      <c r="X9" s="389"/>
      <c r="Y9" s="389"/>
      <c r="Z9" s="389"/>
      <c r="AA9" s="389"/>
      <c r="AB9" s="389"/>
      <c r="AC9" s="389"/>
      <c r="AD9" s="389"/>
      <c r="AE9" s="389"/>
      <c r="AF9" s="389"/>
      <c r="AG9" s="389"/>
      <c r="AH9" s="389"/>
      <c r="AI9" s="389"/>
      <c r="AJ9" s="389"/>
      <c r="AK9" s="389"/>
      <c r="AL9" s="389"/>
      <c r="AM9" s="389"/>
      <c r="AN9" s="389"/>
      <c r="AO9" s="389"/>
      <c r="AP9" s="389"/>
      <c r="AQ9" s="389"/>
      <c r="AR9" s="389"/>
      <c r="AS9" s="389"/>
      <c r="AT9" s="389"/>
      <c r="AU9" s="389"/>
      <c r="AV9" s="389"/>
      <c r="AW9" s="389"/>
      <c r="AX9" s="389"/>
      <c r="AY9" s="389"/>
      <c r="AZ9" s="389"/>
      <c r="BA9" s="389"/>
      <c r="BB9" s="389"/>
      <c r="BC9" s="389"/>
      <c r="BD9" s="389"/>
      <c r="BE9" s="389"/>
      <c r="BF9" s="389"/>
      <c r="BG9" s="389"/>
      <c r="BH9" s="389"/>
      <c r="BI9" s="389"/>
      <c r="BJ9" s="389"/>
      <c r="BK9" s="389"/>
      <c r="BL9" s="389"/>
      <c r="BM9" s="389"/>
      <c r="BN9" s="389"/>
      <c r="BO9" s="389"/>
      <c r="BP9" s="389"/>
      <c r="BQ9" s="389"/>
      <c r="BR9" s="389"/>
      <c r="BS9" s="389"/>
      <c r="BT9" s="389"/>
      <c r="BU9" s="389"/>
      <c r="BV9" s="389"/>
      <c r="BW9" s="389"/>
      <c r="BX9" s="389"/>
      <c r="BY9" s="389"/>
      <c r="BZ9" s="389"/>
      <c r="CA9" s="389"/>
      <c r="CB9" s="389"/>
      <c r="CC9" s="389"/>
      <c r="CD9" s="389"/>
      <c r="CE9" s="389"/>
      <c r="CF9" s="389"/>
      <c r="CG9" s="389"/>
      <c r="CH9" s="389"/>
      <c r="CI9" s="389"/>
      <c r="CJ9" s="389"/>
      <c r="CK9" s="389"/>
      <c r="CL9" s="389"/>
      <c r="CM9" s="389"/>
      <c r="CN9" s="389"/>
      <c r="CO9" s="389"/>
      <c r="CP9" s="389"/>
      <c r="CQ9" s="389"/>
      <c r="CR9" s="389"/>
      <c r="CS9" s="389"/>
      <c r="CT9" s="389"/>
      <c r="CU9" s="389"/>
      <c r="CV9" s="389"/>
      <c r="CW9" s="389"/>
      <c r="CX9" s="389"/>
    </row>
    <row r="10" spans="1:102" ht="60" customHeight="1" x14ac:dyDescent="0.35">
      <c r="A10" s="258"/>
      <c r="B10" s="3" t="s">
        <v>2482</v>
      </c>
      <c r="C10" s="2" t="s">
        <v>2708</v>
      </c>
      <c r="D10" s="2" t="s">
        <v>1897</v>
      </c>
      <c r="E10" s="17">
        <f>'Base line Parameters'!E65</f>
        <v>0</v>
      </c>
      <c r="F10" s="67">
        <f>'Base line Parameters'!F65</f>
        <v>0</v>
      </c>
      <c r="G10" s="389"/>
      <c r="H10" s="390"/>
      <c r="I10" s="389"/>
      <c r="J10" s="389"/>
      <c r="K10" s="389"/>
      <c r="L10" s="389"/>
      <c r="M10" s="389"/>
      <c r="N10" s="389"/>
      <c r="O10" s="389"/>
      <c r="P10" s="389"/>
      <c r="Q10" s="389"/>
      <c r="R10" s="389"/>
      <c r="S10" s="389"/>
      <c r="T10" s="389"/>
      <c r="U10" s="389"/>
      <c r="V10" s="389"/>
      <c r="W10" s="389"/>
      <c r="X10" s="389"/>
      <c r="Y10" s="389"/>
      <c r="Z10" s="389"/>
      <c r="AA10" s="389"/>
      <c r="AB10" s="389"/>
      <c r="AC10" s="389"/>
      <c r="AD10" s="389"/>
      <c r="AE10" s="389"/>
      <c r="AF10" s="389"/>
      <c r="AG10" s="389"/>
      <c r="AH10" s="389"/>
      <c r="AI10" s="389"/>
      <c r="AJ10" s="389"/>
      <c r="AK10" s="389"/>
      <c r="AL10" s="389"/>
      <c r="AM10" s="389"/>
      <c r="AN10" s="389"/>
      <c r="AO10" s="389"/>
      <c r="AP10" s="389"/>
      <c r="AQ10" s="389"/>
      <c r="AR10" s="389"/>
      <c r="AS10" s="389"/>
      <c r="AT10" s="389"/>
      <c r="AU10" s="389"/>
      <c r="AV10" s="389"/>
      <c r="AW10" s="389"/>
      <c r="AX10" s="389"/>
      <c r="AY10" s="389"/>
      <c r="AZ10" s="389"/>
      <c r="BA10" s="389"/>
      <c r="BB10" s="389"/>
      <c r="BC10" s="389"/>
      <c r="BD10" s="389"/>
      <c r="BE10" s="389"/>
      <c r="BF10" s="389"/>
      <c r="BG10" s="389"/>
      <c r="BH10" s="389"/>
      <c r="BI10" s="389"/>
      <c r="BJ10" s="389"/>
      <c r="BK10" s="389"/>
      <c r="BL10" s="389"/>
      <c r="BM10" s="389"/>
      <c r="BN10" s="389"/>
      <c r="BO10" s="389"/>
      <c r="BP10" s="389"/>
      <c r="BQ10" s="389"/>
      <c r="BR10" s="389"/>
      <c r="BS10" s="389"/>
      <c r="BT10" s="389"/>
      <c r="BU10" s="389"/>
      <c r="BV10" s="389"/>
      <c r="BW10" s="389"/>
      <c r="BX10" s="389"/>
      <c r="BY10" s="389"/>
      <c r="BZ10" s="389"/>
      <c r="CA10" s="389"/>
      <c r="CB10" s="389"/>
      <c r="CC10" s="389"/>
      <c r="CD10" s="389"/>
      <c r="CE10" s="389"/>
      <c r="CF10" s="389"/>
      <c r="CG10" s="389"/>
      <c r="CH10" s="389"/>
      <c r="CI10" s="389"/>
      <c r="CJ10" s="389"/>
      <c r="CK10" s="389"/>
      <c r="CL10" s="389"/>
      <c r="CM10" s="389"/>
      <c r="CN10" s="389"/>
      <c r="CO10" s="389"/>
      <c r="CP10" s="389"/>
      <c r="CQ10" s="389"/>
      <c r="CR10" s="389"/>
      <c r="CS10" s="389"/>
      <c r="CT10" s="389"/>
      <c r="CU10" s="389"/>
      <c r="CV10" s="389"/>
      <c r="CW10" s="389"/>
      <c r="CX10" s="389"/>
    </row>
    <row r="11" spans="1:102" ht="46.5" customHeight="1" thickBot="1" x14ac:dyDescent="0.4">
      <c r="A11" s="394"/>
      <c r="B11" s="395" t="s">
        <v>2769</v>
      </c>
      <c r="C11" s="396" t="s">
        <v>2770</v>
      </c>
      <c r="D11" s="395" t="s">
        <v>1139</v>
      </c>
      <c r="E11" s="1112">
        <f>IF(AND(E3="yes",F3="yes"),(E9*F6*'NF-8 Bond Index'!F10)/10^6,0)</f>
        <v>0</v>
      </c>
      <c r="F11" s="986"/>
      <c r="G11" s="389"/>
      <c r="H11" s="389"/>
      <c r="I11" s="389"/>
      <c r="J11" s="389"/>
      <c r="K11" s="389"/>
      <c r="L11" s="389"/>
      <c r="M11" s="389"/>
      <c r="N11" s="389"/>
      <c r="O11" s="389"/>
      <c r="P11" s="389"/>
      <c r="Q11" s="389"/>
      <c r="R11" s="389"/>
      <c r="S11" s="389"/>
      <c r="T11" s="389"/>
      <c r="U11" s="389"/>
      <c r="V11" s="389"/>
      <c r="W11" s="389"/>
      <c r="X11" s="389"/>
      <c r="Y11" s="389"/>
      <c r="Z11" s="389"/>
      <c r="AA11" s="389"/>
      <c r="AB11" s="389"/>
      <c r="AC11" s="389"/>
      <c r="AD11" s="389"/>
      <c r="AE11" s="389"/>
      <c r="AF11" s="389"/>
      <c r="AG11" s="389"/>
      <c r="AH11" s="389"/>
      <c r="AI11" s="389"/>
      <c r="AJ11" s="389"/>
      <c r="AK11" s="389"/>
      <c r="AL11" s="389"/>
      <c r="AM11" s="389"/>
      <c r="AN11" s="389"/>
      <c r="AO11" s="389"/>
      <c r="AP11" s="389"/>
      <c r="AQ11" s="389"/>
      <c r="AR11" s="389"/>
      <c r="AS11" s="389"/>
      <c r="AT11" s="389"/>
      <c r="AU11" s="389"/>
      <c r="AV11" s="389"/>
      <c r="AW11" s="389"/>
      <c r="AX11" s="389"/>
      <c r="AY11" s="389"/>
      <c r="AZ11" s="389"/>
      <c r="BA11" s="389"/>
      <c r="BB11" s="389"/>
      <c r="BC11" s="389"/>
      <c r="BD11" s="389"/>
      <c r="BE11" s="389"/>
      <c r="BF11" s="389"/>
      <c r="BG11" s="389"/>
      <c r="BH11" s="389"/>
      <c r="BI11" s="389"/>
      <c r="BJ11" s="389"/>
      <c r="BK11" s="389"/>
      <c r="BL11" s="389"/>
      <c r="BM11" s="389"/>
      <c r="BN11" s="389"/>
      <c r="BO11" s="389"/>
      <c r="BP11" s="389"/>
      <c r="BQ11" s="389"/>
      <c r="BR11" s="389"/>
      <c r="BS11" s="389"/>
      <c r="BT11" s="389"/>
      <c r="BU11" s="389"/>
      <c r="BV11" s="389"/>
      <c r="BW11" s="389"/>
      <c r="BX11" s="389"/>
      <c r="BY11" s="389"/>
      <c r="BZ11" s="389"/>
      <c r="CA11" s="389"/>
      <c r="CB11" s="389"/>
      <c r="CC11" s="389"/>
      <c r="CD11" s="389"/>
      <c r="CE11" s="389"/>
      <c r="CF11" s="389"/>
      <c r="CG11" s="389"/>
      <c r="CH11" s="389"/>
      <c r="CI11" s="389"/>
      <c r="CJ11" s="389"/>
      <c r="CK11" s="389"/>
      <c r="CL11" s="389"/>
      <c r="CM11" s="389"/>
      <c r="CN11" s="389"/>
      <c r="CO11" s="389"/>
      <c r="CP11" s="389"/>
      <c r="CQ11" s="389"/>
      <c r="CR11" s="389"/>
      <c r="CS11" s="389"/>
      <c r="CT11" s="389"/>
      <c r="CU11" s="389"/>
      <c r="CV11" s="389"/>
      <c r="CW11" s="389"/>
      <c r="CX11" s="389"/>
    </row>
    <row r="12" spans="1:102" ht="46.5" customHeight="1" x14ac:dyDescent="0.35">
      <c r="G12" s="389"/>
      <c r="H12" s="389"/>
      <c r="I12" s="389"/>
      <c r="J12" s="389"/>
      <c r="K12" s="389"/>
      <c r="L12" s="389"/>
      <c r="M12" s="389"/>
      <c r="N12" s="389"/>
      <c r="O12" s="389"/>
      <c r="P12" s="389"/>
      <c r="Q12" s="389"/>
      <c r="R12" s="389"/>
      <c r="S12" s="389"/>
      <c r="T12" s="389"/>
      <c r="U12" s="389"/>
      <c r="V12" s="389"/>
      <c r="W12" s="389"/>
      <c r="X12" s="389"/>
      <c r="Y12" s="389"/>
      <c r="Z12" s="389"/>
      <c r="AA12" s="389"/>
      <c r="AB12" s="389"/>
      <c r="AC12" s="389"/>
      <c r="AD12" s="389"/>
      <c r="AE12" s="389"/>
      <c r="AF12" s="389"/>
      <c r="AG12" s="389"/>
      <c r="AH12" s="389"/>
      <c r="AI12" s="389"/>
      <c r="AJ12" s="389"/>
      <c r="AK12" s="389"/>
      <c r="AL12" s="389"/>
      <c r="AM12" s="389"/>
      <c r="AN12" s="389"/>
      <c r="AO12" s="389"/>
      <c r="AP12" s="389"/>
      <c r="AQ12" s="389"/>
      <c r="AR12" s="389"/>
      <c r="AS12" s="389"/>
      <c r="AT12" s="389"/>
      <c r="AU12" s="389"/>
      <c r="AV12" s="389"/>
      <c r="AW12" s="389"/>
      <c r="AX12" s="389"/>
      <c r="AY12" s="389"/>
      <c r="AZ12" s="389"/>
      <c r="BA12" s="389"/>
      <c r="BB12" s="389"/>
      <c r="BC12" s="389"/>
      <c r="BD12" s="389"/>
      <c r="BE12" s="389"/>
      <c r="BF12" s="389"/>
      <c r="BG12" s="389"/>
      <c r="BH12" s="389"/>
      <c r="BI12" s="389"/>
      <c r="BJ12" s="389"/>
      <c r="BK12" s="389"/>
      <c r="BL12" s="389"/>
      <c r="BM12" s="389"/>
      <c r="BN12" s="389"/>
      <c r="BO12" s="389"/>
      <c r="BP12" s="389"/>
      <c r="BQ12" s="389"/>
      <c r="BR12" s="389"/>
      <c r="BS12" s="389"/>
      <c r="BT12" s="389"/>
      <c r="BU12" s="389"/>
      <c r="BV12" s="389"/>
      <c r="BW12" s="389"/>
      <c r="BX12" s="389"/>
      <c r="BY12" s="389"/>
      <c r="BZ12" s="389"/>
      <c r="CA12" s="389"/>
      <c r="CB12" s="389"/>
      <c r="CC12" s="389"/>
      <c r="CD12" s="389"/>
      <c r="CE12" s="389"/>
      <c r="CF12" s="389"/>
      <c r="CG12" s="389"/>
      <c r="CH12" s="389"/>
      <c r="CI12" s="389"/>
      <c r="CJ12" s="389"/>
      <c r="CK12" s="389"/>
      <c r="CL12" s="389"/>
      <c r="CM12" s="389"/>
      <c r="CN12" s="389"/>
      <c r="CO12" s="389"/>
      <c r="CP12" s="389"/>
      <c r="CQ12" s="389"/>
      <c r="CR12" s="389"/>
      <c r="CS12" s="389"/>
      <c r="CT12" s="389"/>
      <c r="CU12" s="389"/>
      <c r="CV12" s="389"/>
      <c r="CW12" s="389"/>
      <c r="CX12" s="389"/>
    </row>
    <row r="13" spans="1:102" x14ac:dyDescent="0.35">
      <c r="G13" s="389"/>
      <c r="H13" s="389"/>
      <c r="I13" s="389"/>
      <c r="J13" s="389"/>
      <c r="K13" s="389"/>
      <c r="L13" s="389"/>
      <c r="M13" s="389"/>
      <c r="N13" s="389"/>
      <c r="O13" s="389"/>
    </row>
    <row r="14" spans="1:102" x14ac:dyDescent="0.35">
      <c r="G14" s="389"/>
      <c r="H14" s="389"/>
      <c r="I14" s="389"/>
      <c r="J14" s="389"/>
      <c r="K14" s="389"/>
      <c r="L14" s="389"/>
      <c r="M14" s="389"/>
      <c r="N14" s="389"/>
      <c r="O14" s="389"/>
    </row>
    <row r="15" spans="1:102" x14ac:dyDescent="0.35">
      <c r="G15" s="389"/>
      <c r="H15" s="389"/>
      <c r="I15" s="389"/>
      <c r="J15" s="389"/>
      <c r="K15" s="389"/>
      <c r="L15" s="389"/>
      <c r="M15" s="389"/>
      <c r="N15" s="389"/>
      <c r="O15" s="389"/>
    </row>
    <row r="16" spans="1:102" x14ac:dyDescent="0.35">
      <c r="G16" s="389"/>
      <c r="H16" s="389"/>
      <c r="I16" s="389"/>
      <c r="J16" s="389"/>
      <c r="K16" s="389"/>
      <c r="L16" s="389"/>
      <c r="M16" s="389"/>
      <c r="N16" s="389"/>
      <c r="O16" s="389"/>
    </row>
    <row r="17" spans="1:15" x14ac:dyDescent="0.35">
      <c r="G17" s="389"/>
      <c r="H17" s="389"/>
      <c r="I17" s="389"/>
      <c r="J17" s="389"/>
      <c r="K17" s="389"/>
      <c r="L17" s="389"/>
      <c r="M17" s="389"/>
      <c r="N17" s="389"/>
      <c r="O17" s="389"/>
    </row>
    <row r="18" spans="1:15" x14ac:dyDescent="0.35">
      <c r="G18" s="389"/>
      <c r="H18" s="389"/>
      <c r="I18" s="389"/>
      <c r="J18" s="389"/>
      <c r="K18" s="389"/>
      <c r="L18" s="389"/>
      <c r="M18" s="389"/>
      <c r="N18" s="389"/>
      <c r="O18" s="389"/>
    </row>
    <row r="19" spans="1:15" x14ac:dyDescent="0.35">
      <c r="G19" s="389"/>
      <c r="H19" s="389"/>
      <c r="I19" s="389"/>
      <c r="J19" s="389"/>
      <c r="K19" s="389"/>
      <c r="L19" s="389"/>
      <c r="M19" s="389"/>
      <c r="N19" s="389"/>
      <c r="O19" s="389"/>
    </row>
    <row r="20" spans="1:15" x14ac:dyDescent="0.35">
      <c r="G20" s="389"/>
      <c r="H20" s="389"/>
      <c r="I20" s="389"/>
      <c r="J20" s="389"/>
      <c r="K20" s="389"/>
      <c r="L20" s="389"/>
      <c r="M20" s="389"/>
      <c r="N20" s="389"/>
      <c r="O20" s="389"/>
    </row>
    <row r="21" spans="1:15" x14ac:dyDescent="0.35">
      <c r="A21" s="389"/>
      <c r="B21" s="389"/>
      <c r="C21" s="389"/>
      <c r="D21" s="389"/>
      <c r="E21" s="389"/>
      <c r="F21" s="389"/>
      <c r="G21" s="389"/>
      <c r="H21" s="389"/>
      <c r="I21" s="389"/>
      <c r="J21" s="389"/>
      <c r="K21" s="389"/>
      <c r="L21" s="389"/>
      <c r="M21" s="389"/>
      <c r="N21" s="389"/>
      <c r="O21" s="389"/>
    </row>
    <row r="22" spans="1:15" x14ac:dyDescent="0.35">
      <c r="A22" s="389"/>
      <c r="B22" s="389"/>
      <c r="C22" s="389"/>
      <c r="D22" s="389"/>
      <c r="E22" s="389"/>
      <c r="F22" s="389"/>
      <c r="G22" s="389"/>
      <c r="H22" s="389"/>
      <c r="I22" s="389"/>
      <c r="J22" s="389"/>
      <c r="K22" s="389"/>
      <c r="L22" s="389"/>
      <c r="M22" s="389"/>
      <c r="N22" s="389"/>
      <c r="O22" s="389"/>
    </row>
    <row r="23" spans="1:15" x14ac:dyDescent="0.35">
      <c r="A23" s="389"/>
      <c r="B23" s="389"/>
      <c r="C23" s="389"/>
      <c r="D23" s="389"/>
      <c r="E23" s="389"/>
      <c r="F23" s="389"/>
      <c r="G23" s="389"/>
      <c r="H23" s="389"/>
      <c r="I23" s="389"/>
      <c r="J23" s="389"/>
      <c r="K23" s="389"/>
      <c r="L23" s="389"/>
      <c r="M23" s="389"/>
      <c r="N23" s="389"/>
      <c r="O23" s="389"/>
    </row>
    <row r="24" spans="1:15" x14ac:dyDescent="0.35">
      <c r="A24" s="389"/>
      <c r="B24" s="389"/>
      <c r="C24" s="389"/>
      <c r="D24" s="389"/>
      <c r="E24" s="389"/>
      <c r="F24" s="389"/>
      <c r="G24" s="389"/>
      <c r="H24" s="389"/>
      <c r="I24" s="389"/>
      <c r="J24" s="389"/>
      <c r="K24" s="389"/>
      <c r="L24" s="389"/>
      <c r="M24" s="389"/>
      <c r="N24" s="389"/>
      <c r="O24" s="389"/>
    </row>
    <row r="25" spans="1:15" x14ac:dyDescent="0.35">
      <c r="A25" s="389"/>
      <c r="B25" s="389"/>
      <c r="C25" s="389"/>
      <c r="D25" s="389"/>
      <c r="E25" s="389"/>
      <c r="F25" s="389"/>
      <c r="G25" s="389"/>
      <c r="H25" s="389"/>
      <c r="I25" s="389"/>
      <c r="J25" s="389"/>
      <c r="K25" s="389"/>
      <c r="L25" s="389"/>
      <c r="M25" s="389"/>
      <c r="N25" s="389"/>
      <c r="O25" s="389"/>
    </row>
    <row r="26" spans="1:15" x14ac:dyDescent="0.35">
      <c r="A26" s="389"/>
      <c r="B26" s="389"/>
      <c r="C26" s="389"/>
      <c r="D26" s="389"/>
      <c r="E26" s="389"/>
      <c r="F26" s="389"/>
      <c r="G26" s="389"/>
      <c r="H26" s="389"/>
      <c r="I26" s="389"/>
      <c r="J26" s="389"/>
      <c r="K26" s="389"/>
      <c r="L26" s="389"/>
      <c r="M26" s="389"/>
      <c r="N26" s="389"/>
      <c r="O26" s="389"/>
    </row>
    <row r="27" spans="1:15" x14ac:dyDescent="0.35">
      <c r="A27" s="389"/>
      <c r="B27" s="389"/>
      <c r="C27" s="389"/>
      <c r="D27" s="389"/>
      <c r="E27" s="389"/>
      <c r="F27" s="389"/>
      <c r="G27" s="389"/>
      <c r="H27" s="389"/>
      <c r="I27" s="389"/>
      <c r="J27" s="389"/>
      <c r="K27" s="389"/>
      <c r="L27" s="389"/>
      <c r="M27" s="389"/>
      <c r="N27" s="389"/>
      <c r="O27" s="389"/>
    </row>
    <row r="28" spans="1:15" x14ac:dyDescent="0.35">
      <c r="A28" s="389"/>
      <c r="B28" s="389"/>
      <c r="C28" s="389"/>
      <c r="D28" s="389"/>
      <c r="E28" s="389"/>
      <c r="F28" s="389"/>
      <c r="G28" s="389"/>
      <c r="H28" s="389"/>
      <c r="I28" s="389"/>
      <c r="J28" s="389"/>
      <c r="K28" s="389"/>
      <c r="L28" s="389"/>
      <c r="M28" s="389"/>
      <c r="N28" s="389"/>
      <c r="O28" s="389"/>
    </row>
    <row r="29" spans="1:15" x14ac:dyDescent="0.35">
      <c r="A29" s="389"/>
      <c r="B29" s="389"/>
      <c r="C29" s="389"/>
      <c r="D29" s="389"/>
      <c r="E29" s="389"/>
      <c r="F29" s="389"/>
      <c r="G29" s="389"/>
      <c r="H29" s="389"/>
      <c r="I29" s="389"/>
      <c r="J29" s="389"/>
      <c r="K29" s="389"/>
      <c r="L29" s="389"/>
      <c r="M29" s="389"/>
      <c r="N29" s="389"/>
      <c r="O29" s="389"/>
    </row>
    <row r="30" spans="1:15" x14ac:dyDescent="0.35">
      <c r="A30" s="389"/>
      <c r="B30" s="389"/>
      <c r="C30" s="389"/>
      <c r="D30" s="389"/>
      <c r="E30" s="389"/>
      <c r="F30" s="389"/>
      <c r="G30" s="389"/>
      <c r="H30" s="389"/>
      <c r="I30" s="389"/>
      <c r="J30" s="389"/>
      <c r="K30" s="389"/>
      <c r="L30" s="389"/>
      <c r="M30" s="389"/>
      <c r="N30" s="389"/>
      <c r="O30" s="389"/>
    </row>
    <row r="31" spans="1:15" x14ac:dyDescent="0.35">
      <c r="A31" s="389"/>
      <c r="B31" s="389"/>
      <c r="C31" s="389"/>
      <c r="D31" s="389"/>
      <c r="E31" s="389"/>
      <c r="F31" s="389"/>
      <c r="G31" s="389"/>
      <c r="H31" s="389"/>
      <c r="I31" s="389"/>
      <c r="J31" s="389"/>
      <c r="K31" s="389"/>
      <c r="L31" s="389"/>
      <c r="M31" s="389"/>
      <c r="N31" s="389"/>
      <c r="O31" s="389"/>
    </row>
    <row r="32" spans="1:15" x14ac:dyDescent="0.35">
      <c r="A32" s="389"/>
      <c r="B32" s="389"/>
      <c r="C32" s="389"/>
      <c r="D32" s="389"/>
      <c r="E32" s="389"/>
      <c r="F32" s="389"/>
      <c r="G32" s="389"/>
      <c r="H32" s="389"/>
      <c r="I32" s="389"/>
      <c r="J32" s="389"/>
      <c r="K32" s="389"/>
      <c r="L32" s="389"/>
      <c r="M32" s="389"/>
      <c r="N32" s="389"/>
      <c r="O32" s="389"/>
    </row>
    <row r="33" spans="1:15" x14ac:dyDescent="0.35">
      <c r="A33" s="389"/>
      <c r="B33" s="389"/>
      <c r="C33" s="389"/>
      <c r="D33" s="389"/>
      <c r="E33" s="389"/>
      <c r="F33" s="389"/>
      <c r="G33" s="389"/>
      <c r="H33" s="389"/>
      <c r="I33" s="389"/>
      <c r="J33" s="389"/>
      <c r="K33" s="389"/>
      <c r="L33" s="389"/>
      <c r="M33" s="389"/>
      <c r="N33" s="389"/>
      <c r="O33" s="389"/>
    </row>
  </sheetData>
  <mergeCells count="6">
    <mergeCell ref="A2:B2"/>
    <mergeCell ref="A1:F1"/>
    <mergeCell ref="E11:F11"/>
    <mergeCell ref="C2:F2"/>
    <mergeCell ref="E9:F9"/>
    <mergeCell ref="A3:B3"/>
  </mergeCells>
  <pageMargins left="0.7" right="0.7" top="0.75" bottom="0.75" header="0.3" footer="0.3"/>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13</vt:i4>
      </vt:variant>
    </vt:vector>
  </HeadingPairs>
  <TitlesOfParts>
    <vt:vector size="33" baseType="lpstr">
      <vt:lpstr>Read Me</vt:lpstr>
      <vt:lpstr>Instructions Sheet</vt:lpstr>
      <vt:lpstr>General Information</vt:lpstr>
      <vt:lpstr>Form 1</vt:lpstr>
      <vt:lpstr>Form E2</vt:lpstr>
      <vt:lpstr>Form-Sb</vt:lpstr>
      <vt:lpstr>Base line Parameters</vt:lpstr>
      <vt:lpstr>Summary Sheet</vt:lpstr>
      <vt:lpstr>Emission Factor &amp; GWP Backup</vt:lpstr>
      <vt:lpstr>Form-PE</vt:lpstr>
      <vt:lpstr>Annex Addl Eqp List-Env</vt:lpstr>
      <vt:lpstr>Annex Project Activites List</vt:lpstr>
      <vt:lpstr>NF-1 CU</vt:lpstr>
      <vt:lpstr>NF-2 Fuel Quality in CPP</vt:lpstr>
      <vt:lpstr>NF-3 Petcoke</vt:lpstr>
      <vt:lpstr>NF-4 PLF</vt:lpstr>
      <vt:lpstr>NF-5 Power Mix</vt:lpstr>
      <vt:lpstr>NF-6 Product Mix</vt:lpstr>
      <vt:lpstr>NF-7 Others</vt:lpstr>
      <vt:lpstr>NF-8 Bond Index</vt:lpstr>
      <vt:lpstr>'Form-PE'!Print_Area</vt:lpstr>
      <vt:lpstr>'Form-Sb'!Print_Area</vt:lpstr>
      <vt:lpstr>'Summary Sheet'!Print_Area</vt:lpstr>
      <vt:lpstr>'Annex Project Activites List'!Print_Titles</vt:lpstr>
      <vt:lpstr>'Base line Parameters'!Print_Titles</vt:lpstr>
      <vt:lpstr>'Form-PE'!Print_Titles</vt:lpstr>
      <vt:lpstr>'Form-Sb'!Print_Titles</vt:lpstr>
      <vt:lpstr>'Instructions Sheet'!Print_Titles</vt:lpstr>
      <vt:lpstr>'NF-1 CU'!Print_Titles</vt:lpstr>
      <vt:lpstr>'NF-5 Power Mix'!Print_Titles</vt:lpstr>
      <vt:lpstr>'NF-6 Product Mix'!Print_Titles</vt:lpstr>
      <vt:lpstr>'NF-7 Others'!Print_Titles</vt:lpstr>
      <vt:lpstr>'Summary 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 VIKASH RANJAN</dc:creator>
  <cp:lastModifiedBy>Ishan Rahman</cp:lastModifiedBy>
  <cp:lastPrinted>2022-12-13T09:13:28Z</cp:lastPrinted>
  <dcterms:created xsi:type="dcterms:W3CDTF">2010-08-05T04:12:30Z</dcterms:created>
  <dcterms:modified xsi:type="dcterms:W3CDTF">2026-01-21T07:58:56Z</dcterms:modified>
</cp:coreProperties>
</file>